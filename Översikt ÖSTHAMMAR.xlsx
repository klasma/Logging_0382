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45933</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45933</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45933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45933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45933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45933</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45933</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45933</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45933</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45933</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45933</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45933</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45933</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45933</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45933</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45933</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45933</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45933</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45933</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39834-2025</t>
        </is>
      </c>
      <c r="B24" s="1" t="n">
        <v>45891.56333333333</v>
      </c>
      <c r="C24" s="1" t="n">
        <v>45933</v>
      </c>
      <c r="D24" t="inlineStr">
        <is>
          <t>UPPSALA LÄN</t>
        </is>
      </c>
      <c r="E24" t="inlineStr">
        <is>
          <t>ÖSTHAMMAR</t>
        </is>
      </c>
      <c r="F24" t="inlineStr">
        <is>
          <t>Bergvik skog öst AB</t>
        </is>
      </c>
      <c r="G24" t="n">
        <v>2.5</v>
      </c>
      <c r="H24" t="n">
        <v>4</v>
      </c>
      <c r="I24" t="n">
        <v>2</v>
      </c>
      <c r="J24" t="n">
        <v>1</v>
      </c>
      <c r="K24" t="n">
        <v>1</v>
      </c>
      <c r="L24" t="n">
        <v>0</v>
      </c>
      <c r="M24" t="n">
        <v>0</v>
      </c>
      <c r="N24" t="n">
        <v>0</v>
      </c>
      <c r="O24" t="n">
        <v>2</v>
      </c>
      <c r="P24" t="n">
        <v>1</v>
      </c>
      <c r="Q24" t="n">
        <v>6</v>
      </c>
      <c r="R24" s="2" t="inlineStr">
        <is>
          <t>Knärot
Spillkråka
Grönpyrola
Vågbandad barkbock
Tjäder
Blåsippa</t>
        </is>
      </c>
      <c r="S24">
        <f>HYPERLINK("https://klasma.github.io/Logging_0382/artfynd/A 39834-2025 artfynd.xlsx", "A 39834-2025")</f>
        <v/>
      </c>
      <c r="T24">
        <f>HYPERLINK("https://klasma.github.io/Logging_0382/kartor/A 39834-2025 karta.png", "A 39834-2025")</f>
        <v/>
      </c>
      <c r="U24">
        <f>HYPERLINK("https://klasma.github.io/Logging_0382/knärot/A 39834-2025 karta knärot.png", "A 39834-2025")</f>
        <v/>
      </c>
      <c r="V24">
        <f>HYPERLINK("https://klasma.github.io/Logging_0382/klagomål/A 39834-2025 FSC-klagomål.docx", "A 39834-2025")</f>
        <v/>
      </c>
      <c r="W24">
        <f>HYPERLINK("https://klasma.github.io/Logging_0382/klagomålsmail/A 39834-2025 FSC-klagomål mail.docx", "A 39834-2025")</f>
        <v/>
      </c>
      <c r="X24">
        <f>HYPERLINK("https://klasma.github.io/Logging_0382/tillsyn/A 39834-2025 tillsynsbegäran.docx", "A 39834-2025")</f>
        <v/>
      </c>
      <c r="Y24">
        <f>HYPERLINK("https://klasma.github.io/Logging_0382/tillsynsmail/A 39834-2025 tillsynsbegäran mail.docx", "A 39834-2025")</f>
        <v/>
      </c>
      <c r="Z24">
        <f>HYPERLINK("https://klasma.github.io/Logging_0382/fåglar/A 39834-2025 prioriterade fågelarter.docx", "A 39834-2025")</f>
        <v/>
      </c>
    </row>
    <row r="25" ht="15" customHeight="1">
      <c r="A25" t="inlineStr">
        <is>
          <t>A 48277-2023</t>
        </is>
      </c>
      <c r="B25" s="1" t="n">
        <v>45205</v>
      </c>
      <c r="C25" s="1" t="n">
        <v>45933</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39763-2022</t>
        </is>
      </c>
      <c r="B26" s="1" t="n">
        <v>44819.44055555556</v>
      </c>
      <c r="C26" s="1" t="n">
        <v>45933</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45933</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45933</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26056-2025</t>
        </is>
      </c>
      <c r="B29" s="1" t="n">
        <v>45804.79280092593</v>
      </c>
      <c r="C29" s="1" t="n">
        <v>45933</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24563-2022</t>
        </is>
      </c>
      <c r="B30" s="1" t="n">
        <v>44727</v>
      </c>
      <c r="C30" s="1" t="n">
        <v>45933</v>
      </c>
      <c r="D30" t="inlineStr">
        <is>
          <t>UPPSALA LÄN</t>
        </is>
      </c>
      <c r="E30" t="inlineStr">
        <is>
          <t>ÖSTHAMMAR</t>
        </is>
      </c>
      <c r="G30" t="n">
        <v>7.4</v>
      </c>
      <c r="H30" t="n">
        <v>0</v>
      </c>
      <c r="I30" t="n">
        <v>3</v>
      </c>
      <c r="J30" t="n">
        <v>0</v>
      </c>
      <c r="K30" t="n">
        <v>2</v>
      </c>
      <c r="L30" t="n">
        <v>0</v>
      </c>
      <c r="M30" t="n">
        <v>0</v>
      </c>
      <c r="N30" t="n">
        <v>0</v>
      </c>
      <c r="O30" t="n">
        <v>2</v>
      </c>
      <c r="P30" t="n">
        <v>2</v>
      </c>
      <c r="Q30" t="n">
        <v>5</v>
      </c>
      <c r="R30" s="2" t="inlineStr">
        <is>
          <t>Gul lammticka
Koppartaggsvamp
Kamjordstjärna
Olivspindling
Rödgul trumpetsvamp</t>
        </is>
      </c>
      <c r="S30">
        <f>HYPERLINK("https://klasma.github.io/Logging_0382/artfynd/A 24563-2022 artfynd.xlsx", "A 24563-2022")</f>
        <v/>
      </c>
      <c r="T30">
        <f>HYPERLINK("https://klasma.github.io/Logging_0382/kartor/A 24563-2022 karta.png", "A 24563-2022")</f>
        <v/>
      </c>
      <c r="V30">
        <f>HYPERLINK("https://klasma.github.io/Logging_0382/klagomål/A 24563-2022 FSC-klagomål.docx", "A 24563-2022")</f>
        <v/>
      </c>
      <c r="W30">
        <f>HYPERLINK("https://klasma.github.io/Logging_0382/klagomålsmail/A 24563-2022 FSC-klagomål mail.docx", "A 24563-2022")</f>
        <v/>
      </c>
      <c r="X30">
        <f>HYPERLINK("https://klasma.github.io/Logging_0382/tillsyn/A 24563-2022 tillsynsbegäran.docx", "A 24563-2022")</f>
        <v/>
      </c>
      <c r="Y30">
        <f>HYPERLINK("https://klasma.github.io/Logging_0382/tillsynsmail/A 24563-2022 tillsynsbegäran mail.docx", "A 24563-2022")</f>
        <v/>
      </c>
    </row>
    <row r="31" ht="15" customHeight="1">
      <c r="A31" t="inlineStr">
        <is>
          <t>A 15556-2022</t>
        </is>
      </c>
      <c r="B31" s="1" t="n">
        <v>44662</v>
      </c>
      <c r="C31" s="1" t="n">
        <v>45933</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23498-2023</t>
        </is>
      </c>
      <c r="B32" s="1" t="n">
        <v>45076</v>
      </c>
      <c r="C32" s="1" t="n">
        <v>45933</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55492-2023</t>
        </is>
      </c>
      <c r="B33" s="1" t="n">
        <v>45238</v>
      </c>
      <c r="C33" s="1" t="n">
        <v>45933</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43992-2022</t>
        </is>
      </c>
      <c r="B34" s="1" t="n">
        <v>44837</v>
      </c>
      <c r="C34" s="1" t="n">
        <v>45933</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52808-2022</t>
        </is>
      </c>
      <c r="B35" s="1" t="n">
        <v>44875</v>
      </c>
      <c r="C35" s="1" t="n">
        <v>45933</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45933</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33051-2021</t>
        </is>
      </c>
      <c r="B37" s="1" t="n">
        <v>44376</v>
      </c>
      <c r="C37" s="1" t="n">
        <v>45933</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45933</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45933</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45933</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54492-2024</t>
        </is>
      </c>
      <c r="B41" s="1" t="n">
        <v>45617</v>
      </c>
      <c r="C41" s="1" t="n">
        <v>45933</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221-2025</t>
        </is>
      </c>
      <c r="B42" s="1" t="n">
        <v>45660</v>
      </c>
      <c r="C42" s="1" t="n">
        <v>45933</v>
      </c>
      <c r="D42" t="inlineStr">
        <is>
          <t>UPPSALA LÄN</t>
        </is>
      </c>
      <c r="E42" t="inlineStr">
        <is>
          <t>ÖSTHAMMAR</t>
        </is>
      </c>
      <c r="F42" t="inlineStr">
        <is>
          <t>Bergvik skog öst AB</t>
        </is>
      </c>
      <c r="G42" t="n">
        <v>1.3</v>
      </c>
      <c r="H42" t="n">
        <v>2</v>
      </c>
      <c r="I42" t="n">
        <v>3</v>
      </c>
      <c r="J42" t="n">
        <v>0</v>
      </c>
      <c r="K42" t="n">
        <v>0</v>
      </c>
      <c r="L42" t="n">
        <v>0</v>
      </c>
      <c r="M42" t="n">
        <v>0</v>
      </c>
      <c r="N42" t="n">
        <v>0</v>
      </c>
      <c r="O42" t="n">
        <v>0</v>
      </c>
      <c r="P42" t="n">
        <v>0</v>
      </c>
      <c r="Q42" t="n">
        <v>4</v>
      </c>
      <c r="R42" s="2" t="inlineStr">
        <is>
          <t>Grön sköldmossa
Korallblylav
Rödgul trumpetsvamp
Blåsippa</t>
        </is>
      </c>
      <c r="S42">
        <f>HYPERLINK("https://klasma.github.io/Logging_0382/artfynd/A 221-2025 artfynd.xlsx", "A 221-2025")</f>
        <v/>
      </c>
      <c r="T42">
        <f>HYPERLINK("https://klasma.github.io/Logging_0382/kartor/A 221-2025 karta.png", "A 221-2025")</f>
        <v/>
      </c>
      <c r="V42">
        <f>HYPERLINK("https://klasma.github.io/Logging_0382/klagomål/A 221-2025 FSC-klagomål.docx", "A 221-2025")</f>
        <v/>
      </c>
      <c r="W42">
        <f>HYPERLINK("https://klasma.github.io/Logging_0382/klagomålsmail/A 221-2025 FSC-klagomål mail.docx", "A 221-2025")</f>
        <v/>
      </c>
      <c r="X42">
        <f>HYPERLINK("https://klasma.github.io/Logging_0382/tillsyn/A 221-2025 tillsynsbegäran.docx", "A 221-2025")</f>
        <v/>
      </c>
      <c r="Y42">
        <f>HYPERLINK("https://klasma.github.io/Logging_0382/tillsynsmail/A 221-2025 tillsynsbegäran mail.docx", "A 221-2025")</f>
        <v/>
      </c>
    </row>
    <row r="43" ht="15" customHeight="1">
      <c r="A43" t="inlineStr">
        <is>
          <t>A 46204-2023</t>
        </is>
      </c>
      <c r="B43" s="1" t="n">
        <v>45190</v>
      </c>
      <c r="C43" s="1" t="n">
        <v>45933</v>
      </c>
      <c r="D43" t="inlineStr">
        <is>
          <t>UPPSALA LÄN</t>
        </is>
      </c>
      <c r="E43" t="inlineStr">
        <is>
          <t>ÖSTHAMMAR</t>
        </is>
      </c>
      <c r="F43" t="inlineStr">
        <is>
          <t>Övriga statliga verk och myndigheter</t>
        </is>
      </c>
      <c r="G43" t="n">
        <v>3.5</v>
      </c>
      <c r="H43" t="n">
        <v>3</v>
      </c>
      <c r="I43" t="n">
        <v>0</v>
      </c>
      <c r="J43" t="n">
        <v>3</v>
      </c>
      <c r="K43" t="n">
        <v>0</v>
      </c>
      <c r="L43" t="n">
        <v>0</v>
      </c>
      <c r="M43" t="n">
        <v>0</v>
      </c>
      <c r="N43" t="n">
        <v>0</v>
      </c>
      <c r="O43" t="n">
        <v>3</v>
      </c>
      <c r="P43" t="n">
        <v>0</v>
      </c>
      <c r="Q43" t="n">
        <v>3</v>
      </c>
      <c r="R43" s="2" t="inlineStr">
        <is>
          <t>Grönsångare
Gulsparv
Ärtsångare</t>
        </is>
      </c>
      <c r="S43">
        <f>HYPERLINK("https://klasma.github.io/Logging_0382/artfynd/A 46204-2023 artfynd.xlsx", "A 46204-2023")</f>
        <v/>
      </c>
      <c r="T43">
        <f>HYPERLINK("https://klasma.github.io/Logging_0382/kartor/A 46204-2023 karta.png", "A 46204-2023")</f>
        <v/>
      </c>
      <c r="V43">
        <f>HYPERLINK("https://klasma.github.io/Logging_0382/klagomål/A 46204-2023 FSC-klagomål.docx", "A 46204-2023")</f>
        <v/>
      </c>
      <c r="W43">
        <f>HYPERLINK("https://klasma.github.io/Logging_0382/klagomålsmail/A 46204-2023 FSC-klagomål mail.docx", "A 46204-2023")</f>
        <v/>
      </c>
      <c r="X43">
        <f>HYPERLINK("https://klasma.github.io/Logging_0382/tillsyn/A 46204-2023 tillsynsbegäran.docx", "A 46204-2023")</f>
        <v/>
      </c>
      <c r="Y43">
        <f>HYPERLINK("https://klasma.github.io/Logging_0382/tillsynsmail/A 46204-2023 tillsynsbegäran mail.docx", "A 46204-2023")</f>
        <v/>
      </c>
      <c r="Z43">
        <f>HYPERLINK("https://klasma.github.io/Logging_0382/fåglar/A 46204-2023 prioriterade fågelarter.docx", "A 46204-2023")</f>
        <v/>
      </c>
    </row>
    <row r="44" ht="15" customHeight="1">
      <c r="A44" t="inlineStr">
        <is>
          <t>A 55051-2021</t>
        </is>
      </c>
      <c r="B44" s="1" t="n">
        <v>44474</v>
      </c>
      <c r="C44" s="1" t="n">
        <v>45933</v>
      </c>
      <c r="D44" t="inlineStr">
        <is>
          <t>UPPSALA LÄN</t>
        </is>
      </c>
      <c r="E44" t="inlineStr">
        <is>
          <t>ÖSTHAMMAR</t>
        </is>
      </c>
      <c r="F44" t="inlineStr">
        <is>
          <t>Bergvik skog öst AB</t>
        </is>
      </c>
      <c r="G44" t="n">
        <v>6.5</v>
      </c>
      <c r="H44" t="n">
        <v>1</v>
      </c>
      <c r="I44" t="n">
        <v>2</v>
      </c>
      <c r="J44" t="n">
        <v>0</v>
      </c>
      <c r="K44" t="n">
        <v>0</v>
      </c>
      <c r="L44" t="n">
        <v>0</v>
      </c>
      <c r="M44" t="n">
        <v>0</v>
      </c>
      <c r="N44" t="n">
        <v>0</v>
      </c>
      <c r="O44" t="n">
        <v>0</v>
      </c>
      <c r="P44" t="n">
        <v>0</v>
      </c>
      <c r="Q44" t="n">
        <v>3</v>
      </c>
      <c r="R44" s="2" t="inlineStr">
        <is>
          <t>Svart trolldruva
Tibast
Blåsippa</t>
        </is>
      </c>
      <c r="S44">
        <f>HYPERLINK("https://klasma.github.io/Logging_0382/artfynd/A 55051-2021 artfynd.xlsx", "A 55051-2021")</f>
        <v/>
      </c>
      <c r="T44">
        <f>HYPERLINK("https://klasma.github.io/Logging_0382/kartor/A 55051-2021 karta.png", "A 55051-2021")</f>
        <v/>
      </c>
      <c r="V44">
        <f>HYPERLINK("https://klasma.github.io/Logging_0382/klagomål/A 55051-2021 FSC-klagomål.docx", "A 55051-2021")</f>
        <v/>
      </c>
      <c r="W44">
        <f>HYPERLINK("https://klasma.github.io/Logging_0382/klagomålsmail/A 55051-2021 FSC-klagomål mail.docx", "A 55051-2021")</f>
        <v/>
      </c>
      <c r="X44">
        <f>HYPERLINK("https://klasma.github.io/Logging_0382/tillsyn/A 55051-2021 tillsynsbegäran.docx", "A 55051-2021")</f>
        <v/>
      </c>
      <c r="Y44">
        <f>HYPERLINK("https://klasma.github.io/Logging_0382/tillsynsmail/A 55051-2021 tillsynsbegäran mail.docx", "A 55051-2021")</f>
        <v/>
      </c>
    </row>
    <row r="45" ht="15" customHeight="1">
      <c r="A45" t="inlineStr">
        <is>
          <t>A 9715-2024</t>
        </is>
      </c>
      <c r="B45" s="1" t="n">
        <v>45362.53928240741</v>
      </c>
      <c r="C45" s="1" t="n">
        <v>45933</v>
      </c>
      <c r="D45" t="inlineStr">
        <is>
          <t>UPPSALA LÄN</t>
        </is>
      </c>
      <c r="E45" t="inlineStr">
        <is>
          <t>ÖSTHAMMAR</t>
        </is>
      </c>
      <c r="G45" t="n">
        <v>4.7</v>
      </c>
      <c r="H45" t="n">
        <v>2</v>
      </c>
      <c r="I45" t="n">
        <v>2</v>
      </c>
      <c r="J45" t="n">
        <v>0</v>
      </c>
      <c r="K45" t="n">
        <v>1</v>
      </c>
      <c r="L45" t="n">
        <v>0</v>
      </c>
      <c r="M45" t="n">
        <v>0</v>
      </c>
      <c r="N45" t="n">
        <v>0</v>
      </c>
      <c r="O45" t="n">
        <v>1</v>
      </c>
      <c r="P45" t="n">
        <v>1</v>
      </c>
      <c r="Q45" t="n">
        <v>3</v>
      </c>
      <c r="R45" s="2" t="inlineStr">
        <is>
          <t>Knärot
Skogsknipprot
Vedticka</t>
        </is>
      </c>
      <c r="S45">
        <f>HYPERLINK("https://klasma.github.io/Logging_0382/artfynd/A 9715-2024 artfynd.xlsx", "A 9715-2024")</f>
        <v/>
      </c>
      <c r="T45">
        <f>HYPERLINK("https://klasma.github.io/Logging_0382/kartor/A 9715-2024 karta.png", "A 9715-2024")</f>
        <v/>
      </c>
      <c r="U45">
        <f>HYPERLINK("https://klasma.github.io/Logging_0382/knärot/A 9715-2024 karta knärot.png", "A 9715-2024")</f>
        <v/>
      </c>
      <c r="V45">
        <f>HYPERLINK("https://klasma.github.io/Logging_0382/klagomål/A 9715-2024 FSC-klagomål.docx", "A 9715-2024")</f>
        <v/>
      </c>
      <c r="W45">
        <f>HYPERLINK("https://klasma.github.io/Logging_0382/klagomålsmail/A 9715-2024 FSC-klagomål mail.docx", "A 9715-2024")</f>
        <v/>
      </c>
      <c r="X45">
        <f>HYPERLINK("https://klasma.github.io/Logging_0382/tillsyn/A 9715-2024 tillsynsbegäran.docx", "A 9715-2024")</f>
        <v/>
      </c>
      <c r="Y45">
        <f>HYPERLINK("https://klasma.github.io/Logging_0382/tillsynsmail/A 9715-2024 tillsynsbegäran mail.docx", "A 9715-2024")</f>
        <v/>
      </c>
    </row>
    <row r="46" ht="15" customHeight="1">
      <c r="A46" t="inlineStr">
        <is>
          <t>A 33035-2021</t>
        </is>
      </c>
      <c r="B46" s="1" t="n">
        <v>44376</v>
      </c>
      <c r="C46" s="1" t="n">
        <v>45933</v>
      </c>
      <c r="D46" t="inlineStr">
        <is>
          <t>UPPSALA LÄN</t>
        </is>
      </c>
      <c r="E46" t="inlineStr">
        <is>
          <t>ÖSTHAMMAR</t>
        </is>
      </c>
      <c r="G46" t="n">
        <v>4.3</v>
      </c>
      <c r="H46" t="n">
        <v>0</v>
      </c>
      <c r="I46" t="n">
        <v>0</v>
      </c>
      <c r="J46" t="n">
        <v>1</v>
      </c>
      <c r="K46" t="n">
        <v>2</v>
      </c>
      <c r="L46" t="n">
        <v>0</v>
      </c>
      <c r="M46" t="n">
        <v>0</v>
      </c>
      <c r="N46" t="n">
        <v>0</v>
      </c>
      <c r="O46" t="n">
        <v>3</v>
      </c>
      <c r="P46" t="n">
        <v>2</v>
      </c>
      <c r="Q46" t="n">
        <v>3</v>
      </c>
      <c r="R46" s="2" t="inlineStr">
        <is>
          <t>Granrotsspindling
Gyllenfingersvamp
Dofttaggsvamp</t>
        </is>
      </c>
      <c r="S46">
        <f>HYPERLINK("https://klasma.github.io/Logging_0382/artfynd/A 33035-2021 artfynd.xlsx", "A 33035-2021")</f>
        <v/>
      </c>
      <c r="T46">
        <f>HYPERLINK("https://klasma.github.io/Logging_0382/kartor/A 33035-2021 karta.png", "A 33035-2021")</f>
        <v/>
      </c>
      <c r="V46">
        <f>HYPERLINK("https://klasma.github.io/Logging_0382/klagomål/A 33035-2021 FSC-klagomål.docx", "A 33035-2021")</f>
        <v/>
      </c>
      <c r="W46">
        <f>HYPERLINK("https://klasma.github.io/Logging_0382/klagomålsmail/A 33035-2021 FSC-klagomål mail.docx", "A 33035-2021")</f>
        <v/>
      </c>
      <c r="X46">
        <f>HYPERLINK("https://klasma.github.io/Logging_0382/tillsyn/A 33035-2021 tillsynsbegäran.docx", "A 33035-2021")</f>
        <v/>
      </c>
      <c r="Y46">
        <f>HYPERLINK("https://klasma.github.io/Logging_0382/tillsynsmail/A 33035-2021 tillsynsbegäran mail.docx", "A 33035-2021")</f>
        <v/>
      </c>
    </row>
    <row r="47" ht="15" customHeight="1">
      <c r="A47" t="inlineStr">
        <is>
          <t>A 26557-2022</t>
        </is>
      </c>
      <c r="B47" s="1" t="n">
        <v>44739</v>
      </c>
      <c r="C47" s="1" t="n">
        <v>45933</v>
      </c>
      <c r="D47" t="inlineStr">
        <is>
          <t>UPPSALA LÄN</t>
        </is>
      </c>
      <c r="E47" t="inlineStr">
        <is>
          <t>ÖSTHAMMAR</t>
        </is>
      </c>
      <c r="F47" t="inlineStr">
        <is>
          <t>Övriga statliga verk och myndigheter</t>
        </is>
      </c>
      <c r="G47" t="n">
        <v>1.7</v>
      </c>
      <c r="H47" t="n">
        <v>3</v>
      </c>
      <c r="I47" t="n">
        <v>0</v>
      </c>
      <c r="J47" t="n">
        <v>3</v>
      </c>
      <c r="K47" t="n">
        <v>0</v>
      </c>
      <c r="L47" t="n">
        <v>0</v>
      </c>
      <c r="M47" t="n">
        <v>0</v>
      </c>
      <c r="N47" t="n">
        <v>0</v>
      </c>
      <c r="O47" t="n">
        <v>3</v>
      </c>
      <c r="P47" t="n">
        <v>0</v>
      </c>
      <c r="Q47" t="n">
        <v>3</v>
      </c>
      <c r="R47" s="2" t="inlineStr">
        <is>
          <t>Järpe
Mindre hackspett
Spillkråka</t>
        </is>
      </c>
      <c r="S47">
        <f>HYPERLINK("https://klasma.github.io/Logging_0382/artfynd/A 26557-2022 artfynd.xlsx", "A 26557-2022")</f>
        <v/>
      </c>
      <c r="T47">
        <f>HYPERLINK("https://klasma.github.io/Logging_0382/kartor/A 26557-2022 karta.png", "A 26557-2022")</f>
        <v/>
      </c>
      <c r="V47">
        <f>HYPERLINK("https://klasma.github.io/Logging_0382/klagomål/A 26557-2022 FSC-klagomål.docx", "A 26557-2022")</f>
        <v/>
      </c>
      <c r="W47">
        <f>HYPERLINK("https://klasma.github.io/Logging_0382/klagomålsmail/A 26557-2022 FSC-klagomål mail.docx", "A 26557-2022")</f>
        <v/>
      </c>
      <c r="X47">
        <f>HYPERLINK("https://klasma.github.io/Logging_0382/tillsyn/A 26557-2022 tillsynsbegäran.docx", "A 26557-2022")</f>
        <v/>
      </c>
      <c r="Y47">
        <f>HYPERLINK("https://klasma.github.io/Logging_0382/tillsynsmail/A 26557-2022 tillsynsbegäran mail.docx", "A 26557-2022")</f>
        <v/>
      </c>
      <c r="Z47">
        <f>HYPERLINK("https://klasma.github.io/Logging_0382/fåglar/A 26557-2022 prioriterade fågelarter.docx", "A 26557-2022")</f>
        <v/>
      </c>
    </row>
    <row r="48" ht="15" customHeight="1">
      <c r="A48" t="inlineStr">
        <is>
          <t>A 9683-2023</t>
        </is>
      </c>
      <c r="B48" s="1" t="n">
        <v>44984.43856481482</v>
      </c>
      <c r="C48" s="1" t="n">
        <v>45933</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25044-2025</t>
        </is>
      </c>
      <c r="B49" s="1" t="n">
        <v>45799.66607638889</v>
      </c>
      <c r="C49" s="1" t="n">
        <v>45933</v>
      </c>
      <c r="D49" t="inlineStr">
        <is>
          <t>UPPSALA LÄN</t>
        </is>
      </c>
      <c r="E49" t="inlineStr">
        <is>
          <t>ÖSTHAMMAR</t>
        </is>
      </c>
      <c r="F49" t="inlineStr">
        <is>
          <t>Bergvik skog öst AB</t>
        </is>
      </c>
      <c r="G49" t="n">
        <v>8.199999999999999</v>
      </c>
      <c r="H49" t="n">
        <v>2</v>
      </c>
      <c r="I49" t="n">
        <v>2</v>
      </c>
      <c r="J49" t="n">
        <v>0</v>
      </c>
      <c r="K49" t="n">
        <v>0</v>
      </c>
      <c r="L49" t="n">
        <v>0</v>
      </c>
      <c r="M49" t="n">
        <v>0</v>
      </c>
      <c r="N49" t="n">
        <v>0</v>
      </c>
      <c r="O49" t="n">
        <v>0</v>
      </c>
      <c r="P49" t="n">
        <v>0</v>
      </c>
      <c r="Q49" t="n">
        <v>3</v>
      </c>
      <c r="R49" s="2" t="inlineStr">
        <is>
          <t>Tvåblad
Vårärt
Blåsippa</t>
        </is>
      </c>
      <c r="S49">
        <f>HYPERLINK("https://klasma.github.io/Logging_0382/artfynd/A 25044-2025 artfynd.xlsx", "A 25044-2025")</f>
        <v/>
      </c>
      <c r="T49">
        <f>HYPERLINK("https://klasma.github.io/Logging_0382/kartor/A 25044-2025 karta.png", "A 25044-2025")</f>
        <v/>
      </c>
      <c r="V49">
        <f>HYPERLINK("https://klasma.github.io/Logging_0382/klagomål/A 25044-2025 FSC-klagomål.docx", "A 25044-2025")</f>
        <v/>
      </c>
      <c r="W49">
        <f>HYPERLINK("https://klasma.github.io/Logging_0382/klagomålsmail/A 25044-2025 FSC-klagomål mail.docx", "A 25044-2025")</f>
        <v/>
      </c>
      <c r="X49">
        <f>HYPERLINK("https://klasma.github.io/Logging_0382/tillsyn/A 25044-2025 tillsynsbegäran.docx", "A 25044-2025")</f>
        <v/>
      </c>
      <c r="Y49">
        <f>HYPERLINK("https://klasma.github.io/Logging_0382/tillsynsmail/A 25044-2025 tillsynsbegäran mail.docx", "A 25044-2025")</f>
        <v/>
      </c>
    </row>
    <row r="50" ht="15" customHeight="1">
      <c r="A50" t="inlineStr">
        <is>
          <t>A 17004-2024</t>
        </is>
      </c>
      <c r="B50" s="1" t="n">
        <v>45412</v>
      </c>
      <c r="C50" s="1" t="n">
        <v>45933</v>
      </c>
      <c r="D50" t="inlineStr">
        <is>
          <t>UPPSALA LÄN</t>
        </is>
      </c>
      <c r="E50" t="inlineStr">
        <is>
          <t>ÖSTHAMMAR</t>
        </is>
      </c>
      <c r="F50" t="inlineStr">
        <is>
          <t>Bergvik skog öst AB</t>
        </is>
      </c>
      <c r="G50" t="n">
        <v>24.4</v>
      </c>
      <c r="H50" t="n">
        <v>0</v>
      </c>
      <c r="I50" t="n">
        <v>2</v>
      </c>
      <c r="J50" t="n">
        <v>0</v>
      </c>
      <c r="K50" t="n">
        <v>0</v>
      </c>
      <c r="L50" t="n">
        <v>0</v>
      </c>
      <c r="M50" t="n">
        <v>1</v>
      </c>
      <c r="N50" t="n">
        <v>0</v>
      </c>
      <c r="O50" t="n">
        <v>1</v>
      </c>
      <c r="P50" t="n">
        <v>1</v>
      </c>
      <c r="Q50" t="n">
        <v>3</v>
      </c>
      <c r="R50" s="2" t="inlineStr">
        <is>
          <t>Skogsalm
Myskmadra
Underviol</t>
        </is>
      </c>
      <c r="S50">
        <f>HYPERLINK("https://klasma.github.io/Logging_0382/artfynd/A 17004-2024 artfynd.xlsx", "A 17004-2024")</f>
        <v/>
      </c>
      <c r="T50">
        <f>HYPERLINK("https://klasma.github.io/Logging_0382/kartor/A 17004-2024 karta.png", "A 17004-2024")</f>
        <v/>
      </c>
      <c r="V50">
        <f>HYPERLINK("https://klasma.github.io/Logging_0382/klagomål/A 17004-2024 FSC-klagomål.docx", "A 17004-2024")</f>
        <v/>
      </c>
      <c r="W50">
        <f>HYPERLINK("https://klasma.github.io/Logging_0382/klagomålsmail/A 17004-2024 FSC-klagomål mail.docx", "A 17004-2024")</f>
        <v/>
      </c>
      <c r="X50">
        <f>HYPERLINK("https://klasma.github.io/Logging_0382/tillsyn/A 17004-2024 tillsynsbegäran.docx", "A 17004-2024")</f>
        <v/>
      </c>
      <c r="Y50">
        <f>HYPERLINK("https://klasma.github.io/Logging_0382/tillsynsmail/A 17004-2024 tillsynsbegäran mail.docx", "A 17004-2024")</f>
        <v/>
      </c>
    </row>
    <row r="51" ht="15" customHeight="1">
      <c r="A51" t="inlineStr">
        <is>
          <t>A 60078-2021</t>
        </is>
      </c>
      <c r="B51" s="1" t="n">
        <v>44495</v>
      </c>
      <c r="C51" s="1" t="n">
        <v>45933</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45933</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45933</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2916-2025</t>
        </is>
      </c>
      <c r="B54" s="1" t="n">
        <v>45677</v>
      </c>
      <c r="C54" s="1" t="n">
        <v>45933</v>
      </c>
      <c r="D54" t="inlineStr">
        <is>
          <t>UPPSALA LÄN</t>
        </is>
      </c>
      <c r="E54" t="inlineStr">
        <is>
          <t>ÖSTHAMMAR</t>
        </is>
      </c>
      <c r="F54" t="inlineStr">
        <is>
          <t>Allmännings- och besparingsskogar</t>
        </is>
      </c>
      <c r="G54" t="n">
        <v>10.5</v>
      </c>
      <c r="H54" t="n">
        <v>2</v>
      </c>
      <c r="I54" t="n">
        <v>0</v>
      </c>
      <c r="J54" t="n">
        <v>0</v>
      </c>
      <c r="K54" t="n">
        <v>0</v>
      </c>
      <c r="L54" t="n">
        <v>0</v>
      </c>
      <c r="M54" t="n">
        <v>0</v>
      </c>
      <c r="N54" t="n">
        <v>0</v>
      </c>
      <c r="O54" t="n">
        <v>0</v>
      </c>
      <c r="P54" t="n">
        <v>0</v>
      </c>
      <c r="Q54" t="n">
        <v>2</v>
      </c>
      <c r="R54" s="2" t="inlineStr">
        <is>
          <t>Grönvit nattviol
Ängsnycklar × fläcknycklar</t>
        </is>
      </c>
      <c r="S54">
        <f>HYPERLINK("https://klasma.github.io/Logging_0382/artfynd/A 2916-2025 artfynd.xlsx", "A 2916-2025")</f>
        <v/>
      </c>
      <c r="T54">
        <f>HYPERLINK("https://klasma.github.io/Logging_0382/kartor/A 2916-2025 karta.png", "A 2916-2025")</f>
        <v/>
      </c>
      <c r="V54">
        <f>HYPERLINK("https://klasma.github.io/Logging_0382/klagomål/A 2916-2025 FSC-klagomål.docx", "A 2916-2025")</f>
        <v/>
      </c>
      <c r="W54">
        <f>HYPERLINK("https://klasma.github.io/Logging_0382/klagomålsmail/A 2916-2025 FSC-klagomål mail.docx", "A 2916-2025")</f>
        <v/>
      </c>
      <c r="X54">
        <f>HYPERLINK("https://klasma.github.io/Logging_0382/tillsyn/A 2916-2025 tillsynsbegäran.docx", "A 2916-2025")</f>
        <v/>
      </c>
      <c r="Y54">
        <f>HYPERLINK("https://klasma.github.io/Logging_0382/tillsynsmail/A 2916-2025 tillsynsbegäran mail.docx", "A 2916-2025")</f>
        <v/>
      </c>
    </row>
    <row r="55" ht="15" customHeight="1">
      <c r="A55" t="inlineStr">
        <is>
          <t>A 73981-2021</t>
        </is>
      </c>
      <c r="B55" s="1" t="n">
        <v>44555</v>
      </c>
      <c r="C55" s="1" t="n">
        <v>45933</v>
      </c>
      <c r="D55" t="inlineStr">
        <is>
          <t>UPPSALA LÄN</t>
        </is>
      </c>
      <c r="E55" t="inlineStr">
        <is>
          <t>ÖSTHAMMAR</t>
        </is>
      </c>
      <c r="G55" t="n">
        <v>2.4</v>
      </c>
      <c r="H55" t="n">
        <v>0</v>
      </c>
      <c r="I55" t="n">
        <v>1</v>
      </c>
      <c r="J55" t="n">
        <v>1</v>
      </c>
      <c r="K55" t="n">
        <v>0</v>
      </c>
      <c r="L55" t="n">
        <v>0</v>
      </c>
      <c r="M55" t="n">
        <v>0</v>
      </c>
      <c r="N55" t="n">
        <v>0</v>
      </c>
      <c r="O55" t="n">
        <v>1</v>
      </c>
      <c r="P55" t="n">
        <v>0</v>
      </c>
      <c r="Q55" t="n">
        <v>2</v>
      </c>
      <c r="R55" s="2" t="inlineStr">
        <is>
          <t>Skogsklocka
Vårärt</t>
        </is>
      </c>
      <c r="S55">
        <f>HYPERLINK("https://klasma.github.io/Logging_0382/artfynd/A 73981-2021 artfynd.xlsx", "A 73981-2021")</f>
        <v/>
      </c>
      <c r="T55">
        <f>HYPERLINK("https://klasma.github.io/Logging_0382/kartor/A 73981-2021 karta.png", "A 73981-2021")</f>
        <v/>
      </c>
      <c r="V55">
        <f>HYPERLINK("https://klasma.github.io/Logging_0382/klagomål/A 73981-2021 FSC-klagomål.docx", "A 73981-2021")</f>
        <v/>
      </c>
      <c r="W55">
        <f>HYPERLINK("https://klasma.github.io/Logging_0382/klagomålsmail/A 73981-2021 FSC-klagomål mail.docx", "A 73981-2021")</f>
        <v/>
      </c>
      <c r="X55">
        <f>HYPERLINK("https://klasma.github.io/Logging_0382/tillsyn/A 73981-2021 tillsynsbegäran.docx", "A 73981-2021")</f>
        <v/>
      </c>
      <c r="Y55">
        <f>HYPERLINK("https://klasma.github.io/Logging_0382/tillsynsmail/A 73981-2021 tillsynsbegäran mail.docx", "A 73981-2021")</f>
        <v/>
      </c>
    </row>
    <row r="56" ht="15" customHeight="1">
      <c r="A56" t="inlineStr">
        <is>
          <t>A 13287-2022</t>
        </is>
      </c>
      <c r="B56" s="1" t="n">
        <v>44644</v>
      </c>
      <c r="C56" s="1" t="n">
        <v>45933</v>
      </c>
      <c r="D56" t="inlineStr">
        <is>
          <t>UPPSALA LÄN</t>
        </is>
      </c>
      <c r="E56" t="inlineStr">
        <is>
          <t>ÖSTHAMMAR</t>
        </is>
      </c>
      <c r="G56" t="n">
        <v>14.6</v>
      </c>
      <c r="H56" t="n">
        <v>0</v>
      </c>
      <c r="I56" t="n">
        <v>1</v>
      </c>
      <c r="J56" t="n">
        <v>0</v>
      </c>
      <c r="K56" t="n">
        <v>1</v>
      </c>
      <c r="L56" t="n">
        <v>0</v>
      </c>
      <c r="M56" t="n">
        <v>0</v>
      </c>
      <c r="N56" t="n">
        <v>0</v>
      </c>
      <c r="O56" t="n">
        <v>1</v>
      </c>
      <c r="P56" t="n">
        <v>1</v>
      </c>
      <c r="Q56" t="n">
        <v>2</v>
      </c>
      <c r="R56" s="2" t="inlineStr">
        <is>
          <t>Bullspindling
Olivspindling</t>
        </is>
      </c>
      <c r="S56">
        <f>HYPERLINK("https://klasma.github.io/Logging_0382/artfynd/A 13287-2022 artfynd.xlsx", "A 13287-2022")</f>
        <v/>
      </c>
      <c r="T56">
        <f>HYPERLINK("https://klasma.github.io/Logging_0382/kartor/A 13287-2022 karta.png", "A 13287-2022")</f>
        <v/>
      </c>
      <c r="V56">
        <f>HYPERLINK("https://klasma.github.io/Logging_0382/klagomål/A 13287-2022 FSC-klagomål.docx", "A 13287-2022")</f>
        <v/>
      </c>
      <c r="W56">
        <f>HYPERLINK("https://klasma.github.io/Logging_0382/klagomålsmail/A 13287-2022 FSC-klagomål mail.docx", "A 13287-2022")</f>
        <v/>
      </c>
      <c r="X56">
        <f>HYPERLINK("https://klasma.github.io/Logging_0382/tillsyn/A 13287-2022 tillsynsbegäran.docx", "A 13287-2022")</f>
        <v/>
      </c>
      <c r="Y56">
        <f>HYPERLINK("https://klasma.github.io/Logging_0382/tillsynsmail/A 13287-2022 tillsynsbegäran mail.docx", "A 13287-2022")</f>
        <v/>
      </c>
    </row>
    <row r="57" ht="15" customHeight="1">
      <c r="A57" t="inlineStr">
        <is>
          <t>A 6223-2021</t>
        </is>
      </c>
      <c r="B57" s="1" t="n">
        <v>44235</v>
      </c>
      <c r="C57" s="1" t="n">
        <v>45933</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45933</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45933</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33269-2025</t>
        </is>
      </c>
      <c r="B60" s="1" t="n">
        <v>45840.68208333333</v>
      </c>
      <c r="C60" s="1" t="n">
        <v>45933</v>
      </c>
      <c r="D60" t="inlineStr">
        <is>
          <t>UPPSALA LÄN</t>
        </is>
      </c>
      <c r="E60" t="inlineStr">
        <is>
          <t>ÖSTHAMMAR</t>
        </is>
      </c>
      <c r="G60" t="n">
        <v>14.9</v>
      </c>
      <c r="H60" t="n">
        <v>0</v>
      </c>
      <c r="I60" t="n">
        <v>1</v>
      </c>
      <c r="J60" t="n">
        <v>0</v>
      </c>
      <c r="K60" t="n">
        <v>1</v>
      </c>
      <c r="L60" t="n">
        <v>0</v>
      </c>
      <c r="M60" t="n">
        <v>0</v>
      </c>
      <c r="N60" t="n">
        <v>0</v>
      </c>
      <c r="O60" t="n">
        <v>1</v>
      </c>
      <c r="P60" t="n">
        <v>1</v>
      </c>
      <c r="Q60" t="n">
        <v>2</v>
      </c>
      <c r="R60" s="2" t="inlineStr">
        <is>
          <t>Violgubbe
Kamjordstjärna</t>
        </is>
      </c>
      <c r="S60">
        <f>HYPERLINK("https://klasma.github.io/Logging_0382/artfynd/A 33269-2025 artfynd.xlsx", "A 33269-2025")</f>
        <v/>
      </c>
      <c r="T60">
        <f>HYPERLINK("https://klasma.github.io/Logging_0382/kartor/A 33269-2025 karta.png", "A 33269-2025")</f>
        <v/>
      </c>
      <c r="V60">
        <f>HYPERLINK("https://klasma.github.io/Logging_0382/klagomål/A 33269-2025 FSC-klagomål.docx", "A 33269-2025")</f>
        <v/>
      </c>
      <c r="W60">
        <f>HYPERLINK("https://klasma.github.io/Logging_0382/klagomålsmail/A 33269-2025 FSC-klagomål mail.docx", "A 33269-2025")</f>
        <v/>
      </c>
      <c r="X60">
        <f>HYPERLINK("https://klasma.github.io/Logging_0382/tillsyn/A 33269-2025 tillsynsbegäran.docx", "A 33269-2025")</f>
        <v/>
      </c>
      <c r="Y60">
        <f>HYPERLINK("https://klasma.github.io/Logging_0382/tillsynsmail/A 33269-2025 tillsynsbegäran mail.docx", "A 33269-2025")</f>
        <v/>
      </c>
    </row>
    <row r="61" ht="15" customHeight="1">
      <c r="A61" t="inlineStr">
        <is>
          <t>A 41303-2025</t>
        </is>
      </c>
      <c r="B61" s="1" t="n">
        <v>45898.69215277778</v>
      </c>
      <c r="C61" s="1" t="n">
        <v>45933</v>
      </c>
      <c r="D61" t="inlineStr">
        <is>
          <t>UPPSALA LÄN</t>
        </is>
      </c>
      <c r="E61" t="inlineStr">
        <is>
          <t>ÖSTHAMMAR</t>
        </is>
      </c>
      <c r="G61" t="n">
        <v>10.1</v>
      </c>
      <c r="H61" t="n">
        <v>1</v>
      </c>
      <c r="I61" t="n">
        <v>1</v>
      </c>
      <c r="J61" t="n">
        <v>0</v>
      </c>
      <c r="K61" t="n">
        <v>0</v>
      </c>
      <c r="L61" t="n">
        <v>0</v>
      </c>
      <c r="M61" t="n">
        <v>0</v>
      </c>
      <c r="N61" t="n">
        <v>0</v>
      </c>
      <c r="O61" t="n">
        <v>0</v>
      </c>
      <c r="P61" t="n">
        <v>0</v>
      </c>
      <c r="Q61" t="n">
        <v>2</v>
      </c>
      <c r="R61" s="2" t="inlineStr">
        <is>
          <t>Svavelriska
Revlummer</t>
        </is>
      </c>
      <c r="S61">
        <f>HYPERLINK("https://klasma.github.io/Logging_0382/artfynd/A 41303-2025 artfynd.xlsx", "A 41303-2025")</f>
        <v/>
      </c>
      <c r="T61">
        <f>HYPERLINK("https://klasma.github.io/Logging_0382/kartor/A 41303-2025 karta.png", "A 41303-2025")</f>
        <v/>
      </c>
      <c r="V61">
        <f>HYPERLINK("https://klasma.github.io/Logging_0382/klagomål/A 41303-2025 FSC-klagomål.docx", "A 41303-2025")</f>
        <v/>
      </c>
      <c r="W61">
        <f>HYPERLINK("https://klasma.github.io/Logging_0382/klagomålsmail/A 41303-2025 FSC-klagomål mail.docx", "A 41303-2025")</f>
        <v/>
      </c>
      <c r="X61">
        <f>HYPERLINK("https://klasma.github.io/Logging_0382/tillsyn/A 41303-2025 tillsynsbegäran.docx", "A 41303-2025")</f>
        <v/>
      </c>
      <c r="Y61">
        <f>HYPERLINK("https://klasma.github.io/Logging_0382/tillsynsmail/A 41303-2025 tillsynsbegäran mail.docx", "A 41303-2025")</f>
        <v/>
      </c>
    </row>
    <row r="62" ht="15" customHeight="1">
      <c r="A62" t="inlineStr">
        <is>
          <t>A 25098-2022</t>
        </is>
      </c>
      <c r="B62" s="1" t="n">
        <v>44729.44149305556</v>
      </c>
      <c r="C62" s="1" t="n">
        <v>45933</v>
      </c>
      <c r="D62" t="inlineStr">
        <is>
          <t>UPPSALA LÄN</t>
        </is>
      </c>
      <c r="E62" t="inlineStr">
        <is>
          <t>ÖSTHAMMAR</t>
        </is>
      </c>
      <c r="G62" t="n">
        <v>2.9</v>
      </c>
      <c r="H62" t="n">
        <v>2</v>
      </c>
      <c r="I62" t="n">
        <v>0</v>
      </c>
      <c r="J62" t="n">
        <v>0</v>
      </c>
      <c r="K62" t="n">
        <v>0</v>
      </c>
      <c r="L62" t="n">
        <v>0</v>
      </c>
      <c r="M62" t="n">
        <v>0</v>
      </c>
      <c r="N62" t="n">
        <v>0</v>
      </c>
      <c r="O62" t="n">
        <v>0</v>
      </c>
      <c r="P62" t="n">
        <v>0</v>
      </c>
      <c r="Q62" t="n">
        <v>2</v>
      </c>
      <c r="R62" s="2" t="inlineStr">
        <is>
          <t>Blåsippa
Gullviva</t>
        </is>
      </c>
      <c r="S62">
        <f>HYPERLINK("https://klasma.github.io/Logging_0382/artfynd/A 25098-2022 artfynd.xlsx", "A 25098-2022")</f>
        <v/>
      </c>
      <c r="T62">
        <f>HYPERLINK("https://klasma.github.io/Logging_0382/kartor/A 25098-2022 karta.png", "A 25098-2022")</f>
        <v/>
      </c>
      <c r="V62">
        <f>HYPERLINK("https://klasma.github.io/Logging_0382/klagomål/A 25098-2022 FSC-klagomål.docx", "A 25098-2022")</f>
        <v/>
      </c>
      <c r="W62">
        <f>HYPERLINK("https://klasma.github.io/Logging_0382/klagomålsmail/A 25098-2022 FSC-klagomål mail.docx", "A 25098-2022")</f>
        <v/>
      </c>
      <c r="X62">
        <f>HYPERLINK("https://klasma.github.io/Logging_0382/tillsyn/A 25098-2022 tillsynsbegäran.docx", "A 25098-2022")</f>
        <v/>
      </c>
      <c r="Y62">
        <f>HYPERLINK("https://klasma.github.io/Logging_0382/tillsynsmail/A 25098-2022 tillsynsbegäran mail.docx", "A 25098-2022")</f>
        <v/>
      </c>
    </row>
    <row r="63" ht="15" customHeight="1">
      <c r="A63" t="inlineStr">
        <is>
          <t>A 26277-2024</t>
        </is>
      </c>
      <c r="B63" s="1" t="n">
        <v>45468</v>
      </c>
      <c r="C63" s="1" t="n">
        <v>45933</v>
      </c>
      <c r="D63" t="inlineStr">
        <is>
          <t>UPPSALA LÄN</t>
        </is>
      </c>
      <c r="E63" t="inlineStr">
        <is>
          <t>ÖSTHAMMAR</t>
        </is>
      </c>
      <c r="G63" t="n">
        <v>3.5</v>
      </c>
      <c r="H63" t="n">
        <v>1</v>
      </c>
      <c r="I63" t="n">
        <v>2</v>
      </c>
      <c r="J63" t="n">
        <v>0</v>
      </c>
      <c r="K63" t="n">
        <v>0</v>
      </c>
      <c r="L63" t="n">
        <v>0</v>
      </c>
      <c r="M63" t="n">
        <v>0</v>
      </c>
      <c r="N63" t="n">
        <v>0</v>
      </c>
      <c r="O63" t="n">
        <v>0</v>
      </c>
      <c r="P63" t="n">
        <v>0</v>
      </c>
      <c r="Q63" t="n">
        <v>2</v>
      </c>
      <c r="R63" s="2" t="inlineStr">
        <is>
          <t>Nästrot
Sårläka</t>
        </is>
      </c>
      <c r="S63">
        <f>HYPERLINK("https://klasma.github.io/Logging_0382/artfynd/A 26277-2024 artfynd.xlsx", "A 26277-2024")</f>
        <v/>
      </c>
      <c r="T63">
        <f>HYPERLINK("https://klasma.github.io/Logging_0382/kartor/A 26277-2024 karta.png", "A 26277-2024")</f>
        <v/>
      </c>
      <c r="V63">
        <f>HYPERLINK("https://klasma.github.io/Logging_0382/klagomål/A 26277-2024 FSC-klagomål.docx", "A 26277-2024")</f>
        <v/>
      </c>
      <c r="W63">
        <f>HYPERLINK("https://klasma.github.io/Logging_0382/klagomålsmail/A 26277-2024 FSC-klagomål mail.docx", "A 26277-2024")</f>
        <v/>
      </c>
      <c r="X63">
        <f>HYPERLINK("https://klasma.github.io/Logging_0382/tillsyn/A 26277-2024 tillsynsbegäran.docx", "A 26277-2024")</f>
        <v/>
      </c>
      <c r="Y63">
        <f>HYPERLINK("https://klasma.github.io/Logging_0382/tillsynsmail/A 26277-2024 tillsynsbegäran mail.docx", "A 26277-2024")</f>
        <v/>
      </c>
    </row>
    <row r="64" ht="15" customHeight="1">
      <c r="A64" t="inlineStr">
        <is>
          <t>A 37768-2025</t>
        </is>
      </c>
      <c r="B64" s="1" t="n">
        <v>45880</v>
      </c>
      <c r="C64" s="1" t="n">
        <v>45933</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9646-2024</t>
        </is>
      </c>
      <c r="B65" s="1" t="n">
        <v>45362.37055555556</v>
      </c>
      <c r="C65" s="1" t="n">
        <v>45933</v>
      </c>
      <c r="D65" t="inlineStr">
        <is>
          <t>UPPSALA LÄN</t>
        </is>
      </c>
      <c r="E65" t="inlineStr">
        <is>
          <t>ÖSTHAMMAR</t>
        </is>
      </c>
      <c r="G65" t="n">
        <v>1.6</v>
      </c>
      <c r="H65" t="n">
        <v>0</v>
      </c>
      <c r="I65" t="n">
        <v>0</v>
      </c>
      <c r="J65" t="n">
        <v>1</v>
      </c>
      <c r="K65" t="n">
        <v>1</v>
      </c>
      <c r="L65" t="n">
        <v>0</v>
      </c>
      <c r="M65" t="n">
        <v>0</v>
      </c>
      <c r="N65" t="n">
        <v>0</v>
      </c>
      <c r="O65" t="n">
        <v>2</v>
      </c>
      <c r="P65" t="n">
        <v>1</v>
      </c>
      <c r="Q65" t="n">
        <v>2</v>
      </c>
      <c r="R65" s="2" t="inlineStr">
        <is>
          <t>Violgubbe
Gultoppig fingersvamp</t>
        </is>
      </c>
      <c r="S65">
        <f>HYPERLINK("https://klasma.github.io/Logging_0382/artfynd/A 9646-2024 artfynd.xlsx", "A 9646-2024")</f>
        <v/>
      </c>
      <c r="T65">
        <f>HYPERLINK("https://klasma.github.io/Logging_0382/kartor/A 9646-2024 karta.png", "A 9646-2024")</f>
        <v/>
      </c>
      <c r="V65">
        <f>HYPERLINK("https://klasma.github.io/Logging_0382/klagomål/A 9646-2024 FSC-klagomål.docx", "A 9646-2024")</f>
        <v/>
      </c>
      <c r="W65">
        <f>HYPERLINK("https://klasma.github.io/Logging_0382/klagomålsmail/A 9646-2024 FSC-klagomål mail.docx", "A 9646-2024")</f>
        <v/>
      </c>
      <c r="X65">
        <f>HYPERLINK("https://klasma.github.io/Logging_0382/tillsyn/A 9646-2024 tillsynsbegäran.docx", "A 9646-2024")</f>
        <v/>
      </c>
      <c r="Y65">
        <f>HYPERLINK("https://klasma.github.io/Logging_0382/tillsynsmail/A 9646-2024 tillsynsbegäran mail.docx", "A 9646-2024")</f>
        <v/>
      </c>
    </row>
    <row r="66" ht="15" customHeight="1">
      <c r="A66" t="inlineStr">
        <is>
          <t>A 67855-2021</t>
        </is>
      </c>
      <c r="B66" s="1" t="n">
        <v>44525</v>
      </c>
      <c r="C66" s="1" t="n">
        <v>45933</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45933</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20553-2025</t>
        </is>
      </c>
      <c r="B68" s="1" t="n">
        <v>45775.63983796296</v>
      </c>
      <c r="C68" s="1" t="n">
        <v>45933</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45933</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45933</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61536-2021</t>
        </is>
      </c>
      <c r="B71" s="1" t="n">
        <v>44501</v>
      </c>
      <c r="C71" s="1" t="n">
        <v>45933</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45933</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49871-2021</t>
        </is>
      </c>
      <c r="B73" s="1" t="n">
        <v>44455</v>
      </c>
      <c r="C73" s="1" t="n">
        <v>45933</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37296-2023</t>
        </is>
      </c>
      <c r="B74" s="1" t="n">
        <v>45156</v>
      </c>
      <c r="C74" s="1" t="n">
        <v>45933</v>
      </c>
      <c r="D74" t="inlineStr">
        <is>
          <t>UPPSALA LÄN</t>
        </is>
      </c>
      <c r="E74" t="inlineStr">
        <is>
          <t>ÖSTHAMMAR</t>
        </is>
      </c>
      <c r="G74" t="n">
        <v>4.7</v>
      </c>
      <c r="H74" t="n">
        <v>1</v>
      </c>
      <c r="I74" t="n">
        <v>0</v>
      </c>
      <c r="J74" t="n">
        <v>0</v>
      </c>
      <c r="K74" t="n">
        <v>1</v>
      </c>
      <c r="L74" t="n">
        <v>0</v>
      </c>
      <c r="M74" t="n">
        <v>0</v>
      </c>
      <c r="N74" t="n">
        <v>0</v>
      </c>
      <c r="O74" t="n">
        <v>1</v>
      </c>
      <c r="P74" t="n">
        <v>1</v>
      </c>
      <c r="Q74" t="n">
        <v>1</v>
      </c>
      <c r="R74" s="2" t="inlineStr">
        <is>
          <t>Backsippa</t>
        </is>
      </c>
      <c r="S74">
        <f>HYPERLINK("https://klasma.github.io/Logging_0382/artfynd/A 37296-2023 artfynd.xlsx", "A 37296-2023")</f>
        <v/>
      </c>
      <c r="T74">
        <f>HYPERLINK("https://klasma.github.io/Logging_0382/kartor/A 37296-2023 karta.png", "A 37296-2023")</f>
        <v/>
      </c>
      <c r="V74">
        <f>HYPERLINK("https://klasma.github.io/Logging_0382/klagomål/A 37296-2023 FSC-klagomål.docx", "A 37296-2023")</f>
        <v/>
      </c>
      <c r="W74">
        <f>HYPERLINK("https://klasma.github.io/Logging_0382/klagomålsmail/A 37296-2023 FSC-klagomål mail.docx", "A 37296-2023")</f>
        <v/>
      </c>
      <c r="X74">
        <f>HYPERLINK("https://klasma.github.io/Logging_0382/tillsyn/A 37296-2023 tillsynsbegäran.docx", "A 37296-2023")</f>
        <v/>
      </c>
      <c r="Y74">
        <f>HYPERLINK("https://klasma.github.io/Logging_0382/tillsynsmail/A 37296-2023 tillsynsbegäran mail.docx", "A 37296-2023")</f>
        <v/>
      </c>
    </row>
    <row r="75" ht="15" customHeight="1">
      <c r="A75" t="inlineStr">
        <is>
          <t>A 65989-2021</t>
        </is>
      </c>
      <c r="B75" s="1" t="n">
        <v>44517</v>
      </c>
      <c r="C75" s="1" t="n">
        <v>45933</v>
      </c>
      <c r="D75" t="inlineStr">
        <is>
          <t>UPPSALA LÄN</t>
        </is>
      </c>
      <c r="E75" t="inlineStr">
        <is>
          <t>ÖSTHAMMAR</t>
        </is>
      </c>
      <c r="G75" t="n">
        <v>6.9</v>
      </c>
      <c r="H75" t="n">
        <v>1</v>
      </c>
      <c r="I75" t="n">
        <v>1</v>
      </c>
      <c r="J75" t="n">
        <v>0</v>
      </c>
      <c r="K75" t="n">
        <v>0</v>
      </c>
      <c r="L75" t="n">
        <v>0</v>
      </c>
      <c r="M75" t="n">
        <v>0</v>
      </c>
      <c r="N75" t="n">
        <v>0</v>
      </c>
      <c r="O75" t="n">
        <v>0</v>
      </c>
      <c r="P75" t="n">
        <v>0</v>
      </c>
      <c r="Q75" t="n">
        <v>1</v>
      </c>
      <c r="R75" s="2" t="inlineStr">
        <is>
          <t>Skogsknipprot</t>
        </is>
      </c>
      <c r="S75">
        <f>HYPERLINK("https://klasma.github.io/Logging_0382/artfynd/A 65989-2021 artfynd.xlsx", "A 65989-2021")</f>
        <v/>
      </c>
      <c r="T75">
        <f>HYPERLINK("https://klasma.github.io/Logging_0382/kartor/A 65989-2021 karta.png", "A 65989-2021")</f>
        <v/>
      </c>
      <c r="V75">
        <f>HYPERLINK("https://klasma.github.io/Logging_0382/klagomål/A 65989-2021 FSC-klagomål.docx", "A 65989-2021")</f>
        <v/>
      </c>
      <c r="W75">
        <f>HYPERLINK("https://klasma.github.io/Logging_0382/klagomålsmail/A 65989-2021 FSC-klagomål mail.docx", "A 65989-2021")</f>
        <v/>
      </c>
      <c r="X75">
        <f>HYPERLINK("https://klasma.github.io/Logging_0382/tillsyn/A 65989-2021 tillsynsbegäran.docx", "A 65989-2021")</f>
        <v/>
      </c>
      <c r="Y75">
        <f>HYPERLINK("https://klasma.github.io/Logging_0382/tillsynsmail/A 65989-2021 tillsynsbegäran mail.docx", "A 65989-2021")</f>
        <v/>
      </c>
    </row>
    <row r="76" ht="15" customHeight="1">
      <c r="A76" t="inlineStr">
        <is>
          <t>A 7446-2022</t>
        </is>
      </c>
      <c r="B76" s="1" t="n">
        <v>44606</v>
      </c>
      <c r="C76" s="1" t="n">
        <v>45933</v>
      </c>
      <c r="D76" t="inlineStr">
        <is>
          <t>UPPSALA LÄN</t>
        </is>
      </c>
      <c r="E76" t="inlineStr">
        <is>
          <t>ÖSTHAMMAR</t>
        </is>
      </c>
      <c r="G76" t="n">
        <v>5</v>
      </c>
      <c r="H76" t="n">
        <v>1</v>
      </c>
      <c r="I76" t="n">
        <v>0</v>
      </c>
      <c r="J76" t="n">
        <v>0</v>
      </c>
      <c r="K76" t="n">
        <v>0</v>
      </c>
      <c r="L76" t="n">
        <v>0</v>
      </c>
      <c r="M76" t="n">
        <v>0</v>
      </c>
      <c r="N76" t="n">
        <v>0</v>
      </c>
      <c r="O76" t="n">
        <v>0</v>
      </c>
      <c r="P76" t="n">
        <v>0</v>
      </c>
      <c r="Q76" t="n">
        <v>1</v>
      </c>
      <c r="R76" s="2" t="inlineStr">
        <is>
          <t>Mattlummer</t>
        </is>
      </c>
      <c r="S76">
        <f>HYPERLINK("https://klasma.github.io/Logging_0382/artfynd/A 7446-2022 artfynd.xlsx", "A 7446-2022")</f>
        <v/>
      </c>
      <c r="T76">
        <f>HYPERLINK("https://klasma.github.io/Logging_0382/kartor/A 7446-2022 karta.png", "A 7446-2022")</f>
        <v/>
      </c>
      <c r="V76">
        <f>HYPERLINK("https://klasma.github.io/Logging_0382/klagomål/A 7446-2022 FSC-klagomål.docx", "A 7446-2022")</f>
        <v/>
      </c>
      <c r="W76">
        <f>HYPERLINK("https://klasma.github.io/Logging_0382/klagomålsmail/A 7446-2022 FSC-klagomål mail.docx", "A 7446-2022")</f>
        <v/>
      </c>
      <c r="X76">
        <f>HYPERLINK("https://klasma.github.io/Logging_0382/tillsyn/A 7446-2022 tillsynsbegäran.docx", "A 7446-2022")</f>
        <v/>
      </c>
      <c r="Y76">
        <f>HYPERLINK("https://klasma.github.io/Logging_0382/tillsynsmail/A 7446-2022 tillsynsbegäran mail.docx", "A 7446-2022")</f>
        <v/>
      </c>
    </row>
    <row r="77" ht="15" customHeight="1">
      <c r="A77" t="inlineStr">
        <is>
          <t>A 52818-2022</t>
        </is>
      </c>
      <c r="B77" s="1" t="n">
        <v>44875</v>
      </c>
      <c r="C77" s="1" t="n">
        <v>45933</v>
      </c>
      <c r="D77" t="inlineStr">
        <is>
          <t>UPPSALA LÄN</t>
        </is>
      </c>
      <c r="E77" t="inlineStr">
        <is>
          <t>ÖSTHAMMAR</t>
        </is>
      </c>
      <c r="G77" t="n">
        <v>0.9</v>
      </c>
      <c r="H77" t="n">
        <v>1</v>
      </c>
      <c r="I77" t="n">
        <v>1</v>
      </c>
      <c r="J77" t="n">
        <v>0</v>
      </c>
      <c r="K77" t="n">
        <v>0</v>
      </c>
      <c r="L77" t="n">
        <v>0</v>
      </c>
      <c r="M77" t="n">
        <v>0</v>
      </c>
      <c r="N77" t="n">
        <v>0</v>
      </c>
      <c r="O77" t="n">
        <v>0</v>
      </c>
      <c r="P77" t="n">
        <v>0</v>
      </c>
      <c r="Q77" t="n">
        <v>1</v>
      </c>
      <c r="R77" s="2" t="inlineStr">
        <is>
          <t>Guckusko</t>
        </is>
      </c>
      <c r="S77">
        <f>HYPERLINK("https://klasma.github.io/Logging_0382/artfynd/A 52818-2022 artfynd.xlsx", "A 52818-2022")</f>
        <v/>
      </c>
      <c r="T77">
        <f>HYPERLINK("https://klasma.github.io/Logging_0382/kartor/A 52818-2022 karta.png", "A 52818-2022")</f>
        <v/>
      </c>
      <c r="V77">
        <f>HYPERLINK("https://klasma.github.io/Logging_0382/klagomål/A 52818-2022 FSC-klagomål.docx", "A 52818-2022")</f>
        <v/>
      </c>
      <c r="W77">
        <f>HYPERLINK("https://klasma.github.io/Logging_0382/klagomålsmail/A 52818-2022 FSC-klagomål mail.docx", "A 52818-2022")</f>
        <v/>
      </c>
      <c r="X77">
        <f>HYPERLINK("https://klasma.github.io/Logging_0382/tillsyn/A 52818-2022 tillsynsbegäran.docx", "A 52818-2022")</f>
        <v/>
      </c>
      <c r="Y77">
        <f>HYPERLINK("https://klasma.github.io/Logging_0382/tillsynsmail/A 52818-2022 tillsynsbegäran mail.docx", "A 52818-2022")</f>
        <v/>
      </c>
    </row>
    <row r="78" ht="15" customHeight="1">
      <c r="A78" t="inlineStr">
        <is>
          <t>A 70495-2021</t>
        </is>
      </c>
      <c r="B78" s="1" t="n">
        <v>44536</v>
      </c>
      <c r="C78" s="1" t="n">
        <v>45933</v>
      </c>
      <c r="D78" t="inlineStr">
        <is>
          <t>UPPSALA LÄN</t>
        </is>
      </c>
      <c r="E78" t="inlineStr">
        <is>
          <t>ÖSTHAMMAR</t>
        </is>
      </c>
      <c r="G78" t="n">
        <v>1</v>
      </c>
      <c r="H78" t="n">
        <v>1</v>
      </c>
      <c r="I78" t="n">
        <v>0</v>
      </c>
      <c r="J78" t="n">
        <v>1</v>
      </c>
      <c r="K78" t="n">
        <v>0</v>
      </c>
      <c r="L78" t="n">
        <v>0</v>
      </c>
      <c r="M78" t="n">
        <v>0</v>
      </c>
      <c r="N78" t="n">
        <v>0</v>
      </c>
      <c r="O78" t="n">
        <v>1</v>
      </c>
      <c r="P78" t="n">
        <v>0</v>
      </c>
      <c r="Q78" t="n">
        <v>1</v>
      </c>
      <c r="R78" s="2" t="inlineStr">
        <is>
          <t>Slaguggla</t>
        </is>
      </c>
      <c r="S78">
        <f>HYPERLINK("https://klasma.github.io/Logging_0382/artfynd/A 70495-2021 artfynd.xlsx", "A 70495-2021")</f>
        <v/>
      </c>
      <c r="T78">
        <f>HYPERLINK("https://klasma.github.io/Logging_0382/kartor/A 70495-2021 karta.png", "A 70495-2021")</f>
        <v/>
      </c>
      <c r="V78">
        <f>HYPERLINK("https://klasma.github.io/Logging_0382/klagomål/A 70495-2021 FSC-klagomål.docx", "A 70495-2021")</f>
        <v/>
      </c>
      <c r="W78">
        <f>HYPERLINK("https://klasma.github.io/Logging_0382/klagomålsmail/A 70495-2021 FSC-klagomål mail.docx", "A 70495-2021")</f>
        <v/>
      </c>
      <c r="X78">
        <f>HYPERLINK("https://klasma.github.io/Logging_0382/tillsyn/A 70495-2021 tillsynsbegäran.docx", "A 70495-2021")</f>
        <v/>
      </c>
      <c r="Y78">
        <f>HYPERLINK("https://klasma.github.io/Logging_0382/tillsynsmail/A 70495-2021 tillsynsbegäran mail.docx", "A 70495-2021")</f>
        <v/>
      </c>
      <c r="Z78">
        <f>HYPERLINK("https://klasma.github.io/Logging_0382/fåglar/A 70495-2021 prioriterade fågelarter.docx", "A 70495-2021")</f>
        <v/>
      </c>
    </row>
    <row r="79" ht="15" customHeight="1">
      <c r="A79" t="inlineStr">
        <is>
          <t>A 1227-2022</t>
        </is>
      </c>
      <c r="B79" s="1" t="n">
        <v>44572.57641203704</v>
      </c>
      <c r="C79" s="1" t="n">
        <v>45933</v>
      </c>
      <c r="D79" t="inlineStr">
        <is>
          <t>UPPSALA LÄN</t>
        </is>
      </c>
      <c r="E79" t="inlineStr">
        <is>
          <t>ÖSTHAMMAR</t>
        </is>
      </c>
      <c r="G79" t="n">
        <v>1.7</v>
      </c>
      <c r="H79" t="n">
        <v>0</v>
      </c>
      <c r="I79" t="n">
        <v>1</v>
      </c>
      <c r="J79" t="n">
        <v>0</v>
      </c>
      <c r="K79" t="n">
        <v>0</v>
      </c>
      <c r="L79" t="n">
        <v>0</v>
      </c>
      <c r="M79" t="n">
        <v>0</v>
      </c>
      <c r="N79" t="n">
        <v>0</v>
      </c>
      <c r="O79" t="n">
        <v>0</v>
      </c>
      <c r="P79" t="n">
        <v>0</v>
      </c>
      <c r="Q79" t="n">
        <v>1</v>
      </c>
      <c r="R79" s="2" t="inlineStr">
        <is>
          <t>Guldkremla</t>
        </is>
      </c>
      <c r="S79">
        <f>HYPERLINK("https://klasma.github.io/Logging_0382/artfynd/A 1227-2022 artfynd.xlsx", "A 1227-2022")</f>
        <v/>
      </c>
      <c r="T79">
        <f>HYPERLINK("https://klasma.github.io/Logging_0382/kartor/A 1227-2022 karta.png", "A 1227-2022")</f>
        <v/>
      </c>
      <c r="V79">
        <f>HYPERLINK("https://klasma.github.io/Logging_0382/klagomål/A 1227-2022 FSC-klagomål.docx", "A 1227-2022")</f>
        <v/>
      </c>
      <c r="W79">
        <f>HYPERLINK("https://klasma.github.io/Logging_0382/klagomålsmail/A 1227-2022 FSC-klagomål mail.docx", "A 1227-2022")</f>
        <v/>
      </c>
      <c r="X79">
        <f>HYPERLINK("https://klasma.github.io/Logging_0382/tillsyn/A 1227-2022 tillsynsbegäran.docx", "A 1227-2022")</f>
        <v/>
      </c>
      <c r="Y79">
        <f>HYPERLINK("https://klasma.github.io/Logging_0382/tillsynsmail/A 1227-2022 tillsynsbegäran mail.docx", "A 1227-2022")</f>
        <v/>
      </c>
    </row>
    <row r="80" ht="15" customHeight="1">
      <c r="A80" t="inlineStr">
        <is>
          <t>A 30605-2025</t>
        </is>
      </c>
      <c r="B80" s="1" t="n">
        <v>45831.45510416666</v>
      </c>
      <c r="C80" s="1" t="n">
        <v>45933</v>
      </c>
      <c r="D80" t="inlineStr">
        <is>
          <t>UPPSALA LÄN</t>
        </is>
      </c>
      <c r="E80" t="inlineStr">
        <is>
          <t>ÖSTHAMMAR</t>
        </is>
      </c>
      <c r="G80" t="n">
        <v>1.7</v>
      </c>
      <c r="H80" t="n">
        <v>0</v>
      </c>
      <c r="I80" t="n">
        <v>0</v>
      </c>
      <c r="J80" t="n">
        <v>0</v>
      </c>
      <c r="K80" t="n">
        <v>1</v>
      </c>
      <c r="L80" t="n">
        <v>0</v>
      </c>
      <c r="M80" t="n">
        <v>0</v>
      </c>
      <c r="N80" t="n">
        <v>0</v>
      </c>
      <c r="O80" t="n">
        <v>1</v>
      </c>
      <c r="P80" t="n">
        <v>1</v>
      </c>
      <c r="Q80" t="n">
        <v>1</v>
      </c>
      <c r="R80" s="2" t="inlineStr">
        <is>
          <t>Plattsäv</t>
        </is>
      </c>
      <c r="S80">
        <f>HYPERLINK("https://klasma.github.io/Logging_0382/artfynd/A 30605-2025 artfynd.xlsx", "A 30605-2025")</f>
        <v/>
      </c>
      <c r="T80">
        <f>HYPERLINK("https://klasma.github.io/Logging_0382/kartor/A 30605-2025 karta.png", "A 30605-2025")</f>
        <v/>
      </c>
      <c r="V80">
        <f>HYPERLINK("https://klasma.github.io/Logging_0382/klagomål/A 30605-2025 FSC-klagomål.docx", "A 30605-2025")</f>
        <v/>
      </c>
      <c r="W80">
        <f>HYPERLINK("https://klasma.github.io/Logging_0382/klagomålsmail/A 30605-2025 FSC-klagomål mail.docx", "A 30605-2025")</f>
        <v/>
      </c>
      <c r="X80">
        <f>HYPERLINK("https://klasma.github.io/Logging_0382/tillsyn/A 30605-2025 tillsynsbegäran.docx", "A 30605-2025")</f>
        <v/>
      </c>
      <c r="Y80">
        <f>HYPERLINK("https://klasma.github.io/Logging_0382/tillsynsmail/A 30605-2025 tillsynsbegäran mail.docx", "A 30605-2025")</f>
        <v/>
      </c>
    </row>
    <row r="81" ht="15" customHeight="1">
      <c r="A81" t="inlineStr">
        <is>
          <t>A 61479-2020</t>
        </is>
      </c>
      <c r="B81" s="1" t="n">
        <v>44154</v>
      </c>
      <c r="C81" s="1" t="n">
        <v>45933</v>
      </c>
      <c r="D81" t="inlineStr">
        <is>
          <t>UPPSALA LÄN</t>
        </is>
      </c>
      <c r="E81" t="inlineStr">
        <is>
          <t>ÖSTHAMMAR</t>
        </is>
      </c>
      <c r="G81" t="n">
        <v>2.5</v>
      </c>
      <c r="H81" t="n">
        <v>0</v>
      </c>
      <c r="I81" t="n">
        <v>1</v>
      </c>
      <c r="J81" t="n">
        <v>0</v>
      </c>
      <c r="K81" t="n">
        <v>0</v>
      </c>
      <c r="L81" t="n">
        <v>0</v>
      </c>
      <c r="M81" t="n">
        <v>0</v>
      </c>
      <c r="N81" t="n">
        <v>0</v>
      </c>
      <c r="O81" t="n">
        <v>0</v>
      </c>
      <c r="P81" t="n">
        <v>0</v>
      </c>
      <c r="Q81" t="n">
        <v>1</v>
      </c>
      <c r="R81" s="2" t="inlineStr">
        <is>
          <t>Olivspindling</t>
        </is>
      </c>
      <c r="S81">
        <f>HYPERLINK("https://klasma.github.io/Logging_0382/artfynd/A 61479-2020 artfynd.xlsx", "A 61479-2020")</f>
        <v/>
      </c>
      <c r="T81">
        <f>HYPERLINK("https://klasma.github.io/Logging_0382/kartor/A 61479-2020 karta.png", "A 61479-2020")</f>
        <v/>
      </c>
      <c r="V81">
        <f>HYPERLINK("https://klasma.github.io/Logging_0382/klagomål/A 61479-2020 FSC-klagomål.docx", "A 61479-2020")</f>
        <v/>
      </c>
      <c r="W81">
        <f>HYPERLINK("https://klasma.github.io/Logging_0382/klagomålsmail/A 61479-2020 FSC-klagomål mail.docx", "A 61479-2020")</f>
        <v/>
      </c>
      <c r="X81">
        <f>HYPERLINK("https://klasma.github.io/Logging_0382/tillsyn/A 61479-2020 tillsynsbegäran.docx", "A 61479-2020")</f>
        <v/>
      </c>
      <c r="Y81">
        <f>HYPERLINK("https://klasma.github.io/Logging_0382/tillsynsmail/A 61479-2020 tillsynsbegäran mail.docx", "A 61479-2020")</f>
        <v/>
      </c>
    </row>
    <row r="82" ht="15" customHeight="1">
      <c r="A82" t="inlineStr">
        <is>
          <t>A 29564-2023</t>
        </is>
      </c>
      <c r="B82" s="1" t="n">
        <v>45106</v>
      </c>
      <c r="C82" s="1" t="n">
        <v>45933</v>
      </c>
      <c r="D82" t="inlineStr">
        <is>
          <t>UPPSALA LÄN</t>
        </is>
      </c>
      <c r="E82" t="inlineStr">
        <is>
          <t>ÖSTHAMMAR</t>
        </is>
      </c>
      <c r="F82" t="inlineStr">
        <is>
          <t>Naturvårdsverket</t>
        </is>
      </c>
      <c r="G82" t="n">
        <v>1.2</v>
      </c>
      <c r="H82" t="n">
        <v>1</v>
      </c>
      <c r="I82" t="n">
        <v>0</v>
      </c>
      <c r="J82" t="n">
        <v>0</v>
      </c>
      <c r="K82" t="n">
        <v>0</v>
      </c>
      <c r="L82" t="n">
        <v>0</v>
      </c>
      <c r="M82" t="n">
        <v>0</v>
      </c>
      <c r="N82" t="n">
        <v>0</v>
      </c>
      <c r="O82" t="n">
        <v>0</v>
      </c>
      <c r="P82" t="n">
        <v>0</v>
      </c>
      <c r="Q82" t="n">
        <v>1</v>
      </c>
      <c r="R82" s="2" t="inlineStr">
        <is>
          <t>Blåsippa</t>
        </is>
      </c>
      <c r="S82">
        <f>HYPERLINK("https://klasma.github.io/Logging_0382/artfynd/A 29564-2023 artfynd.xlsx", "A 29564-2023")</f>
        <v/>
      </c>
      <c r="T82">
        <f>HYPERLINK("https://klasma.github.io/Logging_0382/kartor/A 29564-2023 karta.png", "A 29564-2023")</f>
        <v/>
      </c>
      <c r="V82">
        <f>HYPERLINK("https://klasma.github.io/Logging_0382/klagomål/A 29564-2023 FSC-klagomål.docx", "A 29564-2023")</f>
        <v/>
      </c>
      <c r="W82">
        <f>HYPERLINK("https://klasma.github.io/Logging_0382/klagomålsmail/A 29564-2023 FSC-klagomål mail.docx", "A 29564-2023")</f>
        <v/>
      </c>
      <c r="X82">
        <f>HYPERLINK("https://klasma.github.io/Logging_0382/tillsyn/A 29564-2023 tillsynsbegäran.docx", "A 29564-2023")</f>
        <v/>
      </c>
      <c r="Y82">
        <f>HYPERLINK("https://klasma.github.io/Logging_0382/tillsynsmail/A 29564-2023 tillsynsbegäran mail.docx", "A 29564-2023")</f>
        <v/>
      </c>
    </row>
    <row r="83" ht="15" customHeight="1">
      <c r="A83" t="inlineStr">
        <is>
          <t>A 11017-2023</t>
        </is>
      </c>
      <c r="B83" s="1" t="n">
        <v>44991</v>
      </c>
      <c r="C83" s="1" t="n">
        <v>45933</v>
      </c>
      <c r="D83" t="inlineStr">
        <is>
          <t>UPPSALA LÄN</t>
        </is>
      </c>
      <c r="E83" t="inlineStr">
        <is>
          <t>ÖSTHAMMAR</t>
        </is>
      </c>
      <c r="G83" t="n">
        <v>1.9</v>
      </c>
      <c r="H83" t="n">
        <v>1</v>
      </c>
      <c r="I83" t="n">
        <v>0</v>
      </c>
      <c r="J83" t="n">
        <v>1</v>
      </c>
      <c r="K83" t="n">
        <v>0</v>
      </c>
      <c r="L83" t="n">
        <v>0</v>
      </c>
      <c r="M83" t="n">
        <v>0</v>
      </c>
      <c r="N83" t="n">
        <v>0</v>
      </c>
      <c r="O83" t="n">
        <v>1</v>
      </c>
      <c r="P83" t="n">
        <v>0</v>
      </c>
      <c r="Q83" t="n">
        <v>1</v>
      </c>
      <c r="R83" s="2" t="inlineStr">
        <is>
          <t>Kornknarr</t>
        </is>
      </c>
      <c r="S83">
        <f>HYPERLINK("https://klasma.github.io/Logging_0382/artfynd/A 11017-2023 artfynd.xlsx", "A 11017-2023")</f>
        <v/>
      </c>
      <c r="T83">
        <f>HYPERLINK("https://klasma.github.io/Logging_0382/kartor/A 11017-2023 karta.png", "A 11017-2023")</f>
        <v/>
      </c>
      <c r="V83">
        <f>HYPERLINK("https://klasma.github.io/Logging_0382/klagomål/A 11017-2023 FSC-klagomål.docx", "A 11017-2023")</f>
        <v/>
      </c>
      <c r="W83">
        <f>HYPERLINK("https://klasma.github.io/Logging_0382/klagomålsmail/A 11017-2023 FSC-klagomål mail.docx", "A 11017-2023")</f>
        <v/>
      </c>
      <c r="X83">
        <f>HYPERLINK("https://klasma.github.io/Logging_0382/tillsyn/A 11017-2023 tillsynsbegäran.docx", "A 11017-2023")</f>
        <v/>
      </c>
      <c r="Y83">
        <f>HYPERLINK("https://klasma.github.io/Logging_0382/tillsynsmail/A 11017-2023 tillsynsbegäran mail.docx", "A 11017-2023")</f>
        <v/>
      </c>
    </row>
    <row r="84" ht="15" customHeight="1">
      <c r="A84" t="inlineStr">
        <is>
          <t>A 29679-2023</t>
        </is>
      </c>
      <c r="B84" s="1" t="n">
        <v>45107</v>
      </c>
      <c r="C84" s="1" t="n">
        <v>45933</v>
      </c>
      <c r="D84" t="inlineStr">
        <is>
          <t>UPPSALA LÄN</t>
        </is>
      </c>
      <c r="E84" t="inlineStr">
        <is>
          <t>ÖSTHAMMAR</t>
        </is>
      </c>
      <c r="F84" t="inlineStr">
        <is>
          <t>Övriga Aktiebolag</t>
        </is>
      </c>
      <c r="G84" t="n">
        <v>7.3</v>
      </c>
      <c r="H84" t="n">
        <v>0</v>
      </c>
      <c r="I84" t="n">
        <v>0</v>
      </c>
      <c r="J84" t="n">
        <v>1</v>
      </c>
      <c r="K84" t="n">
        <v>0</v>
      </c>
      <c r="L84" t="n">
        <v>0</v>
      </c>
      <c r="M84" t="n">
        <v>0</v>
      </c>
      <c r="N84" t="n">
        <v>0</v>
      </c>
      <c r="O84" t="n">
        <v>1</v>
      </c>
      <c r="P84" t="n">
        <v>0</v>
      </c>
      <c r="Q84" t="n">
        <v>1</v>
      </c>
      <c r="R84" s="2" t="inlineStr">
        <is>
          <t>Vintertagging</t>
        </is>
      </c>
      <c r="S84">
        <f>HYPERLINK("https://klasma.github.io/Logging_0382/artfynd/A 29679-2023 artfynd.xlsx", "A 29679-2023")</f>
        <v/>
      </c>
      <c r="T84">
        <f>HYPERLINK("https://klasma.github.io/Logging_0382/kartor/A 29679-2023 karta.png", "A 29679-2023")</f>
        <v/>
      </c>
      <c r="V84">
        <f>HYPERLINK("https://klasma.github.io/Logging_0382/klagomål/A 29679-2023 FSC-klagomål.docx", "A 29679-2023")</f>
        <v/>
      </c>
      <c r="W84">
        <f>HYPERLINK("https://klasma.github.io/Logging_0382/klagomålsmail/A 29679-2023 FSC-klagomål mail.docx", "A 29679-2023")</f>
        <v/>
      </c>
      <c r="X84">
        <f>HYPERLINK("https://klasma.github.io/Logging_0382/tillsyn/A 29679-2023 tillsynsbegäran.docx", "A 29679-2023")</f>
        <v/>
      </c>
      <c r="Y84">
        <f>HYPERLINK("https://klasma.github.io/Logging_0382/tillsynsmail/A 29679-2023 tillsynsbegäran mail.docx", "A 29679-2023")</f>
        <v/>
      </c>
    </row>
    <row r="85" ht="15" customHeight="1">
      <c r="A85" t="inlineStr">
        <is>
          <t>A 10034-2023</t>
        </is>
      </c>
      <c r="B85" s="1" t="n">
        <v>44985</v>
      </c>
      <c r="C85" s="1" t="n">
        <v>45933</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46629-2024</t>
        </is>
      </c>
      <c r="B86" s="1" t="n">
        <v>45583.33221064815</v>
      </c>
      <c r="C86" s="1" t="n">
        <v>45933</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24797-2022</t>
        </is>
      </c>
      <c r="B87" s="1" t="n">
        <v>44728</v>
      </c>
      <c r="C87" s="1" t="n">
        <v>45933</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41220-2025</t>
        </is>
      </c>
      <c r="B88" s="1" t="n">
        <v>45898.58630787037</v>
      </c>
      <c r="C88" s="1" t="n">
        <v>45933</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6143-2025</t>
        </is>
      </c>
      <c r="B89" s="1" t="n">
        <v>45698.38697916667</v>
      </c>
      <c r="C89" s="1" t="n">
        <v>45933</v>
      </c>
      <c r="D89" t="inlineStr">
        <is>
          <t>UPPSALA LÄN</t>
        </is>
      </c>
      <c r="E89" t="inlineStr">
        <is>
          <t>ÖSTHAMMAR</t>
        </is>
      </c>
      <c r="F89" t="inlineStr">
        <is>
          <t>Bergvik skog öst AB</t>
        </is>
      </c>
      <c r="G89" t="n">
        <v>3.6</v>
      </c>
      <c r="H89" t="n">
        <v>0</v>
      </c>
      <c r="I89" t="n">
        <v>1</v>
      </c>
      <c r="J89" t="n">
        <v>0</v>
      </c>
      <c r="K89" t="n">
        <v>0</v>
      </c>
      <c r="L89" t="n">
        <v>0</v>
      </c>
      <c r="M89" t="n">
        <v>0</v>
      </c>
      <c r="N89" t="n">
        <v>0</v>
      </c>
      <c r="O89" t="n">
        <v>0</v>
      </c>
      <c r="P89" t="n">
        <v>0</v>
      </c>
      <c r="Q89" t="n">
        <v>1</v>
      </c>
      <c r="R89" s="2" t="inlineStr">
        <is>
          <t>Svavelriska</t>
        </is>
      </c>
      <c r="S89">
        <f>HYPERLINK("https://klasma.github.io/Logging_0382/artfynd/A 6143-2025 artfynd.xlsx", "A 6143-2025")</f>
        <v/>
      </c>
      <c r="T89">
        <f>HYPERLINK("https://klasma.github.io/Logging_0382/kartor/A 6143-2025 karta.png", "A 6143-2025")</f>
        <v/>
      </c>
      <c r="V89">
        <f>HYPERLINK("https://klasma.github.io/Logging_0382/klagomål/A 6143-2025 FSC-klagomål.docx", "A 6143-2025")</f>
        <v/>
      </c>
      <c r="W89">
        <f>HYPERLINK("https://klasma.github.io/Logging_0382/klagomålsmail/A 6143-2025 FSC-klagomål mail.docx", "A 6143-2025")</f>
        <v/>
      </c>
      <c r="X89">
        <f>HYPERLINK("https://klasma.github.io/Logging_0382/tillsyn/A 6143-2025 tillsynsbegäran.docx", "A 6143-2025")</f>
        <v/>
      </c>
      <c r="Y89">
        <f>HYPERLINK("https://klasma.github.io/Logging_0382/tillsynsmail/A 6143-2025 tillsynsbegäran mail.docx", "A 6143-2025")</f>
        <v/>
      </c>
    </row>
    <row r="90" ht="15" customHeight="1">
      <c r="A90" t="inlineStr">
        <is>
          <t>A 25179-2023</t>
        </is>
      </c>
      <c r="B90" s="1" t="n">
        <v>45078</v>
      </c>
      <c r="C90" s="1" t="n">
        <v>45933</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22209-2022</t>
        </is>
      </c>
      <c r="B91" s="1" t="n">
        <v>44712</v>
      </c>
      <c r="C91" s="1" t="n">
        <v>45933</v>
      </c>
      <c r="D91" t="inlineStr">
        <is>
          <t>UPPSALA LÄN</t>
        </is>
      </c>
      <c r="E91" t="inlineStr">
        <is>
          <t>ÖSTHAMMAR</t>
        </is>
      </c>
      <c r="F91" t="inlineStr">
        <is>
          <t>Bergvik skog öst AB</t>
        </is>
      </c>
      <c r="G91" t="n">
        <v>1.5</v>
      </c>
      <c r="H91" t="n">
        <v>1</v>
      </c>
      <c r="I91" t="n">
        <v>0</v>
      </c>
      <c r="J91" t="n">
        <v>0</v>
      </c>
      <c r="K91" t="n">
        <v>0</v>
      </c>
      <c r="L91" t="n">
        <v>0</v>
      </c>
      <c r="M91" t="n">
        <v>0</v>
      </c>
      <c r="N91" t="n">
        <v>0</v>
      </c>
      <c r="O91" t="n">
        <v>0</v>
      </c>
      <c r="P91" t="n">
        <v>0</v>
      </c>
      <c r="Q91" t="n">
        <v>1</v>
      </c>
      <c r="R91" s="2" t="inlineStr">
        <is>
          <t>Blåsippa</t>
        </is>
      </c>
      <c r="S91">
        <f>HYPERLINK("https://klasma.github.io/Logging_0382/artfynd/A 22209-2022 artfynd.xlsx", "A 22209-2022")</f>
        <v/>
      </c>
      <c r="T91">
        <f>HYPERLINK("https://klasma.github.io/Logging_0382/kartor/A 22209-2022 karta.png", "A 22209-2022")</f>
        <v/>
      </c>
      <c r="V91">
        <f>HYPERLINK("https://klasma.github.io/Logging_0382/klagomål/A 22209-2022 FSC-klagomål.docx", "A 22209-2022")</f>
        <v/>
      </c>
      <c r="W91">
        <f>HYPERLINK("https://klasma.github.io/Logging_0382/klagomålsmail/A 22209-2022 FSC-klagomål mail.docx", "A 22209-2022")</f>
        <v/>
      </c>
      <c r="X91">
        <f>HYPERLINK("https://klasma.github.io/Logging_0382/tillsyn/A 22209-2022 tillsynsbegäran.docx", "A 22209-2022")</f>
        <v/>
      </c>
      <c r="Y91">
        <f>HYPERLINK("https://klasma.github.io/Logging_0382/tillsynsmail/A 22209-2022 tillsynsbegäran mail.docx", "A 22209-2022")</f>
        <v/>
      </c>
    </row>
    <row r="92" ht="15" customHeight="1">
      <c r="A92" t="inlineStr">
        <is>
          <t>A 34090-2023</t>
        </is>
      </c>
      <c r="B92" s="1" t="n">
        <v>45135</v>
      </c>
      <c r="C92" s="1" t="n">
        <v>45933</v>
      </c>
      <c r="D92" t="inlineStr">
        <is>
          <t>UPPSALA LÄN</t>
        </is>
      </c>
      <c r="E92" t="inlineStr">
        <is>
          <t>ÖSTHAMMAR</t>
        </is>
      </c>
      <c r="F92" t="inlineStr">
        <is>
          <t>Bergvik skog öst AB</t>
        </is>
      </c>
      <c r="G92" t="n">
        <v>5.7</v>
      </c>
      <c r="H92" t="n">
        <v>1</v>
      </c>
      <c r="I92" t="n">
        <v>0</v>
      </c>
      <c r="J92" t="n">
        <v>1</v>
      </c>
      <c r="K92" t="n">
        <v>0</v>
      </c>
      <c r="L92" t="n">
        <v>0</v>
      </c>
      <c r="M92" t="n">
        <v>0</v>
      </c>
      <c r="N92" t="n">
        <v>0</v>
      </c>
      <c r="O92" t="n">
        <v>1</v>
      </c>
      <c r="P92" t="n">
        <v>0</v>
      </c>
      <c r="Q92" t="n">
        <v>1</v>
      </c>
      <c r="R92" s="2" t="inlineStr">
        <is>
          <t>Spillkråka</t>
        </is>
      </c>
      <c r="S92">
        <f>HYPERLINK("https://klasma.github.io/Logging_0382/artfynd/A 34090-2023 artfynd.xlsx", "A 34090-2023")</f>
        <v/>
      </c>
      <c r="T92">
        <f>HYPERLINK("https://klasma.github.io/Logging_0382/kartor/A 34090-2023 karta.png", "A 34090-2023")</f>
        <v/>
      </c>
      <c r="V92">
        <f>HYPERLINK("https://klasma.github.io/Logging_0382/klagomål/A 34090-2023 FSC-klagomål.docx", "A 34090-2023")</f>
        <v/>
      </c>
      <c r="W92">
        <f>HYPERLINK("https://klasma.github.io/Logging_0382/klagomålsmail/A 34090-2023 FSC-klagomål mail.docx", "A 34090-2023")</f>
        <v/>
      </c>
      <c r="X92">
        <f>HYPERLINK("https://klasma.github.io/Logging_0382/tillsyn/A 34090-2023 tillsynsbegäran.docx", "A 34090-2023")</f>
        <v/>
      </c>
      <c r="Y92">
        <f>HYPERLINK("https://klasma.github.io/Logging_0382/tillsynsmail/A 34090-2023 tillsynsbegäran mail.docx", "A 34090-2023")</f>
        <v/>
      </c>
      <c r="Z92">
        <f>HYPERLINK("https://klasma.github.io/Logging_0382/fåglar/A 34090-2023 prioriterade fågelarter.docx", "A 34090-2023")</f>
        <v/>
      </c>
    </row>
    <row r="93" ht="15" customHeight="1">
      <c r="A93" t="inlineStr">
        <is>
          <t>A 22287-2023</t>
        </is>
      </c>
      <c r="B93" s="1" t="n">
        <v>45070</v>
      </c>
      <c r="C93" s="1" t="n">
        <v>45933</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45933</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45933</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49839-2021</t>
        </is>
      </c>
      <c r="B96" s="1" t="n">
        <v>44455</v>
      </c>
      <c r="C96" s="1" t="n">
        <v>45933</v>
      </c>
      <c r="D96" t="inlineStr">
        <is>
          <t>UPPSALA LÄN</t>
        </is>
      </c>
      <c r="E96" t="inlineStr">
        <is>
          <t>ÖSTHAMMAR</t>
        </is>
      </c>
      <c r="G96" t="n">
        <v>3.6</v>
      </c>
      <c r="H96" t="n">
        <v>0</v>
      </c>
      <c r="I96" t="n">
        <v>0</v>
      </c>
      <c r="J96" t="n">
        <v>0</v>
      </c>
      <c r="K96" t="n">
        <v>1</v>
      </c>
      <c r="L96" t="n">
        <v>0</v>
      </c>
      <c r="M96" t="n">
        <v>0</v>
      </c>
      <c r="N96" t="n">
        <v>0</v>
      </c>
      <c r="O96" t="n">
        <v>1</v>
      </c>
      <c r="P96" t="n">
        <v>1</v>
      </c>
      <c r="Q96" t="n">
        <v>1</v>
      </c>
      <c r="R96" s="2" t="inlineStr">
        <is>
          <t>Violgubbe</t>
        </is>
      </c>
      <c r="S96">
        <f>HYPERLINK("https://klasma.github.io/Logging_0382/artfynd/A 49839-2021 artfynd.xlsx", "A 49839-2021")</f>
        <v/>
      </c>
      <c r="T96">
        <f>HYPERLINK("https://klasma.github.io/Logging_0382/kartor/A 49839-2021 karta.png", "A 49839-2021")</f>
        <v/>
      </c>
      <c r="V96">
        <f>HYPERLINK("https://klasma.github.io/Logging_0382/klagomål/A 49839-2021 FSC-klagomål.docx", "A 49839-2021")</f>
        <v/>
      </c>
      <c r="W96">
        <f>HYPERLINK("https://klasma.github.io/Logging_0382/klagomålsmail/A 49839-2021 FSC-klagomål mail.docx", "A 49839-2021")</f>
        <v/>
      </c>
      <c r="X96">
        <f>HYPERLINK("https://klasma.github.io/Logging_0382/tillsyn/A 49839-2021 tillsynsbegäran.docx", "A 49839-2021")</f>
        <v/>
      </c>
      <c r="Y96">
        <f>HYPERLINK("https://klasma.github.io/Logging_0382/tillsynsmail/A 49839-2021 tillsynsbegäran mail.docx", "A 49839-2021")</f>
        <v/>
      </c>
    </row>
    <row r="97" ht="15" customHeight="1">
      <c r="A97" t="inlineStr">
        <is>
          <t>A 22375-2024</t>
        </is>
      </c>
      <c r="B97" s="1" t="n">
        <v>45446</v>
      </c>
      <c r="C97" s="1" t="n">
        <v>45933</v>
      </c>
      <c r="D97" t="inlineStr">
        <is>
          <t>UPPSALA LÄN</t>
        </is>
      </c>
      <c r="E97" t="inlineStr">
        <is>
          <t>ÖSTHAMMAR</t>
        </is>
      </c>
      <c r="F97" t="inlineStr">
        <is>
          <t>Bergvik skog öst AB</t>
        </is>
      </c>
      <c r="G97" t="n">
        <v>2.2</v>
      </c>
      <c r="H97" t="n">
        <v>0</v>
      </c>
      <c r="I97" t="n">
        <v>0</v>
      </c>
      <c r="J97" t="n">
        <v>1</v>
      </c>
      <c r="K97" t="n">
        <v>0</v>
      </c>
      <c r="L97" t="n">
        <v>0</v>
      </c>
      <c r="M97" t="n">
        <v>0</v>
      </c>
      <c r="N97" t="n">
        <v>0</v>
      </c>
      <c r="O97" t="n">
        <v>1</v>
      </c>
      <c r="P97" t="n">
        <v>0</v>
      </c>
      <c r="Q97" t="n">
        <v>1</v>
      </c>
      <c r="R97" s="2" t="inlineStr">
        <is>
          <t>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14706-2023</t>
        </is>
      </c>
      <c r="B98" s="1" t="n">
        <v>45013</v>
      </c>
      <c r="C98" s="1" t="n">
        <v>45933</v>
      </c>
      <c r="D98" t="inlineStr">
        <is>
          <t>UPPSALA LÄN</t>
        </is>
      </c>
      <c r="E98" t="inlineStr">
        <is>
          <t>ÖSTHAMMAR</t>
        </is>
      </c>
      <c r="G98" t="n">
        <v>0.9</v>
      </c>
      <c r="H98" t="n">
        <v>0</v>
      </c>
      <c r="I98" t="n">
        <v>1</v>
      </c>
      <c r="J98" t="n">
        <v>0</v>
      </c>
      <c r="K98" t="n">
        <v>0</v>
      </c>
      <c r="L98" t="n">
        <v>0</v>
      </c>
      <c r="M98" t="n">
        <v>0</v>
      </c>
      <c r="N98" t="n">
        <v>0</v>
      </c>
      <c r="O98" t="n">
        <v>0</v>
      </c>
      <c r="P98" t="n">
        <v>0</v>
      </c>
      <c r="Q98" t="n">
        <v>1</v>
      </c>
      <c r="R98" s="2" t="inlineStr">
        <is>
          <t>Olivspindling</t>
        </is>
      </c>
      <c r="S98">
        <f>HYPERLINK("https://klasma.github.io/Logging_0382/artfynd/A 14706-2023 artfynd.xlsx", "A 14706-2023")</f>
        <v/>
      </c>
      <c r="T98">
        <f>HYPERLINK("https://klasma.github.io/Logging_0382/kartor/A 14706-2023 karta.png", "A 14706-2023")</f>
        <v/>
      </c>
      <c r="V98">
        <f>HYPERLINK("https://klasma.github.io/Logging_0382/klagomål/A 14706-2023 FSC-klagomål.docx", "A 14706-2023")</f>
        <v/>
      </c>
      <c r="W98">
        <f>HYPERLINK("https://klasma.github.io/Logging_0382/klagomålsmail/A 14706-2023 FSC-klagomål mail.docx", "A 14706-2023")</f>
        <v/>
      </c>
      <c r="X98">
        <f>HYPERLINK("https://klasma.github.io/Logging_0382/tillsyn/A 14706-2023 tillsynsbegäran.docx", "A 14706-2023")</f>
        <v/>
      </c>
      <c r="Y98">
        <f>HYPERLINK("https://klasma.github.io/Logging_0382/tillsynsmail/A 14706-2023 tillsynsbegäran mail.docx", "A 14706-2023")</f>
        <v/>
      </c>
    </row>
    <row r="99" ht="15" customHeight="1">
      <c r="A99" t="inlineStr">
        <is>
          <t>A 12753-2024</t>
        </is>
      </c>
      <c r="B99" s="1" t="n">
        <v>45384</v>
      </c>
      <c r="C99" s="1" t="n">
        <v>45933</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14203-2024</t>
        </is>
      </c>
      <c r="B100" s="1" t="n">
        <v>45393</v>
      </c>
      <c r="C100" s="1" t="n">
        <v>45933</v>
      </c>
      <c r="D100" t="inlineStr">
        <is>
          <t>UPPSALA LÄN</t>
        </is>
      </c>
      <c r="E100" t="inlineStr">
        <is>
          <t>ÖSTHAMMAR</t>
        </is>
      </c>
      <c r="G100" t="n">
        <v>1.4</v>
      </c>
      <c r="H100" t="n">
        <v>0</v>
      </c>
      <c r="I100" t="n">
        <v>0</v>
      </c>
      <c r="J100" t="n">
        <v>1</v>
      </c>
      <c r="K100" t="n">
        <v>0</v>
      </c>
      <c r="L100" t="n">
        <v>0</v>
      </c>
      <c r="M100" t="n">
        <v>0</v>
      </c>
      <c r="N100" t="n">
        <v>0</v>
      </c>
      <c r="O100" t="n">
        <v>1</v>
      </c>
      <c r="P100" t="n">
        <v>0</v>
      </c>
      <c r="Q100" t="n">
        <v>1</v>
      </c>
      <c r="R100" s="2" t="inlineStr">
        <is>
          <t>Scharlakansvaxing</t>
        </is>
      </c>
      <c r="S100">
        <f>HYPERLINK("https://klasma.github.io/Logging_0382/artfynd/A 14203-2024 artfynd.xlsx", "A 14203-2024")</f>
        <v/>
      </c>
      <c r="T100">
        <f>HYPERLINK("https://klasma.github.io/Logging_0382/kartor/A 14203-2024 karta.png", "A 14203-2024")</f>
        <v/>
      </c>
      <c r="V100">
        <f>HYPERLINK("https://klasma.github.io/Logging_0382/klagomål/A 14203-2024 FSC-klagomål.docx", "A 14203-2024")</f>
        <v/>
      </c>
      <c r="W100">
        <f>HYPERLINK("https://klasma.github.io/Logging_0382/klagomålsmail/A 14203-2024 FSC-klagomål mail.docx", "A 14203-2024")</f>
        <v/>
      </c>
      <c r="X100">
        <f>HYPERLINK("https://klasma.github.io/Logging_0382/tillsyn/A 14203-2024 tillsynsbegäran.docx", "A 14203-2024")</f>
        <v/>
      </c>
      <c r="Y100">
        <f>HYPERLINK("https://klasma.github.io/Logging_0382/tillsynsmail/A 14203-2024 tillsynsbegäran mail.docx", "A 14203-2024")</f>
        <v/>
      </c>
    </row>
    <row r="101" ht="15" customHeight="1">
      <c r="A101" t="inlineStr">
        <is>
          <t>A 63615-2021</t>
        </is>
      </c>
      <c r="B101" s="1" t="n">
        <v>44509</v>
      </c>
      <c r="C101" s="1" t="n">
        <v>45933</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Gul taggsvamp</t>
        </is>
      </c>
      <c r="S101">
        <f>HYPERLINK("https://klasma.github.io/Logging_0382/artfynd/A 63615-2021 artfynd.xlsx", "A 63615-2021")</f>
        <v/>
      </c>
      <c r="T101">
        <f>HYPERLINK("https://klasma.github.io/Logging_0382/kartor/A 63615-2021 karta.png", "A 63615-2021")</f>
        <v/>
      </c>
      <c r="V101">
        <f>HYPERLINK("https://klasma.github.io/Logging_0382/klagomål/A 63615-2021 FSC-klagomål.docx", "A 63615-2021")</f>
        <v/>
      </c>
      <c r="W101">
        <f>HYPERLINK("https://klasma.github.io/Logging_0382/klagomålsmail/A 63615-2021 FSC-klagomål mail.docx", "A 63615-2021")</f>
        <v/>
      </c>
      <c r="X101">
        <f>HYPERLINK("https://klasma.github.io/Logging_0382/tillsyn/A 63615-2021 tillsynsbegäran.docx", "A 63615-2021")</f>
        <v/>
      </c>
      <c r="Y101">
        <f>HYPERLINK("https://klasma.github.io/Logging_0382/tillsynsmail/A 63615-2021 tillsynsbegäran mail.docx", "A 63615-2021")</f>
        <v/>
      </c>
    </row>
    <row r="102" ht="15" customHeight="1">
      <c r="A102" t="inlineStr">
        <is>
          <t>A 3693-2021</t>
        </is>
      </c>
      <c r="B102" s="1" t="n">
        <v>44221</v>
      </c>
      <c r="C102" s="1" t="n">
        <v>45933</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45933</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45933</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45933</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45933</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45933</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45933</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45933</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45933</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45933</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45933</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45933</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45933</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45933</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45933</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45933</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45933</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45933</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45933</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45933</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45933</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45933</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45933</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45933</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45933</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45933</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45933</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45933</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45933</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45933</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45933</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45933</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45933</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45933</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45933</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45933</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45933</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45933</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45933</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45933</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45933</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45933</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45933</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45933</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45933</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15457-2022</t>
        </is>
      </c>
      <c r="B148" s="1" t="n">
        <v>44661.74027777778</v>
      </c>
      <c r="C148" s="1" t="n">
        <v>45933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25987-2022</t>
        </is>
      </c>
      <c r="B149" s="1" t="n">
        <v>44734.49601851852</v>
      </c>
      <c r="C149" s="1" t="n">
        <v>45933</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45933</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59432-2020</t>
        </is>
      </c>
      <c r="B151" s="1" t="n">
        <v>44148</v>
      </c>
      <c r="C151" s="1" t="n">
        <v>45933</v>
      </c>
      <c r="D151" t="inlineStr">
        <is>
          <t>UPPSALA LÄN</t>
        </is>
      </c>
      <c r="E151" t="inlineStr">
        <is>
          <t>ÖSTHAMMAR</t>
        </is>
      </c>
      <c r="F151" t="inlineStr">
        <is>
          <t>Sveaskog</t>
        </is>
      </c>
      <c r="G151" t="n">
        <v>3.4</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45933</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18736-2022</t>
        </is>
      </c>
      <c r="B153" s="1" t="n">
        <v>44687.87017361111</v>
      </c>
      <c r="C153" s="1" t="n">
        <v>45933</v>
      </c>
      <c r="D153" t="inlineStr">
        <is>
          <t>UPPSALA LÄN</t>
        </is>
      </c>
      <c r="E153" t="inlineStr">
        <is>
          <t>ÖSTHAMMAR</t>
        </is>
      </c>
      <c r="F153" t="inlineStr">
        <is>
          <t>Bergvik skog öst AB</t>
        </is>
      </c>
      <c r="G153" t="n">
        <v>0.4</v>
      </c>
      <c r="H153" t="n">
        <v>0</v>
      </c>
      <c r="I153" t="n">
        <v>0</v>
      </c>
      <c r="J153" t="n">
        <v>0</v>
      </c>
      <c r="K153" t="n">
        <v>0</v>
      </c>
      <c r="L153" t="n">
        <v>0</v>
      </c>
      <c r="M153" t="n">
        <v>0</v>
      </c>
      <c r="N153" t="n">
        <v>0</v>
      </c>
      <c r="O153" t="n">
        <v>0</v>
      </c>
      <c r="P153" t="n">
        <v>0</v>
      </c>
      <c r="Q153" t="n">
        <v>0</v>
      </c>
      <c r="R153" s="2" t="inlineStr"/>
    </row>
    <row r="154" ht="15" customHeight="1">
      <c r="A154" t="inlineStr">
        <is>
          <t>A 52898-2021</t>
        </is>
      </c>
      <c r="B154" s="1" t="n">
        <v>44467</v>
      </c>
      <c r="C154" s="1" t="n">
        <v>45933</v>
      </c>
      <c r="D154" t="inlineStr">
        <is>
          <t>UPPSALA LÄN</t>
        </is>
      </c>
      <c r="E154" t="inlineStr">
        <is>
          <t>ÖSTHAMMAR</t>
        </is>
      </c>
      <c r="G154" t="n">
        <v>2.3</v>
      </c>
      <c r="H154" t="n">
        <v>0</v>
      </c>
      <c r="I154" t="n">
        <v>0</v>
      </c>
      <c r="J154" t="n">
        <v>0</v>
      </c>
      <c r="K154" t="n">
        <v>0</v>
      </c>
      <c r="L154" t="n">
        <v>0</v>
      </c>
      <c r="M154" t="n">
        <v>0</v>
      </c>
      <c r="N154" t="n">
        <v>0</v>
      </c>
      <c r="O154" t="n">
        <v>0</v>
      </c>
      <c r="P154" t="n">
        <v>0</v>
      </c>
      <c r="Q154" t="n">
        <v>0</v>
      </c>
      <c r="R154" s="2" t="inlineStr"/>
    </row>
    <row r="155" ht="15" customHeight="1">
      <c r="A155" t="inlineStr">
        <is>
          <t>A 61560-2021</t>
        </is>
      </c>
      <c r="B155" s="1" t="n">
        <v>44501.42905092592</v>
      </c>
      <c r="C155" s="1" t="n">
        <v>45933</v>
      </c>
      <c r="D155" t="inlineStr">
        <is>
          <t>UPPSALA LÄN</t>
        </is>
      </c>
      <c r="E155" t="inlineStr">
        <is>
          <t>ÖSTHAMMAR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37570-2022</t>
        </is>
      </c>
      <c r="B156" s="1" t="n">
        <v>44809</v>
      </c>
      <c r="C156" s="1" t="n">
        <v>45933</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45933</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45933</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61193-2020</t>
        </is>
      </c>
      <c r="B159" s="1" t="n">
        <v>44155</v>
      </c>
      <c r="C159" s="1" t="n">
        <v>45933</v>
      </c>
      <c r="D159" t="inlineStr">
        <is>
          <t>UPPSALA LÄN</t>
        </is>
      </c>
      <c r="E159" t="inlineStr">
        <is>
          <t>ÖSTHAMMAR</t>
        </is>
      </c>
      <c r="F159" t="inlineStr">
        <is>
          <t>Övriga Aktiebolag</t>
        </is>
      </c>
      <c r="G159" t="n">
        <v>2.1</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45933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45933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37545-2022</t>
        </is>
      </c>
      <c r="B162" s="1" t="n">
        <v>44809.63373842592</v>
      </c>
      <c r="C162" s="1" t="n">
        <v>45933</v>
      </c>
      <c r="D162" t="inlineStr">
        <is>
          <t>UPPSALA LÄN</t>
        </is>
      </c>
      <c r="E162" t="inlineStr">
        <is>
          <t>ÖSTHAMMAR</t>
        </is>
      </c>
      <c r="G162" t="n">
        <v>3.1</v>
      </c>
      <c r="H162" t="n">
        <v>0</v>
      </c>
      <c r="I162" t="n">
        <v>0</v>
      </c>
      <c r="J162" t="n">
        <v>0</v>
      </c>
      <c r="K162" t="n">
        <v>0</v>
      </c>
      <c r="L162" t="n">
        <v>0</v>
      </c>
      <c r="M162" t="n">
        <v>0</v>
      </c>
      <c r="N162" t="n">
        <v>0</v>
      </c>
      <c r="O162" t="n">
        <v>0</v>
      </c>
      <c r="P162" t="n">
        <v>0</v>
      </c>
      <c r="Q162" t="n">
        <v>0</v>
      </c>
      <c r="R162" s="2" t="inlineStr"/>
    </row>
    <row r="163" ht="15" customHeight="1">
      <c r="A163" t="inlineStr">
        <is>
          <t>A 9789-2022</t>
        </is>
      </c>
      <c r="B163" s="1" t="n">
        <v>44620.35590277778</v>
      </c>
      <c r="C163" s="1" t="n">
        <v>45933</v>
      </c>
      <c r="D163" t="inlineStr">
        <is>
          <t>UPPSALA LÄN</t>
        </is>
      </c>
      <c r="E163" t="inlineStr">
        <is>
          <t>ÖSTHAMMAR</t>
        </is>
      </c>
      <c r="G163" t="n">
        <v>1.2</v>
      </c>
      <c r="H163" t="n">
        <v>0</v>
      </c>
      <c r="I163" t="n">
        <v>0</v>
      </c>
      <c r="J163" t="n">
        <v>0</v>
      </c>
      <c r="K163" t="n">
        <v>0</v>
      </c>
      <c r="L163" t="n">
        <v>0</v>
      </c>
      <c r="M163" t="n">
        <v>0</v>
      </c>
      <c r="N163" t="n">
        <v>0</v>
      </c>
      <c r="O163" t="n">
        <v>0</v>
      </c>
      <c r="P163" t="n">
        <v>0</v>
      </c>
      <c r="Q163" t="n">
        <v>0</v>
      </c>
      <c r="R163" s="2" t="inlineStr"/>
    </row>
    <row r="164" ht="15" customHeight="1">
      <c r="A164" t="inlineStr">
        <is>
          <t>A 7871-2022</t>
        </is>
      </c>
      <c r="B164" s="1" t="n">
        <v>44608</v>
      </c>
      <c r="C164" s="1" t="n">
        <v>45933</v>
      </c>
      <c r="D164" t="inlineStr">
        <is>
          <t>UPPSALA LÄN</t>
        </is>
      </c>
      <c r="E164" t="inlineStr">
        <is>
          <t>ÖSTHAMMAR</t>
        </is>
      </c>
      <c r="G164" t="n">
        <v>1.1</v>
      </c>
      <c r="H164" t="n">
        <v>0</v>
      </c>
      <c r="I164" t="n">
        <v>0</v>
      </c>
      <c r="J164" t="n">
        <v>0</v>
      </c>
      <c r="K164" t="n">
        <v>0</v>
      </c>
      <c r="L164" t="n">
        <v>0</v>
      </c>
      <c r="M164" t="n">
        <v>0</v>
      </c>
      <c r="N164" t="n">
        <v>0</v>
      </c>
      <c r="O164" t="n">
        <v>0</v>
      </c>
      <c r="P164" t="n">
        <v>0</v>
      </c>
      <c r="Q164" t="n">
        <v>0</v>
      </c>
      <c r="R164" s="2" t="inlineStr"/>
    </row>
    <row r="165" ht="15" customHeight="1">
      <c r="A165" t="inlineStr">
        <is>
          <t>A 24817-2022</t>
        </is>
      </c>
      <c r="B165" s="1" t="n">
        <v>44728</v>
      </c>
      <c r="C165" s="1" t="n">
        <v>45933</v>
      </c>
      <c r="D165" t="inlineStr">
        <is>
          <t>UPPSALA LÄN</t>
        </is>
      </c>
      <c r="E165" t="inlineStr">
        <is>
          <t>ÖSTHAMMAR</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38501-2022</t>
        </is>
      </c>
      <c r="B166" s="1" t="n">
        <v>44813</v>
      </c>
      <c r="C166" s="1" t="n">
        <v>45933</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43469-2021</t>
        </is>
      </c>
      <c r="B167" s="1" t="n">
        <v>44432</v>
      </c>
      <c r="C167" s="1" t="n">
        <v>45933</v>
      </c>
      <c r="D167" t="inlineStr">
        <is>
          <t>UPPSALA LÄN</t>
        </is>
      </c>
      <c r="E167" t="inlineStr">
        <is>
          <t>ÖSTHAMMAR</t>
        </is>
      </c>
      <c r="G167" t="n">
        <v>3.9</v>
      </c>
      <c r="H167" t="n">
        <v>0</v>
      </c>
      <c r="I167" t="n">
        <v>0</v>
      </c>
      <c r="J167" t="n">
        <v>0</v>
      </c>
      <c r="K167" t="n">
        <v>0</v>
      </c>
      <c r="L167" t="n">
        <v>0</v>
      </c>
      <c r="M167" t="n">
        <v>0</v>
      </c>
      <c r="N167" t="n">
        <v>0</v>
      </c>
      <c r="O167" t="n">
        <v>0</v>
      </c>
      <c r="P167" t="n">
        <v>0</v>
      </c>
      <c r="Q167" t="n">
        <v>0</v>
      </c>
      <c r="R167" s="2" t="inlineStr"/>
    </row>
    <row r="168" ht="15" customHeight="1">
      <c r="A168" t="inlineStr">
        <is>
          <t>A 37813-2022</t>
        </is>
      </c>
      <c r="B168" s="1" t="n">
        <v>44810</v>
      </c>
      <c r="C168" s="1" t="n">
        <v>45933</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2168-2022</t>
        </is>
      </c>
      <c r="B169" s="1" t="n">
        <v>44578</v>
      </c>
      <c r="C169" s="1" t="n">
        <v>45933</v>
      </c>
      <c r="D169" t="inlineStr">
        <is>
          <t>UPPSALA LÄN</t>
        </is>
      </c>
      <c r="E169" t="inlineStr">
        <is>
          <t>ÖSTHAMMAR</t>
        </is>
      </c>
      <c r="G169" t="n">
        <v>2.9</v>
      </c>
      <c r="H169" t="n">
        <v>0</v>
      </c>
      <c r="I169" t="n">
        <v>0</v>
      </c>
      <c r="J169" t="n">
        <v>0</v>
      </c>
      <c r="K169" t="n">
        <v>0</v>
      </c>
      <c r="L169" t="n">
        <v>0</v>
      </c>
      <c r="M169" t="n">
        <v>0</v>
      </c>
      <c r="N169" t="n">
        <v>0</v>
      </c>
      <c r="O169" t="n">
        <v>0</v>
      </c>
      <c r="P169" t="n">
        <v>0</v>
      </c>
      <c r="Q169" t="n">
        <v>0</v>
      </c>
      <c r="R169" s="2" t="inlineStr"/>
    </row>
    <row r="170" ht="15" customHeight="1">
      <c r="A170" t="inlineStr">
        <is>
          <t>A 49914-2022</t>
        </is>
      </c>
      <c r="B170" s="1" t="n">
        <v>44865</v>
      </c>
      <c r="C170" s="1" t="n">
        <v>45933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22945-2022</t>
        </is>
      </c>
      <c r="B171" s="1" t="n">
        <v>44715.91158564815</v>
      </c>
      <c r="C171" s="1" t="n">
        <v>45933</v>
      </c>
      <c r="D171" t="inlineStr">
        <is>
          <t>UPPSALA LÄN</t>
        </is>
      </c>
      <c r="E171" t="inlineStr">
        <is>
          <t>ÖSTHAMMAR</t>
        </is>
      </c>
      <c r="F171" t="inlineStr">
        <is>
          <t>Bergvik skog öst AB</t>
        </is>
      </c>
      <c r="G171" t="n">
        <v>1</v>
      </c>
      <c r="H171" t="n">
        <v>0</v>
      </c>
      <c r="I171" t="n">
        <v>0</v>
      </c>
      <c r="J171" t="n">
        <v>0</v>
      </c>
      <c r="K171" t="n">
        <v>0</v>
      </c>
      <c r="L171" t="n">
        <v>0</v>
      </c>
      <c r="M171" t="n">
        <v>0</v>
      </c>
      <c r="N171" t="n">
        <v>0</v>
      </c>
      <c r="O171" t="n">
        <v>0</v>
      </c>
      <c r="P171" t="n">
        <v>0</v>
      </c>
      <c r="Q171" t="n">
        <v>0</v>
      </c>
      <c r="R171" s="2" t="inlineStr"/>
    </row>
    <row r="172" ht="15" customHeight="1">
      <c r="A172" t="inlineStr">
        <is>
          <t>A 11884-2022</t>
        </is>
      </c>
      <c r="B172" s="1" t="n">
        <v>44635.39946759259</v>
      </c>
      <c r="C172" s="1" t="n">
        <v>45933</v>
      </c>
      <c r="D172" t="inlineStr">
        <is>
          <t>UPPSALA LÄN</t>
        </is>
      </c>
      <c r="E172" t="inlineStr">
        <is>
          <t>ÖSTHAMMAR</t>
        </is>
      </c>
      <c r="G172" t="n">
        <v>0.8</v>
      </c>
      <c r="H172" t="n">
        <v>0</v>
      </c>
      <c r="I172" t="n">
        <v>0</v>
      </c>
      <c r="J172" t="n">
        <v>0</v>
      </c>
      <c r="K172" t="n">
        <v>0</v>
      </c>
      <c r="L172" t="n">
        <v>0</v>
      </c>
      <c r="M172" t="n">
        <v>0</v>
      </c>
      <c r="N172" t="n">
        <v>0</v>
      </c>
      <c r="O172" t="n">
        <v>0</v>
      </c>
      <c r="P172" t="n">
        <v>0</v>
      </c>
      <c r="Q172" t="n">
        <v>0</v>
      </c>
      <c r="R172" s="2" t="inlineStr"/>
    </row>
    <row r="173" ht="15" customHeight="1">
      <c r="A173" t="inlineStr">
        <is>
          <t>A 18734-2022</t>
        </is>
      </c>
      <c r="B173" s="1" t="n">
        <v>44687.86751157408</v>
      </c>
      <c r="C173" s="1" t="n">
        <v>45933</v>
      </c>
      <c r="D173" t="inlineStr">
        <is>
          <t>UPPSALA LÄN</t>
        </is>
      </c>
      <c r="E173" t="inlineStr">
        <is>
          <t>ÖSTHAMMAR</t>
        </is>
      </c>
      <c r="F173" t="inlineStr">
        <is>
          <t>Bergvik skog öst AB</t>
        </is>
      </c>
      <c r="G173" t="n">
        <v>0.3</v>
      </c>
      <c r="H173" t="n">
        <v>0</v>
      </c>
      <c r="I173" t="n">
        <v>0</v>
      </c>
      <c r="J173" t="n">
        <v>0</v>
      </c>
      <c r="K173" t="n">
        <v>0</v>
      </c>
      <c r="L173" t="n">
        <v>0</v>
      </c>
      <c r="M173" t="n">
        <v>0</v>
      </c>
      <c r="N173" t="n">
        <v>0</v>
      </c>
      <c r="O173" t="n">
        <v>0</v>
      </c>
      <c r="P173" t="n">
        <v>0</v>
      </c>
      <c r="Q173" t="n">
        <v>0</v>
      </c>
      <c r="R173" s="2" t="inlineStr"/>
    </row>
    <row r="174" ht="15" customHeight="1">
      <c r="A174" t="inlineStr">
        <is>
          <t>A 51906-2022</t>
        </is>
      </c>
      <c r="B174" s="1" t="n">
        <v>44872.62109953703</v>
      </c>
      <c r="C174" s="1" t="n">
        <v>45933</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15845-2022</t>
        </is>
      </c>
      <c r="B175" s="1" t="n">
        <v>44664</v>
      </c>
      <c r="C175" s="1" t="n">
        <v>45933</v>
      </c>
      <c r="D175" t="inlineStr">
        <is>
          <t>UPPSALA LÄN</t>
        </is>
      </c>
      <c r="E175" t="inlineStr">
        <is>
          <t>ÖSTHAMMAR</t>
        </is>
      </c>
      <c r="G175" t="n">
        <v>4.5</v>
      </c>
      <c r="H175" t="n">
        <v>0</v>
      </c>
      <c r="I175" t="n">
        <v>0</v>
      </c>
      <c r="J175" t="n">
        <v>0</v>
      </c>
      <c r="K175" t="n">
        <v>0</v>
      </c>
      <c r="L175" t="n">
        <v>0</v>
      </c>
      <c r="M175" t="n">
        <v>0</v>
      </c>
      <c r="N175" t="n">
        <v>0</v>
      </c>
      <c r="O175" t="n">
        <v>0</v>
      </c>
      <c r="P175" t="n">
        <v>0</v>
      </c>
      <c r="Q175" t="n">
        <v>0</v>
      </c>
      <c r="R175" s="2" t="inlineStr"/>
    </row>
    <row r="176" ht="15" customHeight="1">
      <c r="A176" t="inlineStr">
        <is>
          <t>A 11987-2022</t>
        </is>
      </c>
      <c r="B176" s="1" t="n">
        <v>44635.68695601852</v>
      </c>
      <c r="C176" s="1" t="n">
        <v>45933</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30209-2022</t>
        </is>
      </c>
      <c r="B177" s="1" t="n">
        <v>44757.75236111111</v>
      </c>
      <c r="C177" s="1" t="n">
        <v>45933</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45933</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45933</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19214-2021</t>
        </is>
      </c>
      <c r="B180" s="1" t="n">
        <v>44309.28576388889</v>
      </c>
      <c r="C180" s="1" t="n">
        <v>45933</v>
      </c>
      <c r="D180" t="inlineStr">
        <is>
          <t>UPPSALA LÄN</t>
        </is>
      </c>
      <c r="E180" t="inlineStr">
        <is>
          <t>ÖSTHAMMAR</t>
        </is>
      </c>
      <c r="F180" t="inlineStr">
        <is>
          <t>Bergvik skog öst AB</t>
        </is>
      </c>
      <c r="G180" t="n">
        <v>6</v>
      </c>
      <c r="H180" t="n">
        <v>0</v>
      </c>
      <c r="I180" t="n">
        <v>0</v>
      </c>
      <c r="J180" t="n">
        <v>0</v>
      </c>
      <c r="K180" t="n">
        <v>0</v>
      </c>
      <c r="L180" t="n">
        <v>0</v>
      </c>
      <c r="M180" t="n">
        <v>0</v>
      </c>
      <c r="N180" t="n">
        <v>0</v>
      </c>
      <c r="O180" t="n">
        <v>0</v>
      </c>
      <c r="P180" t="n">
        <v>0</v>
      </c>
      <c r="Q180" t="n">
        <v>0</v>
      </c>
      <c r="R180" s="2" t="inlineStr"/>
    </row>
    <row r="181" ht="15" customHeight="1">
      <c r="A181" t="inlineStr">
        <is>
          <t>A 17013-2022</t>
        </is>
      </c>
      <c r="B181" s="1" t="n">
        <v>44676</v>
      </c>
      <c r="C181" s="1" t="n">
        <v>45933</v>
      </c>
      <c r="D181" t="inlineStr">
        <is>
          <t>UPPSALA LÄN</t>
        </is>
      </c>
      <c r="E181" t="inlineStr">
        <is>
          <t>ÖSTHAMMAR</t>
        </is>
      </c>
      <c r="F181" t="inlineStr">
        <is>
          <t>Bergvik skog öst AB</t>
        </is>
      </c>
      <c r="G181" t="n">
        <v>0.2</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45933</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45933</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49334-2022</t>
        </is>
      </c>
      <c r="B184" s="1" t="n">
        <v>44861</v>
      </c>
      <c r="C184" s="1" t="n">
        <v>45933</v>
      </c>
      <c r="D184" t="inlineStr">
        <is>
          <t>UPPSALA LÄN</t>
        </is>
      </c>
      <c r="E184" t="inlineStr">
        <is>
          <t>ÖSTHAMMAR</t>
        </is>
      </c>
      <c r="G184" t="n">
        <v>3.5</v>
      </c>
      <c r="H184" t="n">
        <v>0</v>
      </c>
      <c r="I184" t="n">
        <v>0</v>
      </c>
      <c r="J184" t="n">
        <v>0</v>
      </c>
      <c r="K184" t="n">
        <v>0</v>
      </c>
      <c r="L184" t="n">
        <v>0</v>
      </c>
      <c r="M184" t="n">
        <v>0</v>
      </c>
      <c r="N184" t="n">
        <v>0</v>
      </c>
      <c r="O184" t="n">
        <v>0</v>
      </c>
      <c r="P184" t="n">
        <v>0</v>
      </c>
      <c r="Q184" t="n">
        <v>0</v>
      </c>
      <c r="R184" s="2" t="inlineStr"/>
    </row>
    <row r="185" ht="15" customHeight="1">
      <c r="A185" t="inlineStr">
        <is>
          <t>A 52432-2020</t>
        </is>
      </c>
      <c r="B185" s="1" t="n">
        <v>44118</v>
      </c>
      <c r="C185" s="1" t="n">
        <v>45933</v>
      </c>
      <c r="D185" t="inlineStr">
        <is>
          <t>UPPSALA LÄN</t>
        </is>
      </c>
      <c r="E185" t="inlineStr">
        <is>
          <t>ÖSTHAMMAR</t>
        </is>
      </c>
      <c r="G185" t="n">
        <v>2.7</v>
      </c>
      <c r="H185" t="n">
        <v>0</v>
      </c>
      <c r="I185" t="n">
        <v>0</v>
      </c>
      <c r="J185" t="n">
        <v>0</v>
      </c>
      <c r="K185" t="n">
        <v>0</v>
      </c>
      <c r="L185" t="n">
        <v>0</v>
      </c>
      <c r="M185" t="n">
        <v>0</v>
      </c>
      <c r="N185" t="n">
        <v>0</v>
      </c>
      <c r="O185" t="n">
        <v>0</v>
      </c>
      <c r="P185" t="n">
        <v>0</v>
      </c>
      <c r="Q185" t="n">
        <v>0</v>
      </c>
      <c r="R185" s="2" t="inlineStr"/>
    </row>
    <row r="186" ht="15" customHeight="1">
      <c r="A186" t="inlineStr">
        <is>
          <t>A 52434-2020</t>
        </is>
      </c>
      <c r="B186" s="1" t="n">
        <v>44118</v>
      </c>
      <c r="C186" s="1" t="n">
        <v>45933</v>
      </c>
      <c r="D186" t="inlineStr">
        <is>
          <t>UPPSALA LÄN</t>
        </is>
      </c>
      <c r="E186" t="inlineStr">
        <is>
          <t>ÖSTHAMMAR</t>
        </is>
      </c>
      <c r="G186" t="n">
        <v>2.8</v>
      </c>
      <c r="H186" t="n">
        <v>0</v>
      </c>
      <c r="I186" t="n">
        <v>0</v>
      </c>
      <c r="J186" t="n">
        <v>0</v>
      </c>
      <c r="K186" t="n">
        <v>0</v>
      </c>
      <c r="L186" t="n">
        <v>0</v>
      </c>
      <c r="M186" t="n">
        <v>0</v>
      </c>
      <c r="N186" t="n">
        <v>0</v>
      </c>
      <c r="O186" t="n">
        <v>0</v>
      </c>
      <c r="P186" t="n">
        <v>0</v>
      </c>
      <c r="Q186" t="n">
        <v>0</v>
      </c>
      <c r="R186" s="2" t="inlineStr"/>
    </row>
    <row r="187" ht="15" customHeight="1">
      <c r="A187" t="inlineStr">
        <is>
          <t>A 16184-2022</t>
        </is>
      </c>
      <c r="B187" s="1" t="n">
        <v>44669.36354166667</v>
      </c>
      <c r="C187" s="1" t="n">
        <v>45933</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33680-2024</t>
        </is>
      </c>
      <c r="B188" s="1" t="n">
        <v>45520.50712962963</v>
      </c>
      <c r="C188" s="1" t="n">
        <v>45933</v>
      </c>
      <c r="D188" t="inlineStr">
        <is>
          <t>UPPSALA LÄN</t>
        </is>
      </c>
      <c r="E188" t="inlineStr">
        <is>
          <t>ÖSTHAMMAR</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59731-2023</t>
        </is>
      </c>
      <c r="B189" s="1" t="n">
        <v>45257</v>
      </c>
      <c r="C189" s="1" t="n">
        <v>45933</v>
      </c>
      <c r="D189" t="inlineStr">
        <is>
          <t>UPPSALA LÄN</t>
        </is>
      </c>
      <c r="E189" t="inlineStr">
        <is>
          <t>ÖSTHAMMAR</t>
        </is>
      </c>
      <c r="G189" t="n">
        <v>0.7</v>
      </c>
      <c r="H189" t="n">
        <v>0</v>
      </c>
      <c r="I189" t="n">
        <v>0</v>
      </c>
      <c r="J189" t="n">
        <v>0</v>
      </c>
      <c r="K189" t="n">
        <v>0</v>
      </c>
      <c r="L189" t="n">
        <v>0</v>
      </c>
      <c r="M189" t="n">
        <v>0</v>
      </c>
      <c r="N189" t="n">
        <v>0</v>
      </c>
      <c r="O189" t="n">
        <v>0</v>
      </c>
      <c r="P189" t="n">
        <v>0</v>
      </c>
      <c r="Q189" t="n">
        <v>0</v>
      </c>
      <c r="R189" s="2" t="inlineStr"/>
    </row>
    <row r="190" ht="15" customHeight="1">
      <c r="A190" t="inlineStr">
        <is>
          <t>A 34607-2023</t>
        </is>
      </c>
      <c r="B190" s="1" t="n">
        <v>45138</v>
      </c>
      <c r="C190" s="1" t="n">
        <v>45933</v>
      </c>
      <c r="D190" t="inlineStr">
        <is>
          <t>UPPSALA LÄN</t>
        </is>
      </c>
      <c r="E190" t="inlineStr">
        <is>
          <t>ÖSTHAMMAR</t>
        </is>
      </c>
      <c r="G190" t="n">
        <v>4.7</v>
      </c>
      <c r="H190" t="n">
        <v>0</v>
      </c>
      <c r="I190" t="n">
        <v>0</v>
      </c>
      <c r="J190" t="n">
        <v>0</v>
      </c>
      <c r="K190" t="n">
        <v>0</v>
      </c>
      <c r="L190" t="n">
        <v>0</v>
      </c>
      <c r="M190" t="n">
        <v>0</v>
      </c>
      <c r="N190" t="n">
        <v>0</v>
      </c>
      <c r="O190" t="n">
        <v>0</v>
      </c>
      <c r="P190" t="n">
        <v>0</v>
      </c>
      <c r="Q190" t="n">
        <v>0</v>
      </c>
      <c r="R190" s="2" t="inlineStr"/>
    </row>
    <row r="191" ht="15" customHeight="1">
      <c r="A191" t="inlineStr">
        <is>
          <t>A 12999-2022</t>
        </is>
      </c>
      <c r="B191" s="1" t="n">
        <v>44643.4372337963</v>
      </c>
      <c r="C191" s="1" t="n">
        <v>45933</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54666-2022</t>
        </is>
      </c>
      <c r="B192" s="1" t="n">
        <v>44883</v>
      </c>
      <c r="C192" s="1" t="n">
        <v>45933</v>
      </c>
      <c r="D192" t="inlineStr">
        <is>
          <t>UPPSALA LÄN</t>
        </is>
      </c>
      <c r="E192" t="inlineStr">
        <is>
          <t>ÖSTHAMMAR</t>
        </is>
      </c>
      <c r="G192" t="n">
        <v>14.3</v>
      </c>
      <c r="H192" t="n">
        <v>0</v>
      </c>
      <c r="I192" t="n">
        <v>0</v>
      </c>
      <c r="J192" t="n">
        <v>0</v>
      </c>
      <c r="K192" t="n">
        <v>0</v>
      </c>
      <c r="L192" t="n">
        <v>0</v>
      </c>
      <c r="M192" t="n">
        <v>0</v>
      </c>
      <c r="N192" t="n">
        <v>0</v>
      </c>
      <c r="O192" t="n">
        <v>0</v>
      </c>
      <c r="P192" t="n">
        <v>0</v>
      </c>
      <c r="Q192" t="n">
        <v>0</v>
      </c>
      <c r="R192" s="2" t="inlineStr"/>
    </row>
    <row r="193" ht="15" customHeight="1">
      <c r="A193" t="inlineStr">
        <is>
          <t>A 4491-2022</t>
        </is>
      </c>
      <c r="B193" s="1" t="n">
        <v>44589.66446759259</v>
      </c>
      <c r="C193" s="1" t="n">
        <v>45933</v>
      </c>
      <c r="D193" t="inlineStr">
        <is>
          <t>UPPSALA LÄN</t>
        </is>
      </c>
      <c r="E193" t="inlineStr">
        <is>
          <t>ÖSTHAMMAR</t>
        </is>
      </c>
      <c r="G193" t="n">
        <v>1.4</v>
      </c>
      <c r="H193" t="n">
        <v>0</v>
      </c>
      <c r="I193" t="n">
        <v>0</v>
      </c>
      <c r="J193" t="n">
        <v>0</v>
      </c>
      <c r="K193" t="n">
        <v>0</v>
      </c>
      <c r="L193" t="n">
        <v>0</v>
      </c>
      <c r="M193" t="n">
        <v>0</v>
      </c>
      <c r="N193" t="n">
        <v>0</v>
      </c>
      <c r="O193" t="n">
        <v>0</v>
      </c>
      <c r="P193" t="n">
        <v>0</v>
      </c>
      <c r="Q193" t="n">
        <v>0</v>
      </c>
      <c r="R193" s="2" t="inlineStr"/>
    </row>
    <row r="194" ht="15" customHeight="1">
      <c r="A194" t="inlineStr">
        <is>
          <t>A 52295-2022</t>
        </is>
      </c>
      <c r="B194" s="1" t="n">
        <v>44873.67842592593</v>
      </c>
      <c r="C194" s="1" t="n">
        <v>45933</v>
      </c>
      <c r="D194" t="inlineStr">
        <is>
          <t>UPPSALA LÄN</t>
        </is>
      </c>
      <c r="E194" t="inlineStr">
        <is>
          <t>ÖSTHAMMAR</t>
        </is>
      </c>
      <c r="G194" t="n">
        <v>0.4</v>
      </c>
      <c r="H194" t="n">
        <v>0</v>
      </c>
      <c r="I194" t="n">
        <v>0</v>
      </c>
      <c r="J194" t="n">
        <v>0</v>
      </c>
      <c r="K194" t="n">
        <v>0</v>
      </c>
      <c r="L194" t="n">
        <v>0</v>
      </c>
      <c r="M194" t="n">
        <v>0</v>
      </c>
      <c r="N194" t="n">
        <v>0</v>
      </c>
      <c r="O194" t="n">
        <v>0</v>
      </c>
      <c r="P194" t="n">
        <v>0</v>
      </c>
      <c r="Q194" t="n">
        <v>0</v>
      </c>
      <c r="R194" s="2" t="inlineStr"/>
    </row>
    <row r="195" ht="15" customHeight="1">
      <c r="A195" t="inlineStr">
        <is>
          <t>A 7944-2023</t>
        </is>
      </c>
      <c r="B195" s="1" t="n">
        <v>44973.66458333333</v>
      </c>
      <c r="C195" s="1" t="n">
        <v>45933</v>
      </c>
      <c r="D195" t="inlineStr">
        <is>
          <t>UPPSALA LÄN</t>
        </is>
      </c>
      <c r="E195" t="inlineStr">
        <is>
          <t>ÖSTHAMMAR</t>
        </is>
      </c>
      <c r="G195" t="n">
        <v>4.6</v>
      </c>
      <c r="H195" t="n">
        <v>0</v>
      </c>
      <c r="I195" t="n">
        <v>0</v>
      </c>
      <c r="J195" t="n">
        <v>0</v>
      </c>
      <c r="K195" t="n">
        <v>0</v>
      </c>
      <c r="L195" t="n">
        <v>0</v>
      </c>
      <c r="M195" t="n">
        <v>0</v>
      </c>
      <c r="N195" t="n">
        <v>0</v>
      </c>
      <c r="O195" t="n">
        <v>0</v>
      </c>
      <c r="P195" t="n">
        <v>0</v>
      </c>
      <c r="Q195" t="n">
        <v>0</v>
      </c>
      <c r="R195" s="2" t="inlineStr"/>
    </row>
    <row r="196" ht="15" customHeight="1">
      <c r="A196" t="inlineStr">
        <is>
          <t>A 52659-2021</t>
        </is>
      </c>
      <c r="B196" s="1" t="n">
        <v>44466</v>
      </c>
      <c r="C196" s="1" t="n">
        <v>45933</v>
      </c>
      <c r="D196" t="inlineStr">
        <is>
          <t>UPPSALA LÄN</t>
        </is>
      </c>
      <c r="E196" t="inlineStr">
        <is>
          <t>ÖSTHAMMAR</t>
        </is>
      </c>
      <c r="G196" t="n">
        <v>13</v>
      </c>
      <c r="H196" t="n">
        <v>0</v>
      </c>
      <c r="I196" t="n">
        <v>0</v>
      </c>
      <c r="J196" t="n">
        <v>0</v>
      </c>
      <c r="K196" t="n">
        <v>0</v>
      </c>
      <c r="L196" t="n">
        <v>0</v>
      </c>
      <c r="M196" t="n">
        <v>0</v>
      </c>
      <c r="N196" t="n">
        <v>0</v>
      </c>
      <c r="O196" t="n">
        <v>0</v>
      </c>
      <c r="P196" t="n">
        <v>0</v>
      </c>
      <c r="Q196" t="n">
        <v>0</v>
      </c>
      <c r="R196" s="2" t="inlineStr"/>
    </row>
    <row r="197" ht="15" customHeight="1">
      <c r="A197" t="inlineStr">
        <is>
          <t>A 8616-2023</t>
        </is>
      </c>
      <c r="B197" s="1" t="n">
        <v>44977</v>
      </c>
      <c r="C197" s="1" t="n">
        <v>45933</v>
      </c>
      <c r="D197" t="inlineStr">
        <is>
          <t>UPPSALA LÄN</t>
        </is>
      </c>
      <c r="E197" t="inlineStr">
        <is>
          <t>ÖSTHAMMAR</t>
        </is>
      </c>
      <c r="F197" t="inlineStr">
        <is>
          <t>Bergvik skog öst AB</t>
        </is>
      </c>
      <c r="G197" t="n">
        <v>0.2</v>
      </c>
      <c r="H197" t="n">
        <v>0</v>
      </c>
      <c r="I197" t="n">
        <v>0</v>
      </c>
      <c r="J197" t="n">
        <v>0</v>
      </c>
      <c r="K197" t="n">
        <v>0</v>
      </c>
      <c r="L197" t="n">
        <v>0</v>
      </c>
      <c r="M197" t="n">
        <v>0</v>
      </c>
      <c r="N197" t="n">
        <v>0</v>
      </c>
      <c r="O197" t="n">
        <v>0</v>
      </c>
      <c r="P197" t="n">
        <v>0</v>
      </c>
      <c r="Q197" t="n">
        <v>0</v>
      </c>
      <c r="R197" s="2" t="inlineStr"/>
    </row>
    <row r="198" ht="15" customHeight="1">
      <c r="A198" t="inlineStr">
        <is>
          <t>A 41558-2021</t>
        </is>
      </c>
      <c r="B198" s="1" t="n">
        <v>44425.37835648148</v>
      </c>
      <c r="C198" s="1" t="n">
        <v>45933</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56969-2022</t>
        </is>
      </c>
      <c r="B199" s="1" t="n">
        <v>44894.68043981482</v>
      </c>
      <c r="C199" s="1" t="n">
        <v>45933</v>
      </c>
      <c r="D199" t="inlineStr">
        <is>
          <t>UPPSALA LÄN</t>
        </is>
      </c>
      <c r="E199" t="inlineStr">
        <is>
          <t>ÖSTHAMMAR</t>
        </is>
      </c>
      <c r="G199" t="n">
        <v>5.5</v>
      </c>
      <c r="H199" t="n">
        <v>0</v>
      </c>
      <c r="I199" t="n">
        <v>0</v>
      </c>
      <c r="J199" t="n">
        <v>0</v>
      </c>
      <c r="K199" t="n">
        <v>0</v>
      </c>
      <c r="L199" t="n">
        <v>0</v>
      </c>
      <c r="M199" t="n">
        <v>0</v>
      </c>
      <c r="N199" t="n">
        <v>0</v>
      </c>
      <c r="O199" t="n">
        <v>0</v>
      </c>
      <c r="P199" t="n">
        <v>0</v>
      </c>
      <c r="Q199" t="n">
        <v>0</v>
      </c>
      <c r="R199" s="2" t="inlineStr"/>
    </row>
    <row r="200" ht="15" customHeight="1">
      <c r="A200" t="inlineStr">
        <is>
          <t>A 7876-2023</t>
        </is>
      </c>
      <c r="B200" s="1" t="n">
        <v>44973.57263888889</v>
      </c>
      <c r="C200" s="1" t="n">
        <v>45933</v>
      </c>
      <c r="D200" t="inlineStr">
        <is>
          <t>UPPSALA LÄN</t>
        </is>
      </c>
      <c r="E200" t="inlineStr">
        <is>
          <t>ÖSTHAMMAR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36904-2023</t>
        </is>
      </c>
      <c r="B201" s="1" t="n">
        <v>45154</v>
      </c>
      <c r="C201" s="1" t="n">
        <v>45933</v>
      </c>
      <c r="D201" t="inlineStr">
        <is>
          <t>UPPSALA LÄN</t>
        </is>
      </c>
      <c r="E201" t="inlineStr">
        <is>
          <t>ÖSTHAMMAR</t>
        </is>
      </c>
      <c r="F201" t="inlineStr">
        <is>
          <t>Övriga Aktiebolag</t>
        </is>
      </c>
      <c r="G201" t="n">
        <v>1.5</v>
      </c>
      <c r="H201" t="n">
        <v>0</v>
      </c>
      <c r="I201" t="n">
        <v>0</v>
      </c>
      <c r="J201" t="n">
        <v>0</v>
      </c>
      <c r="K201" t="n">
        <v>0</v>
      </c>
      <c r="L201" t="n">
        <v>0</v>
      </c>
      <c r="M201" t="n">
        <v>0</v>
      </c>
      <c r="N201" t="n">
        <v>0</v>
      </c>
      <c r="O201" t="n">
        <v>0</v>
      </c>
      <c r="P201" t="n">
        <v>0</v>
      </c>
      <c r="Q201" t="n">
        <v>0</v>
      </c>
      <c r="R201" s="2" t="inlineStr"/>
    </row>
    <row r="202" ht="15" customHeight="1">
      <c r="A202" t="inlineStr">
        <is>
          <t>A 35539-2023</t>
        </is>
      </c>
      <c r="B202" s="1" t="n">
        <v>45147.37006944444</v>
      </c>
      <c r="C202" s="1" t="n">
        <v>45933</v>
      </c>
      <c r="D202" t="inlineStr">
        <is>
          <t>UPPSALA LÄN</t>
        </is>
      </c>
      <c r="E202" t="inlineStr">
        <is>
          <t>ÖSTHAMMAR</t>
        </is>
      </c>
      <c r="G202" t="n">
        <v>1.4</v>
      </c>
      <c r="H202" t="n">
        <v>0</v>
      </c>
      <c r="I202" t="n">
        <v>0</v>
      </c>
      <c r="J202" t="n">
        <v>0</v>
      </c>
      <c r="K202" t="n">
        <v>0</v>
      </c>
      <c r="L202" t="n">
        <v>0</v>
      </c>
      <c r="M202" t="n">
        <v>0</v>
      </c>
      <c r="N202" t="n">
        <v>0</v>
      </c>
      <c r="O202" t="n">
        <v>0</v>
      </c>
      <c r="P202" t="n">
        <v>0</v>
      </c>
      <c r="Q202" t="n">
        <v>0</v>
      </c>
      <c r="R202" s="2" t="inlineStr"/>
    </row>
    <row r="203" ht="15" customHeight="1">
      <c r="A203" t="inlineStr">
        <is>
          <t>A 38233-2024</t>
        </is>
      </c>
      <c r="B203" s="1" t="n">
        <v>45545</v>
      </c>
      <c r="C203" s="1" t="n">
        <v>45933</v>
      </c>
      <c r="D203" t="inlineStr">
        <is>
          <t>UPPSALA LÄN</t>
        </is>
      </c>
      <c r="E203" t="inlineStr">
        <is>
          <t>ÖSTHAMMAR</t>
        </is>
      </c>
      <c r="G203" t="n">
        <v>3.4</v>
      </c>
      <c r="H203" t="n">
        <v>0</v>
      </c>
      <c r="I203" t="n">
        <v>0</v>
      </c>
      <c r="J203" t="n">
        <v>0</v>
      </c>
      <c r="K203" t="n">
        <v>0</v>
      </c>
      <c r="L203" t="n">
        <v>0</v>
      </c>
      <c r="M203" t="n">
        <v>0</v>
      </c>
      <c r="N203" t="n">
        <v>0</v>
      </c>
      <c r="O203" t="n">
        <v>0</v>
      </c>
      <c r="P203" t="n">
        <v>0</v>
      </c>
      <c r="Q203" t="n">
        <v>0</v>
      </c>
      <c r="R203" s="2" t="inlineStr"/>
    </row>
    <row r="204" ht="15" customHeight="1">
      <c r="A204" t="inlineStr">
        <is>
          <t>A 1567-2025</t>
        </is>
      </c>
      <c r="B204" s="1" t="n">
        <v>45670</v>
      </c>
      <c r="C204" s="1" t="n">
        <v>45933</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16185-2022</t>
        </is>
      </c>
      <c r="B205" s="1" t="n">
        <v>44669</v>
      </c>
      <c r="C205" s="1" t="n">
        <v>45933</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58297-2024</t>
        </is>
      </c>
      <c r="B206" s="1" t="n">
        <v>45632.59780092593</v>
      </c>
      <c r="C206" s="1" t="n">
        <v>45933</v>
      </c>
      <c r="D206" t="inlineStr">
        <is>
          <t>UPPSALA LÄN</t>
        </is>
      </c>
      <c r="E206" t="inlineStr">
        <is>
          <t>ÖSTHAMMAR</t>
        </is>
      </c>
      <c r="G206" t="n">
        <v>5.1</v>
      </c>
      <c r="H206" t="n">
        <v>0</v>
      </c>
      <c r="I206" t="n">
        <v>0</v>
      </c>
      <c r="J206" t="n">
        <v>0</v>
      </c>
      <c r="K206" t="n">
        <v>0</v>
      </c>
      <c r="L206" t="n">
        <v>0</v>
      </c>
      <c r="M206" t="n">
        <v>0</v>
      </c>
      <c r="N206" t="n">
        <v>0</v>
      </c>
      <c r="O206" t="n">
        <v>0</v>
      </c>
      <c r="P206" t="n">
        <v>0</v>
      </c>
      <c r="Q206" t="n">
        <v>0</v>
      </c>
      <c r="R206" s="2" t="inlineStr"/>
    </row>
    <row r="207" ht="15" customHeight="1">
      <c r="A207" t="inlineStr">
        <is>
          <t>A 56260-2022</t>
        </is>
      </c>
      <c r="B207" s="1" t="n">
        <v>44890</v>
      </c>
      <c r="C207" s="1" t="n">
        <v>45933</v>
      </c>
      <c r="D207" t="inlineStr">
        <is>
          <t>UPPSALA LÄN</t>
        </is>
      </c>
      <c r="E207" t="inlineStr">
        <is>
          <t>ÖSTHAMMAR</t>
        </is>
      </c>
      <c r="F207" t="inlineStr">
        <is>
          <t>Bergvik skog öst AB</t>
        </is>
      </c>
      <c r="G207" t="n">
        <v>0.5</v>
      </c>
      <c r="H207" t="n">
        <v>0</v>
      </c>
      <c r="I207" t="n">
        <v>0</v>
      </c>
      <c r="J207" t="n">
        <v>0</v>
      </c>
      <c r="K207" t="n">
        <v>0</v>
      </c>
      <c r="L207" t="n">
        <v>0</v>
      </c>
      <c r="M207" t="n">
        <v>0</v>
      </c>
      <c r="N207" t="n">
        <v>0</v>
      </c>
      <c r="O207" t="n">
        <v>0</v>
      </c>
      <c r="P207" t="n">
        <v>0</v>
      </c>
      <c r="Q207" t="n">
        <v>0</v>
      </c>
      <c r="R207" s="2" t="inlineStr"/>
    </row>
    <row r="208" ht="15" customHeight="1">
      <c r="A208" t="inlineStr">
        <is>
          <t>A 24316-2021</t>
        </is>
      </c>
      <c r="B208" s="1" t="n">
        <v>44337</v>
      </c>
      <c r="C208" s="1" t="n">
        <v>45933</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26328-2025</t>
        </is>
      </c>
      <c r="B209" s="1" t="n">
        <v>45805.67305555556</v>
      </c>
      <c r="C209" s="1" t="n">
        <v>45933</v>
      </c>
      <c r="D209" t="inlineStr">
        <is>
          <t>UPPSALA LÄN</t>
        </is>
      </c>
      <c r="E209" t="inlineStr">
        <is>
          <t>ÖSTHAMMAR</t>
        </is>
      </c>
      <c r="G209" t="n">
        <v>1.6</v>
      </c>
      <c r="H209" t="n">
        <v>0</v>
      </c>
      <c r="I209" t="n">
        <v>0</v>
      </c>
      <c r="J209" t="n">
        <v>0</v>
      </c>
      <c r="K209" t="n">
        <v>0</v>
      </c>
      <c r="L209" t="n">
        <v>0</v>
      </c>
      <c r="M209" t="n">
        <v>0</v>
      </c>
      <c r="N209" t="n">
        <v>0</v>
      </c>
      <c r="O209" t="n">
        <v>0</v>
      </c>
      <c r="P209" t="n">
        <v>0</v>
      </c>
      <c r="Q209" t="n">
        <v>0</v>
      </c>
      <c r="R209" s="2" t="inlineStr"/>
    </row>
    <row r="210" ht="15" customHeight="1">
      <c r="A210" t="inlineStr">
        <is>
          <t>A 26055-2025</t>
        </is>
      </c>
      <c r="B210" s="1" t="n">
        <v>45804.77559027778</v>
      </c>
      <c r="C210" s="1" t="n">
        <v>45933</v>
      </c>
      <c r="D210" t="inlineStr">
        <is>
          <t>UPPSALA LÄN</t>
        </is>
      </c>
      <c r="E210" t="inlineStr">
        <is>
          <t>ÖSTHAMMAR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26330-2025</t>
        </is>
      </c>
      <c r="B211" s="1" t="n">
        <v>45805.68263888889</v>
      </c>
      <c r="C211" s="1" t="n">
        <v>45933</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26319-2025</t>
        </is>
      </c>
      <c r="B212" s="1" t="n">
        <v>45805.65960648148</v>
      </c>
      <c r="C212" s="1" t="n">
        <v>45933</v>
      </c>
      <c r="D212" t="inlineStr">
        <is>
          <t>UPPSALA LÄN</t>
        </is>
      </c>
      <c r="E212" t="inlineStr">
        <is>
          <t>ÖSTHAMMAR</t>
        </is>
      </c>
      <c r="G212" t="n">
        <v>1</v>
      </c>
      <c r="H212" t="n">
        <v>0</v>
      </c>
      <c r="I212" t="n">
        <v>0</v>
      </c>
      <c r="J212" t="n">
        <v>0</v>
      </c>
      <c r="K212" t="n">
        <v>0</v>
      </c>
      <c r="L212" t="n">
        <v>0</v>
      </c>
      <c r="M212" t="n">
        <v>0</v>
      </c>
      <c r="N212" t="n">
        <v>0</v>
      </c>
      <c r="O212" t="n">
        <v>0</v>
      </c>
      <c r="P212" t="n">
        <v>0</v>
      </c>
      <c r="Q212" t="n">
        <v>0</v>
      </c>
      <c r="R212" s="2" t="inlineStr"/>
    </row>
    <row r="213" ht="15" customHeight="1">
      <c r="A213" t="inlineStr">
        <is>
          <t>A 46785-2023</t>
        </is>
      </c>
      <c r="B213" s="1" t="n">
        <v>45198</v>
      </c>
      <c r="C213" s="1" t="n">
        <v>45933</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29231-2024</t>
        </is>
      </c>
      <c r="B214" s="1" t="n">
        <v>45482</v>
      </c>
      <c r="C214" s="1" t="n">
        <v>45933</v>
      </c>
      <c r="D214" t="inlineStr">
        <is>
          <t>UPPSALA LÄN</t>
        </is>
      </c>
      <c r="E214" t="inlineStr">
        <is>
          <t>ÖSTHAMMAR</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22887-2022</t>
        </is>
      </c>
      <c r="B215" s="1" t="n">
        <v>44715</v>
      </c>
      <c r="C215" s="1" t="n">
        <v>45933</v>
      </c>
      <c r="D215" t="inlineStr">
        <is>
          <t>UPPSALA LÄN</t>
        </is>
      </c>
      <c r="E215" t="inlineStr">
        <is>
          <t>ÖSTHAMMAR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52544-2021</t>
        </is>
      </c>
      <c r="B216" s="1" t="n">
        <v>44466</v>
      </c>
      <c r="C216" s="1" t="n">
        <v>45933</v>
      </c>
      <c r="D216" t="inlineStr">
        <is>
          <t>UPPSALA LÄN</t>
        </is>
      </c>
      <c r="E216" t="inlineStr">
        <is>
          <t>ÖSTHAMMAR</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73965-2021</t>
        </is>
      </c>
      <c r="B217" s="1" t="n">
        <v>44553.80824074074</v>
      </c>
      <c r="C217" s="1" t="n">
        <v>45933</v>
      </c>
      <c r="D217" t="inlineStr">
        <is>
          <t>UPPSALA LÄN</t>
        </is>
      </c>
      <c r="E217" t="inlineStr">
        <is>
          <t>ÖSTHAMMAR</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73592-2021</t>
        </is>
      </c>
      <c r="B218" s="1" t="n">
        <v>44552.36974537037</v>
      </c>
      <c r="C218" s="1" t="n">
        <v>45933</v>
      </c>
      <c r="D218" t="inlineStr">
        <is>
          <t>UPPSALA LÄN</t>
        </is>
      </c>
      <c r="E218" t="inlineStr">
        <is>
          <t>ÖSTHAMMAR</t>
        </is>
      </c>
      <c r="G218" t="n">
        <v>1.7</v>
      </c>
      <c r="H218" t="n">
        <v>0</v>
      </c>
      <c r="I218" t="n">
        <v>0</v>
      </c>
      <c r="J218" t="n">
        <v>0</v>
      </c>
      <c r="K218" t="n">
        <v>0</v>
      </c>
      <c r="L218" t="n">
        <v>0</v>
      </c>
      <c r="M218" t="n">
        <v>0</v>
      </c>
      <c r="N218" t="n">
        <v>0</v>
      </c>
      <c r="O218" t="n">
        <v>0</v>
      </c>
      <c r="P218" t="n">
        <v>0</v>
      </c>
      <c r="Q218" t="n">
        <v>0</v>
      </c>
      <c r="R218" s="2" t="inlineStr"/>
    </row>
    <row r="219" ht="15" customHeight="1">
      <c r="A219" t="inlineStr">
        <is>
          <t>A 31479-2023</t>
        </is>
      </c>
      <c r="B219" s="1" t="n">
        <v>45114.79793981482</v>
      </c>
      <c r="C219" s="1" t="n">
        <v>45933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24128-2023</t>
        </is>
      </c>
      <c r="B220" s="1" t="n">
        <v>45079.50289351852</v>
      </c>
      <c r="C220" s="1" t="n">
        <v>45933</v>
      </c>
      <c r="D220" t="inlineStr">
        <is>
          <t>UPPSALA LÄN</t>
        </is>
      </c>
      <c r="E220" t="inlineStr">
        <is>
          <t>ÖSTHAMMAR</t>
        </is>
      </c>
      <c r="G220" t="n">
        <v>0.6</v>
      </c>
      <c r="H220" t="n">
        <v>0</v>
      </c>
      <c r="I220" t="n">
        <v>0</v>
      </c>
      <c r="J220" t="n">
        <v>0</v>
      </c>
      <c r="K220" t="n">
        <v>0</v>
      </c>
      <c r="L220" t="n">
        <v>0</v>
      </c>
      <c r="M220" t="n">
        <v>0</v>
      </c>
      <c r="N220" t="n">
        <v>0</v>
      </c>
      <c r="O220" t="n">
        <v>0</v>
      </c>
      <c r="P220" t="n">
        <v>0</v>
      </c>
      <c r="Q220" t="n">
        <v>0</v>
      </c>
      <c r="R220" s="2" t="inlineStr"/>
    </row>
    <row r="221" ht="15" customHeight="1">
      <c r="A221" t="inlineStr">
        <is>
          <t>A 35918-2023</t>
        </is>
      </c>
      <c r="B221" s="1" t="n">
        <v>45148.64976851852</v>
      </c>
      <c r="C221" s="1" t="n">
        <v>45933</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30931-2021</t>
        </is>
      </c>
      <c r="B222" s="1" t="n">
        <v>44365</v>
      </c>
      <c r="C222" s="1" t="n">
        <v>45933</v>
      </c>
      <c r="D222" t="inlineStr">
        <is>
          <t>UPPSALA LÄN</t>
        </is>
      </c>
      <c r="E222" t="inlineStr">
        <is>
          <t>ÖSTHAMMAR</t>
        </is>
      </c>
      <c r="F222" t="inlineStr">
        <is>
          <t>Bergvik skog öst AB</t>
        </is>
      </c>
      <c r="G222" t="n">
        <v>2.3</v>
      </c>
      <c r="H222" t="n">
        <v>0</v>
      </c>
      <c r="I222" t="n">
        <v>0</v>
      </c>
      <c r="J222" t="n">
        <v>0</v>
      </c>
      <c r="K222" t="n">
        <v>0</v>
      </c>
      <c r="L222" t="n">
        <v>0</v>
      </c>
      <c r="M222" t="n">
        <v>0</v>
      </c>
      <c r="N222" t="n">
        <v>0</v>
      </c>
      <c r="O222" t="n">
        <v>0</v>
      </c>
      <c r="P222" t="n">
        <v>0</v>
      </c>
      <c r="Q222" t="n">
        <v>0</v>
      </c>
      <c r="R222" s="2" t="inlineStr"/>
    </row>
    <row r="223" ht="15" customHeight="1">
      <c r="A223" t="inlineStr">
        <is>
          <t>A 26521-2025</t>
        </is>
      </c>
      <c r="B223" s="1" t="n">
        <v>45807.56275462963</v>
      </c>
      <c r="C223" s="1" t="n">
        <v>45933</v>
      </c>
      <c r="D223" t="inlineStr">
        <is>
          <t>UPPSALA LÄN</t>
        </is>
      </c>
      <c r="E223" t="inlineStr">
        <is>
          <t>ÖSTHAMMAR</t>
        </is>
      </c>
      <c r="G223" t="n">
        <v>1.1</v>
      </c>
      <c r="H223" t="n">
        <v>0</v>
      </c>
      <c r="I223" t="n">
        <v>0</v>
      </c>
      <c r="J223" t="n">
        <v>0</v>
      </c>
      <c r="K223" t="n">
        <v>0</v>
      </c>
      <c r="L223" t="n">
        <v>0</v>
      </c>
      <c r="M223" t="n">
        <v>0</v>
      </c>
      <c r="N223" t="n">
        <v>0</v>
      </c>
      <c r="O223" t="n">
        <v>0</v>
      </c>
      <c r="P223" t="n">
        <v>0</v>
      </c>
      <c r="Q223" t="n">
        <v>0</v>
      </c>
      <c r="R223" s="2" t="inlineStr"/>
    </row>
    <row r="224" ht="15" customHeight="1">
      <c r="A224" t="inlineStr">
        <is>
          <t>A 26526-2025</t>
        </is>
      </c>
      <c r="B224" s="1" t="n">
        <v>45807.56612268519</v>
      </c>
      <c r="C224" s="1" t="n">
        <v>45933</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4004-2023</t>
        </is>
      </c>
      <c r="B225" s="1" t="n">
        <v>44952</v>
      </c>
      <c r="C225" s="1" t="n">
        <v>45933</v>
      </c>
      <c r="D225" t="inlineStr">
        <is>
          <t>UPPSALA LÄN</t>
        </is>
      </c>
      <c r="E225" t="inlineStr">
        <is>
          <t>ÖSTHAMMAR</t>
        </is>
      </c>
      <c r="G225" t="n">
        <v>4.1</v>
      </c>
      <c r="H225" t="n">
        <v>0</v>
      </c>
      <c r="I225" t="n">
        <v>0</v>
      </c>
      <c r="J225" t="n">
        <v>0</v>
      </c>
      <c r="K225" t="n">
        <v>0</v>
      </c>
      <c r="L225" t="n">
        <v>0</v>
      </c>
      <c r="M225" t="n">
        <v>0</v>
      </c>
      <c r="N225" t="n">
        <v>0</v>
      </c>
      <c r="O225" t="n">
        <v>0</v>
      </c>
      <c r="P225" t="n">
        <v>0</v>
      </c>
      <c r="Q225" t="n">
        <v>0</v>
      </c>
      <c r="R225" s="2" t="inlineStr"/>
    </row>
    <row r="226" ht="15" customHeight="1">
      <c r="A226" t="inlineStr">
        <is>
          <t>A 64811-2021</t>
        </is>
      </c>
      <c r="B226" s="1" t="n">
        <v>44512</v>
      </c>
      <c r="C226" s="1" t="n">
        <v>45933</v>
      </c>
      <c r="D226" t="inlineStr">
        <is>
          <t>UPPSALA LÄN</t>
        </is>
      </c>
      <c r="E226" t="inlineStr">
        <is>
          <t>ÖSTHAMMAR</t>
        </is>
      </c>
      <c r="G226" t="n">
        <v>4.2</v>
      </c>
      <c r="H226" t="n">
        <v>0</v>
      </c>
      <c r="I226" t="n">
        <v>0</v>
      </c>
      <c r="J226" t="n">
        <v>0</v>
      </c>
      <c r="K226" t="n">
        <v>0</v>
      </c>
      <c r="L226" t="n">
        <v>0</v>
      </c>
      <c r="M226" t="n">
        <v>0</v>
      </c>
      <c r="N226" t="n">
        <v>0</v>
      </c>
      <c r="O226" t="n">
        <v>0</v>
      </c>
      <c r="P226" t="n">
        <v>0</v>
      </c>
      <c r="Q226" t="n">
        <v>0</v>
      </c>
      <c r="R226" s="2" t="inlineStr"/>
    </row>
    <row r="227" ht="15" customHeight="1">
      <c r="A227" t="inlineStr">
        <is>
          <t>A 34418-2022</t>
        </is>
      </c>
      <c r="B227" s="1" t="n">
        <v>44792</v>
      </c>
      <c r="C227" s="1" t="n">
        <v>45933</v>
      </c>
      <c r="D227" t="inlineStr">
        <is>
          <t>UPPSALA LÄN</t>
        </is>
      </c>
      <c r="E227" t="inlineStr">
        <is>
          <t>ÖSTHAMMAR</t>
        </is>
      </c>
      <c r="G227" t="n">
        <v>0.3</v>
      </c>
      <c r="H227" t="n">
        <v>0</v>
      </c>
      <c r="I227" t="n">
        <v>0</v>
      </c>
      <c r="J227" t="n">
        <v>0</v>
      </c>
      <c r="K227" t="n">
        <v>0</v>
      </c>
      <c r="L227" t="n">
        <v>0</v>
      </c>
      <c r="M227" t="n">
        <v>0</v>
      </c>
      <c r="N227" t="n">
        <v>0</v>
      </c>
      <c r="O227" t="n">
        <v>0</v>
      </c>
      <c r="P227" t="n">
        <v>0</v>
      </c>
      <c r="Q227" t="n">
        <v>0</v>
      </c>
      <c r="R227" s="2" t="inlineStr"/>
    </row>
    <row r="228" ht="15" customHeight="1">
      <c r="A228" t="inlineStr">
        <is>
          <t>A 1527-2025</t>
        </is>
      </c>
      <c r="B228" s="1" t="n">
        <v>45670</v>
      </c>
      <c r="C228" s="1" t="n">
        <v>45933</v>
      </c>
      <c r="D228" t="inlineStr">
        <is>
          <t>UPPSALA LÄN</t>
        </is>
      </c>
      <c r="E228" t="inlineStr">
        <is>
          <t>ÖSTHAMMAR</t>
        </is>
      </c>
      <c r="F228" t="inlineStr">
        <is>
          <t>Bergvik skog öst AB</t>
        </is>
      </c>
      <c r="G228" t="n">
        <v>7.7</v>
      </c>
      <c r="H228" t="n">
        <v>0</v>
      </c>
      <c r="I228" t="n">
        <v>0</v>
      </c>
      <c r="J228" t="n">
        <v>0</v>
      </c>
      <c r="K228" t="n">
        <v>0</v>
      </c>
      <c r="L228" t="n">
        <v>0</v>
      </c>
      <c r="M228" t="n">
        <v>0</v>
      </c>
      <c r="N228" t="n">
        <v>0</v>
      </c>
      <c r="O228" t="n">
        <v>0</v>
      </c>
      <c r="P228" t="n">
        <v>0</v>
      </c>
      <c r="Q228" t="n">
        <v>0</v>
      </c>
      <c r="R228" s="2" t="inlineStr"/>
    </row>
    <row r="229" ht="15" customHeight="1">
      <c r="A229" t="inlineStr">
        <is>
          <t>A 35474-2023</t>
        </is>
      </c>
      <c r="B229" s="1" t="n">
        <v>45146.68921296296</v>
      </c>
      <c r="C229" s="1" t="n">
        <v>45933</v>
      </c>
      <c r="D229" t="inlineStr">
        <is>
          <t>UPPSALA LÄN</t>
        </is>
      </c>
      <c r="E229" t="inlineStr">
        <is>
          <t>ÖSTHAMMAR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8830-2023</t>
        </is>
      </c>
      <c r="B230" s="1" t="n">
        <v>44978</v>
      </c>
      <c r="C230" s="1" t="n">
        <v>45933</v>
      </c>
      <c r="D230" t="inlineStr">
        <is>
          <t>UPPSALA LÄN</t>
        </is>
      </c>
      <c r="E230" t="inlineStr">
        <is>
          <t>ÖSTHAMMAR</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6106-2024</t>
        </is>
      </c>
      <c r="B231" s="1" t="n">
        <v>45337.36831018519</v>
      </c>
      <c r="C231" s="1" t="n">
        <v>45933</v>
      </c>
      <c r="D231" t="inlineStr">
        <is>
          <t>UPPSALA LÄN</t>
        </is>
      </c>
      <c r="E231" t="inlineStr">
        <is>
          <t>ÖSTHAMMAR</t>
        </is>
      </c>
      <c r="G231" t="n">
        <v>0.6</v>
      </c>
      <c r="H231" t="n">
        <v>0</v>
      </c>
      <c r="I231" t="n">
        <v>0</v>
      </c>
      <c r="J231" t="n">
        <v>0</v>
      </c>
      <c r="K231" t="n">
        <v>0</v>
      </c>
      <c r="L231" t="n">
        <v>0</v>
      </c>
      <c r="M231" t="n">
        <v>0</v>
      </c>
      <c r="N231" t="n">
        <v>0</v>
      </c>
      <c r="O231" t="n">
        <v>0</v>
      </c>
      <c r="P231" t="n">
        <v>0</v>
      </c>
      <c r="Q231" t="n">
        <v>0</v>
      </c>
      <c r="R231" s="2" t="inlineStr"/>
    </row>
    <row r="232" ht="15" customHeight="1">
      <c r="A232" t="inlineStr">
        <is>
          <t>A 26303-2024</t>
        </is>
      </c>
      <c r="B232" s="1" t="n">
        <v>45468</v>
      </c>
      <c r="C232" s="1" t="n">
        <v>45933</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27395-2025</t>
        </is>
      </c>
      <c r="B233" s="1" t="n">
        <v>45812.6850462963</v>
      </c>
      <c r="C233" s="1" t="n">
        <v>45933</v>
      </c>
      <c r="D233" t="inlineStr">
        <is>
          <t>UPPSALA LÄN</t>
        </is>
      </c>
      <c r="E233" t="inlineStr">
        <is>
          <t>ÖSTHAMMAR</t>
        </is>
      </c>
      <c r="F233" t="inlineStr">
        <is>
          <t>Bergvik skog öst AB</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44152-2024</t>
        </is>
      </c>
      <c r="B234" s="1" t="n">
        <v>45572</v>
      </c>
      <c r="C234" s="1" t="n">
        <v>45933</v>
      </c>
      <c r="D234" t="inlineStr">
        <is>
          <t>UPPSALA LÄN</t>
        </is>
      </c>
      <c r="E234" t="inlineStr">
        <is>
          <t>ÖSTHAMMAR</t>
        </is>
      </c>
      <c r="G234" t="n">
        <v>1.6</v>
      </c>
      <c r="H234" t="n">
        <v>0</v>
      </c>
      <c r="I234" t="n">
        <v>0</v>
      </c>
      <c r="J234" t="n">
        <v>0</v>
      </c>
      <c r="K234" t="n">
        <v>0</v>
      </c>
      <c r="L234" t="n">
        <v>0</v>
      </c>
      <c r="M234" t="n">
        <v>0</v>
      </c>
      <c r="N234" t="n">
        <v>0</v>
      </c>
      <c r="O234" t="n">
        <v>0</v>
      </c>
      <c r="P234" t="n">
        <v>0</v>
      </c>
      <c r="Q234" t="n">
        <v>0</v>
      </c>
      <c r="R234" s="2" t="inlineStr"/>
    </row>
    <row r="235" ht="15" customHeight="1">
      <c r="A235" t="inlineStr">
        <is>
          <t>A 27347-2025</t>
        </is>
      </c>
      <c r="B235" s="1" t="n">
        <v>45812.62390046296</v>
      </c>
      <c r="C235" s="1" t="n">
        <v>45933</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33550-2024</t>
        </is>
      </c>
      <c r="B236" s="1" t="n">
        <v>45519.81043981481</v>
      </c>
      <c r="C236" s="1" t="n">
        <v>45933</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4561-2022</t>
        </is>
      </c>
      <c r="B237" s="1" t="n">
        <v>44591.59170138889</v>
      </c>
      <c r="C237" s="1" t="n">
        <v>45933</v>
      </c>
      <c r="D237" t="inlineStr">
        <is>
          <t>UPPSALA LÄN</t>
        </is>
      </c>
      <c r="E237" t="inlineStr">
        <is>
          <t>ÖSTHAMMAR</t>
        </is>
      </c>
      <c r="F237" t="inlineStr">
        <is>
          <t>Bergvik skog öst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27383-2025</t>
        </is>
      </c>
      <c r="B238" s="1" t="n">
        <v>45812.66628472223</v>
      </c>
      <c r="C238" s="1" t="n">
        <v>45933</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27385-2025</t>
        </is>
      </c>
      <c r="B239" s="1" t="n">
        <v>45812.66829861111</v>
      </c>
      <c r="C239" s="1" t="n">
        <v>45933</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27352-2025</t>
        </is>
      </c>
      <c r="B240" s="1" t="n">
        <v>45812.62694444445</v>
      </c>
      <c r="C240" s="1" t="n">
        <v>45933</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62295-2022</t>
        </is>
      </c>
      <c r="B241" s="1" t="n">
        <v>44916</v>
      </c>
      <c r="C241" s="1" t="n">
        <v>45933</v>
      </c>
      <c r="D241" t="inlineStr">
        <is>
          <t>UPPSALA LÄN</t>
        </is>
      </c>
      <c r="E241" t="inlineStr">
        <is>
          <t>ÖSTHAMMAR</t>
        </is>
      </c>
      <c r="G241" t="n">
        <v>3.3</v>
      </c>
      <c r="H241" t="n">
        <v>0</v>
      </c>
      <c r="I241" t="n">
        <v>0</v>
      </c>
      <c r="J241" t="n">
        <v>0</v>
      </c>
      <c r="K241" t="n">
        <v>0</v>
      </c>
      <c r="L241" t="n">
        <v>0</v>
      </c>
      <c r="M241" t="n">
        <v>0</v>
      </c>
      <c r="N241" t="n">
        <v>0</v>
      </c>
      <c r="O241" t="n">
        <v>0</v>
      </c>
      <c r="P241" t="n">
        <v>0</v>
      </c>
      <c r="Q241" t="n">
        <v>0</v>
      </c>
      <c r="R241" s="2" t="inlineStr"/>
    </row>
    <row r="242" ht="15" customHeight="1">
      <c r="A242" t="inlineStr">
        <is>
          <t>A 22709-2021</t>
        </is>
      </c>
      <c r="B242" s="1" t="n">
        <v>44327.61518518518</v>
      </c>
      <c r="C242" s="1" t="n">
        <v>45933</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27131-2025</t>
        </is>
      </c>
      <c r="B243" s="1" t="n">
        <v>45811</v>
      </c>
      <c r="C243" s="1" t="n">
        <v>45933</v>
      </c>
      <c r="D243" t="inlineStr">
        <is>
          <t>UPPSALA LÄN</t>
        </is>
      </c>
      <c r="E243" t="inlineStr">
        <is>
          <t>ÖSTHAMMAR</t>
        </is>
      </c>
      <c r="G243" t="n">
        <v>1.9</v>
      </c>
      <c r="H243" t="n">
        <v>0</v>
      </c>
      <c r="I243" t="n">
        <v>0</v>
      </c>
      <c r="J243" t="n">
        <v>0</v>
      </c>
      <c r="K243" t="n">
        <v>0</v>
      </c>
      <c r="L243" t="n">
        <v>0</v>
      </c>
      <c r="M243" t="n">
        <v>0</v>
      </c>
      <c r="N243" t="n">
        <v>0</v>
      </c>
      <c r="O243" t="n">
        <v>0</v>
      </c>
      <c r="P243" t="n">
        <v>0</v>
      </c>
      <c r="Q243" t="n">
        <v>0</v>
      </c>
      <c r="R243" s="2" t="inlineStr"/>
    </row>
    <row r="244" ht="15" customHeight="1">
      <c r="A244" t="inlineStr">
        <is>
          <t>A 27392-2025</t>
        </is>
      </c>
      <c r="B244" s="1" t="n">
        <v>45812.68268518519</v>
      </c>
      <c r="C244" s="1" t="n">
        <v>45933</v>
      </c>
      <c r="D244" t="inlineStr">
        <is>
          <t>UPPSALA LÄN</t>
        </is>
      </c>
      <c r="E244" t="inlineStr">
        <is>
          <t>ÖSTHAMMAR</t>
        </is>
      </c>
      <c r="F244" t="inlineStr">
        <is>
          <t>Bergvik skog öst AB</t>
        </is>
      </c>
      <c r="G244" t="n">
        <v>2.1</v>
      </c>
      <c r="H244" t="n">
        <v>0</v>
      </c>
      <c r="I244" t="n">
        <v>0</v>
      </c>
      <c r="J244" t="n">
        <v>0</v>
      </c>
      <c r="K244" t="n">
        <v>0</v>
      </c>
      <c r="L244" t="n">
        <v>0</v>
      </c>
      <c r="M244" t="n">
        <v>0</v>
      </c>
      <c r="N244" t="n">
        <v>0</v>
      </c>
      <c r="O244" t="n">
        <v>0</v>
      </c>
      <c r="P244" t="n">
        <v>0</v>
      </c>
      <c r="Q244" t="n">
        <v>0</v>
      </c>
      <c r="R244" s="2" t="inlineStr"/>
    </row>
    <row r="245" ht="15" customHeight="1">
      <c r="A245" t="inlineStr">
        <is>
          <t>A 27058-2025</t>
        </is>
      </c>
      <c r="B245" s="1" t="n">
        <v>45811.63436342592</v>
      </c>
      <c r="C245" s="1" t="n">
        <v>45933</v>
      </c>
      <c r="D245" t="inlineStr">
        <is>
          <t>UPPSALA LÄN</t>
        </is>
      </c>
      <c r="E245" t="inlineStr">
        <is>
          <t>ÖSTHAMMAR</t>
        </is>
      </c>
      <c r="F245" t="inlineStr">
        <is>
          <t>Bergvik skog öst AB</t>
        </is>
      </c>
      <c r="G245" t="n">
        <v>5.7</v>
      </c>
      <c r="H245" t="n">
        <v>0</v>
      </c>
      <c r="I245" t="n">
        <v>0</v>
      </c>
      <c r="J245" t="n">
        <v>0</v>
      </c>
      <c r="K245" t="n">
        <v>0</v>
      </c>
      <c r="L245" t="n">
        <v>0</v>
      </c>
      <c r="M245" t="n">
        <v>0</v>
      </c>
      <c r="N245" t="n">
        <v>0</v>
      </c>
      <c r="O245" t="n">
        <v>0</v>
      </c>
      <c r="P245" t="n">
        <v>0</v>
      </c>
      <c r="Q245" t="n">
        <v>0</v>
      </c>
      <c r="R245" s="2" t="inlineStr"/>
    </row>
    <row r="246" ht="15" customHeight="1">
      <c r="A246" t="inlineStr">
        <is>
          <t>A 32815-2024</t>
        </is>
      </c>
      <c r="B246" s="1" t="n">
        <v>45516.57682870371</v>
      </c>
      <c r="C246" s="1" t="n">
        <v>45933</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17651-2025</t>
        </is>
      </c>
      <c r="B247" s="1" t="n">
        <v>45758.33304398148</v>
      </c>
      <c r="C247" s="1" t="n">
        <v>45933</v>
      </c>
      <c r="D247" t="inlineStr">
        <is>
          <t>UPPSALA LÄN</t>
        </is>
      </c>
      <c r="E247" t="inlineStr">
        <is>
          <t>ÖSTHAMMAR</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27384-2025</t>
        </is>
      </c>
      <c r="B248" s="1" t="n">
        <v>45812.6672337963</v>
      </c>
      <c r="C248" s="1" t="n">
        <v>45933</v>
      </c>
      <c r="D248" t="inlineStr">
        <is>
          <t>UPPSALA LÄN</t>
        </is>
      </c>
      <c r="E248" t="inlineStr">
        <is>
          <t>ÖSTHAMMAR</t>
        </is>
      </c>
      <c r="G248" t="n">
        <v>1.6</v>
      </c>
      <c r="H248" t="n">
        <v>0</v>
      </c>
      <c r="I248" t="n">
        <v>0</v>
      </c>
      <c r="J248" t="n">
        <v>0</v>
      </c>
      <c r="K248" t="n">
        <v>0</v>
      </c>
      <c r="L248" t="n">
        <v>0</v>
      </c>
      <c r="M248" t="n">
        <v>0</v>
      </c>
      <c r="N248" t="n">
        <v>0</v>
      </c>
      <c r="O248" t="n">
        <v>0</v>
      </c>
      <c r="P248" t="n">
        <v>0</v>
      </c>
      <c r="Q248" t="n">
        <v>0</v>
      </c>
      <c r="R248" s="2" t="inlineStr"/>
    </row>
    <row r="249" ht="15" customHeight="1">
      <c r="A249" t="inlineStr">
        <is>
          <t>A 32884-2024</t>
        </is>
      </c>
      <c r="B249" s="1" t="n">
        <v>45516.72097222223</v>
      </c>
      <c r="C249" s="1" t="n">
        <v>45933</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27350-2025</t>
        </is>
      </c>
      <c r="B250" s="1" t="n">
        <v>45812.62571759259</v>
      </c>
      <c r="C250" s="1" t="n">
        <v>45933</v>
      </c>
      <c r="D250" t="inlineStr">
        <is>
          <t>UPPSALA LÄN</t>
        </is>
      </c>
      <c r="E250" t="inlineStr">
        <is>
          <t>ÖSTHAMMAR</t>
        </is>
      </c>
      <c r="G250" t="n">
        <v>1</v>
      </c>
      <c r="H250" t="n">
        <v>0</v>
      </c>
      <c r="I250" t="n">
        <v>0</v>
      </c>
      <c r="J250" t="n">
        <v>0</v>
      </c>
      <c r="K250" t="n">
        <v>0</v>
      </c>
      <c r="L250" t="n">
        <v>0</v>
      </c>
      <c r="M250" t="n">
        <v>0</v>
      </c>
      <c r="N250" t="n">
        <v>0</v>
      </c>
      <c r="O250" t="n">
        <v>0</v>
      </c>
      <c r="P250" t="n">
        <v>0</v>
      </c>
      <c r="Q250" t="n">
        <v>0</v>
      </c>
      <c r="R250" s="2" t="inlineStr"/>
    </row>
    <row r="251" ht="15" customHeight="1">
      <c r="A251" t="inlineStr">
        <is>
          <t>A 27132-2025</t>
        </is>
      </c>
      <c r="B251" s="1" t="n">
        <v>45811</v>
      </c>
      <c r="C251" s="1" t="n">
        <v>45933</v>
      </c>
      <c r="D251" t="inlineStr">
        <is>
          <t>UPPSALA LÄN</t>
        </is>
      </c>
      <c r="E251" t="inlineStr">
        <is>
          <t>ÖSTHAMMAR</t>
        </is>
      </c>
      <c r="G251" t="n">
        <v>2.3</v>
      </c>
      <c r="H251" t="n">
        <v>0</v>
      </c>
      <c r="I251" t="n">
        <v>0</v>
      </c>
      <c r="J251" t="n">
        <v>0</v>
      </c>
      <c r="K251" t="n">
        <v>0</v>
      </c>
      <c r="L251" t="n">
        <v>0</v>
      </c>
      <c r="M251" t="n">
        <v>0</v>
      </c>
      <c r="N251" t="n">
        <v>0</v>
      </c>
      <c r="O251" t="n">
        <v>0</v>
      </c>
      <c r="P251" t="n">
        <v>0</v>
      </c>
      <c r="Q251" t="n">
        <v>0</v>
      </c>
      <c r="R251" s="2" t="inlineStr"/>
    </row>
    <row r="252" ht="15" customHeight="1">
      <c r="A252" t="inlineStr">
        <is>
          <t>A 8330-2025</t>
        </is>
      </c>
      <c r="B252" s="1" t="n">
        <v>45708</v>
      </c>
      <c r="C252" s="1" t="n">
        <v>45933</v>
      </c>
      <c r="D252" t="inlineStr">
        <is>
          <t>UPPSALA LÄN</t>
        </is>
      </c>
      <c r="E252" t="inlineStr">
        <is>
          <t>ÖSTHAMMAR</t>
        </is>
      </c>
      <c r="F252" t="inlineStr">
        <is>
          <t>Övriga Aktiebolag</t>
        </is>
      </c>
      <c r="G252" t="n">
        <v>2.4</v>
      </c>
      <c r="H252" t="n">
        <v>0</v>
      </c>
      <c r="I252" t="n">
        <v>0</v>
      </c>
      <c r="J252" t="n">
        <v>0</v>
      </c>
      <c r="K252" t="n">
        <v>0</v>
      </c>
      <c r="L252" t="n">
        <v>0</v>
      </c>
      <c r="M252" t="n">
        <v>0</v>
      </c>
      <c r="N252" t="n">
        <v>0</v>
      </c>
      <c r="O252" t="n">
        <v>0</v>
      </c>
      <c r="P252" t="n">
        <v>0</v>
      </c>
      <c r="Q252" t="n">
        <v>0</v>
      </c>
      <c r="R252" s="2" t="inlineStr"/>
    </row>
    <row r="253" ht="15" customHeight="1">
      <c r="A253" t="inlineStr">
        <is>
          <t>A 19040-2023</t>
        </is>
      </c>
      <c r="B253" s="1" t="n">
        <v>45047</v>
      </c>
      <c r="C253" s="1" t="n">
        <v>45933</v>
      </c>
      <c r="D253" t="inlineStr">
        <is>
          <t>UPPSALA LÄN</t>
        </is>
      </c>
      <c r="E253" t="inlineStr">
        <is>
          <t>ÖSTHAMMAR</t>
        </is>
      </c>
      <c r="F253" t="inlineStr">
        <is>
          <t>Bergvik skog öst AB</t>
        </is>
      </c>
      <c r="G253" t="n">
        <v>1.7</v>
      </c>
      <c r="H253" t="n">
        <v>0</v>
      </c>
      <c r="I253" t="n">
        <v>0</v>
      </c>
      <c r="J253" t="n">
        <v>0</v>
      </c>
      <c r="K253" t="n">
        <v>0</v>
      </c>
      <c r="L253" t="n">
        <v>0</v>
      </c>
      <c r="M253" t="n">
        <v>0</v>
      </c>
      <c r="N253" t="n">
        <v>0</v>
      </c>
      <c r="O253" t="n">
        <v>0</v>
      </c>
      <c r="P253" t="n">
        <v>0</v>
      </c>
      <c r="Q253" t="n">
        <v>0</v>
      </c>
      <c r="R253" s="2" t="inlineStr"/>
    </row>
    <row r="254" ht="15" customHeight="1">
      <c r="A254" t="inlineStr">
        <is>
          <t>A 18838-2023</t>
        </is>
      </c>
      <c r="B254" s="1" t="n">
        <v>45044</v>
      </c>
      <c r="C254" s="1" t="n">
        <v>45933</v>
      </c>
      <c r="D254" t="inlineStr">
        <is>
          <t>UPPSALA LÄN</t>
        </is>
      </c>
      <c r="E254" t="inlineStr">
        <is>
          <t>ÖSTHAMMAR</t>
        </is>
      </c>
      <c r="G254" t="n">
        <v>2.8</v>
      </c>
      <c r="H254" t="n">
        <v>0</v>
      </c>
      <c r="I254" t="n">
        <v>0</v>
      </c>
      <c r="J254" t="n">
        <v>0</v>
      </c>
      <c r="K254" t="n">
        <v>0</v>
      </c>
      <c r="L254" t="n">
        <v>0</v>
      </c>
      <c r="M254" t="n">
        <v>0</v>
      </c>
      <c r="N254" t="n">
        <v>0</v>
      </c>
      <c r="O254" t="n">
        <v>0</v>
      </c>
      <c r="P254" t="n">
        <v>0</v>
      </c>
      <c r="Q254" t="n">
        <v>0</v>
      </c>
      <c r="R254" s="2" t="inlineStr"/>
    </row>
    <row r="255" ht="15" customHeight="1">
      <c r="A255" t="inlineStr">
        <is>
          <t>A 27563-2025</t>
        </is>
      </c>
      <c r="B255" s="1" t="n">
        <v>45813.48471064815</v>
      </c>
      <c r="C255" s="1" t="n">
        <v>45933</v>
      </c>
      <c r="D255" t="inlineStr">
        <is>
          <t>UPPSALA LÄN</t>
        </is>
      </c>
      <c r="E255" t="inlineStr">
        <is>
          <t>ÖSTHAMMAR</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27920-2025</t>
        </is>
      </c>
      <c r="B256" s="1" t="n">
        <v>45817.48454861111</v>
      </c>
      <c r="C256" s="1" t="n">
        <v>45933</v>
      </c>
      <c r="D256" t="inlineStr">
        <is>
          <t>UPPSALA LÄN</t>
        </is>
      </c>
      <c r="E256" t="inlineStr">
        <is>
          <t>ÖSTHAMMAR</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17022-2021</t>
        </is>
      </c>
      <c r="B257" s="1" t="n">
        <v>44295.65875</v>
      </c>
      <c r="C257" s="1" t="n">
        <v>45933</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1436-2025</t>
        </is>
      </c>
      <c r="B258" s="1" t="n">
        <v>45669.67625</v>
      </c>
      <c r="C258" s="1" t="n">
        <v>45933</v>
      </c>
      <c r="D258" t="inlineStr">
        <is>
          <t>UPPSALA LÄN</t>
        </is>
      </c>
      <c r="E258" t="inlineStr">
        <is>
          <t>ÖSTHAMMAR</t>
        </is>
      </c>
      <c r="G258" t="n">
        <v>0.6</v>
      </c>
      <c r="H258" t="n">
        <v>0</v>
      </c>
      <c r="I258" t="n">
        <v>0</v>
      </c>
      <c r="J258" t="n">
        <v>0</v>
      </c>
      <c r="K258" t="n">
        <v>0</v>
      </c>
      <c r="L258" t="n">
        <v>0</v>
      </c>
      <c r="M258" t="n">
        <v>0</v>
      </c>
      <c r="N258" t="n">
        <v>0</v>
      </c>
      <c r="O258" t="n">
        <v>0</v>
      </c>
      <c r="P258" t="n">
        <v>0</v>
      </c>
      <c r="Q258" t="n">
        <v>0</v>
      </c>
      <c r="R258" s="2" t="inlineStr"/>
    </row>
    <row r="259" ht="15" customHeight="1">
      <c r="A259" t="inlineStr">
        <is>
          <t>A 10290-2025</t>
        </is>
      </c>
      <c r="B259" s="1" t="n">
        <v>45720.41847222222</v>
      </c>
      <c r="C259" s="1" t="n">
        <v>45933</v>
      </c>
      <c r="D259" t="inlineStr">
        <is>
          <t>UPPSALA LÄN</t>
        </is>
      </c>
      <c r="E259" t="inlineStr">
        <is>
          <t>ÖSTHAMMAR</t>
        </is>
      </c>
      <c r="G259" t="n">
        <v>8.6</v>
      </c>
      <c r="H259" t="n">
        <v>0</v>
      </c>
      <c r="I259" t="n">
        <v>0</v>
      </c>
      <c r="J259" t="n">
        <v>0</v>
      </c>
      <c r="K259" t="n">
        <v>0</v>
      </c>
      <c r="L259" t="n">
        <v>0</v>
      </c>
      <c r="M259" t="n">
        <v>0</v>
      </c>
      <c r="N259" t="n">
        <v>0</v>
      </c>
      <c r="O259" t="n">
        <v>0</v>
      </c>
      <c r="P259" t="n">
        <v>0</v>
      </c>
      <c r="Q259" t="n">
        <v>0</v>
      </c>
      <c r="R259" s="2" t="inlineStr"/>
    </row>
    <row r="260" ht="15" customHeight="1">
      <c r="A260" t="inlineStr">
        <is>
          <t>A 28100-2025</t>
        </is>
      </c>
      <c r="B260" s="1" t="n">
        <v>45817.83487268518</v>
      </c>
      <c r="C260" s="1" t="n">
        <v>45933</v>
      </c>
      <c r="D260" t="inlineStr">
        <is>
          <t>UPPSALA LÄN</t>
        </is>
      </c>
      <c r="E260" t="inlineStr">
        <is>
          <t>ÖSTHAMMAR</t>
        </is>
      </c>
      <c r="F260" t="inlineStr">
        <is>
          <t>Bergvik skog öst AB</t>
        </is>
      </c>
      <c r="G260" t="n">
        <v>3.2</v>
      </c>
      <c r="H260" t="n">
        <v>0</v>
      </c>
      <c r="I260" t="n">
        <v>0</v>
      </c>
      <c r="J260" t="n">
        <v>0</v>
      </c>
      <c r="K260" t="n">
        <v>0</v>
      </c>
      <c r="L260" t="n">
        <v>0</v>
      </c>
      <c r="M260" t="n">
        <v>0</v>
      </c>
      <c r="N260" t="n">
        <v>0</v>
      </c>
      <c r="O260" t="n">
        <v>0</v>
      </c>
      <c r="P260" t="n">
        <v>0</v>
      </c>
      <c r="Q260" t="n">
        <v>0</v>
      </c>
      <c r="R260" s="2" t="inlineStr"/>
    </row>
    <row r="261" ht="15" customHeight="1">
      <c r="A261" t="inlineStr">
        <is>
          <t>A 38702-2022</t>
        </is>
      </c>
      <c r="B261" s="1" t="n">
        <v>44814.5991087963</v>
      </c>
      <c r="C261" s="1" t="n">
        <v>45933</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33062-2021</t>
        </is>
      </c>
      <c r="B262" s="1" t="n">
        <v>44376</v>
      </c>
      <c r="C262" s="1" t="n">
        <v>45933</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61261-2022</t>
        </is>
      </c>
      <c r="B263" s="1" t="n">
        <v>44915.59645833333</v>
      </c>
      <c r="C263" s="1" t="n">
        <v>45933</v>
      </c>
      <c r="D263" t="inlineStr">
        <is>
          <t>UPPSALA LÄN</t>
        </is>
      </c>
      <c r="E263" t="inlineStr">
        <is>
          <t>ÖSTHAMMAR</t>
        </is>
      </c>
      <c r="G263" t="n">
        <v>0.4</v>
      </c>
      <c r="H263" t="n">
        <v>0</v>
      </c>
      <c r="I263" t="n">
        <v>0</v>
      </c>
      <c r="J263" t="n">
        <v>0</v>
      </c>
      <c r="K263" t="n">
        <v>0</v>
      </c>
      <c r="L263" t="n">
        <v>0</v>
      </c>
      <c r="M263" t="n">
        <v>0</v>
      </c>
      <c r="N263" t="n">
        <v>0</v>
      </c>
      <c r="O263" t="n">
        <v>0</v>
      </c>
      <c r="P263" t="n">
        <v>0</v>
      </c>
      <c r="Q263" t="n">
        <v>0</v>
      </c>
      <c r="R263" s="2" t="inlineStr"/>
    </row>
    <row r="264" ht="15" customHeight="1">
      <c r="A264" t="inlineStr">
        <is>
          <t>A 4984-2024</t>
        </is>
      </c>
      <c r="B264" s="1" t="n">
        <v>45329</v>
      </c>
      <c r="C264" s="1" t="n">
        <v>45933</v>
      </c>
      <c r="D264" t="inlineStr">
        <is>
          <t>UPPSALA LÄN</t>
        </is>
      </c>
      <c r="E264" t="inlineStr">
        <is>
          <t>ÖSTHAMMAR</t>
        </is>
      </c>
      <c r="G264" t="n">
        <v>2.2</v>
      </c>
      <c r="H264" t="n">
        <v>0</v>
      </c>
      <c r="I264" t="n">
        <v>0</v>
      </c>
      <c r="J264" t="n">
        <v>0</v>
      </c>
      <c r="K264" t="n">
        <v>0</v>
      </c>
      <c r="L264" t="n">
        <v>0</v>
      </c>
      <c r="M264" t="n">
        <v>0</v>
      </c>
      <c r="N264" t="n">
        <v>0</v>
      </c>
      <c r="O264" t="n">
        <v>0</v>
      </c>
      <c r="P264" t="n">
        <v>0</v>
      </c>
      <c r="Q264" t="n">
        <v>0</v>
      </c>
      <c r="R264" s="2" t="inlineStr"/>
    </row>
    <row r="265" ht="15" customHeight="1">
      <c r="A265" t="inlineStr">
        <is>
          <t>A 28099-2025</t>
        </is>
      </c>
      <c r="B265" s="1" t="n">
        <v>45817.82967592592</v>
      </c>
      <c r="C265" s="1" t="n">
        <v>45933</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27812-2025</t>
        </is>
      </c>
      <c r="B266" s="1" t="n">
        <v>45817.32150462963</v>
      </c>
      <c r="C266" s="1" t="n">
        <v>45933</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28101-2025</t>
        </is>
      </c>
      <c r="B267" s="1" t="n">
        <v>45817.83736111111</v>
      </c>
      <c r="C267" s="1" t="n">
        <v>45933</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45102-2024</t>
        </is>
      </c>
      <c r="B268" s="1" t="n">
        <v>45575.58836805556</v>
      </c>
      <c r="C268" s="1" t="n">
        <v>45933</v>
      </c>
      <c r="D268" t="inlineStr">
        <is>
          <t>UPPSALA LÄN</t>
        </is>
      </c>
      <c r="E268" t="inlineStr">
        <is>
          <t>ÖSTHAMMAR</t>
        </is>
      </c>
      <c r="G268" t="n">
        <v>8.6</v>
      </c>
      <c r="H268" t="n">
        <v>0</v>
      </c>
      <c r="I268" t="n">
        <v>0</v>
      </c>
      <c r="J268" t="n">
        <v>0</v>
      </c>
      <c r="K268" t="n">
        <v>0</v>
      </c>
      <c r="L268" t="n">
        <v>0</v>
      </c>
      <c r="M268" t="n">
        <v>0</v>
      </c>
      <c r="N268" t="n">
        <v>0</v>
      </c>
      <c r="O268" t="n">
        <v>0</v>
      </c>
      <c r="P268" t="n">
        <v>0</v>
      </c>
      <c r="Q268" t="n">
        <v>0</v>
      </c>
      <c r="R268" s="2" t="inlineStr"/>
    </row>
    <row r="269" ht="15" customHeight="1">
      <c r="A269" t="inlineStr">
        <is>
          <t>A 74429-2021</t>
        </is>
      </c>
      <c r="B269" s="1" t="n">
        <v>44560.43136574074</v>
      </c>
      <c r="C269" s="1" t="n">
        <v>45933</v>
      </c>
      <c r="D269" t="inlineStr">
        <is>
          <t>UPPSALA LÄN</t>
        </is>
      </c>
      <c r="E269" t="inlineStr">
        <is>
          <t>ÖSTHAMMAR</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27919-2025</t>
        </is>
      </c>
      <c r="B270" s="1" t="n">
        <v>45817.48384259259</v>
      </c>
      <c r="C270" s="1" t="n">
        <v>45933</v>
      </c>
      <c r="D270" t="inlineStr">
        <is>
          <t>UPPSALA LÄN</t>
        </is>
      </c>
      <c r="E270" t="inlineStr">
        <is>
          <t>ÖSTHAMMAR</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27853-2025</t>
        </is>
      </c>
      <c r="B271" s="1" t="n">
        <v>45817.40178240741</v>
      </c>
      <c r="C271" s="1" t="n">
        <v>45933</v>
      </c>
      <c r="D271" t="inlineStr">
        <is>
          <t>UPPSALA LÄN</t>
        </is>
      </c>
      <c r="E271" t="inlineStr">
        <is>
          <t>ÖSTHAMMAR</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7543-2023</t>
        </is>
      </c>
      <c r="B272" s="1" t="n">
        <v>44972</v>
      </c>
      <c r="C272" s="1" t="n">
        <v>45933</v>
      </c>
      <c r="D272" t="inlineStr">
        <is>
          <t>UPPSALA LÄN</t>
        </is>
      </c>
      <c r="E272" t="inlineStr">
        <is>
          <t>ÖSTHAMMAR</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27509-2025</t>
        </is>
      </c>
      <c r="B273" s="1" t="n">
        <v>45813.4278125</v>
      </c>
      <c r="C273" s="1" t="n">
        <v>45933</v>
      </c>
      <c r="D273" t="inlineStr">
        <is>
          <t>UPPSALA LÄN</t>
        </is>
      </c>
      <c r="E273" t="inlineStr">
        <is>
          <t>ÖSTHAMMAR</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45307-2023</t>
        </is>
      </c>
      <c r="B274" s="1" t="n">
        <v>45191</v>
      </c>
      <c r="C274" s="1" t="n">
        <v>45933</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28745-2025</t>
        </is>
      </c>
      <c r="B275" s="1" t="n">
        <v>45820.39076388889</v>
      </c>
      <c r="C275" s="1" t="n">
        <v>45933</v>
      </c>
      <c r="D275" t="inlineStr">
        <is>
          <t>UPPSALA LÄN</t>
        </is>
      </c>
      <c r="E275" t="inlineStr">
        <is>
          <t>ÖSTHAMMAR</t>
        </is>
      </c>
      <c r="G275" t="n">
        <v>1.7</v>
      </c>
      <c r="H275" t="n">
        <v>0</v>
      </c>
      <c r="I275" t="n">
        <v>0</v>
      </c>
      <c r="J275" t="n">
        <v>0</v>
      </c>
      <c r="K275" t="n">
        <v>0</v>
      </c>
      <c r="L275" t="n">
        <v>0</v>
      </c>
      <c r="M275" t="n">
        <v>0</v>
      </c>
      <c r="N275" t="n">
        <v>0</v>
      </c>
      <c r="O275" t="n">
        <v>0</v>
      </c>
      <c r="P275" t="n">
        <v>0</v>
      </c>
      <c r="Q275" t="n">
        <v>0</v>
      </c>
      <c r="R275" s="2" t="inlineStr"/>
    </row>
    <row r="276" ht="15" customHeight="1">
      <c r="A276" t="inlineStr">
        <is>
          <t>A 20634-2024</t>
        </is>
      </c>
      <c r="B276" s="1" t="n">
        <v>45436</v>
      </c>
      <c r="C276" s="1" t="n">
        <v>45933</v>
      </c>
      <c r="D276" t="inlineStr">
        <is>
          <t>UPPSALA LÄN</t>
        </is>
      </c>
      <c r="E276" t="inlineStr">
        <is>
          <t>ÖSTHAMMAR</t>
        </is>
      </c>
      <c r="G276" t="n">
        <v>6.5</v>
      </c>
      <c r="H276" t="n">
        <v>0</v>
      </c>
      <c r="I276" t="n">
        <v>0</v>
      </c>
      <c r="J276" t="n">
        <v>0</v>
      </c>
      <c r="K276" t="n">
        <v>0</v>
      </c>
      <c r="L276" t="n">
        <v>0</v>
      </c>
      <c r="M276" t="n">
        <v>0</v>
      </c>
      <c r="N276" t="n">
        <v>0</v>
      </c>
      <c r="O276" t="n">
        <v>0</v>
      </c>
      <c r="P276" t="n">
        <v>0</v>
      </c>
      <c r="Q276" t="n">
        <v>0</v>
      </c>
      <c r="R276" s="2" t="inlineStr"/>
    </row>
    <row r="277" ht="15" customHeight="1">
      <c r="A277" t="inlineStr">
        <is>
          <t>A 6661-2024</t>
        </is>
      </c>
      <c r="B277" s="1" t="n">
        <v>45341.70582175926</v>
      </c>
      <c r="C277" s="1" t="n">
        <v>45933</v>
      </c>
      <c r="D277" t="inlineStr">
        <is>
          <t>UPPSALA LÄN</t>
        </is>
      </c>
      <c r="E277" t="inlineStr">
        <is>
          <t>ÖSTHAMMAR</t>
        </is>
      </c>
      <c r="G277" t="n">
        <v>0.2</v>
      </c>
      <c r="H277" t="n">
        <v>0</v>
      </c>
      <c r="I277" t="n">
        <v>0</v>
      </c>
      <c r="J277" t="n">
        <v>0</v>
      </c>
      <c r="K277" t="n">
        <v>0</v>
      </c>
      <c r="L277" t="n">
        <v>0</v>
      </c>
      <c r="M277" t="n">
        <v>0</v>
      </c>
      <c r="N277" t="n">
        <v>0</v>
      </c>
      <c r="O277" t="n">
        <v>0</v>
      </c>
      <c r="P277" t="n">
        <v>0</v>
      </c>
      <c r="Q277" t="n">
        <v>0</v>
      </c>
      <c r="R277" s="2" t="inlineStr"/>
    </row>
    <row r="278" ht="15" customHeight="1">
      <c r="A278" t="inlineStr">
        <is>
          <t>A 28748-2025</t>
        </is>
      </c>
      <c r="B278" s="1" t="n">
        <v>45820.39540509259</v>
      </c>
      <c r="C278" s="1" t="n">
        <v>45933</v>
      </c>
      <c r="D278" t="inlineStr">
        <is>
          <t>UPPSALA LÄN</t>
        </is>
      </c>
      <c r="E278" t="inlineStr">
        <is>
          <t>ÖSTHAMMAR</t>
        </is>
      </c>
      <c r="G278" t="n">
        <v>2</v>
      </c>
      <c r="H278" t="n">
        <v>0</v>
      </c>
      <c r="I278" t="n">
        <v>0</v>
      </c>
      <c r="J278" t="n">
        <v>0</v>
      </c>
      <c r="K278" t="n">
        <v>0</v>
      </c>
      <c r="L278" t="n">
        <v>0</v>
      </c>
      <c r="M278" t="n">
        <v>0</v>
      </c>
      <c r="N278" t="n">
        <v>0</v>
      </c>
      <c r="O278" t="n">
        <v>0</v>
      </c>
      <c r="P278" t="n">
        <v>0</v>
      </c>
      <c r="Q278" t="n">
        <v>0</v>
      </c>
      <c r="R278" s="2" t="inlineStr"/>
    </row>
    <row r="279" ht="15" customHeight="1">
      <c r="A279" t="inlineStr">
        <is>
          <t>A 28442-2025</t>
        </is>
      </c>
      <c r="B279" s="1" t="n">
        <v>45819</v>
      </c>
      <c r="C279" s="1" t="n">
        <v>45933</v>
      </c>
      <c r="D279" t="inlineStr">
        <is>
          <t>UPPSALA LÄN</t>
        </is>
      </c>
      <c r="E279" t="inlineStr">
        <is>
          <t>ÖSTHAMMAR</t>
        </is>
      </c>
      <c r="F279" t="inlineStr">
        <is>
          <t>Övriga Aktiebolag</t>
        </is>
      </c>
      <c r="G279" t="n">
        <v>1.8</v>
      </c>
      <c r="H279" t="n">
        <v>0</v>
      </c>
      <c r="I279" t="n">
        <v>0</v>
      </c>
      <c r="J279" t="n">
        <v>0</v>
      </c>
      <c r="K279" t="n">
        <v>0</v>
      </c>
      <c r="L279" t="n">
        <v>0</v>
      </c>
      <c r="M279" t="n">
        <v>0</v>
      </c>
      <c r="N279" t="n">
        <v>0</v>
      </c>
      <c r="O279" t="n">
        <v>0</v>
      </c>
      <c r="P279" t="n">
        <v>0</v>
      </c>
      <c r="Q279" t="n">
        <v>0</v>
      </c>
      <c r="R279" s="2" t="inlineStr"/>
    </row>
    <row r="280" ht="15" customHeight="1">
      <c r="A280" t="inlineStr">
        <is>
          <t>A 4101-2022</t>
        </is>
      </c>
      <c r="B280" s="1" t="n">
        <v>44588</v>
      </c>
      <c r="C280" s="1" t="n">
        <v>45933</v>
      </c>
      <c r="D280" t="inlineStr">
        <is>
          <t>UPPSALA LÄN</t>
        </is>
      </c>
      <c r="E280" t="inlineStr">
        <is>
          <t>ÖSTHAMMAR</t>
        </is>
      </c>
      <c r="G280" t="n">
        <v>4.4</v>
      </c>
      <c r="H280" t="n">
        <v>0</v>
      </c>
      <c r="I280" t="n">
        <v>0</v>
      </c>
      <c r="J280" t="n">
        <v>0</v>
      </c>
      <c r="K280" t="n">
        <v>0</v>
      </c>
      <c r="L280" t="n">
        <v>0</v>
      </c>
      <c r="M280" t="n">
        <v>0</v>
      </c>
      <c r="N280" t="n">
        <v>0</v>
      </c>
      <c r="O280" t="n">
        <v>0</v>
      </c>
      <c r="P280" t="n">
        <v>0</v>
      </c>
      <c r="Q280" t="n">
        <v>0</v>
      </c>
      <c r="R280" s="2" t="inlineStr"/>
    </row>
    <row r="281" ht="15" customHeight="1">
      <c r="A281" t="inlineStr">
        <is>
          <t>A 23728-2025</t>
        </is>
      </c>
      <c r="B281" s="1" t="n">
        <v>45793.41719907407</v>
      </c>
      <c r="C281" s="1" t="n">
        <v>45933</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52478-2024</t>
        </is>
      </c>
      <c r="B282" s="1" t="n">
        <v>45609.55065972222</v>
      </c>
      <c r="C282" s="1" t="n">
        <v>45933</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5933-2022</t>
        </is>
      </c>
      <c r="B283" s="1" t="n">
        <v>44598.82957175926</v>
      </c>
      <c r="C283" s="1" t="n">
        <v>45933</v>
      </c>
      <c r="D283" t="inlineStr">
        <is>
          <t>UPPSALA LÄN</t>
        </is>
      </c>
      <c r="E283" t="inlineStr">
        <is>
          <t>ÖSTHAMMAR</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28739-2025</t>
        </is>
      </c>
      <c r="B284" s="1" t="n">
        <v>45820</v>
      </c>
      <c r="C284" s="1" t="n">
        <v>45933</v>
      </c>
      <c r="D284" t="inlineStr">
        <is>
          <t>UPPSALA LÄN</t>
        </is>
      </c>
      <c r="E284" t="inlineStr">
        <is>
          <t>ÖSTHAMMAR</t>
        </is>
      </c>
      <c r="G284" t="n">
        <v>1.4</v>
      </c>
      <c r="H284" t="n">
        <v>0</v>
      </c>
      <c r="I284" t="n">
        <v>0</v>
      </c>
      <c r="J284" t="n">
        <v>0</v>
      </c>
      <c r="K284" t="n">
        <v>0</v>
      </c>
      <c r="L284" t="n">
        <v>0</v>
      </c>
      <c r="M284" t="n">
        <v>0</v>
      </c>
      <c r="N284" t="n">
        <v>0</v>
      </c>
      <c r="O284" t="n">
        <v>0</v>
      </c>
      <c r="P284" t="n">
        <v>0</v>
      </c>
      <c r="Q284" t="n">
        <v>0</v>
      </c>
      <c r="R284" s="2" t="inlineStr"/>
    </row>
    <row r="285" ht="15" customHeight="1">
      <c r="A285" t="inlineStr">
        <is>
          <t>A 27486-2025</t>
        </is>
      </c>
      <c r="B285" s="1" t="n">
        <v>45813.38521990741</v>
      </c>
      <c r="C285" s="1" t="n">
        <v>45933</v>
      </c>
      <c r="D285" t="inlineStr">
        <is>
          <t>UPPSALA LÄN</t>
        </is>
      </c>
      <c r="E285" t="inlineStr">
        <is>
          <t>ÖSTHAMMAR</t>
        </is>
      </c>
      <c r="F285" t="inlineStr">
        <is>
          <t>Bergvik skog öst AB</t>
        </is>
      </c>
      <c r="G285" t="n">
        <v>1.7</v>
      </c>
      <c r="H285" t="n">
        <v>0</v>
      </c>
      <c r="I285" t="n">
        <v>0</v>
      </c>
      <c r="J285" t="n">
        <v>0</v>
      </c>
      <c r="K285" t="n">
        <v>0</v>
      </c>
      <c r="L285" t="n">
        <v>0</v>
      </c>
      <c r="M285" t="n">
        <v>0</v>
      </c>
      <c r="N285" t="n">
        <v>0</v>
      </c>
      <c r="O285" t="n">
        <v>0</v>
      </c>
      <c r="P285" t="n">
        <v>0</v>
      </c>
      <c r="Q285" t="n">
        <v>0</v>
      </c>
      <c r="R285" s="2" t="inlineStr"/>
    </row>
    <row r="286" ht="15" customHeight="1">
      <c r="A286" t="inlineStr">
        <is>
          <t>A 29873-2023</t>
        </is>
      </c>
      <c r="B286" s="1" t="n">
        <v>45107</v>
      </c>
      <c r="C286" s="1" t="n">
        <v>45933</v>
      </c>
      <c r="D286" t="inlineStr">
        <is>
          <t>UPPSALA LÄN</t>
        </is>
      </c>
      <c r="E286" t="inlineStr">
        <is>
          <t>ÖSTHAMMAR</t>
        </is>
      </c>
      <c r="F286" t="inlineStr">
        <is>
          <t>Naturvårdsverket</t>
        </is>
      </c>
      <c r="G286" t="n">
        <v>7.8</v>
      </c>
      <c r="H286" t="n">
        <v>0</v>
      </c>
      <c r="I286" t="n">
        <v>0</v>
      </c>
      <c r="J286" t="n">
        <v>0</v>
      </c>
      <c r="K286" t="n">
        <v>0</v>
      </c>
      <c r="L286" t="n">
        <v>0</v>
      </c>
      <c r="M286" t="n">
        <v>0</v>
      </c>
      <c r="N286" t="n">
        <v>0</v>
      </c>
      <c r="O286" t="n">
        <v>0</v>
      </c>
      <c r="P286" t="n">
        <v>0</v>
      </c>
      <c r="Q286" t="n">
        <v>0</v>
      </c>
      <c r="R286" s="2" t="inlineStr"/>
    </row>
    <row r="287" ht="15" customHeight="1">
      <c r="A287" t="inlineStr">
        <is>
          <t>A 52650-2022</t>
        </is>
      </c>
      <c r="B287" s="1" t="n">
        <v>44874</v>
      </c>
      <c r="C287" s="1" t="n">
        <v>45933</v>
      </c>
      <c r="D287" t="inlineStr">
        <is>
          <t>UPPSALA LÄN</t>
        </is>
      </c>
      <c r="E287" t="inlineStr">
        <is>
          <t>ÖSTHAMMAR</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52661-2022</t>
        </is>
      </c>
      <c r="B288" s="1" t="n">
        <v>44874</v>
      </c>
      <c r="C288" s="1" t="n">
        <v>45933</v>
      </c>
      <c r="D288" t="inlineStr">
        <is>
          <t>UPPSALA LÄN</t>
        </is>
      </c>
      <c r="E288" t="inlineStr">
        <is>
          <t>ÖSTHAMMAR</t>
        </is>
      </c>
      <c r="F288" t="inlineStr">
        <is>
          <t>Bergvik skog öst AB</t>
        </is>
      </c>
      <c r="G288" t="n">
        <v>0.2</v>
      </c>
      <c r="H288" t="n">
        <v>0</v>
      </c>
      <c r="I288" t="n">
        <v>0</v>
      </c>
      <c r="J288" t="n">
        <v>0</v>
      </c>
      <c r="K288" t="n">
        <v>0</v>
      </c>
      <c r="L288" t="n">
        <v>0</v>
      </c>
      <c r="M288" t="n">
        <v>0</v>
      </c>
      <c r="N288" t="n">
        <v>0</v>
      </c>
      <c r="O288" t="n">
        <v>0</v>
      </c>
      <c r="P288" t="n">
        <v>0</v>
      </c>
      <c r="Q288" t="n">
        <v>0</v>
      </c>
      <c r="R288" s="2" t="inlineStr"/>
    </row>
    <row r="289" ht="15" customHeight="1">
      <c r="A289" t="inlineStr">
        <is>
          <t>A 29029-2025</t>
        </is>
      </c>
      <c r="B289" s="1" t="n">
        <v>45821.43973379629</v>
      </c>
      <c r="C289" s="1" t="n">
        <v>45933</v>
      </c>
      <c r="D289" t="inlineStr">
        <is>
          <t>UPPSALA LÄN</t>
        </is>
      </c>
      <c r="E289" t="inlineStr">
        <is>
          <t>ÖSTHAMMAR</t>
        </is>
      </c>
      <c r="F289" t="inlineStr">
        <is>
          <t>Bergvik skog öst AB</t>
        </is>
      </c>
      <c r="G289" t="n">
        <v>4.2</v>
      </c>
      <c r="H289" t="n">
        <v>0</v>
      </c>
      <c r="I289" t="n">
        <v>0</v>
      </c>
      <c r="J289" t="n">
        <v>0</v>
      </c>
      <c r="K289" t="n">
        <v>0</v>
      </c>
      <c r="L289" t="n">
        <v>0</v>
      </c>
      <c r="M289" t="n">
        <v>0</v>
      </c>
      <c r="N289" t="n">
        <v>0</v>
      </c>
      <c r="O289" t="n">
        <v>0</v>
      </c>
      <c r="P289" t="n">
        <v>0</v>
      </c>
      <c r="Q289" t="n">
        <v>0</v>
      </c>
      <c r="R289" s="2" t="inlineStr"/>
    </row>
    <row r="290" ht="15" customHeight="1">
      <c r="A290" t="inlineStr">
        <is>
          <t>A 3732-2022</t>
        </is>
      </c>
      <c r="B290" s="1" t="n">
        <v>44586.64851851852</v>
      </c>
      <c r="C290" s="1" t="n">
        <v>45933</v>
      </c>
      <c r="D290" t="inlineStr">
        <is>
          <t>UPPSALA LÄN</t>
        </is>
      </c>
      <c r="E290" t="inlineStr">
        <is>
          <t>ÖSTHAMMAR</t>
        </is>
      </c>
      <c r="F290" t="inlineStr">
        <is>
          <t>Bergvik skog öst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29028-2025</t>
        </is>
      </c>
      <c r="B291" s="1" t="n">
        <v>45821.4384375</v>
      </c>
      <c r="C291" s="1" t="n">
        <v>45933</v>
      </c>
      <c r="D291" t="inlineStr">
        <is>
          <t>UPPSALA LÄN</t>
        </is>
      </c>
      <c r="E291" t="inlineStr">
        <is>
          <t>ÖSTHAMMAR</t>
        </is>
      </c>
      <c r="F291" t="inlineStr">
        <is>
          <t>Bergvik skog öst AB</t>
        </is>
      </c>
      <c r="G291" t="n">
        <v>1.7</v>
      </c>
      <c r="H291" t="n">
        <v>0</v>
      </c>
      <c r="I291" t="n">
        <v>0</v>
      </c>
      <c r="J291" t="n">
        <v>0</v>
      </c>
      <c r="K291" t="n">
        <v>0</v>
      </c>
      <c r="L291" t="n">
        <v>0</v>
      </c>
      <c r="M291" t="n">
        <v>0</v>
      </c>
      <c r="N291" t="n">
        <v>0</v>
      </c>
      <c r="O291" t="n">
        <v>0</v>
      </c>
      <c r="P291" t="n">
        <v>0</v>
      </c>
      <c r="Q291" t="n">
        <v>0</v>
      </c>
      <c r="R291" s="2" t="inlineStr"/>
    </row>
    <row r="292" ht="15" customHeight="1">
      <c r="A292" t="inlineStr">
        <is>
          <t>A 38003-2024</t>
        </is>
      </c>
      <c r="B292" s="1" t="n">
        <v>45544</v>
      </c>
      <c r="C292" s="1" t="n">
        <v>45933</v>
      </c>
      <c r="D292" t="inlineStr">
        <is>
          <t>UPPSALA LÄN</t>
        </is>
      </c>
      <c r="E292" t="inlineStr">
        <is>
          <t>ÖSTHAMMAR</t>
        </is>
      </c>
      <c r="F292" t="inlineStr">
        <is>
          <t>Naturvårdsverket</t>
        </is>
      </c>
      <c r="G292" t="n">
        <v>4.2</v>
      </c>
      <c r="H292" t="n">
        <v>0</v>
      </c>
      <c r="I292" t="n">
        <v>0</v>
      </c>
      <c r="J292" t="n">
        <v>0</v>
      </c>
      <c r="K292" t="n">
        <v>0</v>
      </c>
      <c r="L292" t="n">
        <v>0</v>
      </c>
      <c r="M292" t="n">
        <v>0</v>
      </c>
      <c r="N292" t="n">
        <v>0</v>
      </c>
      <c r="O292" t="n">
        <v>0</v>
      </c>
      <c r="P292" t="n">
        <v>0</v>
      </c>
      <c r="Q292" t="n">
        <v>0</v>
      </c>
      <c r="R292" s="2" t="inlineStr"/>
    </row>
    <row r="293" ht="15" customHeight="1">
      <c r="A293" t="inlineStr">
        <is>
          <t>A 29031-2025</t>
        </is>
      </c>
      <c r="B293" s="1" t="n">
        <v>45821.44159722222</v>
      </c>
      <c r="C293" s="1" t="n">
        <v>45933</v>
      </c>
      <c r="D293" t="inlineStr">
        <is>
          <t>UPPSALA LÄN</t>
        </is>
      </c>
      <c r="E293" t="inlineStr">
        <is>
          <t>ÖSTHAMMAR</t>
        </is>
      </c>
      <c r="F293" t="inlineStr">
        <is>
          <t>Bergvik skog öst AB</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27490-2025</t>
        </is>
      </c>
      <c r="B294" s="1" t="n">
        <v>45813.39273148148</v>
      </c>
      <c r="C294" s="1" t="n">
        <v>45933</v>
      </c>
      <c r="D294" t="inlineStr">
        <is>
          <t>UPPSALA LÄN</t>
        </is>
      </c>
      <c r="E294" t="inlineStr">
        <is>
          <t>ÖSTHAMMAR</t>
        </is>
      </c>
      <c r="F294" t="inlineStr">
        <is>
          <t>Bergvik skog öst AB</t>
        </is>
      </c>
      <c r="G294" t="n">
        <v>6.1</v>
      </c>
      <c r="H294" t="n">
        <v>0</v>
      </c>
      <c r="I294" t="n">
        <v>0</v>
      </c>
      <c r="J294" t="n">
        <v>0</v>
      </c>
      <c r="K294" t="n">
        <v>0</v>
      </c>
      <c r="L294" t="n">
        <v>0</v>
      </c>
      <c r="M294" t="n">
        <v>0</v>
      </c>
      <c r="N294" t="n">
        <v>0</v>
      </c>
      <c r="O294" t="n">
        <v>0</v>
      </c>
      <c r="P294" t="n">
        <v>0</v>
      </c>
      <c r="Q294" t="n">
        <v>0</v>
      </c>
      <c r="R294" s="2" t="inlineStr"/>
    </row>
    <row r="295" ht="15" customHeight="1">
      <c r="A295" t="inlineStr">
        <is>
          <t>A 27494-2025</t>
        </is>
      </c>
      <c r="B295" s="1" t="n">
        <v>45813.39756944445</v>
      </c>
      <c r="C295" s="1" t="n">
        <v>45933</v>
      </c>
      <c r="D295" t="inlineStr">
        <is>
          <t>UPPSALA LÄN</t>
        </is>
      </c>
      <c r="E295" t="inlineStr">
        <is>
          <t>ÖSTHAMMAR</t>
        </is>
      </c>
      <c r="F295" t="inlineStr">
        <is>
          <t>Bergvik skog öst AB</t>
        </is>
      </c>
      <c r="G295" t="n">
        <v>23.4</v>
      </c>
      <c r="H295" t="n">
        <v>0</v>
      </c>
      <c r="I295" t="n">
        <v>0</v>
      </c>
      <c r="J295" t="n">
        <v>0</v>
      </c>
      <c r="K295" t="n">
        <v>0</v>
      </c>
      <c r="L295" t="n">
        <v>0</v>
      </c>
      <c r="M295" t="n">
        <v>0</v>
      </c>
      <c r="N295" t="n">
        <v>0</v>
      </c>
      <c r="O295" t="n">
        <v>0</v>
      </c>
      <c r="P295" t="n">
        <v>0</v>
      </c>
      <c r="Q295" t="n">
        <v>0</v>
      </c>
      <c r="R295" s="2" t="inlineStr"/>
    </row>
    <row r="296" ht="15" customHeight="1">
      <c r="A296" t="inlineStr">
        <is>
          <t>A 1575-2025</t>
        </is>
      </c>
      <c r="B296" s="1" t="n">
        <v>45670</v>
      </c>
      <c r="C296" s="1" t="n">
        <v>45933</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16141-2022</t>
        </is>
      </c>
      <c r="B297" s="1" t="n">
        <v>44665</v>
      </c>
      <c r="C297" s="1" t="n">
        <v>45933</v>
      </c>
      <c r="D297" t="inlineStr">
        <is>
          <t>UPPSALA LÄN</t>
        </is>
      </c>
      <c r="E297" t="inlineStr">
        <is>
          <t>ÖSTHAMMAR</t>
        </is>
      </c>
      <c r="F297" t="inlineStr">
        <is>
          <t>Bergvik skog öst AB</t>
        </is>
      </c>
      <c r="G297" t="n">
        <v>1.3</v>
      </c>
      <c r="H297" t="n">
        <v>0</v>
      </c>
      <c r="I297" t="n">
        <v>0</v>
      </c>
      <c r="J297" t="n">
        <v>0</v>
      </c>
      <c r="K297" t="n">
        <v>0</v>
      </c>
      <c r="L297" t="n">
        <v>0</v>
      </c>
      <c r="M297" t="n">
        <v>0</v>
      </c>
      <c r="N297" t="n">
        <v>0</v>
      </c>
      <c r="O297" t="n">
        <v>0</v>
      </c>
      <c r="P297" t="n">
        <v>0</v>
      </c>
      <c r="Q297" t="n">
        <v>0</v>
      </c>
      <c r="R297" s="2" t="inlineStr"/>
    </row>
    <row r="298" ht="15" customHeight="1">
      <c r="A298" t="inlineStr">
        <is>
          <t>A 13279-2022</t>
        </is>
      </c>
      <c r="B298" s="1" t="n">
        <v>44644</v>
      </c>
      <c r="C298" s="1" t="n">
        <v>45933</v>
      </c>
      <c r="D298" t="inlineStr">
        <is>
          <t>UPPSALA LÄN</t>
        </is>
      </c>
      <c r="E298" t="inlineStr">
        <is>
          <t>ÖSTHAMMAR</t>
        </is>
      </c>
      <c r="G298" t="n">
        <v>1.4</v>
      </c>
      <c r="H298" t="n">
        <v>0</v>
      </c>
      <c r="I298" t="n">
        <v>0</v>
      </c>
      <c r="J298" t="n">
        <v>0</v>
      </c>
      <c r="K298" t="n">
        <v>0</v>
      </c>
      <c r="L298" t="n">
        <v>0</v>
      </c>
      <c r="M298" t="n">
        <v>0</v>
      </c>
      <c r="N298" t="n">
        <v>0</v>
      </c>
      <c r="O298" t="n">
        <v>0</v>
      </c>
      <c r="P298" t="n">
        <v>0</v>
      </c>
      <c r="Q298" t="n">
        <v>0</v>
      </c>
      <c r="R298" s="2" t="inlineStr"/>
    </row>
    <row r="299" ht="15" customHeight="1">
      <c r="A299" t="inlineStr">
        <is>
          <t>A 6892-2022</t>
        </is>
      </c>
      <c r="B299" s="1" t="n">
        <v>44602</v>
      </c>
      <c r="C299" s="1" t="n">
        <v>45933</v>
      </c>
      <c r="D299" t="inlineStr">
        <is>
          <t>UPPSALA LÄN</t>
        </is>
      </c>
      <c r="E299" t="inlineStr">
        <is>
          <t>ÖSTHAMMAR</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28152-2024</t>
        </is>
      </c>
      <c r="B300" s="1" t="n">
        <v>45476.77056712963</v>
      </c>
      <c r="C300" s="1" t="n">
        <v>45933</v>
      </c>
      <c r="D300" t="inlineStr">
        <is>
          <t>UPPSALA LÄN</t>
        </is>
      </c>
      <c r="E300" t="inlineStr">
        <is>
          <t>ÖSTHAMMAR</t>
        </is>
      </c>
      <c r="F300" t="inlineStr">
        <is>
          <t>Bergvik skog öst AB</t>
        </is>
      </c>
      <c r="G300" t="n">
        <v>0.5</v>
      </c>
      <c r="H300" t="n">
        <v>0</v>
      </c>
      <c r="I300" t="n">
        <v>0</v>
      </c>
      <c r="J300" t="n">
        <v>0</v>
      </c>
      <c r="K300" t="n">
        <v>0</v>
      </c>
      <c r="L300" t="n">
        <v>0</v>
      </c>
      <c r="M300" t="n">
        <v>0</v>
      </c>
      <c r="N300" t="n">
        <v>0</v>
      </c>
      <c r="O300" t="n">
        <v>0</v>
      </c>
      <c r="P300" t="n">
        <v>0</v>
      </c>
      <c r="Q300" t="n">
        <v>0</v>
      </c>
      <c r="R300" s="2" t="inlineStr"/>
    </row>
    <row r="301" ht="15" customHeight="1">
      <c r="A301" t="inlineStr">
        <is>
          <t>A 29384-2025</t>
        </is>
      </c>
      <c r="B301" s="1" t="n">
        <v>45824</v>
      </c>
      <c r="C301" s="1" t="n">
        <v>45933</v>
      </c>
      <c r="D301" t="inlineStr">
        <is>
          <t>UPPSALA LÄN</t>
        </is>
      </c>
      <c r="E301" t="inlineStr">
        <is>
          <t>ÖSTHAMMAR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29024-2025</t>
        </is>
      </c>
      <c r="B302" s="1" t="n">
        <v>45821.43233796296</v>
      </c>
      <c r="C302" s="1" t="n">
        <v>45933</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45933</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55389-2020</t>
        </is>
      </c>
      <c r="B304" s="1" t="n">
        <v>44131.38030092593</v>
      </c>
      <c r="C304" s="1" t="n">
        <v>45933</v>
      </c>
      <c r="D304" t="inlineStr">
        <is>
          <t>UPPSALA LÄN</t>
        </is>
      </c>
      <c r="E304" t="inlineStr">
        <is>
          <t>ÖSTHAMMAR</t>
        </is>
      </c>
      <c r="G304" t="n">
        <v>1.3</v>
      </c>
      <c r="H304" t="n">
        <v>0</v>
      </c>
      <c r="I304" t="n">
        <v>0</v>
      </c>
      <c r="J304" t="n">
        <v>0</v>
      </c>
      <c r="K304" t="n">
        <v>0</v>
      </c>
      <c r="L304" t="n">
        <v>0</v>
      </c>
      <c r="M304" t="n">
        <v>0</v>
      </c>
      <c r="N304" t="n">
        <v>0</v>
      </c>
      <c r="O304" t="n">
        <v>0</v>
      </c>
      <c r="P304" t="n">
        <v>0</v>
      </c>
      <c r="Q304" t="n">
        <v>0</v>
      </c>
      <c r="R304" s="2" t="inlineStr"/>
    </row>
    <row r="305" ht="15" customHeight="1">
      <c r="A305" t="inlineStr">
        <is>
          <t>A 49097-2022</t>
        </is>
      </c>
      <c r="B305" s="1" t="n">
        <v>44860</v>
      </c>
      <c r="C305" s="1" t="n">
        <v>45933</v>
      </c>
      <c r="D305" t="inlineStr">
        <is>
          <t>UPPSALA LÄN</t>
        </is>
      </c>
      <c r="E305" t="inlineStr">
        <is>
          <t>ÖSTHAMMAR</t>
        </is>
      </c>
      <c r="G305" t="n">
        <v>6.9</v>
      </c>
      <c r="H305" t="n">
        <v>0</v>
      </c>
      <c r="I305" t="n">
        <v>0</v>
      </c>
      <c r="J305" t="n">
        <v>0</v>
      </c>
      <c r="K305" t="n">
        <v>0</v>
      </c>
      <c r="L305" t="n">
        <v>0</v>
      </c>
      <c r="M305" t="n">
        <v>0</v>
      </c>
      <c r="N305" t="n">
        <v>0</v>
      </c>
      <c r="O305" t="n">
        <v>0</v>
      </c>
      <c r="P305" t="n">
        <v>0</v>
      </c>
      <c r="Q305" t="n">
        <v>0</v>
      </c>
      <c r="R305" s="2" t="inlineStr"/>
    </row>
    <row r="306" ht="15" customHeight="1">
      <c r="A306" t="inlineStr">
        <is>
          <t>A 13044-2022</t>
        </is>
      </c>
      <c r="B306" s="1" t="n">
        <v>44643</v>
      </c>
      <c r="C306" s="1" t="n">
        <v>45933</v>
      </c>
      <c r="D306" t="inlineStr">
        <is>
          <t>UPPSALA LÄN</t>
        </is>
      </c>
      <c r="E306" t="inlineStr">
        <is>
          <t>ÖSTHAMMAR</t>
        </is>
      </c>
      <c r="G306" t="n">
        <v>2.5</v>
      </c>
      <c r="H306" t="n">
        <v>0</v>
      </c>
      <c r="I306" t="n">
        <v>0</v>
      </c>
      <c r="J306" t="n">
        <v>0</v>
      </c>
      <c r="K306" t="n">
        <v>0</v>
      </c>
      <c r="L306" t="n">
        <v>0</v>
      </c>
      <c r="M306" t="n">
        <v>0</v>
      </c>
      <c r="N306" t="n">
        <v>0</v>
      </c>
      <c r="O306" t="n">
        <v>0</v>
      </c>
      <c r="P306" t="n">
        <v>0</v>
      </c>
      <c r="Q306" t="n">
        <v>0</v>
      </c>
      <c r="R306" s="2" t="inlineStr"/>
    </row>
    <row r="307" ht="15" customHeight="1">
      <c r="A307" t="inlineStr">
        <is>
          <t>A 8763-2025</t>
        </is>
      </c>
      <c r="B307" s="1" t="n">
        <v>45712.57872685185</v>
      </c>
      <c r="C307" s="1" t="n">
        <v>45933</v>
      </c>
      <c r="D307" t="inlineStr">
        <is>
          <t>UPPSALA LÄN</t>
        </is>
      </c>
      <c r="E307" t="inlineStr">
        <is>
          <t>ÖSTHAMMAR</t>
        </is>
      </c>
      <c r="G307" t="n">
        <v>0.6</v>
      </c>
      <c r="H307" t="n">
        <v>0</v>
      </c>
      <c r="I307" t="n">
        <v>0</v>
      </c>
      <c r="J307" t="n">
        <v>0</v>
      </c>
      <c r="K307" t="n">
        <v>0</v>
      </c>
      <c r="L307" t="n">
        <v>0</v>
      </c>
      <c r="M307" t="n">
        <v>0</v>
      </c>
      <c r="N307" t="n">
        <v>0</v>
      </c>
      <c r="O307" t="n">
        <v>0</v>
      </c>
      <c r="P307" t="n">
        <v>0</v>
      </c>
      <c r="Q307" t="n">
        <v>0</v>
      </c>
      <c r="R307" s="2" t="inlineStr"/>
    </row>
    <row r="308" ht="15" customHeight="1">
      <c r="A308" t="inlineStr">
        <is>
          <t>A 57453-2022</t>
        </is>
      </c>
      <c r="B308" s="1" t="n">
        <v>44896.56266203704</v>
      </c>
      <c r="C308" s="1" t="n">
        <v>45933</v>
      </c>
      <c r="D308" t="inlineStr">
        <is>
          <t>UPPSALA LÄN</t>
        </is>
      </c>
      <c r="E308" t="inlineStr">
        <is>
          <t>ÖSTHAMMAR</t>
        </is>
      </c>
      <c r="G308" t="n">
        <v>1.7</v>
      </c>
      <c r="H308" t="n">
        <v>0</v>
      </c>
      <c r="I308" t="n">
        <v>0</v>
      </c>
      <c r="J308" t="n">
        <v>0</v>
      </c>
      <c r="K308" t="n">
        <v>0</v>
      </c>
      <c r="L308" t="n">
        <v>0</v>
      </c>
      <c r="M308" t="n">
        <v>0</v>
      </c>
      <c r="N308" t="n">
        <v>0</v>
      </c>
      <c r="O308" t="n">
        <v>0</v>
      </c>
      <c r="P308" t="n">
        <v>0</v>
      </c>
      <c r="Q308" t="n">
        <v>0</v>
      </c>
      <c r="R308" s="2" t="inlineStr"/>
    </row>
    <row r="309" ht="15" customHeight="1">
      <c r="A309" t="inlineStr">
        <is>
          <t>A 57462-2022</t>
        </is>
      </c>
      <c r="B309" s="1" t="n">
        <v>44896.57527777777</v>
      </c>
      <c r="C309" s="1" t="n">
        <v>45933</v>
      </c>
      <c r="D309" t="inlineStr">
        <is>
          <t>UPPSALA LÄN</t>
        </is>
      </c>
      <c r="E309" t="inlineStr">
        <is>
          <t>ÖSTHAMMAR</t>
        </is>
      </c>
      <c r="G309" t="n">
        <v>1.9</v>
      </c>
      <c r="H309" t="n">
        <v>0</v>
      </c>
      <c r="I309" t="n">
        <v>0</v>
      </c>
      <c r="J309" t="n">
        <v>0</v>
      </c>
      <c r="K309" t="n">
        <v>0</v>
      </c>
      <c r="L309" t="n">
        <v>0</v>
      </c>
      <c r="M309" t="n">
        <v>0</v>
      </c>
      <c r="N309" t="n">
        <v>0</v>
      </c>
      <c r="O309" t="n">
        <v>0</v>
      </c>
      <c r="P309" t="n">
        <v>0</v>
      </c>
      <c r="Q309" t="n">
        <v>0</v>
      </c>
      <c r="R309" s="2" t="inlineStr"/>
    </row>
    <row r="310" ht="15" customHeight="1">
      <c r="A310" t="inlineStr">
        <is>
          <t>A 29775-2025</t>
        </is>
      </c>
      <c r="B310" s="1" t="n">
        <v>45825.63803240741</v>
      </c>
      <c r="C310" s="1" t="n">
        <v>45933</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2839-2025</t>
        </is>
      </c>
      <c r="B311" s="1" t="n">
        <v>45677</v>
      </c>
      <c r="C311" s="1" t="n">
        <v>45933</v>
      </c>
      <c r="D311" t="inlineStr">
        <is>
          <t>UPPSALA LÄN</t>
        </is>
      </c>
      <c r="E311" t="inlineStr">
        <is>
          <t>ÖSTHAMMAR</t>
        </is>
      </c>
      <c r="F311" t="inlineStr">
        <is>
          <t>Övriga Aktiebolag</t>
        </is>
      </c>
      <c r="G311" t="n">
        <v>4</v>
      </c>
      <c r="H311" t="n">
        <v>0</v>
      </c>
      <c r="I311" t="n">
        <v>0</v>
      </c>
      <c r="J311" t="n">
        <v>0</v>
      </c>
      <c r="K311" t="n">
        <v>0</v>
      </c>
      <c r="L311" t="n">
        <v>0</v>
      </c>
      <c r="M311" t="n">
        <v>0</v>
      </c>
      <c r="N311" t="n">
        <v>0</v>
      </c>
      <c r="O311" t="n">
        <v>0</v>
      </c>
      <c r="P311" t="n">
        <v>0</v>
      </c>
      <c r="Q311" t="n">
        <v>0</v>
      </c>
      <c r="R311" s="2" t="inlineStr"/>
    </row>
    <row r="312" ht="15" customHeight="1">
      <c r="A312" t="inlineStr">
        <is>
          <t>A 2947-2025</t>
        </is>
      </c>
      <c r="B312" s="1" t="n">
        <v>45678</v>
      </c>
      <c r="C312" s="1" t="n">
        <v>45933</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45933</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8623-2025</t>
        </is>
      </c>
      <c r="B314" s="1" t="n">
        <v>45711.51902777778</v>
      </c>
      <c r="C314" s="1" t="n">
        <v>45933</v>
      </c>
      <c r="D314" t="inlineStr">
        <is>
          <t>UPPSALA LÄN</t>
        </is>
      </c>
      <c r="E314" t="inlineStr">
        <is>
          <t>ÖSTHAMMAR</t>
        </is>
      </c>
      <c r="F314" t="inlineStr">
        <is>
          <t>Bergvik skog väst AB</t>
        </is>
      </c>
      <c r="G314" t="n">
        <v>3.5</v>
      </c>
      <c r="H314" t="n">
        <v>0</v>
      </c>
      <c r="I314" t="n">
        <v>0</v>
      </c>
      <c r="J314" t="n">
        <v>0</v>
      </c>
      <c r="K314" t="n">
        <v>0</v>
      </c>
      <c r="L314" t="n">
        <v>0</v>
      </c>
      <c r="M314" t="n">
        <v>0</v>
      </c>
      <c r="N314" t="n">
        <v>0</v>
      </c>
      <c r="O314" t="n">
        <v>0</v>
      </c>
      <c r="P314" t="n">
        <v>0</v>
      </c>
      <c r="Q314" t="n">
        <v>0</v>
      </c>
      <c r="R314" s="2" t="inlineStr"/>
    </row>
    <row r="315" ht="15" customHeight="1">
      <c r="A315" t="inlineStr">
        <is>
          <t>A 8626-2025</t>
        </is>
      </c>
      <c r="B315" s="1" t="n">
        <v>45711.53565972222</v>
      </c>
      <c r="C315" s="1" t="n">
        <v>45933</v>
      </c>
      <c r="D315" t="inlineStr">
        <is>
          <t>UPPSALA LÄN</t>
        </is>
      </c>
      <c r="E315" t="inlineStr">
        <is>
          <t>ÖSTHAMMAR</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28421-2023</t>
        </is>
      </c>
      <c r="B316" s="1" t="n">
        <v>45102</v>
      </c>
      <c r="C316" s="1" t="n">
        <v>45933</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17867-2024</t>
        </is>
      </c>
      <c r="B317" s="1" t="n">
        <v>45419.44106481481</v>
      </c>
      <c r="C317" s="1" t="n">
        <v>45933</v>
      </c>
      <c r="D317" t="inlineStr">
        <is>
          <t>UPPSALA LÄN</t>
        </is>
      </c>
      <c r="E317" t="inlineStr">
        <is>
          <t>ÖSTHAMMAR</t>
        </is>
      </c>
      <c r="G317" t="n">
        <v>7.2</v>
      </c>
      <c r="H317" t="n">
        <v>0</v>
      </c>
      <c r="I317" t="n">
        <v>0</v>
      </c>
      <c r="J317" t="n">
        <v>0</v>
      </c>
      <c r="K317" t="n">
        <v>0</v>
      </c>
      <c r="L317" t="n">
        <v>0</v>
      </c>
      <c r="M317" t="n">
        <v>0</v>
      </c>
      <c r="N317" t="n">
        <v>0</v>
      </c>
      <c r="O317" t="n">
        <v>0</v>
      </c>
      <c r="P317" t="n">
        <v>0</v>
      </c>
      <c r="Q317" t="n">
        <v>0</v>
      </c>
      <c r="R317" s="2" t="inlineStr"/>
    </row>
    <row r="318" ht="15" customHeight="1">
      <c r="A318" t="inlineStr">
        <is>
          <t>A 52694-2023</t>
        </is>
      </c>
      <c r="B318" s="1" t="n">
        <v>45225.76836805556</v>
      </c>
      <c r="C318" s="1" t="n">
        <v>45933</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30244-2025</t>
        </is>
      </c>
      <c r="B319" s="1" t="n">
        <v>45827.40902777778</v>
      </c>
      <c r="C319" s="1" t="n">
        <v>45933</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12756-2024</t>
        </is>
      </c>
      <c r="B320" s="1" t="n">
        <v>45384</v>
      </c>
      <c r="C320" s="1" t="n">
        <v>45933</v>
      </c>
      <c r="D320" t="inlineStr">
        <is>
          <t>UPPSALA LÄN</t>
        </is>
      </c>
      <c r="E320" t="inlineStr">
        <is>
          <t>ÖSTHAMMAR</t>
        </is>
      </c>
      <c r="G320" t="n">
        <v>1.3</v>
      </c>
      <c r="H320" t="n">
        <v>0</v>
      </c>
      <c r="I320" t="n">
        <v>0</v>
      </c>
      <c r="J320" t="n">
        <v>0</v>
      </c>
      <c r="K320" t="n">
        <v>0</v>
      </c>
      <c r="L320" t="n">
        <v>0</v>
      </c>
      <c r="M320" t="n">
        <v>0</v>
      </c>
      <c r="N320" t="n">
        <v>0</v>
      </c>
      <c r="O320" t="n">
        <v>0</v>
      </c>
      <c r="P320" t="n">
        <v>0</v>
      </c>
      <c r="Q320" t="n">
        <v>0</v>
      </c>
      <c r="R320" s="2" t="inlineStr"/>
    </row>
    <row r="321" ht="15" customHeight="1">
      <c r="A321" t="inlineStr">
        <is>
          <t>A 30504-2025</t>
        </is>
      </c>
      <c r="B321" s="1" t="n">
        <v>45830.8558912037</v>
      </c>
      <c r="C321" s="1" t="n">
        <v>45933</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61817-2021</t>
        </is>
      </c>
      <c r="B322" s="1" t="n">
        <v>44501.76855324074</v>
      </c>
      <c r="C322" s="1" t="n">
        <v>45933</v>
      </c>
      <c r="D322" t="inlineStr">
        <is>
          <t>UPPSALA LÄN</t>
        </is>
      </c>
      <c r="E322" t="inlineStr">
        <is>
          <t>ÖSTHAMMAR</t>
        </is>
      </c>
      <c r="F322" t="inlineStr">
        <is>
          <t>Bergvik skog öst AB</t>
        </is>
      </c>
      <c r="G322" t="n">
        <v>2.3</v>
      </c>
      <c r="H322" t="n">
        <v>0</v>
      </c>
      <c r="I322" t="n">
        <v>0</v>
      </c>
      <c r="J322" t="n">
        <v>0</v>
      </c>
      <c r="K322" t="n">
        <v>0</v>
      </c>
      <c r="L322" t="n">
        <v>0</v>
      </c>
      <c r="M322" t="n">
        <v>0</v>
      </c>
      <c r="N322" t="n">
        <v>0</v>
      </c>
      <c r="O322" t="n">
        <v>0</v>
      </c>
      <c r="P322" t="n">
        <v>0</v>
      </c>
      <c r="Q322" t="n">
        <v>0</v>
      </c>
      <c r="R322" s="2" t="inlineStr"/>
    </row>
    <row r="323" ht="15" customHeight="1">
      <c r="A323" t="inlineStr">
        <is>
          <t>A 30503-2025</t>
        </is>
      </c>
      <c r="B323" s="1" t="n">
        <v>45830.8500462963</v>
      </c>
      <c r="C323" s="1" t="n">
        <v>45933</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73982-2021</t>
        </is>
      </c>
      <c r="B324" s="1" t="n">
        <v>44555.80339120371</v>
      </c>
      <c r="C324" s="1" t="n">
        <v>45933</v>
      </c>
      <c r="D324" t="inlineStr">
        <is>
          <t>UPPSALA LÄN</t>
        </is>
      </c>
      <c r="E324" t="inlineStr">
        <is>
          <t>ÖSTHAMMAR</t>
        </is>
      </c>
      <c r="G324" t="n">
        <v>0.9</v>
      </c>
      <c r="H324" t="n">
        <v>0</v>
      </c>
      <c r="I324" t="n">
        <v>0</v>
      </c>
      <c r="J324" t="n">
        <v>0</v>
      </c>
      <c r="K324" t="n">
        <v>0</v>
      </c>
      <c r="L324" t="n">
        <v>0</v>
      </c>
      <c r="M324" t="n">
        <v>0</v>
      </c>
      <c r="N324" t="n">
        <v>0</v>
      </c>
      <c r="O324" t="n">
        <v>0</v>
      </c>
      <c r="P324" t="n">
        <v>0</v>
      </c>
      <c r="Q324" t="n">
        <v>0</v>
      </c>
      <c r="R324" s="2" t="inlineStr"/>
    </row>
    <row r="325" ht="15" customHeight="1">
      <c r="A325" t="inlineStr">
        <is>
          <t>A 14859-2025</t>
        </is>
      </c>
      <c r="B325" s="1" t="n">
        <v>45743.42427083333</v>
      </c>
      <c r="C325" s="1" t="n">
        <v>45933</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14272-2025</t>
        </is>
      </c>
      <c r="B326" s="1" t="n">
        <v>45740.64327546296</v>
      </c>
      <c r="C326" s="1" t="n">
        <v>45933</v>
      </c>
      <c r="D326" t="inlineStr">
        <is>
          <t>UPPSALA LÄN</t>
        </is>
      </c>
      <c r="E326" t="inlineStr">
        <is>
          <t>ÖSTHAMMAR</t>
        </is>
      </c>
      <c r="G326" t="n">
        <v>5.7</v>
      </c>
      <c r="H326" t="n">
        <v>0</v>
      </c>
      <c r="I326" t="n">
        <v>0</v>
      </c>
      <c r="J326" t="n">
        <v>0</v>
      </c>
      <c r="K326" t="n">
        <v>0</v>
      </c>
      <c r="L326" t="n">
        <v>0</v>
      </c>
      <c r="M326" t="n">
        <v>0</v>
      </c>
      <c r="N326" t="n">
        <v>0</v>
      </c>
      <c r="O326" t="n">
        <v>0</v>
      </c>
      <c r="P326" t="n">
        <v>0</v>
      </c>
      <c r="Q326" t="n">
        <v>0</v>
      </c>
      <c r="R326" s="2" t="inlineStr"/>
    </row>
    <row r="327" ht="15" customHeight="1">
      <c r="A327" t="inlineStr">
        <is>
          <t>A 5303-2025</t>
        </is>
      </c>
      <c r="B327" s="1" t="n">
        <v>45692</v>
      </c>
      <c r="C327" s="1" t="n">
        <v>45933</v>
      </c>
      <c r="D327" t="inlineStr">
        <is>
          <t>UPPSALA LÄN</t>
        </is>
      </c>
      <c r="E327" t="inlineStr">
        <is>
          <t>ÖSTHAMMAR</t>
        </is>
      </c>
      <c r="G327" t="n">
        <v>5</v>
      </c>
      <c r="H327" t="n">
        <v>0</v>
      </c>
      <c r="I327" t="n">
        <v>0</v>
      </c>
      <c r="J327" t="n">
        <v>0</v>
      </c>
      <c r="K327" t="n">
        <v>0</v>
      </c>
      <c r="L327" t="n">
        <v>0</v>
      </c>
      <c r="M327" t="n">
        <v>0</v>
      </c>
      <c r="N327" t="n">
        <v>0</v>
      </c>
      <c r="O327" t="n">
        <v>0</v>
      </c>
      <c r="P327" t="n">
        <v>0</v>
      </c>
      <c r="Q327" t="n">
        <v>0</v>
      </c>
      <c r="R327" s="2" t="inlineStr"/>
    </row>
    <row r="328" ht="15" customHeight="1">
      <c r="A328" t="inlineStr">
        <is>
          <t>A 24493-2023</t>
        </is>
      </c>
      <c r="B328" s="1" t="n">
        <v>45082.62603009259</v>
      </c>
      <c r="C328" s="1" t="n">
        <v>45933</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27660-2023</t>
        </is>
      </c>
      <c r="B329" s="1" t="n">
        <v>45097</v>
      </c>
      <c r="C329" s="1" t="n">
        <v>45933</v>
      </c>
      <c r="D329" t="inlineStr">
        <is>
          <t>UPPSALA LÄN</t>
        </is>
      </c>
      <c r="E329" t="inlineStr">
        <is>
          <t>ÖSTHAMMAR</t>
        </is>
      </c>
      <c r="G329" t="n">
        <v>2.8</v>
      </c>
      <c r="H329" t="n">
        <v>0</v>
      </c>
      <c r="I329" t="n">
        <v>0</v>
      </c>
      <c r="J329" t="n">
        <v>0</v>
      </c>
      <c r="K329" t="n">
        <v>0</v>
      </c>
      <c r="L329" t="n">
        <v>0</v>
      </c>
      <c r="M329" t="n">
        <v>0</v>
      </c>
      <c r="N329" t="n">
        <v>0</v>
      </c>
      <c r="O329" t="n">
        <v>0</v>
      </c>
      <c r="P329" t="n">
        <v>0</v>
      </c>
      <c r="Q329" t="n">
        <v>0</v>
      </c>
      <c r="R329" s="2" t="inlineStr"/>
    </row>
    <row r="330" ht="15" customHeight="1">
      <c r="A330" t="inlineStr">
        <is>
          <t>A 30610-2025</t>
        </is>
      </c>
      <c r="B330" s="1" t="n">
        <v>45831.45965277778</v>
      </c>
      <c r="C330" s="1" t="n">
        <v>45933</v>
      </c>
      <c r="D330" t="inlineStr">
        <is>
          <t>UPPSALA LÄN</t>
        </is>
      </c>
      <c r="E330" t="inlineStr">
        <is>
          <t>ÖSTHAMMAR</t>
        </is>
      </c>
      <c r="G330" t="n">
        <v>0.2</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45933</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45933</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34742-2022</t>
        </is>
      </c>
      <c r="B333" s="1" t="n">
        <v>44795.61990740741</v>
      </c>
      <c r="C333" s="1" t="n">
        <v>45933</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13622-2025</t>
        </is>
      </c>
      <c r="B334" s="1" t="n">
        <v>45736</v>
      </c>
      <c r="C334" s="1" t="n">
        <v>45933</v>
      </c>
      <c r="D334" t="inlineStr">
        <is>
          <t>UPPSALA LÄN</t>
        </is>
      </c>
      <c r="E334" t="inlineStr">
        <is>
          <t>ÖSTHAMMAR</t>
        </is>
      </c>
      <c r="G334" t="n">
        <v>2.6</v>
      </c>
      <c r="H334" t="n">
        <v>0</v>
      </c>
      <c r="I334" t="n">
        <v>0</v>
      </c>
      <c r="J334" t="n">
        <v>0</v>
      </c>
      <c r="K334" t="n">
        <v>0</v>
      </c>
      <c r="L334" t="n">
        <v>0</v>
      </c>
      <c r="M334" t="n">
        <v>0</v>
      </c>
      <c r="N334" t="n">
        <v>0</v>
      </c>
      <c r="O334" t="n">
        <v>0</v>
      </c>
      <c r="P334" t="n">
        <v>0</v>
      </c>
      <c r="Q334" t="n">
        <v>0</v>
      </c>
      <c r="R334" s="2" t="inlineStr"/>
    </row>
    <row r="335" ht="15" customHeight="1">
      <c r="A335" t="inlineStr">
        <is>
          <t>A 31249-2025</t>
        </is>
      </c>
      <c r="B335" s="1" t="n">
        <v>45832.89476851852</v>
      </c>
      <c r="C335" s="1" t="n">
        <v>45933</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62394-2022</t>
        </is>
      </c>
      <c r="B336" s="1" t="n">
        <v>44923.82017361111</v>
      </c>
      <c r="C336" s="1" t="n">
        <v>45933</v>
      </c>
      <c r="D336" t="inlineStr">
        <is>
          <t>UPPSALA LÄN</t>
        </is>
      </c>
      <c r="E336" t="inlineStr">
        <is>
          <t>ÖSTHAMMAR</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31896-2025</t>
        </is>
      </c>
      <c r="B337" s="1" t="n">
        <v>45834.67556712963</v>
      </c>
      <c r="C337" s="1" t="n">
        <v>45933</v>
      </c>
      <c r="D337" t="inlineStr">
        <is>
          <t>UPPSALA LÄN</t>
        </is>
      </c>
      <c r="E337" t="inlineStr">
        <is>
          <t>ÖSTHAMMAR</t>
        </is>
      </c>
      <c r="G337" t="n">
        <v>4.1</v>
      </c>
      <c r="H337" t="n">
        <v>0</v>
      </c>
      <c r="I337" t="n">
        <v>0</v>
      </c>
      <c r="J337" t="n">
        <v>0</v>
      </c>
      <c r="K337" t="n">
        <v>0</v>
      </c>
      <c r="L337" t="n">
        <v>0</v>
      </c>
      <c r="M337" t="n">
        <v>0</v>
      </c>
      <c r="N337" t="n">
        <v>0</v>
      </c>
      <c r="O337" t="n">
        <v>0</v>
      </c>
      <c r="P337" t="n">
        <v>0</v>
      </c>
      <c r="Q337" t="n">
        <v>0</v>
      </c>
      <c r="R337" s="2" t="inlineStr"/>
    </row>
    <row r="338" ht="15" customHeight="1">
      <c r="A338" t="inlineStr">
        <is>
          <t>A 46399-2023</t>
        </is>
      </c>
      <c r="B338" s="1" t="n">
        <v>45197.49262731482</v>
      </c>
      <c r="C338" s="1" t="n">
        <v>45933</v>
      </c>
      <c r="D338" t="inlineStr">
        <is>
          <t>UPPSALA LÄN</t>
        </is>
      </c>
      <c r="E338" t="inlineStr">
        <is>
          <t>ÖSTHAMMAR</t>
        </is>
      </c>
      <c r="G338" t="n">
        <v>5.8</v>
      </c>
      <c r="H338" t="n">
        <v>0</v>
      </c>
      <c r="I338" t="n">
        <v>0</v>
      </c>
      <c r="J338" t="n">
        <v>0</v>
      </c>
      <c r="K338" t="n">
        <v>0</v>
      </c>
      <c r="L338" t="n">
        <v>0</v>
      </c>
      <c r="M338" t="n">
        <v>0</v>
      </c>
      <c r="N338" t="n">
        <v>0</v>
      </c>
      <c r="O338" t="n">
        <v>0</v>
      </c>
      <c r="P338" t="n">
        <v>0</v>
      </c>
      <c r="Q338" t="n">
        <v>0</v>
      </c>
      <c r="R338" s="2" t="inlineStr"/>
    </row>
    <row r="339" ht="15" customHeight="1">
      <c r="A339" t="inlineStr">
        <is>
          <t>A 13358-2024</t>
        </is>
      </c>
      <c r="B339" s="1" t="n">
        <v>45387.3503125</v>
      </c>
      <c r="C339" s="1" t="n">
        <v>45933</v>
      </c>
      <c r="D339" t="inlineStr">
        <is>
          <t>UPPSALA LÄN</t>
        </is>
      </c>
      <c r="E339" t="inlineStr">
        <is>
          <t>ÖSTHAMMAR</t>
        </is>
      </c>
      <c r="G339" t="n">
        <v>2.2</v>
      </c>
      <c r="H339" t="n">
        <v>0</v>
      </c>
      <c r="I339" t="n">
        <v>0</v>
      </c>
      <c r="J339" t="n">
        <v>0</v>
      </c>
      <c r="K339" t="n">
        <v>0</v>
      </c>
      <c r="L339" t="n">
        <v>0</v>
      </c>
      <c r="M339" t="n">
        <v>0</v>
      </c>
      <c r="N339" t="n">
        <v>0</v>
      </c>
      <c r="O339" t="n">
        <v>0</v>
      </c>
      <c r="P339" t="n">
        <v>0</v>
      </c>
      <c r="Q339" t="n">
        <v>0</v>
      </c>
      <c r="R339" s="2" t="inlineStr"/>
    </row>
    <row r="340" ht="15" customHeight="1">
      <c r="A340" t="inlineStr">
        <is>
          <t>A 57-2023</t>
        </is>
      </c>
      <c r="B340" s="1" t="n">
        <v>44928.40917824074</v>
      </c>
      <c r="C340" s="1" t="n">
        <v>45933</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59-2023</t>
        </is>
      </c>
      <c r="B341" s="1" t="n">
        <v>44928.41822916667</v>
      </c>
      <c r="C341" s="1" t="n">
        <v>45933</v>
      </c>
      <c r="D341" t="inlineStr">
        <is>
          <t>UPPSALA LÄN</t>
        </is>
      </c>
      <c r="E341" t="inlineStr">
        <is>
          <t>ÖSTHAMMAR</t>
        </is>
      </c>
      <c r="G341" t="n">
        <v>1.5</v>
      </c>
      <c r="H341" t="n">
        <v>0</v>
      </c>
      <c r="I341" t="n">
        <v>0</v>
      </c>
      <c r="J341" t="n">
        <v>0</v>
      </c>
      <c r="K341" t="n">
        <v>0</v>
      </c>
      <c r="L341" t="n">
        <v>0</v>
      </c>
      <c r="M341" t="n">
        <v>0</v>
      </c>
      <c r="N341" t="n">
        <v>0</v>
      </c>
      <c r="O341" t="n">
        <v>0</v>
      </c>
      <c r="P341" t="n">
        <v>0</v>
      </c>
      <c r="Q341" t="n">
        <v>0</v>
      </c>
      <c r="R341" s="2" t="inlineStr"/>
    </row>
    <row r="342" ht="15" customHeight="1">
      <c r="A342" t="inlineStr">
        <is>
          <t>A 31977-2025</t>
        </is>
      </c>
      <c r="B342" s="1" t="n">
        <v>45835.3554050926</v>
      </c>
      <c r="C342" s="1" t="n">
        <v>45933</v>
      </c>
      <c r="D342" t="inlineStr">
        <is>
          <t>UPPSALA LÄN</t>
        </is>
      </c>
      <c r="E342" t="inlineStr">
        <is>
          <t>ÖSTHAMMAR</t>
        </is>
      </c>
      <c r="F342" t="inlineStr">
        <is>
          <t>Övriga Aktiebolag</t>
        </is>
      </c>
      <c r="G342" t="n">
        <v>35.3</v>
      </c>
      <c r="H342" t="n">
        <v>0</v>
      </c>
      <c r="I342" t="n">
        <v>0</v>
      </c>
      <c r="J342" t="n">
        <v>0</v>
      </c>
      <c r="K342" t="n">
        <v>0</v>
      </c>
      <c r="L342" t="n">
        <v>0</v>
      </c>
      <c r="M342" t="n">
        <v>0</v>
      </c>
      <c r="N342" t="n">
        <v>0</v>
      </c>
      <c r="O342" t="n">
        <v>0</v>
      </c>
      <c r="P342" t="n">
        <v>0</v>
      </c>
      <c r="Q342" t="n">
        <v>0</v>
      </c>
      <c r="R342" s="2" t="inlineStr"/>
    </row>
    <row r="343" ht="15" customHeight="1">
      <c r="A343" t="inlineStr">
        <is>
          <t>A 55079-2024</t>
        </is>
      </c>
      <c r="B343" s="1" t="n">
        <v>45621.42747685185</v>
      </c>
      <c r="C343" s="1" t="n">
        <v>45933</v>
      </c>
      <c r="D343" t="inlineStr">
        <is>
          <t>UPPSALA LÄN</t>
        </is>
      </c>
      <c r="E343" t="inlineStr">
        <is>
          <t>ÖSTHAMMAR</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19947-2024</t>
        </is>
      </c>
      <c r="B344" s="1" t="n">
        <v>45433</v>
      </c>
      <c r="C344" s="1" t="n">
        <v>45933</v>
      </c>
      <c r="D344" t="inlineStr">
        <is>
          <t>UPPSALA LÄN</t>
        </is>
      </c>
      <c r="E344" t="inlineStr">
        <is>
          <t>ÖSTHAMMAR</t>
        </is>
      </c>
      <c r="G344" t="n">
        <v>0.3</v>
      </c>
      <c r="H344" t="n">
        <v>0</v>
      </c>
      <c r="I344" t="n">
        <v>0</v>
      </c>
      <c r="J344" t="n">
        <v>0</v>
      </c>
      <c r="K344" t="n">
        <v>0</v>
      </c>
      <c r="L344" t="n">
        <v>0</v>
      </c>
      <c r="M344" t="n">
        <v>0</v>
      </c>
      <c r="N344" t="n">
        <v>0</v>
      </c>
      <c r="O344" t="n">
        <v>0</v>
      </c>
      <c r="P344" t="n">
        <v>0</v>
      </c>
      <c r="Q344" t="n">
        <v>0</v>
      </c>
      <c r="R344" s="2" t="inlineStr"/>
    </row>
    <row r="345" ht="15" customHeight="1">
      <c r="A345" t="inlineStr">
        <is>
          <t>A 36873-2022</t>
        </is>
      </c>
      <c r="B345" s="1" t="n">
        <v>44805.63708333333</v>
      </c>
      <c r="C345" s="1" t="n">
        <v>45933</v>
      </c>
      <c r="D345" t="inlineStr">
        <is>
          <t>UPPSALA LÄN</t>
        </is>
      </c>
      <c r="E345" t="inlineStr">
        <is>
          <t>ÖSTHAMMAR</t>
        </is>
      </c>
      <c r="G345" t="n">
        <v>2.5</v>
      </c>
      <c r="H345" t="n">
        <v>0</v>
      </c>
      <c r="I345" t="n">
        <v>0</v>
      </c>
      <c r="J345" t="n">
        <v>0</v>
      </c>
      <c r="K345" t="n">
        <v>0</v>
      </c>
      <c r="L345" t="n">
        <v>0</v>
      </c>
      <c r="M345" t="n">
        <v>0</v>
      </c>
      <c r="N345" t="n">
        <v>0</v>
      </c>
      <c r="O345" t="n">
        <v>0</v>
      </c>
      <c r="P345" t="n">
        <v>0</v>
      </c>
      <c r="Q345" t="n">
        <v>0</v>
      </c>
      <c r="R345" s="2" t="inlineStr"/>
    </row>
    <row r="346" ht="15" customHeight="1">
      <c r="A346" t="inlineStr">
        <is>
          <t>A 11385-2024</t>
        </is>
      </c>
      <c r="B346" s="1" t="n">
        <v>45372</v>
      </c>
      <c r="C346" s="1" t="n">
        <v>45933</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31956-2025</t>
        </is>
      </c>
      <c r="B347" s="1" t="n">
        <v>45835.34184027778</v>
      </c>
      <c r="C347" s="1" t="n">
        <v>45933</v>
      </c>
      <c r="D347" t="inlineStr">
        <is>
          <t>UPPSALA LÄN</t>
        </is>
      </c>
      <c r="E347" t="inlineStr">
        <is>
          <t>ÖSTHAMMAR</t>
        </is>
      </c>
      <c r="F347" t="inlineStr">
        <is>
          <t>Övriga Aktiebolag</t>
        </is>
      </c>
      <c r="G347" t="n">
        <v>4.2</v>
      </c>
      <c r="H347" t="n">
        <v>0</v>
      </c>
      <c r="I347" t="n">
        <v>0</v>
      </c>
      <c r="J347" t="n">
        <v>0</v>
      </c>
      <c r="K347" t="n">
        <v>0</v>
      </c>
      <c r="L347" t="n">
        <v>0</v>
      </c>
      <c r="M347" t="n">
        <v>0</v>
      </c>
      <c r="N347" t="n">
        <v>0</v>
      </c>
      <c r="O347" t="n">
        <v>0</v>
      </c>
      <c r="P347" t="n">
        <v>0</v>
      </c>
      <c r="Q347" t="n">
        <v>0</v>
      </c>
      <c r="R347" s="2" t="inlineStr"/>
    </row>
    <row r="348" ht="15" customHeight="1">
      <c r="A348" t="inlineStr">
        <is>
          <t>A 53733-2023</t>
        </is>
      </c>
      <c r="B348" s="1" t="n">
        <v>45230.76862268519</v>
      </c>
      <c r="C348" s="1" t="n">
        <v>45933</v>
      </c>
      <c r="D348" t="inlineStr">
        <is>
          <t>UPPSALA LÄN</t>
        </is>
      </c>
      <c r="E348" t="inlineStr">
        <is>
          <t>ÖSTHAMMAR</t>
        </is>
      </c>
      <c r="G348" t="n">
        <v>1.1</v>
      </c>
      <c r="H348" t="n">
        <v>0</v>
      </c>
      <c r="I348" t="n">
        <v>0</v>
      </c>
      <c r="J348" t="n">
        <v>0</v>
      </c>
      <c r="K348" t="n">
        <v>0</v>
      </c>
      <c r="L348" t="n">
        <v>0</v>
      </c>
      <c r="M348" t="n">
        <v>0</v>
      </c>
      <c r="N348" t="n">
        <v>0</v>
      </c>
      <c r="O348" t="n">
        <v>0</v>
      </c>
      <c r="P348" t="n">
        <v>0</v>
      </c>
      <c r="Q348" t="n">
        <v>0</v>
      </c>
      <c r="R348" s="2" t="inlineStr"/>
    </row>
    <row r="349" ht="15" customHeight="1">
      <c r="A349" t="inlineStr">
        <is>
          <t>A 53735-2023</t>
        </is>
      </c>
      <c r="B349" s="1" t="n">
        <v>45230.77258101852</v>
      </c>
      <c r="C349" s="1" t="n">
        <v>45933</v>
      </c>
      <c r="D349" t="inlineStr">
        <is>
          <t>UPPSALA LÄN</t>
        </is>
      </c>
      <c r="E349" t="inlineStr">
        <is>
          <t>ÖSTHAMMAR</t>
        </is>
      </c>
      <c r="G349" t="n">
        <v>1.1</v>
      </c>
      <c r="H349" t="n">
        <v>0</v>
      </c>
      <c r="I349" t="n">
        <v>0</v>
      </c>
      <c r="J349" t="n">
        <v>0</v>
      </c>
      <c r="K349" t="n">
        <v>0</v>
      </c>
      <c r="L349" t="n">
        <v>0</v>
      </c>
      <c r="M349" t="n">
        <v>0</v>
      </c>
      <c r="N349" t="n">
        <v>0</v>
      </c>
      <c r="O349" t="n">
        <v>0</v>
      </c>
      <c r="P349" t="n">
        <v>0</v>
      </c>
      <c r="Q349" t="n">
        <v>0</v>
      </c>
      <c r="R349" s="2" t="inlineStr"/>
    </row>
    <row r="350" ht="15" customHeight="1">
      <c r="A350" t="inlineStr">
        <is>
          <t>A 14433-2024</t>
        </is>
      </c>
      <c r="B350" s="1" t="n">
        <v>45394.46115740741</v>
      </c>
      <c r="C350" s="1" t="n">
        <v>45933</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6153-2022</t>
        </is>
      </c>
      <c r="B351" s="1" t="n">
        <v>44599</v>
      </c>
      <c r="C351" s="1" t="n">
        <v>45933</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25252-2024</t>
        </is>
      </c>
      <c r="B352" s="1" t="n">
        <v>45462</v>
      </c>
      <c r="C352" s="1" t="n">
        <v>45933</v>
      </c>
      <c r="D352" t="inlineStr">
        <is>
          <t>UPPSALA LÄN</t>
        </is>
      </c>
      <c r="E352" t="inlineStr">
        <is>
          <t>ÖSTHAMMAR</t>
        </is>
      </c>
      <c r="G352" t="n">
        <v>4.3</v>
      </c>
      <c r="H352" t="n">
        <v>0</v>
      </c>
      <c r="I352" t="n">
        <v>0</v>
      </c>
      <c r="J352" t="n">
        <v>0</v>
      </c>
      <c r="K352" t="n">
        <v>0</v>
      </c>
      <c r="L352" t="n">
        <v>0</v>
      </c>
      <c r="M352" t="n">
        <v>0</v>
      </c>
      <c r="N352" t="n">
        <v>0</v>
      </c>
      <c r="O352" t="n">
        <v>0</v>
      </c>
      <c r="P352" t="n">
        <v>0</v>
      </c>
      <c r="Q352" t="n">
        <v>0</v>
      </c>
      <c r="R352" s="2" t="inlineStr"/>
    </row>
    <row r="353" ht="15" customHeight="1">
      <c r="A353" t="inlineStr">
        <is>
          <t>A 1800-2023</t>
        </is>
      </c>
      <c r="B353" s="1" t="n">
        <v>44938</v>
      </c>
      <c r="C353" s="1" t="n">
        <v>45933</v>
      </c>
      <c r="D353" t="inlineStr">
        <is>
          <t>UPPSALA LÄN</t>
        </is>
      </c>
      <c r="E353" t="inlineStr">
        <is>
          <t>ÖSTHAMMAR</t>
        </is>
      </c>
      <c r="G353" t="n">
        <v>1.4</v>
      </c>
      <c r="H353" t="n">
        <v>0</v>
      </c>
      <c r="I353" t="n">
        <v>0</v>
      </c>
      <c r="J353" t="n">
        <v>0</v>
      </c>
      <c r="K353" t="n">
        <v>0</v>
      </c>
      <c r="L353" t="n">
        <v>0</v>
      </c>
      <c r="M353" t="n">
        <v>0</v>
      </c>
      <c r="N353" t="n">
        <v>0</v>
      </c>
      <c r="O353" t="n">
        <v>0</v>
      </c>
      <c r="P353" t="n">
        <v>0</v>
      </c>
      <c r="Q353" t="n">
        <v>0</v>
      </c>
      <c r="R353" s="2" t="inlineStr"/>
    </row>
    <row r="354" ht="15" customHeight="1">
      <c r="A354" t="inlineStr">
        <is>
          <t>A 56382-2022</t>
        </is>
      </c>
      <c r="B354" s="1" t="n">
        <v>44890.75795138889</v>
      </c>
      <c r="C354" s="1" t="n">
        <v>45933</v>
      </c>
      <c r="D354" t="inlineStr">
        <is>
          <t>UPPSALA LÄN</t>
        </is>
      </c>
      <c r="E354" t="inlineStr">
        <is>
          <t>ÖSTHAMMAR</t>
        </is>
      </c>
      <c r="F354" t="inlineStr">
        <is>
          <t>Allmännings- och besparingsskogar</t>
        </is>
      </c>
      <c r="G354" t="n">
        <v>1.1</v>
      </c>
      <c r="H354" t="n">
        <v>0</v>
      </c>
      <c r="I354" t="n">
        <v>0</v>
      </c>
      <c r="J354" t="n">
        <v>0</v>
      </c>
      <c r="K354" t="n">
        <v>0</v>
      </c>
      <c r="L354" t="n">
        <v>0</v>
      </c>
      <c r="M354" t="n">
        <v>0</v>
      </c>
      <c r="N354" t="n">
        <v>0</v>
      </c>
      <c r="O354" t="n">
        <v>0</v>
      </c>
      <c r="P354" t="n">
        <v>0</v>
      </c>
      <c r="Q354" t="n">
        <v>0</v>
      </c>
      <c r="R354" s="2" t="inlineStr"/>
    </row>
    <row r="355" ht="15" customHeight="1">
      <c r="A355" t="inlineStr">
        <is>
          <t>A 47341-2023</t>
        </is>
      </c>
      <c r="B355" s="1" t="n">
        <v>45202.55721064815</v>
      </c>
      <c r="C355" s="1" t="n">
        <v>45933</v>
      </c>
      <c r="D355" t="inlineStr">
        <is>
          <t>UPPSALA LÄN</t>
        </is>
      </c>
      <c r="E355" t="inlineStr">
        <is>
          <t>ÖSTHAMMAR</t>
        </is>
      </c>
      <c r="G355" t="n">
        <v>4.9</v>
      </c>
      <c r="H355" t="n">
        <v>0</v>
      </c>
      <c r="I355" t="n">
        <v>0</v>
      </c>
      <c r="J355" t="n">
        <v>0</v>
      </c>
      <c r="K355" t="n">
        <v>0</v>
      </c>
      <c r="L355" t="n">
        <v>0</v>
      </c>
      <c r="M355" t="n">
        <v>0</v>
      </c>
      <c r="N355" t="n">
        <v>0</v>
      </c>
      <c r="O355" t="n">
        <v>0</v>
      </c>
      <c r="P355" t="n">
        <v>0</v>
      </c>
      <c r="Q355" t="n">
        <v>0</v>
      </c>
      <c r="R355" s="2" t="inlineStr"/>
    </row>
    <row r="356" ht="15" customHeight="1">
      <c r="A356" t="inlineStr">
        <is>
          <t>A 33048-2025</t>
        </is>
      </c>
      <c r="B356" s="1" t="n">
        <v>45840.41451388889</v>
      </c>
      <c r="C356" s="1" t="n">
        <v>45933</v>
      </c>
      <c r="D356" t="inlineStr">
        <is>
          <t>UPPSALA LÄN</t>
        </is>
      </c>
      <c r="E356" t="inlineStr">
        <is>
          <t>ÖSTHAMMAR</t>
        </is>
      </c>
      <c r="G356" t="n">
        <v>1.8</v>
      </c>
      <c r="H356" t="n">
        <v>0</v>
      </c>
      <c r="I356" t="n">
        <v>0</v>
      </c>
      <c r="J356" t="n">
        <v>0</v>
      </c>
      <c r="K356" t="n">
        <v>0</v>
      </c>
      <c r="L356" t="n">
        <v>0</v>
      </c>
      <c r="M356" t="n">
        <v>0</v>
      </c>
      <c r="N356" t="n">
        <v>0</v>
      </c>
      <c r="O356" t="n">
        <v>0</v>
      </c>
      <c r="P356" t="n">
        <v>0</v>
      </c>
      <c r="Q356" t="n">
        <v>0</v>
      </c>
      <c r="R356" s="2" t="inlineStr"/>
    </row>
    <row r="357" ht="15" customHeight="1">
      <c r="A357" t="inlineStr">
        <is>
          <t>A 27476-2025</t>
        </is>
      </c>
      <c r="B357" s="1" t="n">
        <v>45813.37517361111</v>
      </c>
      <c r="C357" s="1" t="n">
        <v>45933</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5877-2023</t>
        </is>
      </c>
      <c r="B358" s="1" t="n">
        <v>44963.62001157407</v>
      </c>
      <c r="C358" s="1" t="n">
        <v>45933</v>
      </c>
      <c r="D358" t="inlineStr">
        <is>
          <t>UPPSALA LÄN</t>
        </is>
      </c>
      <c r="E358" t="inlineStr">
        <is>
          <t>ÖSTHAMMAR</t>
        </is>
      </c>
      <c r="G358" t="n">
        <v>0.7</v>
      </c>
      <c r="H358" t="n">
        <v>0</v>
      </c>
      <c r="I358" t="n">
        <v>0</v>
      </c>
      <c r="J358" t="n">
        <v>0</v>
      </c>
      <c r="K358" t="n">
        <v>0</v>
      </c>
      <c r="L358" t="n">
        <v>0</v>
      </c>
      <c r="M358" t="n">
        <v>0</v>
      </c>
      <c r="N358" t="n">
        <v>0</v>
      </c>
      <c r="O358" t="n">
        <v>0</v>
      </c>
      <c r="P358" t="n">
        <v>0</v>
      </c>
      <c r="Q358" t="n">
        <v>0</v>
      </c>
      <c r="R358" s="2" t="inlineStr"/>
    </row>
    <row r="359" ht="15" customHeight="1">
      <c r="A359" t="inlineStr">
        <is>
          <t>A 21522-2022</t>
        </is>
      </c>
      <c r="B359" s="1" t="n">
        <v>44706</v>
      </c>
      <c r="C359" s="1" t="n">
        <v>45933</v>
      </c>
      <c r="D359" t="inlineStr">
        <is>
          <t>UPPSALA LÄN</t>
        </is>
      </c>
      <c r="E359" t="inlineStr">
        <is>
          <t>ÖSTHAMMAR</t>
        </is>
      </c>
      <c r="G359" t="n">
        <v>1.8</v>
      </c>
      <c r="H359" t="n">
        <v>0</v>
      </c>
      <c r="I359" t="n">
        <v>0</v>
      </c>
      <c r="J359" t="n">
        <v>0</v>
      </c>
      <c r="K359" t="n">
        <v>0</v>
      </c>
      <c r="L359" t="n">
        <v>0</v>
      </c>
      <c r="M359" t="n">
        <v>0</v>
      </c>
      <c r="N359" t="n">
        <v>0</v>
      </c>
      <c r="O359" t="n">
        <v>0</v>
      </c>
      <c r="P359" t="n">
        <v>0</v>
      </c>
      <c r="Q359" t="n">
        <v>0</v>
      </c>
      <c r="R359" s="2" t="inlineStr"/>
    </row>
    <row r="360" ht="15" customHeight="1">
      <c r="A360" t="inlineStr">
        <is>
          <t>A 14187-2022</t>
        </is>
      </c>
      <c r="B360" s="1" t="n">
        <v>44651.5625</v>
      </c>
      <c r="C360" s="1" t="n">
        <v>45933</v>
      </c>
      <c r="D360" t="inlineStr">
        <is>
          <t>UPPSALA LÄN</t>
        </is>
      </c>
      <c r="E360" t="inlineStr">
        <is>
          <t>ÖSTHAMMAR</t>
        </is>
      </c>
      <c r="F360" t="inlineStr">
        <is>
          <t>Övriga Aktiebolag</t>
        </is>
      </c>
      <c r="G360" t="n">
        <v>14.1</v>
      </c>
      <c r="H360" t="n">
        <v>0</v>
      </c>
      <c r="I360" t="n">
        <v>0</v>
      </c>
      <c r="J360" t="n">
        <v>0</v>
      </c>
      <c r="K360" t="n">
        <v>0</v>
      </c>
      <c r="L360" t="n">
        <v>0</v>
      </c>
      <c r="M360" t="n">
        <v>0</v>
      </c>
      <c r="N360" t="n">
        <v>0</v>
      </c>
      <c r="O360" t="n">
        <v>0</v>
      </c>
      <c r="P360" t="n">
        <v>0</v>
      </c>
      <c r="Q360" t="n">
        <v>0</v>
      </c>
      <c r="R360" s="2" t="inlineStr"/>
    </row>
    <row r="361" ht="15" customHeight="1">
      <c r="A361" t="inlineStr">
        <is>
          <t>A 25938-2024</t>
        </is>
      </c>
      <c r="B361" s="1" t="n">
        <v>45467.63127314814</v>
      </c>
      <c r="C361" s="1" t="n">
        <v>45933</v>
      </c>
      <c r="D361" t="inlineStr">
        <is>
          <t>UPPSALA LÄN</t>
        </is>
      </c>
      <c r="E361" t="inlineStr">
        <is>
          <t>ÖSTHAMMAR</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33271-2025</t>
        </is>
      </c>
      <c r="B362" s="1" t="n">
        <v>45840.68381944444</v>
      </c>
      <c r="C362" s="1" t="n">
        <v>45933</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33552-2024</t>
        </is>
      </c>
      <c r="B363" s="1" t="n">
        <v>45519</v>
      </c>
      <c r="C363" s="1" t="n">
        <v>45933</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33553-2024</t>
        </is>
      </c>
      <c r="B364" s="1" t="n">
        <v>45519</v>
      </c>
      <c r="C364" s="1" t="n">
        <v>45933</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61216-2022</t>
        </is>
      </c>
      <c r="B365" s="1" t="n">
        <v>44915.55423611111</v>
      </c>
      <c r="C365" s="1" t="n">
        <v>45933</v>
      </c>
      <c r="D365" t="inlineStr">
        <is>
          <t>UPPSALA LÄN</t>
        </is>
      </c>
      <c r="E365" t="inlineStr">
        <is>
          <t>ÖSTHAMMAR</t>
        </is>
      </c>
      <c r="G365" t="n">
        <v>2.9</v>
      </c>
      <c r="H365" t="n">
        <v>0</v>
      </c>
      <c r="I365" t="n">
        <v>0</v>
      </c>
      <c r="J365" t="n">
        <v>0</v>
      </c>
      <c r="K365" t="n">
        <v>0</v>
      </c>
      <c r="L365" t="n">
        <v>0</v>
      </c>
      <c r="M365" t="n">
        <v>0</v>
      </c>
      <c r="N365" t="n">
        <v>0</v>
      </c>
      <c r="O365" t="n">
        <v>0</v>
      </c>
      <c r="P365" t="n">
        <v>0</v>
      </c>
      <c r="Q365" t="n">
        <v>0</v>
      </c>
      <c r="R365" s="2" t="inlineStr"/>
    </row>
    <row r="366" ht="15" customHeight="1">
      <c r="A366" t="inlineStr">
        <is>
          <t>A 7997-2022</t>
        </is>
      </c>
      <c r="B366" s="1" t="n">
        <v>44609</v>
      </c>
      <c r="C366" s="1" t="n">
        <v>45933</v>
      </c>
      <c r="D366" t="inlineStr">
        <is>
          <t>UPPSALA LÄN</t>
        </is>
      </c>
      <c r="E366" t="inlineStr">
        <is>
          <t>ÖSTHAMMAR</t>
        </is>
      </c>
      <c r="G366" t="n">
        <v>1.8</v>
      </c>
      <c r="H366" t="n">
        <v>0</v>
      </c>
      <c r="I366" t="n">
        <v>0</v>
      </c>
      <c r="J366" t="n">
        <v>0</v>
      </c>
      <c r="K366" t="n">
        <v>0</v>
      </c>
      <c r="L366" t="n">
        <v>0</v>
      </c>
      <c r="M366" t="n">
        <v>0</v>
      </c>
      <c r="N366" t="n">
        <v>0</v>
      </c>
      <c r="O366" t="n">
        <v>0</v>
      </c>
      <c r="P366" t="n">
        <v>0</v>
      </c>
      <c r="Q366" t="n">
        <v>0</v>
      </c>
      <c r="R366" s="2" t="inlineStr"/>
    </row>
    <row r="367" ht="15" customHeight="1">
      <c r="A367" t="inlineStr">
        <is>
          <t>A 32718-2025</t>
        </is>
      </c>
      <c r="B367" s="1" t="n">
        <v>45839.37740740741</v>
      </c>
      <c r="C367" s="1" t="n">
        <v>45933</v>
      </c>
      <c r="D367" t="inlineStr">
        <is>
          <t>UPPSALA LÄN</t>
        </is>
      </c>
      <c r="E367" t="inlineStr">
        <is>
          <t>ÖSTHAMMAR</t>
        </is>
      </c>
      <c r="G367" t="n">
        <v>10.4</v>
      </c>
      <c r="H367" t="n">
        <v>0</v>
      </c>
      <c r="I367" t="n">
        <v>0</v>
      </c>
      <c r="J367" t="n">
        <v>0</v>
      </c>
      <c r="K367" t="n">
        <v>0</v>
      </c>
      <c r="L367" t="n">
        <v>0</v>
      </c>
      <c r="M367" t="n">
        <v>0</v>
      </c>
      <c r="N367" t="n">
        <v>0</v>
      </c>
      <c r="O367" t="n">
        <v>0</v>
      </c>
      <c r="P367" t="n">
        <v>0</v>
      </c>
      <c r="Q367" t="n">
        <v>0</v>
      </c>
      <c r="R367" s="2" t="inlineStr"/>
    </row>
    <row r="368" ht="15" customHeight="1">
      <c r="A368" t="inlineStr">
        <is>
          <t>A 70008-2021</t>
        </is>
      </c>
      <c r="B368" s="1" t="n">
        <v>44533.44887731481</v>
      </c>
      <c r="C368" s="1" t="n">
        <v>45933</v>
      </c>
      <c r="D368" t="inlineStr">
        <is>
          <t>UPPSALA LÄN</t>
        </is>
      </c>
      <c r="E368" t="inlineStr">
        <is>
          <t>ÖSTHAMMAR</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4676-2025</t>
        </is>
      </c>
      <c r="B369" s="1" t="n">
        <v>45687.8313425926</v>
      </c>
      <c r="C369" s="1" t="n">
        <v>45933</v>
      </c>
      <c r="D369" t="inlineStr">
        <is>
          <t>UPPSALA LÄN</t>
        </is>
      </c>
      <c r="E369" t="inlineStr">
        <is>
          <t>ÖSTHAMMAR</t>
        </is>
      </c>
      <c r="G369" t="n">
        <v>3.7</v>
      </c>
      <c r="H369" t="n">
        <v>0</v>
      </c>
      <c r="I369" t="n">
        <v>0</v>
      </c>
      <c r="J369" t="n">
        <v>0</v>
      </c>
      <c r="K369" t="n">
        <v>0</v>
      </c>
      <c r="L369" t="n">
        <v>0</v>
      </c>
      <c r="M369" t="n">
        <v>0</v>
      </c>
      <c r="N369" t="n">
        <v>0</v>
      </c>
      <c r="O369" t="n">
        <v>0</v>
      </c>
      <c r="P369" t="n">
        <v>0</v>
      </c>
      <c r="Q369" t="n">
        <v>0</v>
      </c>
      <c r="R369" s="2" t="inlineStr"/>
    </row>
    <row r="370" ht="15" customHeight="1">
      <c r="A370" t="inlineStr">
        <is>
          <t>A 33529-2025</t>
        </is>
      </c>
      <c r="B370" s="1" t="n">
        <v>45841.55199074074</v>
      </c>
      <c r="C370" s="1" t="n">
        <v>45933</v>
      </c>
      <c r="D370" t="inlineStr">
        <is>
          <t>UPPSALA LÄN</t>
        </is>
      </c>
      <c r="E370" t="inlineStr">
        <is>
          <t>ÖSTHAMMAR</t>
        </is>
      </c>
      <c r="F370" t="inlineStr">
        <is>
          <t>Bergvik skog öst AB</t>
        </is>
      </c>
      <c r="G370" t="n">
        <v>11.8</v>
      </c>
      <c r="H370" t="n">
        <v>0</v>
      </c>
      <c r="I370" t="n">
        <v>0</v>
      </c>
      <c r="J370" t="n">
        <v>0</v>
      </c>
      <c r="K370" t="n">
        <v>0</v>
      </c>
      <c r="L370" t="n">
        <v>0</v>
      </c>
      <c r="M370" t="n">
        <v>0</v>
      </c>
      <c r="N370" t="n">
        <v>0</v>
      </c>
      <c r="O370" t="n">
        <v>0</v>
      </c>
      <c r="P370" t="n">
        <v>0</v>
      </c>
      <c r="Q370" t="n">
        <v>0</v>
      </c>
      <c r="R370" s="2" t="inlineStr"/>
    </row>
    <row r="371" ht="15" customHeight="1">
      <c r="A371" t="inlineStr">
        <is>
          <t>A 5429-2023</t>
        </is>
      </c>
      <c r="B371" s="1" t="n">
        <v>44959.83037037037</v>
      </c>
      <c r="C371" s="1" t="n">
        <v>45933</v>
      </c>
      <c r="D371" t="inlineStr">
        <is>
          <t>UPPSALA LÄN</t>
        </is>
      </c>
      <c r="E371" t="inlineStr">
        <is>
          <t>ÖSTHAMMAR</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2733-2023</t>
        </is>
      </c>
      <c r="B372" s="1" t="n">
        <v>44943</v>
      </c>
      <c r="C372" s="1" t="n">
        <v>45933</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33927-2025</t>
        </is>
      </c>
      <c r="B373" s="1" t="n">
        <v>45842.62363425926</v>
      </c>
      <c r="C373" s="1" t="n">
        <v>45933</v>
      </c>
      <c r="D373" t="inlineStr">
        <is>
          <t>UPPSALA LÄN</t>
        </is>
      </c>
      <c r="E373" t="inlineStr">
        <is>
          <t>ÖSTHAMMAR</t>
        </is>
      </c>
      <c r="G373" t="n">
        <v>3.5</v>
      </c>
      <c r="H373" t="n">
        <v>0</v>
      </c>
      <c r="I373" t="n">
        <v>0</v>
      </c>
      <c r="J373" t="n">
        <v>0</v>
      </c>
      <c r="K373" t="n">
        <v>0</v>
      </c>
      <c r="L373" t="n">
        <v>0</v>
      </c>
      <c r="M373" t="n">
        <v>0</v>
      </c>
      <c r="N373" t="n">
        <v>0</v>
      </c>
      <c r="O373" t="n">
        <v>0</v>
      </c>
      <c r="P373" t="n">
        <v>0</v>
      </c>
      <c r="Q373" t="n">
        <v>0</v>
      </c>
      <c r="R373" s="2" t="inlineStr"/>
    </row>
    <row r="374" ht="15" customHeight="1">
      <c r="A374" t="inlineStr">
        <is>
          <t>A 55837-2023</t>
        </is>
      </c>
      <c r="B374" s="1" t="n">
        <v>45239</v>
      </c>
      <c r="C374" s="1" t="n">
        <v>45933</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53137-2020</t>
        </is>
      </c>
      <c r="B375" s="1" t="n">
        <v>44120</v>
      </c>
      <c r="C375" s="1" t="n">
        <v>45933</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33973-2025</t>
        </is>
      </c>
      <c r="B376" s="1" t="n">
        <v>45842.98429398148</v>
      </c>
      <c r="C376" s="1" t="n">
        <v>45933</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56089-2020</t>
        </is>
      </c>
      <c r="B377" s="1" t="n">
        <v>44133</v>
      </c>
      <c r="C377" s="1" t="n">
        <v>45933</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12812-2024</t>
        </is>
      </c>
      <c r="B378" s="1" t="n">
        <v>45384.65465277778</v>
      </c>
      <c r="C378" s="1" t="n">
        <v>45933</v>
      </c>
      <c r="D378" t="inlineStr">
        <is>
          <t>UPPSALA LÄN</t>
        </is>
      </c>
      <c r="E378" t="inlineStr">
        <is>
          <t>ÖSTHAMMAR</t>
        </is>
      </c>
      <c r="G378" t="n">
        <v>0.4</v>
      </c>
      <c r="H378" t="n">
        <v>0</v>
      </c>
      <c r="I378" t="n">
        <v>0</v>
      </c>
      <c r="J378" t="n">
        <v>0</v>
      </c>
      <c r="K378" t="n">
        <v>0</v>
      </c>
      <c r="L378" t="n">
        <v>0</v>
      </c>
      <c r="M378" t="n">
        <v>0</v>
      </c>
      <c r="N378" t="n">
        <v>0</v>
      </c>
      <c r="O378" t="n">
        <v>0</v>
      </c>
      <c r="P378" t="n">
        <v>0</v>
      </c>
      <c r="Q378" t="n">
        <v>0</v>
      </c>
      <c r="R378" s="2" t="inlineStr"/>
    </row>
    <row r="379" ht="15" customHeight="1">
      <c r="A379" t="inlineStr">
        <is>
          <t>A 33972-2025</t>
        </is>
      </c>
      <c r="B379" s="1" t="n">
        <v>45842.97236111111</v>
      </c>
      <c r="C379" s="1" t="n">
        <v>45933</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26395-2025</t>
        </is>
      </c>
      <c r="B380" s="1" t="n">
        <v>45807</v>
      </c>
      <c r="C380" s="1" t="n">
        <v>45933</v>
      </c>
      <c r="D380" t="inlineStr">
        <is>
          <t>UPPSALA LÄN</t>
        </is>
      </c>
      <c r="E380" t="inlineStr">
        <is>
          <t>ÖSTHAMMAR</t>
        </is>
      </c>
      <c r="G380" t="n">
        <v>7</v>
      </c>
      <c r="H380" t="n">
        <v>0</v>
      </c>
      <c r="I380" t="n">
        <v>0</v>
      </c>
      <c r="J380" t="n">
        <v>0</v>
      </c>
      <c r="K380" t="n">
        <v>0</v>
      </c>
      <c r="L380" t="n">
        <v>0</v>
      </c>
      <c r="M380" t="n">
        <v>0</v>
      </c>
      <c r="N380" t="n">
        <v>0</v>
      </c>
      <c r="O380" t="n">
        <v>0</v>
      </c>
      <c r="P380" t="n">
        <v>0</v>
      </c>
      <c r="Q380" t="n">
        <v>0</v>
      </c>
      <c r="R380" s="2" t="inlineStr"/>
    </row>
    <row r="381" ht="15" customHeight="1">
      <c r="A381" t="inlineStr">
        <is>
          <t>A 13093-2022</t>
        </is>
      </c>
      <c r="B381" s="1" t="n">
        <v>44643.93269675926</v>
      </c>
      <c r="C381" s="1" t="n">
        <v>45933</v>
      </c>
      <c r="D381" t="inlineStr">
        <is>
          <t>UPPSALA LÄN</t>
        </is>
      </c>
      <c r="E381" t="inlineStr">
        <is>
          <t>ÖSTHAMMAR</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45795-2023</t>
        </is>
      </c>
      <c r="B382" s="1" t="n">
        <v>45195</v>
      </c>
      <c r="C382" s="1" t="n">
        <v>45933</v>
      </c>
      <c r="D382" t="inlineStr">
        <is>
          <t>UPPSALA LÄN</t>
        </is>
      </c>
      <c r="E382" t="inlineStr">
        <is>
          <t>ÖSTHAMMAR</t>
        </is>
      </c>
      <c r="G382" t="n">
        <v>4</v>
      </c>
      <c r="H382" t="n">
        <v>0</v>
      </c>
      <c r="I382" t="n">
        <v>0</v>
      </c>
      <c r="J382" t="n">
        <v>0</v>
      </c>
      <c r="K382" t="n">
        <v>0</v>
      </c>
      <c r="L382" t="n">
        <v>0</v>
      </c>
      <c r="M382" t="n">
        <v>0</v>
      </c>
      <c r="N382" t="n">
        <v>0</v>
      </c>
      <c r="O382" t="n">
        <v>0</v>
      </c>
      <c r="P382" t="n">
        <v>0</v>
      </c>
      <c r="Q382" t="n">
        <v>0</v>
      </c>
      <c r="R382" s="2" t="inlineStr"/>
    </row>
    <row r="383" ht="15" customHeight="1">
      <c r="A383" t="inlineStr">
        <is>
          <t>A 63637-2020</t>
        </is>
      </c>
      <c r="B383" s="1" t="n">
        <v>44162</v>
      </c>
      <c r="C383" s="1" t="n">
        <v>45933</v>
      </c>
      <c r="D383" t="inlineStr">
        <is>
          <t>UPPSALA LÄN</t>
        </is>
      </c>
      <c r="E383" t="inlineStr">
        <is>
          <t>ÖSTHAMMAR</t>
        </is>
      </c>
      <c r="G383" t="n">
        <v>4</v>
      </c>
      <c r="H383" t="n">
        <v>0</v>
      </c>
      <c r="I383" t="n">
        <v>0</v>
      </c>
      <c r="J383" t="n">
        <v>0</v>
      </c>
      <c r="K383" t="n">
        <v>0</v>
      </c>
      <c r="L383" t="n">
        <v>0</v>
      </c>
      <c r="M383" t="n">
        <v>0</v>
      </c>
      <c r="N383" t="n">
        <v>0</v>
      </c>
      <c r="O383" t="n">
        <v>0</v>
      </c>
      <c r="P383" t="n">
        <v>0</v>
      </c>
      <c r="Q383" t="n">
        <v>0</v>
      </c>
      <c r="R383" s="2" t="inlineStr"/>
    </row>
    <row r="384" ht="15" customHeight="1">
      <c r="A384" t="inlineStr">
        <is>
          <t>A 38600-2023</t>
        </is>
      </c>
      <c r="B384" s="1" t="n">
        <v>45162</v>
      </c>
      <c r="C384" s="1" t="n">
        <v>45933</v>
      </c>
      <c r="D384" t="inlineStr">
        <is>
          <t>UPPSALA LÄN</t>
        </is>
      </c>
      <c r="E384" t="inlineStr">
        <is>
          <t>ÖSTHAMMAR</t>
        </is>
      </c>
      <c r="F384" t="inlineStr">
        <is>
          <t>Bergvik skog väst AB</t>
        </is>
      </c>
      <c r="G384" t="n">
        <v>0.1</v>
      </c>
      <c r="H384" t="n">
        <v>0</v>
      </c>
      <c r="I384" t="n">
        <v>0</v>
      </c>
      <c r="J384" t="n">
        <v>0</v>
      </c>
      <c r="K384" t="n">
        <v>0</v>
      </c>
      <c r="L384" t="n">
        <v>0</v>
      </c>
      <c r="M384" t="n">
        <v>0</v>
      </c>
      <c r="N384" t="n">
        <v>0</v>
      </c>
      <c r="O384" t="n">
        <v>0</v>
      </c>
      <c r="P384" t="n">
        <v>0</v>
      </c>
      <c r="Q384" t="n">
        <v>0</v>
      </c>
      <c r="R384" s="2" t="inlineStr"/>
    </row>
    <row r="385" ht="15" customHeight="1">
      <c r="A385" t="inlineStr">
        <is>
          <t>A 8624-2025</t>
        </is>
      </c>
      <c r="B385" s="1" t="n">
        <v>45711.52333333333</v>
      </c>
      <c r="C385" s="1" t="n">
        <v>45933</v>
      </c>
      <c r="D385" t="inlineStr">
        <is>
          <t>UPPSALA LÄN</t>
        </is>
      </c>
      <c r="E385" t="inlineStr">
        <is>
          <t>ÖSTHAMMAR</t>
        </is>
      </c>
      <c r="F385" t="inlineStr">
        <is>
          <t>Bergvik skog väst AB</t>
        </is>
      </c>
      <c r="G385" t="n">
        <v>2.8</v>
      </c>
      <c r="H385" t="n">
        <v>0</v>
      </c>
      <c r="I385" t="n">
        <v>0</v>
      </c>
      <c r="J385" t="n">
        <v>0</v>
      </c>
      <c r="K385" t="n">
        <v>0</v>
      </c>
      <c r="L385" t="n">
        <v>0</v>
      </c>
      <c r="M385" t="n">
        <v>0</v>
      </c>
      <c r="N385" t="n">
        <v>0</v>
      </c>
      <c r="O385" t="n">
        <v>0</v>
      </c>
      <c r="P385" t="n">
        <v>0</v>
      </c>
      <c r="Q385" t="n">
        <v>0</v>
      </c>
      <c r="R385" s="2" t="inlineStr"/>
    </row>
    <row r="386" ht="15" customHeight="1">
      <c r="A386" t="inlineStr">
        <is>
          <t>A 31574-2022</t>
        </is>
      </c>
      <c r="B386" s="1" t="n">
        <v>44775</v>
      </c>
      <c r="C386" s="1" t="n">
        <v>45933</v>
      </c>
      <c r="D386" t="inlineStr">
        <is>
          <t>UPPSALA LÄN</t>
        </is>
      </c>
      <c r="E386" t="inlineStr">
        <is>
          <t>ÖSTHAMMAR</t>
        </is>
      </c>
      <c r="G386" t="n">
        <v>29.7</v>
      </c>
      <c r="H386" t="n">
        <v>0</v>
      </c>
      <c r="I386" t="n">
        <v>0</v>
      </c>
      <c r="J386" t="n">
        <v>0</v>
      </c>
      <c r="K386" t="n">
        <v>0</v>
      </c>
      <c r="L386" t="n">
        <v>0</v>
      </c>
      <c r="M386" t="n">
        <v>0</v>
      </c>
      <c r="N386" t="n">
        <v>0</v>
      </c>
      <c r="O386" t="n">
        <v>0</v>
      </c>
      <c r="P386" t="n">
        <v>0</v>
      </c>
      <c r="Q386" t="n">
        <v>0</v>
      </c>
      <c r="R386" s="2" t="inlineStr"/>
    </row>
    <row r="387" ht="15" customHeight="1">
      <c r="A387" t="inlineStr">
        <is>
          <t>A 17644-2025</t>
        </is>
      </c>
      <c r="B387" s="1" t="n">
        <v>45758.32645833334</v>
      </c>
      <c r="C387" s="1" t="n">
        <v>45933</v>
      </c>
      <c r="D387" t="inlineStr">
        <is>
          <t>UPPSALA LÄN</t>
        </is>
      </c>
      <c r="E387" t="inlineStr">
        <is>
          <t>ÖSTHAMMAR</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20385-2025</t>
        </is>
      </c>
      <c r="B388" s="1" t="n">
        <v>45775.44483796296</v>
      </c>
      <c r="C388" s="1" t="n">
        <v>45933</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10117-2025</t>
        </is>
      </c>
      <c r="B389" s="1" t="n">
        <v>45719.59866898148</v>
      </c>
      <c r="C389" s="1" t="n">
        <v>45933</v>
      </c>
      <c r="D389" t="inlineStr">
        <is>
          <t>UPPSALA LÄN</t>
        </is>
      </c>
      <c r="E389" t="inlineStr">
        <is>
          <t>ÖSTHAMMAR</t>
        </is>
      </c>
      <c r="G389" t="n">
        <v>1.1</v>
      </c>
      <c r="H389" t="n">
        <v>0</v>
      </c>
      <c r="I389" t="n">
        <v>0</v>
      </c>
      <c r="J389" t="n">
        <v>0</v>
      </c>
      <c r="K389" t="n">
        <v>0</v>
      </c>
      <c r="L389" t="n">
        <v>0</v>
      </c>
      <c r="M389" t="n">
        <v>0</v>
      </c>
      <c r="N389" t="n">
        <v>0</v>
      </c>
      <c r="O389" t="n">
        <v>0</v>
      </c>
      <c r="P389" t="n">
        <v>0</v>
      </c>
      <c r="Q389" t="n">
        <v>0</v>
      </c>
      <c r="R389" s="2" t="inlineStr"/>
    </row>
    <row r="390" ht="15" customHeight="1">
      <c r="A390" t="inlineStr">
        <is>
          <t>A 40044-2025</t>
        </is>
      </c>
      <c r="B390" s="1" t="n">
        <v>45894.40133101852</v>
      </c>
      <c r="C390" s="1" t="n">
        <v>45933</v>
      </c>
      <c r="D390" t="inlineStr">
        <is>
          <t>UPPSALA LÄN</t>
        </is>
      </c>
      <c r="E390" t="inlineStr">
        <is>
          <t>ÖSTHAMMAR</t>
        </is>
      </c>
      <c r="F390" t="inlineStr">
        <is>
          <t>Kyrkan</t>
        </is>
      </c>
      <c r="G390" t="n">
        <v>8.9</v>
      </c>
      <c r="H390" t="n">
        <v>0</v>
      </c>
      <c r="I390" t="n">
        <v>0</v>
      </c>
      <c r="J390" t="n">
        <v>0</v>
      </c>
      <c r="K390" t="n">
        <v>0</v>
      </c>
      <c r="L390" t="n">
        <v>0</v>
      </c>
      <c r="M390" t="n">
        <v>0</v>
      </c>
      <c r="N390" t="n">
        <v>0</v>
      </c>
      <c r="O390" t="n">
        <v>0</v>
      </c>
      <c r="P390" t="n">
        <v>0</v>
      </c>
      <c r="Q390" t="n">
        <v>0</v>
      </c>
      <c r="R390" s="2" t="inlineStr"/>
    </row>
    <row r="391" ht="15" customHeight="1">
      <c r="A391" t="inlineStr">
        <is>
          <t>A 24181-2022</t>
        </is>
      </c>
      <c r="B391" s="1" t="n">
        <v>44725</v>
      </c>
      <c r="C391" s="1" t="n">
        <v>45933</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4096-2025</t>
        </is>
      </c>
      <c r="B392" s="1" t="n">
        <v>45684</v>
      </c>
      <c r="C392" s="1" t="n">
        <v>45933</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40016-2025</t>
        </is>
      </c>
      <c r="B393" s="1" t="n">
        <v>45894.34747685185</v>
      </c>
      <c r="C393" s="1" t="n">
        <v>45933</v>
      </c>
      <c r="D393" t="inlineStr">
        <is>
          <t>UPPSALA LÄN</t>
        </is>
      </c>
      <c r="E393" t="inlineStr">
        <is>
          <t>ÖSTHAMMAR</t>
        </is>
      </c>
      <c r="F393" t="inlineStr">
        <is>
          <t>Kyrkan</t>
        </is>
      </c>
      <c r="G393" t="n">
        <v>6.6</v>
      </c>
      <c r="H393" t="n">
        <v>0</v>
      </c>
      <c r="I393" t="n">
        <v>0</v>
      </c>
      <c r="J393" t="n">
        <v>0</v>
      </c>
      <c r="K393" t="n">
        <v>0</v>
      </c>
      <c r="L393" t="n">
        <v>0</v>
      </c>
      <c r="M393" t="n">
        <v>0</v>
      </c>
      <c r="N393" t="n">
        <v>0</v>
      </c>
      <c r="O393" t="n">
        <v>0</v>
      </c>
      <c r="P393" t="n">
        <v>0</v>
      </c>
      <c r="Q393" t="n">
        <v>0</v>
      </c>
      <c r="R393" s="2" t="inlineStr"/>
    </row>
    <row r="394" ht="15" customHeight="1">
      <c r="A394" t="inlineStr">
        <is>
          <t>A 25859-2024</t>
        </is>
      </c>
      <c r="B394" s="1" t="n">
        <v>45467</v>
      </c>
      <c r="C394" s="1" t="n">
        <v>45933</v>
      </c>
      <c r="D394" t="inlineStr">
        <is>
          <t>UPPSALA LÄN</t>
        </is>
      </c>
      <c r="E394" t="inlineStr">
        <is>
          <t>ÖSTHAMMAR</t>
        </is>
      </c>
      <c r="G394" t="n">
        <v>7.9</v>
      </c>
      <c r="H394" t="n">
        <v>0</v>
      </c>
      <c r="I394" t="n">
        <v>0</v>
      </c>
      <c r="J394" t="n">
        <v>0</v>
      </c>
      <c r="K394" t="n">
        <v>0</v>
      </c>
      <c r="L394" t="n">
        <v>0</v>
      </c>
      <c r="M394" t="n">
        <v>0</v>
      </c>
      <c r="N394" t="n">
        <v>0</v>
      </c>
      <c r="O394" t="n">
        <v>0</v>
      </c>
      <c r="P394" t="n">
        <v>0</v>
      </c>
      <c r="Q394" t="n">
        <v>0</v>
      </c>
      <c r="R394" s="2" t="inlineStr"/>
    </row>
    <row r="395" ht="15" customHeight="1">
      <c r="A395" t="inlineStr">
        <is>
          <t>A 22884-2024</t>
        </is>
      </c>
      <c r="B395" s="1" t="n">
        <v>45448</v>
      </c>
      <c r="C395" s="1" t="n">
        <v>45933</v>
      </c>
      <c r="D395" t="inlineStr">
        <is>
          <t>UPPSALA LÄN</t>
        </is>
      </c>
      <c r="E395" t="inlineStr">
        <is>
          <t>ÖSTHAMMAR</t>
        </is>
      </c>
      <c r="G395" t="n">
        <v>3.3</v>
      </c>
      <c r="H395" t="n">
        <v>0</v>
      </c>
      <c r="I395" t="n">
        <v>0</v>
      </c>
      <c r="J395" t="n">
        <v>0</v>
      </c>
      <c r="K395" t="n">
        <v>0</v>
      </c>
      <c r="L395" t="n">
        <v>0</v>
      </c>
      <c r="M395" t="n">
        <v>0</v>
      </c>
      <c r="N395" t="n">
        <v>0</v>
      </c>
      <c r="O395" t="n">
        <v>0</v>
      </c>
      <c r="P395" t="n">
        <v>0</v>
      </c>
      <c r="Q395" t="n">
        <v>0</v>
      </c>
      <c r="R395" s="2" t="inlineStr"/>
    </row>
    <row r="396" ht="15" customHeight="1">
      <c r="A396" t="inlineStr">
        <is>
          <t>A 18183-2022</t>
        </is>
      </c>
      <c r="B396" s="1" t="n">
        <v>44684</v>
      </c>
      <c r="C396" s="1" t="n">
        <v>45933</v>
      </c>
      <c r="D396" t="inlineStr">
        <is>
          <t>UPPSALA LÄN</t>
        </is>
      </c>
      <c r="E396" t="inlineStr">
        <is>
          <t>ÖSTHAMMAR</t>
        </is>
      </c>
      <c r="G396" t="n">
        <v>0.2</v>
      </c>
      <c r="H396" t="n">
        <v>0</v>
      </c>
      <c r="I396" t="n">
        <v>0</v>
      </c>
      <c r="J396" t="n">
        <v>0</v>
      </c>
      <c r="K396" t="n">
        <v>0</v>
      </c>
      <c r="L396" t="n">
        <v>0</v>
      </c>
      <c r="M396" t="n">
        <v>0</v>
      </c>
      <c r="N396" t="n">
        <v>0</v>
      </c>
      <c r="O396" t="n">
        <v>0</v>
      </c>
      <c r="P396" t="n">
        <v>0</v>
      </c>
      <c r="Q396" t="n">
        <v>0</v>
      </c>
      <c r="R396" s="2" t="inlineStr"/>
    </row>
    <row r="397" ht="15" customHeight="1">
      <c r="A397" t="inlineStr">
        <is>
          <t>A 4304-2025</t>
        </is>
      </c>
      <c r="B397" s="1" t="n">
        <v>45685.68193287037</v>
      </c>
      <c r="C397" s="1" t="n">
        <v>45933</v>
      </c>
      <c r="D397" t="inlineStr">
        <is>
          <t>UPPSALA LÄN</t>
        </is>
      </c>
      <c r="E397" t="inlineStr">
        <is>
          <t>ÖSTHAMMAR</t>
        </is>
      </c>
      <c r="G397" t="n">
        <v>1.2</v>
      </c>
      <c r="H397" t="n">
        <v>0</v>
      </c>
      <c r="I397" t="n">
        <v>0</v>
      </c>
      <c r="J397" t="n">
        <v>0</v>
      </c>
      <c r="K397" t="n">
        <v>0</v>
      </c>
      <c r="L397" t="n">
        <v>0</v>
      </c>
      <c r="M397" t="n">
        <v>0</v>
      </c>
      <c r="N397" t="n">
        <v>0</v>
      </c>
      <c r="O397" t="n">
        <v>0</v>
      </c>
      <c r="P397" t="n">
        <v>0</v>
      </c>
      <c r="Q397" t="n">
        <v>0</v>
      </c>
      <c r="R397" s="2" t="inlineStr"/>
    </row>
    <row r="398" ht="15" customHeight="1">
      <c r="A398" t="inlineStr">
        <is>
          <t>A 19640-2025</t>
        </is>
      </c>
      <c r="B398" s="1" t="n">
        <v>45770.65739583333</v>
      </c>
      <c r="C398" s="1" t="n">
        <v>45933</v>
      </c>
      <c r="D398" t="inlineStr">
        <is>
          <t>UPPSALA LÄN</t>
        </is>
      </c>
      <c r="E398" t="inlineStr">
        <is>
          <t>ÖSTHAMMAR</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28170-2023</t>
        </is>
      </c>
      <c r="B399" s="1" t="n">
        <v>45093</v>
      </c>
      <c r="C399" s="1" t="n">
        <v>45933</v>
      </c>
      <c r="D399" t="inlineStr">
        <is>
          <t>UPPSALA LÄN</t>
        </is>
      </c>
      <c r="E399" t="inlineStr">
        <is>
          <t>ÖSTHAMMAR</t>
        </is>
      </c>
      <c r="G399" t="n">
        <v>7.2</v>
      </c>
      <c r="H399" t="n">
        <v>0</v>
      </c>
      <c r="I399" t="n">
        <v>0</v>
      </c>
      <c r="J399" t="n">
        <v>0</v>
      </c>
      <c r="K399" t="n">
        <v>0</v>
      </c>
      <c r="L399" t="n">
        <v>0</v>
      </c>
      <c r="M399" t="n">
        <v>0</v>
      </c>
      <c r="N399" t="n">
        <v>0</v>
      </c>
      <c r="O399" t="n">
        <v>0</v>
      </c>
      <c r="P399" t="n">
        <v>0</v>
      </c>
      <c r="Q399" t="n">
        <v>0</v>
      </c>
      <c r="R399" s="2" t="inlineStr"/>
    </row>
    <row r="400" ht="15" customHeight="1">
      <c r="A400" t="inlineStr">
        <is>
          <t>A 40570-2025</t>
        </is>
      </c>
      <c r="B400" s="1" t="n">
        <v>45896.47878472223</v>
      </c>
      <c r="C400" s="1" t="n">
        <v>45933</v>
      </c>
      <c r="D400" t="inlineStr">
        <is>
          <t>UPPSALA LÄN</t>
        </is>
      </c>
      <c r="E400" t="inlineStr">
        <is>
          <t>ÖSTHAMMAR</t>
        </is>
      </c>
      <c r="F400" t="inlineStr">
        <is>
          <t>Övriga Aktiebolag</t>
        </is>
      </c>
      <c r="G400" t="n">
        <v>4.8</v>
      </c>
      <c r="H400" t="n">
        <v>0</v>
      </c>
      <c r="I400" t="n">
        <v>0</v>
      </c>
      <c r="J400" t="n">
        <v>0</v>
      </c>
      <c r="K400" t="n">
        <v>0</v>
      </c>
      <c r="L400" t="n">
        <v>0</v>
      </c>
      <c r="M400" t="n">
        <v>0</v>
      </c>
      <c r="N400" t="n">
        <v>0</v>
      </c>
      <c r="O400" t="n">
        <v>0</v>
      </c>
      <c r="P400" t="n">
        <v>0</v>
      </c>
      <c r="Q400" t="n">
        <v>0</v>
      </c>
      <c r="R400" s="2" t="inlineStr"/>
    </row>
    <row r="401" ht="15" customHeight="1">
      <c r="A401" t="inlineStr">
        <is>
          <t>A 40377-2025</t>
        </is>
      </c>
      <c r="B401" s="1" t="n">
        <v>45895.53020833333</v>
      </c>
      <c r="C401" s="1" t="n">
        <v>45933</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40416-2025</t>
        </is>
      </c>
      <c r="B402" s="1" t="n">
        <v>45895.57736111111</v>
      </c>
      <c r="C402" s="1" t="n">
        <v>45933</v>
      </c>
      <c r="D402" t="inlineStr">
        <is>
          <t>UPPSALA LÄN</t>
        </is>
      </c>
      <c r="E402" t="inlineStr">
        <is>
          <t>ÖSTHAMMAR</t>
        </is>
      </c>
      <c r="G402" t="n">
        <v>0.4</v>
      </c>
      <c r="H402" t="n">
        <v>0</v>
      </c>
      <c r="I402" t="n">
        <v>0</v>
      </c>
      <c r="J402" t="n">
        <v>0</v>
      </c>
      <c r="K402" t="n">
        <v>0</v>
      </c>
      <c r="L402" t="n">
        <v>0</v>
      </c>
      <c r="M402" t="n">
        <v>0</v>
      </c>
      <c r="N402" t="n">
        <v>0</v>
      </c>
      <c r="O402" t="n">
        <v>0</v>
      </c>
      <c r="P402" t="n">
        <v>0</v>
      </c>
      <c r="Q402" t="n">
        <v>0</v>
      </c>
      <c r="R402" s="2" t="inlineStr"/>
    </row>
    <row r="403" ht="15" customHeight="1">
      <c r="A403" t="inlineStr">
        <is>
          <t>A 16933-2022</t>
        </is>
      </c>
      <c r="B403" s="1" t="n">
        <v>44676</v>
      </c>
      <c r="C403" s="1" t="n">
        <v>45933</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23741-2024</t>
        </is>
      </c>
      <c r="B404" s="1" t="n">
        <v>45455</v>
      </c>
      <c r="C404" s="1" t="n">
        <v>45933</v>
      </c>
      <c r="D404" t="inlineStr">
        <is>
          <t>UPPSALA LÄN</t>
        </is>
      </c>
      <c r="E404" t="inlineStr">
        <is>
          <t>ÖSTHAMMAR</t>
        </is>
      </c>
      <c r="F404" t="inlineStr">
        <is>
          <t>Bergvik skog öst AB</t>
        </is>
      </c>
      <c r="G404" t="n">
        <v>1.9</v>
      </c>
      <c r="H404" t="n">
        <v>0</v>
      </c>
      <c r="I404" t="n">
        <v>0</v>
      </c>
      <c r="J404" t="n">
        <v>0</v>
      </c>
      <c r="K404" t="n">
        <v>0</v>
      </c>
      <c r="L404" t="n">
        <v>0</v>
      </c>
      <c r="M404" t="n">
        <v>0</v>
      </c>
      <c r="N404" t="n">
        <v>0</v>
      </c>
      <c r="O404" t="n">
        <v>0</v>
      </c>
      <c r="P404" t="n">
        <v>0</v>
      </c>
      <c r="Q404" t="n">
        <v>0</v>
      </c>
      <c r="R404" s="2" t="inlineStr"/>
    </row>
    <row r="405" ht="15" customHeight="1">
      <c r="A405" t="inlineStr">
        <is>
          <t>A 40460-2025</t>
        </is>
      </c>
      <c r="B405" s="1" t="n">
        <v>45895.65013888889</v>
      </c>
      <c r="C405" s="1" t="n">
        <v>45933</v>
      </c>
      <c r="D405" t="inlineStr">
        <is>
          <t>UPPSALA LÄN</t>
        </is>
      </c>
      <c r="E405" t="inlineStr">
        <is>
          <t>ÖSTHAMMAR</t>
        </is>
      </c>
      <c r="G405" t="n">
        <v>2.7</v>
      </c>
      <c r="H405" t="n">
        <v>0</v>
      </c>
      <c r="I405" t="n">
        <v>0</v>
      </c>
      <c r="J405" t="n">
        <v>0</v>
      </c>
      <c r="K405" t="n">
        <v>0</v>
      </c>
      <c r="L405" t="n">
        <v>0</v>
      </c>
      <c r="M405" t="n">
        <v>0</v>
      </c>
      <c r="N405" t="n">
        <v>0</v>
      </c>
      <c r="O405" t="n">
        <v>0</v>
      </c>
      <c r="P405" t="n">
        <v>0</v>
      </c>
      <c r="Q405" t="n">
        <v>0</v>
      </c>
      <c r="R405" s="2" t="inlineStr"/>
    </row>
    <row r="406" ht="15" customHeight="1">
      <c r="A406" t="inlineStr">
        <is>
          <t>A 9264-2024</t>
        </is>
      </c>
      <c r="B406" s="1" t="n">
        <v>45358</v>
      </c>
      <c r="C406" s="1" t="n">
        <v>45933</v>
      </c>
      <c r="D406" t="inlineStr">
        <is>
          <t>UPPSALA LÄN</t>
        </is>
      </c>
      <c r="E406" t="inlineStr">
        <is>
          <t>ÖSTHAMMAR</t>
        </is>
      </c>
      <c r="F406" t="inlineStr">
        <is>
          <t>Bergvik skog öst AB</t>
        </is>
      </c>
      <c r="G406" t="n">
        <v>0.4</v>
      </c>
      <c r="H406" t="n">
        <v>0</v>
      </c>
      <c r="I406" t="n">
        <v>0</v>
      </c>
      <c r="J406" t="n">
        <v>0</v>
      </c>
      <c r="K406" t="n">
        <v>0</v>
      </c>
      <c r="L406" t="n">
        <v>0</v>
      </c>
      <c r="M406" t="n">
        <v>0</v>
      </c>
      <c r="N406" t="n">
        <v>0</v>
      </c>
      <c r="O406" t="n">
        <v>0</v>
      </c>
      <c r="P406" t="n">
        <v>0</v>
      </c>
      <c r="Q406" t="n">
        <v>0</v>
      </c>
      <c r="R406" s="2" t="inlineStr"/>
    </row>
    <row r="407" ht="15" customHeight="1">
      <c r="A407" t="inlineStr">
        <is>
          <t>A 40384-2025</t>
        </is>
      </c>
      <c r="B407" s="1" t="n">
        <v>45895.54085648148</v>
      </c>
      <c r="C407" s="1" t="n">
        <v>45933</v>
      </c>
      <c r="D407" t="inlineStr">
        <is>
          <t>UPPSALA LÄN</t>
        </is>
      </c>
      <c r="E407" t="inlineStr">
        <is>
          <t>ÖSTHAMMAR</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40462-2025</t>
        </is>
      </c>
      <c r="B408" s="1" t="n">
        <v>45895.65179398148</v>
      </c>
      <c r="C408" s="1" t="n">
        <v>45933</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57043-2022</t>
        </is>
      </c>
      <c r="B409" s="1" t="n">
        <v>44895.36748842592</v>
      </c>
      <c r="C409" s="1" t="n">
        <v>45933</v>
      </c>
      <c r="D409" t="inlineStr">
        <is>
          <t>UPPSALA LÄN</t>
        </is>
      </c>
      <c r="E409" t="inlineStr">
        <is>
          <t>ÖSTHAMMAR</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8874-2025</t>
        </is>
      </c>
      <c r="B410" s="1" t="n">
        <v>45713</v>
      </c>
      <c r="C410" s="1" t="n">
        <v>45933</v>
      </c>
      <c r="D410" t="inlineStr">
        <is>
          <t>UPPSALA LÄN</t>
        </is>
      </c>
      <c r="E410" t="inlineStr">
        <is>
          <t>ÖSTHAMMAR</t>
        </is>
      </c>
      <c r="G410" t="n">
        <v>6.3</v>
      </c>
      <c r="H410" t="n">
        <v>0</v>
      </c>
      <c r="I410" t="n">
        <v>0</v>
      </c>
      <c r="J410" t="n">
        <v>0</v>
      </c>
      <c r="K410" t="n">
        <v>0</v>
      </c>
      <c r="L410" t="n">
        <v>0</v>
      </c>
      <c r="M410" t="n">
        <v>0</v>
      </c>
      <c r="N410" t="n">
        <v>0</v>
      </c>
      <c r="O410" t="n">
        <v>0</v>
      </c>
      <c r="P410" t="n">
        <v>0</v>
      </c>
      <c r="Q410" t="n">
        <v>0</v>
      </c>
      <c r="R410" s="2" t="inlineStr"/>
    </row>
    <row r="411" ht="15" customHeight="1">
      <c r="A411" t="inlineStr">
        <is>
          <t>A 47390-2023</t>
        </is>
      </c>
      <c r="B411" s="1" t="n">
        <v>45202</v>
      </c>
      <c r="C411" s="1" t="n">
        <v>45933</v>
      </c>
      <c r="D411" t="inlineStr">
        <is>
          <t>UPPSALA LÄN</t>
        </is>
      </c>
      <c r="E411" t="inlineStr">
        <is>
          <t>ÖSTHAMMAR</t>
        </is>
      </c>
      <c r="G411" t="n">
        <v>3.7</v>
      </c>
      <c r="H411" t="n">
        <v>0</v>
      </c>
      <c r="I411" t="n">
        <v>0</v>
      </c>
      <c r="J411" t="n">
        <v>0</v>
      </c>
      <c r="K411" t="n">
        <v>0</v>
      </c>
      <c r="L411" t="n">
        <v>0</v>
      </c>
      <c r="M411" t="n">
        <v>0</v>
      </c>
      <c r="N411" t="n">
        <v>0</v>
      </c>
      <c r="O411" t="n">
        <v>0</v>
      </c>
      <c r="P411" t="n">
        <v>0</v>
      </c>
      <c r="Q411" t="n">
        <v>0</v>
      </c>
      <c r="R411" s="2" t="inlineStr"/>
    </row>
    <row r="412" ht="15" customHeight="1">
      <c r="A412" t="inlineStr">
        <is>
          <t>A 25418-2022</t>
        </is>
      </c>
      <c r="B412" s="1" t="n">
        <v>44732.464375</v>
      </c>
      <c r="C412" s="1" t="n">
        <v>45933</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62391-2022</t>
        </is>
      </c>
      <c r="B413" s="1" t="n">
        <v>44923.7849537037</v>
      </c>
      <c r="C413" s="1" t="n">
        <v>45933</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31485-2023</t>
        </is>
      </c>
      <c r="B414" s="1" t="n">
        <v>45114</v>
      </c>
      <c r="C414" s="1" t="n">
        <v>45933</v>
      </c>
      <c r="D414" t="inlineStr">
        <is>
          <t>UPPSALA LÄN</t>
        </is>
      </c>
      <c r="E414" t="inlineStr">
        <is>
          <t>ÖSTHAMMAR</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15928-2022</t>
        </is>
      </c>
      <c r="B415" s="1" t="n">
        <v>44664</v>
      </c>
      <c r="C415" s="1" t="n">
        <v>45933</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41519-2025</t>
        </is>
      </c>
      <c r="B416" s="1" t="n">
        <v>45901.54751157408</v>
      </c>
      <c r="C416" s="1" t="n">
        <v>45933</v>
      </c>
      <c r="D416" t="inlineStr">
        <is>
          <t>UPPSALA LÄN</t>
        </is>
      </c>
      <c r="E416" t="inlineStr">
        <is>
          <t>ÖSTHAMMAR</t>
        </is>
      </c>
      <c r="F416" t="inlineStr">
        <is>
          <t>Övriga Aktiebolag</t>
        </is>
      </c>
      <c r="G416" t="n">
        <v>17.1</v>
      </c>
      <c r="H416" t="n">
        <v>0</v>
      </c>
      <c r="I416" t="n">
        <v>0</v>
      </c>
      <c r="J416" t="n">
        <v>0</v>
      </c>
      <c r="K416" t="n">
        <v>0</v>
      </c>
      <c r="L416" t="n">
        <v>0</v>
      </c>
      <c r="M416" t="n">
        <v>0</v>
      </c>
      <c r="N416" t="n">
        <v>0</v>
      </c>
      <c r="O416" t="n">
        <v>0</v>
      </c>
      <c r="P416" t="n">
        <v>0</v>
      </c>
      <c r="Q416" t="n">
        <v>0</v>
      </c>
      <c r="R416" s="2" t="inlineStr"/>
    </row>
    <row r="417" ht="15" customHeight="1">
      <c r="A417" t="inlineStr">
        <is>
          <t>A 56759-2024</t>
        </is>
      </c>
      <c r="B417" s="1" t="n">
        <v>45628.39877314815</v>
      </c>
      <c r="C417" s="1" t="n">
        <v>45933</v>
      </c>
      <c r="D417" t="inlineStr">
        <is>
          <t>UPPSALA LÄN</t>
        </is>
      </c>
      <c r="E417" t="inlineStr">
        <is>
          <t>ÖSTHAMMAR</t>
        </is>
      </c>
      <c r="G417" t="n">
        <v>4.7</v>
      </c>
      <c r="H417" t="n">
        <v>0</v>
      </c>
      <c r="I417" t="n">
        <v>0</v>
      </c>
      <c r="J417" t="n">
        <v>0</v>
      </c>
      <c r="K417" t="n">
        <v>0</v>
      </c>
      <c r="L417" t="n">
        <v>0</v>
      </c>
      <c r="M417" t="n">
        <v>0</v>
      </c>
      <c r="N417" t="n">
        <v>0</v>
      </c>
      <c r="O417" t="n">
        <v>0</v>
      </c>
      <c r="P417" t="n">
        <v>0</v>
      </c>
      <c r="Q417" t="n">
        <v>0</v>
      </c>
      <c r="R417" s="2" t="inlineStr"/>
    </row>
    <row r="418" ht="15" customHeight="1">
      <c r="A418" t="inlineStr">
        <is>
          <t>A 28228-2022</t>
        </is>
      </c>
      <c r="B418" s="1" t="n">
        <v>44746.65873842593</v>
      </c>
      <c r="C418" s="1" t="n">
        <v>45933</v>
      </c>
      <c r="D418" t="inlineStr">
        <is>
          <t>UPPSALA LÄN</t>
        </is>
      </c>
      <c r="E418" t="inlineStr">
        <is>
          <t>ÖSTHAMMAR</t>
        </is>
      </c>
      <c r="G418" t="n">
        <v>2.7</v>
      </c>
      <c r="H418" t="n">
        <v>0</v>
      </c>
      <c r="I418" t="n">
        <v>0</v>
      </c>
      <c r="J418" t="n">
        <v>0</v>
      </c>
      <c r="K418" t="n">
        <v>0</v>
      </c>
      <c r="L418" t="n">
        <v>0</v>
      </c>
      <c r="M418" t="n">
        <v>0</v>
      </c>
      <c r="N418" t="n">
        <v>0</v>
      </c>
      <c r="O418" t="n">
        <v>0</v>
      </c>
      <c r="P418" t="n">
        <v>0</v>
      </c>
      <c r="Q418" t="n">
        <v>0</v>
      </c>
      <c r="R418" s="2" t="inlineStr"/>
    </row>
    <row r="419" ht="15" customHeight="1">
      <c r="A419" t="inlineStr">
        <is>
          <t>A 15445-2022</t>
        </is>
      </c>
      <c r="B419" s="1" t="n">
        <v>44660.4987962963</v>
      </c>
      <c r="C419" s="1" t="n">
        <v>45933</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32744-2022</t>
        </is>
      </c>
      <c r="B420" s="1" t="n">
        <v>44783.70378472222</v>
      </c>
      <c r="C420" s="1" t="n">
        <v>45933</v>
      </c>
      <c r="D420" t="inlineStr">
        <is>
          <t>UPPSALA LÄN</t>
        </is>
      </c>
      <c r="E420" t="inlineStr">
        <is>
          <t>ÖSTHAMMAR</t>
        </is>
      </c>
      <c r="F420" t="inlineStr">
        <is>
          <t>Bergvik skog öst AB</t>
        </is>
      </c>
      <c r="G420" t="n">
        <v>3</v>
      </c>
      <c r="H420" t="n">
        <v>0</v>
      </c>
      <c r="I420" t="n">
        <v>0</v>
      </c>
      <c r="J420" t="n">
        <v>0</v>
      </c>
      <c r="K420" t="n">
        <v>0</v>
      </c>
      <c r="L420" t="n">
        <v>0</v>
      </c>
      <c r="M420" t="n">
        <v>0</v>
      </c>
      <c r="N420" t="n">
        <v>0</v>
      </c>
      <c r="O420" t="n">
        <v>0</v>
      </c>
      <c r="P420" t="n">
        <v>0</v>
      </c>
      <c r="Q420" t="n">
        <v>0</v>
      </c>
      <c r="R420" s="2" t="inlineStr"/>
    </row>
    <row r="421" ht="15" customHeight="1">
      <c r="A421" t="inlineStr">
        <is>
          <t>A 10275-2025</t>
        </is>
      </c>
      <c r="B421" s="1" t="n">
        <v>45720.39715277778</v>
      </c>
      <c r="C421" s="1" t="n">
        <v>45933</v>
      </c>
      <c r="D421" t="inlineStr">
        <is>
          <t>UPPSALA LÄN</t>
        </is>
      </c>
      <c r="E421" t="inlineStr">
        <is>
          <t>ÖSTHAMMAR</t>
        </is>
      </c>
      <c r="G421" t="n">
        <v>6.2</v>
      </c>
      <c r="H421" t="n">
        <v>0</v>
      </c>
      <c r="I421" t="n">
        <v>0</v>
      </c>
      <c r="J421" t="n">
        <v>0</v>
      </c>
      <c r="K421" t="n">
        <v>0</v>
      </c>
      <c r="L421" t="n">
        <v>0</v>
      </c>
      <c r="M421" t="n">
        <v>0</v>
      </c>
      <c r="N421" t="n">
        <v>0</v>
      </c>
      <c r="O421" t="n">
        <v>0</v>
      </c>
      <c r="P421" t="n">
        <v>0</v>
      </c>
      <c r="Q421" t="n">
        <v>0</v>
      </c>
      <c r="R421" s="2" t="inlineStr"/>
    </row>
    <row r="422" ht="15" customHeight="1">
      <c r="A422" t="inlineStr">
        <is>
          <t>A 42213-2025</t>
        </is>
      </c>
      <c r="B422" s="1" t="n">
        <v>45904.50652777778</v>
      </c>
      <c r="C422" s="1" t="n">
        <v>45933</v>
      </c>
      <c r="D422" t="inlineStr">
        <is>
          <t>UPPSALA LÄN</t>
        </is>
      </c>
      <c r="E422" t="inlineStr">
        <is>
          <t>ÖSTHAMMAR</t>
        </is>
      </c>
      <c r="G422" t="n">
        <v>0.8</v>
      </c>
      <c r="H422" t="n">
        <v>0</v>
      </c>
      <c r="I422" t="n">
        <v>0</v>
      </c>
      <c r="J422" t="n">
        <v>0</v>
      </c>
      <c r="K422" t="n">
        <v>0</v>
      </c>
      <c r="L422" t="n">
        <v>0</v>
      </c>
      <c r="M422" t="n">
        <v>0</v>
      </c>
      <c r="N422" t="n">
        <v>0</v>
      </c>
      <c r="O422" t="n">
        <v>0</v>
      </c>
      <c r="P422" t="n">
        <v>0</v>
      </c>
      <c r="Q422" t="n">
        <v>0</v>
      </c>
      <c r="R422" s="2" t="inlineStr"/>
    </row>
    <row r="423" ht="15" customHeight="1">
      <c r="A423" t="inlineStr">
        <is>
          <t>A 14124-2022</t>
        </is>
      </c>
      <c r="B423" s="1" t="n">
        <v>44651.40924768519</v>
      </c>
      <c r="C423" s="1" t="n">
        <v>45933</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37812-2022</t>
        </is>
      </c>
      <c r="B424" s="1" t="n">
        <v>44810</v>
      </c>
      <c r="C424" s="1" t="n">
        <v>45933</v>
      </c>
      <c r="D424" t="inlineStr">
        <is>
          <t>UPPSALA LÄN</t>
        </is>
      </c>
      <c r="E424" t="inlineStr">
        <is>
          <t>ÖSTHAMMAR</t>
        </is>
      </c>
      <c r="G424" t="n">
        <v>1</v>
      </c>
      <c r="H424" t="n">
        <v>0</v>
      </c>
      <c r="I424" t="n">
        <v>0</v>
      </c>
      <c r="J424" t="n">
        <v>0</v>
      </c>
      <c r="K424" t="n">
        <v>0</v>
      </c>
      <c r="L424" t="n">
        <v>0</v>
      </c>
      <c r="M424" t="n">
        <v>0</v>
      </c>
      <c r="N424" t="n">
        <v>0</v>
      </c>
      <c r="O424" t="n">
        <v>0</v>
      </c>
      <c r="P424" t="n">
        <v>0</v>
      </c>
      <c r="Q424" t="n">
        <v>0</v>
      </c>
      <c r="R424" s="2" t="inlineStr"/>
    </row>
    <row r="425" ht="15" customHeight="1">
      <c r="A425" t="inlineStr">
        <is>
          <t>A 19501-2025</t>
        </is>
      </c>
      <c r="B425" s="1" t="n">
        <v>45770.4015625</v>
      </c>
      <c r="C425" s="1" t="n">
        <v>45933</v>
      </c>
      <c r="D425" t="inlineStr">
        <is>
          <t>UPPSALA LÄN</t>
        </is>
      </c>
      <c r="E425" t="inlineStr">
        <is>
          <t>ÖSTHAMMAR</t>
        </is>
      </c>
      <c r="F425" t="inlineStr">
        <is>
          <t>Övriga Aktiebolag</t>
        </is>
      </c>
      <c r="G425" t="n">
        <v>17.3</v>
      </c>
      <c r="H425" t="n">
        <v>0</v>
      </c>
      <c r="I425" t="n">
        <v>0</v>
      </c>
      <c r="J425" t="n">
        <v>0</v>
      </c>
      <c r="K425" t="n">
        <v>0</v>
      </c>
      <c r="L425" t="n">
        <v>0</v>
      </c>
      <c r="M425" t="n">
        <v>0</v>
      </c>
      <c r="N425" t="n">
        <v>0</v>
      </c>
      <c r="O425" t="n">
        <v>0</v>
      </c>
      <c r="P425" t="n">
        <v>0</v>
      </c>
      <c r="Q425" t="n">
        <v>0</v>
      </c>
      <c r="R425" s="2" t="inlineStr"/>
    </row>
    <row r="426" ht="15" customHeight="1">
      <c r="A426" t="inlineStr">
        <is>
          <t>A 41821-2023</t>
        </is>
      </c>
      <c r="B426" s="1" t="n">
        <v>45176</v>
      </c>
      <c r="C426" s="1" t="n">
        <v>45933</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44591.51854166666</v>
      </c>
      <c r="C427" s="1" t="n">
        <v>45933</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11643-2022</t>
        </is>
      </c>
      <c r="B428" s="1" t="n">
        <v>44631.92662037037</v>
      </c>
      <c r="C428" s="1" t="n">
        <v>45933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32742-2022</t>
        </is>
      </c>
      <c r="B429" s="1" t="n">
        <v>44783.69886574074</v>
      </c>
      <c r="C429" s="1" t="n">
        <v>45933</v>
      </c>
      <c r="D429" t="inlineStr">
        <is>
          <t>UPPSALA LÄN</t>
        </is>
      </c>
      <c r="E429" t="inlineStr">
        <is>
          <t>ÖSTHAMMAR</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41308-2023</t>
        </is>
      </c>
      <c r="B430" s="1" t="n">
        <v>45174.62788194444</v>
      </c>
      <c r="C430" s="1" t="n">
        <v>45933</v>
      </c>
      <c r="D430" t="inlineStr">
        <is>
          <t>UPPSALA LÄN</t>
        </is>
      </c>
      <c r="E430" t="inlineStr">
        <is>
          <t>ÖSTHAMMAR</t>
        </is>
      </c>
      <c r="F430" t="inlineStr">
        <is>
          <t>Övriga Aktiebolag</t>
        </is>
      </c>
      <c r="G430" t="n">
        <v>2.8</v>
      </c>
      <c r="H430" t="n">
        <v>0</v>
      </c>
      <c r="I430" t="n">
        <v>0</v>
      </c>
      <c r="J430" t="n">
        <v>0</v>
      </c>
      <c r="K430" t="n">
        <v>0</v>
      </c>
      <c r="L430" t="n">
        <v>0</v>
      </c>
      <c r="M430" t="n">
        <v>0</v>
      </c>
      <c r="N430" t="n">
        <v>0</v>
      </c>
      <c r="O430" t="n">
        <v>0</v>
      </c>
      <c r="P430" t="n">
        <v>0</v>
      </c>
      <c r="Q430" t="n">
        <v>0</v>
      </c>
      <c r="R430" s="2" t="inlineStr"/>
    </row>
    <row r="431" ht="15" customHeight="1">
      <c r="A431" t="inlineStr">
        <is>
          <t>A 49833-2023</t>
        </is>
      </c>
      <c r="B431" s="1" t="n">
        <v>45212.71481481481</v>
      </c>
      <c r="C431" s="1" t="n">
        <v>45933</v>
      </c>
      <c r="D431" t="inlineStr">
        <is>
          <t>UPPSALA LÄN</t>
        </is>
      </c>
      <c r="E431" t="inlineStr">
        <is>
          <t>ÖSTHAMMAR</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17433-2025</t>
        </is>
      </c>
      <c r="B432" s="1" t="n">
        <v>45757.40733796296</v>
      </c>
      <c r="C432" s="1" t="n">
        <v>45933</v>
      </c>
      <c r="D432" t="inlineStr">
        <is>
          <t>UPPSALA LÄN</t>
        </is>
      </c>
      <c r="E432" t="inlineStr">
        <is>
          <t>ÖSTHAMMAR</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45550-2023</t>
        </is>
      </c>
      <c r="B433" s="1" t="n">
        <v>45194.57125</v>
      </c>
      <c r="C433" s="1" t="n">
        <v>45933</v>
      </c>
      <c r="D433" t="inlineStr">
        <is>
          <t>UPPSALA LÄN</t>
        </is>
      </c>
      <c r="E433" t="inlineStr">
        <is>
          <t>ÖSTHAMMAR</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11036-2023</t>
        </is>
      </c>
      <c r="B434" s="1" t="n">
        <v>44991.9321412037</v>
      </c>
      <c r="C434" s="1" t="n">
        <v>45933</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23363-2023</t>
        </is>
      </c>
      <c r="B435" s="1" t="n">
        <v>45076</v>
      </c>
      <c r="C435" s="1" t="n">
        <v>45933</v>
      </c>
      <c r="D435" t="inlineStr">
        <is>
          <t>UPPSALA LÄN</t>
        </is>
      </c>
      <c r="E435" t="inlineStr">
        <is>
          <t>ÖSTHAMMAR</t>
        </is>
      </c>
      <c r="G435" t="n">
        <v>3</v>
      </c>
      <c r="H435" t="n">
        <v>0</v>
      </c>
      <c r="I435" t="n">
        <v>0</v>
      </c>
      <c r="J435" t="n">
        <v>0</v>
      </c>
      <c r="K435" t="n">
        <v>0</v>
      </c>
      <c r="L435" t="n">
        <v>0</v>
      </c>
      <c r="M435" t="n">
        <v>0</v>
      </c>
      <c r="N435" t="n">
        <v>0</v>
      </c>
      <c r="O435" t="n">
        <v>0</v>
      </c>
      <c r="P435" t="n">
        <v>0</v>
      </c>
      <c r="Q435" t="n">
        <v>0</v>
      </c>
      <c r="R435" s="2" t="inlineStr"/>
    </row>
    <row r="436" ht="15" customHeight="1">
      <c r="A436" t="inlineStr">
        <is>
          <t>A 54368-2023</t>
        </is>
      </c>
      <c r="B436" s="1" t="n">
        <v>45233.33221064815</v>
      </c>
      <c r="C436" s="1" t="n">
        <v>45933</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3418-2025</t>
        </is>
      </c>
      <c r="B437" s="1" t="n">
        <v>45680</v>
      </c>
      <c r="C437" s="1" t="n">
        <v>45933</v>
      </c>
      <c r="D437" t="inlineStr">
        <is>
          <t>UPPSALA LÄN</t>
        </is>
      </c>
      <c r="E437" t="inlineStr">
        <is>
          <t>ÖSTHAMMAR</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3420-2025</t>
        </is>
      </c>
      <c r="B438" s="1" t="n">
        <v>45680</v>
      </c>
      <c r="C438" s="1" t="n">
        <v>45933</v>
      </c>
      <c r="D438" t="inlineStr">
        <is>
          <t>UPPSALA LÄN</t>
        </is>
      </c>
      <c r="E438" t="inlineStr">
        <is>
          <t>ÖSTHAMMAR</t>
        </is>
      </c>
      <c r="F438" t="inlineStr">
        <is>
          <t>Bergvik skog väst AB</t>
        </is>
      </c>
      <c r="G438" t="n">
        <v>3.6</v>
      </c>
      <c r="H438" t="n">
        <v>0</v>
      </c>
      <c r="I438" t="n">
        <v>0</v>
      </c>
      <c r="J438" t="n">
        <v>0</v>
      </c>
      <c r="K438" t="n">
        <v>0</v>
      </c>
      <c r="L438" t="n">
        <v>0</v>
      </c>
      <c r="M438" t="n">
        <v>0</v>
      </c>
      <c r="N438" t="n">
        <v>0</v>
      </c>
      <c r="O438" t="n">
        <v>0</v>
      </c>
      <c r="P438" t="n">
        <v>0</v>
      </c>
      <c r="Q438" t="n">
        <v>0</v>
      </c>
      <c r="R438" s="2" t="inlineStr"/>
    </row>
    <row r="439" ht="15" customHeight="1">
      <c r="A439" t="inlineStr">
        <is>
          <t>A 40382-2025</t>
        </is>
      </c>
      <c r="B439" s="1" t="n">
        <v>45895.53689814815</v>
      </c>
      <c r="C439" s="1" t="n">
        <v>45933</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14505-2023</t>
        </is>
      </c>
      <c r="B440" s="1" t="n">
        <v>45012.7975</v>
      </c>
      <c r="C440" s="1" t="n">
        <v>45933</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60577-2021</t>
        </is>
      </c>
      <c r="B441" s="1" t="n">
        <v>44496.57019675926</v>
      </c>
      <c r="C441" s="1" t="n">
        <v>45933</v>
      </c>
      <c r="D441" t="inlineStr">
        <is>
          <t>UPPSALA LÄN</t>
        </is>
      </c>
      <c r="E441" t="inlineStr">
        <is>
          <t>ÖSTHAMMAR</t>
        </is>
      </c>
      <c r="G441" t="n">
        <v>0.5</v>
      </c>
      <c r="H441" t="n">
        <v>0</v>
      </c>
      <c r="I441" t="n">
        <v>0</v>
      </c>
      <c r="J441" t="n">
        <v>0</v>
      </c>
      <c r="K441" t="n">
        <v>0</v>
      </c>
      <c r="L441" t="n">
        <v>0</v>
      </c>
      <c r="M441" t="n">
        <v>0</v>
      </c>
      <c r="N441" t="n">
        <v>0</v>
      </c>
      <c r="O441" t="n">
        <v>0</v>
      </c>
      <c r="P441" t="n">
        <v>0</v>
      </c>
      <c r="Q441" t="n">
        <v>0</v>
      </c>
      <c r="R441" s="2" t="inlineStr"/>
    </row>
    <row r="442" ht="15" customHeight="1">
      <c r="A442" t="inlineStr">
        <is>
          <t>A 17929-2025</t>
        </is>
      </c>
      <c r="B442" s="1" t="n">
        <v>45759.56462962963</v>
      </c>
      <c r="C442" s="1" t="n">
        <v>45933</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62695-2023</t>
        </is>
      </c>
      <c r="B443" s="1" t="n">
        <v>45271</v>
      </c>
      <c r="C443" s="1" t="n">
        <v>45933</v>
      </c>
      <c r="D443" t="inlineStr">
        <is>
          <t>UPPSALA LÄN</t>
        </is>
      </c>
      <c r="E443" t="inlineStr">
        <is>
          <t>ÖSTHAMMAR</t>
        </is>
      </c>
      <c r="G443" t="n">
        <v>5.3</v>
      </c>
      <c r="H443" t="n">
        <v>0</v>
      </c>
      <c r="I443" t="n">
        <v>0</v>
      </c>
      <c r="J443" t="n">
        <v>0</v>
      </c>
      <c r="K443" t="n">
        <v>0</v>
      </c>
      <c r="L443" t="n">
        <v>0</v>
      </c>
      <c r="M443" t="n">
        <v>0</v>
      </c>
      <c r="N443" t="n">
        <v>0</v>
      </c>
      <c r="O443" t="n">
        <v>0</v>
      </c>
      <c r="P443" t="n">
        <v>0</v>
      </c>
      <c r="Q443" t="n">
        <v>0</v>
      </c>
      <c r="R443" s="2" t="inlineStr"/>
    </row>
    <row r="444" ht="15" customHeight="1">
      <c r="A444" t="inlineStr">
        <is>
          <t>A 36092-2025</t>
        </is>
      </c>
      <c r="B444" s="1" t="n">
        <v>45866.48244212963</v>
      </c>
      <c r="C444" s="1" t="n">
        <v>45933</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45933</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45933</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8791-2025</t>
        </is>
      </c>
      <c r="B447" s="1" t="n">
        <v>45712</v>
      </c>
      <c r="C447" s="1" t="n">
        <v>45933</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43011-2025</t>
        </is>
      </c>
      <c r="B448" s="1" t="n">
        <v>45909.48989583334</v>
      </c>
      <c r="C448" s="1" t="n">
        <v>45933</v>
      </c>
      <c r="D448" t="inlineStr">
        <is>
          <t>UPPSALA LÄN</t>
        </is>
      </c>
      <c r="E448" t="inlineStr">
        <is>
          <t>ÖSTHAMMAR</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26552-2022</t>
        </is>
      </c>
      <c r="B449" s="1" t="n">
        <v>44739</v>
      </c>
      <c r="C449" s="1" t="n">
        <v>45933</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54437-2024</t>
        </is>
      </c>
      <c r="B450" s="1" t="n">
        <v>45617</v>
      </c>
      <c r="C450" s="1" t="n">
        <v>45933</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42940-2025</t>
        </is>
      </c>
      <c r="B451" s="1" t="n">
        <v>45909.33440972222</v>
      </c>
      <c r="C451" s="1" t="n">
        <v>45933</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7216-2025</t>
        </is>
      </c>
      <c r="B452" s="1" t="n">
        <v>45702.47630787037</v>
      </c>
      <c r="C452" s="1" t="n">
        <v>45933</v>
      </c>
      <c r="D452" t="inlineStr">
        <is>
          <t>UPPSALA LÄN</t>
        </is>
      </c>
      <c r="E452" t="inlineStr">
        <is>
          <t>ÖSTHAMMAR</t>
        </is>
      </c>
      <c r="F452" t="inlineStr">
        <is>
          <t>Övriga Aktiebolag</t>
        </is>
      </c>
      <c r="G452" t="n">
        <v>12.5</v>
      </c>
      <c r="H452" t="n">
        <v>0</v>
      </c>
      <c r="I452" t="n">
        <v>0</v>
      </c>
      <c r="J452" t="n">
        <v>0</v>
      </c>
      <c r="K452" t="n">
        <v>0</v>
      </c>
      <c r="L452" t="n">
        <v>0</v>
      </c>
      <c r="M452" t="n">
        <v>0</v>
      </c>
      <c r="N452" t="n">
        <v>0</v>
      </c>
      <c r="O452" t="n">
        <v>0</v>
      </c>
      <c r="P452" t="n">
        <v>0</v>
      </c>
      <c r="Q452" t="n">
        <v>0</v>
      </c>
      <c r="R452" s="2" t="inlineStr"/>
    </row>
    <row r="453" ht="15" customHeight="1">
      <c r="A453" t="inlineStr">
        <is>
          <t>A 23742-2024</t>
        </is>
      </c>
      <c r="B453" s="1" t="n">
        <v>45455</v>
      </c>
      <c r="C453" s="1" t="n">
        <v>45933</v>
      </c>
      <c r="D453" t="inlineStr">
        <is>
          <t>UPPSALA LÄN</t>
        </is>
      </c>
      <c r="E453" t="inlineStr">
        <is>
          <t>ÖSTHAMMAR</t>
        </is>
      </c>
      <c r="F453" t="inlineStr">
        <is>
          <t>Bergvik skog öst AB</t>
        </is>
      </c>
      <c r="G453" t="n">
        <v>2.2</v>
      </c>
      <c r="H453" t="n">
        <v>0</v>
      </c>
      <c r="I453" t="n">
        <v>0</v>
      </c>
      <c r="J453" t="n">
        <v>0</v>
      </c>
      <c r="K453" t="n">
        <v>0</v>
      </c>
      <c r="L453" t="n">
        <v>0</v>
      </c>
      <c r="M453" t="n">
        <v>0</v>
      </c>
      <c r="N453" t="n">
        <v>0</v>
      </c>
      <c r="O453" t="n">
        <v>0</v>
      </c>
      <c r="P453" t="n">
        <v>0</v>
      </c>
      <c r="Q453" t="n">
        <v>0</v>
      </c>
      <c r="R453" s="2" t="inlineStr"/>
    </row>
    <row r="454" ht="15" customHeight="1">
      <c r="A454" t="inlineStr">
        <is>
          <t>A 43604-2025</t>
        </is>
      </c>
      <c r="B454" s="1" t="n">
        <v>45911.66671296296</v>
      </c>
      <c r="C454" s="1" t="n">
        <v>45933</v>
      </c>
      <c r="D454" t="inlineStr">
        <is>
          <t>UPPSALA LÄN</t>
        </is>
      </c>
      <c r="E454" t="inlineStr">
        <is>
          <t>ÖSTHAMMAR</t>
        </is>
      </c>
      <c r="G454" t="n">
        <v>8.5</v>
      </c>
      <c r="H454" t="n">
        <v>0</v>
      </c>
      <c r="I454" t="n">
        <v>0</v>
      </c>
      <c r="J454" t="n">
        <v>0</v>
      </c>
      <c r="K454" t="n">
        <v>0</v>
      </c>
      <c r="L454" t="n">
        <v>0</v>
      </c>
      <c r="M454" t="n">
        <v>0</v>
      </c>
      <c r="N454" t="n">
        <v>0</v>
      </c>
      <c r="O454" t="n">
        <v>0</v>
      </c>
      <c r="P454" t="n">
        <v>0</v>
      </c>
      <c r="Q454" t="n">
        <v>0</v>
      </c>
      <c r="R454" s="2" t="inlineStr"/>
    </row>
    <row r="455" ht="15" customHeight="1">
      <c r="A455" t="inlineStr">
        <is>
          <t>A 29282-2021</t>
        </is>
      </c>
      <c r="B455" s="1" t="n">
        <v>44361</v>
      </c>
      <c r="C455" s="1" t="n">
        <v>45933</v>
      </c>
      <c r="D455" t="inlineStr">
        <is>
          <t>UPPSALA LÄN</t>
        </is>
      </c>
      <c r="E455" t="inlineStr">
        <is>
          <t>ÖSTHAMMAR</t>
        </is>
      </c>
      <c r="G455" t="n">
        <v>2.4</v>
      </c>
      <c r="H455" t="n">
        <v>0</v>
      </c>
      <c r="I455" t="n">
        <v>0</v>
      </c>
      <c r="J455" t="n">
        <v>0</v>
      </c>
      <c r="K455" t="n">
        <v>0</v>
      </c>
      <c r="L455" t="n">
        <v>0</v>
      </c>
      <c r="M455" t="n">
        <v>0</v>
      </c>
      <c r="N455" t="n">
        <v>0</v>
      </c>
      <c r="O455" t="n">
        <v>0</v>
      </c>
      <c r="P455" t="n">
        <v>0</v>
      </c>
      <c r="Q455" t="n">
        <v>0</v>
      </c>
      <c r="R455" s="2" t="inlineStr"/>
    </row>
    <row r="456" ht="15" customHeight="1">
      <c r="A456" t="inlineStr">
        <is>
          <t>A 43622-2025</t>
        </is>
      </c>
      <c r="B456" s="1" t="n">
        <v>45911.68295138889</v>
      </c>
      <c r="C456" s="1" t="n">
        <v>45933</v>
      </c>
      <c r="D456" t="inlineStr">
        <is>
          <t>UPPSALA LÄN</t>
        </is>
      </c>
      <c r="E456" t="inlineStr">
        <is>
          <t>ÖSTHAMMAR</t>
        </is>
      </c>
      <c r="G456" t="n">
        <v>2.3</v>
      </c>
      <c r="H456" t="n">
        <v>0</v>
      </c>
      <c r="I456" t="n">
        <v>0</v>
      </c>
      <c r="J456" t="n">
        <v>0</v>
      </c>
      <c r="K456" t="n">
        <v>0</v>
      </c>
      <c r="L456" t="n">
        <v>0</v>
      </c>
      <c r="M456" t="n">
        <v>0</v>
      </c>
      <c r="N456" t="n">
        <v>0</v>
      </c>
      <c r="O456" t="n">
        <v>0</v>
      </c>
      <c r="P456" t="n">
        <v>0</v>
      </c>
      <c r="Q456" t="n">
        <v>0</v>
      </c>
      <c r="R456" s="2" t="inlineStr"/>
    </row>
    <row r="457" ht="15" customHeight="1">
      <c r="A457" t="inlineStr">
        <is>
          <t>A 31137-2022</t>
        </is>
      </c>
      <c r="B457" s="1" t="n">
        <v>44770.42166666667</v>
      </c>
      <c r="C457" s="1" t="n">
        <v>45933</v>
      </c>
      <c r="D457" t="inlineStr">
        <is>
          <t>UPPSALA LÄN</t>
        </is>
      </c>
      <c r="E457" t="inlineStr">
        <is>
          <t>ÖSTHAMMAR</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6039-2025</t>
        </is>
      </c>
      <c r="B458" s="1" t="n">
        <v>45695</v>
      </c>
      <c r="C458" s="1" t="n">
        <v>45933</v>
      </c>
      <c r="D458" t="inlineStr">
        <is>
          <t>UPPSALA LÄN</t>
        </is>
      </c>
      <c r="E458" t="inlineStr">
        <is>
          <t>ÖSTHAMMAR</t>
        </is>
      </c>
      <c r="G458" t="n">
        <v>2.3</v>
      </c>
      <c r="H458" t="n">
        <v>0</v>
      </c>
      <c r="I458" t="n">
        <v>0</v>
      </c>
      <c r="J458" t="n">
        <v>0</v>
      </c>
      <c r="K458" t="n">
        <v>0</v>
      </c>
      <c r="L458" t="n">
        <v>0</v>
      </c>
      <c r="M458" t="n">
        <v>0</v>
      </c>
      <c r="N458" t="n">
        <v>0</v>
      </c>
      <c r="O458" t="n">
        <v>0</v>
      </c>
      <c r="P458" t="n">
        <v>0</v>
      </c>
      <c r="Q458" t="n">
        <v>0</v>
      </c>
      <c r="R458" s="2" t="inlineStr"/>
    </row>
    <row r="459" ht="15" customHeight="1">
      <c r="A459" t="inlineStr">
        <is>
          <t>A 36451-2025</t>
        </is>
      </c>
      <c r="B459" s="1" t="n">
        <v>45869.4290625</v>
      </c>
      <c r="C459" s="1" t="n">
        <v>45933</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18094-2025</t>
        </is>
      </c>
      <c r="B460" s="1" t="n">
        <v>45761.54710648148</v>
      </c>
      <c r="C460" s="1" t="n">
        <v>45933</v>
      </c>
      <c r="D460" t="inlineStr">
        <is>
          <t>UPPSALA LÄN</t>
        </is>
      </c>
      <c r="E460" t="inlineStr">
        <is>
          <t>ÖSTHAMMAR</t>
        </is>
      </c>
      <c r="F460" t="inlineStr">
        <is>
          <t>Bergvik skog öst AB</t>
        </is>
      </c>
      <c r="G460" t="n">
        <v>6.5</v>
      </c>
      <c r="H460" t="n">
        <v>0</v>
      </c>
      <c r="I460" t="n">
        <v>0</v>
      </c>
      <c r="J460" t="n">
        <v>0</v>
      </c>
      <c r="K460" t="n">
        <v>0</v>
      </c>
      <c r="L460" t="n">
        <v>0</v>
      </c>
      <c r="M460" t="n">
        <v>0</v>
      </c>
      <c r="N460" t="n">
        <v>0</v>
      </c>
      <c r="O460" t="n">
        <v>0</v>
      </c>
      <c r="P460" t="n">
        <v>0</v>
      </c>
      <c r="Q460" t="n">
        <v>0</v>
      </c>
      <c r="R460" s="2" t="inlineStr"/>
    </row>
    <row r="461" ht="15" customHeight="1">
      <c r="A461" t="inlineStr">
        <is>
          <t>A 8769-2025</t>
        </is>
      </c>
      <c r="B461" s="1" t="n">
        <v>45712.59412037037</v>
      </c>
      <c r="C461" s="1" t="n">
        <v>45933</v>
      </c>
      <c r="D461" t="inlineStr">
        <is>
          <t>UPPSALA LÄN</t>
        </is>
      </c>
      <c r="E461" t="inlineStr">
        <is>
          <t>ÖSTHAMMAR</t>
        </is>
      </c>
      <c r="G461" t="n">
        <v>1.9</v>
      </c>
      <c r="H461" t="n">
        <v>0</v>
      </c>
      <c r="I461" t="n">
        <v>0</v>
      </c>
      <c r="J461" t="n">
        <v>0</v>
      </c>
      <c r="K461" t="n">
        <v>0</v>
      </c>
      <c r="L461" t="n">
        <v>0</v>
      </c>
      <c r="M461" t="n">
        <v>0</v>
      </c>
      <c r="N461" t="n">
        <v>0</v>
      </c>
      <c r="O461" t="n">
        <v>0</v>
      </c>
      <c r="P461" t="n">
        <v>0</v>
      </c>
      <c r="Q461" t="n">
        <v>0</v>
      </c>
      <c r="R461" s="2" t="inlineStr"/>
    </row>
    <row r="462" ht="15" customHeight="1">
      <c r="A462" t="inlineStr">
        <is>
          <t>A 8902-2025</t>
        </is>
      </c>
      <c r="B462" s="1" t="n">
        <v>45713.41503472222</v>
      </c>
      <c r="C462" s="1" t="n">
        <v>45933</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8904-2025</t>
        </is>
      </c>
      <c r="B463" s="1" t="n">
        <v>45713.41577546296</v>
      </c>
      <c r="C463" s="1" t="n">
        <v>45933</v>
      </c>
      <c r="D463" t="inlineStr">
        <is>
          <t>UPPSALA LÄN</t>
        </is>
      </c>
      <c r="E463" t="inlineStr">
        <is>
          <t>ÖSTHAMMAR</t>
        </is>
      </c>
      <c r="F463" t="inlineStr">
        <is>
          <t>Bergvik skog öst AB</t>
        </is>
      </c>
      <c r="G463" t="n">
        <v>3.1</v>
      </c>
      <c r="H463" t="n">
        <v>0</v>
      </c>
      <c r="I463" t="n">
        <v>0</v>
      </c>
      <c r="J463" t="n">
        <v>0</v>
      </c>
      <c r="K463" t="n">
        <v>0</v>
      </c>
      <c r="L463" t="n">
        <v>0</v>
      </c>
      <c r="M463" t="n">
        <v>0</v>
      </c>
      <c r="N463" t="n">
        <v>0</v>
      </c>
      <c r="O463" t="n">
        <v>0</v>
      </c>
      <c r="P463" t="n">
        <v>0</v>
      </c>
      <c r="Q463" t="n">
        <v>0</v>
      </c>
      <c r="R463" s="2" t="inlineStr"/>
    </row>
    <row r="464" ht="15" customHeight="1">
      <c r="A464" t="inlineStr">
        <is>
          <t>A 44815-2022</t>
        </is>
      </c>
      <c r="B464" s="1" t="n">
        <v>44841.40452546296</v>
      </c>
      <c r="C464" s="1" t="n">
        <v>45933</v>
      </c>
      <c r="D464" t="inlineStr">
        <is>
          <t>UPPSALA LÄN</t>
        </is>
      </c>
      <c r="E464" t="inlineStr">
        <is>
          <t>ÖSTHAMMAR</t>
        </is>
      </c>
      <c r="G464" t="n">
        <v>1.8</v>
      </c>
      <c r="H464" t="n">
        <v>0</v>
      </c>
      <c r="I464" t="n">
        <v>0</v>
      </c>
      <c r="J464" t="n">
        <v>0</v>
      </c>
      <c r="K464" t="n">
        <v>0</v>
      </c>
      <c r="L464" t="n">
        <v>0</v>
      </c>
      <c r="M464" t="n">
        <v>0</v>
      </c>
      <c r="N464" t="n">
        <v>0</v>
      </c>
      <c r="O464" t="n">
        <v>0</v>
      </c>
      <c r="P464" t="n">
        <v>0</v>
      </c>
      <c r="Q464" t="n">
        <v>0</v>
      </c>
      <c r="R464" s="2" t="inlineStr"/>
    </row>
    <row r="465" ht="15" customHeight="1">
      <c r="A465" t="inlineStr">
        <is>
          <t>A 20326-2021</t>
        </is>
      </c>
      <c r="B465" s="1" t="n">
        <v>44308</v>
      </c>
      <c r="C465" s="1" t="n">
        <v>45933</v>
      </c>
      <c r="D465" t="inlineStr">
        <is>
          <t>UPPSALA LÄN</t>
        </is>
      </c>
      <c r="E465" t="inlineStr">
        <is>
          <t>ÖSTHAMMAR</t>
        </is>
      </c>
      <c r="G465" t="n">
        <v>7</v>
      </c>
      <c r="H465" t="n">
        <v>0</v>
      </c>
      <c r="I465" t="n">
        <v>0</v>
      </c>
      <c r="J465" t="n">
        <v>0</v>
      </c>
      <c r="K465" t="n">
        <v>0</v>
      </c>
      <c r="L465" t="n">
        <v>0</v>
      </c>
      <c r="M465" t="n">
        <v>0</v>
      </c>
      <c r="N465" t="n">
        <v>0</v>
      </c>
      <c r="O465" t="n">
        <v>0</v>
      </c>
      <c r="P465" t="n">
        <v>0</v>
      </c>
      <c r="Q465" t="n">
        <v>0</v>
      </c>
      <c r="R465" s="2" t="inlineStr"/>
    </row>
    <row r="466" ht="15" customHeight="1">
      <c r="A466" t="inlineStr">
        <is>
          <t>A 55086-2024</t>
        </is>
      </c>
      <c r="B466" s="1" t="n">
        <v>45621.43098379629</v>
      </c>
      <c r="C466" s="1" t="n">
        <v>45933</v>
      </c>
      <c r="D466" t="inlineStr">
        <is>
          <t>UPPSALA LÄN</t>
        </is>
      </c>
      <c r="E466" t="inlineStr">
        <is>
          <t>ÖSTHAMMAR</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55090-2024</t>
        </is>
      </c>
      <c r="B467" s="1" t="n">
        <v>45621.4350462963</v>
      </c>
      <c r="C467" s="1" t="n">
        <v>45933</v>
      </c>
      <c r="D467" t="inlineStr">
        <is>
          <t>UPPSALA LÄN</t>
        </is>
      </c>
      <c r="E467" t="inlineStr">
        <is>
          <t>ÖSTHAMMAR</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55093-2024</t>
        </is>
      </c>
      <c r="B468" s="1" t="n">
        <v>45621.43712962963</v>
      </c>
      <c r="C468" s="1" t="n">
        <v>45933</v>
      </c>
      <c r="D468" t="inlineStr">
        <is>
          <t>UPPSALA LÄN</t>
        </is>
      </c>
      <c r="E468" t="inlineStr">
        <is>
          <t>ÖSTHAMMAR</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29753-2022</t>
        </is>
      </c>
      <c r="B469" s="1" t="n">
        <v>44755</v>
      </c>
      <c r="C469" s="1" t="n">
        <v>45933</v>
      </c>
      <c r="D469" t="inlineStr">
        <is>
          <t>UPPSALA LÄN</t>
        </is>
      </c>
      <c r="E469" t="inlineStr">
        <is>
          <t>ÖSTHAMMAR</t>
        </is>
      </c>
      <c r="G469" t="n">
        <v>9.4</v>
      </c>
      <c r="H469" t="n">
        <v>0</v>
      </c>
      <c r="I469" t="n">
        <v>0</v>
      </c>
      <c r="J469" t="n">
        <v>0</v>
      </c>
      <c r="K469" t="n">
        <v>0</v>
      </c>
      <c r="L469" t="n">
        <v>0</v>
      </c>
      <c r="M469" t="n">
        <v>0</v>
      </c>
      <c r="N469" t="n">
        <v>0</v>
      </c>
      <c r="O469" t="n">
        <v>0</v>
      </c>
      <c r="P469" t="n">
        <v>0</v>
      </c>
      <c r="Q469" t="n">
        <v>0</v>
      </c>
      <c r="R469" s="2" t="inlineStr"/>
    </row>
    <row r="470" ht="15" customHeight="1">
      <c r="A470" t="inlineStr">
        <is>
          <t>A 28432-2023</t>
        </is>
      </c>
      <c r="B470" s="1" t="n">
        <v>45102.59896990741</v>
      </c>
      <c r="C470" s="1" t="n">
        <v>45933</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36646-2025</t>
        </is>
      </c>
      <c r="B471" s="1" t="n">
        <v>45872</v>
      </c>
      <c r="C471" s="1" t="n">
        <v>45933</v>
      </c>
      <c r="D471" t="inlineStr">
        <is>
          <t>UPPSALA LÄN</t>
        </is>
      </c>
      <c r="E471" t="inlineStr">
        <is>
          <t>ÖSTHAMMAR</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43915-2023</t>
        </is>
      </c>
      <c r="B472" s="1" t="n">
        <v>45187.71274305556</v>
      </c>
      <c r="C472" s="1" t="n">
        <v>45933</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13352-2023</t>
        </is>
      </c>
      <c r="B473" s="1" t="n">
        <v>45005</v>
      </c>
      <c r="C473" s="1" t="n">
        <v>45933</v>
      </c>
      <c r="D473" t="inlineStr">
        <is>
          <t>UPPSALA LÄN</t>
        </is>
      </c>
      <c r="E473" t="inlineStr">
        <is>
          <t>ÖSTHAMMAR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36643-2025</t>
        </is>
      </c>
      <c r="B474" s="1" t="n">
        <v>45872.47782407407</v>
      </c>
      <c r="C474" s="1" t="n">
        <v>45933</v>
      </c>
      <c r="D474" t="inlineStr">
        <is>
          <t>UPPSALA LÄN</t>
        </is>
      </c>
      <c r="E474" t="inlineStr">
        <is>
          <t>ÖSTHAMMAR</t>
        </is>
      </c>
      <c r="F474" t="inlineStr">
        <is>
          <t>Bergvik skog öst AB</t>
        </is>
      </c>
      <c r="G474" t="n">
        <v>15.1</v>
      </c>
      <c r="H474" t="n">
        <v>0</v>
      </c>
      <c r="I474" t="n">
        <v>0</v>
      </c>
      <c r="J474" t="n">
        <v>0</v>
      </c>
      <c r="K474" t="n">
        <v>0</v>
      </c>
      <c r="L474" t="n">
        <v>0</v>
      </c>
      <c r="M474" t="n">
        <v>0</v>
      </c>
      <c r="N474" t="n">
        <v>0</v>
      </c>
      <c r="O474" t="n">
        <v>0</v>
      </c>
      <c r="P474" t="n">
        <v>0</v>
      </c>
      <c r="Q474" t="n">
        <v>0</v>
      </c>
      <c r="R474" s="2" t="inlineStr"/>
    </row>
    <row r="475" ht="15" customHeight="1">
      <c r="A475" t="inlineStr">
        <is>
          <t>A 20072-2025</t>
        </is>
      </c>
      <c r="B475" s="1" t="n">
        <v>45772</v>
      </c>
      <c r="C475" s="1" t="n">
        <v>45933</v>
      </c>
      <c r="D475" t="inlineStr">
        <is>
          <t>UPPSALA LÄN</t>
        </is>
      </c>
      <c r="E475" t="inlineStr">
        <is>
          <t>ÖSTHAMMAR</t>
        </is>
      </c>
      <c r="G475" t="n">
        <v>3.1</v>
      </c>
      <c r="H475" t="n">
        <v>0</v>
      </c>
      <c r="I475" t="n">
        <v>0</v>
      </c>
      <c r="J475" t="n">
        <v>0</v>
      </c>
      <c r="K475" t="n">
        <v>0</v>
      </c>
      <c r="L475" t="n">
        <v>0</v>
      </c>
      <c r="M475" t="n">
        <v>0</v>
      </c>
      <c r="N475" t="n">
        <v>0</v>
      </c>
      <c r="O475" t="n">
        <v>0</v>
      </c>
      <c r="P475" t="n">
        <v>0</v>
      </c>
      <c r="Q475" t="n">
        <v>0</v>
      </c>
      <c r="R475" s="2" t="inlineStr"/>
    </row>
    <row r="476" ht="15" customHeight="1">
      <c r="A476" t="inlineStr">
        <is>
          <t>A 36343-2022</t>
        </is>
      </c>
      <c r="B476" s="1" t="n">
        <v>44803.78524305556</v>
      </c>
      <c r="C476" s="1" t="n">
        <v>45933</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52629-2023</t>
        </is>
      </c>
      <c r="B477" s="1" t="n">
        <v>45225</v>
      </c>
      <c r="C477" s="1" t="n">
        <v>45933</v>
      </c>
      <c r="D477" t="inlineStr">
        <is>
          <t>UPPSALA LÄN</t>
        </is>
      </c>
      <c r="E477" t="inlineStr">
        <is>
          <t>ÖSTHAMMAR</t>
        </is>
      </c>
      <c r="G477" t="n">
        <v>1.2</v>
      </c>
      <c r="H477" t="n">
        <v>0</v>
      </c>
      <c r="I477" t="n">
        <v>0</v>
      </c>
      <c r="J477" t="n">
        <v>0</v>
      </c>
      <c r="K477" t="n">
        <v>0</v>
      </c>
      <c r="L477" t="n">
        <v>0</v>
      </c>
      <c r="M477" t="n">
        <v>0</v>
      </c>
      <c r="N477" t="n">
        <v>0</v>
      </c>
      <c r="O477" t="n">
        <v>0</v>
      </c>
      <c r="P477" t="n">
        <v>0</v>
      </c>
      <c r="Q477" t="n">
        <v>0</v>
      </c>
      <c r="R477" s="2" t="inlineStr"/>
    </row>
    <row r="478" ht="15" customHeight="1">
      <c r="A478" t="inlineStr">
        <is>
          <t>A 357-2025</t>
        </is>
      </c>
      <c r="B478" s="1" t="n">
        <v>45659</v>
      </c>
      <c r="C478" s="1" t="n">
        <v>45933</v>
      </c>
      <c r="D478" t="inlineStr">
        <is>
          <t>UPPSALA LÄN</t>
        </is>
      </c>
      <c r="E478" t="inlineStr">
        <is>
          <t>ÖSTHAMMAR</t>
        </is>
      </c>
      <c r="G478" t="n">
        <v>15.8</v>
      </c>
      <c r="H478" t="n">
        <v>0</v>
      </c>
      <c r="I478" t="n">
        <v>0</v>
      </c>
      <c r="J478" t="n">
        <v>0</v>
      </c>
      <c r="K478" t="n">
        <v>0</v>
      </c>
      <c r="L478" t="n">
        <v>0</v>
      </c>
      <c r="M478" t="n">
        <v>0</v>
      </c>
      <c r="N478" t="n">
        <v>0</v>
      </c>
      <c r="O478" t="n">
        <v>0</v>
      </c>
      <c r="P478" t="n">
        <v>0</v>
      </c>
      <c r="Q478" t="n">
        <v>0</v>
      </c>
      <c r="R478" s="2" t="inlineStr"/>
    </row>
    <row r="479" ht="15" customHeight="1">
      <c r="A479" t="inlineStr">
        <is>
          <t>A 68828-2020</t>
        </is>
      </c>
      <c r="B479" s="1" t="n">
        <v>44186</v>
      </c>
      <c r="C479" s="1" t="n">
        <v>45933</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18731-2022</t>
        </is>
      </c>
      <c r="B480" s="1" t="n">
        <v>44687.78673611111</v>
      </c>
      <c r="C480" s="1" t="n">
        <v>45933</v>
      </c>
      <c r="D480" t="inlineStr">
        <is>
          <t>UPPSALA LÄN</t>
        </is>
      </c>
      <c r="E480" t="inlineStr">
        <is>
          <t>ÖSTHAMMAR</t>
        </is>
      </c>
      <c r="G480" t="n">
        <v>4.9</v>
      </c>
      <c r="H480" t="n">
        <v>0</v>
      </c>
      <c r="I480" t="n">
        <v>0</v>
      </c>
      <c r="J480" t="n">
        <v>0</v>
      </c>
      <c r="K480" t="n">
        <v>0</v>
      </c>
      <c r="L480" t="n">
        <v>0</v>
      </c>
      <c r="M480" t="n">
        <v>0</v>
      </c>
      <c r="N480" t="n">
        <v>0</v>
      </c>
      <c r="O480" t="n">
        <v>0</v>
      </c>
      <c r="P480" t="n">
        <v>0</v>
      </c>
      <c r="Q480" t="n">
        <v>0</v>
      </c>
      <c r="R480" s="2" t="inlineStr"/>
    </row>
    <row r="481" ht="15" customHeight="1">
      <c r="A481" t="inlineStr">
        <is>
          <t>A 46826-2025</t>
        </is>
      </c>
      <c r="B481" s="1" t="n">
        <v>45927.00606481481</v>
      </c>
      <c r="C481" s="1" t="n">
        <v>45933</v>
      </c>
      <c r="D481" t="inlineStr">
        <is>
          <t>UPPSALA LÄN</t>
        </is>
      </c>
      <c r="E481" t="inlineStr">
        <is>
          <t>ÖSTHAMMAR</t>
        </is>
      </c>
      <c r="G481" t="n">
        <v>9</v>
      </c>
      <c r="H481" t="n">
        <v>0</v>
      </c>
      <c r="I481" t="n">
        <v>0</v>
      </c>
      <c r="J481" t="n">
        <v>0</v>
      </c>
      <c r="K481" t="n">
        <v>0</v>
      </c>
      <c r="L481" t="n">
        <v>0</v>
      </c>
      <c r="M481" t="n">
        <v>0</v>
      </c>
      <c r="N481" t="n">
        <v>0</v>
      </c>
      <c r="O481" t="n">
        <v>0</v>
      </c>
      <c r="P481" t="n">
        <v>0</v>
      </c>
      <c r="Q481" t="n">
        <v>0</v>
      </c>
      <c r="R481" s="2" t="inlineStr"/>
    </row>
    <row r="482" ht="15" customHeight="1">
      <c r="A482" t="inlineStr">
        <is>
          <t>A 23495-2023</t>
        </is>
      </c>
      <c r="B482" s="1" t="n">
        <v>45076.71652777777</v>
      </c>
      <c r="C482" s="1" t="n">
        <v>45933</v>
      </c>
      <c r="D482" t="inlineStr">
        <is>
          <t>UPPSALA LÄN</t>
        </is>
      </c>
      <c r="E482" t="inlineStr">
        <is>
          <t>ÖSTHAMMAR</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36645-2025</t>
        </is>
      </c>
      <c r="B483" s="1" t="n">
        <v>45872</v>
      </c>
      <c r="C483" s="1" t="n">
        <v>45933</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9642-2024</t>
        </is>
      </c>
      <c r="B484" s="1" t="n">
        <v>45362.36296296296</v>
      </c>
      <c r="C484" s="1" t="n">
        <v>45933</v>
      </c>
      <c r="D484" t="inlineStr">
        <is>
          <t>UPPSALA LÄN</t>
        </is>
      </c>
      <c r="E484" t="inlineStr">
        <is>
          <t>ÖSTHAMMAR</t>
        </is>
      </c>
      <c r="G484" t="n">
        <v>3.1</v>
      </c>
      <c r="H484" t="n">
        <v>0</v>
      </c>
      <c r="I484" t="n">
        <v>0</v>
      </c>
      <c r="J484" t="n">
        <v>0</v>
      </c>
      <c r="K484" t="n">
        <v>0</v>
      </c>
      <c r="L484" t="n">
        <v>0</v>
      </c>
      <c r="M484" t="n">
        <v>0</v>
      </c>
      <c r="N484" t="n">
        <v>0</v>
      </c>
      <c r="O484" t="n">
        <v>0</v>
      </c>
      <c r="P484" t="n">
        <v>0</v>
      </c>
      <c r="Q484" t="n">
        <v>0</v>
      </c>
      <c r="R484" s="2" t="inlineStr"/>
    </row>
    <row r="485" ht="15" customHeight="1">
      <c r="A485" t="inlineStr">
        <is>
          <t>A 36644-2025</t>
        </is>
      </c>
      <c r="B485" s="1" t="n">
        <v>45872.48738425926</v>
      </c>
      <c r="C485" s="1" t="n">
        <v>45933</v>
      </c>
      <c r="D485" t="inlineStr">
        <is>
          <t>UPPSALA LÄN</t>
        </is>
      </c>
      <c r="E485" t="inlineStr">
        <is>
          <t>ÖSTHAMMAR</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1063-2025</t>
        </is>
      </c>
      <c r="B486" s="1" t="n">
        <v>45666</v>
      </c>
      <c r="C486" s="1" t="n">
        <v>45933</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31549-2022</t>
        </is>
      </c>
      <c r="B487" s="1" t="n">
        <v>44775.400625</v>
      </c>
      <c r="C487" s="1" t="n">
        <v>45933</v>
      </c>
      <c r="D487" t="inlineStr">
        <is>
          <t>UPPSALA LÄN</t>
        </is>
      </c>
      <c r="E487" t="inlineStr">
        <is>
          <t>ÖSTHAMMAR</t>
        </is>
      </c>
      <c r="G487" t="n">
        <v>1.5</v>
      </c>
      <c r="H487" t="n">
        <v>0</v>
      </c>
      <c r="I487" t="n">
        <v>0</v>
      </c>
      <c r="J487" t="n">
        <v>0</v>
      </c>
      <c r="K487" t="n">
        <v>0</v>
      </c>
      <c r="L487" t="n">
        <v>0</v>
      </c>
      <c r="M487" t="n">
        <v>0</v>
      </c>
      <c r="N487" t="n">
        <v>0</v>
      </c>
      <c r="O487" t="n">
        <v>0</v>
      </c>
      <c r="P487" t="n">
        <v>0</v>
      </c>
      <c r="Q487" t="n">
        <v>0</v>
      </c>
      <c r="R487" s="2" t="inlineStr"/>
    </row>
    <row r="488" ht="15" customHeight="1">
      <c r="A488" t="inlineStr">
        <is>
          <t>A 10495-2025</t>
        </is>
      </c>
      <c r="B488" s="1" t="n">
        <v>45721</v>
      </c>
      <c r="C488" s="1" t="n">
        <v>45933</v>
      </c>
      <c r="D488" t="inlineStr">
        <is>
          <t>UPPSALA LÄN</t>
        </is>
      </c>
      <c r="E488" t="inlineStr">
        <is>
          <t>ÖSTHAMMAR</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47522-2023</t>
        </is>
      </c>
      <c r="B489" s="1" t="n">
        <v>45203</v>
      </c>
      <c r="C489" s="1" t="n">
        <v>45933</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44491-2025</t>
        </is>
      </c>
      <c r="B490" s="1" t="n">
        <v>45916.66152777777</v>
      </c>
      <c r="C490" s="1" t="n">
        <v>45933</v>
      </c>
      <c r="D490" t="inlineStr">
        <is>
          <t>UPPSALA LÄN</t>
        </is>
      </c>
      <c r="E490" t="inlineStr">
        <is>
          <t>ÖSTHAMMAR</t>
        </is>
      </c>
      <c r="F490" t="inlineStr">
        <is>
          <t>Bergvik skog öst AB</t>
        </is>
      </c>
      <c r="G490" t="n">
        <v>4.3</v>
      </c>
      <c r="H490" t="n">
        <v>0</v>
      </c>
      <c r="I490" t="n">
        <v>0</v>
      </c>
      <c r="J490" t="n">
        <v>0</v>
      </c>
      <c r="K490" t="n">
        <v>0</v>
      </c>
      <c r="L490" t="n">
        <v>0</v>
      </c>
      <c r="M490" t="n">
        <v>0</v>
      </c>
      <c r="N490" t="n">
        <v>0</v>
      </c>
      <c r="O490" t="n">
        <v>0</v>
      </c>
      <c r="P490" t="n">
        <v>0</v>
      </c>
      <c r="Q490" t="n">
        <v>0</v>
      </c>
      <c r="R490" s="2" t="inlineStr"/>
    </row>
    <row r="491" ht="15" customHeight="1">
      <c r="A491" t="inlineStr">
        <is>
          <t>A 47336-2025</t>
        </is>
      </c>
      <c r="B491" s="1" t="n">
        <v>45930.56592592593</v>
      </c>
      <c r="C491" s="1" t="n">
        <v>45933</v>
      </c>
      <c r="D491" t="inlineStr">
        <is>
          <t>UPPSALA LÄN</t>
        </is>
      </c>
      <c r="E491" t="inlineStr">
        <is>
          <t>ÖSTHAMMAR</t>
        </is>
      </c>
      <c r="G491" t="n">
        <v>0.9</v>
      </c>
      <c r="H491" t="n">
        <v>0</v>
      </c>
      <c r="I491" t="n">
        <v>0</v>
      </c>
      <c r="J491" t="n">
        <v>0</v>
      </c>
      <c r="K491" t="n">
        <v>0</v>
      </c>
      <c r="L491" t="n">
        <v>0</v>
      </c>
      <c r="M491" t="n">
        <v>0</v>
      </c>
      <c r="N491" t="n">
        <v>0</v>
      </c>
      <c r="O491" t="n">
        <v>0</v>
      </c>
      <c r="P491" t="n">
        <v>0</v>
      </c>
      <c r="Q491" t="n">
        <v>0</v>
      </c>
      <c r="R491" s="2" t="inlineStr"/>
    </row>
    <row r="492" ht="15" customHeight="1">
      <c r="A492" t="inlineStr">
        <is>
          <t>A 47337-2025</t>
        </is>
      </c>
      <c r="B492" s="1" t="n">
        <v>45930.56607638889</v>
      </c>
      <c r="C492" s="1" t="n">
        <v>45933</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47338-2025</t>
        </is>
      </c>
      <c r="B493" s="1" t="n">
        <v>45930.56626157407</v>
      </c>
      <c r="C493" s="1" t="n">
        <v>45933</v>
      </c>
      <c r="D493" t="inlineStr">
        <is>
          <t>UPPSALA LÄN</t>
        </is>
      </c>
      <c r="E493" t="inlineStr">
        <is>
          <t>ÖSTHAMMAR</t>
        </is>
      </c>
      <c r="G493" t="n">
        <v>2.4</v>
      </c>
      <c r="H493" t="n">
        <v>0</v>
      </c>
      <c r="I493" t="n">
        <v>0</v>
      </c>
      <c r="J493" t="n">
        <v>0</v>
      </c>
      <c r="K493" t="n">
        <v>0</v>
      </c>
      <c r="L493" t="n">
        <v>0</v>
      </c>
      <c r="M493" t="n">
        <v>0</v>
      </c>
      <c r="N493" t="n">
        <v>0</v>
      </c>
      <c r="O493" t="n">
        <v>0</v>
      </c>
      <c r="P493" t="n">
        <v>0</v>
      </c>
      <c r="Q493" t="n">
        <v>0</v>
      </c>
      <c r="R493" s="2" t="inlineStr"/>
    </row>
    <row r="494" ht="15" customHeight="1">
      <c r="A494" t="inlineStr">
        <is>
          <t>A 44917-2025</t>
        </is>
      </c>
      <c r="B494" s="1" t="n">
        <v>45918.54903935185</v>
      </c>
      <c r="C494" s="1" t="n">
        <v>45933</v>
      </c>
      <c r="D494" t="inlineStr">
        <is>
          <t>UPPSALA LÄN</t>
        </is>
      </c>
      <c r="E494" t="inlineStr">
        <is>
          <t>ÖSTHAMMAR</t>
        </is>
      </c>
      <c r="F494" t="inlineStr">
        <is>
          <t>Allmännings- och besparingsskogar</t>
        </is>
      </c>
      <c r="G494" t="n">
        <v>16</v>
      </c>
      <c r="H494" t="n">
        <v>0</v>
      </c>
      <c r="I494" t="n">
        <v>0</v>
      </c>
      <c r="J494" t="n">
        <v>0</v>
      </c>
      <c r="K494" t="n">
        <v>0</v>
      </c>
      <c r="L494" t="n">
        <v>0</v>
      </c>
      <c r="M494" t="n">
        <v>0</v>
      </c>
      <c r="N494" t="n">
        <v>0</v>
      </c>
      <c r="O494" t="n">
        <v>0</v>
      </c>
      <c r="P494" t="n">
        <v>0</v>
      </c>
      <c r="Q494" t="n">
        <v>0</v>
      </c>
      <c r="R494" s="2" t="inlineStr"/>
    </row>
    <row r="495" ht="15" customHeight="1">
      <c r="A495" t="inlineStr">
        <is>
          <t>A 4356-2025</t>
        </is>
      </c>
      <c r="B495" s="1" t="n">
        <v>45686</v>
      </c>
      <c r="C495" s="1" t="n">
        <v>45933</v>
      </c>
      <c r="D495" t="inlineStr">
        <is>
          <t>UPPSALA LÄN</t>
        </is>
      </c>
      <c r="E495" t="inlineStr">
        <is>
          <t>ÖSTHAMMAR</t>
        </is>
      </c>
      <c r="F495" t="inlineStr">
        <is>
          <t>Övriga Aktiebolag</t>
        </is>
      </c>
      <c r="G495" t="n">
        <v>24.6</v>
      </c>
      <c r="H495" t="n">
        <v>0</v>
      </c>
      <c r="I495" t="n">
        <v>0</v>
      </c>
      <c r="J495" t="n">
        <v>0</v>
      </c>
      <c r="K495" t="n">
        <v>0</v>
      </c>
      <c r="L495" t="n">
        <v>0</v>
      </c>
      <c r="M495" t="n">
        <v>0</v>
      </c>
      <c r="N495" t="n">
        <v>0</v>
      </c>
      <c r="O495" t="n">
        <v>0</v>
      </c>
      <c r="P495" t="n">
        <v>0</v>
      </c>
      <c r="Q495" t="n">
        <v>0</v>
      </c>
      <c r="R495" s="2" t="inlineStr"/>
    </row>
    <row r="496" ht="15" customHeight="1">
      <c r="A496" t="inlineStr">
        <is>
          <t>A 17085-2025</t>
        </is>
      </c>
      <c r="B496" s="1" t="n">
        <v>45755.64612268518</v>
      </c>
      <c r="C496" s="1" t="n">
        <v>45933</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38886-2025</t>
        </is>
      </c>
      <c r="B497" s="1" t="n">
        <v>45887.58370370371</v>
      </c>
      <c r="C497" s="1" t="n">
        <v>45933</v>
      </c>
      <c r="D497" t="inlineStr">
        <is>
          <t>UPPSALA LÄN</t>
        </is>
      </c>
      <c r="E497" t="inlineStr">
        <is>
          <t>ÖSTHAMMAR</t>
        </is>
      </c>
      <c r="F497" t="inlineStr">
        <is>
          <t>Bergvik skog öst AB</t>
        </is>
      </c>
      <c r="G497" t="n">
        <v>4.7</v>
      </c>
      <c r="H497" t="n">
        <v>0</v>
      </c>
      <c r="I497" t="n">
        <v>0</v>
      </c>
      <c r="J497" t="n">
        <v>0</v>
      </c>
      <c r="K497" t="n">
        <v>0</v>
      </c>
      <c r="L497" t="n">
        <v>0</v>
      </c>
      <c r="M497" t="n">
        <v>0</v>
      </c>
      <c r="N497" t="n">
        <v>0</v>
      </c>
      <c r="O497" t="n">
        <v>0</v>
      </c>
      <c r="P497" t="n">
        <v>0</v>
      </c>
      <c r="Q497" t="n">
        <v>0</v>
      </c>
      <c r="R497" s="2" t="inlineStr"/>
    </row>
    <row r="498" ht="15" customHeight="1">
      <c r="A498" t="inlineStr">
        <is>
          <t>A 5344-2025</t>
        </is>
      </c>
      <c r="B498" s="1" t="n">
        <v>45692</v>
      </c>
      <c r="C498" s="1" t="n">
        <v>45933</v>
      </c>
      <c r="D498" t="inlineStr">
        <is>
          <t>UPPSALA LÄN</t>
        </is>
      </c>
      <c r="E498" t="inlineStr">
        <is>
          <t>ÖSTHAMMAR</t>
        </is>
      </c>
      <c r="F498" t="inlineStr">
        <is>
          <t>Bergvik skog öst AB</t>
        </is>
      </c>
      <c r="G498" t="n">
        <v>3.2</v>
      </c>
      <c r="H498" t="n">
        <v>0</v>
      </c>
      <c r="I498" t="n">
        <v>0</v>
      </c>
      <c r="J498" t="n">
        <v>0</v>
      </c>
      <c r="K498" t="n">
        <v>0</v>
      </c>
      <c r="L498" t="n">
        <v>0</v>
      </c>
      <c r="M498" t="n">
        <v>0</v>
      </c>
      <c r="N498" t="n">
        <v>0</v>
      </c>
      <c r="O498" t="n">
        <v>0</v>
      </c>
      <c r="P498" t="n">
        <v>0</v>
      </c>
      <c r="Q498" t="n">
        <v>0</v>
      </c>
      <c r="R498" s="2" t="inlineStr"/>
    </row>
    <row r="499" ht="15" customHeight="1">
      <c r="A499" t="inlineStr">
        <is>
          <t>A 13738-2023</t>
        </is>
      </c>
      <c r="B499" s="1" t="n">
        <v>45007.37081018519</v>
      </c>
      <c r="C499" s="1" t="n">
        <v>45933</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47020-2025</t>
        </is>
      </c>
      <c r="B500" s="1" t="n">
        <v>45929.5775</v>
      </c>
      <c r="C500" s="1" t="n">
        <v>45933</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34971-2022</t>
        </is>
      </c>
      <c r="B501" s="1" t="n">
        <v>44796.66613425926</v>
      </c>
      <c r="C501" s="1" t="n">
        <v>45933</v>
      </c>
      <c r="D501" t="inlineStr">
        <is>
          <t>UPPSALA LÄN</t>
        </is>
      </c>
      <c r="E501" t="inlineStr">
        <is>
          <t>ÖSTHAMMAR</t>
        </is>
      </c>
      <c r="F501" t="inlineStr">
        <is>
          <t>Bergvik skog öst AB</t>
        </is>
      </c>
      <c r="G501" t="n">
        <v>2.3</v>
      </c>
      <c r="H501" t="n">
        <v>0</v>
      </c>
      <c r="I501" t="n">
        <v>0</v>
      </c>
      <c r="J501" t="n">
        <v>0</v>
      </c>
      <c r="K501" t="n">
        <v>0</v>
      </c>
      <c r="L501" t="n">
        <v>0</v>
      </c>
      <c r="M501" t="n">
        <v>0</v>
      </c>
      <c r="N501" t="n">
        <v>0</v>
      </c>
      <c r="O501" t="n">
        <v>0</v>
      </c>
      <c r="P501" t="n">
        <v>0</v>
      </c>
      <c r="Q501" t="n">
        <v>0</v>
      </c>
      <c r="R501" s="2" t="inlineStr"/>
    </row>
    <row r="502" ht="15" customHeight="1">
      <c r="A502" t="inlineStr">
        <is>
          <t>A 32244-2021</t>
        </is>
      </c>
      <c r="B502" s="1" t="n">
        <v>44371.45335648148</v>
      </c>
      <c r="C502" s="1" t="n">
        <v>45933</v>
      </c>
      <c r="D502" t="inlineStr">
        <is>
          <t>UPPSALA LÄN</t>
        </is>
      </c>
      <c r="E502" t="inlineStr">
        <is>
          <t>ÖSTHAMMAR</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33056-2021</t>
        </is>
      </c>
      <c r="B503" s="1" t="n">
        <v>44376.52438657408</v>
      </c>
      <c r="C503" s="1" t="n">
        <v>45933</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47614-2025</t>
        </is>
      </c>
      <c r="B504" s="1" t="n">
        <v>45931.47211805556</v>
      </c>
      <c r="C504" s="1" t="n">
        <v>45933</v>
      </c>
      <c r="D504" t="inlineStr">
        <is>
          <t>UPPSALA LÄN</t>
        </is>
      </c>
      <c r="E504" t="inlineStr">
        <is>
          <t>ÖSTHAMMAR</t>
        </is>
      </c>
      <c r="G504" t="n">
        <v>22.8</v>
      </c>
      <c r="H504" t="n">
        <v>0</v>
      </c>
      <c r="I504" t="n">
        <v>0</v>
      </c>
      <c r="J504" t="n">
        <v>0</v>
      </c>
      <c r="K504" t="n">
        <v>0</v>
      </c>
      <c r="L504" t="n">
        <v>0</v>
      </c>
      <c r="M504" t="n">
        <v>0</v>
      </c>
      <c r="N504" t="n">
        <v>0</v>
      </c>
      <c r="O504" t="n">
        <v>0</v>
      </c>
      <c r="P504" t="n">
        <v>0</v>
      </c>
      <c r="Q504" t="n">
        <v>0</v>
      </c>
      <c r="R504" s="2" t="inlineStr"/>
    </row>
    <row r="505" ht="15" customHeight="1">
      <c r="A505" t="inlineStr">
        <is>
          <t>A 55646-2021</t>
        </is>
      </c>
      <c r="B505" s="1" t="n">
        <v>44476.3632175926</v>
      </c>
      <c r="C505" s="1" t="n">
        <v>45933</v>
      </c>
      <c r="D505" t="inlineStr">
        <is>
          <t>UPPSALA LÄN</t>
        </is>
      </c>
      <c r="E505" t="inlineStr">
        <is>
          <t>ÖSTHAMMAR</t>
        </is>
      </c>
      <c r="F505" t="inlineStr">
        <is>
          <t>Bergvik skog öst AB</t>
        </is>
      </c>
      <c r="G505" t="n">
        <v>0.2</v>
      </c>
      <c r="H505" t="n">
        <v>0</v>
      </c>
      <c r="I505" t="n">
        <v>0</v>
      </c>
      <c r="J505" t="n">
        <v>0</v>
      </c>
      <c r="K505" t="n">
        <v>0</v>
      </c>
      <c r="L505" t="n">
        <v>0</v>
      </c>
      <c r="M505" t="n">
        <v>0</v>
      </c>
      <c r="N505" t="n">
        <v>0</v>
      </c>
      <c r="O505" t="n">
        <v>0</v>
      </c>
      <c r="P505" t="n">
        <v>0</v>
      </c>
      <c r="Q505" t="n">
        <v>0</v>
      </c>
      <c r="R505" s="2" t="inlineStr"/>
    </row>
    <row r="506" ht="15" customHeight="1">
      <c r="A506" t="inlineStr">
        <is>
          <t>A 4292-2025</t>
        </is>
      </c>
      <c r="B506" s="1" t="n">
        <v>45685.66459490741</v>
      </c>
      <c r="C506" s="1" t="n">
        <v>45933</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8592-2022</t>
        </is>
      </c>
      <c r="B507" s="1" t="n">
        <v>44613</v>
      </c>
      <c r="C507" s="1" t="n">
        <v>45933</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5076-2025</t>
        </is>
      </c>
      <c r="B508" s="1" t="n">
        <v>45691</v>
      </c>
      <c r="C508" s="1" t="n">
        <v>45933</v>
      </c>
      <c r="D508" t="inlineStr">
        <is>
          <t>UPPSALA LÄN</t>
        </is>
      </c>
      <c r="E508" t="inlineStr">
        <is>
          <t>ÖSTHAMMAR</t>
        </is>
      </c>
      <c r="G508" t="n">
        <v>5.8</v>
      </c>
      <c r="H508" t="n">
        <v>0</v>
      </c>
      <c r="I508" t="n">
        <v>0</v>
      </c>
      <c r="J508" t="n">
        <v>0</v>
      </c>
      <c r="K508" t="n">
        <v>0</v>
      </c>
      <c r="L508" t="n">
        <v>0</v>
      </c>
      <c r="M508" t="n">
        <v>0</v>
      </c>
      <c r="N508" t="n">
        <v>0</v>
      </c>
      <c r="O508" t="n">
        <v>0</v>
      </c>
      <c r="P508" t="n">
        <v>0</v>
      </c>
      <c r="Q508" t="n">
        <v>0</v>
      </c>
      <c r="R508" s="2" t="inlineStr"/>
    </row>
    <row r="509" ht="15" customHeight="1">
      <c r="A509" t="inlineStr">
        <is>
          <t>A 45102-2025</t>
        </is>
      </c>
      <c r="B509" s="1" t="n">
        <v>45919.39731481481</v>
      </c>
      <c r="C509" s="1" t="n">
        <v>45933</v>
      </c>
      <c r="D509" t="inlineStr">
        <is>
          <t>UPPSALA LÄN</t>
        </is>
      </c>
      <c r="E509" t="inlineStr">
        <is>
          <t>ÖSTHAMMAR</t>
        </is>
      </c>
      <c r="G509" t="n">
        <v>1.7</v>
      </c>
      <c r="H509" t="n">
        <v>0</v>
      </c>
      <c r="I509" t="n">
        <v>0</v>
      </c>
      <c r="J509" t="n">
        <v>0</v>
      </c>
      <c r="K509" t="n">
        <v>0</v>
      </c>
      <c r="L509" t="n">
        <v>0</v>
      </c>
      <c r="M509" t="n">
        <v>0</v>
      </c>
      <c r="N509" t="n">
        <v>0</v>
      </c>
      <c r="O509" t="n">
        <v>0</v>
      </c>
      <c r="P509" t="n">
        <v>0</v>
      </c>
      <c r="Q509" t="n">
        <v>0</v>
      </c>
      <c r="R509" s="2" t="inlineStr"/>
    </row>
    <row r="510" ht="15" customHeight="1">
      <c r="A510" t="inlineStr">
        <is>
          <t>A 47615-2025</t>
        </is>
      </c>
      <c r="B510" s="1" t="n">
        <v>45931.47542824074</v>
      </c>
      <c r="C510" s="1" t="n">
        <v>45933</v>
      </c>
      <c r="D510" t="inlineStr">
        <is>
          <t>UPPSALA LÄN</t>
        </is>
      </c>
      <c r="E510" t="inlineStr">
        <is>
          <t>ÖSTHAMMAR</t>
        </is>
      </c>
      <c r="G510" t="n">
        <v>7</v>
      </c>
      <c r="H510" t="n">
        <v>0</v>
      </c>
      <c r="I510" t="n">
        <v>0</v>
      </c>
      <c r="J510" t="n">
        <v>0</v>
      </c>
      <c r="K510" t="n">
        <v>0</v>
      </c>
      <c r="L510" t="n">
        <v>0</v>
      </c>
      <c r="M510" t="n">
        <v>0</v>
      </c>
      <c r="N510" t="n">
        <v>0</v>
      </c>
      <c r="O510" t="n">
        <v>0</v>
      </c>
      <c r="P510" t="n">
        <v>0</v>
      </c>
      <c r="Q510" t="n">
        <v>0</v>
      </c>
      <c r="R510" s="2" t="inlineStr"/>
    </row>
    <row r="511" ht="15" customHeight="1">
      <c r="A511" t="inlineStr">
        <is>
          <t>A 37656-2025</t>
        </is>
      </c>
      <c r="B511" s="1" t="n">
        <v>45880</v>
      </c>
      <c r="C511" s="1" t="n">
        <v>45933</v>
      </c>
      <c r="D511" t="inlineStr">
        <is>
          <t>UPPSALA LÄN</t>
        </is>
      </c>
      <c r="E511" t="inlineStr">
        <is>
          <t>ÖSTHAMMAR</t>
        </is>
      </c>
      <c r="G511" t="n">
        <v>4.3</v>
      </c>
      <c r="H511" t="n">
        <v>0</v>
      </c>
      <c r="I511" t="n">
        <v>0</v>
      </c>
      <c r="J511" t="n">
        <v>0</v>
      </c>
      <c r="K511" t="n">
        <v>0</v>
      </c>
      <c r="L511" t="n">
        <v>0</v>
      </c>
      <c r="M511" t="n">
        <v>0</v>
      </c>
      <c r="N511" t="n">
        <v>0</v>
      </c>
      <c r="O511" t="n">
        <v>0</v>
      </c>
      <c r="P511" t="n">
        <v>0</v>
      </c>
      <c r="Q511" t="n">
        <v>0</v>
      </c>
      <c r="R511" s="2" t="inlineStr"/>
    </row>
    <row r="512" ht="15" customHeight="1">
      <c r="A512" t="inlineStr">
        <is>
          <t>A 37764-2025</t>
        </is>
      </c>
      <c r="B512" s="1" t="n">
        <v>45880.70917824074</v>
      </c>
      <c r="C512" s="1" t="n">
        <v>45933</v>
      </c>
      <c r="D512" t="inlineStr">
        <is>
          <t>UPPSALA LÄN</t>
        </is>
      </c>
      <c r="E512" t="inlineStr">
        <is>
          <t>ÖSTHAMMAR</t>
        </is>
      </c>
      <c r="G512" t="n">
        <v>4.6</v>
      </c>
      <c r="H512" t="n">
        <v>0</v>
      </c>
      <c r="I512" t="n">
        <v>0</v>
      </c>
      <c r="J512" t="n">
        <v>0</v>
      </c>
      <c r="K512" t="n">
        <v>0</v>
      </c>
      <c r="L512" t="n">
        <v>0</v>
      </c>
      <c r="M512" t="n">
        <v>0</v>
      </c>
      <c r="N512" t="n">
        <v>0</v>
      </c>
      <c r="O512" t="n">
        <v>0</v>
      </c>
      <c r="P512" t="n">
        <v>0</v>
      </c>
      <c r="Q512" t="n">
        <v>0</v>
      </c>
      <c r="R512" s="2" t="inlineStr"/>
    </row>
    <row r="513" ht="15" customHeight="1">
      <c r="A513" t="inlineStr">
        <is>
          <t>A 45105-2025</t>
        </is>
      </c>
      <c r="B513" s="1" t="n">
        <v>45919.40252314815</v>
      </c>
      <c r="C513" s="1" t="n">
        <v>45933</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16240-2025</t>
        </is>
      </c>
      <c r="B514" s="1" t="n">
        <v>45746</v>
      </c>
      <c r="C514" s="1" t="n">
        <v>45933</v>
      </c>
      <c r="D514" t="inlineStr">
        <is>
          <t>UPPSALA LÄN</t>
        </is>
      </c>
      <c r="E514" t="inlineStr">
        <is>
          <t>ÖSTHAMMAR</t>
        </is>
      </c>
      <c r="G514" t="n">
        <v>1.4</v>
      </c>
      <c r="H514" t="n">
        <v>0</v>
      </c>
      <c r="I514" t="n">
        <v>0</v>
      </c>
      <c r="J514" t="n">
        <v>0</v>
      </c>
      <c r="K514" t="n">
        <v>0</v>
      </c>
      <c r="L514" t="n">
        <v>0</v>
      </c>
      <c r="M514" t="n">
        <v>0</v>
      </c>
      <c r="N514" t="n">
        <v>0</v>
      </c>
      <c r="O514" t="n">
        <v>0</v>
      </c>
      <c r="P514" t="n">
        <v>0</v>
      </c>
      <c r="Q514" t="n">
        <v>0</v>
      </c>
      <c r="R514" s="2" t="inlineStr"/>
    </row>
    <row r="515" ht="15" customHeight="1">
      <c r="A515" t="inlineStr">
        <is>
          <t>A 45715-2025</t>
        </is>
      </c>
      <c r="B515" s="1" t="n">
        <v>45923.44094907407</v>
      </c>
      <c r="C515" s="1" t="n">
        <v>45933</v>
      </c>
      <c r="D515" t="inlineStr">
        <is>
          <t>UPPSALA LÄN</t>
        </is>
      </c>
      <c r="E515" t="inlineStr">
        <is>
          <t>ÖSTHAMMAR</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8908-2025</t>
        </is>
      </c>
      <c r="B516" s="1" t="n">
        <v>45713.4196875</v>
      </c>
      <c r="C516" s="1" t="n">
        <v>45933</v>
      </c>
      <c r="D516" t="inlineStr">
        <is>
          <t>UPPSALA LÄN</t>
        </is>
      </c>
      <c r="E516" t="inlineStr">
        <is>
          <t>ÖSTHAMMAR</t>
        </is>
      </c>
      <c r="F516" t="inlineStr">
        <is>
          <t>Bergvik skog öst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20038-2023</t>
        </is>
      </c>
      <c r="B517" s="1" t="n">
        <v>45054.65834490741</v>
      </c>
      <c r="C517" s="1" t="n">
        <v>45933</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6121-2024</t>
        </is>
      </c>
      <c r="B518" s="1" t="n">
        <v>45337.4219212963</v>
      </c>
      <c r="C518" s="1" t="n">
        <v>45933</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3119-2025</t>
        </is>
      </c>
      <c r="B519" s="1" t="n">
        <v>45678</v>
      </c>
      <c r="C519" s="1" t="n">
        <v>45933</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5189-2025</t>
        </is>
      </c>
      <c r="B520" s="1" t="n">
        <v>45691</v>
      </c>
      <c r="C520" s="1" t="n">
        <v>45933</v>
      </c>
      <c r="D520" t="inlineStr">
        <is>
          <t>UPPSALA LÄN</t>
        </is>
      </c>
      <c r="E520" t="inlineStr">
        <is>
          <t>ÖSTHAMMAR</t>
        </is>
      </c>
      <c r="F520" t="inlineStr">
        <is>
          <t>Bergvik skog öst AB</t>
        </is>
      </c>
      <c r="G520" t="n">
        <v>24.4</v>
      </c>
      <c r="H520" t="n">
        <v>0</v>
      </c>
      <c r="I520" t="n">
        <v>0</v>
      </c>
      <c r="J520" t="n">
        <v>0</v>
      </c>
      <c r="K520" t="n">
        <v>0</v>
      </c>
      <c r="L520" t="n">
        <v>0</v>
      </c>
      <c r="M520" t="n">
        <v>0</v>
      </c>
      <c r="N520" t="n">
        <v>0</v>
      </c>
      <c r="O520" t="n">
        <v>0</v>
      </c>
      <c r="P520" t="n">
        <v>0</v>
      </c>
      <c r="Q520" t="n">
        <v>0</v>
      </c>
      <c r="R520" s="2" t="inlineStr"/>
    </row>
    <row r="521" ht="15" customHeight="1">
      <c r="A521" t="inlineStr">
        <is>
          <t>A 45993-2025</t>
        </is>
      </c>
      <c r="B521" s="1" t="n">
        <v>45924.39706018518</v>
      </c>
      <c r="C521" s="1" t="n">
        <v>45933</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17646-2025</t>
        </is>
      </c>
      <c r="B522" s="1" t="n">
        <v>45758.32872685185</v>
      </c>
      <c r="C522" s="1" t="n">
        <v>45933</v>
      </c>
      <c r="D522" t="inlineStr">
        <is>
          <t>UPPSALA LÄN</t>
        </is>
      </c>
      <c r="E522" t="inlineStr">
        <is>
          <t>ÖSTHAMMAR</t>
        </is>
      </c>
      <c r="F522" t="inlineStr">
        <is>
          <t>Bergvik skog väst AB</t>
        </is>
      </c>
      <c r="G522" t="n">
        <v>3.4</v>
      </c>
      <c r="H522" t="n">
        <v>0</v>
      </c>
      <c r="I522" t="n">
        <v>0</v>
      </c>
      <c r="J522" t="n">
        <v>0</v>
      </c>
      <c r="K522" t="n">
        <v>0</v>
      </c>
      <c r="L522" t="n">
        <v>0</v>
      </c>
      <c r="M522" t="n">
        <v>0</v>
      </c>
      <c r="N522" t="n">
        <v>0</v>
      </c>
      <c r="O522" t="n">
        <v>0</v>
      </c>
      <c r="P522" t="n">
        <v>0</v>
      </c>
      <c r="Q522" t="n">
        <v>0</v>
      </c>
      <c r="R522" s="2" t="inlineStr"/>
    </row>
    <row r="523" ht="15" customHeight="1">
      <c r="A523" t="inlineStr">
        <is>
          <t>A 17648-2025</t>
        </is>
      </c>
      <c r="B523" s="1" t="n">
        <v>45758.33064814815</v>
      </c>
      <c r="C523" s="1" t="n">
        <v>45933</v>
      </c>
      <c r="D523" t="inlineStr">
        <is>
          <t>UPPSALA LÄN</t>
        </is>
      </c>
      <c r="E523" t="inlineStr">
        <is>
          <t>ÖSTHAMMAR</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8699-2025</t>
        </is>
      </c>
      <c r="B524" s="1" t="n">
        <v>45712.47983796296</v>
      </c>
      <c r="C524" s="1" t="n">
        <v>45933</v>
      </c>
      <c r="D524" t="inlineStr">
        <is>
          <t>UPPSALA LÄN</t>
        </is>
      </c>
      <c r="E524" t="inlineStr">
        <is>
          <t>ÖSTHAMMAR</t>
        </is>
      </c>
      <c r="G524" t="n">
        <v>5.6</v>
      </c>
      <c r="H524" t="n">
        <v>0</v>
      </c>
      <c r="I524" t="n">
        <v>0</v>
      </c>
      <c r="J524" t="n">
        <v>0</v>
      </c>
      <c r="K524" t="n">
        <v>0</v>
      </c>
      <c r="L524" t="n">
        <v>0</v>
      </c>
      <c r="M524" t="n">
        <v>0</v>
      </c>
      <c r="N524" t="n">
        <v>0</v>
      </c>
      <c r="O524" t="n">
        <v>0</v>
      </c>
      <c r="P524" t="n">
        <v>0</v>
      </c>
      <c r="Q524" t="n">
        <v>0</v>
      </c>
      <c r="R524" s="2" t="inlineStr"/>
    </row>
    <row r="525" ht="15" customHeight="1">
      <c r="A525" t="inlineStr">
        <is>
          <t>A 46089-2025</t>
        </is>
      </c>
      <c r="B525" s="1" t="n">
        <v>45924.52100694444</v>
      </c>
      <c r="C525" s="1" t="n">
        <v>45933</v>
      </c>
      <c r="D525" t="inlineStr">
        <is>
          <t>UPPSALA LÄN</t>
        </is>
      </c>
      <c r="E525" t="inlineStr">
        <is>
          <t>ÖSTHAMMAR</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46088-2025</t>
        </is>
      </c>
      <c r="B526" s="1" t="n">
        <v>45924.52010416667</v>
      </c>
      <c r="C526" s="1" t="n">
        <v>45933</v>
      </c>
      <c r="D526" t="inlineStr">
        <is>
          <t>UPPSALA LÄN</t>
        </is>
      </c>
      <c r="E526" t="inlineStr">
        <is>
          <t>ÖSTHAMMAR</t>
        </is>
      </c>
      <c r="F526" t="inlineStr">
        <is>
          <t>Bergvik skog öst AB</t>
        </is>
      </c>
      <c r="G526" t="n">
        <v>2.7</v>
      </c>
      <c r="H526" t="n">
        <v>0</v>
      </c>
      <c r="I526" t="n">
        <v>0</v>
      </c>
      <c r="J526" t="n">
        <v>0</v>
      </c>
      <c r="K526" t="n">
        <v>0</v>
      </c>
      <c r="L526" t="n">
        <v>0</v>
      </c>
      <c r="M526" t="n">
        <v>0</v>
      </c>
      <c r="N526" t="n">
        <v>0</v>
      </c>
      <c r="O526" t="n">
        <v>0</v>
      </c>
      <c r="P526" t="n">
        <v>0</v>
      </c>
      <c r="Q526" t="n">
        <v>0</v>
      </c>
      <c r="R526" s="2" t="inlineStr"/>
    </row>
    <row r="527" ht="15" customHeight="1">
      <c r="A527" t="inlineStr">
        <is>
          <t>A 7118-2023</t>
        </is>
      </c>
      <c r="B527" s="1" t="n">
        <v>44970.39591435185</v>
      </c>
      <c r="C527" s="1" t="n">
        <v>45933</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15031-2025</t>
        </is>
      </c>
      <c r="B528" s="1" t="n">
        <v>45743.67333333333</v>
      </c>
      <c r="C528" s="1" t="n">
        <v>45933</v>
      </c>
      <c r="D528" t="inlineStr">
        <is>
          <t>UPPSALA LÄN</t>
        </is>
      </c>
      <c r="E528" t="inlineStr">
        <is>
          <t>ÖSTHAMMAR</t>
        </is>
      </c>
      <c r="G528" t="n">
        <v>9.6</v>
      </c>
      <c r="H528" t="n">
        <v>0</v>
      </c>
      <c r="I528" t="n">
        <v>0</v>
      </c>
      <c r="J528" t="n">
        <v>0</v>
      </c>
      <c r="K528" t="n">
        <v>0</v>
      </c>
      <c r="L528" t="n">
        <v>0</v>
      </c>
      <c r="M528" t="n">
        <v>0</v>
      </c>
      <c r="N528" t="n">
        <v>0</v>
      </c>
      <c r="O528" t="n">
        <v>0</v>
      </c>
      <c r="P528" t="n">
        <v>0</v>
      </c>
      <c r="Q528" t="n">
        <v>0</v>
      </c>
      <c r="R528" s="2" t="inlineStr"/>
    </row>
    <row r="529" ht="15" customHeight="1">
      <c r="A529" t="inlineStr">
        <is>
          <t>A 45721-2025</t>
        </is>
      </c>
      <c r="B529" s="1" t="n">
        <v>45923.44844907407</v>
      </c>
      <c r="C529" s="1" t="n">
        <v>45933</v>
      </c>
      <c r="D529" t="inlineStr">
        <is>
          <t>UPPSALA LÄN</t>
        </is>
      </c>
      <c r="E529" t="inlineStr">
        <is>
          <t>ÖSTHAMMAR</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45720-2025</t>
        </is>
      </c>
      <c r="B530" s="1" t="n">
        <v>45923.44583333333</v>
      </c>
      <c r="C530" s="1" t="n">
        <v>45933</v>
      </c>
      <c r="D530" t="inlineStr">
        <is>
          <t>UPPSALA LÄN</t>
        </is>
      </c>
      <c r="E530" t="inlineStr">
        <is>
          <t>ÖSTHAMMAR</t>
        </is>
      </c>
      <c r="F530" t="inlineStr">
        <is>
          <t>Övriga Aktiebolag</t>
        </is>
      </c>
      <c r="G530" t="n">
        <v>2.8</v>
      </c>
      <c r="H530" t="n">
        <v>0</v>
      </c>
      <c r="I530" t="n">
        <v>0</v>
      </c>
      <c r="J530" t="n">
        <v>0</v>
      </c>
      <c r="K530" t="n">
        <v>0</v>
      </c>
      <c r="L530" t="n">
        <v>0</v>
      </c>
      <c r="M530" t="n">
        <v>0</v>
      </c>
      <c r="N530" t="n">
        <v>0</v>
      </c>
      <c r="O530" t="n">
        <v>0</v>
      </c>
      <c r="P530" t="n">
        <v>0</v>
      </c>
      <c r="Q530" t="n">
        <v>0</v>
      </c>
      <c r="R530" s="2" t="inlineStr"/>
    </row>
    <row r="531" ht="15" customHeight="1">
      <c r="A531" t="inlineStr">
        <is>
          <t>A 60047-2021</t>
        </is>
      </c>
      <c r="B531" s="1" t="n">
        <v>44495</v>
      </c>
      <c r="C531" s="1" t="n">
        <v>45933</v>
      </c>
      <c r="D531" t="inlineStr">
        <is>
          <t>UPPSALA LÄN</t>
        </is>
      </c>
      <c r="E531" t="inlineStr">
        <is>
          <t>ÖSTHAMMAR</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37770-2025</t>
        </is>
      </c>
      <c r="B532" s="1" t="n">
        <v>45880.7505787037</v>
      </c>
      <c r="C532" s="1" t="n">
        <v>45933</v>
      </c>
      <c r="D532" t="inlineStr">
        <is>
          <t>UPPSALA LÄN</t>
        </is>
      </c>
      <c r="E532" t="inlineStr">
        <is>
          <t>ÖSTHAMMAR</t>
        </is>
      </c>
      <c r="G532" t="n">
        <v>2.9</v>
      </c>
      <c r="H532" t="n">
        <v>0</v>
      </c>
      <c r="I532" t="n">
        <v>0</v>
      </c>
      <c r="J532" t="n">
        <v>0</v>
      </c>
      <c r="K532" t="n">
        <v>0</v>
      </c>
      <c r="L532" t="n">
        <v>0</v>
      </c>
      <c r="M532" t="n">
        <v>0</v>
      </c>
      <c r="N532" t="n">
        <v>0</v>
      </c>
      <c r="O532" t="n">
        <v>0</v>
      </c>
      <c r="P532" t="n">
        <v>0</v>
      </c>
      <c r="Q532" t="n">
        <v>0</v>
      </c>
      <c r="R532" s="2" t="inlineStr"/>
    </row>
    <row r="533" ht="15" customHeight="1">
      <c r="A533" t="inlineStr">
        <is>
          <t>A 18401-2025</t>
        </is>
      </c>
      <c r="B533" s="1" t="n">
        <v>45762.5966087963</v>
      </c>
      <c r="C533" s="1" t="n">
        <v>45933</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60555-2023</t>
        </is>
      </c>
      <c r="B534" s="1" t="n">
        <v>45259</v>
      </c>
      <c r="C534" s="1" t="n">
        <v>45933</v>
      </c>
      <c r="D534" t="inlineStr">
        <is>
          <t>UPPSALA LÄN</t>
        </is>
      </c>
      <c r="E534" t="inlineStr">
        <is>
          <t>ÖSTHAMMAR</t>
        </is>
      </c>
      <c r="G534" t="n">
        <v>2</v>
      </c>
      <c r="H534" t="n">
        <v>0</v>
      </c>
      <c r="I534" t="n">
        <v>0</v>
      </c>
      <c r="J534" t="n">
        <v>0</v>
      </c>
      <c r="K534" t="n">
        <v>0</v>
      </c>
      <c r="L534" t="n">
        <v>0</v>
      </c>
      <c r="M534" t="n">
        <v>0</v>
      </c>
      <c r="N534" t="n">
        <v>0</v>
      </c>
      <c r="O534" t="n">
        <v>0</v>
      </c>
      <c r="P534" t="n">
        <v>0</v>
      </c>
      <c r="Q534" t="n">
        <v>0</v>
      </c>
      <c r="R534" s="2" t="inlineStr"/>
    </row>
    <row r="535" ht="15" customHeight="1">
      <c r="A535" t="inlineStr">
        <is>
          <t>A 30086-2023</t>
        </is>
      </c>
      <c r="B535" s="1" t="n">
        <v>45110.43907407407</v>
      </c>
      <c r="C535" s="1" t="n">
        <v>45933</v>
      </c>
      <c r="D535" t="inlineStr">
        <is>
          <t>UPPSALA LÄN</t>
        </is>
      </c>
      <c r="E535" t="inlineStr">
        <is>
          <t>ÖSTHAMMAR</t>
        </is>
      </c>
      <c r="G535" t="n">
        <v>3.5</v>
      </c>
      <c r="H535" t="n">
        <v>0</v>
      </c>
      <c r="I535" t="n">
        <v>0</v>
      </c>
      <c r="J535" t="n">
        <v>0</v>
      </c>
      <c r="K535" t="n">
        <v>0</v>
      </c>
      <c r="L535" t="n">
        <v>0</v>
      </c>
      <c r="M535" t="n">
        <v>0</v>
      </c>
      <c r="N535" t="n">
        <v>0</v>
      </c>
      <c r="O535" t="n">
        <v>0</v>
      </c>
      <c r="P535" t="n">
        <v>0</v>
      </c>
      <c r="Q535" t="n">
        <v>0</v>
      </c>
      <c r="R535" s="2" t="inlineStr"/>
    </row>
    <row r="536" ht="15" customHeight="1">
      <c r="A536" t="inlineStr">
        <is>
          <t>A 60584-2021</t>
        </is>
      </c>
      <c r="B536" s="1" t="n">
        <v>44496</v>
      </c>
      <c r="C536" s="1" t="n">
        <v>45933</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11008-2023</t>
        </is>
      </c>
      <c r="B537" s="1" t="n">
        <v>44991</v>
      </c>
      <c r="C537" s="1" t="n">
        <v>45933</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13771-2023</t>
        </is>
      </c>
      <c r="B538" s="1" t="n">
        <v>45007</v>
      </c>
      <c r="C538" s="1" t="n">
        <v>45933</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17652-2025</t>
        </is>
      </c>
      <c r="B539" s="1" t="n">
        <v>45758.33583333333</v>
      </c>
      <c r="C539" s="1" t="n">
        <v>45933</v>
      </c>
      <c r="D539" t="inlineStr">
        <is>
          <t>UPPSALA LÄN</t>
        </is>
      </c>
      <c r="E539" t="inlineStr">
        <is>
          <t>ÖSTHAMMAR</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48719-2023</t>
        </is>
      </c>
      <c r="B540" s="1" t="n">
        <v>45208.70452546296</v>
      </c>
      <c r="C540" s="1" t="n">
        <v>45933</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33784-2024</t>
        </is>
      </c>
      <c r="B541" s="1" t="n">
        <v>45520</v>
      </c>
      <c r="C541" s="1" t="n">
        <v>45933</v>
      </c>
      <c r="D541" t="inlineStr">
        <is>
          <t>UPPSALA LÄN</t>
        </is>
      </c>
      <c r="E541" t="inlineStr">
        <is>
          <t>ÖSTHAMMAR</t>
        </is>
      </c>
      <c r="F541" t="inlineStr">
        <is>
          <t>Naturvårdsverket</t>
        </is>
      </c>
      <c r="G541" t="n">
        <v>0.6</v>
      </c>
      <c r="H541" t="n">
        <v>0</v>
      </c>
      <c r="I541" t="n">
        <v>0</v>
      </c>
      <c r="J541" t="n">
        <v>0</v>
      </c>
      <c r="K541" t="n">
        <v>0</v>
      </c>
      <c r="L541" t="n">
        <v>0</v>
      </c>
      <c r="M541" t="n">
        <v>0</v>
      </c>
      <c r="N541" t="n">
        <v>0</v>
      </c>
      <c r="O541" t="n">
        <v>0</v>
      </c>
      <c r="P541" t="n">
        <v>0</v>
      </c>
      <c r="Q541" t="n">
        <v>0</v>
      </c>
      <c r="R541" s="2" t="inlineStr"/>
    </row>
    <row r="542" ht="15" customHeight="1">
      <c r="A542" t="inlineStr">
        <is>
          <t>A 58324-2023</t>
        </is>
      </c>
      <c r="B542" s="1" t="n">
        <v>45250.58635416667</v>
      </c>
      <c r="C542" s="1" t="n">
        <v>45933</v>
      </c>
      <c r="D542" t="inlineStr">
        <is>
          <t>UPPSALA LÄN</t>
        </is>
      </c>
      <c r="E542" t="inlineStr">
        <is>
          <t>ÖSTHAMMAR</t>
        </is>
      </c>
      <c r="G542" t="n">
        <v>5.1</v>
      </c>
      <c r="H542" t="n">
        <v>0</v>
      </c>
      <c r="I542" t="n">
        <v>0</v>
      </c>
      <c r="J542" t="n">
        <v>0</v>
      </c>
      <c r="K542" t="n">
        <v>0</v>
      </c>
      <c r="L542" t="n">
        <v>0</v>
      </c>
      <c r="M542" t="n">
        <v>0</v>
      </c>
      <c r="N542" t="n">
        <v>0</v>
      </c>
      <c r="O542" t="n">
        <v>0</v>
      </c>
      <c r="P542" t="n">
        <v>0</v>
      </c>
      <c r="Q542" t="n">
        <v>0</v>
      </c>
      <c r="R542" s="2" t="inlineStr"/>
    </row>
    <row r="543" ht="15" customHeight="1">
      <c r="A543" t="inlineStr">
        <is>
          <t>A 33601-2024</t>
        </is>
      </c>
      <c r="B543" s="1" t="n">
        <v>45520</v>
      </c>
      <c r="C543" s="1" t="n">
        <v>45933</v>
      </c>
      <c r="D543" t="inlineStr">
        <is>
          <t>UPPSALA LÄN</t>
        </is>
      </c>
      <c r="E543" t="inlineStr">
        <is>
          <t>ÖSTHAMMAR</t>
        </is>
      </c>
      <c r="F543" t="inlineStr">
        <is>
          <t>Övriga Aktiebolag</t>
        </is>
      </c>
      <c r="G543" t="n">
        <v>2.5</v>
      </c>
      <c r="H543" t="n">
        <v>0</v>
      </c>
      <c r="I543" t="n">
        <v>0</v>
      </c>
      <c r="J543" t="n">
        <v>0</v>
      </c>
      <c r="K543" t="n">
        <v>0</v>
      </c>
      <c r="L543" t="n">
        <v>0</v>
      </c>
      <c r="M543" t="n">
        <v>0</v>
      </c>
      <c r="N543" t="n">
        <v>0</v>
      </c>
      <c r="O543" t="n">
        <v>0</v>
      </c>
      <c r="P543" t="n">
        <v>0</v>
      </c>
      <c r="Q543" t="n">
        <v>0</v>
      </c>
      <c r="R543" s="2" t="inlineStr"/>
    </row>
    <row r="544" ht="15" customHeight="1">
      <c r="A544" t="inlineStr">
        <is>
          <t>A 19009-2023</t>
        </is>
      </c>
      <c r="B544" s="1" t="n">
        <v>45045</v>
      </c>
      <c r="C544" s="1" t="n">
        <v>45933</v>
      </c>
      <c r="D544" t="inlineStr">
        <is>
          <t>UPPSALA LÄN</t>
        </is>
      </c>
      <c r="E544" t="inlineStr">
        <is>
          <t>ÖSTHAMMAR</t>
        </is>
      </c>
      <c r="F544" t="inlineStr">
        <is>
          <t>Bergvik skog öst AB</t>
        </is>
      </c>
      <c r="G544" t="n">
        <v>0.2</v>
      </c>
      <c r="H544" t="n">
        <v>0</v>
      </c>
      <c r="I544" t="n">
        <v>0</v>
      </c>
      <c r="J544" t="n">
        <v>0</v>
      </c>
      <c r="K544" t="n">
        <v>0</v>
      </c>
      <c r="L544" t="n">
        <v>0</v>
      </c>
      <c r="M544" t="n">
        <v>0</v>
      </c>
      <c r="N544" t="n">
        <v>0</v>
      </c>
      <c r="O544" t="n">
        <v>0</v>
      </c>
      <c r="P544" t="n">
        <v>0</v>
      </c>
      <c r="Q544" t="n">
        <v>0</v>
      </c>
      <c r="R544" s="2" t="inlineStr"/>
    </row>
    <row r="545" ht="15" customHeight="1">
      <c r="A545" t="inlineStr">
        <is>
          <t>A 69411-2021</t>
        </is>
      </c>
      <c r="B545" s="1" t="n">
        <v>44531.61038194445</v>
      </c>
      <c r="C545" s="1" t="n">
        <v>45933</v>
      </c>
      <c r="D545" t="inlineStr">
        <is>
          <t>UPPSALA LÄN</t>
        </is>
      </c>
      <c r="E545" t="inlineStr">
        <is>
          <t>ÖSTHAMMAR</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4151-2021</t>
        </is>
      </c>
      <c r="B546" s="1" t="n">
        <v>44221</v>
      </c>
      <c r="C546" s="1" t="n">
        <v>45933</v>
      </c>
      <c r="D546" t="inlineStr">
        <is>
          <t>UPPSALA LÄN</t>
        </is>
      </c>
      <c r="E546" t="inlineStr">
        <is>
          <t>ÖSTHAMMAR</t>
        </is>
      </c>
      <c r="G546" t="n">
        <v>2.9</v>
      </c>
      <c r="H546" t="n">
        <v>0</v>
      </c>
      <c r="I546" t="n">
        <v>0</v>
      </c>
      <c r="J546" t="n">
        <v>0</v>
      </c>
      <c r="K546" t="n">
        <v>0</v>
      </c>
      <c r="L546" t="n">
        <v>0</v>
      </c>
      <c r="M546" t="n">
        <v>0</v>
      </c>
      <c r="N546" t="n">
        <v>0</v>
      </c>
      <c r="O546" t="n">
        <v>0</v>
      </c>
      <c r="P546" t="n">
        <v>0</v>
      </c>
      <c r="Q546" t="n">
        <v>0</v>
      </c>
      <c r="R546" s="2" t="inlineStr"/>
    </row>
    <row r="547" ht="15" customHeight="1">
      <c r="A547" t="inlineStr">
        <is>
          <t>A 49831-2023</t>
        </is>
      </c>
      <c r="B547" s="1" t="n">
        <v>45212.71241898148</v>
      </c>
      <c r="C547" s="1" t="n">
        <v>45933</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49899-2023</t>
        </is>
      </c>
      <c r="B548" s="1" t="n">
        <v>45213</v>
      </c>
      <c r="C548" s="1" t="n">
        <v>45933</v>
      </c>
      <c r="D548" t="inlineStr">
        <is>
          <t>UPPSALA LÄN</t>
        </is>
      </c>
      <c r="E548" t="inlineStr">
        <is>
          <t>ÖSTHAMMAR</t>
        </is>
      </c>
      <c r="G548" t="n">
        <v>6.2</v>
      </c>
      <c r="H548" t="n">
        <v>0</v>
      </c>
      <c r="I548" t="n">
        <v>0</v>
      </c>
      <c r="J548" t="n">
        <v>0</v>
      </c>
      <c r="K548" t="n">
        <v>0</v>
      </c>
      <c r="L548" t="n">
        <v>0</v>
      </c>
      <c r="M548" t="n">
        <v>0</v>
      </c>
      <c r="N548" t="n">
        <v>0</v>
      </c>
      <c r="O548" t="n">
        <v>0</v>
      </c>
      <c r="P548" t="n">
        <v>0</v>
      </c>
      <c r="Q548" t="n">
        <v>0</v>
      </c>
      <c r="R548" s="2" t="inlineStr"/>
    </row>
    <row r="549" ht="15" customHeight="1">
      <c r="A549" t="inlineStr">
        <is>
          <t>A 30755-2024</t>
        </is>
      </c>
      <c r="B549" s="1" t="n">
        <v>45496</v>
      </c>
      <c r="C549" s="1" t="n">
        <v>45933</v>
      </c>
      <c r="D549" t="inlineStr">
        <is>
          <t>UPPSALA LÄN</t>
        </is>
      </c>
      <c r="E549" t="inlineStr">
        <is>
          <t>ÖSTHAMMAR</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9052-2023</t>
        </is>
      </c>
      <c r="B550" s="1" t="n">
        <v>44979</v>
      </c>
      <c r="C550" s="1" t="n">
        <v>45933</v>
      </c>
      <c r="D550" t="inlineStr">
        <is>
          <t>UPPSALA LÄN</t>
        </is>
      </c>
      <c r="E550" t="inlineStr">
        <is>
          <t>ÖSTHAMMAR</t>
        </is>
      </c>
      <c r="F550" t="inlineStr">
        <is>
          <t>Kyrkan</t>
        </is>
      </c>
      <c r="G550" t="n">
        <v>0.2</v>
      </c>
      <c r="H550" t="n">
        <v>0</v>
      </c>
      <c r="I550" t="n">
        <v>0</v>
      </c>
      <c r="J550" t="n">
        <v>0</v>
      </c>
      <c r="K550" t="n">
        <v>0</v>
      </c>
      <c r="L550" t="n">
        <v>0</v>
      </c>
      <c r="M550" t="n">
        <v>0</v>
      </c>
      <c r="N550" t="n">
        <v>0</v>
      </c>
      <c r="O550" t="n">
        <v>0</v>
      </c>
      <c r="P550" t="n">
        <v>0</v>
      </c>
      <c r="Q550" t="n">
        <v>0</v>
      </c>
      <c r="R550" s="2" t="inlineStr"/>
    </row>
    <row r="551" ht="15" customHeight="1">
      <c r="A551" t="inlineStr">
        <is>
          <t>A 17939-2025</t>
        </is>
      </c>
      <c r="B551" s="1" t="n">
        <v>45760.55671296296</v>
      </c>
      <c r="C551" s="1" t="n">
        <v>45933</v>
      </c>
      <c r="D551" t="inlineStr">
        <is>
          <t>UPPSALA LÄN</t>
        </is>
      </c>
      <c r="E551" t="inlineStr">
        <is>
          <t>ÖSTHAMMAR</t>
        </is>
      </c>
      <c r="F551" t="inlineStr">
        <is>
          <t>Bergvik skog öst AB</t>
        </is>
      </c>
      <c r="G551" t="n">
        <v>5.4</v>
      </c>
      <c r="H551" t="n">
        <v>0</v>
      </c>
      <c r="I551" t="n">
        <v>0</v>
      </c>
      <c r="J551" t="n">
        <v>0</v>
      </c>
      <c r="K551" t="n">
        <v>0</v>
      </c>
      <c r="L551" t="n">
        <v>0</v>
      </c>
      <c r="M551" t="n">
        <v>0</v>
      </c>
      <c r="N551" t="n">
        <v>0</v>
      </c>
      <c r="O551" t="n">
        <v>0</v>
      </c>
      <c r="P551" t="n">
        <v>0</v>
      </c>
      <c r="Q551" t="n">
        <v>0</v>
      </c>
      <c r="R551" s="2" t="inlineStr"/>
    </row>
    <row r="552" ht="15" customHeight="1">
      <c r="A552" t="inlineStr">
        <is>
          <t>A 17940-2025</t>
        </is>
      </c>
      <c r="B552" s="1" t="n">
        <v>45760.55842592593</v>
      </c>
      <c r="C552" s="1" t="n">
        <v>45933</v>
      </c>
      <c r="D552" t="inlineStr">
        <is>
          <t>UPPSALA LÄN</t>
        </is>
      </c>
      <c r="E552" t="inlineStr">
        <is>
          <t>ÖSTHAMMAR</t>
        </is>
      </c>
      <c r="F552" t="inlineStr">
        <is>
          <t>Bergvik skog öst AB</t>
        </is>
      </c>
      <c r="G552" t="n">
        <v>5.6</v>
      </c>
      <c r="H552" t="n">
        <v>0</v>
      </c>
      <c r="I552" t="n">
        <v>0</v>
      </c>
      <c r="J552" t="n">
        <v>0</v>
      </c>
      <c r="K552" t="n">
        <v>0</v>
      </c>
      <c r="L552" t="n">
        <v>0</v>
      </c>
      <c r="M552" t="n">
        <v>0</v>
      </c>
      <c r="N552" t="n">
        <v>0</v>
      </c>
      <c r="O552" t="n">
        <v>0</v>
      </c>
      <c r="P552" t="n">
        <v>0</v>
      </c>
      <c r="Q552" t="n">
        <v>0</v>
      </c>
      <c r="R552" s="2" t="inlineStr"/>
    </row>
    <row r="553" ht="15" customHeight="1">
      <c r="A553" t="inlineStr">
        <is>
          <t>A 5855-2022</t>
        </is>
      </c>
      <c r="B553" s="1" t="n">
        <v>44596.63290509259</v>
      </c>
      <c r="C553" s="1" t="n">
        <v>45933</v>
      </c>
      <c r="D553" t="inlineStr">
        <is>
          <t>UPPSALA LÄN</t>
        </is>
      </c>
      <c r="E553" t="inlineStr">
        <is>
          <t>ÖSTHAMMAR</t>
        </is>
      </c>
      <c r="G553" t="n">
        <v>0.9</v>
      </c>
      <c r="H553" t="n">
        <v>0</v>
      </c>
      <c r="I553" t="n">
        <v>0</v>
      </c>
      <c r="J553" t="n">
        <v>0</v>
      </c>
      <c r="K553" t="n">
        <v>0</v>
      </c>
      <c r="L553" t="n">
        <v>0</v>
      </c>
      <c r="M553" t="n">
        <v>0</v>
      </c>
      <c r="N553" t="n">
        <v>0</v>
      </c>
      <c r="O553" t="n">
        <v>0</v>
      </c>
      <c r="P553" t="n">
        <v>0</v>
      </c>
      <c r="Q553" t="n">
        <v>0</v>
      </c>
      <c r="R553" s="2" t="inlineStr"/>
    </row>
    <row r="554" ht="15" customHeight="1">
      <c r="A554" t="inlineStr">
        <is>
          <t>A 33760-2024</t>
        </is>
      </c>
      <c r="B554" s="1" t="n">
        <v>45520</v>
      </c>
      <c r="C554" s="1" t="n">
        <v>45933</v>
      </c>
      <c r="D554" t="inlineStr">
        <is>
          <t>UPPSALA LÄN</t>
        </is>
      </c>
      <c r="E554" t="inlineStr">
        <is>
          <t>ÖSTHAMMAR</t>
        </is>
      </c>
      <c r="F554" t="inlineStr">
        <is>
          <t>Övriga Aktiebolag</t>
        </is>
      </c>
      <c r="G554" t="n">
        <v>0.7</v>
      </c>
      <c r="H554" t="n">
        <v>0</v>
      </c>
      <c r="I554" t="n">
        <v>0</v>
      </c>
      <c r="J554" t="n">
        <v>0</v>
      </c>
      <c r="K554" t="n">
        <v>0</v>
      </c>
      <c r="L554" t="n">
        <v>0</v>
      </c>
      <c r="M554" t="n">
        <v>0</v>
      </c>
      <c r="N554" t="n">
        <v>0</v>
      </c>
      <c r="O554" t="n">
        <v>0</v>
      </c>
      <c r="P554" t="n">
        <v>0</v>
      </c>
      <c r="Q554" t="n">
        <v>0</v>
      </c>
      <c r="R554" s="2" t="inlineStr"/>
    </row>
    <row r="555" ht="15" customHeight="1">
      <c r="A555" t="inlineStr">
        <is>
          <t>A 54366-2023</t>
        </is>
      </c>
      <c r="B555" s="1" t="n">
        <v>45233</v>
      </c>
      <c r="C555" s="1" t="n">
        <v>45933</v>
      </c>
      <c r="D555" t="inlineStr">
        <is>
          <t>UPPSALA LÄN</t>
        </is>
      </c>
      <c r="E555" t="inlineStr">
        <is>
          <t>ÖSTHAMMAR</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3725-2022</t>
        </is>
      </c>
      <c r="B556" s="1" t="n">
        <v>44586</v>
      </c>
      <c r="C556" s="1" t="n">
        <v>45933</v>
      </c>
      <c r="D556" t="inlineStr">
        <is>
          <t>UPPSALA LÄN</t>
        </is>
      </c>
      <c r="E556" t="inlineStr">
        <is>
          <t>ÖSTHAMMAR</t>
        </is>
      </c>
      <c r="G556" t="n">
        <v>2</v>
      </c>
      <c r="H556" t="n">
        <v>0</v>
      </c>
      <c r="I556" t="n">
        <v>0</v>
      </c>
      <c r="J556" t="n">
        <v>0</v>
      </c>
      <c r="K556" t="n">
        <v>0</v>
      </c>
      <c r="L556" t="n">
        <v>0</v>
      </c>
      <c r="M556" t="n">
        <v>0</v>
      </c>
      <c r="N556" t="n">
        <v>0</v>
      </c>
      <c r="O556" t="n">
        <v>0</v>
      </c>
      <c r="P556" t="n">
        <v>0</v>
      </c>
      <c r="Q556" t="n">
        <v>0</v>
      </c>
      <c r="R556" s="2" t="inlineStr"/>
    </row>
    <row r="557" ht="15" customHeight="1">
      <c r="A557" t="inlineStr">
        <is>
          <t>A 8006-2023</t>
        </is>
      </c>
      <c r="B557" s="1" t="n">
        <v>44973</v>
      </c>
      <c r="C557" s="1" t="n">
        <v>45933</v>
      </c>
      <c r="D557" t="inlineStr">
        <is>
          <t>UPPSALA LÄN</t>
        </is>
      </c>
      <c r="E557" t="inlineStr">
        <is>
          <t>ÖSTHAMMAR</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17643-2025</t>
        </is>
      </c>
      <c r="B558" s="1" t="n">
        <v>45758.32454861111</v>
      </c>
      <c r="C558" s="1" t="n">
        <v>45933</v>
      </c>
      <c r="D558" t="inlineStr">
        <is>
          <t>UPPSALA LÄN</t>
        </is>
      </c>
      <c r="E558" t="inlineStr">
        <is>
          <t>ÖSTHAMMAR</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11469-2023</t>
        </is>
      </c>
      <c r="B559" s="1" t="n">
        <v>44993.60099537037</v>
      </c>
      <c r="C559" s="1" t="n">
        <v>45933</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13248-2025</t>
        </is>
      </c>
      <c r="B560" s="1" t="n">
        <v>45735</v>
      </c>
      <c r="C560" s="1" t="n">
        <v>45933</v>
      </c>
      <c r="D560" t="inlineStr">
        <is>
          <t>UPPSALA LÄN</t>
        </is>
      </c>
      <c r="E560" t="inlineStr">
        <is>
          <t>ÖSTHAMMAR</t>
        </is>
      </c>
      <c r="F560" t="inlineStr">
        <is>
          <t>Kyrkan</t>
        </is>
      </c>
      <c r="G560" t="n">
        <v>12.2</v>
      </c>
      <c r="H560" t="n">
        <v>0</v>
      </c>
      <c r="I560" t="n">
        <v>0</v>
      </c>
      <c r="J560" t="n">
        <v>0</v>
      </c>
      <c r="K560" t="n">
        <v>0</v>
      </c>
      <c r="L560" t="n">
        <v>0</v>
      </c>
      <c r="M560" t="n">
        <v>0</v>
      </c>
      <c r="N560" t="n">
        <v>0</v>
      </c>
      <c r="O560" t="n">
        <v>0</v>
      </c>
      <c r="P560" t="n">
        <v>0</v>
      </c>
      <c r="Q560" t="n">
        <v>0</v>
      </c>
      <c r="R560" s="2" t="inlineStr"/>
    </row>
    <row r="561" ht="15" customHeight="1">
      <c r="A561" t="inlineStr">
        <is>
          <t>A 51364-2021</t>
        </is>
      </c>
      <c r="B561" s="1" t="n">
        <v>44461</v>
      </c>
      <c r="C561" s="1" t="n">
        <v>45933</v>
      </c>
      <c r="D561" t="inlineStr">
        <is>
          <t>UPPSALA LÄN</t>
        </is>
      </c>
      <c r="E561" t="inlineStr">
        <is>
          <t>ÖSTHAMMAR</t>
        </is>
      </c>
      <c r="G561" t="n">
        <v>2.4</v>
      </c>
      <c r="H561" t="n">
        <v>0</v>
      </c>
      <c r="I561" t="n">
        <v>0</v>
      </c>
      <c r="J561" t="n">
        <v>0</v>
      </c>
      <c r="K561" t="n">
        <v>0</v>
      </c>
      <c r="L561" t="n">
        <v>0</v>
      </c>
      <c r="M561" t="n">
        <v>0</v>
      </c>
      <c r="N561" t="n">
        <v>0</v>
      </c>
      <c r="O561" t="n">
        <v>0</v>
      </c>
      <c r="P561" t="n">
        <v>0</v>
      </c>
      <c r="Q561" t="n">
        <v>0</v>
      </c>
      <c r="R561" s="2" t="inlineStr"/>
    </row>
    <row r="562" ht="15" customHeight="1">
      <c r="A562" t="inlineStr">
        <is>
          <t>A 20324-2021</t>
        </is>
      </c>
      <c r="B562" s="1" t="n">
        <v>44308</v>
      </c>
      <c r="C562" s="1" t="n">
        <v>45933</v>
      </c>
      <c r="D562" t="inlineStr">
        <is>
          <t>UPPSALA LÄN</t>
        </is>
      </c>
      <c r="E562" t="inlineStr">
        <is>
          <t>ÖSTHAMMAR</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25033-2021</t>
        </is>
      </c>
      <c r="B563" s="1" t="n">
        <v>44341.590625</v>
      </c>
      <c r="C563" s="1" t="n">
        <v>45933</v>
      </c>
      <c r="D563" t="inlineStr">
        <is>
          <t>UPPSALA LÄN</t>
        </is>
      </c>
      <c r="E563" t="inlineStr">
        <is>
          <t>ÖSTHAMMAR</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16212-2021</t>
        </is>
      </c>
      <c r="B564" s="1" t="n">
        <v>44287</v>
      </c>
      <c r="C564" s="1" t="n">
        <v>45933</v>
      </c>
      <c r="D564" t="inlineStr">
        <is>
          <t>UPPSALA LÄN</t>
        </is>
      </c>
      <c r="E564" t="inlineStr">
        <is>
          <t>ÖSTHAMMAR</t>
        </is>
      </c>
      <c r="G564" t="n">
        <v>1.6</v>
      </c>
      <c r="H564" t="n">
        <v>0</v>
      </c>
      <c r="I564" t="n">
        <v>0</v>
      </c>
      <c r="J564" t="n">
        <v>0</v>
      </c>
      <c r="K564" t="n">
        <v>0</v>
      </c>
      <c r="L564" t="n">
        <v>0</v>
      </c>
      <c r="M564" t="n">
        <v>0</v>
      </c>
      <c r="N564" t="n">
        <v>0</v>
      </c>
      <c r="O564" t="n">
        <v>0</v>
      </c>
      <c r="P564" t="n">
        <v>0</v>
      </c>
      <c r="Q564" t="n">
        <v>0</v>
      </c>
      <c r="R564" s="2" t="inlineStr"/>
    </row>
    <row r="565" ht="15" customHeight="1">
      <c r="A565" t="inlineStr">
        <is>
          <t>A 61062-2023</t>
        </is>
      </c>
      <c r="B565" s="1" t="n">
        <v>45259</v>
      </c>
      <c r="C565" s="1" t="n">
        <v>45933</v>
      </c>
      <c r="D565" t="inlineStr">
        <is>
          <t>UPPSALA LÄN</t>
        </is>
      </c>
      <c r="E565" t="inlineStr">
        <is>
          <t>ÖSTHAMMAR</t>
        </is>
      </c>
      <c r="G565" t="n">
        <v>5.3</v>
      </c>
      <c r="H565" t="n">
        <v>0</v>
      </c>
      <c r="I565" t="n">
        <v>0</v>
      </c>
      <c r="J565" t="n">
        <v>0</v>
      </c>
      <c r="K565" t="n">
        <v>0</v>
      </c>
      <c r="L565" t="n">
        <v>0</v>
      </c>
      <c r="M565" t="n">
        <v>0</v>
      </c>
      <c r="N565" t="n">
        <v>0</v>
      </c>
      <c r="O565" t="n">
        <v>0</v>
      </c>
      <c r="P565" t="n">
        <v>0</v>
      </c>
      <c r="Q565" t="n">
        <v>0</v>
      </c>
      <c r="R565" s="2" t="inlineStr"/>
    </row>
    <row r="566" ht="15" customHeight="1">
      <c r="A566" t="inlineStr">
        <is>
          <t>A 63577-2020</t>
        </is>
      </c>
      <c r="B566" s="1" t="n">
        <v>44165</v>
      </c>
      <c r="C566" s="1" t="n">
        <v>45933</v>
      </c>
      <c r="D566" t="inlineStr">
        <is>
          <t>UPPSALA LÄN</t>
        </is>
      </c>
      <c r="E566" t="inlineStr">
        <is>
          <t>ÖSTHAMMAR</t>
        </is>
      </c>
      <c r="G566" t="n">
        <v>0.9</v>
      </c>
      <c r="H566" t="n">
        <v>0</v>
      </c>
      <c r="I566" t="n">
        <v>0</v>
      </c>
      <c r="J566" t="n">
        <v>0</v>
      </c>
      <c r="K566" t="n">
        <v>0</v>
      </c>
      <c r="L566" t="n">
        <v>0</v>
      </c>
      <c r="M566" t="n">
        <v>0</v>
      </c>
      <c r="N566" t="n">
        <v>0</v>
      </c>
      <c r="O566" t="n">
        <v>0</v>
      </c>
      <c r="P566" t="n">
        <v>0</v>
      </c>
      <c r="Q566" t="n">
        <v>0</v>
      </c>
      <c r="R566" s="2" t="inlineStr"/>
    </row>
    <row r="567" ht="15" customHeight="1">
      <c r="A567" t="inlineStr">
        <is>
          <t>A 18113-2023</t>
        </is>
      </c>
      <c r="B567" s="1" t="n">
        <v>45040</v>
      </c>
      <c r="C567" s="1" t="n">
        <v>45933</v>
      </c>
      <c r="D567" t="inlineStr">
        <is>
          <t>UPPSALA LÄN</t>
        </is>
      </c>
      <c r="E567" t="inlineStr">
        <is>
          <t>ÖSTHAMMAR</t>
        </is>
      </c>
      <c r="G567" t="n">
        <v>2.1</v>
      </c>
      <c r="H567" t="n">
        <v>0</v>
      </c>
      <c r="I567" t="n">
        <v>0</v>
      </c>
      <c r="J567" t="n">
        <v>0</v>
      </c>
      <c r="K567" t="n">
        <v>0</v>
      </c>
      <c r="L567" t="n">
        <v>0</v>
      </c>
      <c r="M567" t="n">
        <v>0</v>
      </c>
      <c r="N567" t="n">
        <v>0</v>
      </c>
      <c r="O567" t="n">
        <v>0</v>
      </c>
      <c r="P567" t="n">
        <v>0</v>
      </c>
      <c r="Q567" t="n">
        <v>0</v>
      </c>
      <c r="R567" s="2" t="inlineStr"/>
    </row>
    <row r="568" ht="15" customHeight="1">
      <c r="A568" t="inlineStr">
        <is>
          <t>A 61443-2024</t>
        </is>
      </c>
      <c r="B568" s="1" t="n">
        <v>45646.47936342593</v>
      </c>
      <c r="C568" s="1" t="n">
        <v>45933</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23120-2021</t>
        </is>
      </c>
      <c r="B569" s="1" t="n">
        <v>44330</v>
      </c>
      <c r="C569" s="1" t="n">
        <v>45933</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44874.38325231482</v>
      </c>
      <c r="C570" s="1" t="n">
        <v>45933</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26612-2023</t>
        </is>
      </c>
      <c r="B571" s="1" t="n">
        <v>45089</v>
      </c>
      <c r="C571" s="1" t="n">
        <v>45933</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65361-2020</t>
        </is>
      </c>
      <c r="B572" s="1" t="n">
        <v>44173</v>
      </c>
      <c r="C572" s="1" t="n">
        <v>45933</v>
      </c>
      <c r="D572" t="inlineStr">
        <is>
          <t>UPPSALA LÄN</t>
        </is>
      </c>
      <c r="E572" t="inlineStr">
        <is>
          <t>ÖSTHAMMAR</t>
        </is>
      </c>
      <c r="G572" t="n">
        <v>3.6</v>
      </c>
      <c r="H572" t="n">
        <v>0</v>
      </c>
      <c r="I572" t="n">
        <v>0</v>
      </c>
      <c r="J572" t="n">
        <v>0</v>
      </c>
      <c r="K572" t="n">
        <v>0</v>
      </c>
      <c r="L572" t="n">
        <v>0</v>
      </c>
      <c r="M572" t="n">
        <v>0</v>
      </c>
      <c r="N572" t="n">
        <v>0</v>
      </c>
      <c r="O572" t="n">
        <v>0</v>
      </c>
      <c r="P572" t="n">
        <v>0</v>
      </c>
      <c r="Q572" t="n">
        <v>0</v>
      </c>
      <c r="R572" s="2" t="inlineStr"/>
    </row>
    <row r="573" ht="15" customHeight="1">
      <c r="A573" t="inlineStr">
        <is>
          <t>A 14269-2025</t>
        </is>
      </c>
      <c r="B573" s="1" t="n">
        <v>45740.64078703704</v>
      </c>
      <c r="C573" s="1" t="n">
        <v>45933</v>
      </c>
      <c r="D573" t="inlineStr">
        <is>
          <t>UPPSALA LÄN</t>
        </is>
      </c>
      <c r="E573" t="inlineStr">
        <is>
          <t>ÖSTHAMMAR</t>
        </is>
      </c>
      <c r="G573" t="n">
        <v>1.5</v>
      </c>
      <c r="H573" t="n">
        <v>0</v>
      </c>
      <c r="I573" t="n">
        <v>0</v>
      </c>
      <c r="J573" t="n">
        <v>0</v>
      </c>
      <c r="K573" t="n">
        <v>0</v>
      </c>
      <c r="L573" t="n">
        <v>0</v>
      </c>
      <c r="M573" t="n">
        <v>0</v>
      </c>
      <c r="N573" t="n">
        <v>0</v>
      </c>
      <c r="O573" t="n">
        <v>0</v>
      </c>
      <c r="P573" t="n">
        <v>0</v>
      </c>
      <c r="Q573" t="n">
        <v>0</v>
      </c>
      <c r="R573" s="2" t="inlineStr"/>
    </row>
    <row r="574" ht="15" customHeight="1">
      <c r="A574" t="inlineStr">
        <is>
          <t>A 1238-2022</t>
        </is>
      </c>
      <c r="B574" s="1" t="n">
        <v>44572.5827662037</v>
      </c>
      <c r="C574" s="1" t="n">
        <v>45933</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18088-2025</t>
        </is>
      </c>
      <c r="B575" s="1" t="n">
        <v>45761.53104166667</v>
      </c>
      <c r="C575" s="1" t="n">
        <v>45933</v>
      </c>
      <c r="D575" t="inlineStr">
        <is>
          <t>UPPSALA LÄN</t>
        </is>
      </c>
      <c r="E575" t="inlineStr">
        <is>
          <t>ÖSTHAMMAR</t>
        </is>
      </c>
      <c r="F575" t="inlineStr">
        <is>
          <t>Bergvik skog öst AB</t>
        </is>
      </c>
      <c r="G575" t="n">
        <v>1.9</v>
      </c>
      <c r="H575" t="n">
        <v>0</v>
      </c>
      <c r="I575" t="n">
        <v>0</v>
      </c>
      <c r="J575" t="n">
        <v>0</v>
      </c>
      <c r="K575" t="n">
        <v>0</v>
      </c>
      <c r="L575" t="n">
        <v>0</v>
      </c>
      <c r="M575" t="n">
        <v>0</v>
      </c>
      <c r="N575" t="n">
        <v>0</v>
      </c>
      <c r="O575" t="n">
        <v>0</v>
      </c>
      <c r="P575" t="n">
        <v>0</v>
      </c>
      <c r="Q575" t="n">
        <v>0</v>
      </c>
      <c r="R575" s="2" t="inlineStr"/>
    </row>
    <row r="576" ht="15" customHeight="1">
      <c r="A576" t="inlineStr">
        <is>
          <t>A 18095-2025</t>
        </is>
      </c>
      <c r="B576" s="1" t="n">
        <v>45761.54925925926</v>
      </c>
      <c r="C576" s="1" t="n">
        <v>45933</v>
      </c>
      <c r="D576" t="inlineStr">
        <is>
          <t>UPPSALA LÄN</t>
        </is>
      </c>
      <c r="E576" t="inlineStr">
        <is>
          <t>ÖSTHAMMAR</t>
        </is>
      </c>
      <c r="F576" t="inlineStr">
        <is>
          <t>Bergvik skog öst AB</t>
        </is>
      </c>
      <c r="G576" t="n">
        <v>1.4</v>
      </c>
      <c r="H576" t="n">
        <v>0</v>
      </c>
      <c r="I576" t="n">
        <v>0</v>
      </c>
      <c r="J576" t="n">
        <v>0</v>
      </c>
      <c r="K576" t="n">
        <v>0</v>
      </c>
      <c r="L576" t="n">
        <v>0</v>
      </c>
      <c r="M576" t="n">
        <v>0</v>
      </c>
      <c r="N576" t="n">
        <v>0</v>
      </c>
      <c r="O576" t="n">
        <v>0</v>
      </c>
      <c r="P576" t="n">
        <v>0</v>
      </c>
      <c r="Q576" t="n">
        <v>0</v>
      </c>
      <c r="R576" s="2" t="inlineStr"/>
    </row>
    <row r="577" ht="15" customHeight="1">
      <c r="A577" t="inlineStr">
        <is>
          <t>A 16531-2025</t>
        </is>
      </c>
      <c r="B577" s="1" t="n">
        <v>45751</v>
      </c>
      <c r="C577" s="1" t="n">
        <v>45933</v>
      </c>
      <c r="D577" t="inlineStr">
        <is>
          <t>UPPSALA LÄN</t>
        </is>
      </c>
      <c r="E577" t="inlineStr">
        <is>
          <t>ÖSTHAMMAR</t>
        </is>
      </c>
      <c r="G577" t="n">
        <v>3.3</v>
      </c>
      <c r="H577" t="n">
        <v>0</v>
      </c>
      <c r="I577" t="n">
        <v>0</v>
      </c>
      <c r="J577" t="n">
        <v>0</v>
      </c>
      <c r="K577" t="n">
        <v>0</v>
      </c>
      <c r="L577" t="n">
        <v>0</v>
      </c>
      <c r="M577" t="n">
        <v>0</v>
      </c>
      <c r="N577" t="n">
        <v>0</v>
      </c>
      <c r="O577" t="n">
        <v>0</v>
      </c>
      <c r="P577" t="n">
        <v>0</v>
      </c>
      <c r="Q577" t="n">
        <v>0</v>
      </c>
      <c r="R577" s="2" t="inlineStr"/>
    </row>
    <row r="578" ht="15" customHeight="1">
      <c r="A578" t="inlineStr">
        <is>
          <t>A 25897-2023</t>
        </is>
      </c>
      <c r="B578" s="1" t="n">
        <v>45090.63300925926</v>
      </c>
      <c r="C578" s="1" t="n">
        <v>45933</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20046-2023</t>
        </is>
      </c>
      <c r="B579" s="1" t="n">
        <v>45054</v>
      </c>
      <c r="C579" s="1" t="n">
        <v>45933</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41478-2024</t>
        </is>
      </c>
      <c r="B580" s="1" t="n">
        <v>45560.44158564815</v>
      </c>
      <c r="C580" s="1" t="n">
        <v>45933</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3327-2023</t>
        </is>
      </c>
      <c r="B581" s="1" t="n">
        <v>44949.4377662037</v>
      </c>
      <c r="C581" s="1" t="n">
        <v>45933</v>
      </c>
      <c r="D581" t="inlineStr">
        <is>
          <t>UPPSALA LÄN</t>
        </is>
      </c>
      <c r="E581" t="inlineStr">
        <is>
          <t>ÖSTHAMMAR</t>
        </is>
      </c>
      <c r="G581" t="n">
        <v>1.1</v>
      </c>
      <c r="H581" t="n">
        <v>0</v>
      </c>
      <c r="I581" t="n">
        <v>0</v>
      </c>
      <c r="J581" t="n">
        <v>0</v>
      </c>
      <c r="K581" t="n">
        <v>0</v>
      </c>
      <c r="L581" t="n">
        <v>0</v>
      </c>
      <c r="M581" t="n">
        <v>0</v>
      </c>
      <c r="N581" t="n">
        <v>0</v>
      </c>
      <c r="O581" t="n">
        <v>0</v>
      </c>
      <c r="P581" t="n">
        <v>0</v>
      </c>
      <c r="Q581" t="n">
        <v>0</v>
      </c>
      <c r="R581" s="2" t="inlineStr"/>
    </row>
    <row r="582" ht="15" customHeight="1">
      <c r="A582" t="inlineStr">
        <is>
          <t>A 4233-2023</t>
        </is>
      </c>
      <c r="B582" s="1" t="n">
        <v>44953.48619212963</v>
      </c>
      <c r="C582" s="1" t="n">
        <v>45933</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30811-2023</t>
        </is>
      </c>
      <c r="B583" s="1" t="n">
        <v>45112.86422453704</v>
      </c>
      <c r="C583" s="1" t="n">
        <v>45933</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3638-2022</t>
        </is>
      </c>
      <c r="B584" s="1" t="n">
        <v>44578</v>
      </c>
      <c r="C584" s="1" t="n">
        <v>45933</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8708-2022</t>
        </is>
      </c>
      <c r="B585" s="1" t="n">
        <v>44613.77238425926</v>
      </c>
      <c r="C585" s="1" t="n">
        <v>45933</v>
      </c>
      <c r="D585" t="inlineStr">
        <is>
          <t>UPPSALA LÄN</t>
        </is>
      </c>
      <c r="E585" t="inlineStr">
        <is>
          <t>ÖSTHAMMAR</t>
        </is>
      </c>
      <c r="G585" t="n">
        <v>4.3</v>
      </c>
      <c r="H585" t="n">
        <v>0</v>
      </c>
      <c r="I585" t="n">
        <v>0</v>
      </c>
      <c r="J585" t="n">
        <v>0</v>
      </c>
      <c r="K585" t="n">
        <v>0</v>
      </c>
      <c r="L585" t="n">
        <v>0</v>
      </c>
      <c r="M585" t="n">
        <v>0</v>
      </c>
      <c r="N585" t="n">
        <v>0</v>
      </c>
      <c r="O585" t="n">
        <v>0</v>
      </c>
      <c r="P585" t="n">
        <v>0</v>
      </c>
      <c r="Q585" t="n">
        <v>0</v>
      </c>
      <c r="R585" s="2" t="inlineStr"/>
    </row>
    <row r="586" ht="15" customHeight="1">
      <c r="A586" t="inlineStr">
        <is>
          <t>A 11547-2022</t>
        </is>
      </c>
      <c r="B586" s="1" t="n">
        <v>44631.43116898148</v>
      </c>
      <c r="C586" s="1" t="n">
        <v>45933</v>
      </c>
      <c r="D586" t="inlineStr">
        <is>
          <t>UPPSALA LÄN</t>
        </is>
      </c>
      <c r="E586" t="inlineStr">
        <is>
          <t>ÖSTHAMMAR</t>
        </is>
      </c>
      <c r="G586" t="n">
        <v>4.4</v>
      </c>
      <c r="H586" t="n">
        <v>0</v>
      </c>
      <c r="I586" t="n">
        <v>0</v>
      </c>
      <c r="J586" t="n">
        <v>0</v>
      </c>
      <c r="K586" t="n">
        <v>0</v>
      </c>
      <c r="L586" t="n">
        <v>0</v>
      </c>
      <c r="M586" t="n">
        <v>0</v>
      </c>
      <c r="N586" t="n">
        <v>0</v>
      </c>
      <c r="O586" t="n">
        <v>0</v>
      </c>
      <c r="P586" t="n">
        <v>0</v>
      </c>
      <c r="Q586" t="n">
        <v>0</v>
      </c>
      <c r="R586" s="2" t="inlineStr"/>
    </row>
    <row r="587" ht="15" customHeight="1">
      <c r="A587" t="inlineStr">
        <is>
          <t>A 17969-2023</t>
        </is>
      </c>
      <c r="B587" s="1" t="n">
        <v>45040.47081018519</v>
      </c>
      <c r="C587" s="1" t="n">
        <v>45933</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58878-2022</t>
        </is>
      </c>
      <c r="B588" s="1" t="n">
        <v>44903</v>
      </c>
      <c r="C588" s="1" t="n">
        <v>45933</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25269-2024</t>
        </is>
      </c>
      <c r="B589" s="1" t="n">
        <v>45462</v>
      </c>
      <c r="C589" s="1" t="n">
        <v>45933</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12528-2024</t>
        </is>
      </c>
      <c r="B590" s="1" t="n">
        <v>45379.61878472222</v>
      </c>
      <c r="C590" s="1" t="n">
        <v>45933</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59382-2022</t>
        </is>
      </c>
      <c r="B591" s="1" t="n">
        <v>44905.50363425926</v>
      </c>
      <c r="C591" s="1" t="n">
        <v>45933</v>
      </c>
      <c r="D591" t="inlineStr">
        <is>
          <t>UPPSALA LÄN</t>
        </is>
      </c>
      <c r="E591" t="inlineStr">
        <is>
          <t>ÖSTHAMMAR</t>
        </is>
      </c>
      <c r="G591" t="n">
        <v>2.9</v>
      </c>
      <c r="H591" t="n">
        <v>0</v>
      </c>
      <c r="I591" t="n">
        <v>0</v>
      </c>
      <c r="J591" t="n">
        <v>0</v>
      </c>
      <c r="K591" t="n">
        <v>0</v>
      </c>
      <c r="L591" t="n">
        <v>0</v>
      </c>
      <c r="M591" t="n">
        <v>0</v>
      </c>
      <c r="N591" t="n">
        <v>0</v>
      </c>
      <c r="O591" t="n">
        <v>0</v>
      </c>
      <c r="P591" t="n">
        <v>0</v>
      </c>
      <c r="Q591" t="n">
        <v>0</v>
      </c>
      <c r="R591" s="2" t="inlineStr"/>
    </row>
    <row r="592" ht="15" customHeight="1">
      <c r="A592" t="inlineStr">
        <is>
          <t>A 25969-2023</t>
        </is>
      </c>
      <c r="B592" s="1" t="n">
        <v>45090</v>
      </c>
      <c r="C592" s="1" t="n">
        <v>45933</v>
      </c>
      <c r="D592" t="inlineStr">
        <is>
          <t>UPPSALA LÄN</t>
        </is>
      </c>
      <c r="E592" t="inlineStr">
        <is>
          <t>ÖSTHAMMAR</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56903-2023</t>
        </is>
      </c>
      <c r="B593" s="1" t="n">
        <v>45244.56943287037</v>
      </c>
      <c r="C593" s="1" t="n">
        <v>45933</v>
      </c>
      <c r="D593" t="inlineStr">
        <is>
          <t>UPPSALA LÄN</t>
        </is>
      </c>
      <c r="E593" t="inlineStr">
        <is>
          <t>ÖSTHAMMAR</t>
        </is>
      </c>
      <c r="G593" t="n">
        <v>3.1</v>
      </c>
      <c r="H593" t="n">
        <v>0</v>
      </c>
      <c r="I593" t="n">
        <v>0</v>
      </c>
      <c r="J593" t="n">
        <v>0</v>
      </c>
      <c r="K593" t="n">
        <v>0</v>
      </c>
      <c r="L593" t="n">
        <v>0</v>
      </c>
      <c r="M593" t="n">
        <v>0</v>
      </c>
      <c r="N593" t="n">
        <v>0</v>
      </c>
      <c r="O593" t="n">
        <v>0</v>
      </c>
      <c r="P593" t="n">
        <v>0</v>
      </c>
      <c r="Q593" t="n">
        <v>0</v>
      </c>
      <c r="R593" s="2" t="inlineStr"/>
    </row>
    <row r="594" ht="15" customHeight="1">
      <c r="A594" t="inlineStr">
        <is>
          <t>A 4228-2023</t>
        </is>
      </c>
      <c r="B594" s="1" t="n">
        <v>44953.48179398148</v>
      </c>
      <c r="C594" s="1" t="n">
        <v>45933</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56041-2020</t>
        </is>
      </c>
      <c r="B595" s="1" t="n">
        <v>44133</v>
      </c>
      <c r="C595" s="1" t="n">
        <v>45933</v>
      </c>
      <c r="D595" t="inlineStr">
        <is>
          <t>UPPSALA LÄN</t>
        </is>
      </c>
      <c r="E595" t="inlineStr">
        <is>
          <t>ÖSTHAMMAR</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67151-2021</t>
        </is>
      </c>
      <c r="B596" s="1" t="n">
        <v>44523</v>
      </c>
      <c r="C596" s="1" t="n">
        <v>45933</v>
      </c>
      <c r="D596" t="inlineStr">
        <is>
          <t>UPPSALA LÄN</t>
        </is>
      </c>
      <c r="E596" t="inlineStr">
        <is>
          <t>ÖSTHAMMAR</t>
        </is>
      </c>
      <c r="G596" t="n">
        <v>2.4</v>
      </c>
      <c r="H596" t="n">
        <v>0</v>
      </c>
      <c r="I596" t="n">
        <v>0</v>
      </c>
      <c r="J596" t="n">
        <v>0</v>
      </c>
      <c r="K596" t="n">
        <v>0</v>
      </c>
      <c r="L596" t="n">
        <v>0</v>
      </c>
      <c r="M596" t="n">
        <v>0</v>
      </c>
      <c r="N596" t="n">
        <v>0</v>
      </c>
      <c r="O596" t="n">
        <v>0</v>
      </c>
      <c r="P596" t="n">
        <v>0</v>
      </c>
      <c r="Q596" t="n">
        <v>0</v>
      </c>
      <c r="R596" s="2" t="inlineStr"/>
    </row>
    <row r="597" ht="15" customHeight="1">
      <c r="A597" t="inlineStr">
        <is>
          <t>A 29824-2023</t>
        </is>
      </c>
      <c r="B597" s="1" t="n">
        <v>45107</v>
      </c>
      <c r="C597" s="1" t="n">
        <v>45933</v>
      </c>
      <c r="D597" t="inlineStr">
        <is>
          <t>UPPSALA LÄN</t>
        </is>
      </c>
      <c r="E597" t="inlineStr">
        <is>
          <t>ÖSTHAMMAR</t>
        </is>
      </c>
      <c r="F597" t="inlineStr">
        <is>
          <t>Naturvårdsverket</t>
        </is>
      </c>
      <c r="G597" t="n">
        <v>1.6</v>
      </c>
      <c r="H597" t="n">
        <v>0</v>
      </c>
      <c r="I597" t="n">
        <v>0</v>
      </c>
      <c r="J597" t="n">
        <v>0</v>
      </c>
      <c r="K597" t="n">
        <v>0</v>
      </c>
      <c r="L597" t="n">
        <v>0</v>
      </c>
      <c r="M597" t="n">
        <v>0</v>
      </c>
      <c r="N597" t="n">
        <v>0</v>
      </c>
      <c r="O597" t="n">
        <v>0</v>
      </c>
      <c r="P597" t="n">
        <v>0</v>
      </c>
      <c r="Q597" t="n">
        <v>0</v>
      </c>
      <c r="R597" s="2" t="inlineStr"/>
    </row>
    <row r="598" ht="15" customHeight="1">
      <c r="A598" t="inlineStr">
        <is>
          <t>A 18091-2023</t>
        </is>
      </c>
      <c r="B598" s="1" t="n">
        <v>45040</v>
      </c>
      <c r="C598" s="1" t="n">
        <v>45933</v>
      </c>
      <c r="D598" t="inlineStr">
        <is>
          <t>UPPSALA LÄN</t>
        </is>
      </c>
      <c r="E598" t="inlineStr">
        <is>
          <t>ÖSTHAMMAR</t>
        </is>
      </c>
      <c r="G598" t="n">
        <v>2.4</v>
      </c>
      <c r="H598" t="n">
        <v>0</v>
      </c>
      <c r="I598" t="n">
        <v>0</v>
      </c>
      <c r="J598" t="n">
        <v>0</v>
      </c>
      <c r="K598" t="n">
        <v>0</v>
      </c>
      <c r="L598" t="n">
        <v>0</v>
      </c>
      <c r="M598" t="n">
        <v>0</v>
      </c>
      <c r="N598" t="n">
        <v>0</v>
      </c>
      <c r="O598" t="n">
        <v>0</v>
      </c>
      <c r="P598" t="n">
        <v>0</v>
      </c>
      <c r="Q598" t="n">
        <v>0</v>
      </c>
      <c r="R598" s="2" t="inlineStr"/>
    </row>
    <row r="599" ht="15" customHeight="1">
      <c r="A599" t="inlineStr">
        <is>
          <t>A 64586-2021</t>
        </is>
      </c>
      <c r="B599" s="1" t="n">
        <v>44511</v>
      </c>
      <c r="C599" s="1" t="n">
        <v>45933</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66779-2021</t>
        </is>
      </c>
      <c r="B600" s="1" t="n">
        <v>44522.31700231481</v>
      </c>
      <c r="C600" s="1" t="n">
        <v>45933</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23197-2023</t>
        </is>
      </c>
      <c r="B601" s="1" t="n">
        <v>45075</v>
      </c>
      <c r="C601" s="1" t="n">
        <v>45933</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17009-2021</t>
        </is>
      </c>
      <c r="B602" s="1" t="n">
        <v>44295.63969907408</v>
      </c>
      <c r="C602" s="1" t="n">
        <v>45933</v>
      </c>
      <c r="D602" t="inlineStr">
        <is>
          <t>UPPSALA LÄN</t>
        </is>
      </c>
      <c r="E602" t="inlineStr">
        <is>
          <t>ÖSTHAMMAR</t>
        </is>
      </c>
      <c r="F602" t="inlineStr">
        <is>
          <t>Bergvik skog öst AB</t>
        </is>
      </c>
      <c r="G602" t="n">
        <v>3.2</v>
      </c>
      <c r="H602" t="n">
        <v>0</v>
      </c>
      <c r="I602" t="n">
        <v>0</v>
      </c>
      <c r="J602" t="n">
        <v>0</v>
      </c>
      <c r="K602" t="n">
        <v>0</v>
      </c>
      <c r="L602" t="n">
        <v>0</v>
      </c>
      <c r="M602" t="n">
        <v>0</v>
      </c>
      <c r="N602" t="n">
        <v>0</v>
      </c>
      <c r="O602" t="n">
        <v>0</v>
      </c>
      <c r="P602" t="n">
        <v>0</v>
      </c>
      <c r="Q602" t="n">
        <v>0</v>
      </c>
      <c r="R602" s="2" t="inlineStr"/>
    </row>
    <row r="603" ht="15" customHeight="1">
      <c r="A603" t="inlineStr">
        <is>
          <t>A 13755-2023</t>
        </is>
      </c>
      <c r="B603" s="1" t="n">
        <v>45007</v>
      </c>
      <c r="C603" s="1" t="n">
        <v>45933</v>
      </c>
      <c r="D603" t="inlineStr">
        <is>
          <t>UPPSALA LÄN</t>
        </is>
      </c>
      <c r="E603" t="inlineStr">
        <is>
          <t>ÖSTHAMMAR</t>
        </is>
      </c>
      <c r="G603" t="n">
        <v>2.4</v>
      </c>
      <c r="H603" t="n">
        <v>0</v>
      </c>
      <c r="I603" t="n">
        <v>0</v>
      </c>
      <c r="J603" t="n">
        <v>0</v>
      </c>
      <c r="K603" t="n">
        <v>0</v>
      </c>
      <c r="L603" t="n">
        <v>0</v>
      </c>
      <c r="M603" t="n">
        <v>0</v>
      </c>
      <c r="N603" t="n">
        <v>0</v>
      </c>
      <c r="O603" t="n">
        <v>0</v>
      </c>
      <c r="P603" t="n">
        <v>0</v>
      </c>
      <c r="Q603" t="n">
        <v>0</v>
      </c>
      <c r="R603" s="2" t="inlineStr"/>
    </row>
    <row r="604" ht="15" customHeight="1">
      <c r="A604" t="inlineStr">
        <is>
          <t>A 60079-2022</t>
        </is>
      </c>
      <c r="B604" s="1" t="n">
        <v>44909</v>
      </c>
      <c r="C604" s="1" t="n">
        <v>45933</v>
      </c>
      <c r="D604" t="inlineStr">
        <is>
          <t>UPPSALA LÄN</t>
        </is>
      </c>
      <c r="E604" t="inlineStr">
        <is>
          <t>ÖSTHAMMAR</t>
        </is>
      </c>
      <c r="G604" t="n">
        <v>9.6</v>
      </c>
      <c r="H604" t="n">
        <v>0</v>
      </c>
      <c r="I604" t="n">
        <v>0</v>
      </c>
      <c r="J604" t="n">
        <v>0</v>
      </c>
      <c r="K604" t="n">
        <v>0</v>
      </c>
      <c r="L604" t="n">
        <v>0</v>
      </c>
      <c r="M604" t="n">
        <v>0</v>
      </c>
      <c r="N604" t="n">
        <v>0</v>
      </c>
      <c r="O604" t="n">
        <v>0</v>
      </c>
      <c r="P604" t="n">
        <v>0</v>
      </c>
      <c r="Q604" t="n">
        <v>0</v>
      </c>
      <c r="R604" s="2" t="inlineStr"/>
    </row>
    <row r="605" ht="15" customHeight="1">
      <c r="A605" t="inlineStr">
        <is>
          <t>A 9267-2024</t>
        </is>
      </c>
      <c r="B605" s="1" t="n">
        <v>45358</v>
      </c>
      <c r="C605" s="1" t="n">
        <v>45933</v>
      </c>
      <c r="D605" t="inlineStr">
        <is>
          <t>UPPSALA LÄN</t>
        </is>
      </c>
      <c r="E605" t="inlineStr">
        <is>
          <t>ÖSTHAMMAR</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33758-2024</t>
        </is>
      </c>
      <c r="B606" s="1" t="n">
        <v>45520.56896990741</v>
      </c>
      <c r="C606" s="1" t="n">
        <v>45933</v>
      </c>
      <c r="D606" t="inlineStr">
        <is>
          <t>UPPSALA LÄN</t>
        </is>
      </c>
      <c r="E606" t="inlineStr">
        <is>
          <t>ÖSTHAMMAR</t>
        </is>
      </c>
      <c r="G606" t="n">
        <v>6.5</v>
      </c>
      <c r="H606" t="n">
        <v>0</v>
      </c>
      <c r="I606" t="n">
        <v>0</v>
      </c>
      <c r="J606" t="n">
        <v>0</v>
      </c>
      <c r="K606" t="n">
        <v>0</v>
      </c>
      <c r="L606" t="n">
        <v>0</v>
      </c>
      <c r="M606" t="n">
        <v>0</v>
      </c>
      <c r="N606" t="n">
        <v>0</v>
      </c>
      <c r="O606" t="n">
        <v>0</v>
      </c>
      <c r="P606" t="n">
        <v>0</v>
      </c>
      <c r="Q606" t="n">
        <v>0</v>
      </c>
      <c r="R606" s="2" t="inlineStr"/>
    </row>
    <row r="607" ht="15" customHeight="1">
      <c r="A607" t="inlineStr">
        <is>
          <t>A 64774-2023</t>
        </is>
      </c>
      <c r="B607" s="1" t="n">
        <v>45282</v>
      </c>
      <c r="C607" s="1" t="n">
        <v>45933</v>
      </c>
      <c r="D607" t="inlineStr">
        <is>
          <t>UPPSALA LÄN</t>
        </is>
      </c>
      <c r="E607" t="inlineStr">
        <is>
          <t>ÖSTHAMMAR</t>
        </is>
      </c>
      <c r="F607" t="inlineStr">
        <is>
          <t>Övriga Aktiebolag</t>
        </is>
      </c>
      <c r="G607" t="n">
        <v>3.7</v>
      </c>
      <c r="H607" t="n">
        <v>0</v>
      </c>
      <c r="I607" t="n">
        <v>0</v>
      </c>
      <c r="J607" t="n">
        <v>0</v>
      </c>
      <c r="K607" t="n">
        <v>0</v>
      </c>
      <c r="L607" t="n">
        <v>0</v>
      </c>
      <c r="M607" t="n">
        <v>0</v>
      </c>
      <c r="N607" t="n">
        <v>0</v>
      </c>
      <c r="O607" t="n">
        <v>0</v>
      </c>
      <c r="P607" t="n">
        <v>0</v>
      </c>
      <c r="Q607" t="n">
        <v>0</v>
      </c>
      <c r="R607" s="2" t="inlineStr"/>
    </row>
    <row r="608" ht="15" customHeight="1">
      <c r="A608" t="inlineStr">
        <is>
          <t>A 65020-2021</t>
        </is>
      </c>
      <c r="B608" s="1" t="n">
        <v>44515</v>
      </c>
      <c r="C608" s="1" t="n">
        <v>45933</v>
      </c>
      <c r="D608" t="inlineStr">
        <is>
          <t>UPPSALA LÄN</t>
        </is>
      </c>
      <c r="E608" t="inlineStr">
        <is>
          <t>ÖSTHAMMAR</t>
        </is>
      </c>
      <c r="F608" t="inlineStr">
        <is>
          <t>Sveaskog</t>
        </is>
      </c>
      <c r="G608" t="n">
        <v>4.7</v>
      </c>
      <c r="H608" t="n">
        <v>0</v>
      </c>
      <c r="I608" t="n">
        <v>0</v>
      </c>
      <c r="J608" t="n">
        <v>0</v>
      </c>
      <c r="K608" t="n">
        <v>0</v>
      </c>
      <c r="L608" t="n">
        <v>0</v>
      </c>
      <c r="M608" t="n">
        <v>0</v>
      </c>
      <c r="N608" t="n">
        <v>0</v>
      </c>
      <c r="O608" t="n">
        <v>0</v>
      </c>
      <c r="P608" t="n">
        <v>0</v>
      </c>
      <c r="Q608" t="n">
        <v>0</v>
      </c>
      <c r="R608" s="2" t="inlineStr"/>
    </row>
    <row r="609" ht="15" customHeight="1">
      <c r="A609" t="inlineStr">
        <is>
          <t>A 35316-2024</t>
        </is>
      </c>
      <c r="B609" s="1" t="n">
        <v>45530.68873842592</v>
      </c>
      <c r="C609" s="1" t="n">
        <v>45933</v>
      </c>
      <c r="D609" t="inlineStr">
        <is>
          <t>UPPSALA LÄN</t>
        </is>
      </c>
      <c r="E609" t="inlineStr">
        <is>
          <t>ÖSTHAMMAR</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38571-2023</t>
        </is>
      </c>
      <c r="B610" s="1" t="n">
        <v>45162.6177662037</v>
      </c>
      <c r="C610" s="1" t="n">
        <v>45933</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2085-2022</t>
        </is>
      </c>
      <c r="B611" s="1" t="n">
        <v>44576.78626157407</v>
      </c>
      <c r="C611" s="1" t="n">
        <v>45933</v>
      </c>
      <c r="D611" t="inlineStr">
        <is>
          <t>UPPSALA LÄN</t>
        </is>
      </c>
      <c r="E611" t="inlineStr">
        <is>
          <t>ÖSTHAMMAR</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7560-2023</t>
        </is>
      </c>
      <c r="B612" s="1" t="n">
        <v>44972.34811342593</v>
      </c>
      <c r="C612" s="1" t="n">
        <v>45933</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44184-2024</t>
        </is>
      </c>
      <c r="B613" s="1" t="n">
        <v>45572</v>
      </c>
      <c r="C613" s="1" t="n">
        <v>45933</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48083-2024</t>
        </is>
      </c>
      <c r="B614" s="1" t="n">
        <v>45589.58766203704</v>
      </c>
      <c r="C614" s="1" t="n">
        <v>45933</v>
      </c>
      <c r="D614" t="inlineStr">
        <is>
          <t>UPPSALA LÄN</t>
        </is>
      </c>
      <c r="E614" t="inlineStr">
        <is>
          <t>ÖSTHAMMAR</t>
        </is>
      </c>
      <c r="G614" t="n">
        <v>3</v>
      </c>
      <c r="H614" t="n">
        <v>0</v>
      </c>
      <c r="I614" t="n">
        <v>0</v>
      </c>
      <c r="J614" t="n">
        <v>0</v>
      </c>
      <c r="K614" t="n">
        <v>0</v>
      </c>
      <c r="L614" t="n">
        <v>0</v>
      </c>
      <c r="M614" t="n">
        <v>0</v>
      </c>
      <c r="N614" t="n">
        <v>0</v>
      </c>
      <c r="O614" t="n">
        <v>0</v>
      </c>
      <c r="P614" t="n">
        <v>0</v>
      </c>
      <c r="Q614" t="n">
        <v>0</v>
      </c>
      <c r="R614" s="2" t="inlineStr"/>
    </row>
    <row r="615" ht="15" customHeight="1">
      <c r="A615" t="inlineStr">
        <is>
          <t>A 14671-2022</t>
        </is>
      </c>
      <c r="B615" s="1" t="n">
        <v>44655.80475694445</v>
      </c>
      <c r="C615" s="1" t="n">
        <v>45933</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74436-2021</t>
        </is>
      </c>
      <c r="B616" s="1" t="n">
        <v>44560.4502199074</v>
      </c>
      <c r="C616" s="1" t="n">
        <v>45933</v>
      </c>
      <c r="D616" t="inlineStr">
        <is>
          <t>UPPSALA LÄN</t>
        </is>
      </c>
      <c r="E616" t="inlineStr">
        <is>
          <t>ÖSTHAMMAR</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12215-2023</t>
        </is>
      </c>
      <c r="B617" s="1" t="n">
        <v>44998</v>
      </c>
      <c r="C617" s="1" t="n">
        <v>45933</v>
      </c>
      <c r="D617" t="inlineStr">
        <is>
          <t>UPPSALA LÄN</t>
        </is>
      </c>
      <c r="E617" t="inlineStr">
        <is>
          <t>ÖSTHAMMAR</t>
        </is>
      </c>
      <c r="G617" t="n">
        <v>5.1</v>
      </c>
      <c r="H617" t="n">
        <v>0</v>
      </c>
      <c r="I617" t="n">
        <v>0</v>
      </c>
      <c r="J617" t="n">
        <v>0</v>
      </c>
      <c r="K617" t="n">
        <v>0</v>
      </c>
      <c r="L617" t="n">
        <v>0</v>
      </c>
      <c r="M617" t="n">
        <v>0</v>
      </c>
      <c r="N617" t="n">
        <v>0</v>
      </c>
      <c r="O617" t="n">
        <v>0</v>
      </c>
      <c r="P617" t="n">
        <v>0</v>
      </c>
      <c r="Q617" t="n">
        <v>0</v>
      </c>
      <c r="R617" s="2" t="inlineStr"/>
    </row>
    <row r="618" ht="15" customHeight="1">
      <c r="A618" t="inlineStr">
        <is>
          <t>A 41996-2024</t>
        </is>
      </c>
      <c r="B618" s="1" t="n">
        <v>45561</v>
      </c>
      <c r="C618" s="1" t="n">
        <v>45933</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15449-2022</t>
        </is>
      </c>
      <c r="B619" s="1" t="n">
        <v>44660.91659722223</v>
      </c>
      <c r="C619" s="1" t="n">
        <v>45933</v>
      </c>
      <c r="D619" t="inlineStr">
        <is>
          <t>UPPSALA LÄN</t>
        </is>
      </c>
      <c r="E619" t="inlineStr">
        <is>
          <t>ÖSTHAMMAR</t>
        </is>
      </c>
      <c r="F619" t="inlineStr">
        <is>
          <t>Bergvik skog öst AB</t>
        </is>
      </c>
      <c r="G619" t="n">
        <v>2</v>
      </c>
      <c r="H619" t="n">
        <v>0</v>
      </c>
      <c r="I619" t="n">
        <v>0</v>
      </c>
      <c r="J619" t="n">
        <v>0</v>
      </c>
      <c r="K619" t="n">
        <v>0</v>
      </c>
      <c r="L619" t="n">
        <v>0</v>
      </c>
      <c r="M619" t="n">
        <v>0</v>
      </c>
      <c r="N619" t="n">
        <v>0</v>
      </c>
      <c r="O619" t="n">
        <v>0</v>
      </c>
      <c r="P619" t="n">
        <v>0</v>
      </c>
      <c r="Q619" t="n">
        <v>0</v>
      </c>
      <c r="R619" s="2" t="inlineStr"/>
    </row>
    <row r="620" ht="15" customHeight="1">
      <c r="A620" t="inlineStr">
        <is>
          <t>A 1439-2025</t>
        </is>
      </c>
      <c r="B620" s="1" t="n">
        <v>45669.69075231482</v>
      </c>
      <c r="C620" s="1" t="n">
        <v>45933</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5884-2023</t>
        </is>
      </c>
      <c r="B621" s="1" t="n">
        <v>44963</v>
      </c>
      <c r="C621" s="1" t="n">
        <v>45933</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32778-2023</t>
        </is>
      </c>
      <c r="B622" s="1" t="n">
        <v>45123.88789351852</v>
      </c>
      <c r="C622" s="1" t="n">
        <v>45933</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5215-2025</t>
        </is>
      </c>
      <c r="B623" s="1" t="n">
        <v>45691</v>
      </c>
      <c r="C623" s="1" t="n">
        <v>45933</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65028-2021</t>
        </is>
      </c>
      <c r="B624" s="1" t="n">
        <v>44515</v>
      </c>
      <c r="C624" s="1" t="n">
        <v>45933</v>
      </c>
      <c r="D624" t="inlineStr">
        <is>
          <t>UPPSALA LÄN</t>
        </is>
      </c>
      <c r="E624" t="inlineStr">
        <is>
          <t>ÖSTHAMMAR</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1525-2025</t>
        </is>
      </c>
      <c r="B625" s="1" t="n">
        <v>45670.47300925926</v>
      </c>
      <c r="C625" s="1" t="n">
        <v>45933</v>
      </c>
      <c r="D625" t="inlineStr">
        <is>
          <t>UPPSALA LÄN</t>
        </is>
      </c>
      <c r="E625" t="inlineStr">
        <is>
          <t>ÖSTHAMMAR</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44915.59418981482</v>
      </c>
      <c r="C626" s="1" t="n">
        <v>45933</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36857-2023</t>
        </is>
      </c>
      <c r="B627" s="1" t="n">
        <v>45154.55175925926</v>
      </c>
      <c r="C627" s="1" t="n">
        <v>45933</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6206-2022</t>
        </is>
      </c>
      <c r="B628" s="1" t="n">
        <v>44600.35755787037</v>
      </c>
      <c r="C628" s="1" t="n">
        <v>45933</v>
      </c>
      <c r="D628" t="inlineStr">
        <is>
          <t>UPPSALA LÄN</t>
        </is>
      </c>
      <c r="E628" t="inlineStr">
        <is>
          <t>ÖSTHAMMAR</t>
        </is>
      </c>
      <c r="G628" t="n">
        <v>7.4</v>
      </c>
      <c r="H628" t="n">
        <v>0</v>
      </c>
      <c r="I628" t="n">
        <v>0</v>
      </c>
      <c r="J628" t="n">
        <v>0</v>
      </c>
      <c r="K628" t="n">
        <v>0</v>
      </c>
      <c r="L628" t="n">
        <v>0</v>
      </c>
      <c r="M628" t="n">
        <v>0</v>
      </c>
      <c r="N628" t="n">
        <v>0</v>
      </c>
      <c r="O628" t="n">
        <v>0</v>
      </c>
      <c r="P628" t="n">
        <v>0</v>
      </c>
      <c r="Q628" t="n">
        <v>0</v>
      </c>
      <c r="R628" s="2" t="inlineStr"/>
    </row>
    <row r="629" ht="15" customHeight="1">
      <c r="A629" t="inlineStr">
        <is>
          <t>A 6143-2022</t>
        </is>
      </c>
      <c r="B629" s="1" t="n">
        <v>44599.72306712963</v>
      </c>
      <c r="C629" s="1" t="n">
        <v>45933</v>
      </c>
      <c r="D629" t="inlineStr">
        <is>
          <t>UPPSALA LÄN</t>
        </is>
      </c>
      <c r="E629" t="inlineStr">
        <is>
          <t>ÖSTHAMMAR</t>
        </is>
      </c>
      <c r="G629" t="n">
        <v>3.4</v>
      </c>
      <c r="H629" t="n">
        <v>0</v>
      </c>
      <c r="I629" t="n">
        <v>0</v>
      </c>
      <c r="J629" t="n">
        <v>0</v>
      </c>
      <c r="K629" t="n">
        <v>0</v>
      </c>
      <c r="L629" t="n">
        <v>0</v>
      </c>
      <c r="M629" t="n">
        <v>0</v>
      </c>
      <c r="N629" t="n">
        <v>0</v>
      </c>
      <c r="O629" t="n">
        <v>0</v>
      </c>
      <c r="P629" t="n">
        <v>0</v>
      </c>
      <c r="Q629" t="n">
        <v>0</v>
      </c>
      <c r="R629" s="2" t="inlineStr"/>
    </row>
    <row r="630" ht="15" customHeight="1">
      <c r="A630" t="inlineStr">
        <is>
          <t>A 3514-2023</t>
        </is>
      </c>
      <c r="B630" s="1" t="n">
        <v>44950</v>
      </c>
      <c r="C630" s="1" t="n">
        <v>45933</v>
      </c>
      <c r="D630" t="inlineStr">
        <is>
          <t>UPPSALA LÄN</t>
        </is>
      </c>
      <c r="E630" t="inlineStr">
        <is>
          <t>ÖSTHAMMAR</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45561-2023</t>
        </is>
      </c>
      <c r="B631" s="1" t="n">
        <v>45194.59335648148</v>
      </c>
      <c r="C631" s="1" t="n">
        <v>45933</v>
      </c>
      <c r="D631" t="inlineStr">
        <is>
          <t>UPPSALA LÄN</t>
        </is>
      </c>
      <c r="E631" t="inlineStr">
        <is>
          <t>ÖSTHAMMAR</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43439-2024</t>
        </is>
      </c>
      <c r="B632" s="1" t="n">
        <v>45568</v>
      </c>
      <c r="C632" s="1" t="n">
        <v>45933</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59880-2022</t>
        </is>
      </c>
      <c r="B633" s="1" t="n">
        <v>44908.69575231482</v>
      </c>
      <c r="C633" s="1" t="n">
        <v>45933</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4562-2022</t>
        </is>
      </c>
      <c r="B634" s="1" t="n">
        <v>44591</v>
      </c>
      <c r="C634" s="1" t="n">
        <v>45933</v>
      </c>
      <c r="D634" t="inlineStr">
        <is>
          <t>UPPSALA LÄN</t>
        </is>
      </c>
      <c r="E634" t="inlineStr">
        <is>
          <t>ÖSTHAMMAR</t>
        </is>
      </c>
      <c r="G634" t="n">
        <v>3.4</v>
      </c>
      <c r="H634" t="n">
        <v>0</v>
      </c>
      <c r="I634" t="n">
        <v>0</v>
      </c>
      <c r="J634" t="n">
        <v>0</v>
      </c>
      <c r="K634" t="n">
        <v>0</v>
      </c>
      <c r="L634" t="n">
        <v>0</v>
      </c>
      <c r="M634" t="n">
        <v>0</v>
      </c>
      <c r="N634" t="n">
        <v>0</v>
      </c>
      <c r="O634" t="n">
        <v>0</v>
      </c>
      <c r="P634" t="n">
        <v>0</v>
      </c>
      <c r="Q634" t="n">
        <v>0</v>
      </c>
      <c r="R634" s="2" t="inlineStr"/>
    </row>
    <row r="635" ht="15" customHeight="1">
      <c r="A635" t="inlineStr">
        <is>
          <t>A 4099-2025</t>
        </is>
      </c>
      <c r="B635" s="1" t="n">
        <v>45684</v>
      </c>
      <c r="C635" s="1" t="n">
        <v>45933</v>
      </c>
      <c r="D635" t="inlineStr">
        <is>
          <t>UPPSALA LÄN</t>
        </is>
      </c>
      <c r="E635" t="inlineStr">
        <is>
          <t>ÖSTHAMMAR</t>
        </is>
      </c>
      <c r="G635" t="n">
        <v>0.7</v>
      </c>
      <c r="H635" t="n">
        <v>0</v>
      </c>
      <c r="I635" t="n">
        <v>0</v>
      </c>
      <c r="J635" t="n">
        <v>0</v>
      </c>
      <c r="K635" t="n">
        <v>0</v>
      </c>
      <c r="L635" t="n">
        <v>0</v>
      </c>
      <c r="M635" t="n">
        <v>0</v>
      </c>
      <c r="N635" t="n">
        <v>0</v>
      </c>
      <c r="O635" t="n">
        <v>0</v>
      </c>
      <c r="P635" t="n">
        <v>0</v>
      </c>
      <c r="Q635" t="n">
        <v>0</v>
      </c>
      <c r="R635" s="2" t="inlineStr"/>
    </row>
    <row r="636" ht="15" customHeight="1">
      <c r="A636" t="inlineStr">
        <is>
          <t>A 41538-2021</t>
        </is>
      </c>
      <c r="B636" s="1" t="n">
        <v>44425.35016203704</v>
      </c>
      <c r="C636" s="1" t="n">
        <v>45933</v>
      </c>
      <c r="D636" t="inlineStr">
        <is>
          <t>UPPSALA LÄN</t>
        </is>
      </c>
      <c r="E636" t="inlineStr">
        <is>
          <t>ÖSTHAMMAR</t>
        </is>
      </c>
      <c r="F636" t="inlineStr">
        <is>
          <t>Bergvik skog öst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36301-2023</t>
        </is>
      </c>
      <c r="B637" s="1" t="n">
        <v>45152.37296296296</v>
      </c>
      <c r="C637" s="1" t="n">
        <v>45933</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28429-2023</t>
        </is>
      </c>
      <c r="B638" s="1" t="n">
        <v>45102.58728009259</v>
      </c>
      <c r="C638" s="1" t="n">
        <v>45933</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35309-2023</t>
        </is>
      </c>
      <c r="B639" s="1" t="n">
        <v>45146</v>
      </c>
      <c r="C639" s="1" t="n">
        <v>45933</v>
      </c>
      <c r="D639" t="inlineStr">
        <is>
          <t>UPPSALA LÄN</t>
        </is>
      </c>
      <c r="E639" t="inlineStr">
        <is>
          <t>ÖSTHAMMAR</t>
        </is>
      </c>
      <c r="G639" t="n">
        <v>1.3</v>
      </c>
      <c r="H639" t="n">
        <v>0</v>
      </c>
      <c r="I639" t="n">
        <v>0</v>
      </c>
      <c r="J639" t="n">
        <v>0</v>
      </c>
      <c r="K639" t="n">
        <v>0</v>
      </c>
      <c r="L639" t="n">
        <v>0</v>
      </c>
      <c r="M639" t="n">
        <v>0</v>
      </c>
      <c r="N639" t="n">
        <v>0</v>
      </c>
      <c r="O639" t="n">
        <v>0</v>
      </c>
      <c r="P639" t="n">
        <v>0</v>
      </c>
      <c r="Q639" t="n">
        <v>0</v>
      </c>
      <c r="R639" s="2" t="inlineStr"/>
    </row>
    <row r="640" ht="15" customHeight="1">
      <c r="A640" t="inlineStr">
        <is>
          <t>A 835-2025</t>
        </is>
      </c>
      <c r="B640" s="1" t="n">
        <v>45665.58465277778</v>
      </c>
      <c r="C640" s="1" t="n">
        <v>45933</v>
      </c>
      <c r="D640" t="inlineStr">
        <is>
          <t>UPPSALA LÄN</t>
        </is>
      </c>
      <c r="E640" t="inlineStr">
        <is>
          <t>ÖSTHAMMAR</t>
        </is>
      </c>
      <c r="F640" t="inlineStr">
        <is>
          <t>Övriga Aktiebolag</t>
        </is>
      </c>
      <c r="G640" t="n">
        <v>4.8</v>
      </c>
      <c r="H640" t="n">
        <v>0</v>
      </c>
      <c r="I640" t="n">
        <v>0</v>
      </c>
      <c r="J640" t="n">
        <v>0</v>
      </c>
      <c r="K640" t="n">
        <v>0</v>
      </c>
      <c r="L640" t="n">
        <v>0</v>
      </c>
      <c r="M640" t="n">
        <v>0</v>
      </c>
      <c r="N640" t="n">
        <v>0</v>
      </c>
      <c r="O640" t="n">
        <v>0</v>
      </c>
      <c r="P640" t="n">
        <v>0</v>
      </c>
      <c r="Q640" t="n">
        <v>0</v>
      </c>
      <c r="R640" s="2" t="inlineStr"/>
    </row>
    <row r="641" ht="15" customHeight="1">
      <c r="A641" t="inlineStr">
        <is>
          <t>A 67199-2021</t>
        </is>
      </c>
      <c r="B641" s="1" t="n">
        <v>44523.46197916667</v>
      </c>
      <c r="C641" s="1" t="n">
        <v>45933</v>
      </c>
      <c r="D641" t="inlineStr">
        <is>
          <t>UPPSALA LÄN</t>
        </is>
      </c>
      <c r="E641" t="inlineStr">
        <is>
          <t>ÖSTHAMMAR</t>
        </is>
      </c>
      <c r="G641" t="n">
        <v>2.3</v>
      </c>
      <c r="H641" t="n">
        <v>0</v>
      </c>
      <c r="I641" t="n">
        <v>0</v>
      </c>
      <c r="J641" t="n">
        <v>0</v>
      </c>
      <c r="K641" t="n">
        <v>0</v>
      </c>
      <c r="L641" t="n">
        <v>0</v>
      </c>
      <c r="M641" t="n">
        <v>0</v>
      </c>
      <c r="N641" t="n">
        <v>0</v>
      </c>
      <c r="O641" t="n">
        <v>0</v>
      </c>
      <c r="P641" t="n">
        <v>0</v>
      </c>
      <c r="Q641" t="n">
        <v>0</v>
      </c>
      <c r="R641" s="2" t="inlineStr"/>
    </row>
    <row r="642" ht="15" customHeight="1">
      <c r="A642" t="inlineStr">
        <is>
          <t>A 24259-2022</t>
        </is>
      </c>
      <c r="B642" s="1" t="n">
        <v>44725</v>
      </c>
      <c r="C642" s="1" t="n">
        <v>45933</v>
      </c>
      <c r="D642" t="inlineStr">
        <is>
          <t>UPPSALA LÄN</t>
        </is>
      </c>
      <c r="E642" t="inlineStr">
        <is>
          <t>ÖSTHAMMAR</t>
        </is>
      </c>
      <c r="G642" t="n">
        <v>2.4</v>
      </c>
      <c r="H642" t="n">
        <v>0</v>
      </c>
      <c r="I642" t="n">
        <v>0</v>
      </c>
      <c r="J642" t="n">
        <v>0</v>
      </c>
      <c r="K642" t="n">
        <v>0</v>
      </c>
      <c r="L642" t="n">
        <v>0</v>
      </c>
      <c r="M642" t="n">
        <v>0</v>
      </c>
      <c r="N642" t="n">
        <v>0</v>
      </c>
      <c r="O642" t="n">
        <v>0</v>
      </c>
      <c r="P642" t="n">
        <v>0</v>
      </c>
      <c r="Q642" t="n">
        <v>0</v>
      </c>
      <c r="R642" s="2" t="inlineStr"/>
    </row>
    <row r="643" ht="15" customHeight="1">
      <c r="A643" t="inlineStr">
        <is>
          <t>A 24367-2022</t>
        </is>
      </c>
      <c r="B643" s="1" t="n">
        <v>44726.42716435185</v>
      </c>
      <c r="C643" s="1" t="n">
        <v>45933</v>
      </c>
      <c r="D643" t="inlineStr">
        <is>
          <t>UPPSALA LÄN</t>
        </is>
      </c>
      <c r="E643" t="inlineStr">
        <is>
          <t>ÖSTHAMMAR</t>
        </is>
      </c>
      <c r="G643" t="n">
        <v>2.7</v>
      </c>
      <c r="H643" t="n">
        <v>0</v>
      </c>
      <c r="I643" t="n">
        <v>0</v>
      </c>
      <c r="J643" t="n">
        <v>0</v>
      </c>
      <c r="K643" t="n">
        <v>0</v>
      </c>
      <c r="L643" t="n">
        <v>0</v>
      </c>
      <c r="M643" t="n">
        <v>0</v>
      </c>
      <c r="N643" t="n">
        <v>0</v>
      </c>
      <c r="O643" t="n">
        <v>0</v>
      </c>
      <c r="P643" t="n">
        <v>0</v>
      </c>
      <c r="Q643" t="n">
        <v>0</v>
      </c>
      <c r="R643" s="2" t="inlineStr"/>
    </row>
    <row r="644" ht="15" customHeight="1">
      <c r="A644" t="inlineStr">
        <is>
          <t>A 49897-2023</t>
        </is>
      </c>
      <c r="B644" s="1" t="n">
        <v>45213.84846064815</v>
      </c>
      <c r="C644" s="1" t="n">
        <v>45933</v>
      </c>
      <c r="D644" t="inlineStr">
        <is>
          <t>UPPSALA LÄN</t>
        </is>
      </c>
      <c r="E644" t="inlineStr">
        <is>
          <t>ÖSTHAMMAR</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34922-2023</t>
        </is>
      </c>
      <c r="B645" s="1" t="n">
        <v>45142.48359953704</v>
      </c>
      <c r="C645" s="1" t="n">
        <v>45933</v>
      </c>
      <c r="D645" t="inlineStr">
        <is>
          <t>UPPSALA LÄN</t>
        </is>
      </c>
      <c r="E645" t="inlineStr">
        <is>
          <t>ÖSTHAMMAR</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50998-2023</t>
        </is>
      </c>
      <c r="B646" s="1" t="n">
        <v>45218.5586574074</v>
      </c>
      <c r="C646" s="1" t="n">
        <v>45933</v>
      </c>
      <c r="D646" t="inlineStr">
        <is>
          <t>UPPSALA LÄN</t>
        </is>
      </c>
      <c r="E646" t="inlineStr">
        <is>
          <t>ÖSTHAMMAR</t>
        </is>
      </c>
      <c r="G646" t="n">
        <v>3.6</v>
      </c>
      <c r="H646" t="n">
        <v>0</v>
      </c>
      <c r="I646" t="n">
        <v>0</v>
      </c>
      <c r="J646" t="n">
        <v>0</v>
      </c>
      <c r="K646" t="n">
        <v>0</v>
      </c>
      <c r="L646" t="n">
        <v>0</v>
      </c>
      <c r="M646" t="n">
        <v>0</v>
      </c>
      <c r="N646" t="n">
        <v>0</v>
      </c>
      <c r="O646" t="n">
        <v>0</v>
      </c>
      <c r="P646" t="n">
        <v>0</v>
      </c>
      <c r="Q646" t="n">
        <v>0</v>
      </c>
      <c r="R646" s="2" t="inlineStr"/>
    </row>
    <row r="647" ht="15" customHeight="1">
      <c r="A647" t="inlineStr">
        <is>
          <t>A 31669-2022</t>
        </is>
      </c>
      <c r="B647" s="1" t="n">
        <v>44775</v>
      </c>
      <c r="C647" s="1" t="n">
        <v>45933</v>
      </c>
      <c r="D647" t="inlineStr">
        <is>
          <t>UPPSALA LÄN</t>
        </is>
      </c>
      <c r="E647" t="inlineStr">
        <is>
          <t>ÖSTHAMMAR</t>
        </is>
      </c>
      <c r="G647" t="n">
        <v>6</v>
      </c>
      <c r="H647" t="n">
        <v>0</v>
      </c>
      <c r="I647" t="n">
        <v>0</v>
      </c>
      <c r="J647" t="n">
        <v>0</v>
      </c>
      <c r="K647" t="n">
        <v>0</v>
      </c>
      <c r="L647" t="n">
        <v>0</v>
      </c>
      <c r="M647" t="n">
        <v>0</v>
      </c>
      <c r="N647" t="n">
        <v>0</v>
      </c>
      <c r="O647" t="n">
        <v>0</v>
      </c>
      <c r="P647" t="n">
        <v>0</v>
      </c>
      <c r="Q647" t="n">
        <v>0</v>
      </c>
      <c r="R647" s="2" t="inlineStr"/>
    </row>
    <row r="648" ht="15" customHeight="1">
      <c r="A648" t="inlineStr">
        <is>
          <t>A 48856-2024</t>
        </is>
      </c>
      <c r="B648" s="1" t="n">
        <v>45593</v>
      </c>
      <c r="C648" s="1" t="n">
        <v>45933</v>
      </c>
      <c r="D648" t="inlineStr">
        <is>
          <t>UPPSALA LÄN</t>
        </is>
      </c>
      <c r="E648" t="inlineStr">
        <is>
          <t>ÖSTHAMMAR</t>
        </is>
      </c>
      <c r="G648" t="n">
        <v>1.5</v>
      </c>
      <c r="H648" t="n">
        <v>0</v>
      </c>
      <c r="I648" t="n">
        <v>0</v>
      </c>
      <c r="J648" t="n">
        <v>0</v>
      </c>
      <c r="K648" t="n">
        <v>0</v>
      </c>
      <c r="L648" t="n">
        <v>0</v>
      </c>
      <c r="M648" t="n">
        <v>0</v>
      </c>
      <c r="N648" t="n">
        <v>0</v>
      </c>
      <c r="O648" t="n">
        <v>0</v>
      </c>
      <c r="P648" t="n">
        <v>0</v>
      </c>
      <c r="Q648" t="n">
        <v>0</v>
      </c>
      <c r="R648" s="2" t="inlineStr"/>
    </row>
    <row r="649" ht="15" customHeight="1">
      <c r="A649" t="inlineStr">
        <is>
          <t>A 17947-2022</t>
        </is>
      </c>
      <c r="B649" s="1" t="n">
        <v>44683</v>
      </c>
      <c r="C649" s="1" t="n">
        <v>45933</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21862-2023</t>
        </is>
      </c>
      <c r="B650" s="1" t="n">
        <v>45068</v>
      </c>
      <c r="C650" s="1" t="n">
        <v>45933</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12654-2025</t>
        </is>
      </c>
      <c r="B651" s="1" t="n">
        <v>45733.41601851852</v>
      </c>
      <c r="C651" s="1" t="n">
        <v>45933</v>
      </c>
      <c r="D651" t="inlineStr">
        <is>
          <t>UPPSALA LÄN</t>
        </is>
      </c>
      <c r="E651" t="inlineStr">
        <is>
          <t>ÖSTHAMMAR</t>
        </is>
      </c>
      <c r="G651" t="n">
        <v>9.9</v>
      </c>
      <c r="H651" t="n">
        <v>0</v>
      </c>
      <c r="I651" t="n">
        <v>0</v>
      </c>
      <c r="J651" t="n">
        <v>0</v>
      </c>
      <c r="K651" t="n">
        <v>0</v>
      </c>
      <c r="L651" t="n">
        <v>0</v>
      </c>
      <c r="M651" t="n">
        <v>0</v>
      </c>
      <c r="N651" t="n">
        <v>0</v>
      </c>
      <c r="O651" t="n">
        <v>0</v>
      </c>
      <c r="P651" t="n">
        <v>0</v>
      </c>
      <c r="Q651" t="n">
        <v>0</v>
      </c>
      <c r="R651" s="2" t="inlineStr"/>
    </row>
    <row r="652" ht="15" customHeight="1">
      <c r="A652" t="inlineStr">
        <is>
          <t>A 27308-2023</t>
        </is>
      </c>
      <c r="B652" s="1" t="n">
        <v>45096.65381944444</v>
      </c>
      <c r="C652" s="1" t="n">
        <v>45933</v>
      </c>
      <c r="D652" t="inlineStr">
        <is>
          <t>UPPSALA LÄN</t>
        </is>
      </c>
      <c r="E652" t="inlineStr">
        <is>
          <t>ÖSTHAMMAR</t>
        </is>
      </c>
      <c r="F652" t="inlineStr">
        <is>
          <t>Bergvik skog öst AB</t>
        </is>
      </c>
      <c r="G652" t="n">
        <v>2.4</v>
      </c>
      <c r="H652" t="n">
        <v>0</v>
      </c>
      <c r="I652" t="n">
        <v>0</v>
      </c>
      <c r="J652" t="n">
        <v>0</v>
      </c>
      <c r="K652" t="n">
        <v>0</v>
      </c>
      <c r="L652" t="n">
        <v>0</v>
      </c>
      <c r="M652" t="n">
        <v>0</v>
      </c>
      <c r="N652" t="n">
        <v>0</v>
      </c>
      <c r="O652" t="n">
        <v>0</v>
      </c>
      <c r="P652" t="n">
        <v>0</v>
      </c>
      <c r="Q652" t="n">
        <v>0</v>
      </c>
      <c r="R652" s="2" t="inlineStr"/>
    </row>
    <row r="653" ht="15" customHeight="1">
      <c r="A653" t="inlineStr">
        <is>
          <t>A 28420-2023</t>
        </is>
      </c>
      <c r="B653" s="1" t="n">
        <v>45102.33054398148</v>
      </c>
      <c r="C653" s="1" t="n">
        <v>45933</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40547-2023</t>
        </is>
      </c>
      <c r="B654" s="1" t="n">
        <v>45170.45050925926</v>
      </c>
      <c r="C654" s="1" t="n">
        <v>45933</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45933</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31035-2022</t>
        </is>
      </c>
      <c r="B656" s="1" t="n">
        <v>44768.88685185185</v>
      </c>
      <c r="C656" s="1" t="n">
        <v>45933</v>
      </c>
      <c r="D656" t="inlineStr">
        <is>
          <t>UPPSALA LÄN</t>
        </is>
      </c>
      <c r="E656" t="inlineStr">
        <is>
          <t>ÖSTHAMMAR</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22798-2023</t>
        </is>
      </c>
      <c r="B657" s="1" t="n">
        <v>45072</v>
      </c>
      <c r="C657" s="1" t="n">
        <v>45933</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44991.62203703704</v>
      </c>
      <c r="C658" s="1" t="n">
        <v>45933</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50927-2024</t>
        </is>
      </c>
      <c r="B659" s="1" t="n">
        <v>45602</v>
      </c>
      <c r="C659" s="1" t="n">
        <v>45933</v>
      </c>
      <c r="D659" t="inlineStr">
        <is>
          <t>UPPSALA LÄN</t>
        </is>
      </c>
      <c r="E659" t="inlineStr">
        <is>
          <t>ÖSTHAMMAR</t>
        </is>
      </c>
      <c r="F659" t="inlineStr">
        <is>
          <t>Bergvik skog öst AB</t>
        </is>
      </c>
      <c r="G659" t="n">
        <v>45.4</v>
      </c>
      <c r="H659" t="n">
        <v>0</v>
      </c>
      <c r="I659" t="n">
        <v>0</v>
      </c>
      <c r="J659" t="n">
        <v>0</v>
      </c>
      <c r="K659" t="n">
        <v>0</v>
      </c>
      <c r="L659" t="n">
        <v>0</v>
      </c>
      <c r="M659" t="n">
        <v>0</v>
      </c>
      <c r="N659" t="n">
        <v>0</v>
      </c>
      <c r="O659" t="n">
        <v>0</v>
      </c>
      <c r="P659" t="n">
        <v>0</v>
      </c>
      <c r="Q659" t="n">
        <v>0</v>
      </c>
      <c r="R659" s="2" t="inlineStr"/>
    </row>
    <row r="660" ht="15" customHeight="1">
      <c r="A660" t="inlineStr">
        <is>
          <t>A 40637-2022</t>
        </is>
      </c>
      <c r="B660" s="1" t="n">
        <v>44824</v>
      </c>
      <c r="C660" s="1" t="n">
        <v>45933</v>
      </c>
      <c r="D660" t="inlineStr">
        <is>
          <t>UPPSALA LÄN</t>
        </is>
      </c>
      <c r="E660" t="inlineStr">
        <is>
          <t>ÖSTHAMMAR</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6046-2025</t>
        </is>
      </c>
      <c r="B661" s="1" t="n">
        <v>45695</v>
      </c>
      <c r="C661" s="1" t="n">
        <v>45933</v>
      </c>
      <c r="D661" t="inlineStr">
        <is>
          <t>UPPSALA LÄN</t>
        </is>
      </c>
      <c r="E661" t="inlineStr">
        <is>
          <t>ÖSTHAMMAR</t>
        </is>
      </c>
      <c r="G661" t="n">
        <v>0.8</v>
      </c>
      <c r="H661" t="n">
        <v>0</v>
      </c>
      <c r="I661" t="n">
        <v>0</v>
      </c>
      <c r="J661" t="n">
        <v>0</v>
      </c>
      <c r="K661" t="n">
        <v>0</v>
      </c>
      <c r="L661" t="n">
        <v>0</v>
      </c>
      <c r="M661" t="n">
        <v>0</v>
      </c>
      <c r="N661" t="n">
        <v>0</v>
      </c>
      <c r="O661" t="n">
        <v>0</v>
      </c>
      <c r="P661" t="n">
        <v>0</v>
      </c>
      <c r="Q661" t="n">
        <v>0</v>
      </c>
      <c r="R661" s="2" t="inlineStr"/>
      <c r="U661">
        <f>HYPERLINK("https://klasma.github.io/Logging_0382/knärot/A 6046-2025 karta knärot.png", "A 6046-2025")</f>
        <v/>
      </c>
      <c r="V661">
        <f>HYPERLINK("https://klasma.github.io/Logging_0382/klagomål/A 6046-2025 FSC-klagomål.docx", "A 6046-2025")</f>
        <v/>
      </c>
      <c r="W661">
        <f>HYPERLINK("https://klasma.github.io/Logging_0382/klagomålsmail/A 6046-2025 FSC-klagomål mail.docx", "A 6046-2025")</f>
        <v/>
      </c>
      <c r="X661">
        <f>HYPERLINK("https://klasma.github.io/Logging_0382/tillsyn/A 6046-2025 tillsynsbegäran.docx", "A 6046-2025")</f>
        <v/>
      </c>
      <c r="Y661">
        <f>HYPERLINK("https://klasma.github.io/Logging_0382/tillsynsmail/A 6046-2025 tillsynsbegäran mail.docx", "A 6046-2025")</f>
        <v/>
      </c>
    </row>
    <row r="662" ht="15" customHeight="1">
      <c r="A662" t="inlineStr">
        <is>
          <t>A 21624-2023</t>
        </is>
      </c>
      <c r="B662" s="1" t="n">
        <v>45063.65543981481</v>
      </c>
      <c r="C662" s="1" t="n">
        <v>45933</v>
      </c>
      <c r="D662" t="inlineStr">
        <is>
          <t>UPPSALA LÄN</t>
        </is>
      </c>
      <c r="E662" t="inlineStr">
        <is>
          <t>ÖSTHAMMAR</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6120-2024</t>
        </is>
      </c>
      <c r="B663" s="1" t="n">
        <v>45337.41784722222</v>
      </c>
      <c r="C663" s="1" t="n">
        <v>45933</v>
      </c>
      <c r="D663" t="inlineStr">
        <is>
          <t>UPPSALA LÄN</t>
        </is>
      </c>
      <c r="E663" t="inlineStr">
        <is>
          <t>ÖSTHAMMAR</t>
        </is>
      </c>
      <c r="G663" t="n">
        <v>0.7</v>
      </c>
      <c r="H663" t="n">
        <v>0</v>
      </c>
      <c r="I663" t="n">
        <v>0</v>
      </c>
      <c r="J663" t="n">
        <v>0</v>
      </c>
      <c r="K663" t="n">
        <v>0</v>
      </c>
      <c r="L663" t="n">
        <v>0</v>
      </c>
      <c r="M663" t="n">
        <v>0</v>
      </c>
      <c r="N663" t="n">
        <v>0</v>
      </c>
      <c r="O663" t="n">
        <v>0</v>
      </c>
      <c r="P663" t="n">
        <v>0</v>
      </c>
      <c r="Q663" t="n">
        <v>0</v>
      </c>
      <c r="R663" s="2" t="inlineStr"/>
    </row>
    <row r="664" ht="15" customHeight="1">
      <c r="A664" t="inlineStr">
        <is>
          <t>A 21478-2023</t>
        </is>
      </c>
      <c r="B664" s="1" t="n">
        <v>45063.47773148148</v>
      </c>
      <c r="C664" s="1" t="n">
        <v>45933</v>
      </c>
      <c r="D664" t="inlineStr">
        <is>
          <t>UPPSALA LÄN</t>
        </is>
      </c>
      <c r="E664" t="inlineStr">
        <is>
          <t>ÖSTHAMMAR</t>
        </is>
      </c>
      <c r="G664" t="n">
        <v>0.4</v>
      </c>
      <c r="H664" t="n">
        <v>0</v>
      </c>
      <c r="I664" t="n">
        <v>0</v>
      </c>
      <c r="J664" t="n">
        <v>0</v>
      </c>
      <c r="K664" t="n">
        <v>0</v>
      </c>
      <c r="L664" t="n">
        <v>0</v>
      </c>
      <c r="M664" t="n">
        <v>0</v>
      </c>
      <c r="N664" t="n">
        <v>0</v>
      </c>
      <c r="O664" t="n">
        <v>0</v>
      </c>
      <c r="P664" t="n">
        <v>0</v>
      </c>
      <c r="Q664" t="n">
        <v>0</v>
      </c>
      <c r="R664" s="2" t="inlineStr"/>
    </row>
    <row r="665" ht="15" customHeight="1">
      <c r="A665" t="inlineStr">
        <is>
          <t>A 58270-2023</t>
        </is>
      </c>
      <c r="B665" s="1" t="n">
        <v>45250.49961805555</v>
      </c>
      <c r="C665" s="1" t="n">
        <v>45933</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22804-2022</t>
        </is>
      </c>
      <c r="B666" s="1" t="n">
        <v>44715</v>
      </c>
      <c r="C666" s="1" t="n">
        <v>45933</v>
      </c>
      <c r="D666" t="inlineStr">
        <is>
          <t>UPPSALA LÄN</t>
        </is>
      </c>
      <c r="E666" t="inlineStr">
        <is>
          <t>ÖSTHAMMAR</t>
        </is>
      </c>
      <c r="G666" t="n">
        <v>2.7</v>
      </c>
      <c r="H666" t="n">
        <v>0</v>
      </c>
      <c r="I666" t="n">
        <v>0</v>
      </c>
      <c r="J666" t="n">
        <v>0</v>
      </c>
      <c r="K666" t="n">
        <v>0</v>
      </c>
      <c r="L666" t="n">
        <v>0</v>
      </c>
      <c r="M666" t="n">
        <v>0</v>
      </c>
      <c r="N666" t="n">
        <v>0</v>
      </c>
      <c r="O666" t="n">
        <v>0</v>
      </c>
      <c r="P666" t="n">
        <v>0</v>
      </c>
      <c r="Q666" t="n">
        <v>0</v>
      </c>
      <c r="R666" s="2" t="inlineStr"/>
    </row>
    <row r="667" ht="15" customHeight="1">
      <c r="A667" t="inlineStr">
        <is>
          <t>A 57003-2021</t>
        </is>
      </c>
      <c r="B667" s="1" t="n">
        <v>44482.47577546296</v>
      </c>
      <c r="C667" s="1" t="n">
        <v>45933</v>
      </c>
      <c r="D667" t="inlineStr">
        <is>
          <t>UPPSALA LÄN</t>
        </is>
      </c>
      <c r="E667" t="inlineStr">
        <is>
          <t>ÖSTHAMMAR</t>
        </is>
      </c>
      <c r="G667" t="n">
        <v>1.9</v>
      </c>
      <c r="H667" t="n">
        <v>0</v>
      </c>
      <c r="I667" t="n">
        <v>0</v>
      </c>
      <c r="J667" t="n">
        <v>0</v>
      </c>
      <c r="K667" t="n">
        <v>0</v>
      </c>
      <c r="L667" t="n">
        <v>0</v>
      </c>
      <c r="M667" t="n">
        <v>0</v>
      </c>
      <c r="N667" t="n">
        <v>0</v>
      </c>
      <c r="O667" t="n">
        <v>0</v>
      </c>
      <c r="P667" t="n">
        <v>0</v>
      </c>
      <c r="Q667" t="n">
        <v>0</v>
      </c>
      <c r="R667" s="2" t="inlineStr"/>
    </row>
    <row r="668" ht="15" customHeight="1">
      <c r="A668" t="inlineStr">
        <is>
          <t>A 73483-2021</t>
        </is>
      </c>
      <c r="B668" s="1" t="n">
        <v>44550</v>
      </c>
      <c r="C668" s="1" t="n">
        <v>45933</v>
      </c>
      <c r="D668" t="inlineStr">
        <is>
          <t>UPPSALA LÄN</t>
        </is>
      </c>
      <c r="E668" t="inlineStr">
        <is>
          <t>ÖSTHAMMAR</t>
        </is>
      </c>
      <c r="G668" t="n">
        <v>2.8</v>
      </c>
      <c r="H668" t="n">
        <v>0</v>
      </c>
      <c r="I668" t="n">
        <v>0</v>
      </c>
      <c r="J668" t="n">
        <v>0</v>
      </c>
      <c r="K668" t="n">
        <v>0</v>
      </c>
      <c r="L668" t="n">
        <v>0</v>
      </c>
      <c r="M668" t="n">
        <v>0</v>
      </c>
      <c r="N668" t="n">
        <v>0</v>
      </c>
      <c r="O668" t="n">
        <v>0</v>
      </c>
      <c r="P668" t="n">
        <v>0</v>
      </c>
      <c r="Q668" t="n">
        <v>0</v>
      </c>
      <c r="R668" s="2" t="inlineStr"/>
    </row>
    <row r="669" ht="15" customHeight="1">
      <c r="A669" t="inlineStr">
        <is>
          <t>A 24033-2023</t>
        </is>
      </c>
      <c r="B669" s="1" t="n">
        <v>45078</v>
      </c>
      <c r="C669" s="1" t="n">
        <v>45933</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57408-2020</t>
        </is>
      </c>
      <c r="B670" s="1" t="n">
        <v>44140</v>
      </c>
      <c r="C670" s="1" t="n">
        <v>45933</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12262-2023</t>
        </is>
      </c>
      <c r="B671" s="1" t="n">
        <v>44998.66662037037</v>
      </c>
      <c r="C671" s="1" t="n">
        <v>45933</v>
      </c>
      <c r="D671" t="inlineStr">
        <is>
          <t>UPPSALA LÄN</t>
        </is>
      </c>
      <c r="E671" t="inlineStr">
        <is>
          <t>ÖSTHAMMAR</t>
        </is>
      </c>
      <c r="G671" t="n">
        <v>4.1</v>
      </c>
      <c r="H671" t="n">
        <v>0</v>
      </c>
      <c r="I671" t="n">
        <v>0</v>
      </c>
      <c r="J671" t="n">
        <v>0</v>
      </c>
      <c r="K671" t="n">
        <v>0</v>
      </c>
      <c r="L671" t="n">
        <v>0</v>
      </c>
      <c r="M671" t="n">
        <v>0</v>
      </c>
      <c r="N671" t="n">
        <v>0</v>
      </c>
      <c r="O671" t="n">
        <v>0</v>
      </c>
      <c r="P671" t="n">
        <v>0</v>
      </c>
      <c r="Q671" t="n">
        <v>0</v>
      </c>
      <c r="R671" s="2" t="inlineStr"/>
    </row>
    <row r="672" ht="15" customHeight="1">
      <c r="A672" t="inlineStr">
        <is>
          <t>A 5254-2025</t>
        </is>
      </c>
      <c r="B672" s="1" t="n">
        <v>45692</v>
      </c>
      <c r="C672" s="1" t="n">
        <v>45933</v>
      </c>
      <c r="D672" t="inlineStr">
        <is>
          <t>UPPSALA LÄN</t>
        </is>
      </c>
      <c r="E672" t="inlineStr">
        <is>
          <t>ÖSTHAMMAR</t>
        </is>
      </c>
      <c r="G672" t="n">
        <v>5</v>
      </c>
      <c r="H672" t="n">
        <v>0</v>
      </c>
      <c r="I672" t="n">
        <v>0</v>
      </c>
      <c r="J672" t="n">
        <v>0</v>
      </c>
      <c r="K672" t="n">
        <v>0</v>
      </c>
      <c r="L672" t="n">
        <v>0</v>
      </c>
      <c r="M672" t="n">
        <v>0</v>
      </c>
      <c r="N672" t="n">
        <v>0</v>
      </c>
      <c r="O672" t="n">
        <v>0</v>
      </c>
      <c r="P672" t="n">
        <v>0</v>
      </c>
      <c r="Q672" t="n">
        <v>0</v>
      </c>
      <c r="R672" s="2" t="inlineStr"/>
    </row>
    <row r="673" ht="15" customHeight="1">
      <c r="A673" t="inlineStr">
        <is>
          <t>A 44807-2024</t>
        </is>
      </c>
      <c r="B673" s="1" t="n">
        <v>45574.65427083334</v>
      </c>
      <c r="C673" s="1" t="n">
        <v>45933</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45933</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37568-2022</t>
        </is>
      </c>
      <c r="B675" s="1" t="n">
        <v>44809</v>
      </c>
      <c r="C675" s="1" t="n">
        <v>45933</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9542-2023</t>
        </is>
      </c>
      <c r="B676" s="1" t="n">
        <v>44981</v>
      </c>
      <c r="C676" s="1" t="n">
        <v>45933</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55100-2024</t>
        </is>
      </c>
      <c r="B677" s="1" t="n">
        <v>45621.4405787037</v>
      </c>
      <c r="C677" s="1" t="n">
        <v>45933</v>
      </c>
      <c r="D677" t="inlineStr">
        <is>
          <t>UPPSALA LÄN</t>
        </is>
      </c>
      <c r="E677" t="inlineStr">
        <is>
          <t>ÖSTHAMMAR</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26774-2023</t>
        </is>
      </c>
      <c r="B678" s="1" t="n">
        <v>45093.47947916666</v>
      </c>
      <c r="C678" s="1" t="n">
        <v>45933</v>
      </c>
      <c r="D678" t="inlineStr">
        <is>
          <t>UPPSALA LÄN</t>
        </is>
      </c>
      <c r="E678" t="inlineStr">
        <is>
          <t>ÖSTHAMMAR</t>
        </is>
      </c>
      <c r="F678" t="inlineStr">
        <is>
          <t>Bergvik skog öst AB</t>
        </is>
      </c>
      <c r="G678" t="n">
        <v>2.1</v>
      </c>
      <c r="H678" t="n">
        <v>0</v>
      </c>
      <c r="I678" t="n">
        <v>0</v>
      </c>
      <c r="J678" t="n">
        <v>0</v>
      </c>
      <c r="K678" t="n">
        <v>0</v>
      </c>
      <c r="L678" t="n">
        <v>0</v>
      </c>
      <c r="M678" t="n">
        <v>0</v>
      </c>
      <c r="N678" t="n">
        <v>0</v>
      </c>
      <c r="O678" t="n">
        <v>0</v>
      </c>
      <c r="P678" t="n">
        <v>0</v>
      </c>
      <c r="Q678" t="n">
        <v>0</v>
      </c>
      <c r="R678" s="2" t="inlineStr"/>
    </row>
    <row r="679" ht="15" customHeight="1">
      <c r="A679" t="inlineStr">
        <is>
          <t>A 67848-2021</t>
        </is>
      </c>
      <c r="B679" s="1" t="n">
        <v>44525</v>
      </c>
      <c r="C679" s="1" t="n">
        <v>45933</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55097-2024</t>
        </is>
      </c>
      <c r="B680" s="1" t="n">
        <v>45621.43855324074</v>
      </c>
      <c r="C680" s="1" t="n">
        <v>45933</v>
      </c>
      <c r="D680" t="inlineStr">
        <is>
          <t>UPPSALA LÄN</t>
        </is>
      </c>
      <c r="E680" t="inlineStr">
        <is>
          <t>ÖSTHAMMAR</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18230-2025</t>
        </is>
      </c>
      <c r="B681" s="1" t="n">
        <v>45761.87114583333</v>
      </c>
      <c r="C681" s="1" t="n">
        <v>45933</v>
      </c>
      <c r="D681" t="inlineStr">
        <is>
          <t>UPPSALA LÄN</t>
        </is>
      </c>
      <c r="E681" t="inlineStr">
        <is>
          <t>ÖSTHAMMAR</t>
        </is>
      </c>
      <c r="F681" t="inlineStr">
        <is>
          <t>Bergvik skog öst AB</t>
        </is>
      </c>
      <c r="G681" t="n">
        <v>4.2</v>
      </c>
      <c r="H681" t="n">
        <v>0</v>
      </c>
      <c r="I681" t="n">
        <v>0</v>
      </c>
      <c r="J681" t="n">
        <v>0</v>
      </c>
      <c r="K681" t="n">
        <v>0</v>
      </c>
      <c r="L681" t="n">
        <v>0</v>
      </c>
      <c r="M681" t="n">
        <v>0</v>
      </c>
      <c r="N681" t="n">
        <v>0</v>
      </c>
      <c r="O681" t="n">
        <v>0</v>
      </c>
      <c r="P681" t="n">
        <v>0</v>
      </c>
      <c r="Q681" t="n">
        <v>0</v>
      </c>
      <c r="R681" s="2" t="inlineStr"/>
    </row>
    <row r="682" ht="15" customHeight="1">
      <c r="A682" t="inlineStr">
        <is>
          <t>A 37865-2023</t>
        </is>
      </c>
      <c r="B682" s="1" t="n">
        <v>45160</v>
      </c>
      <c r="C682" s="1" t="n">
        <v>45933</v>
      </c>
      <c r="D682" t="inlineStr">
        <is>
          <t>UPPSALA LÄN</t>
        </is>
      </c>
      <c r="E682" t="inlineStr">
        <is>
          <t>ÖSTHAMMAR</t>
        </is>
      </c>
      <c r="G682" t="n">
        <v>1.4</v>
      </c>
      <c r="H682" t="n">
        <v>0</v>
      </c>
      <c r="I682" t="n">
        <v>0</v>
      </c>
      <c r="J682" t="n">
        <v>0</v>
      </c>
      <c r="K682" t="n">
        <v>0</v>
      </c>
      <c r="L682" t="n">
        <v>0</v>
      </c>
      <c r="M682" t="n">
        <v>0</v>
      </c>
      <c r="N682" t="n">
        <v>0</v>
      </c>
      <c r="O682" t="n">
        <v>0</v>
      </c>
      <c r="P682" t="n">
        <v>0</v>
      </c>
      <c r="Q682" t="n">
        <v>0</v>
      </c>
      <c r="R682" s="2" t="inlineStr"/>
    </row>
    <row r="683" ht="15" customHeight="1">
      <c r="A683" t="inlineStr">
        <is>
          <t>A 7100-2025</t>
        </is>
      </c>
      <c r="B683" s="1" t="n">
        <v>45701.83930555556</v>
      </c>
      <c r="C683" s="1" t="n">
        <v>45933</v>
      </c>
      <c r="D683" t="inlineStr">
        <is>
          <t>UPPSALA LÄN</t>
        </is>
      </c>
      <c r="E683" t="inlineStr">
        <is>
          <t>ÖSTHAMMAR</t>
        </is>
      </c>
      <c r="G683" t="n">
        <v>4.3</v>
      </c>
      <c r="H683" t="n">
        <v>0</v>
      </c>
      <c r="I683" t="n">
        <v>0</v>
      </c>
      <c r="J683" t="n">
        <v>0</v>
      </c>
      <c r="K683" t="n">
        <v>0</v>
      </c>
      <c r="L683" t="n">
        <v>0</v>
      </c>
      <c r="M683" t="n">
        <v>0</v>
      </c>
      <c r="N683" t="n">
        <v>0</v>
      </c>
      <c r="O683" t="n">
        <v>0</v>
      </c>
      <c r="P683" t="n">
        <v>0</v>
      </c>
      <c r="Q683" t="n">
        <v>0</v>
      </c>
      <c r="R683" s="2" t="inlineStr"/>
    </row>
    <row r="684" ht="15" customHeight="1">
      <c r="A684" t="inlineStr">
        <is>
          <t>A 54314-2023</t>
        </is>
      </c>
      <c r="B684" s="1" t="n">
        <v>45225</v>
      </c>
      <c r="C684" s="1" t="n">
        <v>45933</v>
      </c>
      <c r="D684" t="inlineStr">
        <is>
          <t>UPPSALA LÄN</t>
        </is>
      </c>
      <c r="E684" t="inlineStr">
        <is>
          <t>ÖSTHAMMAR</t>
        </is>
      </c>
      <c r="G684" t="n">
        <v>5.1</v>
      </c>
      <c r="H684" t="n">
        <v>0</v>
      </c>
      <c r="I684" t="n">
        <v>0</v>
      </c>
      <c r="J684" t="n">
        <v>0</v>
      </c>
      <c r="K684" t="n">
        <v>0</v>
      </c>
      <c r="L684" t="n">
        <v>0</v>
      </c>
      <c r="M684" t="n">
        <v>0</v>
      </c>
      <c r="N684" t="n">
        <v>0</v>
      </c>
      <c r="O684" t="n">
        <v>0</v>
      </c>
      <c r="P684" t="n">
        <v>0</v>
      </c>
      <c r="Q684" t="n">
        <v>0</v>
      </c>
      <c r="R684" s="2" t="inlineStr"/>
    </row>
    <row r="685" ht="15" customHeight="1">
      <c r="A685" t="inlineStr">
        <is>
          <t>A 49796-2024</t>
        </is>
      </c>
      <c r="B685" s="1" t="n">
        <v>45597</v>
      </c>
      <c r="C685" s="1" t="n">
        <v>45933</v>
      </c>
      <c r="D685" t="inlineStr">
        <is>
          <t>UPPSALA LÄN</t>
        </is>
      </c>
      <c r="E685" t="inlineStr">
        <is>
          <t>ÖSTHAMMAR</t>
        </is>
      </c>
      <c r="G685" t="n">
        <v>1.3</v>
      </c>
      <c r="H685" t="n">
        <v>0</v>
      </c>
      <c r="I685" t="n">
        <v>0</v>
      </c>
      <c r="J685" t="n">
        <v>0</v>
      </c>
      <c r="K685" t="n">
        <v>0</v>
      </c>
      <c r="L685" t="n">
        <v>0</v>
      </c>
      <c r="M685" t="n">
        <v>0</v>
      </c>
      <c r="N685" t="n">
        <v>0</v>
      </c>
      <c r="O685" t="n">
        <v>0</v>
      </c>
      <c r="P685" t="n">
        <v>0</v>
      </c>
      <c r="Q685" t="n">
        <v>0</v>
      </c>
      <c r="R685" s="2" t="inlineStr"/>
    </row>
    <row r="686" ht="15" customHeight="1">
      <c r="A686" t="inlineStr">
        <is>
          <t>A 1791-2023</t>
        </is>
      </c>
      <c r="B686" s="1" t="n">
        <v>44938</v>
      </c>
      <c r="C686" s="1" t="n">
        <v>45933</v>
      </c>
      <c r="D686" t="inlineStr">
        <is>
          <t>UPPSALA LÄN</t>
        </is>
      </c>
      <c r="E686" t="inlineStr">
        <is>
          <t>ÖSTHAMMAR</t>
        </is>
      </c>
      <c r="G686" t="n">
        <v>2</v>
      </c>
      <c r="H686" t="n">
        <v>0</v>
      </c>
      <c r="I686" t="n">
        <v>0</v>
      </c>
      <c r="J686" t="n">
        <v>0</v>
      </c>
      <c r="K686" t="n">
        <v>0</v>
      </c>
      <c r="L686" t="n">
        <v>0</v>
      </c>
      <c r="M686" t="n">
        <v>0</v>
      </c>
      <c r="N686" t="n">
        <v>0</v>
      </c>
      <c r="O686" t="n">
        <v>0</v>
      </c>
      <c r="P686" t="n">
        <v>0</v>
      </c>
      <c r="Q686" t="n">
        <v>0</v>
      </c>
      <c r="R686" s="2" t="inlineStr"/>
    </row>
    <row r="687" ht="15" customHeight="1">
      <c r="A687" t="inlineStr">
        <is>
          <t>A 21132-2025</t>
        </is>
      </c>
      <c r="B687" s="1" t="n">
        <v>45778.4108912037</v>
      </c>
      <c r="C687" s="1" t="n">
        <v>45933</v>
      </c>
      <c r="D687" t="inlineStr">
        <is>
          <t>UPPSALA LÄN</t>
        </is>
      </c>
      <c r="E687" t="inlineStr">
        <is>
          <t>ÖSTHAMMAR</t>
        </is>
      </c>
      <c r="G687" t="n">
        <v>10.1</v>
      </c>
      <c r="H687" t="n">
        <v>0</v>
      </c>
      <c r="I687" t="n">
        <v>0</v>
      </c>
      <c r="J687" t="n">
        <v>0</v>
      </c>
      <c r="K687" t="n">
        <v>0</v>
      </c>
      <c r="L687" t="n">
        <v>0</v>
      </c>
      <c r="M687" t="n">
        <v>0</v>
      </c>
      <c r="N687" t="n">
        <v>0</v>
      </c>
      <c r="O687" t="n">
        <v>0</v>
      </c>
      <c r="P687" t="n">
        <v>0</v>
      </c>
      <c r="Q687" t="n">
        <v>0</v>
      </c>
      <c r="R687" s="2" t="inlineStr"/>
    </row>
    <row r="688" ht="15" customHeight="1">
      <c r="A688" t="inlineStr">
        <is>
          <t>A 21133-2025</t>
        </is>
      </c>
      <c r="B688" s="1" t="n">
        <v>45778.415625</v>
      </c>
      <c r="C688" s="1" t="n">
        <v>45933</v>
      </c>
      <c r="D688" t="inlineStr">
        <is>
          <t>UPPSALA LÄN</t>
        </is>
      </c>
      <c r="E688" t="inlineStr">
        <is>
          <t>ÖSTHAMMAR</t>
        </is>
      </c>
      <c r="G688" t="n">
        <v>1.5</v>
      </c>
      <c r="H688" t="n">
        <v>0</v>
      </c>
      <c r="I688" t="n">
        <v>0</v>
      </c>
      <c r="J688" t="n">
        <v>0</v>
      </c>
      <c r="K688" t="n">
        <v>0</v>
      </c>
      <c r="L688" t="n">
        <v>0</v>
      </c>
      <c r="M688" t="n">
        <v>0</v>
      </c>
      <c r="N688" t="n">
        <v>0</v>
      </c>
      <c r="O688" t="n">
        <v>0</v>
      </c>
      <c r="P688" t="n">
        <v>0</v>
      </c>
      <c r="Q688" t="n">
        <v>0</v>
      </c>
      <c r="R688" s="2" t="inlineStr"/>
    </row>
    <row r="689" ht="15" customHeight="1">
      <c r="A689" t="inlineStr">
        <is>
          <t>A 42262-2024</t>
        </is>
      </c>
      <c r="B689" s="1" t="n">
        <v>45562</v>
      </c>
      <c r="C689" s="1" t="n">
        <v>45933</v>
      </c>
      <c r="D689" t="inlineStr">
        <is>
          <t>UPPSALA LÄN</t>
        </is>
      </c>
      <c r="E689" t="inlineStr">
        <is>
          <t>ÖSTHAMMAR</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44796-2024</t>
        </is>
      </c>
      <c r="B690" s="1" t="n">
        <v>45574</v>
      </c>
      <c r="C690" s="1" t="n">
        <v>45933</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22488-2025</t>
        </is>
      </c>
      <c r="B691" s="1" t="n">
        <v>45786.64865740741</v>
      </c>
      <c r="C691" s="1" t="n">
        <v>45933</v>
      </c>
      <c r="D691" t="inlineStr">
        <is>
          <t>UPPSALA LÄN</t>
        </is>
      </c>
      <c r="E691" t="inlineStr">
        <is>
          <t>ÖSTHAMMAR</t>
        </is>
      </c>
      <c r="F691" t="inlineStr">
        <is>
          <t>Bergvik skog öst AB</t>
        </is>
      </c>
      <c r="G691" t="n">
        <v>14.9</v>
      </c>
      <c r="H691" t="n">
        <v>0</v>
      </c>
      <c r="I691" t="n">
        <v>0</v>
      </c>
      <c r="J691" t="n">
        <v>0</v>
      </c>
      <c r="K691" t="n">
        <v>0</v>
      </c>
      <c r="L691" t="n">
        <v>0</v>
      </c>
      <c r="M691" t="n">
        <v>0</v>
      </c>
      <c r="N691" t="n">
        <v>0</v>
      </c>
      <c r="O691" t="n">
        <v>0</v>
      </c>
      <c r="P691" t="n">
        <v>0</v>
      </c>
      <c r="Q691" t="n">
        <v>0</v>
      </c>
      <c r="R691" s="2" t="inlineStr"/>
    </row>
    <row r="692" ht="15" customHeight="1">
      <c r="A692" t="inlineStr">
        <is>
          <t>A 36954-2024</t>
        </is>
      </c>
      <c r="B692" s="1" t="n">
        <v>45538.71109953704</v>
      </c>
      <c r="C692" s="1" t="n">
        <v>45933</v>
      </c>
      <c r="D692" t="inlineStr">
        <is>
          <t>UPPSALA LÄN</t>
        </is>
      </c>
      <c r="E692" t="inlineStr">
        <is>
          <t>ÖSTHAMMAR</t>
        </is>
      </c>
      <c r="F692" t="inlineStr">
        <is>
          <t>Bergvik skog öst AB</t>
        </is>
      </c>
      <c r="G692" t="n">
        <v>5.1</v>
      </c>
      <c r="H692" t="n">
        <v>0</v>
      </c>
      <c r="I692" t="n">
        <v>0</v>
      </c>
      <c r="J692" t="n">
        <v>0</v>
      </c>
      <c r="K692" t="n">
        <v>0</v>
      </c>
      <c r="L692" t="n">
        <v>0</v>
      </c>
      <c r="M692" t="n">
        <v>0</v>
      </c>
      <c r="N692" t="n">
        <v>0</v>
      </c>
      <c r="O692" t="n">
        <v>0</v>
      </c>
      <c r="P692" t="n">
        <v>0</v>
      </c>
      <c r="Q692" t="n">
        <v>0</v>
      </c>
      <c r="R692" s="2" t="inlineStr"/>
    </row>
    <row r="693" ht="15" customHeight="1">
      <c r="A693" t="inlineStr">
        <is>
          <t>A 22483-2025</t>
        </is>
      </c>
      <c r="B693" s="1" t="n">
        <v>45786.64141203704</v>
      </c>
      <c r="C693" s="1" t="n">
        <v>45933</v>
      </c>
      <c r="D693" t="inlineStr">
        <is>
          <t>UPPSALA LÄN</t>
        </is>
      </c>
      <c r="E693" t="inlineStr">
        <is>
          <t>ÖSTHAMMAR</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59291-2023</t>
        </is>
      </c>
      <c r="B694" s="1" t="n">
        <v>45253.57559027777</v>
      </c>
      <c r="C694" s="1" t="n">
        <v>45933</v>
      </c>
      <c r="D694" t="inlineStr">
        <is>
          <t>UPPSALA LÄN</t>
        </is>
      </c>
      <c r="E694" t="inlineStr">
        <is>
          <t>ÖSTHAMMAR</t>
        </is>
      </c>
      <c r="G694" t="n">
        <v>1.7</v>
      </c>
      <c r="H694" t="n">
        <v>0</v>
      </c>
      <c r="I694" t="n">
        <v>0</v>
      </c>
      <c r="J694" t="n">
        <v>0</v>
      </c>
      <c r="K694" t="n">
        <v>0</v>
      </c>
      <c r="L694" t="n">
        <v>0</v>
      </c>
      <c r="M694" t="n">
        <v>0</v>
      </c>
      <c r="N694" t="n">
        <v>0</v>
      </c>
      <c r="O694" t="n">
        <v>0</v>
      </c>
      <c r="P694" t="n">
        <v>0</v>
      </c>
      <c r="Q694" t="n">
        <v>0</v>
      </c>
      <c r="R694" s="2" t="inlineStr"/>
    </row>
    <row r="695" ht="15" customHeight="1">
      <c r="A695" t="inlineStr">
        <is>
          <t>A 43685-2024</t>
        </is>
      </c>
      <c r="B695" s="1" t="n">
        <v>45569</v>
      </c>
      <c r="C695" s="1" t="n">
        <v>45933</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38575-2024</t>
        </is>
      </c>
      <c r="B696" s="1" t="n">
        <v>45546.64221064815</v>
      </c>
      <c r="C696" s="1" t="n">
        <v>45933</v>
      </c>
      <c r="D696" t="inlineStr">
        <is>
          <t>UPPSALA LÄN</t>
        </is>
      </c>
      <c r="E696" t="inlineStr">
        <is>
          <t>ÖSTHAMMAR</t>
        </is>
      </c>
      <c r="F696" t="inlineStr">
        <is>
          <t>Bergvik skog öst AB</t>
        </is>
      </c>
      <c r="G696" t="n">
        <v>5.1</v>
      </c>
      <c r="H696" t="n">
        <v>0</v>
      </c>
      <c r="I696" t="n">
        <v>0</v>
      </c>
      <c r="J696" t="n">
        <v>0</v>
      </c>
      <c r="K696" t="n">
        <v>0</v>
      </c>
      <c r="L696" t="n">
        <v>0</v>
      </c>
      <c r="M696" t="n">
        <v>0</v>
      </c>
      <c r="N696" t="n">
        <v>0</v>
      </c>
      <c r="O696" t="n">
        <v>0</v>
      </c>
      <c r="P696" t="n">
        <v>0</v>
      </c>
      <c r="Q696" t="n">
        <v>0</v>
      </c>
      <c r="R696" s="2" t="inlineStr"/>
    </row>
    <row r="697" ht="15" customHeight="1">
      <c r="A697" t="inlineStr">
        <is>
          <t>A 43993-2024</t>
        </is>
      </c>
      <c r="B697" s="1" t="n">
        <v>45572.52690972222</v>
      </c>
      <c r="C697" s="1" t="n">
        <v>45933</v>
      </c>
      <c r="D697" t="inlineStr">
        <is>
          <t>UPPSALA LÄN</t>
        </is>
      </c>
      <c r="E697" t="inlineStr">
        <is>
          <t>ÖSTHAMMAR</t>
        </is>
      </c>
      <c r="G697" t="n">
        <v>1.5</v>
      </c>
      <c r="H697" t="n">
        <v>0</v>
      </c>
      <c r="I697" t="n">
        <v>0</v>
      </c>
      <c r="J697" t="n">
        <v>0</v>
      </c>
      <c r="K697" t="n">
        <v>0</v>
      </c>
      <c r="L697" t="n">
        <v>0</v>
      </c>
      <c r="M697" t="n">
        <v>0</v>
      </c>
      <c r="N697" t="n">
        <v>0</v>
      </c>
      <c r="O697" t="n">
        <v>0</v>
      </c>
      <c r="P697" t="n">
        <v>0</v>
      </c>
      <c r="Q697" t="n">
        <v>0</v>
      </c>
      <c r="R697" s="2" t="inlineStr"/>
    </row>
    <row r="698" ht="15" customHeight="1">
      <c r="A698" t="inlineStr">
        <is>
          <t>A 22492-2025</t>
        </is>
      </c>
      <c r="B698" s="1" t="n">
        <v>45786.65072916666</v>
      </c>
      <c r="C698" s="1" t="n">
        <v>45933</v>
      </c>
      <c r="D698" t="inlineStr">
        <is>
          <t>UPPSALA LÄN</t>
        </is>
      </c>
      <c r="E698" t="inlineStr">
        <is>
          <t>ÖSTHAMMAR</t>
        </is>
      </c>
      <c r="F698" t="inlineStr">
        <is>
          <t>Bergvik skog öst AB</t>
        </is>
      </c>
      <c r="G698" t="n">
        <v>16.6</v>
      </c>
      <c r="H698" t="n">
        <v>0</v>
      </c>
      <c r="I698" t="n">
        <v>0</v>
      </c>
      <c r="J698" t="n">
        <v>0</v>
      </c>
      <c r="K698" t="n">
        <v>0</v>
      </c>
      <c r="L698" t="n">
        <v>0</v>
      </c>
      <c r="M698" t="n">
        <v>0</v>
      </c>
      <c r="N698" t="n">
        <v>0</v>
      </c>
      <c r="O698" t="n">
        <v>0</v>
      </c>
      <c r="P698" t="n">
        <v>0</v>
      </c>
      <c r="Q698" t="n">
        <v>0</v>
      </c>
      <c r="R698" s="2" t="inlineStr"/>
    </row>
    <row r="699" ht="15" customHeight="1">
      <c r="A699" t="inlineStr">
        <is>
          <t>A 5931-2022</t>
        </is>
      </c>
      <c r="B699" s="1" t="n">
        <v>44598.82700231481</v>
      </c>
      <c r="C699" s="1" t="n">
        <v>45933</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43655-2024</t>
        </is>
      </c>
      <c r="B700" s="1" t="n">
        <v>45569</v>
      </c>
      <c r="C700" s="1" t="n">
        <v>45933</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43683-2024</t>
        </is>
      </c>
      <c r="B701" s="1" t="n">
        <v>45569.57518518518</v>
      </c>
      <c r="C701" s="1" t="n">
        <v>45933</v>
      </c>
      <c r="D701" t="inlineStr">
        <is>
          <t>UPPSALA LÄN</t>
        </is>
      </c>
      <c r="E701" t="inlineStr">
        <is>
          <t>ÖSTHAMMAR</t>
        </is>
      </c>
      <c r="G701" t="n">
        <v>4.7</v>
      </c>
      <c r="H701" t="n">
        <v>0</v>
      </c>
      <c r="I701" t="n">
        <v>0</v>
      </c>
      <c r="J701" t="n">
        <v>0</v>
      </c>
      <c r="K701" t="n">
        <v>0</v>
      </c>
      <c r="L701" t="n">
        <v>0</v>
      </c>
      <c r="M701" t="n">
        <v>0</v>
      </c>
      <c r="N701" t="n">
        <v>0</v>
      </c>
      <c r="O701" t="n">
        <v>0</v>
      </c>
      <c r="P701" t="n">
        <v>0</v>
      </c>
      <c r="Q701" t="n">
        <v>0</v>
      </c>
      <c r="R701" s="2" t="inlineStr"/>
    </row>
    <row r="702" ht="15" customHeight="1">
      <c r="A702" t="inlineStr">
        <is>
          <t>A 32483-2024</t>
        </is>
      </c>
      <c r="B702" s="1" t="n">
        <v>45513.36644675926</v>
      </c>
      <c r="C702" s="1" t="n">
        <v>45933</v>
      </c>
      <c r="D702" t="inlineStr">
        <is>
          <t>UPPSALA LÄN</t>
        </is>
      </c>
      <c r="E702" t="inlineStr">
        <is>
          <t>ÖSTHAMMAR</t>
        </is>
      </c>
      <c r="F702" t="inlineStr">
        <is>
          <t>Kyrkan</t>
        </is>
      </c>
      <c r="G702" t="n">
        <v>4.7</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45013.57858796296</v>
      </c>
      <c r="C703" s="1" t="n">
        <v>45933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33685-2024</t>
        </is>
      </c>
      <c r="B704" s="1" t="n">
        <v>45520.51063657407</v>
      </c>
      <c r="C704" s="1" t="n">
        <v>45933</v>
      </c>
      <c r="D704" t="inlineStr">
        <is>
          <t>UPPSALA LÄN</t>
        </is>
      </c>
      <c r="E704" t="inlineStr">
        <is>
          <t>ÖSTHAMMAR</t>
        </is>
      </c>
      <c r="F704" t="inlineStr">
        <is>
          <t>Bergvik skog öst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44027-2024</t>
        </is>
      </c>
      <c r="B705" s="1" t="n">
        <v>45572</v>
      </c>
      <c r="C705" s="1" t="n">
        <v>45933</v>
      </c>
      <c r="D705" t="inlineStr">
        <is>
          <t>UPPSALA LÄN</t>
        </is>
      </c>
      <c r="E705" t="inlineStr">
        <is>
          <t>ÖSTHAMMAR</t>
        </is>
      </c>
      <c r="G705" t="n">
        <v>6</v>
      </c>
      <c r="H705" t="n">
        <v>0</v>
      </c>
      <c r="I705" t="n">
        <v>0</v>
      </c>
      <c r="J705" t="n">
        <v>0</v>
      </c>
      <c r="K705" t="n">
        <v>0</v>
      </c>
      <c r="L705" t="n">
        <v>0</v>
      </c>
      <c r="M705" t="n">
        <v>0</v>
      </c>
      <c r="N705" t="n">
        <v>0</v>
      </c>
      <c r="O705" t="n">
        <v>0</v>
      </c>
      <c r="P705" t="n">
        <v>0</v>
      </c>
      <c r="Q705" t="n">
        <v>0</v>
      </c>
      <c r="R705" s="2" t="inlineStr"/>
    </row>
    <row r="706" ht="15" customHeight="1">
      <c r="A706" t="inlineStr">
        <is>
          <t>A 23305-2025</t>
        </is>
      </c>
      <c r="B706" s="1" t="n">
        <v>45791.60127314815</v>
      </c>
      <c r="C706" s="1" t="n">
        <v>45933</v>
      </c>
      <c r="D706" t="inlineStr">
        <is>
          <t>UPPSALA LÄN</t>
        </is>
      </c>
      <c r="E706" t="inlineStr">
        <is>
          <t>ÖSTHAMMAR</t>
        </is>
      </c>
      <c r="G706" t="n">
        <v>1.9</v>
      </c>
      <c r="H706" t="n">
        <v>0</v>
      </c>
      <c r="I706" t="n">
        <v>0</v>
      </c>
      <c r="J706" t="n">
        <v>0</v>
      </c>
      <c r="K706" t="n">
        <v>0</v>
      </c>
      <c r="L706" t="n">
        <v>0</v>
      </c>
      <c r="M706" t="n">
        <v>0</v>
      </c>
      <c r="N706" t="n">
        <v>0</v>
      </c>
      <c r="O706" t="n">
        <v>0</v>
      </c>
      <c r="P706" t="n">
        <v>0</v>
      </c>
      <c r="Q706" t="n">
        <v>0</v>
      </c>
      <c r="R706" s="2" t="inlineStr"/>
    </row>
    <row r="707" ht="15" customHeight="1">
      <c r="A707" t="inlineStr">
        <is>
          <t>A 24606-2024</t>
        </is>
      </c>
      <c r="B707" s="1" t="n">
        <v>45460</v>
      </c>
      <c r="C707" s="1" t="n">
        <v>45933</v>
      </c>
      <c r="D707" t="inlineStr">
        <is>
          <t>UPPSALA LÄN</t>
        </is>
      </c>
      <c r="E707" t="inlineStr">
        <is>
          <t>ÖSTHAMMAR</t>
        </is>
      </c>
      <c r="F707" t="inlineStr">
        <is>
          <t>Bergvik skog öst AB</t>
        </is>
      </c>
      <c r="G707" t="n">
        <v>2.9</v>
      </c>
      <c r="H707" t="n">
        <v>0</v>
      </c>
      <c r="I707" t="n">
        <v>0</v>
      </c>
      <c r="J707" t="n">
        <v>0</v>
      </c>
      <c r="K707" t="n">
        <v>0</v>
      </c>
      <c r="L707" t="n">
        <v>0</v>
      </c>
      <c r="M707" t="n">
        <v>0</v>
      </c>
      <c r="N707" t="n">
        <v>0</v>
      </c>
      <c r="O707" t="n">
        <v>0</v>
      </c>
      <c r="P707" t="n">
        <v>0</v>
      </c>
      <c r="Q707" t="n">
        <v>0</v>
      </c>
      <c r="R707" s="2" t="inlineStr"/>
    </row>
    <row r="708" ht="15" customHeight="1">
      <c r="A708" t="inlineStr">
        <is>
          <t>A 23968-2025</t>
        </is>
      </c>
      <c r="B708" s="1" t="n">
        <v>45796</v>
      </c>
      <c r="C708" s="1" t="n">
        <v>45933</v>
      </c>
      <c r="D708" t="inlineStr">
        <is>
          <t>UPPSALA LÄN</t>
        </is>
      </c>
      <c r="E708" t="inlineStr">
        <is>
          <t>ÖSTHAMMAR</t>
        </is>
      </c>
      <c r="F708" t="inlineStr">
        <is>
          <t>Bergvik skog öst AB</t>
        </is>
      </c>
      <c r="G708" t="n">
        <v>7.5</v>
      </c>
      <c r="H708" t="n">
        <v>0</v>
      </c>
      <c r="I708" t="n">
        <v>0</v>
      </c>
      <c r="J708" t="n">
        <v>0</v>
      </c>
      <c r="K708" t="n">
        <v>0</v>
      </c>
      <c r="L708" t="n">
        <v>0</v>
      </c>
      <c r="M708" t="n">
        <v>0</v>
      </c>
      <c r="N708" t="n">
        <v>0</v>
      </c>
      <c r="O708" t="n">
        <v>0</v>
      </c>
      <c r="P708" t="n">
        <v>0</v>
      </c>
      <c r="Q708" t="n">
        <v>0</v>
      </c>
      <c r="R708" s="2" t="inlineStr"/>
    </row>
    <row r="709" ht="15" customHeight="1">
      <c r="A709" t="inlineStr">
        <is>
          <t>A 24160-2024</t>
        </is>
      </c>
      <c r="B709" s="1" t="n">
        <v>45456</v>
      </c>
      <c r="C709" s="1" t="n">
        <v>45933</v>
      </c>
      <c r="D709" t="inlineStr">
        <is>
          <t>UPPSALA LÄN</t>
        </is>
      </c>
      <c r="E709" t="inlineStr">
        <is>
          <t>ÖSTHAMMAR</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1584-2025</t>
        </is>
      </c>
      <c r="B710" s="1" t="n">
        <v>45670</v>
      </c>
      <c r="C710" s="1" t="n">
        <v>45933</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24174-2025</t>
        </is>
      </c>
      <c r="B711" s="1" t="n">
        <v>45796.69207175926</v>
      </c>
      <c r="C711" s="1" t="n">
        <v>45933</v>
      </c>
      <c r="D711" t="inlineStr">
        <is>
          <t>UPPSALA LÄN</t>
        </is>
      </c>
      <c r="E711" t="inlineStr">
        <is>
          <t>ÖSTHAMMAR</t>
        </is>
      </c>
      <c r="G711" t="n">
        <v>4.9</v>
      </c>
      <c r="H711" t="n">
        <v>0</v>
      </c>
      <c r="I711" t="n">
        <v>0</v>
      </c>
      <c r="J711" t="n">
        <v>0</v>
      </c>
      <c r="K711" t="n">
        <v>0</v>
      </c>
      <c r="L711" t="n">
        <v>0</v>
      </c>
      <c r="M711" t="n">
        <v>0</v>
      </c>
      <c r="N711" t="n">
        <v>0</v>
      </c>
      <c r="O711" t="n">
        <v>0</v>
      </c>
      <c r="P711" t="n">
        <v>0</v>
      </c>
      <c r="Q711" t="n">
        <v>0</v>
      </c>
      <c r="R711" s="2" t="inlineStr"/>
    </row>
    <row r="712" ht="15" customHeight="1">
      <c r="A712" t="inlineStr">
        <is>
          <t>A 30972-2024</t>
        </is>
      </c>
      <c r="B712" s="1" t="n">
        <v>45499.47106481482</v>
      </c>
      <c r="C712" s="1" t="n">
        <v>45933</v>
      </c>
      <c r="D712" t="inlineStr">
        <is>
          <t>UPPSALA LÄN</t>
        </is>
      </c>
      <c r="E712" t="inlineStr">
        <is>
          <t>ÖSTHAMMAR</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24389-2025</t>
        </is>
      </c>
      <c r="B713" s="1" t="n">
        <v>45797.63553240741</v>
      </c>
      <c r="C713" s="1" t="n">
        <v>45933</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24401-2025</t>
        </is>
      </c>
      <c r="B714" s="1" t="n">
        <v>45797.64908564815</v>
      </c>
      <c r="C714" s="1" t="n">
        <v>45933</v>
      </c>
      <c r="D714" t="inlineStr">
        <is>
          <t>UPPSALA LÄN</t>
        </is>
      </c>
      <c r="E714" t="inlineStr">
        <is>
          <t>ÖSTHAMMAR</t>
        </is>
      </c>
      <c r="G714" t="n">
        <v>1.4</v>
      </c>
      <c r="H714" t="n">
        <v>0</v>
      </c>
      <c r="I714" t="n">
        <v>0</v>
      </c>
      <c r="J714" t="n">
        <v>0</v>
      </c>
      <c r="K714" t="n">
        <v>0</v>
      </c>
      <c r="L714" t="n">
        <v>0</v>
      </c>
      <c r="M714" t="n">
        <v>0</v>
      </c>
      <c r="N714" t="n">
        <v>0</v>
      </c>
      <c r="O714" t="n">
        <v>0</v>
      </c>
      <c r="P714" t="n">
        <v>0</v>
      </c>
      <c r="Q714" t="n">
        <v>0</v>
      </c>
      <c r="R714" s="2" t="inlineStr"/>
    </row>
    <row r="715" ht="15" customHeight="1">
      <c r="A715" t="inlineStr">
        <is>
          <t>A 24408-2025</t>
        </is>
      </c>
      <c r="B715" s="1" t="n">
        <v>45797.65774305556</v>
      </c>
      <c r="C715" s="1" t="n">
        <v>45933</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24415-2025</t>
        </is>
      </c>
      <c r="B716" s="1" t="n">
        <v>45797.67381944445</v>
      </c>
      <c r="C716" s="1" t="n">
        <v>45933</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24412-2025</t>
        </is>
      </c>
      <c r="B717" s="1" t="n">
        <v>45797.6671412037</v>
      </c>
      <c r="C717" s="1" t="n">
        <v>45933</v>
      </c>
      <c r="D717" t="inlineStr">
        <is>
          <t>UPPSALA LÄN</t>
        </is>
      </c>
      <c r="E717" t="inlineStr">
        <is>
          <t>ÖSTHAMMAR</t>
        </is>
      </c>
      <c r="G717" t="n">
        <v>1.2</v>
      </c>
      <c r="H717" t="n">
        <v>0</v>
      </c>
      <c r="I717" t="n">
        <v>0</v>
      </c>
      <c r="J717" t="n">
        <v>0</v>
      </c>
      <c r="K717" t="n">
        <v>0</v>
      </c>
      <c r="L717" t="n">
        <v>0</v>
      </c>
      <c r="M717" t="n">
        <v>0</v>
      </c>
      <c r="N717" t="n">
        <v>0</v>
      </c>
      <c r="O717" t="n">
        <v>0</v>
      </c>
      <c r="P717" t="n">
        <v>0</v>
      </c>
      <c r="Q717" t="n">
        <v>0</v>
      </c>
      <c r="R717" s="2" t="inlineStr"/>
    </row>
    <row r="718" ht="15" customHeight="1">
      <c r="A718" t="inlineStr">
        <is>
          <t>A 25049-2025</t>
        </is>
      </c>
      <c r="B718" s="1" t="n">
        <v>45799.66876157407</v>
      </c>
      <c r="C718" s="1" t="n">
        <v>45933</v>
      </c>
      <c r="D718" t="inlineStr">
        <is>
          <t>UPPSALA LÄN</t>
        </is>
      </c>
      <c r="E718" t="inlineStr">
        <is>
          <t>ÖSTHAMMAR</t>
        </is>
      </c>
      <c r="F718" t="inlineStr">
        <is>
          <t>Bergvik skog öst AB</t>
        </is>
      </c>
      <c r="G718" t="n">
        <v>3.8</v>
      </c>
      <c r="H718" t="n">
        <v>0</v>
      </c>
      <c r="I718" t="n">
        <v>0</v>
      </c>
      <c r="J718" t="n">
        <v>0</v>
      </c>
      <c r="K718" t="n">
        <v>0</v>
      </c>
      <c r="L718" t="n">
        <v>0</v>
      </c>
      <c r="M718" t="n">
        <v>0</v>
      </c>
      <c r="N718" t="n">
        <v>0</v>
      </c>
      <c r="O718" t="n">
        <v>0</v>
      </c>
      <c r="P718" t="n">
        <v>0</v>
      </c>
      <c r="Q718" t="n">
        <v>0</v>
      </c>
      <c r="R718" s="2" t="inlineStr"/>
    </row>
    <row r="719" ht="15" customHeight="1">
      <c r="A719" t="inlineStr">
        <is>
          <t>A 24944-2025</t>
        </is>
      </c>
      <c r="B719" s="1" t="n">
        <v>45799.56347222222</v>
      </c>
      <c r="C719" s="1" t="n">
        <v>45933</v>
      </c>
      <c r="D719" t="inlineStr">
        <is>
          <t>UPPSALA LÄN</t>
        </is>
      </c>
      <c r="E719" t="inlineStr">
        <is>
          <t>ÖSTHAMMAR</t>
        </is>
      </c>
      <c r="G719" t="n">
        <v>7.3</v>
      </c>
      <c r="H719" t="n">
        <v>0</v>
      </c>
      <c r="I719" t="n">
        <v>0</v>
      </c>
      <c r="J719" t="n">
        <v>0</v>
      </c>
      <c r="K719" t="n">
        <v>0</v>
      </c>
      <c r="L719" t="n">
        <v>0</v>
      </c>
      <c r="M719" t="n">
        <v>0</v>
      </c>
      <c r="N719" t="n">
        <v>0</v>
      </c>
      <c r="O719" t="n">
        <v>0</v>
      </c>
      <c r="P719" t="n">
        <v>0</v>
      </c>
      <c r="Q719" t="n">
        <v>0</v>
      </c>
      <c r="R719" s="2" t="inlineStr"/>
    </row>
    <row r="720" ht="15" customHeight="1">
      <c r="A720" t="inlineStr">
        <is>
          <t>A 16089-2025</t>
        </is>
      </c>
      <c r="B720" s="1" t="n">
        <v>45749.84232638889</v>
      </c>
      <c r="C720" s="1" t="n">
        <v>45933</v>
      </c>
      <c r="D720" t="inlineStr">
        <is>
          <t>UPPSALA LÄN</t>
        </is>
      </c>
      <c r="E720" t="inlineStr">
        <is>
          <t>ÖSTHAMMAR</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34185-2024</t>
        </is>
      </c>
      <c r="B721" s="1" t="n">
        <v>45524</v>
      </c>
      <c r="C721" s="1" t="n">
        <v>45933</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14170-2025</t>
        </is>
      </c>
      <c r="B722" s="1" t="n">
        <v>45740.51895833333</v>
      </c>
      <c r="C722" s="1" t="n">
        <v>45933</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c r="A723" t="inlineStr">
        <is>
          <t>A 12945-2025</t>
        </is>
      </c>
      <c r="B723" s="1" t="n">
        <v>45734.38159722222</v>
      </c>
      <c r="C723" s="1" t="n">
        <v>45933</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2025-10-03T12:33:49Z</dcterms:created>
  <dcterms:modified xmlns:dcterms="http://purl.org/dc/terms/" xmlns:xsi="http://www.w3.org/2001/XMLSchema-instance" xsi:type="dcterms:W3CDTF">2025-10-03T12:33:49Z</dcterms:modified>
</cp:coreProperties>
</file>