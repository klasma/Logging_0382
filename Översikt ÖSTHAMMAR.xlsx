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45786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45786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45786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45786</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45786</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45786</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45786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45786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45786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45786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45786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45786</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45786</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45786</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45786</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45786</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45786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45786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45786</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45786</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45786</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45786</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45786</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45786</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45786</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45786</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45786</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45786</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45786</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45786</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45786</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45786</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45786</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45786</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45786</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45786</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45786</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45786</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45786</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45786</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45786</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45786</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45786</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45786</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45786</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45786</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45786</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45786</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45786</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45786</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45786</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45786</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45786</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45786</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45786</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45786</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45786</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45786</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45786</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45786</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45786</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45786</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45786</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45786</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45786</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45786</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45786</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45786</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45786</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45786</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45786</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45786</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45786</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45786</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45786</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45786</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45786</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45786</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45786</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45786</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45786</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45786</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45786</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45786</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45786</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45786</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45786</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45786</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45786</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45786</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45786</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45786</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45786</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45786</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45786</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45786</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45786</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45786</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45786</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45786</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45786</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45786</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45786</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45786</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45786</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45786</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45786</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45786</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45786</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45786</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45786</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45786</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45786</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45786</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45786</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45786</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45786</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45786</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45786</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45786</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45786</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45786</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45786</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45786</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45786</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45786</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45786</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45786</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45786</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45786</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45786</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45786</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45786</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45786</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45786</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45786</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45786</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45786</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45786</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45786</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45786</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45786</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45786</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45786</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45786</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45786</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45786</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45786</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45786</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45786</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45786</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45786</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45786</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45786</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45786</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45786</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45786</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45786</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45786</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45786</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45786</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45786</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45786</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45786</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45786</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45786</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45786</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45786</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45786</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45786</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53706-2023</t>
        </is>
      </c>
      <c r="B172" s="1" t="n">
        <v>45230</v>
      </c>
      <c r="C172" s="1" t="n">
        <v>45786</v>
      </c>
      <c r="D172" t="inlineStr">
        <is>
          <t>UPPSALA LÄN</t>
        </is>
      </c>
      <c r="E172" t="inlineStr">
        <is>
          <t>ÖSTHAMMAR</t>
        </is>
      </c>
      <c r="G172" t="n">
        <v>2.9</v>
      </c>
      <c r="H172" t="n">
        <v>0</v>
      </c>
      <c r="I172" t="n">
        <v>1</v>
      </c>
      <c r="J172" t="n">
        <v>0</v>
      </c>
      <c r="K172" t="n">
        <v>0</v>
      </c>
      <c r="L172" t="n">
        <v>0</v>
      </c>
      <c r="M172" t="n">
        <v>0</v>
      </c>
      <c r="N172" t="n">
        <v>0</v>
      </c>
      <c r="O172" t="n">
        <v>0</v>
      </c>
      <c r="P172" t="n">
        <v>0</v>
      </c>
      <c r="Q172" t="n">
        <v>1</v>
      </c>
      <c r="R172" s="2" t="inlineStr">
        <is>
          <t>Dofttråding</t>
        </is>
      </c>
      <c r="S172">
        <f>HYPERLINK("https://klasma.github.io/Logging_0382/artfynd/A 53706-2023 artfynd.xlsx", "A 53706-2023")</f>
        <v/>
      </c>
      <c r="T172">
        <f>HYPERLINK("https://klasma.github.io/Logging_0382/kartor/A 53706-2023 karta.png", "A 53706-2023")</f>
        <v/>
      </c>
      <c r="V172">
        <f>HYPERLINK("https://klasma.github.io/Logging_0382/klagomål/A 53706-2023 FSC-klagomål.docx", "A 53706-2023")</f>
        <v/>
      </c>
      <c r="W172">
        <f>HYPERLINK("https://klasma.github.io/Logging_0382/klagomålsmail/A 53706-2023 FSC-klagomål mail.docx", "A 53706-2023")</f>
        <v/>
      </c>
      <c r="X172">
        <f>HYPERLINK("https://klasma.github.io/Logging_0382/tillsyn/A 53706-2023 tillsynsbegäran.docx", "A 53706-2023")</f>
        <v/>
      </c>
      <c r="Y172">
        <f>HYPERLINK("https://klasma.github.io/Logging_0382/tillsynsmail/A 53706-2023 tillsynsbegäran mail.docx", "A 53706-2023")</f>
        <v/>
      </c>
    </row>
    <row r="173" ht="15" customHeight="1">
      <c r="A173" t="inlineStr">
        <is>
          <t>A 53729-2023</t>
        </is>
      </c>
      <c r="B173" s="1" t="n">
        <v>45230</v>
      </c>
      <c r="C173" s="1" t="n">
        <v>45786</v>
      </c>
      <c r="D173" t="inlineStr">
        <is>
          <t>UPPSALA LÄN</t>
        </is>
      </c>
      <c r="E173" t="inlineStr">
        <is>
          <t>ÖSTHAMMAR</t>
        </is>
      </c>
      <c r="G173" t="n">
        <v>2.6</v>
      </c>
      <c r="H173" t="n">
        <v>1</v>
      </c>
      <c r="I173" t="n">
        <v>0</v>
      </c>
      <c r="J173" t="n">
        <v>0</v>
      </c>
      <c r="K173" t="n">
        <v>0</v>
      </c>
      <c r="L173" t="n">
        <v>0</v>
      </c>
      <c r="M173" t="n">
        <v>0</v>
      </c>
      <c r="N173" t="n">
        <v>0</v>
      </c>
      <c r="O173" t="n">
        <v>0</v>
      </c>
      <c r="P173" t="n">
        <v>0</v>
      </c>
      <c r="Q173" t="n">
        <v>1</v>
      </c>
      <c r="R173" s="2" t="inlineStr">
        <is>
          <t>Gullviva</t>
        </is>
      </c>
      <c r="S173">
        <f>HYPERLINK("https://klasma.github.io/Logging_0382/artfynd/A 53729-2023 artfynd.xlsx", "A 53729-2023")</f>
        <v/>
      </c>
      <c r="T173">
        <f>HYPERLINK("https://klasma.github.io/Logging_0382/kartor/A 53729-2023 karta.png", "A 53729-2023")</f>
        <v/>
      </c>
      <c r="V173">
        <f>HYPERLINK("https://klasma.github.io/Logging_0382/klagomål/A 53729-2023 FSC-klagomål.docx", "A 53729-2023")</f>
        <v/>
      </c>
      <c r="W173">
        <f>HYPERLINK("https://klasma.github.io/Logging_0382/klagomålsmail/A 53729-2023 FSC-klagomål mail.docx", "A 53729-2023")</f>
        <v/>
      </c>
      <c r="X173">
        <f>HYPERLINK("https://klasma.github.io/Logging_0382/tillsyn/A 53729-2023 tillsynsbegäran.docx", "A 53729-2023")</f>
        <v/>
      </c>
      <c r="Y173">
        <f>HYPERLINK("https://klasma.github.io/Logging_0382/tillsynsmail/A 53729-2023 tillsynsbegäran mail.docx", "A 53729-2023")</f>
        <v/>
      </c>
    </row>
    <row r="174" ht="15" customHeight="1">
      <c r="A174" t="inlineStr">
        <is>
          <t>A 55492-2023</t>
        </is>
      </c>
      <c r="B174" s="1" t="n">
        <v>45238</v>
      </c>
      <c r="C174" s="1" t="n">
        <v>45786</v>
      </c>
      <c r="D174" t="inlineStr">
        <is>
          <t>UPPSALA LÄN</t>
        </is>
      </c>
      <c r="E174" t="inlineStr">
        <is>
          <t>ÖSTHAMMAR</t>
        </is>
      </c>
      <c r="G174" t="n">
        <v>3.1</v>
      </c>
      <c r="H174" t="n">
        <v>0</v>
      </c>
      <c r="I174" t="n">
        <v>0</v>
      </c>
      <c r="J174" t="n">
        <v>0</v>
      </c>
      <c r="K174" t="n">
        <v>1</v>
      </c>
      <c r="L174" t="n">
        <v>0</v>
      </c>
      <c r="M174" t="n">
        <v>0</v>
      </c>
      <c r="N174" t="n">
        <v>0</v>
      </c>
      <c r="O174" t="n">
        <v>1</v>
      </c>
      <c r="P174" t="n">
        <v>1</v>
      </c>
      <c r="Q174" t="n">
        <v>1</v>
      </c>
      <c r="R174" s="2" t="inlineStr">
        <is>
          <t>Violgubbe</t>
        </is>
      </c>
      <c r="S174">
        <f>HYPERLINK("https://klasma.github.io/Logging_0382/artfynd/A 55492-2023 artfynd.xlsx", "A 55492-2023")</f>
        <v/>
      </c>
      <c r="T174">
        <f>HYPERLINK("https://klasma.github.io/Logging_0382/kartor/A 55492-2023 karta.png", "A 55492-2023")</f>
        <v/>
      </c>
      <c r="V174">
        <f>HYPERLINK("https://klasma.github.io/Logging_0382/klagomål/A 55492-2023 FSC-klagomål.docx", "A 55492-2023")</f>
        <v/>
      </c>
      <c r="W174">
        <f>HYPERLINK("https://klasma.github.io/Logging_0382/klagomålsmail/A 55492-2023 FSC-klagomål mail.docx", "A 55492-2023")</f>
        <v/>
      </c>
      <c r="X174">
        <f>HYPERLINK("https://klasma.github.io/Logging_0382/tillsyn/A 55492-2023 tillsynsbegäran.docx", "A 55492-2023")</f>
        <v/>
      </c>
      <c r="Y174">
        <f>HYPERLINK("https://klasma.github.io/Logging_0382/tillsynsmail/A 55492-2023 tillsynsbegäran mail.docx", "A 55492-2023")</f>
        <v/>
      </c>
    </row>
    <row r="175" ht="15" customHeight="1">
      <c r="A175" t="inlineStr">
        <is>
          <t>A 57598-2023</t>
        </is>
      </c>
      <c r="B175" s="1" t="n">
        <v>45246</v>
      </c>
      <c r="C175" s="1" t="n">
        <v>45786</v>
      </c>
      <c r="D175" t="inlineStr">
        <is>
          <t>UPPSALA LÄN</t>
        </is>
      </c>
      <c r="E175" t="inlineStr">
        <is>
          <t>ÖSTHAMMAR</t>
        </is>
      </c>
      <c r="F175" t="inlineStr">
        <is>
          <t>Bergvik skog öst AB</t>
        </is>
      </c>
      <c r="G175" t="n">
        <v>1</v>
      </c>
      <c r="H175" t="n">
        <v>1</v>
      </c>
      <c r="I175" t="n">
        <v>1</v>
      </c>
      <c r="J175" t="n">
        <v>0</v>
      </c>
      <c r="K175" t="n">
        <v>0</v>
      </c>
      <c r="L175" t="n">
        <v>0</v>
      </c>
      <c r="M175" t="n">
        <v>0</v>
      </c>
      <c r="N175" t="n">
        <v>0</v>
      </c>
      <c r="O175" t="n">
        <v>0</v>
      </c>
      <c r="P175" t="n">
        <v>0</v>
      </c>
      <c r="Q175" t="n">
        <v>1</v>
      </c>
      <c r="R175" s="2" t="inlineStr">
        <is>
          <t>Skogsknipprot</t>
        </is>
      </c>
      <c r="S175">
        <f>HYPERLINK("https://klasma.github.io/Logging_0382/artfynd/A 57598-2023 artfynd.xlsx", "A 57598-2023")</f>
        <v/>
      </c>
      <c r="T175">
        <f>HYPERLINK("https://klasma.github.io/Logging_0382/kartor/A 57598-2023 karta.png", "A 57598-2023")</f>
        <v/>
      </c>
      <c r="V175">
        <f>HYPERLINK("https://klasma.github.io/Logging_0382/klagomål/A 57598-2023 FSC-klagomål.docx", "A 57598-2023")</f>
        <v/>
      </c>
      <c r="W175">
        <f>HYPERLINK("https://klasma.github.io/Logging_0382/klagomålsmail/A 57598-2023 FSC-klagomål mail.docx", "A 57598-2023")</f>
        <v/>
      </c>
      <c r="X175">
        <f>HYPERLINK("https://klasma.github.io/Logging_0382/tillsyn/A 57598-2023 tillsynsbegäran.docx", "A 57598-2023")</f>
        <v/>
      </c>
      <c r="Y175">
        <f>HYPERLINK("https://klasma.github.io/Logging_0382/tillsynsmail/A 57598-2023 tillsynsbegäran mail.docx", "A 57598-2023")</f>
        <v/>
      </c>
    </row>
    <row r="176" ht="15" customHeight="1">
      <c r="A176" t="inlineStr">
        <is>
          <t>A 57607-2023</t>
        </is>
      </c>
      <c r="B176" s="1" t="n">
        <v>45246</v>
      </c>
      <c r="C176" s="1" t="n">
        <v>45786</v>
      </c>
      <c r="D176" t="inlineStr">
        <is>
          <t>UPPSALA LÄN</t>
        </is>
      </c>
      <c r="E176" t="inlineStr">
        <is>
          <t>ÖSTHAMMAR</t>
        </is>
      </c>
      <c r="F176" t="inlineStr">
        <is>
          <t>Bergvik skog öst AB</t>
        </is>
      </c>
      <c r="G176" t="n">
        <v>5.8</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57607-2023 artfynd.xlsx", "A 57607-2023")</f>
        <v/>
      </c>
      <c r="T176">
        <f>HYPERLINK("https://klasma.github.io/Logging_0382/kartor/A 57607-2023 karta.png", "A 57607-2023")</f>
        <v/>
      </c>
      <c r="V176">
        <f>HYPERLINK("https://klasma.github.io/Logging_0382/klagomål/A 57607-2023 FSC-klagomål.docx", "A 57607-2023")</f>
        <v/>
      </c>
      <c r="W176">
        <f>HYPERLINK("https://klasma.github.io/Logging_0382/klagomålsmail/A 57607-2023 FSC-klagomål mail.docx", "A 57607-2023")</f>
        <v/>
      </c>
      <c r="X176">
        <f>HYPERLINK("https://klasma.github.io/Logging_0382/tillsyn/A 57607-2023 tillsynsbegäran.docx", "A 57607-2023")</f>
        <v/>
      </c>
      <c r="Y176">
        <f>HYPERLINK("https://klasma.github.io/Logging_0382/tillsynsmail/A 57607-2023 tillsynsbegäran mail.docx", "A 57607-2023")</f>
        <v/>
      </c>
    </row>
    <row r="177" ht="15" customHeight="1">
      <c r="A177" t="inlineStr">
        <is>
          <t>A 57640-2023</t>
        </is>
      </c>
      <c r="B177" s="1" t="n">
        <v>45246</v>
      </c>
      <c r="C177" s="1" t="n">
        <v>45786</v>
      </c>
      <c r="D177" t="inlineStr">
        <is>
          <t>UPPSALA LÄN</t>
        </is>
      </c>
      <c r="E177" t="inlineStr">
        <is>
          <t>ÖSTHAMMAR</t>
        </is>
      </c>
      <c r="F177" t="inlineStr">
        <is>
          <t>Bergvik skog öst AB</t>
        </is>
      </c>
      <c r="G177" t="n">
        <v>2.3</v>
      </c>
      <c r="H177" t="n">
        <v>0</v>
      </c>
      <c r="I177" t="n">
        <v>1</v>
      </c>
      <c r="J177" t="n">
        <v>0</v>
      </c>
      <c r="K177" t="n">
        <v>0</v>
      </c>
      <c r="L177" t="n">
        <v>0</v>
      </c>
      <c r="M177" t="n">
        <v>0</v>
      </c>
      <c r="N177" t="n">
        <v>0</v>
      </c>
      <c r="O177" t="n">
        <v>0</v>
      </c>
      <c r="P177" t="n">
        <v>0</v>
      </c>
      <c r="Q177" t="n">
        <v>1</v>
      </c>
      <c r="R177" s="2" t="inlineStr">
        <is>
          <t>Svavelriska</t>
        </is>
      </c>
      <c r="S177">
        <f>HYPERLINK("https://klasma.github.io/Logging_0382/artfynd/A 57640-2023 artfynd.xlsx", "A 57640-2023")</f>
        <v/>
      </c>
      <c r="T177">
        <f>HYPERLINK("https://klasma.github.io/Logging_0382/kartor/A 57640-2023 karta.png", "A 57640-2023")</f>
        <v/>
      </c>
      <c r="V177">
        <f>HYPERLINK("https://klasma.github.io/Logging_0382/klagomål/A 57640-2023 FSC-klagomål.docx", "A 57640-2023")</f>
        <v/>
      </c>
      <c r="W177">
        <f>HYPERLINK("https://klasma.github.io/Logging_0382/klagomålsmail/A 57640-2023 FSC-klagomål mail.docx", "A 57640-2023")</f>
        <v/>
      </c>
      <c r="X177">
        <f>HYPERLINK("https://klasma.github.io/Logging_0382/tillsyn/A 57640-2023 tillsynsbegäran.docx", "A 57640-2023")</f>
        <v/>
      </c>
      <c r="Y177">
        <f>HYPERLINK("https://klasma.github.io/Logging_0382/tillsynsmail/A 57640-2023 tillsynsbegäran mail.docx", "A 57640-2023")</f>
        <v/>
      </c>
    </row>
    <row r="178" ht="15" customHeight="1">
      <c r="A178" t="inlineStr">
        <is>
          <t>A 4048-2024</t>
        </is>
      </c>
      <c r="B178" s="1" t="n">
        <v>45323</v>
      </c>
      <c r="C178" s="1" t="n">
        <v>45786</v>
      </c>
      <c r="D178" t="inlineStr">
        <is>
          <t>UPPSALA LÄN</t>
        </is>
      </c>
      <c r="E178" t="inlineStr">
        <is>
          <t>ÖSTHAMMAR</t>
        </is>
      </c>
      <c r="F178" t="inlineStr">
        <is>
          <t>Övriga Aktiebolag</t>
        </is>
      </c>
      <c r="G178" t="n">
        <v>21.2</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4048-2024 artfynd.xlsx", "A 4048-2024")</f>
        <v/>
      </c>
      <c r="T178">
        <f>HYPERLINK("https://klasma.github.io/Logging_0382/kartor/A 4048-2024 karta.png", "A 4048-2024")</f>
        <v/>
      </c>
      <c r="V178">
        <f>HYPERLINK("https://klasma.github.io/Logging_0382/klagomål/A 4048-2024 FSC-klagomål.docx", "A 4048-2024")</f>
        <v/>
      </c>
      <c r="W178">
        <f>HYPERLINK("https://klasma.github.io/Logging_0382/klagomålsmail/A 4048-2024 FSC-klagomål mail.docx", "A 4048-2024")</f>
        <v/>
      </c>
      <c r="X178">
        <f>HYPERLINK("https://klasma.github.io/Logging_0382/tillsyn/A 4048-2024 tillsynsbegäran.docx", "A 4048-2024")</f>
        <v/>
      </c>
      <c r="Y178">
        <f>HYPERLINK("https://klasma.github.io/Logging_0382/tillsynsmail/A 4048-2024 tillsynsbegäran mail.docx", "A 4048-2024")</f>
        <v/>
      </c>
    </row>
    <row r="179" ht="15" customHeight="1">
      <c r="A179" t="inlineStr">
        <is>
          <t>A 10210-2024</t>
        </is>
      </c>
      <c r="B179" s="1" t="n">
        <v>45364</v>
      </c>
      <c r="C179" s="1" t="n">
        <v>45786</v>
      </c>
      <c r="D179" t="inlineStr">
        <is>
          <t>UPPSALA LÄN</t>
        </is>
      </c>
      <c r="E179" t="inlineStr">
        <is>
          <t>ÖSTHAMMAR</t>
        </is>
      </c>
      <c r="F179" t="inlineStr">
        <is>
          <t>Bergvik skog öst AB</t>
        </is>
      </c>
      <c r="G179" t="n">
        <v>18</v>
      </c>
      <c r="H179" t="n">
        <v>1</v>
      </c>
      <c r="I179" t="n">
        <v>0</v>
      </c>
      <c r="J179" t="n">
        <v>0</v>
      </c>
      <c r="K179" t="n">
        <v>0</v>
      </c>
      <c r="L179" t="n">
        <v>0</v>
      </c>
      <c r="M179" t="n">
        <v>0</v>
      </c>
      <c r="N179" t="n">
        <v>0</v>
      </c>
      <c r="O179" t="n">
        <v>0</v>
      </c>
      <c r="P179" t="n">
        <v>0</v>
      </c>
      <c r="Q179" t="n">
        <v>1</v>
      </c>
      <c r="R179" s="2" t="inlineStr">
        <is>
          <t>Tjäder</t>
        </is>
      </c>
      <c r="S179">
        <f>HYPERLINK("https://klasma.github.io/Logging_0382/artfynd/A 10210-2024 artfynd.xlsx", "A 10210-2024")</f>
        <v/>
      </c>
      <c r="T179">
        <f>HYPERLINK("https://klasma.github.io/Logging_0382/kartor/A 10210-2024 karta.png", "A 10210-2024")</f>
        <v/>
      </c>
      <c r="V179">
        <f>HYPERLINK("https://klasma.github.io/Logging_0382/klagomål/A 10210-2024 FSC-klagomål.docx", "A 10210-2024")</f>
        <v/>
      </c>
      <c r="W179">
        <f>HYPERLINK("https://klasma.github.io/Logging_0382/klagomålsmail/A 10210-2024 FSC-klagomål mail.docx", "A 10210-2024")</f>
        <v/>
      </c>
      <c r="X179">
        <f>HYPERLINK("https://klasma.github.io/Logging_0382/tillsyn/A 10210-2024 tillsynsbegäran.docx", "A 10210-2024")</f>
        <v/>
      </c>
      <c r="Y179">
        <f>HYPERLINK("https://klasma.github.io/Logging_0382/tillsynsmail/A 10210-2024 tillsynsbegäran mail.docx", "A 10210-2024")</f>
        <v/>
      </c>
      <c r="Z179">
        <f>HYPERLINK("https://klasma.github.io/Logging_0382/fåglar/A 10210-2024 prioriterade fågelarter.docx", "A 10210-2024")</f>
        <v/>
      </c>
    </row>
    <row r="180" ht="15" customHeight="1">
      <c r="A180" t="inlineStr">
        <is>
          <t>A 12753-2024</t>
        </is>
      </c>
      <c r="B180" s="1" t="n">
        <v>45384</v>
      </c>
      <c r="C180" s="1" t="n">
        <v>45786</v>
      </c>
      <c r="D180" t="inlineStr">
        <is>
          <t>UPPSALA LÄN</t>
        </is>
      </c>
      <c r="E180" t="inlineStr">
        <is>
          <t>ÖSTHAMMAR</t>
        </is>
      </c>
      <c r="G180" t="n">
        <v>1.7</v>
      </c>
      <c r="H180" t="n">
        <v>0</v>
      </c>
      <c r="I180" t="n">
        <v>0</v>
      </c>
      <c r="J180" t="n">
        <v>1</v>
      </c>
      <c r="K180" t="n">
        <v>0</v>
      </c>
      <c r="L180" t="n">
        <v>0</v>
      </c>
      <c r="M180" t="n">
        <v>0</v>
      </c>
      <c r="N180" t="n">
        <v>0</v>
      </c>
      <c r="O180" t="n">
        <v>1</v>
      </c>
      <c r="P180" t="n">
        <v>0</v>
      </c>
      <c r="Q180" t="n">
        <v>1</v>
      </c>
      <c r="R180" s="2" t="inlineStr">
        <is>
          <t>Flattoppad klubbsvamp</t>
        </is>
      </c>
      <c r="S180">
        <f>HYPERLINK("https://klasma.github.io/Logging_0382/artfynd/A 12753-2024 artfynd.xlsx", "A 12753-2024")</f>
        <v/>
      </c>
      <c r="T180">
        <f>HYPERLINK("https://klasma.github.io/Logging_0382/kartor/A 12753-2024 karta.png", "A 12753-2024")</f>
        <v/>
      </c>
      <c r="V180">
        <f>HYPERLINK("https://klasma.github.io/Logging_0382/klagomål/A 12753-2024 FSC-klagomål.docx", "A 12753-2024")</f>
        <v/>
      </c>
      <c r="W180">
        <f>HYPERLINK("https://klasma.github.io/Logging_0382/klagomålsmail/A 12753-2024 FSC-klagomål mail.docx", "A 12753-2024")</f>
        <v/>
      </c>
      <c r="X180">
        <f>HYPERLINK("https://klasma.github.io/Logging_0382/tillsyn/A 12753-2024 tillsynsbegäran.docx", "A 12753-2024")</f>
        <v/>
      </c>
      <c r="Y180">
        <f>HYPERLINK("https://klasma.github.io/Logging_0382/tillsynsmail/A 12753-2024 tillsynsbegäran mail.docx", "A 12753-2024")</f>
        <v/>
      </c>
    </row>
    <row r="181" ht="15" customHeight="1">
      <c r="A181" t="inlineStr">
        <is>
          <t>A 14203-2024</t>
        </is>
      </c>
      <c r="B181" s="1" t="n">
        <v>45393</v>
      </c>
      <c r="C181" s="1" t="n">
        <v>45786</v>
      </c>
      <c r="D181" t="inlineStr">
        <is>
          <t>UPPSALA LÄN</t>
        </is>
      </c>
      <c r="E181" t="inlineStr">
        <is>
          <t>ÖSTHAMMAR</t>
        </is>
      </c>
      <c r="G181" t="n">
        <v>1.4</v>
      </c>
      <c r="H181" t="n">
        <v>0</v>
      </c>
      <c r="I181" t="n">
        <v>0</v>
      </c>
      <c r="J181" t="n">
        <v>1</v>
      </c>
      <c r="K181" t="n">
        <v>0</v>
      </c>
      <c r="L181" t="n">
        <v>0</v>
      </c>
      <c r="M181" t="n">
        <v>0</v>
      </c>
      <c r="N181" t="n">
        <v>0</v>
      </c>
      <c r="O181" t="n">
        <v>1</v>
      </c>
      <c r="P181" t="n">
        <v>0</v>
      </c>
      <c r="Q181" t="n">
        <v>1</v>
      </c>
      <c r="R181" s="2" t="inlineStr">
        <is>
          <t>Scharlakansvaxing</t>
        </is>
      </c>
      <c r="S181">
        <f>HYPERLINK("https://klasma.github.io/Logging_0382/artfynd/A 14203-2024 artfynd.xlsx", "A 14203-2024")</f>
        <v/>
      </c>
      <c r="T181">
        <f>HYPERLINK("https://klasma.github.io/Logging_0382/kartor/A 14203-2024 karta.png", "A 14203-2024")</f>
        <v/>
      </c>
      <c r="V181">
        <f>HYPERLINK("https://klasma.github.io/Logging_0382/klagomål/A 14203-2024 FSC-klagomål.docx", "A 14203-2024")</f>
        <v/>
      </c>
      <c r="W181">
        <f>HYPERLINK("https://klasma.github.io/Logging_0382/klagomålsmail/A 14203-2024 FSC-klagomål mail.docx", "A 14203-2024")</f>
        <v/>
      </c>
      <c r="X181">
        <f>HYPERLINK("https://klasma.github.io/Logging_0382/tillsyn/A 14203-2024 tillsynsbegäran.docx", "A 14203-2024")</f>
        <v/>
      </c>
      <c r="Y181">
        <f>HYPERLINK("https://klasma.github.io/Logging_0382/tillsynsmail/A 14203-2024 tillsynsbegäran mail.docx", "A 14203-2024")</f>
        <v/>
      </c>
    </row>
    <row r="182" ht="15" customHeight="1">
      <c r="A182" t="inlineStr">
        <is>
          <t>A 22375-2024</t>
        </is>
      </c>
      <c r="B182" s="1" t="n">
        <v>45446</v>
      </c>
      <c r="C182" s="1" t="n">
        <v>45786</v>
      </c>
      <c r="D182" t="inlineStr">
        <is>
          <t>UPPSALA LÄN</t>
        </is>
      </c>
      <c r="E182" t="inlineStr">
        <is>
          <t>ÖSTHAMMAR</t>
        </is>
      </c>
      <c r="F182" t="inlineStr">
        <is>
          <t>Bergvik skog öst AB</t>
        </is>
      </c>
      <c r="G182" t="n">
        <v>2.2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22375-2024 artfynd.xlsx", "A 22375-2024")</f>
        <v/>
      </c>
      <c r="T182">
        <f>HYPERLINK("https://klasma.github.io/Logging_0382/kartor/A 22375-2024 karta.png", "A 22375-2024")</f>
        <v/>
      </c>
      <c r="V182">
        <f>HYPERLINK("https://klasma.github.io/Logging_0382/klagomål/A 22375-2024 FSC-klagomål.docx", "A 22375-2024")</f>
        <v/>
      </c>
      <c r="W182">
        <f>HYPERLINK("https://klasma.github.io/Logging_0382/klagomålsmail/A 22375-2024 FSC-klagomål mail.docx", "A 22375-2024")</f>
        <v/>
      </c>
      <c r="X182">
        <f>HYPERLINK("https://klasma.github.io/Logging_0382/tillsyn/A 22375-2024 tillsynsbegäran.docx", "A 22375-2024")</f>
        <v/>
      </c>
      <c r="Y182">
        <f>HYPERLINK("https://klasma.github.io/Logging_0382/tillsynsmail/A 22375-2024 tillsynsbegäran mail.docx", "A 22375-2024")</f>
        <v/>
      </c>
    </row>
    <row r="183" ht="15" customHeight="1">
      <c r="A183" t="inlineStr">
        <is>
          <t>A 36622-2024</t>
        </is>
      </c>
      <c r="B183" s="1" t="n">
        <v>45537</v>
      </c>
      <c r="C183" s="1" t="n">
        <v>45786</v>
      </c>
      <c r="D183" t="inlineStr">
        <is>
          <t>UPPSALA LÄN</t>
        </is>
      </c>
      <c r="E183" t="inlineStr">
        <is>
          <t>ÖSTHAMMAR</t>
        </is>
      </c>
      <c r="F183" t="inlineStr">
        <is>
          <t>Bergvik skog väst AB</t>
        </is>
      </c>
      <c r="G183" t="n">
        <v>5.2</v>
      </c>
      <c r="H183" t="n">
        <v>1</v>
      </c>
      <c r="I183" t="n">
        <v>0</v>
      </c>
      <c r="J183" t="n">
        <v>0</v>
      </c>
      <c r="K183" t="n">
        <v>0</v>
      </c>
      <c r="L183" t="n">
        <v>0</v>
      </c>
      <c r="M183" t="n">
        <v>0</v>
      </c>
      <c r="N183" t="n">
        <v>0</v>
      </c>
      <c r="O183" t="n">
        <v>0</v>
      </c>
      <c r="P183" t="n">
        <v>0</v>
      </c>
      <c r="Q183" t="n">
        <v>1</v>
      </c>
      <c r="R183" s="2" t="inlineStr">
        <is>
          <t>Blåsippa</t>
        </is>
      </c>
      <c r="S183">
        <f>HYPERLINK("https://klasma.github.io/Logging_0382/artfynd/A 36622-2024 artfynd.xlsx", "A 36622-2024")</f>
        <v/>
      </c>
      <c r="T183">
        <f>HYPERLINK("https://klasma.github.io/Logging_0382/kartor/A 36622-2024 karta.png", "A 36622-2024")</f>
        <v/>
      </c>
      <c r="V183">
        <f>HYPERLINK("https://klasma.github.io/Logging_0382/klagomål/A 36622-2024 FSC-klagomål.docx", "A 36622-2024")</f>
        <v/>
      </c>
      <c r="W183">
        <f>HYPERLINK("https://klasma.github.io/Logging_0382/klagomålsmail/A 36622-2024 FSC-klagomål mail.docx", "A 36622-2024")</f>
        <v/>
      </c>
      <c r="X183">
        <f>HYPERLINK("https://klasma.github.io/Logging_0382/tillsyn/A 36622-2024 tillsynsbegäran.docx", "A 36622-2024")</f>
        <v/>
      </c>
      <c r="Y183">
        <f>HYPERLINK("https://klasma.github.io/Logging_0382/tillsynsmail/A 36622-2024 tillsynsbegäran mail.docx", "A 36622-2024")</f>
        <v/>
      </c>
    </row>
    <row r="184" ht="15" customHeight="1">
      <c r="A184" t="inlineStr">
        <is>
          <t>A 46632-2024</t>
        </is>
      </c>
      <c r="B184" s="1" t="n">
        <v>45583</v>
      </c>
      <c r="C184" s="1" t="n">
        <v>45786</v>
      </c>
      <c r="D184" t="inlineStr">
        <is>
          <t>UPPSALA LÄN</t>
        </is>
      </c>
      <c r="E184" t="inlineStr">
        <is>
          <t>ÖSTHAMMAR</t>
        </is>
      </c>
      <c r="F184" t="inlineStr">
        <is>
          <t>Bergvik skog öst AB</t>
        </is>
      </c>
      <c r="G184" t="n">
        <v>5.3</v>
      </c>
      <c r="H184" t="n">
        <v>0</v>
      </c>
      <c r="I184" t="n">
        <v>0</v>
      </c>
      <c r="J184" t="n">
        <v>1</v>
      </c>
      <c r="K184" t="n">
        <v>0</v>
      </c>
      <c r="L184" t="n">
        <v>0</v>
      </c>
      <c r="M184" t="n">
        <v>0</v>
      </c>
      <c r="N184" t="n">
        <v>0</v>
      </c>
      <c r="O184" t="n">
        <v>1</v>
      </c>
      <c r="P184" t="n">
        <v>0</v>
      </c>
      <c r="Q184" t="n">
        <v>1</v>
      </c>
      <c r="R184" s="2" t="inlineStr">
        <is>
          <t>Sexfläckig bastardsvärmare</t>
        </is>
      </c>
      <c r="S184">
        <f>HYPERLINK("https://klasma.github.io/Logging_0382/artfynd/A 46632-2024 artfynd.xlsx", "A 46632-2024")</f>
        <v/>
      </c>
      <c r="T184">
        <f>HYPERLINK("https://klasma.github.io/Logging_0382/kartor/A 46632-2024 karta.png", "A 46632-2024")</f>
        <v/>
      </c>
      <c r="V184">
        <f>HYPERLINK("https://klasma.github.io/Logging_0382/klagomål/A 46632-2024 FSC-klagomål.docx", "A 46632-2024")</f>
        <v/>
      </c>
      <c r="W184">
        <f>HYPERLINK("https://klasma.github.io/Logging_0382/klagomålsmail/A 46632-2024 FSC-klagomål mail.docx", "A 46632-2024")</f>
        <v/>
      </c>
      <c r="X184">
        <f>HYPERLINK("https://klasma.github.io/Logging_0382/tillsyn/A 46632-2024 tillsynsbegäran.docx", "A 46632-2024")</f>
        <v/>
      </c>
      <c r="Y184">
        <f>HYPERLINK("https://klasma.github.io/Logging_0382/tillsynsmail/A 46632-2024 tillsynsbegäran mail.docx", "A 46632-2024")</f>
        <v/>
      </c>
    </row>
    <row r="185" ht="15" customHeight="1">
      <c r="A185" t="inlineStr">
        <is>
          <t>A 46629-2024</t>
        </is>
      </c>
      <c r="B185" s="1" t="n">
        <v>45583</v>
      </c>
      <c r="C185" s="1" t="n">
        <v>45786</v>
      </c>
      <c r="D185" t="inlineStr">
        <is>
          <t>UPPSALA LÄN</t>
        </is>
      </c>
      <c r="E185" t="inlineStr">
        <is>
          <t>ÖSTHAMMAR</t>
        </is>
      </c>
      <c r="F185" t="inlineStr">
        <is>
          <t>Bergvik skog öst AB</t>
        </is>
      </c>
      <c r="G185" t="n">
        <v>0.7</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46629-2024 artfynd.xlsx", "A 46629-2024")</f>
        <v/>
      </c>
      <c r="T185">
        <f>HYPERLINK("https://klasma.github.io/Logging_0382/kartor/A 46629-2024 karta.png", "A 46629-2024")</f>
        <v/>
      </c>
      <c r="V185">
        <f>HYPERLINK("https://klasma.github.io/Logging_0382/klagomål/A 46629-2024 FSC-klagomål.docx", "A 46629-2024")</f>
        <v/>
      </c>
      <c r="W185">
        <f>HYPERLINK("https://klasma.github.io/Logging_0382/klagomålsmail/A 46629-2024 FSC-klagomål mail.docx", "A 46629-2024")</f>
        <v/>
      </c>
      <c r="X185">
        <f>HYPERLINK("https://klasma.github.io/Logging_0382/tillsyn/A 46629-2024 tillsynsbegäran.docx", "A 46629-2024")</f>
        <v/>
      </c>
      <c r="Y185">
        <f>HYPERLINK("https://klasma.github.io/Logging_0382/tillsynsmail/A 46629-2024 tillsynsbegäran mail.docx", "A 46629-2024")</f>
        <v/>
      </c>
    </row>
    <row r="186" ht="15" customHeight="1">
      <c r="A186" t="inlineStr">
        <is>
          <t>A 55169-2024</t>
        </is>
      </c>
      <c r="B186" s="1" t="n">
        <v>45621</v>
      </c>
      <c r="C186" s="1" t="n">
        <v>45786</v>
      </c>
      <c r="D186" t="inlineStr">
        <is>
          <t>UPPSALA LÄN</t>
        </is>
      </c>
      <c r="E186" t="inlineStr">
        <is>
          <t>ÖSTHAMMAR</t>
        </is>
      </c>
      <c r="G186" t="n">
        <v>1.1</v>
      </c>
      <c r="H186" t="n">
        <v>0</v>
      </c>
      <c r="I186" t="n">
        <v>1</v>
      </c>
      <c r="J186" t="n">
        <v>0</v>
      </c>
      <c r="K186" t="n">
        <v>0</v>
      </c>
      <c r="L186" t="n">
        <v>0</v>
      </c>
      <c r="M186" t="n">
        <v>0</v>
      </c>
      <c r="N186" t="n">
        <v>0</v>
      </c>
      <c r="O186" t="n">
        <v>0</v>
      </c>
      <c r="P186" t="n">
        <v>0</v>
      </c>
      <c r="Q186" t="n">
        <v>1</v>
      </c>
      <c r="R186" s="2" t="inlineStr">
        <is>
          <t>Svavelriska</t>
        </is>
      </c>
      <c r="S186">
        <f>HYPERLINK("https://klasma.github.io/Logging_0382/artfynd/A 55169-2024 artfynd.xlsx", "A 55169-2024")</f>
        <v/>
      </c>
      <c r="T186">
        <f>HYPERLINK("https://klasma.github.io/Logging_0382/kartor/A 55169-2024 karta.png", "A 55169-2024")</f>
        <v/>
      </c>
      <c r="V186">
        <f>HYPERLINK("https://klasma.github.io/Logging_0382/klagomål/A 55169-2024 FSC-klagomål.docx", "A 55169-2024")</f>
        <v/>
      </c>
      <c r="W186">
        <f>HYPERLINK("https://klasma.github.io/Logging_0382/klagomålsmail/A 55169-2024 FSC-klagomål mail.docx", "A 55169-2024")</f>
        <v/>
      </c>
      <c r="X186">
        <f>HYPERLINK("https://klasma.github.io/Logging_0382/tillsyn/A 55169-2024 tillsynsbegäran.docx", "A 55169-2024")</f>
        <v/>
      </c>
      <c r="Y186">
        <f>HYPERLINK("https://klasma.github.io/Logging_0382/tillsynsmail/A 55169-2024 tillsynsbegäran mail.docx", "A 55169-2024")</f>
        <v/>
      </c>
    </row>
    <row r="187" ht="15" customHeight="1">
      <c r="A187" t="inlineStr">
        <is>
          <t>A 6143-2025</t>
        </is>
      </c>
      <c r="B187" s="1" t="n">
        <v>45698</v>
      </c>
      <c r="C187" s="1" t="n">
        <v>45786</v>
      </c>
      <c r="D187" t="inlineStr">
        <is>
          <t>UPPSALA LÄN</t>
        </is>
      </c>
      <c r="E187" t="inlineStr">
        <is>
          <t>ÖSTHAMMAR</t>
        </is>
      </c>
      <c r="F187" t="inlineStr">
        <is>
          <t>Bergvik skog öst AB</t>
        </is>
      </c>
      <c r="G187" t="n">
        <v>3.6</v>
      </c>
      <c r="H187" t="n">
        <v>0</v>
      </c>
      <c r="I187" t="n">
        <v>1</v>
      </c>
      <c r="J187" t="n">
        <v>0</v>
      </c>
      <c r="K187" t="n">
        <v>0</v>
      </c>
      <c r="L187" t="n">
        <v>0</v>
      </c>
      <c r="M187" t="n">
        <v>0</v>
      </c>
      <c r="N187" t="n">
        <v>0</v>
      </c>
      <c r="O187" t="n">
        <v>0</v>
      </c>
      <c r="P187" t="n">
        <v>0</v>
      </c>
      <c r="Q187" t="n">
        <v>1</v>
      </c>
      <c r="R187" s="2" t="inlineStr">
        <is>
          <t>Svavelriska</t>
        </is>
      </c>
      <c r="S187">
        <f>HYPERLINK("https://klasma.github.io/Logging_0382/artfynd/A 6143-2025 artfynd.xlsx", "A 6143-2025")</f>
        <v/>
      </c>
      <c r="T187">
        <f>HYPERLINK("https://klasma.github.io/Logging_0382/kartor/A 6143-2025 karta.png", "A 6143-2025")</f>
        <v/>
      </c>
      <c r="V187">
        <f>HYPERLINK("https://klasma.github.io/Logging_0382/klagomål/A 6143-2025 FSC-klagomål.docx", "A 6143-2025")</f>
        <v/>
      </c>
      <c r="W187">
        <f>HYPERLINK("https://klasma.github.io/Logging_0382/klagomålsmail/A 6143-2025 FSC-klagomål mail.docx", "A 6143-2025")</f>
        <v/>
      </c>
      <c r="X187">
        <f>HYPERLINK("https://klasma.github.io/Logging_0382/tillsyn/A 6143-2025 tillsynsbegäran.docx", "A 6143-2025")</f>
        <v/>
      </c>
      <c r="Y187">
        <f>HYPERLINK("https://klasma.github.io/Logging_0382/tillsynsmail/A 6143-2025 tillsynsbegäran mail.docx", "A 6143-2025")</f>
        <v/>
      </c>
    </row>
    <row r="188" ht="15" customHeight="1">
      <c r="A188" t="inlineStr">
        <is>
          <t>A 17141-2025</t>
        </is>
      </c>
      <c r="B188" s="1" t="n">
        <v>45755</v>
      </c>
      <c r="C188" s="1" t="n">
        <v>45786</v>
      </c>
      <c r="D188" t="inlineStr">
        <is>
          <t>UPPSALA LÄN</t>
        </is>
      </c>
      <c r="E188" t="inlineStr">
        <is>
          <t>ÖSTHAMMAR</t>
        </is>
      </c>
      <c r="F188" t="inlineStr">
        <is>
          <t>Bergvik skog öst AB</t>
        </is>
      </c>
      <c r="G188" t="n">
        <v>7</v>
      </c>
      <c r="H188" t="n">
        <v>1</v>
      </c>
      <c r="I188" t="n">
        <v>1</v>
      </c>
      <c r="J188" t="n">
        <v>0</v>
      </c>
      <c r="K188" t="n">
        <v>0</v>
      </c>
      <c r="L188" t="n">
        <v>0</v>
      </c>
      <c r="M188" t="n">
        <v>0</v>
      </c>
      <c r="N188" t="n">
        <v>0</v>
      </c>
      <c r="O188" t="n">
        <v>0</v>
      </c>
      <c r="P188" t="n">
        <v>0</v>
      </c>
      <c r="Q188" t="n">
        <v>1</v>
      </c>
      <c r="R188" s="2" t="inlineStr">
        <is>
          <t>Grönkulla</t>
        </is>
      </c>
      <c r="S188">
        <f>HYPERLINK("https://klasma.github.io/Logging_030382/artfynd/A 17141-2025 artfynd.xlsx", "A 17141-2025")</f>
        <v/>
      </c>
      <c r="T188">
        <f>HYPERLINK("https://klasma.github.io/Logging_030382/kartor/A 17141-2025 karta.png", "A 17141-2025")</f>
        <v/>
      </c>
      <c r="V188">
        <f>HYPERLINK("https://klasma.github.io/Logging_030382/klagomål/A 17141-2025 FSC-klagomål.docx", "A 17141-2025")</f>
        <v/>
      </c>
      <c r="W188">
        <f>HYPERLINK("https://klasma.github.io/Logging_030382/klagomålsmail/A 17141-2025 FSC-klagomål mail.docx", "A 17141-2025")</f>
        <v/>
      </c>
      <c r="X188">
        <f>HYPERLINK("https://klasma.github.io/Logging_030382/tillsyn/A 17141-2025 tillsynsbegäran.docx", "A 17141-2025")</f>
        <v/>
      </c>
      <c r="Y188">
        <f>HYPERLINK("https://klasma.github.io/Logging_030382/tillsynsmail/A 17141-2025 tillsynsbegäran mail.docx", "A 17141-2025")</f>
        <v/>
      </c>
    </row>
    <row r="189" ht="15" customHeight="1">
      <c r="A189" t="inlineStr">
        <is>
          <t>A 18596-2019</t>
        </is>
      </c>
      <c r="B189" s="1" t="n">
        <v>43560</v>
      </c>
      <c r="C189" s="1" t="n">
        <v>45786</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18781-2019</t>
        </is>
      </c>
      <c r="B190" s="1" t="n">
        <v>43561</v>
      </c>
      <c r="C190" s="1" t="n">
        <v>45786</v>
      </c>
      <c r="D190" t="inlineStr">
        <is>
          <t>UPPSALA LÄN</t>
        </is>
      </c>
      <c r="E190" t="inlineStr">
        <is>
          <t>ÖSTHAMMAR</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18792-2019</t>
        </is>
      </c>
      <c r="B191" s="1" t="n">
        <v>43562</v>
      </c>
      <c r="C191" s="1" t="n">
        <v>45786</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18800-2019</t>
        </is>
      </c>
      <c r="B192" s="1" t="n">
        <v>43562</v>
      </c>
      <c r="C192" s="1" t="n">
        <v>45786</v>
      </c>
      <c r="D192" t="inlineStr">
        <is>
          <t>UPPSALA LÄN</t>
        </is>
      </c>
      <c r="E192" t="inlineStr">
        <is>
          <t>ÖSTHAMMAR</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20683-2019</t>
        </is>
      </c>
      <c r="B193" s="1" t="n">
        <v>43573</v>
      </c>
      <c r="C193" s="1" t="n">
        <v>45786</v>
      </c>
      <c r="D193" t="inlineStr">
        <is>
          <t>UPPSALA LÄN</t>
        </is>
      </c>
      <c r="E193" t="inlineStr">
        <is>
          <t>ÖSTHAMMAR</t>
        </is>
      </c>
      <c r="G193" t="n">
        <v>2.6</v>
      </c>
      <c r="H193" t="n">
        <v>0</v>
      </c>
      <c r="I193" t="n">
        <v>0</v>
      </c>
      <c r="J193" t="n">
        <v>0</v>
      </c>
      <c r="K193" t="n">
        <v>0</v>
      </c>
      <c r="L193" t="n">
        <v>0</v>
      </c>
      <c r="M193" t="n">
        <v>0</v>
      </c>
      <c r="N193" t="n">
        <v>0</v>
      </c>
      <c r="O193" t="n">
        <v>0</v>
      </c>
      <c r="P193" t="n">
        <v>0</v>
      </c>
      <c r="Q193" t="n">
        <v>0</v>
      </c>
      <c r="R193" s="2" t="inlineStr"/>
    </row>
    <row r="194" ht="15" customHeight="1">
      <c r="A194" t="inlineStr">
        <is>
          <t>A 21471-2019</t>
        </is>
      </c>
      <c r="B194" s="1" t="n">
        <v>43580</v>
      </c>
      <c r="C194" s="1" t="n">
        <v>45786</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22800-2019</t>
        </is>
      </c>
      <c r="B195" s="1" t="n">
        <v>43590</v>
      </c>
      <c r="C195" s="1" t="n">
        <v>45786</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c r="U195">
        <f>HYPERLINK("https://klasma.github.io/Logging_0382/knärot/A 22800-2019 karta knärot.png", "A 22800-2019")</f>
        <v/>
      </c>
      <c r="V195">
        <f>HYPERLINK("https://klasma.github.io/Logging_0382/klagomål/A 22800-2019 FSC-klagomål.docx", "A 22800-2019")</f>
        <v/>
      </c>
      <c r="W195">
        <f>HYPERLINK("https://klasma.github.io/Logging_0382/klagomålsmail/A 22800-2019 FSC-klagomål mail.docx", "A 22800-2019")</f>
        <v/>
      </c>
      <c r="X195">
        <f>HYPERLINK("https://klasma.github.io/Logging_0382/tillsyn/A 22800-2019 tillsynsbegäran.docx", "A 22800-2019")</f>
        <v/>
      </c>
      <c r="Y195">
        <f>HYPERLINK("https://klasma.github.io/Logging_0382/tillsynsmail/A 22800-2019 tillsynsbegäran mail.docx", "A 22800-2019")</f>
        <v/>
      </c>
    </row>
    <row r="196" ht="15" customHeight="1">
      <c r="A196" t="inlineStr">
        <is>
          <t>A 22801-2019</t>
        </is>
      </c>
      <c r="B196" s="1" t="n">
        <v>43590</v>
      </c>
      <c r="C196" s="1" t="n">
        <v>45786</v>
      </c>
      <c r="D196" t="inlineStr">
        <is>
          <t>UPPSALA LÄN</t>
        </is>
      </c>
      <c r="E196" t="inlineStr">
        <is>
          <t>ÖSTHAMMAR</t>
        </is>
      </c>
      <c r="G196" t="n">
        <v>2.2</v>
      </c>
      <c r="H196" t="n">
        <v>0</v>
      </c>
      <c r="I196" t="n">
        <v>0</v>
      </c>
      <c r="J196" t="n">
        <v>0</v>
      </c>
      <c r="K196" t="n">
        <v>0</v>
      </c>
      <c r="L196" t="n">
        <v>0</v>
      </c>
      <c r="M196" t="n">
        <v>0</v>
      </c>
      <c r="N196" t="n">
        <v>0</v>
      </c>
      <c r="O196" t="n">
        <v>0</v>
      </c>
      <c r="P196" t="n">
        <v>0</v>
      </c>
      <c r="Q196" t="n">
        <v>0</v>
      </c>
      <c r="R196" s="2" t="inlineStr"/>
    </row>
    <row r="197" ht="15" customHeight="1">
      <c r="A197" t="inlineStr">
        <is>
          <t>A 23008-2019</t>
        </is>
      </c>
      <c r="B197" s="1" t="n">
        <v>43591</v>
      </c>
      <c r="C197" s="1" t="n">
        <v>45786</v>
      </c>
      <c r="D197" t="inlineStr">
        <is>
          <t>UPPSALA LÄN</t>
        </is>
      </c>
      <c r="E197" t="inlineStr">
        <is>
          <t>ÖSTHAMMAR</t>
        </is>
      </c>
      <c r="G197" t="n">
        <v>4.5</v>
      </c>
      <c r="H197" t="n">
        <v>0</v>
      </c>
      <c r="I197" t="n">
        <v>0</v>
      </c>
      <c r="J197" t="n">
        <v>0</v>
      </c>
      <c r="K197" t="n">
        <v>0</v>
      </c>
      <c r="L197" t="n">
        <v>0</v>
      </c>
      <c r="M197" t="n">
        <v>0</v>
      </c>
      <c r="N197" t="n">
        <v>0</v>
      </c>
      <c r="O197" t="n">
        <v>0</v>
      </c>
      <c r="P197" t="n">
        <v>0</v>
      </c>
      <c r="Q197" t="n">
        <v>0</v>
      </c>
      <c r="R197" s="2" t="inlineStr"/>
    </row>
    <row r="198" ht="15" customHeight="1">
      <c r="A198" t="inlineStr">
        <is>
          <t>A 25874-2019</t>
        </is>
      </c>
      <c r="B198" s="1" t="n">
        <v>43605</v>
      </c>
      <c r="C198" s="1" t="n">
        <v>45786</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25703-2019</t>
        </is>
      </c>
      <c r="B199" s="1" t="n">
        <v>43607</v>
      </c>
      <c r="C199" s="1" t="n">
        <v>45786</v>
      </c>
      <c r="D199" t="inlineStr">
        <is>
          <t>UPPSALA LÄN</t>
        </is>
      </c>
      <c r="E199" t="inlineStr">
        <is>
          <t>ÖSTHAMMAR</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25708-2019</t>
        </is>
      </c>
      <c r="B200" s="1" t="n">
        <v>43607</v>
      </c>
      <c r="C200" s="1" t="n">
        <v>45786</v>
      </c>
      <c r="D200" t="inlineStr">
        <is>
          <t>UPPSALA LÄN</t>
        </is>
      </c>
      <c r="E200" t="inlineStr">
        <is>
          <t>ÖSTHAMMAR</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25706-2019</t>
        </is>
      </c>
      <c r="B201" s="1" t="n">
        <v>43607</v>
      </c>
      <c r="C201" s="1" t="n">
        <v>45786</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26562-2019</t>
        </is>
      </c>
      <c r="B202" s="1" t="n">
        <v>43612</v>
      </c>
      <c r="C202" s="1" t="n">
        <v>45786</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26724-2019</t>
        </is>
      </c>
      <c r="B203" s="1" t="n">
        <v>43613</v>
      </c>
      <c r="C203" s="1" t="n">
        <v>45786</v>
      </c>
      <c r="D203" t="inlineStr">
        <is>
          <t>UPPSALA LÄN</t>
        </is>
      </c>
      <c r="E203" t="inlineStr">
        <is>
          <t>ÖSTHAMMAR</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26796-2019</t>
        </is>
      </c>
      <c r="B204" s="1" t="n">
        <v>43613</v>
      </c>
      <c r="C204" s="1" t="n">
        <v>45786</v>
      </c>
      <c r="D204" t="inlineStr">
        <is>
          <t>UPPSALA LÄN</t>
        </is>
      </c>
      <c r="E204" t="inlineStr">
        <is>
          <t>ÖSTHAMMAR</t>
        </is>
      </c>
      <c r="F204" t="inlineStr">
        <is>
          <t>Bergvik skog öst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27458-2019</t>
        </is>
      </c>
      <c r="B205" s="1" t="n">
        <v>43618</v>
      </c>
      <c r="C205" s="1" t="n">
        <v>45786</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29204-2019</t>
        </is>
      </c>
      <c r="B206" s="1" t="n">
        <v>43623</v>
      </c>
      <c r="C206" s="1" t="n">
        <v>45786</v>
      </c>
      <c r="D206" t="inlineStr">
        <is>
          <t>UPPSALA LÄN</t>
        </is>
      </c>
      <c r="E206" t="inlineStr">
        <is>
          <t>ÖSTHAMMAR</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31106-2019</t>
        </is>
      </c>
      <c r="B207" s="1" t="n">
        <v>43635</v>
      </c>
      <c r="C207" s="1" t="n">
        <v>45786</v>
      </c>
      <c r="D207" t="inlineStr">
        <is>
          <t>UPPSALA LÄN</t>
        </is>
      </c>
      <c r="E207" t="inlineStr">
        <is>
          <t>ÖSTHAMMAR</t>
        </is>
      </c>
      <c r="F207" t="inlineStr">
        <is>
          <t>Övriga statliga verk och myndigheter</t>
        </is>
      </c>
      <c r="G207" t="n">
        <v>1.5</v>
      </c>
      <c r="H207" t="n">
        <v>0</v>
      </c>
      <c r="I207" t="n">
        <v>0</v>
      </c>
      <c r="J207" t="n">
        <v>0</v>
      </c>
      <c r="K207" t="n">
        <v>0</v>
      </c>
      <c r="L207" t="n">
        <v>0</v>
      </c>
      <c r="M207" t="n">
        <v>0</v>
      </c>
      <c r="N207" t="n">
        <v>0</v>
      </c>
      <c r="O207" t="n">
        <v>0</v>
      </c>
      <c r="P207" t="n">
        <v>0</v>
      </c>
      <c r="Q207" t="n">
        <v>0</v>
      </c>
      <c r="R207" s="2" t="inlineStr"/>
    </row>
    <row r="208" ht="15" customHeight="1">
      <c r="A208" t="inlineStr">
        <is>
          <t>A 31716-2019</t>
        </is>
      </c>
      <c r="B208" s="1" t="n">
        <v>43642</v>
      </c>
      <c r="C208" s="1" t="n">
        <v>45786</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31882-2019</t>
        </is>
      </c>
      <c r="B209" s="1" t="n">
        <v>43642</v>
      </c>
      <c r="C209" s="1" t="n">
        <v>45786</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32718-2019</t>
        </is>
      </c>
      <c r="B210" s="1" t="n">
        <v>43647</v>
      </c>
      <c r="C210" s="1" t="n">
        <v>45786</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33532-2019</t>
        </is>
      </c>
      <c r="B211" s="1" t="n">
        <v>43651</v>
      </c>
      <c r="C211" s="1" t="n">
        <v>45786</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33544-2019</t>
        </is>
      </c>
      <c r="B212" s="1" t="n">
        <v>43651</v>
      </c>
      <c r="C212" s="1" t="n">
        <v>45786</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33539-2019</t>
        </is>
      </c>
      <c r="B213" s="1" t="n">
        <v>43651</v>
      </c>
      <c r="C213" s="1" t="n">
        <v>45786</v>
      </c>
      <c r="D213" t="inlineStr">
        <is>
          <t>UPPSALA LÄN</t>
        </is>
      </c>
      <c r="E213" t="inlineStr">
        <is>
          <t>ÖSTHAMMAR</t>
        </is>
      </c>
      <c r="G213" t="n">
        <v>4.6</v>
      </c>
      <c r="H213" t="n">
        <v>0</v>
      </c>
      <c r="I213" t="n">
        <v>0</v>
      </c>
      <c r="J213" t="n">
        <v>0</v>
      </c>
      <c r="K213" t="n">
        <v>0</v>
      </c>
      <c r="L213" t="n">
        <v>0</v>
      </c>
      <c r="M213" t="n">
        <v>0</v>
      </c>
      <c r="N213" t="n">
        <v>0</v>
      </c>
      <c r="O213" t="n">
        <v>0</v>
      </c>
      <c r="P213" t="n">
        <v>0</v>
      </c>
      <c r="Q213" t="n">
        <v>0</v>
      </c>
      <c r="R213" s="2" t="inlineStr"/>
    </row>
    <row r="214" ht="15" customHeight="1">
      <c r="A214" t="inlineStr">
        <is>
          <t>A 33551-2019</t>
        </is>
      </c>
      <c r="B214" s="1" t="n">
        <v>43651</v>
      </c>
      <c r="C214" s="1" t="n">
        <v>45786</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33784-2019</t>
        </is>
      </c>
      <c r="B215" s="1" t="n">
        <v>43651</v>
      </c>
      <c r="C215" s="1" t="n">
        <v>45786</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39582-2019</t>
        </is>
      </c>
      <c r="B216" s="1" t="n">
        <v>43686</v>
      </c>
      <c r="C216" s="1" t="n">
        <v>45786</v>
      </c>
      <c r="D216" t="inlineStr">
        <is>
          <t>UPPSALA LÄN</t>
        </is>
      </c>
      <c r="E216" t="inlineStr">
        <is>
          <t>ÖSTHAMMAR</t>
        </is>
      </c>
      <c r="G216" t="n">
        <v>12.2</v>
      </c>
      <c r="H216" t="n">
        <v>0</v>
      </c>
      <c r="I216" t="n">
        <v>0</v>
      </c>
      <c r="J216" t="n">
        <v>0</v>
      </c>
      <c r="K216" t="n">
        <v>0</v>
      </c>
      <c r="L216" t="n">
        <v>0</v>
      </c>
      <c r="M216" t="n">
        <v>0</v>
      </c>
      <c r="N216" t="n">
        <v>0</v>
      </c>
      <c r="O216" t="n">
        <v>0</v>
      </c>
      <c r="P216" t="n">
        <v>0</v>
      </c>
      <c r="Q216" t="n">
        <v>0</v>
      </c>
      <c r="R216" s="2" t="inlineStr"/>
    </row>
    <row r="217" ht="15" customHeight="1">
      <c r="A217" t="inlineStr">
        <is>
          <t>A 39910-2019</t>
        </is>
      </c>
      <c r="B217" s="1" t="n">
        <v>43692</v>
      </c>
      <c r="C217" s="1" t="n">
        <v>45786</v>
      </c>
      <c r="D217" t="inlineStr">
        <is>
          <t>UPPSALA LÄN</t>
        </is>
      </c>
      <c r="E217" t="inlineStr">
        <is>
          <t>ÖSTHAMMAR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41697-2019</t>
        </is>
      </c>
      <c r="B218" s="1" t="n">
        <v>43699</v>
      </c>
      <c r="C218" s="1" t="n">
        <v>45786</v>
      </c>
      <c r="D218" t="inlineStr">
        <is>
          <t>UPPSALA LÄN</t>
        </is>
      </c>
      <c r="E218" t="inlineStr">
        <is>
          <t>ÖSTHAMMAR</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41539-2019</t>
        </is>
      </c>
      <c r="B219" s="1" t="n">
        <v>43699</v>
      </c>
      <c r="C219" s="1" t="n">
        <v>45786</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43426-2019</t>
        </is>
      </c>
      <c r="B220" s="1" t="n">
        <v>43706</v>
      </c>
      <c r="C220" s="1" t="n">
        <v>45786</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45140-2019</t>
        </is>
      </c>
      <c r="B221" s="1" t="n">
        <v>43713</v>
      </c>
      <c r="C221" s="1" t="n">
        <v>45786</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45681-2019</t>
        </is>
      </c>
      <c r="B222" s="1" t="n">
        <v>43717</v>
      </c>
      <c r="C222" s="1" t="n">
        <v>45786</v>
      </c>
      <c r="D222" t="inlineStr">
        <is>
          <t>UPPSALA LÄN</t>
        </is>
      </c>
      <c r="E222" t="inlineStr">
        <is>
          <t>ÖSTHAMMAR</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47440-2019</t>
        </is>
      </c>
      <c r="B223" s="1" t="n">
        <v>43723</v>
      </c>
      <c r="C223" s="1" t="n">
        <v>45786</v>
      </c>
      <c r="D223" t="inlineStr">
        <is>
          <t>UPPSALA LÄN</t>
        </is>
      </c>
      <c r="E223" t="inlineStr">
        <is>
          <t>ÖSTHAMMAR</t>
        </is>
      </c>
      <c r="G223" t="n">
        <v>0.1</v>
      </c>
      <c r="H223" t="n">
        <v>0</v>
      </c>
      <c r="I223" t="n">
        <v>0</v>
      </c>
      <c r="J223" t="n">
        <v>0</v>
      </c>
      <c r="K223" t="n">
        <v>0</v>
      </c>
      <c r="L223" t="n">
        <v>0</v>
      </c>
      <c r="M223" t="n">
        <v>0</v>
      </c>
      <c r="N223" t="n">
        <v>0</v>
      </c>
      <c r="O223" t="n">
        <v>0</v>
      </c>
      <c r="P223" t="n">
        <v>0</v>
      </c>
      <c r="Q223" t="n">
        <v>0</v>
      </c>
      <c r="R223" s="2" t="inlineStr"/>
    </row>
    <row r="224" ht="15" customHeight="1">
      <c r="A224" t="inlineStr">
        <is>
          <t>A 47436-2019</t>
        </is>
      </c>
      <c r="B224" s="1" t="n">
        <v>43723</v>
      </c>
      <c r="C224" s="1" t="n">
        <v>45786</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51025-2019</t>
        </is>
      </c>
      <c r="B225" s="1" t="n">
        <v>43739</v>
      </c>
      <c r="C225" s="1" t="n">
        <v>45786</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53442-2019</t>
        </is>
      </c>
      <c r="B226" s="1" t="n">
        <v>43748</v>
      </c>
      <c r="C226" s="1" t="n">
        <v>45786</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55382-2019</t>
        </is>
      </c>
      <c r="B227" s="1" t="n">
        <v>43755</v>
      </c>
      <c r="C227" s="1" t="n">
        <v>45786</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57686-2019</t>
        </is>
      </c>
      <c r="B228" s="1" t="n">
        <v>43761</v>
      </c>
      <c r="C228" s="1" t="n">
        <v>45786</v>
      </c>
      <c r="D228" t="inlineStr">
        <is>
          <t>UPPSALA LÄN</t>
        </is>
      </c>
      <c r="E228" t="inlineStr">
        <is>
          <t>ÖSTHAMMAR</t>
        </is>
      </c>
      <c r="G228" t="n">
        <v>5.7</v>
      </c>
      <c r="H228" t="n">
        <v>0</v>
      </c>
      <c r="I228" t="n">
        <v>0</v>
      </c>
      <c r="J228" t="n">
        <v>0</v>
      </c>
      <c r="K228" t="n">
        <v>0</v>
      </c>
      <c r="L228" t="n">
        <v>0</v>
      </c>
      <c r="M228" t="n">
        <v>0</v>
      </c>
      <c r="N228" t="n">
        <v>0</v>
      </c>
      <c r="O228" t="n">
        <v>0</v>
      </c>
      <c r="P228" t="n">
        <v>0</v>
      </c>
      <c r="Q228" t="n">
        <v>0</v>
      </c>
      <c r="R228" s="2" t="inlineStr"/>
    </row>
    <row r="229" ht="15" customHeight="1">
      <c r="A229" t="inlineStr">
        <is>
          <t>A 57304-2019</t>
        </is>
      </c>
      <c r="B229" s="1" t="n">
        <v>43767</v>
      </c>
      <c r="C229" s="1" t="n">
        <v>45786</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58665-2019</t>
        </is>
      </c>
      <c r="B230" s="1" t="n">
        <v>43773</v>
      </c>
      <c r="C230" s="1" t="n">
        <v>45786</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60977-2019</t>
        </is>
      </c>
      <c r="B231" s="1" t="n">
        <v>43782</v>
      </c>
      <c r="C231" s="1" t="n">
        <v>45786</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61866-2019</t>
        </is>
      </c>
      <c r="B232" s="1" t="n">
        <v>43787</v>
      </c>
      <c r="C232" s="1" t="n">
        <v>45786</v>
      </c>
      <c r="D232" t="inlineStr">
        <is>
          <t>UPPSALA LÄN</t>
        </is>
      </c>
      <c r="E232" t="inlineStr">
        <is>
          <t>ÖSTHAMMAR</t>
        </is>
      </c>
      <c r="F232" t="inlineStr">
        <is>
          <t>Bergvik skog öst AB</t>
        </is>
      </c>
      <c r="G232" t="n">
        <v>6.6</v>
      </c>
      <c r="H232" t="n">
        <v>0</v>
      </c>
      <c r="I232" t="n">
        <v>0</v>
      </c>
      <c r="J232" t="n">
        <v>0</v>
      </c>
      <c r="K232" t="n">
        <v>0</v>
      </c>
      <c r="L232" t="n">
        <v>0</v>
      </c>
      <c r="M232" t="n">
        <v>0</v>
      </c>
      <c r="N232" t="n">
        <v>0</v>
      </c>
      <c r="O232" t="n">
        <v>0</v>
      </c>
      <c r="P232" t="n">
        <v>0</v>
      </c>
      <c r="Q232" t="n">
        <v>0</v>
      </c>
      <c r="R232" s="2" t="inlineStr"/>
    </row>
    <row r="233" ht="15" customHeight="1">
      <c r="A233" t="inlineStr">
        <is>
          <t>A 62808-2019</t>
        </is>
      </c>
      <c r="B233" s="1" t="n">
        <v>43790</v>
      </c>
      <c r="C233" s="1" t="n">
        <v>45786</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63564-2019</t>
        </is>
      </c>
      <c r="B234" s="1" t="n">
        <v>43795</v>
      </c>
      <c r="C234" s="1" t="n">
        <v>45786</v>
      </c>
      <c r="D234" t="inlineStr">
        <is>
          <t>UPPSALA LÄN</t>
        </is>
      </c>
      <c r="E234" t="inlineStr">
        <is>
          <t>ÖSTHAMMAR</t>
        </is>
      </c>
      <c r="F234" t="inlineStr">
        <is>
          <t>Övriga Aktiebolag</t>
        </is>
      </c>
      <c r="G234" t="n">
        <v>4.7</v>
      </c>
      <c r="H234" t="n">
        <v>0</v>
      </c>
      <c r="I234" t="n">
        <v>0</v>
      </c>
      <c r="J234" t="n">
        <v>0</v>
      </c>
      <c r="K234" t="n">
        <v>0</v>
      </c>
      <c r="L234" t="n">
        <v>0</v>
      </c>
      <c r="M234" t="n">
        <v>0</v>
      </c>
      <c r="N234" t="n">
        <v>0</v>
      </c>
      <c r="O234" t="n">
        <v>0</v>
      </c>
      <c r="P234" t="n">
        <v>0</v>
      </c>
      <c r="Q234" t="n">
        <v>0</v>
      </c>
      <c r="R234" s="2" t="inlineStr"/>
    </row>
    <row r="235" ht="15" customHeight="1">
      <c r="A235" t="inlineStr">
        <is>
          <t>A 64344-2019</t>
        </is>
      </c>
      <c r="B235" s="1" t="n">
        <v>43797</v>
      </c>
      <c r="C235" s="1" t="n">
        <v>45786</v>
      </c>
      <c r="D235" t="inlineStr">
        <is>
          <t>UPPSALA LÄN</t>
        </is>
      </c>
      <c r="E235" t="inlineStr">
        <is>
          <t>ÖSTHAMMAR</t>
        </is>
      </c>
      <c r="G235" t="n">
        <v>3.1</v>
      </c>
      <c r="H235" t="n">
        <v>0</v>
      </c>
      <c r="I235" t="n">
        <v>0</v>
      </c>
      <c r="J235" t="n">
        <v>0</v>
      </c>
      <c r="K235" t="n">
        <v>0</v>
      </c>
      <c r="L235" t="n">
        <v>0</v>
      </c>
      <c r="M235" t="n">
        <v>0</v>
      </c>
      <c r="N235" t="n">
        <v>0</v>
      </c>
      <c r="O235" t="n">
        <v>0</v>
      </c>
      <c r="P235" t="n">
        <v>0</v>
      </c>
      <c r="Q235" t="n">
        <v>0</v>
      </c>
      <c r="R235" s="2" t="inlineStr"/>
    </row>
    <row r="236" ht="15" customHeight="1">
      <c r="A236" t="inlineStr">
        <is>
          <t>A 65107-2019</t>
        </is>
      </c>
      <c r="B236" s="1" t="n">
        <v>43802</v>
      </c>
      <c r="C236" s="1" t="n">
        <v>45786</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67647-2019</t>
        </is>
      </c>
      <c r="B237" s="1" t="n">
        <v>43808</v>
      </c>
      <c r="C237" s="1" t="n">
        <v>45786</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66802-2019</t>
        </is>
      </c>
      <c r="B238" s="1" t="n">
        <v>43810</v>
      </c>
      <c r="C238" s="1" t="n">
        <v>45786</v>
      </c>
      <c r="D238" t="inlineStr">
        <is>
          <t>UPPSALA LÄN</t>
        </is>
      </c>
      <c r="E238" t="inlineStr">
        <is>
          <t>ÖSTHAMMAR</t>
        </is>
      </c>
      <c r="F238" t="inlineStr">
        <is>
          <t>Bergvik skog öst AB</t>
        </is>
      </c>
      <c r="G238" t="n">
        <v>34.8</v>
      </c>
      <c r="H238" t="n">
        <v>0</v>
      </c>
      <c r="I238" t="n">
        <v>0</v>
      </c>
      <c r="J238" t="n">
        <v>0</v>
      </c>
      <c r="K238" t="n">
        <v>0</v>
      </c>
      <c r="L238" t="n">
        <v>0</v>
      </c>
      <c r="M238" t="n">
        <v>0</v>
      </c>
      <c r="N238" t="n">
        <v>0</v>
      </c>
      <c r="O238" t="n">
        <v>0</v>
      </c>
      <c r="P238" t="n">
        <v>0</v>
      </c>
      <c r="Q238" t="n">
        <v>0</v>
      </c>
      <c r="R238" s="2" t="inlineStr"/>
    </row>
    <row r="239" ht="15" customHeight="1">
      <c r="A239" t="inlineStr">
        <is>
          <t>A 67254-2019</t>
        </is>
      </c>
      <c r="B239" s="1" t="n">
        <v>43812</v>
      </c>
      <c r="C239" s="1" t="n">
        <v>45786</v>
      </c>
      <c r="D239" t="inlineStr">
        <is>
          <t>UPPSALA LÄN</t>
        </is>
      </c>
      <c r="E239" t="inlineStr">
        <is>
          <t>ÖSTHAMMAR</t>
        </is>
      </c>
      <c r="F239" t="inlineStr">
        <is>
          <t>Allmännings- och besparingsskogar</t>
        </is>
      </c>
      <c r="G239" t="n">
        <v>0.8</v>
      </c>
      <c r="H239" t="n">
        <v>0</v>
      </c>
      <c r="I239" t="n">
        <v>0</v>
      </c>
      <c r="J239" t="n">
        <v>0</v>
      </c>
      <c r="K239" t="n">
        <v>0</v>
      </c>
      <c r="L239" t="n">
        <v>0</v>
      </c>
      <c r="M239" t="n">
        <v>0</v>
      </c>
      <c r="N239" t="n">
        <v>0</v>
      </c>
      <c r="O239" t="n">
        <v>0</v>
      </c>
      <c r="P239" t="n">
        <v>0</v>
      </c>
      <c r="Q239" t="n">
        <v>0</v>
      </c>
      <c r="R239" s="2" t="inlineStr"/>
    </row>
    <row r="240" ht="15" customHeight="1">
      <c r="A240" t="inlineStr">
        <is>
          <t>A 618-2020</t>
        </is>
      </c>
      <c r="B240" s="1" t="n">
        <v>43817</v>
      </c>
      <c r="C240" s="1" t="n">
        <v>45786</v>
      </c>
      <c r="D240" t="inlineStr">
        <is>
          <t>UPPSALA LÄN</t>
        </is>
      </c>
      <c r="E240" t="inlineStr">
        <is>
          <t>ÖSTHAMMAR</t>
        </is>
      </c>
      <c r="G240" t="n">
        <v>3.2</v>
      </c>
      <c r="H240" t="n">
        <v>0</v>
      </c>
      <c r="I240" t="n">
        <v>0</v>
      </c>
      <c r="J240" t="n">
        <v>0</v>
      </c>
      <c r="K240" t="n">
        <v>0</v>
      </c>
      <c r="L240" t="n">
        <v>0</v>
      </c>
      <c r="M240" t="n">
        <v>0</v>
      </c>
      <c r="N240" t="n">
        <v>0</v>
      </c>
      <c r="O240" t="n">
        <v>0</v>
      </c>
      <c r="P240" t="n">
        <v>0</v>
      </c>
      <c r="Q240" t="n">
        <v>0</v>
      </c>
      <c r="R240" s="2" t="inlineStr"/>
    </row>
    <row r="241" ht="15" customHeight="1">
      <c r="A241" t="inlineStr">
        <is>
          <t>A 68870-2019</t>
        </is>
      </c>
      <c r="B241" s="1" t="n">
        <v>43821</v>
      </c>
      <c r="C241" s="1" t="n">
        <v>45786</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68871-2019</t>
        </is>
      </c>
      <c r="B242" s="1" t="n">
        <v>43821</v>
      </c>
      <c r="C242" s="1" t="n">
        <v>45786</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68868-2019</t>
        </is>
      </c>
      <c r="B243" s="1" t="n">
        <v>43821</v>
      </c>
      <c r="C243" s="1" t="n">
        <v>45786</v>
      </c>
      <c r="D243" t="inlineStr">
        <is>
          <t>UPPSALA LÄN</t>
        </is>
      </c>
      <c r="E243" t="inlineStr">
        <is>
          <t>ÖSTHAMMAR</t>
        </is>
      </c>
      <c r="F243" t="inlineStr">
        <is>
          <t>Bergvik skog öst AB</t>
        </is>
      </c>
      <c r="G243" t="n">
        <v>1.7</v>
      </c>
      <c r="H243" t="n">
        <v>0</v>
      </c>
      <c r="I243" t="n">
        <v>0</v>
      </c>
      <c r="J243" t="n">
        <v>0</v>
      </c>
      <c r="K243" t="n">
        <v>0</v>
      </c>
      <c r="L243" t="n">
        <v>0</v>
      </c>
      <c r="M243" t="n">
        <v>0</v>
      </c>
      <c r="N243" t="n">
        <v>0</v>
      </c>
      <c r="O243" t="n">
        <v>0</v>
      </c>
      <c r="P243" t="n">
        <v>0</v>
      </c>
      <c r="Q243" t="n">
        <v>0</v>
      </c>
      <c r="R243" s="2" t="inlineStr"/>
    </row>
    <row r="244" ht="15" customHeight="1">
      <c r="A244" t="inlineStr">
        <is>
          <t>A 685-2020</t>
        </is>
      </c>
      <c r="B244" s="1" t="n">
        <v>43838</v>
      </c>
      <c r="C244" s="1" t="n">
        <v>45786</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1685-2020</t>
        </is>
      </c>
      <c r="B245" s="1" t="n">
        <v>43844</v>
      </c>
      <c r="C245" s="1" t="n">
        <v>45786</v>
      </c>
      <c r="D245" t="inlineStr">
        <is>
          <t>UPPSALA LÄN</t>
        </is>
      </c>
      <c r="E245" t="inlineStr">
        <is>
          <t>ÖSTHAMMAR</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1681-2020</t>
        </is>
      </c>
      <c r="B246" s="1" t="n">
        <v>43844</v>
      </c>
      <c r="C246" s="1" t="n">
        <v>45786</v>
      </c>
      <c r="D246" t="inlineStr">
        <is>
          <t>UPPSALA LÄN</t>
        </is>
      </c>
      <c r="E246" t="inlineStr">
        <is>
          <t>ÖSTHAMMAR</t>
        </is>
      </c>
      <c r="F246" t="inlineStr">
        <is>
          <t>Övriga Aktiebolag</t>
        </is>
      </c>
      <c r="G246" t="n">
        <v>1.6</v>
      </c>
      <c r="H246" t="n">
        <v>0</v>
      </c>
      <c r="I246" t="n">
        <v>0</v>
      </c>
      <c r="J246" t="n">
        <v>0</v>
      </c>
      <c r="K246" t="n">
        <v>0</v>
      </c>
      <c r="L246" t="n">
        <v>0</v>
      </c>
      <c r="M246" t="n">
        <v>0</v>
      </c>
      <c r="N246" t="n">
        <v>0</v>
      </c>
      <c r="O246" t="n">
        <v>0</v>
      </c>
      <c r="P246" t="n">
        <v>0</v>
      </c>
      <c r="Q246" t="n">
        <v>0</v>
      </c>
      <c r="R246" s="2" t="inlineStr"/>
    </row>
    <row r="247" ht="15" customHeight="1">
      <c r="A247" t="inlineStr">
        <is>
          <t>A 4473-2020</t>
        </is>
      </c>
      <c r="B247" s="1" t="n">
        <v>43850</v>
      </c>
      <c r="C247" s="1" t="n">
        <v>45786</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3334-2020</t>
        </is>
      </c>
      <c r="B248" s="1" t="n">
        <v>43852</v>
      </c>
      <c r="C248" s="1" t="n">
        <v>45786</v>
      </c>
      <c r="D248" t="inlineStr">
        <is>
          <t>UPPSALA LÄN</t>
        </is>
      </c>
      <c r="E248" t="inlineStr">
        <is>
          <t>ÖSTHAMMAR</t>
        </is>
      </c>
      <c r="G248" t="n">
        <v>2.5</v>
      </c>
      <c r="H248" t="n">
        <v>0</v>
      </c>
      <c r="I248" t="n">
        <v>0</v>
      </c>
      <c r="J248" t="n">
        <v>0</v>
      </c>
      <c r="K248" t="n">
        <v>0</v>
      </c>
      <c r="L248" t="n">
        <v>0</v>
      </c>
      <c r="M248" t="n">
        <v>0</v>
      </c>
      <c r="N248" t="n">
        <v>0</v>
      </c>
      <c r="O248" t="n">
        <v>0</v>
      </c>
      <c r="P248" t="n">
        <v>0</v>
      </c>
      <c r="Q248" t="n">
        <v>0</v>
      </c>
      <c r="R248" s="2" t="inlineStr"/>
    </row>
    <row r="249" ht="15" customHeight="1">
      <c r="A249" t="inlineStr">
        <is>
          <t>A 3984-2020</t>
        </is>
      </c>
      <c r="B249" s="1" t="n">
        <v>43855</v>
      </c>
      <c r="C249" s="1" t="n">
        <v>45786</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6052-2020</t>
        </is>
      </c>
      <c r="B250" s="1" t="n">
        <v>43864</v>
      </c>
      <c r="C250" s="1" t="n">
        <v>45786</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6026-2020</t>
        </is>
      </c>
      <c r="B251" s="1" t="n">
        <v>43865</v>
      </c>
      <c r="C251" s="1" t="n">
        <v>45786</v>
      </c>
      <c r="D251" t="inlineStr">
        <is>
          <t>UPPSALA LÄN</t>
        </is>
      </c>
      <c r="E251" t="inlineStr">
        <is>
          <t>ÖSTHAMMAR</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6791-2020</t>
        </is>
      </c>
      <c r="B252" s="1" t="n">
        <v>43867</v>
      </c>
      <c r="C252" s="1" t="n">
        <v>45786</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7847-2020</t>
        </is>
      </c>
      <c r="B253" s="1" t="n">
        <v>43873</v>
      </c>
      <c r="C253" s="1" t="n">
        <v>45786</v>
      </c>
      <c r="D253" t="inlineStr">
        <is>
          <t>UPPSALA LÄN</t>
        </is>
      </c>
      <c r="E253" t="inlineStr">
        <is>
          <t>ÖSTHAMMAR</t>
        </is>
      </c>
      <c r="F253" t="inlineStr">
        <is>
          <t>Övriga Aktiebolag</t>
        </is>
      </c>
      <c r="G253" t="n">
        <v>15.3</v>
      </c>
      <c r="H253" t="n">
        <v>0</v>
      </c>
      <c r="I253" t="n">
        <v>0</v>
      </c>
      <c r="J253" t="n">
        <v>0</v>
      </c>
      <c r="K253" t="n">
        <v>0</v>
      </c>
      <c r="L253" t="n">
        <v>0</v>
      </c>
      <c r="M253" t="n">
        <v>0</v>
      </c>
      <c r="N253" t="n">
        <v>0</v>
      </c>
      <c r="O253" t="n">
        <v>0</v>
      </c>
      <c r="P253" t="n">
        <v>0</v>
      </c>
      <c r="Q253" t="n">
        <v>0</v>
      </c>
      <c r="R253" s="2" t="inlineStr"/>
    </row>
    <row r="254" ht="15" customHeight="1">
      <c r="A254" t="inlineStr">
        <is>
          <t>A 10008-2020</t>
        </is>
      </c>
      <c r="B254" s="1" t="n">
        <v>43882</v>
      </c>
      <c r="C254" s="1" t="n">
        <v>45786</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10345-2020</t>
        </is>
      </c>
      <c r="B255" s="1" t="n">
        <v>43885</v>
      </c>
      <c r="C255" s="1" t="n">
        <v>45786</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10347-2020</t>
        </is>
      </c>
      <c r="B256" s="1" t="n">
        <v>43885</v>
      </c>
      <c r="C256" s="1" t="n">
        <v>45786</v>
      </c>
      <c r="D256" t="inlineStr">
        <is>
          <t>UPPSALA LÄN</t>
        </is>
      </c>
      <c r="E256" t="inlineStr">
        <is>
          <t>ÖSTHAMMAR</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12080-2020</t>
        </is>
      </c>
      <c r="B257" s="1" t="n">
        <v>43895</v>
      </c>
      <c r="C257" s="1" t="n">
        <v>45786</v>
      </c>
      <c r="D257" t="inlineStr">
        <is>
          <t>UPPSALA LÄN</t>
        </is>
      </c>
      <c r="E257" t="inlineStr">
        <is>
          <t>ÖSTHAMMAR</t>
        </is>
      </c>
      <c r="F257" t="inlineStr">
        <is>
          <t>Övriga Aktiebolag</t>
        </is>
      </c>
      <c r="G257" t="n">
        <v>13.9</v>
      </c>
      <c r="H257" t="n">
        <v>0</v>
      </c>
      <c r="I257" t="n">
        <v>0</v>
      </c>
      <c r="J257" t="n">
        <v>0</v>
      </c>
      <c r="K257" t="n">
        <v>0</v>
      </c>
      <c r="L257" t="n">
        <v>0</v>
      </c>
      <c r="M257" t="n">
        <v>0</v>
      </c>
      <c r="N257" t="n">
        <v>0</v>
      </c>
      <c r="O257" t="n">
        <v>0</v>
      </c>
      <c r="P257" t="n">
        <v>0</v>
      </c>
      <c r="Q257" t="n">
        <v>0</v>
      </c>
      <c r="R257" s="2" t="inlineStr"/>
    </row>
    <row r="258" ht="15" customHeight="1">
      <c r="A258" t="inlineStr">
        <is>
          <t>A 13112-2020</t>
        </is>
      </c>
      <c r="B258" s="1" t="n">
        <v>43901</v>
      </c>
      <c r="C258" s="1" t="n">
        <v>45786</v>
      </c>
      <c r="D258" t="inlineStr">
        <is>
          <t>UPPSALA LÄN</t>
        </is>
      </c>
      <c r="E258" t="inlineStr">
        <is>
          <t>ÖSTHAMMAR</t>
        </is>
      </c>
      <c r="F258" t="inlineStr">
        <is>
          <t>Övriga Aktiebolag</t>
        </is>
      </c>
      <c r="G258" t="n">
        <v>6.5</v>
      </c>
      <c r="H258" t="n">
        <v>0</v>
      </c>
      <c r="I258" t="n">
        <v>0</v>
      </c>
      <c r="J258" t="n">
        <v>0</v>
      </c>
      <c r="K258" t="n">
        <v>0</v>
      </c>
      <c r="L258" t="n">
        <v>0</v>
      </c>
      <c r="M258" t="n">
        <v>0</v>
      </c>
      <c r="N258" t="n">
        <v>0</v>
      </c>
      <c r="O258" t="n">
        <v>0</v>
      </c>
      <c r="P258" t="n">
        <v>0</v>
      </c>
      <c r="Q258" t="n">
        <v>0</v>
      </c>
      <c r="R258" s="2" t="inlineStr"/>
    </row>
    <row r="259" ht="15" customHeight="1">
      <c r="A259" t="inlineStr">
        <is>
          <t>A 13310-2020</t>
        </is>
      </c>
      <c r="B259" s="1" t="n">
        <v>43902</v>
      </c>
      <c r="C259" s="1" t="n">
        <v>45786</v>
      </c>
      <c r="D259" t="inlineStr">
        <is>
          <t>UPPSALA LÄN</t>
        </is>
      </c>
      <c r="E259" t="inlineStr">
        <is>
          <t>ÖSTHAMMAR</t>
        </is>
      </c>
      <c r="F259" t="inlineStr">
        <is>
          <t>Bergvik skog öst AB</t>
        </is>
      </c>
      <c r="G259" t="n">
        <v>14.4</v>
      </c>
      <c r="H259" t="n">
        <v>0</v>
      </c>
      <c r="I259" t="n">
        <v>0</v>
      </c>
      <c r="J259" t="n">
        <v>0</v>
      </c>
      <c r="K259" t="n">
        <v>0</v>
      </c>
      <c r="L259" t="n">
        <v>0</v>
      </c>
      <c r="M259" t="n">
        <v>0</v>
      </c>
      <c r="N259" t="n">
        <v>0</v>
      </c>
      <c r="O259" t="n">
        <v>0</v>
      </c>
      <c r="P259" t="n">
        <v>0</v>
      </c>
      <c r="Q259" t="n">
        <v>0</v>
      </c>
      <c r="R259" s="2" t="inlineStr"/>
    </row>
    <row r="260" ht="15" customHeight="1">
      <c r="A260" t="inlineStr">
        <is>
          <t>A 13595-2020</t>
        </is>
      </c>
      <c r="B260" s="1" t="n">
        <v>43903</v>
      </c>
      <c r="C260" s="1" t="n">
        <v>45786</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13945-2020</t>
        </is>
      </c>
      <c r="B261" s="1" t="n">
        <v>43906</v>
      </c>
      <c r="C261" s="1" t="n">
        <v>45786</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14802-2020</t>
        </is>
      </c>
      <c r="B262" s="1" t="n">
        <v>43909</v>
      </c>
      <c r="C262" s="1" t="n">
        <v>45786</v>
      </c>
      <c r="D262" t="inlineStr">
        <is>
          <t>UPPSALA LÄN</t>
        </is>
      </c>
      <c r="E262" t="inlineStr">
        <is>
          <t>ÖSTHAMMAR</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14817-2020</t>
        </is>
      </c>
      <c r="B263" s="1" t="n">
        <v>43909</v>
      </c>
      <c r="C263" s="1" t="n">
        <v>45786</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15067-2020</t>
        </is>
      </c>
      <c r="B264" s="1" t="n">
        <v>43910</v>
      </c>
      <c r="C264" s="1" t="n">
        <v>45786</v>
      </c>
      <c r="D264" t="inlineStr">
        <is>
          <t>UPPSALA LÄN</t>
        </is>
      </c>
      <c r="E264" t="inlineStr">
        <is>
          <t>ÖSTHAMMAR</t>
        </is>
      </c>
      <c r="F264" t="inlineStr">
        <is>
          <t>Bergvik skog öst AB</t>
        </is>
      </c>
      <c r="G264" t="n">
        <v>20.5</v>
      </c>
      <c r="H264" t="n">
        <v>0</v>
      </c>
      <c r="I264" t="n">
        <v>0</v>
      </c>
      <c r="J264" t="n">
        <v>0</v>
      </c>
      <c r="K264" t="n">
        <v>0</v>
      </c>
      <c r="L264" t="n">
        <v>0</v>
      </c>
      <c r="M264" t="n">
        <v>0</v>
      </c>
      <c r="N264" t="n">
        <v>0</v>
      </c>
      <c r="O264" t="n">
        <v>0</v>
      </c>
      <c r="P264" t="n">
        <v>0</v>
      </c>
      <c r="Q264" t="n">
        <v>0</v>
      </c>
      <c r="R264" s="2" t="inlineStr"/>
    </row>
    <row r="265" ht="15" customHeight="1">
      <c r="A265" t="inlineStr">
        <is>
          <t>A 17549-2020</t>
        </is>
      </c>
      <c r="B265" s="1" t="n">
        <v>43920</v>
      </c>
      <c r="C265" s="1" t="n">
        <v>45786</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19556-2020</t>
        </is>
      </c>
      <c r="B266" s="1" t="n">
        <v>43936</v>
      </c>
      <c r="C266" s="1" t="n">
        <v>45786</v>
      </c>
      <c r="D266" t="inlineStr">
        <is>
          <t>UPPSALA LÄN</t>
        </is>
      </c>
      <c r="E266" t="inlineStr">
        <is>
          <t>ÖSTHAMMAR</t>
        </is>
      </c>
      <c r="G266" t="n">
        <v>6.3</v>
      </c>
      <c r="H266" t="n">
        <v>0</v>
      </c>
      <c r="I266" t="n">
        <v>0</v>
      </c>
      <c r="J266" t="n">
        <v>0</v>
      </c>
      <c r="K266" t="n">
        <v>0</v>
      </c>
      <c r="L266" t="n">
        <v>0</v>
      </c>
      <c r="M266" t="n">
        <v>0</v>
      </c>
      <c r="N266" t="n">
        <v>0</v>
      </c>
      <c r="O266" t="n">
        <v>0</v>
      </c>
      <c r="P266" t="n">
        <v>0</v>
      </c>
      <c r="Q266" t="n">
        <v>0</v>
      </c>
      <c r="R266" s="2" t="inlineStr"/>
    </row>
    <row r="267" ht="15" customHeight="1">
      <c r="A267" t="inlineStr">
        <is>
          <t>A 23621-2020</t>
        </is>
      </c>
      <c r="B267" s="1" t="n">
        <v>43969</v>
      </c>
      <c r="C267" s="1" t="n">
        <v>45786</v>
      </c>
      <c r="D267" t="inlineStr">
        <is>
          <t>UPPSALA LÄN</t>
        </is>
      </c>
      <c r="E267" t="inlineStr">
        <is>
          <t>ÖSTHAMMAR</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26198-2020</t>
        </is>
      </c>
      <c r="B268" s="1" t="n">
        <v>43986</v>
      </c>
      <c r="C268" s="1" t="n">
        <v>45786</v>
      </c>
      <c r="D268" t="inlineStr">
        <is>
          <t>UPPSALA LÄN</t>
        </is>
      </c>
      <c r="E268" t="inlineStr">
        <is>
          <t>ÖSTHAMMAR</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30338-2020</t>
        </is>
      </c>
      <c r="B269" s="1" t="n">
        <v>44007</v>
      </c>
      <c r="C269" s="1" t="n">
        <v>45786</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30419-2020</t>
        </is>
      </c>
      <c r="B270" s="1" t="n">
        <v>44007</v>
      </c>
      <c r="C270" s="1" t="n">
        <v>45786</v>
      </c>
      <c r="D270" t="inlineStr">
        <is>
          <t>UPPSALA LÄN</t>
        </is>
      </c>
      <c r="E270" t="inlineStr">
        <is>
          <t>ÖSTHAMMAR</t>
        </is>
      </c>
      <c r="G270" t="n">
        <v>5.6</v>
      </c>
      <c r="H270" t="n">
        <v>0</v>
      </c>
      <c r="I270" t="n">
        <v>0</v>
      </c>
      <c r="J270" t="n">
        <v>0</v>
      </c>
      <c r="K270" t="n">
        <v>0</v>
      </c>
      <c r="L270" t="n">
        <v>0</v>
      </c>
      <c r="M270" t="n">
        <v>0</v>
      </c>
      <c r="N270" t="n">
        <v>0</v>
      </c>
      <c r="O270" t="n">
        <v>0</v>
      </c>
      <c r="P270" t="n">
        <v>0</v>
      </c>
      <c r="Q270" t="n">
        <v>0</v>
      </c>
      <c r="R270" s="2" t="inlineStr"/>
    </row>
    <row r="271" ht="15" customHeight="1">
      <c r="A271" t="inlineStr">
        <is>
          <t>A 32192-2020</t>
        </is>
      </c>
      <c r="B271" s="1" t="n">
        <v>44015</v>
      </c>
      <c r="C271" s="1" t="n">
        <v>45786</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33098-2020</t>
        </is>
      </c>
      <c r="B272" s="1" t="n">
        <v>44021</v>
      </c>
      <c r="C272" s="1" t="n">
        <v>45786</v>
      </c>
      <c r="D272" t="inlineStr">
        <is>
          <t>UPPSALA LÄN</t>
        </is>
      </c>
      <c r="E272" t="inlineStr">
        <is>
          <t>ÖSTHAMMAR</t>
        </is>
      </c>
      <c r="G272" t="n">
        <v>3.8</v>
      </c>
      <c r="H272" t="n">
        <v>0</v>
      </c>
      <c r="I272" t="n">
        <v>0</v>
      </c>
      <c r="J272" t="n">
        <v>0</v>
      </c>
      <c r="K272" t="n">
        <v>0</v>
      </c>
      <c r="L272" t="n">
        <v>0</v>
      </c>
      <c r="M272" t="n">
        <v>0</v>
      </c>
      <c r="N272" t="n">
        <v>0</v>
      </c>
      <c r="O272" t="n">
        <v>0</v>
      </c>
      <c r="P272" t="n">
        <v>0</v>
      </c>
      <c r="Q272" t="n">
        <v>0</v>
      </c>
      <c r="R272" s="2" t="inlineStr"/>
    </row>
    <row r="273" ht="15" customHeight="1">
      <c r="A273" t="inlineStr">
        <is>
          <t>A 34943-2020</t>
        </is>
      </c>
      <c r="B273" s="1" t="n">
        <v>44038</v>
      </c>
      <c r="C273" s="1" t="n">
        <v>45786</v>
      </c>
      <c r="D273" t="inlineStr">
        <is>
          <t>UPPSALA LÄN</t>
        </is>
      </c>
      <c r="E273" t="inlineStr">
        <is>
          <t>ÖSTHAMMAR</t>
        </is>
      </c>
      <c r="F273" t="inlineStr">
        <is>
          <t>Bergvik skog öst AB</t>
        </is>
      </c>
      <c r="G273" t="n">
        <v>4.2</v>
      </c>
      <c r="H273" t="n">
        <v>0</v>
      </c>
      <c r="I273" t="n">
        <v>0</v>
      </c>
      <c r="J273" t="n">
        <v>0</v>
      </c>
      <c r="K273" t="n">
        <v>0</v>
      </c>
      <c r="L273" t="n">
        <v>0</v>
      </c>
      <c r="M273" t="n">
        <v>0</v>
      </c>
      <c r="N273" t="n">
        <v>0</v>
      </c>
      <c r="O273" t="n">
        <v>0</v>
      </c>
      <c r="P273" t="n">
        <v>0</v>
      </c>
      <c r="Q273" t="n">
        <v>0</v>
      </c>
      <c r="R273" s="2" t="inlineStr"/>
    </row>
    <row r="274" ht="15" customHeight="1">
      <c r="A274" t="inlineStr">
        <is>
          <t>A 34941-2020</t>
        </is>
      </c>
      <c r="B274" s="1" t="n">
        <v>44038</v>
      </c>
      <c r="C274" s="1" t="n">
        <v>45786</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34940-2020</t>
        </is>
      </c>
      <c r="B275" s="1" t="n">
        <v>44038</v>
      </c>
      <c r="C275" s="1" t="n">
        <v>45786</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35094-2020</t>
        </is>
      </c>
      <c r="B276" s="1" t="n">
        <v>44040</v>
      </c>
      <c r="C276" s="1" t="n">
        <v>45786</v>
      </c>
      <c r="D276" t="inlineStr">
        <is>
          <t>UPPSALA LÄN</t>
        </is>
      </c>
      <c r="E276" t="inlineStr">
        <is>
          <t>ÖSTHAMMAR</t>
        </is>
      </c>
      <c r="F276" t="inlineStr">
        <is>
          <t>Bergvik skog öst AB</t>
        </is>
      </c>
      <c r="G276" t="n">
        <v>14.5</v>
      </c>
      <c r="H276" t="n">
        <v>0</v>
      </c>
      <c r="I276" t="n">
        <v>0</v>
      </c>
      <c r="J276" t="n">
        <v>0</v>
      </c>
      <c r="K276" t="n">
        <v>0</v>
      </c>
      <c r="L276" t="n">
        <v>0</v>
      </c>
      <c r="M276" t="n">
        <v>0</v>
      </c>
      <c r="N276" t="n">
        <v>0</v>
      </c>
      <c r="O276" t="n">
        <v>0</v>
      </c>
      <c r="P276" t="n">
        <v>0</v>
      </c>
      <c r="Q276" t="n">
        <v>0</v>
      </c>
      <c r="R276" s="2" t="inlineStr"/>
    </row>
    <row r="277" ht="15" customHeight="1">
      <c r="A277" t="inlineStr">
        <is>
          <t>A 35096-2020</t>
        </is>
      </c>
      <c r="B277" s="1" t="n">
        <v>44040</v>
      </c>
      <c r="C277" s="1" t="n">
        <v>45786</v>
      </c>
      <c r="D277" t="inlineStr">
        <is>
          <t>UPPSALA LÄN</t>
        </is>
      </c>
      <c r="E277" t="inlineStr">
        <is>
          <t>ÖSTHAMMAR</t>
        </is>
      </c>
      <c r="F277" t="inlineStr">
        <is>
          <t>Bergvik skog öst AB</t>
        </is>
      </c>
      <c r="G277" t="n">
        <v>7.6</v>
      </c>
      <c r="H277" t="n">
        <v>0</v>
      </c>
      <c r="I277" t="n">
        <v>0</v>
      </c>
      <c r="J277" t="n">
        <v>0</v>
      </c>
      <c r="K277" t="n">
        <v>0</v>
      </c>
      <c r="L277" t="n">
        <v>0</v>
      </c>
      <c r="M277" t="n">
        <v>0</v>
      </c>
      <c r="N277" t="n">
        <v>0</v>
      </c>
      <c r="O277" t="n">
        <v>0</v>
      </c>
      <c r="P277" t="n">
        <v>0</v>
      </c>
      <c r="Q277" t="n">
        <v>0</v>
      </c>
      <c r="R277" s="2" t="inlineStr"/>
    </row>
    <row r="278" ht="15" customHeight="1">
      <c r="A278" t="inlineStr">
        <is>
          <t>A 38285-2020</t>
        </is>
      </c>
      <c r="B278" s="1" t="n">
        <v>44060</v>
      </c>
      <c r="C278" s="1" t="n">
        <v>45786</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38630-2020</t>
        </is>
      </c>
      <c r="B279" s="1" t="n">
        <v>44061</v>
      </c>
      <c r="C279" s="1" t="n">
        <v>45786</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39640-2020</t>
        </is>
      </c>
      <c r="B280" s="1" t="n">
        <v>44064</v>
      </c>
      <c r="C280" s="1" t="n">
        <v>45786</v>
      </c>
      <c r="D280" t="inlineStr">
        <is>
          <t>UPPSALA LÄN</t>
        </is>
      </c>
      <c r="E280" t="inlineStr">
        <is>
          <t>ÖSTHAMMAR</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41849-2020</t>
        </is>
      </c>
      <c r="B281" s="1" t="n">
        <v>44074</v>
      </c>
      <c r="C281" s="1" t="n">
        <v>45786</v>
      </c>
      <c r="D281" t="inlineStr">
        <is>
          <t>UPPSALA LÄN</t>
        </is>
      </c>
      <c r="E281" t="inlineStr">
        <is>
          <t>ÖSTHAMMAR</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42549-2020</t>
        </is>
      </c>
      <c r="B282" s="1" t="n">
        <v>44077</v>
      </c>
      <c r="C282" s="1" t="n">
        <v>45786</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46311-2020</t>
        </is>
      </c>
      <c r="B283" s="1" t="n">
        <v>44092</v>
      </c>
      <c r="C283" s="1" t="n">
        <v>45786</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46423-2020</t>
        </is>
      </c>
      <c r="B284" s="1" t="n">
        <v>44095</v>
      </c>
      <c r="C284" s="1" t="n">
        <v>45786</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47481-2020</t>
        </is>
      </c>
      <c r="B285" s="1" t="n">
        <v>44098</v>
      </c>
      <c r="C285" s="1" t="n">
        <v>45786</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49206-2020</t>
        </is>
      </c>
      <c r="B286" s="1" t="n">
        <v>44105</v>
      </c>
      <c r="C286" s="1" t="n">
        <v>45786</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49336-2020</t>
        </is>
      </c>
      <c r="B287" s="1" t="n">
        <v>44105</v>
      </c>
      <c r="C287" s="1" t="n">
        <v>45786</v>
      </c>
      <c r="D287" t="inlineStr">
        <is>
          <t>UPPSALA LÄN</t>
        </is>
      </c>
      <c r="E287" t="inlineStr">
        <is>
          <t>ÖSTHAMMAR</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52432-2020</t>
        </is>
      </c>
      <c r="B288" s="1" t="n">
        <v>44118</v>
      </c>
      <c r="C288" s="1" t="n">
        <v>45786</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52434-2020</t>
        </is>
      </c>
      <c r="B289" s="1" t="n">
        <v>44118</v>
      </c>
      <c r="C289" s="1" t="n">
        <v>45786</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53137-2020</t>
        </is>
      </c>
      <c r="B290" s="1" t="n">
        <v>44120</v>
      </c>
      <c r="C290" s="1" t="n">
        <v>45786</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55389-2020</t>
        </is>
      </c>
      <c r="B291" s="1" t="n">
        <v>44131</v>
      </c>
      <c r="C291" s="1" t="n">
        <v>45786</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56041-2020</t>
        </is>
      </c>
      <c r="B292" s="1" t="n">
        <v>44133</v>
      </c>
      <c r="C292" s="1" t="n">
        <v>45786</v>
      </c>
      <c r="D292" t="inlineStr">
        <is>
          <t>UPPSALA LÄN</t>
        </is>
      </c>
      <c r="E292" t="inlineStr">
        <is>
          <t>ÖSTHAMMAR</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56079-2020</t>
        </is>
      </c>
      <c r="B293" s="1" t="n">
        <v>44133</v>
      </c>
      <c r="C293" s="1" t="n">
        <v>45786</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56089-2020</t>
        </is>
      </c>
      <c r="B294" s="1" t="n">
        <v>44133</v>
      </c>
      <c r="C294" s="1" t="n">
        <v>45786</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57408-2020</t>
        </is>
      </c>
      <c r="B295" s="1" t="n">
        <v>44140</v>
      </c>
      <c r="C295" s="1" t="n">
        <v>45786</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59432-2020</t>
        </is>
      </c>
      <c r="B296" s="1" t="n">
        <v>44148</v>
      </c>
      <c r="C296" s="1" t="n">
        <v>45786</v>
      </c>
      <c r="D296" t="inlineStr">
        <is>
          <t>UPPSALA LÄN</t>
        </is>
      </c>
      <c r="E296" t="inlineStr">
        <is>
          <t>ÖSTHAMMAR</t>
        </is>
      </c>
      <c r="F296" t="inlineStr">
        <is>
          <t>Sveaskog</t>
        </is>
      </c>
      <c r="G296" t="n">
        <v>3.4</v>
      </c>
      <c r="H296" t="n">
        <v>0</v>
      </c>
      <c r="I296" t="n">
        <v>0</v>
      </c>
      <c r="J296" t="n">
        <v>0</v>
      </c>
      <c r="K296" t="n">
        <v>0</v>
      </c>
      <c r="L296" t="n">
        <v>0</v>
      </c>
      <c r="M296" t="n">
        <v>0</v>
      </c>
      <c r="N296" t="n">
        <v>0</v>
      </c>
      <c r="O296" t="n">
        <v>0</v>
      </c>
      <c r="P296" t="n">
        <v>0</v>
      </c>
      <c r="Q296" t="n">
        <v>0</v>
      </c>
      <c r="R296" s="2" t="inlineStr"/>
    </row>
    <row r="297" ht="15" customHeight="1">
      <c r="A297" t="inlineStr">
        <is>
          <t>A 59414-2020</t>
        </is>
      </c>
      <c r="B297" s="1" t="n">
        <v>44148</v>
      </c>
      <c r="C297" s="1" t="n">
        <v>45786</v>
      </c>
      <c r="D297" t="inlineStr">
        <is>
          <t>UPPSALA LÄN</t>
        </is>
      </c>
      <c r="E297" t="inlineStr">
        <is>
          <t>ÖSTHAMMAR</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59417-2020</t>
        </is>
      </c>
      <c r="B298" s="1" t="n">
        <v>44148</v>
      </c>
      <c r="C298" s="1" t="n">
        <v>45786</v>
      </c>
      <c r="D298" t="inlineStr">
        <is>
          <t>UPPSALA LÄN</t>
        </is>
      </c>
      <c r="E298" t="inlineStr">
        <is>
          <t>ÖSTHAMMAR</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59714-2020</t>
        </is>
      </c>
      <c r="B299" s="1" t="n">
        <v>44151</v>
      </c>
      <c r="C299" s="1" t="n">
        <v>45786</v>
      </c>
      <c r="D299" t="inlineStr">
        <is>
          <t>UPPSALA LÄN</t>
        </is>
      </c>
      <c r="E299" t="inlineStr">
        <is>
          <t>ÖSTHAMMAR</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45786</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61193-2020</t>
        </is>
      </c>
      <c r="B301" s="1" t="n">
        <v>44155</v>
      </c>
      <c r="C301" s="1" t="n">
        <v>45786</v>
      </c>
      <c r="D301" t="inlineStr">
        <is>
          <t>UPPSALA LÄN</t>
        </is>
      </c>
      <c r="E301" t="inlineStr">
        <is>
          <t>ÖSTHAMMAR</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62484-2020</t>
        </is>
      </c>
      <c r="B302" s="1" t="n">
        <v>44160</v>
      </c>
      <c r="C302" s="1" t="n">
        <v>45786</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63637-2020</t>
        </is>
      </c>
      <c r="B303" s="1" t="n">
        <v>44162</v>
      </c>
      <c r="C303" s="1" t="n">
        <v>45786</v>
      </c>
      <c r="D303" t="inlineStr">
        <is>
          <t>UPPSALA LÄN</t>
        </is>
      </c>
      <c r="E303" t="inlineStr">
        <is>
          <t>ÖSTHAMMAR</t>
        </is>
      </c>
      <c r="G303" t="n">
        <v>4</v>
      </c>
      <c r="H303" t="n">
        <v>0</v>
      </c>
      <c r="I303" t="n">
        <v>0</v>
      </c>
      <c r="J303" t="n">
        <v>0</v>
      </c>
      <c r="K303" t="n">
        <v>0</v>
      </c>
      <c r="L303" t="n">
        <v>0</v>
      </c>
      <c r="M303" t="n">
        <v>0</v>
      </c>
      <c r="N303" t="n">
        <v>0</v>
      </c>
      <c r="O303" t="n">
        <v>0</v>
      </c>
      <c r="P303" t="n">
        <v>0</v>
      </c>
      <c r="Q303" t="n">
        <v>0</v>
      </c>
      <c r="R303" s="2" t="inlineStr"/>
    </row>
    <row r="304" ht="15" customHeight="1">
      <c r="A304" t="inlineStr">
        <is>
          <t>A 63577-2020</t>
        </is>
      </c>
      <c r="B304" s="1" t="n">
        <v>44165</v>
      </c>
      <c r="C304" s="1" t="n">
        <v>45786</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63987-2020</t>
        </is>
      </c>
      <c r="B305" s="1" t="n">
        <v>44167</v>
      </c>
      <c r="C305" s="1" t="n">
        <v>45786</v>
      </c>
      <c r="D305" t="inlineStr">
        <is>
          <t>UPPSALA LÄN</t>
        </is>
      </c>
      <c r="E305" t="inlineStr">
        <is>
          <t>ÖSTHAMMAR</t>
        </is>
      </c>
      <c r="G305" t="n">
        <v>5.9</v>
      </c>
      <c r="H305" t="n">
        <v>0</v>
      </c>
      <c r="I305" t="n">
        <v>0</v>
      </c>
      <c r="J305" t="n">
        <v>0</v>
      </c>
      <c r="K305" t="n">
        <v>0</v>
      </c>
      <c r="L305" t="n">
        <v>0</v>
      </c>
      <c r="M305" t="n">
        <v>0</v>
      </c>
      <c r="N305" t="n">
        <v>0</v>
      </c>
      <c r="O305" t="n">
        <v>0</v>
      </c>
      <c r="P305" t="n">
        <v>0</v>
      </c>
      <c r="Q305" t="n">
        <v>0</v>
      </c>
      <c r="R305" s="2" t="inlineStr"/>
    </row>
    <row r="306" ht="15" customHeight="1">
      <c r="A306" t="inlineStr">
        <is>
          <t>A 65361-2020</t>
        </is>
      </c>
      <c r="B306" s="1" t="n">
        <v>44173</v>
      </c>
      <c r="C306" s="1" t="n">
        <v>45786</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68243-2020</t>
        </is>
      </c>
      <c r="B307" s="1" t="n">
        <v>44183</v>
      </c>
      <c r="C307" s="1" t="n">
        <v>45786</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68828-2020</t>
        </is>
      </c>
      <c r="B308" s="1" t="n">
        <v>44186</v>
      </c>
      <c r="C308" s="1" t="n">
        <v>45786</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69681-2020</t>
        </is>
      </c>
      <c r="B309" s="1" t="n">
        <v>44196</v>
      </c>
      <c r="C309" s="1" t="n">
        <v>45786</v>
      </c>
      <c r="D309" t="inlineStr">
        <is>
          <t>UPPSALA LÄN</t>
        </is>
      </c>
      <c r="E309" t="inlineStr">
        <is>
          <t>ÖSTHAMMAR</t>
        </is>
      </c>
      <c r="F309" t="inlineStr">
        <is>
          <t>Bergvik skog öst AB</t>
        </is>
      </c>
      <c r="G309" t="n">
        <v>21.9</v>
      </c>
      <c r="H309" t="n">
        <v>0</v>
      </c>
      <c r="I309" t="n">
        <v>0</v>
      </c>
      <c r="J309" t="n">
        <v>0</v>
      </c>
      <c r="K309" t="n">
        <v>0</v>
      </c>
      <c r="L309" t="n">
        <v>0</v>
      </c>
      <c r="M309" t="n">
        <v>0</v>
      </c>
      <c r="N309" t="n">
        <v>0</v>
      </c>
      <c r="O309" t="n">
        <v>0</v>
      </c>
      <c r="P309" t="n">
        <v>0</v>
      </c>
      <c r="Q309" t="n">
        <v>0</v>
      </c>
      <c r="R309" s="2" t="inlineStr"/>
    </row>
    <row r="310" ht="15" customHeight="1">
      <c r="A310" t="inlineStr">
        <is>
          <t>A 3693-2021</t>
        </is>
      </c>
      <c r="B310" s="1" t="n">
        <v>44221</v>
      </c>
      <c r="C310" s="1" t="n">
        <v>45786</v>
      </c>
      <c r="D310" t="inlineStr">
        <is>
          <t>UPPSALA LÄN</t>
        </is>
      </c>
      <c r="E310" t="inlineStr">
        <is>
          <t>ÖSTHAMMAR</t>
        </is>
      </c>
      <c r="G310" t="n">
        <v>0.3</v>
      </c>
      <c r="H310" t="n">
        <v>0</v>
      </c>
      <c r="I310" t="n">
        <v>0</v>
      </c>
      <c r="J310" t="n">
        <v>0</v>
      </c>
      <c r="K310" t="n">
        <v>0</v>
      </c>
      <c r="L310" t="n">
        <v>0</v>
      </c>
      <c r="M310" t="n">
        <v>0</v>
      </c>
      <c r="N310" t="n">
        <v>0</v>
      </c>
      <c r="O310" t="n">
        <v>0</v>
      </c>
      <c r="P310" t="n">
        <v>0</v>
      </c>
      <c r="Q310" t="n">
        <v>0</v>
      </c>
      <c r="R310" s="2" t="inlineStr"/>
    </row>
    <row r="311" ht="15" customHeight="1">
      <c r="A311" t="inlineStr">
        <is>
          <t>A 4151-2021</t>
        </is>
      </c>
      <c r="B311" s="1" t="n">
        <v>44221</v>
      </c>
      <c r="C311" s="1" t="n">
        <v>45786</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4590-2021</t>
        </is>
      </c>
      <c r="B312" s="1" t="n">
        <v>44224</v>
      </c>
      <c r="C312" s="1" t="n">
        <v>45786</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6221-2021</t>
        </is>
      </c>
      <c r="B313" s="1" t="n">
        <v>44235</v>
      </c>
      <c r="C313" s="1" t="n">
        <v>45786</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7113-2021</t>
        </is>
      </c>
      <c r="B314" s="1" t="n">
        <v>44238</v>
      </c>
      <c r="C314" s="1" t="n">
        <v>45786</v>
      </c>
      <c r="D314" t="inlineStr">
        <is>
          <t>UPPSALA LÄN</t>
        </is>
      </c>
      <c r="E314" t="inlineStr">
        <is>
          <t>ÖSTHAMMAR</t>
        </is>
      </c>
      <c r="F314" t="inlineStr">
        <is>
          <t>Bergvik skog öst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8009-2021</t>
        </is>
      </c>
      <c r="B315" s="1" t="n">
        <v>44243</v>
      </c>
      <c r="C315" s="1" t="n">
        <v>45786</v>
      </c>
      <c r="D315" t="inlineStr">
        <is>
          <t>UPPSALA LÄN</t>
        </is>
      </c>
      <c r="E315" t="inlineStr">
        <is>
          <t>ÖSTHAMMAR</t>
        </is>
      </c>
      <c r="G315" t="n">
        <v>9.9</v>
      </c>
      <c r="H315" t="n">
        <v>0</v>
      </c>
      <c r="I315" t="n">
        <v>0</v>
      </c>
      <c r="J315" t="n">
        <v>0</v>
      </c>
      <c r="K315" t="n">
        <v>0</v>
      </c>
      <c r="L315" t="n">
        <v>0</v>
      </c>
      <c r="M315" t="n">
        <v>0</v>
      </c>
      <c r="N315" t="n">
        <v>0</v>
      </c>
      <c r="O315" t="n">
        <v>0</v>
      </c>
      <c r="P315" t="n">
        <v>0</v>
      </c>
      <c r="Q315" t="n">
        <v>0</v>
      </c>
      <c r="R315" s="2" t="inlineStr"/>
    </row>
    <row r="316" ht="15" customHeight="1">
      <c r="A316" t="inlineStr">
        <is>
          <t>A 10316-2021</t>
        </is>
      </c>
      <c r="B316" s="1" t="n">
        <v>44257</v>
      </c>
      <c r="C316" s="1" t="n">
        <v>45786</v>
      </c>
      <c r="D316" t="inlineStr">
        <is>
          <t>UPPSALA LÄN</t>
        </is>
      </c>
      <c r="E316" t="inlineStr">
        <is>
          <t>ÖSTHAMMAR</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10498-2021</t>
        </is>
      </c>
      <c r="B317" s="1" t="n">
        <v>44258</v>
      </c>
      <c r="C317" s="1" t="n">
        <v>45786</v>
      </c>
      <c r="D317" t="inlineStr">
        <is>
          <t>UPPSALA LÄN</t>
        </is>
      </c>
      <c r="E317" t="inlineStr">
        <is>
          <t>ÖSTHAMMAR</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14248-2021</t>
        </is>
      </c>
      <c r="B318" s="1" t="n">
        <v>44278</v>
      </c>
      <c r="C318" s="1" t="n">
        <v>45786</v>
      </c>
      <c r="D318" t="inlineStr">
        <is>
          <t>UPPSALA LÄN</t>
        </is>
      </c>
      <c r="E318" t="inlineStr">
        <is>
          <t>ÖSTHAMMAR</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14525-2021</t>
        </is>
      </c>
      <c r="B319" s="1" t="n">
        <v>44279</v>
      </c>
      <c r="C319" s="1" t="n">
        <v>45786</v>
      </c>
      <c r="D319" t="inlineStr">
        <is>
          <t>UPPSALA LÄN</t>
        </is>
      </c>
      <c r="E319" t="inlineStr">
        <is>
          <t>ÖSTHAMMAR</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45786</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16209-2021</t>
        </is>
      </c>
      <c r="B321" s="1" t="n">
        <v>44287</v>
      </c>
      <c r="C321" s="1" t="n">
        <v>45786</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17009-2021</t>
        </is>
      </c>
      <c r="B322" s="1" t="n">
        <v>44295</v>
      </c>
      <c r="C322" s="1" t="n">
        <v>45786</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17022-2021</t>
        </is>
      </c>
      <c r="B323" s="1" t="n">
        <v>44295</v>
      </c>
      <c r="C323" s="1" t="n">
        <v>45786</v>
      </c>
      <c r="D323" t="inlineStr">
        <is>
          <t>UPPSALA LÄN</t>
        </is>
      </c>
      <c r="E323" t="inlineStr">
        <is>
          <t>ÖSTHAMMAR</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17033-2021</t>
        </is>
      </c>
      <c r="B324" s="1" t="n">
        <v>44295</v>
      </c>
      <c r="C324" s="1" t="n">
        <v>45786</v>
      </c>
      <c r="D324" t="inlineStr">
        <is>
          <t>UPPSALA LÄN</t>
        </is>
      </c>
      <c r="E324" t="inlineStr">
        <is>
          <t>ÖSTHAMMAR</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17349-2021</t>
        </is>
      </c>
      <c r="B325" s="1" t="n">
        <v>44298</v>
      </c>
      <c r="C325" s="1" t="n">
        <v>45786</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18944-2021</t>
        </is>
      </c>
      <c r="B326" s="1" t="n">
        <v>44308</v>
      </c>
      <c r="C326" s="1" t="n">
        <v>45786</v>
      </c>
      <c r="D326" t="inlineStr">
        <is>
          <t>UPPSALA LÄN</t>
        </is>
      </c>
      <c r="E326" t="inlineStr">
        <is>
          <t>ÖSTHAMMAR</t>
        </is>
      </c>
      <c r="F326" t="inlineStr">
        <is>
          <t>Bergvik skog öst AB</t>
        </is>
      </c>
      <c r="G326" t="n">
        <v>12.5</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45786</v>
      </c>
      <c r="D327" t="inlineStr">
        <is>
          <t>UPPSALA LÄN</t>
        </is>
      </c>
      <c r="E327" t="inlineStr">
        <is>
          <t>ÖSTHAMMAR</t>
        </is>
      </c>
      <c r="G327" t="n">
        <v>7.8</v>
      </c>
      <c r="H327" t="n">
        <v>0</v>
      </c>
      <c r="I327" t="n">
        <v>0</v>
      </c>
      <c r="J327" t="n">
        <v>0</v>
      </c>
      <c r="K327" t="n">
        <v>0</v>
      </c>
      <c r="L327" t="n">
        <v>0</v>
      </c>
      <c r="M327" t="n">
        <v>0</v>
      </c>
      <c r="N327" t="n">
        <v>0</v>
      </c>
      <c r="O327" t="n">
        <v>0</v>
      </c>
      <c r="P327" t="n">
        <v>0</v>
      </c>
      <c r="Q327" t="n">
        <v>0</v>
      </c>
      <c r="R327" s="2" t="inlineStr"/>
    </row>
    <row r="328" ht="15" customHeight="1">
      <c r="A328" t="inlineStr">
        <is>
          <t>A 20325-2021</t>
        </is>
      </c>
      <c r="B328" s="1" t="n">
        <v>44308</v>
      </c>
      <c r="C328" s="1" t="n">
        <v>45786</v>
      </c>
      <c r="D328" t="inlineStr">
        <is>
          <t>UPPSALA LÄN</t>
        </is>
      </c>
      <c r="E328" t="inlineStr">
        <is>
          <t>ÖSTHAMMAR</t>
        </is>
      </c>
      <c r="G328" t="n">
        <v>5</v>
      </c>
      <c r="H328" t="n">
        <v>0</v>
      </c>
      <c r="I328" t="n">
        <v>0</v>
      </c>
      <c r="J328" t="n">
        <v>0</v>
      </c>
      <c r="K328" t="n">
        <v>0</v>
      </c>
      <c r="L328" t="n">
        <v>0</v>
      </c>
      <c r="M328" t="n">
        <v>0</v>
      </c>
      <c r="N328" t="n">
        <v>0</v>
      </c>
      <c r="O328" t="n">
        <v>0</v>
      </c>
      <c r="P328" t="n">
        <v>0</v>
      </c>
      <c r="Q328" t="n">
        <v>0</v>
      </c>
      <c r="R328" s="2" t="inlineStr"/>
    </row>
    <row r="329" ht="15" customHeight="1">
      <c r="A329" t="inlineStr">
        <is>
          <t>A 20324-2021</t>
        </is>
      </c>
      <c r="B329" s="1" t="n">
        <v>44308</v>
      </c>
      <c r="C329" s="1" t="n">
        <v>45786</v>
      </c>
      <c r="D329" t="inlineStr">
        <is>
          <t>UPPSALA LÄN</t>
        </is>
      </c>
      <c r="E329" t="inlineStr">
        <is>
          <t>ÖSTHAMMAR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19214-2021</t>
        </is>
      </c>
      <c r="B330" s="1" t="n">
        <v>44309</v>
      </c>
      <c r="C330" s="1" t="n">
        <v>45786</v>
      </c>
      <c r="D330" t="inlineStr">
        <is>
          <t>UPPSALA LÄN</t>
        </is>
      </c>
      <c r="E330" t="inlineStr">
        <is>
          <t>ÖSTHAMMAR</t>
        </is>
      </c>
      <c r="F330" t="inlineStr">
        <is>
          <t>Bergvik skog öst AB</t>
        </is>
      </c>
      <c r="G330" t="n">
        <v>6</v>
      </c>
      <c r="H330" t="n">
        <v>0</v>
      </c>
      <c r="I330" t="n">
        <v>0</v>
      </c>
      <c r="J330" t="n">
        <v>0</v>
      </c>
      <c r="K330" t="n">
        <v>0</v>
      </c>
      <c r="L330" t="n">
        <v>0</v>
      </c>
      <c r="M330" t="n">
        <v>0</v>
      </c>
      <c r="N330" t="n">
        <v>0</v>
      </c>
      <c r="O330" t="n">
        <v>0</v>
      </c>
      <c r="P330" t="n">
        <v>0</v>
      </c>
      <c r="Q330" t="n">
        <v>0</v>
      </c>
      <c r="R330" s="2" t="inlineStr"/>
    </row>
    <row r="331" ht="15" customHeight="1">
      <c r="A331" t="inlineStr">
        <is>
          <t>A 19552-2021</t>
        </is>
      </c>
      <c r="B331" s="1" t="n">
        <v>44312</v>
      </c>
      <c r="C331" s="1" t="n">
        <v>45786</v>
      </c>
      <c r="D331" t="inlineStr">
        <is>
          <t>UPPSALA LÄN</t>
        </is>
      </c>
      <c r="E331" t="inlineStr">
        <is>
          <t>ÖSTHAMMAR</t>
        </is>
      </c>
      <c r="G331" t="n">
        <v>4.5</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v>
      </c>
      <c r="C332" s="1" t="n">
        <v>45786</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23120-2021</t>
        </is>
      </c>
      <c r="B333" s="1" t="n">
        <v>44330</v>
      </c>
      <c r="C333" s="1" t="n">
        <v>45786</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24062-2021</t>
        </is>
      </c>
      <c r="B334" s="1" t="n">
        <v>44336</v>
      </c>
      <c r="C334" s="1" t="n">
        <v>45786</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24316-2021</t>
        </is>
      </c>
      <c r="B335" s="1" t="n">
        <v>44337</v>
      </c>
      <c r="C335" s="1" t="n">
        <v>45786</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25033-2021</t>
        </is>
      </c>
      <c r="B336" s="1" t="n">
        <v>44341</v>
      </c>
      <c r="C336" s="1" t="n">
        <v>45786</v>
      </c>
      <c r="D336" t="inlineStr">
        <is>
          <t>UPPSALA LÄN</t>
        </is>
      </c>
      <c r="E336" t="inlineStr">
        <is>
          <t>ÖSTHAMMAR</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25378-2021</t>
        </is>
      </c>
      <c r="B337" s="1" t="n">
        <v>44342</v>
      </c>
      <c r="C337" s="1" t="n">
        <v>45786</v>
      </c>
      <c r="D337" t="inlineStr">
        <is>
          <t>UPPSALA LÄN</t>
        </is>
      </c>
      <c r="E337" t="inlineStr">
        <is>
          <t>ÖSTHAMMAR</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25395-2021</t>
        </is>
      </c>
      <c r="B338" s="1" t="n">
        <v>44342</v>
      </c>
      <c r="C338" s="1" t="n">
        <v>45786</v>
      </c>
      <c r="D338" t="inlineStr">
        <is>
          <t>UPPSALA LÄN</t>
        </is>
      </c>
      <c r="E338" t="inlineStr">
        <is>
          <t>ÖSTHAMMAR</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26257-2021</t>
        </is>
      </c>
      <c r="B339" s="1" t="n">
        <v>44347</v>
      </c>
      <c r="C339" s="1" t="n">
        <v>45786</v>
      </c>
      <c r="D339" t="inlineStr">
        <is>
          <t>UPPSALA LÄN</t>
        </is>
      </c>
      <c r="E339" t="inlineStr">
        <is>
          <t>ÖSTHAMMAR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27939-2021</t>
        </is>
      </c>
      <c r="B340" s="1" t="n">
        <v>44354</v>
      </c>
      <c r="C340" s="1" t="n">
        <v>45786</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27940-2021</t>
        </is>
      </c>
      <c r="B341" s="1" t="n">
        <v>44354</v>
      </c>
      <c r="C341" s="1" t="n">
        <v>45786</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29282-2021</t>
        </is>
      </c>
      <c r="B342" s="1" t="n">
        <v>44361</v>
      </c>
      <c r="C342" s="1" t="n">
        <v>45786</v>
      </c>
      <c r="D342" t="inlineStr">
        <is>
          <t>UPPSALA LÄN</t>
        </is>
      </c>
      <c r="E342" t="inlineStr">
        <is>
          <t>ÖSTHAMMAR</t>
        </is>
      </c>
      <c r="G342" t="n">
        <v>2.4</v>
      </c>
      <c r="H342" t="n">
        <v>0</v>
      </c>
      <c r="I342" t="n">
        <v>0</v>
      </c>
      <c r="J342" t="n">
        <v>0</v>
      </c>
      <c r="K342" t="n">
        <v>0</v>
      </c>
      <c r="L342" t="n">
        <v>0</v>
      </c>
      <c r="M342" t="n">
        <v>0</v>
      </c>
      <c r="N342" t="n">
        <v>0</v>
      </c>
      <c r="O342" t="n">
        <v>0</v>
      </c>
      <c r="P342" t="n">
        <v>0</v>
      </c>
      <c r="Q342" t="n">
        <v>0</v>
      </c>
      <c r="R342" s="2" t="inlineStr"/>
    </row>
    <row r="343" ht="15" customHeight="1">
      <c r="A343" t="inlineStr">
        <is>
          <t>A 30927-2021</t>
        </is>
      </c>
      <c r="B343" s="1" t="n">
        <v>44365</v>
      </c>
      <c r="C343" s="1" t="n">
        <v>45786</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45786</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31263-2021</t>
        </is>
      </c>
      <c r="B345" s="1" t="n">
        <v>44368</v>
      </c>
      <c r="C345" s="1" t="n">
        <v>45786</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32244-2021</t>
        </is>
      </c>
      <c r="B346" s="1" t="n">
        <v>44371</v>
      </c>
      <c r="C346" s="1" t="n">
        <v>45786</v>
      </c>
      <c r="D346" t="inlineStr">
        <is>
          <t>UPPSALA LÄN</t>
        </is>
      </c>
      <c r="E346" t="inlineStr">
        <is>
          <t>ÖSTHAMMAR</t>
        </is>
      </c>
      <c r="F346" t="inlineStr">
        <is>
          <t>Bergvik skog öst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32939-2021</t>
        </is>
      </c>
      <c r="B347" s="1" t="n">
        <v>44376</v>
      </c>
      <c r="C347" s="1" t="n">
        <v>45786</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32948-2021</t>
        </is>
      </c>
      <c r="B348" s="1" t="n">
        <v>44376</v>
      </c>
      <c r="C348" s="1" t="n">
        <v>45786</v>
      </c>
      <c r="D348" t="inlineStr">
        <is>
          <t>UPPSALA LÄN</t>
        </is>
      </c>
      <c r="E348" t="inlineStr">
        <is>
          <t>ÖSTHAMMAR</t>
        </is>
      </c>
      <c r="F348" t="inlineStr">
        <is>
          <t>Bergvik skog öst AB</t>
        </is>
      </c>
      <c r="G348" t="n">
        <v>13.5</v>
      </c>
      <c r="H348" t="n">
        <v>0</v>
      </c>
      <c r="I348" t="n">
        <v>0</v>
      </c>
      <c r="J348" t="n">
        <v>0</v>
      </c>
      <c r="K348" t="n">
        <v>0</v>
      </c>
      <c r="L348" t="n">
        <v>0</v>
      </c>
      <c r="M348" t="n">
        <v>0</v>
      </c>
      <c r="N348" t="n">
        <v>0</v>
      </c>
      <c r="O348" t="n">
        <v>0</v>
      </c>
      <c r="P348" t="n">
        <v>0</v>
      </c>
      <c r="Q348" t="n">
        <v>0</v>
      </c>
      <c r="R348" s="2" t="inlineStr"/>
    </row>
    <row r="349" ht="15" customHeight="1">
      <c r="A349" t="inlineStr">
        <is>
          <t>A 33062-2021</t>
        </is>
      </c>
      <c r="B349" s="1" t="n">
        <v>44376</v>
      </c>
      <c r="C349" s="1" t="n">
        <v>45786</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33056-2021</t>
        </is>
      </c>
      <c r="B350" s="1" t="n">
        <v>44376</v>
      </c>
      <c r="C350" s="1" t="n">
        <v>45786</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33271-2021</t>
        </is>
      </c>
      <c r="B351" s="1" t="n">
        <v>44377</v>
      </c>
      <c r="C351" s="1" t="n">
        <v>45786</v>
      </c>
      <c r="D351" t="inlineStr">
        <is>
          <t>UPPSALA LÄN</t>
        </is>
      </c>
      <c r="E351" t="inlineStr">
        <is>
          <t>ÖSTHAMMAR</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38411-2021</t>
        </is>
      </c>
      <c r="B352" s="1" t="n">
        <v>44406</v>
      </c>
      <c r="C352" s="1" t="n">
        <v>45786</v>
      </c>
      <c r="D352" t="inlineStr">
        <is>
          <t>UPPSALA LÄN</t>
        </is>
      </c>
      <c r="E352" t="inlineStr">
        <is>
          <t>ÖSTHAMMAR</t>
        </is>
      </c>
      <c r="F352" t="inlineStr">
        <is>
          <t>Bergvik skog öst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40606-2021</t>
        </is>
      </c>
      <c r="B353" s="1" t="n">
        <v>44420</v>
      </c>
      <c r="C353" s="1" t="n">
        <v>45786</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41531-2021</t>
        </is>
      </c>
      <c r="B354" s="1" t="n">
        <v>44425</v>
      </c>
      <c r="C354" s="1" t="n">
        <v>45786</v>
      </c>
      <c r="D354" t="inlineStr">
        <is>
          <t>UPPSALA LÄN</t>
        </is>
      </c>
      <c r="E354" t="inlineStr">
        <is>
          <t>ÖSTHAMMAR</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41558-2021</t>
        </is>
      </c>
      <c r="B355" s="1" t="n">
        <v>44425</v>
      </c>
      <c r="C355" s="1" t="n">
        <v>45786</v>
      </c>
      <c r="D355" t="inlineStr">
        <is>
          <t>UPPSALA LÄN</t>
        </is>
      </c>
      <c r="E355" t="inlineStr">
        <is>
          <t>ÖSTHAMMAR</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41538-2021</t>
        </is>
      </c>
      <c r="B356" s="1" t="n">
        <v>44425</v>
      </c>
      <c r="C356" s="1" t="n">
        <v>45786</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41744-2021</t>
        </is>
      </c>
      <c r="B357" s="1" t="n">
        <v>44425</v>
      </c>
      <c r="C357" s="1" t="n">
        <v>45786</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43469-2021</t>
        </is>
      </c>
      <c r="B358" s="1" t="n">
        <v>44432</v>
      </c>
      <c r="C358" s="1" t="n">
        <v>45786</v>
      </c>
      <c r="D358" t="inlineStr">
        <is>
          <t>UPPSALA LÄN</t>
        </is>
      </c>
      <c r="E358" t="inlineStr">
        <is>
          <t>ÖSTHAMMAR</t>
        </is>
      </c>
      <c r="G358" t="n">
        <v>3.9</v>
      </c>
      <c r="H358" t="n">
        <v>0</v>
      </c>
      <c r="I358" t="n">
        <v>0</v>
      </c>
      <c r="J358" t="n">
        <v>0</v>
      </c>
      <c r="K358" t="n">
        <v>0</v>
      </c>
      <c r="L358" t="n">
        <v>0</v>
      </c>
      <c r="M358" t="n">
        <v>0</v>
      </c>
      <c r="N358" t="n">
        <v>0</v>
      </c>
      <c r="O358" t="n">
        <v>0</v>
      </c>
      <c r="P358" t="n">
        <v>0</v>
      </c>
      <c r="Q358" t="n">
        <v>0</v>
      </c>
      <c r="R358" s="2" t="inlineStr"/>
    </row>
    <row r="359" ht="15" customHeight="1">
      <c r="A359" t="inlineStr">
        <is>
          <t>A 48308-2021</t>
        </is>
      </c>
      <c r="B359" s="1" t="n">
        <v>44450</v>
      </c>
      <c r="C359" s="1" t="n">
        <v>45786</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51010-2021</t>
        </is>
      </c>
      <c r="B360" s="1" t="n">
        <v>44460</v>
      </c>
      <c r="C360" s="1" t="n">
        <v>45786</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51412-2021</t>
        </is>
      </c>
      <c r="B361" s="1" t="n">
        <v>44461</v>
      </c>
      <c r="C361" s="1" t="n">
        <v>45786</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51364-2021</t>
        </is>
      </c>
      <c r="B362" s="1" t="n">
        <v>44461</v>
      </c>
      <c r="C362" s="1" t="n">
        <v>45786</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51612-2021</t>
        </is>
      </c>
      <c r="B363" s="1" t="n">
        <v>44462</v>
      </c>
      <c r="C363" s="1" t="n">
        <v>45786</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52659-2021</t>
        </is>
      </c>
      <c r="B364" s="1" t="n">
        <v>44466</v>
      </c>
      <c r="C364" s="1" t="n">
        <v>45786</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52544-2021</t>
        </is>
      </c>
      <c r="B365" s="1" t="n">
        <v>44466</v>
      </c>
      <c r="C365" s="1" t="n">
        <v>45786</v>
      </c>
      <c r="D365" t="inlineStr">
        <is>
          <t>UPPSALA LÄN</t>
        </is>
      </c>
      <c r="E365" t="inlineStr">
        <is>
          <t>ÖSTHAMMAR</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52898-2021</t>
        </is>
      </c>
      <c r="B366" s="1" t="n">
        <v>44467</v>
      </c>
      <c r="C366" s="1" t="n">
        <v>45786</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45786</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55872-2021</t>
        </is>
      </c>
      <c r="B368" s="1" t="n">
        <v>44476</v>
      </c>
      <c r="C368" s="1" t="n">
        <v>45786</v>
      </c>
      <c r="D368" t="inlineStr">
        <is>
          <t>UPPSALA LÄN</t>
        </is>
      </c>
      <c r="E368" t="inlineStr">
        <is>
          <t>ÖSTHAMMAR</t>
        </is>
      </c>
      <c r="F368" t="inlineStr">
        <is>
          <t>Bergvik skog öst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57003-2021</t>
        </is>
      </c>
      <c r="B369" s="1" t="n">
        <v>44482</v>
      </c>
      <c r="C369" s="1" t="n">
        <v>45786</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57080-2021</t>
        </is>
      </c>
      <c r="B370" s="1" t="n">
        <v>44482</v>
      </c>
      <c r="C370" s="1" t="n">
        <v>45786</v>
      </c>
      <c r="D370" t="inlineStr">
        <is>
          <t>UPPSALA LÄN</t>
        </is>
      </c>
      <c r="E370" t="inlineStr">
        <is>
          <t>ÖSTHAMMAR</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58334-2021</t>
        </is>
      </c>
      <c r="B371" s="1" t="n">
        <v>44488</v>
      </c>
      <c r="C371" s="1" t="n">
        <v>45786</v>
      </c>
      <c r="D371" t="inlineStr">
        <is>
          <t>UPPSALA LÄN</t>
        </is>
      </c>
      <c r="E371" t="inlineStr">
        <is>
          <t>ÖSTHAMMAR</t>
        </is>
      </c>
      <c r="G371" t="n">
        <v>5.7</v>
      </c>
      <c r="H371" t="n">
        <v>0</v>
      </c>
      <c r="I371" t="n">
        <v>0</v>
      </c>
      <c r="J371" t="n">
        <v>0</v>
      </c>
      <c r="K371" t="n">
        <v>0</v>
      </c>
      <c r="L371" t="n">
        <v>0</v>
      </c>
      <c r="M371" t="n">
        <v>0</v>
      </c>
      <c r="N371" t="n">
        <v>0</v>
      </c>
      <c r="O371" t="n">
        <v>0</v>
      </c>
      <c r="P371" t="n">
        <v>0</v>
      </c>
      <c r="Q371" t="n">
        <v>0</v>
      </c>
      <c r="R371" s="2" t="inlineStr"/>
    </row>
    <row r="372" ht="15" customHeight="1">
      <c r="A372" t="inlineStr">
        <is>
          <t>A 59360-2021</t>
        </is>
      </c>
      <c r="B372" s="1" t="n">
        <v>44491</v>
      </c>
      <c r="C372" s="1" t="n">
        <v>45786</v>
      </c>
      <c r="D372" t="inlineStr">
        <is>
          <t>UPPSALA LÄN</t>
        </is>
      </c>
      <c r="E372" t="inlineStr">
        <is>
          <t>ÖSTHAMMAR</t>
        </is>
      </c>
      <c r="F372" t="inlineStr">
        <is>
          <t>Bergvik skog öst AB</t>
        </is>
      </c>
      <c r="G372" t="n">
        <v>8</v>
      </c>
      <c r="H372" t="n">
        <v>0</v>
      </c>
      <c r="I372" t="n">
        <v>0</v>
      </c>
      <c r="J372" t="n">
        <v>0</v>
      </c>
      <c r="K372" t="n">
        <v>0</v>
      </c>
      <c r="L372" t="n">
        <v>0</v>
      </c>
      <c r="M372" t="n">
        <v>0</v>
      </c>
      <c r="N372" t="n">
        <v>0</v>
      </c>
      <c r="O372" t="n">
        <v>0</v>
      </c>
      <c r="P372" t="n">
        <v>0</v>
      </c>
      <c r="Q372" t="n">
        <v>0</v>
      </c>
      <c r="R372" s="2" t="inlineStr"/>
    </row>
    <row r="373" ht="15" customHeight="1">
      <c r="A373" t="inlineStr">
        <is>
          <t>A 59498-2021</t>
        </is>
      </c>
      <c r="B373" s="1" t="n">
        <v>44491</v>
      </c>
      <c r="C373" s="1" t="n">
        <v>45786</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45786</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60577-2021</t>
        </is>
      </c>
      <c r="B375" s="1" t="n">
        <v>44496</v>
      </c>
      <c r="C375" s="1" t="n">
        <v>45786</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60584-2021</t>
        </is>
      </c>
      <c r="B376" s="1" t="n">
        <v>44496</v>
      </c>
      <c r="C376" s="1" t="n">
        <v>45786</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61746-2021</t>
        </is>
      </c>
      <c r="B377" s="1" t="n">
        <v>44498</v>
      </c>
      <c r="C377" s="1" t="n">
        <v>45786</v>
      </c>
      <c r="D377" t="inlineStr">
        <is>
          <t>UPPSALA LÄN</t>
        </is>
      </c>
      <c r="E377" t="inlineStr">
        <is>
          <t>ÖSTHAMMAR</t>
        </is>
      </c>
      <c r="G377" t="n">
        <v>5.6</v>
      </c>
      <c r="H377" t="n">
        <v>0</v>
      </c>
      <c r="I377" t="n">
        <v>0</v>
      </c>
      <c r="J377" t="n">
        <v>0</v>
      </c>
      <c r="K377" t="n">
        <v>0</v>
      </c>
      <c r="L377" t="n">
        <v>0</v>
      </c>
      <c r="M377" t="n">
        <v>0</v>
      </c>
      <c r="N377" t="n">
        <v>0</v>
      </c>
      <c r="O377" t="n">
        <v>0</v>
      </c>
      <c r="P377" t="n">
        <v>0</v>
      </c>
      <c r="Q377" t="n">
        <v>0</v>
      </c>
      <c r="R377" s="2" t="inlineStr"/>
    </row>
    <row r="378" ht="15" customHeight="1">
      <c r="A378" t="inlineStr">
        <is>
          <t>A 61555-2021</t>
        </is>
      </c>
      <c r="B378" s="1" t="n">
        <v>44501</v>
      </c>
      <c r="C378" s="1" t="n">
        <v>45786</v>
      </c>
      <c r="D378" t="inlineStr">
        <is>
          <t>UPPSALA LÄN</t>
        </is>
      </c>
      <c r="E378" t="inlineStr">
        <is>
          <t>ÖSTHAMMAR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61560-2021</t>
        </is>
      </c>
      <c r="B379" s="1" t="n">
        <v>44501</v>
      </c>
      <c r="C379" s="1" t="n">
        <v>45786</v>
      </c>
      <c r="D379" t="inlineStr">
        <is>
          <t>UPPSALA LÄN</t>
        </is>
      </c>
      <c r="E379" t="inlineStr">
        <is>
          <t>ÖSTHAMMAR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v>
      </c>
      <c r="C380" s="1" t="n">
        <v>45786</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62854-2021</t>
        </is>
      </c>
      <c r="B381" s="1" t="n">
        <v>44504</v>
      </c>
      <c r="C381" s="1" t="n">
        <v>45786</v>
      </c>
      <c r="D381" t="inlineStr">
        <is>
          <t>UPPSALA LÄN</t>
        </is>
      </c>
      <c r="E381" t="inlineStr">
        <is>
          <t>ÖSTHAMMAR</t>
        </is>
      </c>
      <c r="F381" t="inlineStr">
        <is>
          <t>Bergvik skog öst AB</t>
        </is>
      </c>
      <c r="G381" t="n">
        <v>10.3</v>
      </c>
      <c r="H381" t="n">
        <v>0</v>
      </c>
      <c r="I381" t="n">
        <v>0</v>
      </c>
      <c r="J381" t="n">
        <v>0</v>
      </c>
      <c r="K381" t="n">
        <v>0</v>
      </c>
      <c r="L381" t="n">
        <v>0</v>
      </c>
      <c r="M381" t="n">
        <v>0</v>
      </c>
      <c r="N381" t="n">
        <v>0</v>
      </c>
      <c r="O381" t="n">
        <v>0</v>
      </c>
      <c r="P381" t="n">
        <v>0</v>
      </c>
      <c r="Q381" t="n">
        <v>0</v>
      </c>
      <c r="R381" s="2" t="inlineStr"/>
    </row>
    <row r="382" ht="15" customHeight="1">
      <c r="A382" t="inlineStr">
        <is>
          <t>A 62782-2021</t>
        </is>
      </c>
      <c r="B382" s="1" t="n">
        <v>44504</v>
      </c>
      <c r="C382" s="1" t="n">
        <v>45786</v>
      </c>
      <c r="D382" t="inlineStr">
        <is>
          <t>UPPSALA LÄN</t>
        </is>
      </c>
      <c r="E382" t="inlineStr">
        <is>
          <t>ÖSTHAMMAR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45786</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64811-2021</t>
        </is>
      </c>
      <c r="B384" s="1" t="n">
        <v>44512</v>
      </c>
      <c r="C384" s="1" t="n">
        <v>45786</v>
      </c>
      <c r="D384" t="inlineStr">
        <is>
          <t>UPPSALA LÄN</t>
        </is>
      </c>
      <c r="E384" t="inlineStr">
        <is>
          <t>ÖSTHAMMAR</t>
        </is>
      </c>
      <c r="G384" t="n">
        <v>4.2</v>
      </c>
      <c r="H384" t="n">
        <v>0</v>
      </c>
      <c r="I384" t="n">
        <v>0</v>
      </c>
      <c r="J384" t="n">
        <v>0</v>
      </c>
      <c r="K384" t="n">
        <v>0</v>
      </c>
      <c r="L384" t="n">
        <v>0</v>
      </c>
      <c r="M384" t="n">
        <v>0</v>
      </c>
      <c r="N384" t="n">
        <v>0</v>
      </c>
      <c r="O384" t="n">
        <v>0</v>
      </c>
      <c r="P384" t="n">
        <v>0</v>
      </c>
      <c r="Q384" t="n">
        <v>0</v>
      </c>
      <c r="R384" s="2" t="inlineStr"/>
    </row>
    <row r="385" ht="15" customHeight="1">
      <c r="A385" t="inlineStr">
        <is>
          <t>A 64872-2021</t>
        </is>
      </c>
      <c r="B385" s="1" t="n">
        <v>44512</v>
      </c>
      <c r="C385" s="1" t="n">
        <v>45786</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64885-2021</t>
        </is>
      </c>
      <c r="B386" s="1" t="n">
        <v>44512</v>
      </c>
      <c r="C386" s="1" t="n">
        <v>45786</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65020-2021</t>
        </is>
      </c>
      <c r="B387" s="1" t="n">
        <v>44515</v>
      </c>
      <c r="C387" s="1" t="n">
        <v>45786</v>
      </c>
      <c r="D387" t="inlineStr">
        <is>
          <t>UPPSALA LÄN</t>
        </is>
      </c>
      <c r="E387" t="inlineStr">
        <is>
          <t>ÖSTHAMMAR</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65104-2021</t>
        </is>
      </c>
      <c r="B388" s="1" t="n">
        <v>44515</v>
      </c>
      <c r="C388" s="1" t="n">
        <v>45786</v>
      </c>
      <c r="D388" t="inlineStr">
        <is>
          <t>UPPSALA LÄN</t>
        </is>
      </c>
      <c r="E388" t="inlineStr">
        <is>
          <t>ÖSTHAMMAR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65028-2021</t>
        </is>
      </c>
      <c r="B389" s="1" t="n">
        <v>44515</v>
      </c>
      <c r="C389" s="1" t="n">
        <v>45786</v>
      </c>
      <c r="D389" t="inlineStr">
        <is>
          <t>UPPSALA LÄN</t>
        </is>
      </c>
      <c r="E389" t="inlineStr">
        <is>
          <t>ÖSTHAMMAR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66549-2021</t>
        </is>
      </c>
      <c r="B390" s="1" t="n">
        <v>44519</v>
      </c>
      <c r="C390" s="1" t="n">
        <v>45786</v>
      </c>
      <c r="D390" t="inlineStr">
        <is>
          <t>UPPSALA LÄN</t>
        </is>
      </c>
      <c r="E390" t="inlineStr">
        <is>
          <t>ÖSTHAMMAR</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66779-2021</t>
        </is>
      </c>
      <c r="B391" s="1" t="n">
        <v>44522</v>
      </c>
      <c r="C391" s="1" t="n">
        <v>45786</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67033-2021</t>
        </is>
      </c>
      <c r="B392" s="1" t="n">
        <v>44522</v>
      </c>
      <c r="C392" s="1" t="n">
        <v>45786</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67030-2021</t>
        </is>
      </c>
      <c r="B393" s="1" t="n">
        <v>44522</v>
      </c>
      <c r="C393" s="1" t="n">
        <v>45786</v>
      </c>
      <c r="D393" t="inlineStr">
        <is>
          <t>UPPSALA LÄN</t>
        </is>
      </c>
      <c r="E393" t="inlineStr">
        <is>
          <t>ÖSTHAMMAR</t>
        </is>
      </c>
      <c r="G393" t="n">
        <v>8.6</v>
      </c>
      <c r="H393" t="n">
        <v>0</v>
      </c>
      <c r="I393" t="n">
        <v>0</v>
      </c>
      <c r="J393" t="n">
        <v>0</v>
      </c>
      <c r="K393" t="n">
        <v>0</v>
      </c>
      <c r="L393" t="n">
        <v>0</v>
      </c>
      <c r="M393" t="n">
        <v>0</v>
      </c>
      <c r="N393" t="n">
        <v>0</v>
      </c>
      <c r="O393" t="n">
        <v>0</v>
      </c>
      <c r="P393" t="n">
        <v>0</v>
      </c>
      <c r="Q393" t="n">
        <v>0</v>
      </c>
      <c r="R393" s="2" t="inlineStr"/>
    </row>
    <row r="394" ht="15" customHeight="1">
      <c r="A394" t="inlineStr">
        <is>
          <t>A 67151-2021</t>
        </is>
      </c>
      <c r="B394" s="1" t="n">
        <v>44523</v>
      </c>
      <c r="C394" s="1" t="n">
        <v>45786</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v>
      </c>
      <c r="C395" s="1" t="n">
        <v>45786</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67217-2021</t>
        </is>
      </c>
      <c r="B396" s="1" t="n">
        <v>44523</v>
      </c>
      <c r="C396" s="1" t="n">
        <v>45786</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67859-2021</t>
        </is>
      </c>
      <c r="B397" s="1" t="n">
        <v>44525</v>
      </c>
      <c r="C397" s="1" t="n">
        <v>45786</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67848-2021</t>
        </is>
      </c>
      <c r="B398" s="1" t="n">
        <v>44525</v>
      </c>
      <c r="C398" s="1" t="n">
        <v>45786</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69505-2021</t>
        </is>
      </c>
      <c r="B399" s="1" t="n">
        <v>44531</v>
      </c>
      <c r="C399" s="1" t="n">
        <v>45786</v>
      </c>
      <c r="D399" t="inlineStr">
        <is>
          <t>UPPSALA LÄN</t>
        </is>
      </c>
      <c r="E399" t="inlineStr">
        <is>
          <t>ÖSTHAMMAR</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69411-2021</t>
        </is>
      </c>
      <c r="B400" s="1" t="n">
        <v>44531</v>
      </c>
      <c r="C400" s="1" t="n">
        <v>45786</v>
      </c>
      <c r="D400" t="inlineStr">
        <is>
          <t>UPPSALA LÄN</t>
        </is>
      </c>
      <c r="E400" t="inlineStr">
        <is>
          <t>ÖSTHAMMAR</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69518-2021</t>
        </is>
      </c>
      <c r="B401" s="1" t="n">
        <v>44531</v>
      </c>
      <c r="C401" s="1" t="n">
        <v>45786</v>
      </c>
      <c r="D401" t="inlineStr">
        <is>
          <t>UPPSALA LÄN</t>
        </is>
      </c>
      <c r="E401" t="inlineStr">
        <is>
          <t>ÖSTHAMMAR</t>
        </is>
      </c>
      <c r="G401" t="n">
        <v>4.5</v>
      </c>
      <c r="H401" t="n">
        <v>0</v>
      </c>
      <c r="I401" t="n">
        <v>0</v>
      </c>
      <c r="J401" t="n">
        <v>0</v>
      </c>
      <c r="K401" t="n">
        <v>0</v>
      </c>
      <c r="L401" t="n">
        <v>0</v>
      </c>
      <c r="M401" t="n">
        <v>0</v>
      </c>
      <c r="N401" t="n">
        <v>0</v>
      </c>
      <c r="O401" t="n">
        <v>0</v>
      </c>
      <c r="P401" t="n">
        <v>0</v>
      </c>
      <c r="Q401" t="n">
        <v>0</v>
      </c>
      <c r="R401" s="2" t="inlineStr"/>
    </row>
    <row r="402" ht="15" customHeight="1">
      <c r="A402" t="inlineStr">
        <is>
          <t>A 70008-2021</t>
        </is>
      </c>
      <c r="B402" s="1" t="n">
        <v>44533</v>
      </c>
      <c r="C402" s="1" t="n">
        <v>45786</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70408-2021</t>
        </is>
      </c>
      <c r="B403" s="1" t="n">
        <v>44536</v>
      </c>
      <c r="C403" s="1" t="n">
        <v>45786</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72627-2021</t>
        </is>
      </c>
      <c r="B404" s="1" t="n">
        <v>44546</v>
      </c>
      <c r="C404" s="1" t="n">
        <v>45786</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72637-2021</t>
        </is>
      </c>
      <c r="B405" s="1" t="n">
        <v>44546</v>
      </c>
      <c r="C405" s="1" t="n">
        <v>45786</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72969-2021</t>
        </is>
      </c>
      <c r="B406" s="1" t="n">
        <v>44548</v>
      </c>
      <c r="C406" s="1" t="n">
        <v>45786</v>
      </c>
      <c r="D406" t="inlineStr">
        <is>
          <t>UPPSALA LÄN</t>
        </is>
      </c>
      <c r="E406" t="inlineStr">
        <is>
          <t>ÖSTHAMMAR</t>
        </is>
      </c>
      <c r="F406" t="inlineStr">
        <is>
          <t>Bergvik skog öst AB</t>
        </is>
      </c>
      <c r="G406" t="n">
        <v>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45786</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73592-2021</t>
        </is>
      </c>
      <c r="B408" s="1" t="n">
        <v>44552</v>
      </c>
      <c r="C408" s="1" t="n">
        <v>45786</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73965-2021</t>
        </is>
      </c>
      <c r="B409" s="1" t="n">
        <v>44553</v>
      </c>
      <c r="C409" s="1" t="n">
        <v>45786</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v>
      </c>
      <c r="C410" s="1" t="n">
        <v>45786</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v>
      </c>
      <c r="C411" s="1" t="n">
        <v>45786</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74429-2021</t>
        </is>
      </c>
      <c r="B412" s="1" t="n">
        <v>44560</v>
      </c>
      <c r="C412" s="1" t="n">
        <v>45786</v>
      </c>
      <c r="D412" t="inlineStr">
        <is>
          <t>UPPSALA LÄN</t>
        </is>
      </c>
      <c r="E412" t="inlineStr">
        <is>
          <t>ÖSTHAMMAR</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74467-2021</t>
        </is>
      </c>
      <c r="B413" s="1" t="n">
        <v>44560</v>
      </c>
      <c r="C413" s="1" t="n">
        <v>45786</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74428-2021</t>
        </is>
      </c>
      <c r="B414" s="1" t="n">
        <v>44560</v>
      </c>
      <c r="C414" s="1" t="n">
        <v>45786</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74436-2021</t>
        </is>
      </c>
      <c r="B415" s="1" t="n">
        <v>44560</v>
      </c>
      <c r="C415" s="1" t="n">
        <v>45786</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1238-2022</t>
        </is>
      </c>
      <c r="B416" s="1" t="n">
        <v>44572</v>
      </c>
      <c r="C416" s="1" t="n">
        <v>45786</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1609-2022</t>
        </is>
      </c>
      <c r="B417" s="1" t="n">
        <v>44573</v>
      </c>
      <c r="C417" s="1" t="n">
        <v>45786</v>
      </c>
      <c r="D417" t="inlineStr">
        <is>
          <t>UPPSALA LÄN</t>
        </is>
      </c>
      <c r="E417" t="inlineStr">
        <is>
          <t>ÖSTHAMMAR</t>
        </is>
      </c>
      <c r="G417" t="n">
        <v>5.3</v>
      </c>
      <c r="H417" t="n">
        <v>0</v>
      </c>
      <c r="I417" t="n">
        <v>0</v>
      </c>
      <c r="J417" t="n">
        <v>0</v>
      </c>
      <c r="K417" t="n">
        <v>0</v>
      </c>
      <c r="L417" t="n">
        <v>0</v>
      </c>
      <c r="M417" t="n">
        <v>0</v>
      </c>
      <c r="N417" t="n">
        <v>0</v>
      </c>
      <c r="O417" t="n">
        <v>0</v>
      </c>
      <c r="P417" t="n">
        <v>0</v>
      </c>
      <c r="Q417" t="n">
        <v>0</v>
      </c>
      <c r="R417" s="2" t="inlineStr"/>
    </row>
    <row r="418" ht="15" customHeight="1">
      <c r="A418" t="inlineStr">
        <is>
          <t>A 2085-2022</t>
        </is>
      </c>
      <c r="B418" s="1" t="n">
        <v>44576</v>
      </c>
      <c r="C418" s="1" t="n">
        <v>45786</v>
      </c>
      <c r="D418" t="inlineStr">
        <is>
          <t>UPPSALA LÄN</t>
        </is>
      </c>
      <c r="E418" t="inlineStr">
        <is>
          <t>ÖSTHAMMAR</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2108-2022</t>
        </is>
      </c>
      <c r="B419" s="1" t="n">
        <v>44577</v>
      </c>
      <c r="C419" s="1" t="n">
        <v>45786</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2168-2022</t>
        </is>
      </c>
      <c r="B420" s="1" t="n">
        <v>44578</v>
      </c>
      <c r="C420" s="1" t="n">
        <v>45786</v>
      </c>
      <c r="D420" t="inlineStr">
        <is>
          <t>UPPSALA LÄN</t>
        </is>
      </c>
      <c r="E420" t="inlineStr">
        <is>
          <t>ÖSTHAMMAR</t>
        </is>
      </c>
      <c r="G420" t="n">
        <v>2.9</v>
      </c>
      <c r="H420" t="n">
        <v>0</v>
      </c>
      <c r="I420" t="n">
        <v>0</v>
      </c>
      <c r="J420" t="n">
        <v>0</v>
      </c>
      <c r="K420" t="n">
        <v>0</v>
      </c>
      <c r="L420" t="n">
        <v>0</v>
      </c>
      <c r="M420" t="n">
        <v>0</v>
      </c>
      <c r="N420" t="n">
        <v>0</v>
      </c>
      <c r="O420" t="n">
        <v>0</v>
      </c>
      <c r="P420" t="n">
        <v>0</v>
      </c>
      <c r="Q420" t="n">
        <v>0</v>
      </c>
      <c r="R420" s="2" t="inlineStr"/>
    </row>
    <row r="421" ht="15" customHeight="1">
      <c r="A421" t="inlineStr">
        <is>
          <t>A 3638-2022</t>
        </is>
      </c>
      <c r="B421" s="1" t="n">
        <v>44578</v>
      </c>
      <c r="C421" s="1" t="n">
        <v>45786</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3725-2022</t>
        </is>
      </c>
      <c r="B422" s="1" t="n">
        <v>44586</v>
      </c>
      <c r="C422" s="1" t="n">
        <v>45786</v>
      </c>
      <c r="D422" t="inlineStr">
        <is>
          <t>UPPSALA LÄN</t>
        </is>
      </c>
      <c r="E422" t="inlineStr">
        <is>
          <t>ÖSTHAMMAR</t>
        </is>
      </c>
      <c r="G422" t="n">
        <v>2</v>
      </c>
      <c r="H422" t="n">
        <v>0</v>
      </c>
      <c r="I422" t="n">
        <v>0</v>
      </c>
      <c r="J422" t="n">
        <v>0</v>
      </c>
      <c r="K422" t="n">
        <v>0</v>
      </c>
      <c r="L422" t="n">
        <v>0</v>
      </c>
      <c r="M422" t="n">
        <v>0</v>
      </c>
      <c r="N422" t="n">
        <v>0</v>
      </c>
      <c r="O422" t="n">
        <v>0</v>
      </c>
      <c r="P422" t="n">
        <v>0</v>
      </c>
      <c r="Q422" t="n">
        <v>0</v>
      </c>
      <c r="R422" s="2" t="inlineStr"/>
    </row>
    <row r="423" ht="15" customHeight="1">
      <c r="A423" t="inlineStr">
        <is>
          <t>A 3732-2022</t>
        </is>
      </c>
      <c r="B423" s="1" t="n">
        <v>44586</v>
      </c>
      <c r="C423" s="1" t="n">
        <v>45786</v>
      </c>
      <c r="D423" t="inlineStr">
        <is>
          <t>UPPSALA LÄN</t>
        </is>
      </c>
      <c r="E423" t="inlineStr">
        <is>
          <t>ÖSTHAMMAR</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3740-2022</t>
        </is>
      </c>
      <c r="B424" s="1" t="n">
        <v>44586</v>
      </c>
      <c r="C424" s="1" t="n">
        <v>45786</v>
      </c>
      <c r="D424" t="inlineStr">
        <is>
          <t>UPPSALA LÄN</t>
        </is>
      </c>
      <c r="E424" t="inlineStr">
        <is>
          <t>ÖSTHAMMAR</t>
        </is>
      </c>
      <c r="F424" t="inlineStr">
        <is>
          <t>Bergvik skog öst AB</t>
        </is>
      </c>
      <c r="G424" t="n">
        <v>7.7</v>
      </c>
      <c r="H424" t="n">
        <v>0</v>
      </c>
      <c r="I424" t="n">
        <v>0</v>
      </c>
      <c r="J424" t="n">
        <v>0</v>
      </c>
      <c r="K424" t="n">
        <v>0</v>
      </c>
      <c r="L424" t="n">
        <v>0</v>
      </c>
      <c r="M424" t="n">
        <v>0</v>
      </c>
      <c r="N424" t="n">
        <v>0</v>
      </c>
      <c r="O424" t="n">
        <v>0</v>
      </c>
      <c r="P424" t="n">
        <v>0</v>
      </c>
      <c r="Q424" t="n">
        <v>0</v>
      </c>
      <c r="R424" s="2" t="inlineStr"/>
    </row>
    <row r="425" ht="15" customHeight="1">
      <c r="A425" t="inlineStr">
        <is>
          <t>A 3991-2022</t>
        </is>
      </c>
      <c r="B425" s="1" t="n">
        <v>44587</v>
      </c>
      <c r="C425" s="1" t="n">
        <v>45786</v>
      </c>
      <c r="D425" t="inlineStr">
        <is>
          <t>UPPSALA LÄN</t>
        </is>
      </c>
      <c r="E425" t="inlineStr">
        <is>
          <t>ÖSTHAMMAR</t>
        </is>
      </c>
      <c r="F425" t="inlineStr">
        <is>
          <t>Bergvik skog öst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4101-2022</t>
        </is>
      </c>
      <c r="B426" s="1" t="n">
        <v>44588</v>
      </c>
      <c r="C426" s="1" t="n">
        <v>45786</v>
      </c>
      <c r="D426" t="inlineStr">
        <is>
          <t>UPPSALA LÄN</t>
        </is>
      </c>
      <c r="E426" t="inlineStr">
        <is>
          <t>ÖSTHAMMAR</t>
        </is>
      </c>
      <c r="G426" t="n">
        <v>4.4</v>
      </c>
      <c r="H426" t="n">
        <v>0</v>
      </c>
      <c r="I426" t="n">
        <v>0</v>
      </c>
      <c r="J426" t="n">
        <v>0</v>
      </c>
      <c r="K426" t="n">
        <v>0</v>
      </c>
      <c r="L426" t="n">
        <v>0</v>
      </c>
      <c r="M426" t="n">
        <v>0</v>
      </c>
      <c r="N426" t="n">
        <v>0</v>
      </c>
      <c r="O426" t="n">
        <v>0</v>
      </c>
      <c r="P426" t="n">
        <v>0</v>
      </c>
      <c r="Q426" t="n">
        <v>0</v>
      </c>
      <c r="R426" s="2" t="inlineStr"/>
    </row>
    <row r="427" ht="15" customHeight="1">
      <c r="A427" t="inlineStr">
        <is>
          <t>A 4318-2022</t>
        </is>
      </c>
      <c r="B427" s="1" t="n">
        <v>44588</v>
      </c>
      <c r="C427" s="1" t="n">
        <v>45786</v>
      </c>
      <c r="D427" t="inlineStr">
        <is>
          <t>UPPSALA LÄN</t>
        </is>
      </c>
      <c r="E427" t="inlineStr">
        <is>
          <t>ÖSTHAMMAR</t>
        </is>
      </c>
      <c r="F427" t="inlineStr">
        <is>
          <t>Bergvik skog öst AB</t>
        </is>
      </c>
      <c r="G427" t="n">
        <v>9.6</v>
      </c>
      <c r="H427" t="n">
        <v>0</v>
      </c>
      <c r="I427" t="n">
        <v>0</v>
      </c>
      <c r="J427" t="n">
        <v>0</v>
      </c>
      <c r="K427" t="n">
        <v>0</v>
      </c>
      <c r="L427" t="n">
        <v>0</v>
      </c>
      <c r="M427" t="n">
        <v>0</v>
      </c>
      <c r="N427" t="n">
        <v>0</v>
      </c>
      <c r="O427" t="n">
        <v>0</v>
      </c>
      <c r="P427" t="n">
        <v>0</v>
      </c>
      <c r="Q427" t="n">
        <v>0</v>
      </c>
      <c r="R427" s="2" t="inlineStr"/>
    </row>
    <row r="428" ht="15" customHeight="1">
      <c r="A428" t="inlineStr">
        <is>
          <t>A 4315-2022</t>
        </is>
      </c>
      <c r="B428" s="1" t="n">
        <v>44588</v>
      </c>
      <c r="C428" s="1" t="n">
        <v>45786</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4491-2022</t>
        </is>
      </c>
      <c r="B429" s="1" t="n">
        <v>44589</v>
      </c>
      <c r="C429" s="1" t="n">
        <v>45786</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4357-2022</t>
        </is>
      </c>
      <c r="B430" s="1" t="n">
        <v>44589</v>
      </c>
      <c r="C430" s="1" t="n">
        <v>45786</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4563-2022</t>
        </is>
      </c>
      <c r="B431" s="1" t="n">
        <v>44591</v>
      </c>
      <c r="C431" s="1" t="n">
        <v>45786</v>
      </c>
      <c r="D431" t="inlineStr">
        <is>
          <t>UPPSALA LÄN</t>
        </is>
      </c>
      <c r="E431" t="inlineStr">
        <is>
          <t>ÖSTHAMMAR</t>
        </is>
      </c>
      <c r="F431" t="inlineStr">
        <is>
          <t>Bergvik skog öst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4562-2022</t>
        </is>
      </c>
      <c r="B432" s="1" t="n">
        <v>44591</v>
      </c>
      <c r="C432" s="1" t="n">
        <v>45786</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4561-2022</t>
        </is>
      </c>
      <c r="B433" s="1" t="n">
        <v>44591</v>
      </c>
      <c r="C433" s="1" t="n">
        <v>45786</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4559-2022</t>
        </is>
      </c>
      <c r="B434" s="1" t="n">
        <v>44591</v>
      </c>
      <c r="C434" s="1" t="n">
        <v>45786</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4565-2022</t>
        </is>
      </c>
      <c r="B435" s="1" t="n">
        <v>44591</v>
      </c>
      <c r="C435" s="1" t="n">
        <v>45786</v>
      </c>
      <c r="D435" t="inlineStr">
        <is>
          <t>UPPSALA LÄN</t>
        </is>
      </c>
      <c r="E435" t="inlineStr">
        <is>
          <t>ÖSTHAMMAR</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5855-2022</t>
        </is>
      </c>
      <c r="B436" s="1" t="n">
        <v>44596</v>
      </c>
      <c r="C436" s="1" t="n">
        <v>45786</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5974-2022</t>
        </is>
      </c>
      <c r="B437" s="1" t="n">
        <v>44597</v>
      </c>
      <c r="C437" s="1" t="n">
        <v>45786</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5933-2022</t>
        </is>
      </c>
      <c r="B438" s="1" t="n">
        <v>44598</v>
      </c>
      <c r="C438" s="1" t="n">
        <v>45786</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5934-2022</t>
        </is>
      </c>
      <c r="B439" s="1" t="n">
        <v>44598</v>
      </c>
      <c r="C439" s="1" t="n">
        <v>45786</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5932-2022</t>
        </is>
      </c>
      <c r="B440" s="1" t="n">
        <v>44598</v>
      </c>
      <c r="C440" s="1" t="n">
        <v>45786</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5931-2022</t>
        </is>
      </c>
      <c r="B441" s="1" t="n">
        <v>44598</v>
      </c>
      <c r="C441" s="1" t="n">
        <v>45786</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6143-2022</t>
        </is>
      </c>
      <c r="B442" s="1" t="n">
        <v>44599</v>
      </c>
      <c r="C442" s="1" t="n">
        <v>45786</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6153-2022</t>
        </is>
      </c>
      <c r="B443" s="1" t="n">
        <v>44599</v>
      </c>
      <c r="C443" s="1" t="n">
        <v>45786</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6206-2022</t>
        </is>
      </c>
      <c r="B444" s="1" t="n">
        <v>44600</v>
      </c>
      <c r="C444" s="1" t="n">
        <v>45786</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6313-2022</t>
        </is>
      </c>
      <c r="B445" s="1" t="n">
        <v>44600</v>
      </c>
      <c r="C445" s="1" t="n">
        <v>45786</v>
      </c>
      <c r="D445" t="inlineStr">
        <is>
          <t>UPPSALA LÄN</t>
        </is>
      </c>
      <c r="E445" t="inlineStr">
        <is>
          <t>ÖSTHAMMAR</t>
        </is>
      </c>
      <c r="G445" t="n">
        <v>4</v>
      </c>
      <c r="H445" t="n">
        <v>0</v>
      </c>
      <c r="I445" t="n">
        <v>0</v>
      </c>
      <c r="J445" t="n">
        <v>0</v>
      </c>
      <c r="K445" t="n">
        <v>0</v>
      </c>
      <c r="L445" t="n">
        <v>0</v>
      </c>
      <c r="M445" t="n">
        <v>0</v>
      </c>
      <c r="N445" t="n">
        <v>0</v>
      </c>
      <c r="O445" t="n">
        <v>0</v>
      </c>
      <c r="P445" t="n">
        <v>0</v>
      </c>
      <c r="Q445" t="n">
        <v>0</v>
      </c>
      <c r="R445" s="2" t="inlineStr"/>
    </row>
    <row r="446" ht="15" customHeight="1">
      <c r="A446" t="inlineStr">
        <is>
          <t>A 6892-2022</t>
        </is>
      </c>
      <c r="B446" s="1" t="n">
        <v>44602</v>
      </c>
      <c r="C446" s="1" t="n">
        <v>45786</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7181-2022</t>
        </is>
      </c>
      <c r="B447" s="1" t="n">
        <v>44605</v>
      </c>
      <c r="C447" s="1" t="n">
        <v>45786</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7302-2022</t>
        </is>
      </c>
      <c r="B448" s="1" t="n">
        <v>44606</v>
      </c>
      <c r="C448" s="1" t="n">
        <v>45786</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7475-2022</t>
        </is>
      </c>
      <c r="B449" s="1" t="n">
        <v>44607</v>
      </c>
      <c r="C449" s="1" t="n">
        <v>45786</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7488-2022</t>
        </is>
      </c>
      <c r="B450" s="1" t="n">
        <v>44607</v>
      </c>
      <c r="C450" s="1" t="n">
        <v>45786</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7858-2022</t>
        </is>
      </c>
      <c r="B451" s="1" t="n">
        <v>44608</v>
      </c>
      <c r="C451" s="1" t="n">
        <v>45786</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7871-2022</t>
        </is>
      </c>
      <c r="B452" s="1" t="n">
        <v>44608</v>
      </c>
      <c r="C452" s="1" t="n">
        <v>45786</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7997-2022</t>
        </is>
      </c>
      <c r="B453" s="1" t="n">
        <v>44609</v>
      </c>
      <c r="C453" s="1" t="n">
        <v>45786</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8283-2022</t>
        </is>
      </c>
      <c r="B454" s="1" t="n">
        <v>44610</v>
      </c>
      <c r="C454" s="1" t="n">
        <v>45786</v>
      </c>
      <c r="D454" t="inlineStr">
        <is>
          <t>UPPSALA LÄN</t>
        </is>
      </c>
      <c r="E454" t="inlineStr">
        <is>
          <t>ÖSTHAMMAR</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8592-2022</t>
        </is>
      </c>
      <c r="B455" s="1" t="n">
        <v>44613</v>
      </c>
      <c r="C455" s="1" t="n">
        <v>45786</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v>
      </c>
      <c r="C456" s="1" t="n">
        <v>45786</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8710-2022</t>
        </is>
      </c>
      <c r="B457" s="1" t="n">
        <v>44613</v>
      </c>
      <c r="C457" s="1" t="n">
        <v>45786</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8537-2022</t>
        </is>
      </c>
      <c r="B458" s="1" t="n">
        <v>44613</v>
      </c>
      <c r="C458" s="1" t="n">
        <v>45786</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8554-2022</t>
        </is>
      </c>
      <c r="B459" s="1" t="n">
        <v>44613</v>
      </c>
      <c r="C459" s="1" t="n">
        <v>45786</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8556-2022</t>
        </is>
      </c>
      <c r="B460" s="1" t="n">
        <v>44613</v>
      </c>
      <c r="C460" s="1" t="n">
        <v>45786</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8775-2022</t>
        </is>
      </c>
      <c r="B461" s="1" t="n">
        <v>44614</v>
      </c>
      <c r="C461" s="1" t="n">
        <v>45786</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8750-2022</t>
        </is>
      </c>
      <c r="B462" s="1" t="n">
        <v>44614</v>
      </c>
      <c r="C462" s="1" t="n">
        <v>45786</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9755-2022</t>
        </is>
      </c>
      <c r="B463" s="1" t="n">
        <v>44618</v>
      </c>
      <c r="C463" s="1" t="n">
        <v>45786</v>
      </c>
      <c r="D463" t="inlineStr">
        <is>
          <t>UPPSALA LÄN</t>
        </is>
      </c>
      <c r="E463" t="inlineStr">
        <is>
          <t>ÖSTHAMMAR</t>
        </is>
      </c>
      <c r="F463" t="inlineStr">
        <is>
          <t>Bergvik skog öst AB</t>
        </is>
      </c>
      <c r="G463" t="n">
        <v>13.9</v>
      </c>
      <c r="H463" t="n">
        <v>0</v>
      </c>
      <c r="I463" t="n">
        <v>0</v>
      </c>
      <c r="J463" t="n">
        <v>0</v>
      </c>
      <c r="K463" t="n">
        <v>0</v>
      </c>
      <c r="L463" t="n">
        <v>0</v>
      </c>
      <c r="M463" t="n">
        <v>0</v>
      </c>
      <c r="N463" t="n">
        <v>0</v>
      </c>
      <c r="O463" t="n">
        <v>0</v>
      </c>
      <c r="P463" t="n">
        <v>0</v>
      </c>
      <c r="Q463" t="n">
        <v>0</v>
      </c>
      <c r="R463" s="2" t="inlineStr"/>
    </row>
    <row r="464" ht="15" customHeight="1">
      <c r="A464" t="inlineStr">
        <is>
          <t>A 9789-2022</t>
        </is>
      </c>
      <c r="B464" s="1" t="n">
        <v>44620</v>
      </c>
      <c r="C464" s="1" t="n">
        <v>45786</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9795-2022</t>
        </is>
      </c>
      <c r="B465" s="1" t="n">
        <v>44620</v>
      </c>
      <c r="C465" s="1" t="n">
        <v>45786</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45786</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10294-2022</t>
        </is>
      </c>
      <c r="B467" s="1" t="n">
        <v>44622</v>
      </c>
      <c r="C467" s="1" t="n">
        <v>45786</v>
      </c>
      <c r="D467" t="inlineStr">
        <is>
          <t>UPPSALA LÄN</t>
        </is>
      </c>
      <c r="E467" t="inlineStr">
        <is>
          <t>ÖSTHAMMAR</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10288-2022</t>
        </is>
      </c>
      <c r="B468" s="1" t="n">
        <v>44622</v>
      </c>
      <c r="C468" s="1" t="n">
        <v>45786</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10298-2022</t>
        </is>
      </c>
      <c r="B469" s="1" t="n">
        <v>44622</v>
      </c>
      <c r="C469" s="1" t="n">
        <v>45786</v>
      </c>
      <c r="D469" t="inlineStr">
        <is>
          <t>UPPSALA LÄN</t>
        </is>
      </c>
      <c r="E469" t="inlineStr">
        <is>
          <t>ÖSTHAMMAR</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10980-2022</t>
        </is>
      </c>
      <c r="B470" s="1" t="n">
        <v>44628</v>
      </c>
      <c r="C470" s="1" t="n">
        <v>45786</v>
      </c>
      <c r="D470" t="inlineStr">
        <is>
          <t>UPPSALA LÄN</t>
        </is>
      </c>
      <c r="E470" t="inlineStr">
        <is>
          <t>ÖSTHAMMAR</t>
        </is>
      </c>
      <c r="G470" t="n">
        <v>7.4</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v>
      </c>
      <c r="C471" s="1" t="n">
        <v>45786</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11643-2022</t>
        </is>
      </c>
      <c r="B472" s="1" t="n">
        <v>44631</v>
      </c>
      <c r="C472" s="1" t="n">
        <v>45786</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11884-2022</t>
        </is>
      </c>
      <c r="B473" s="1" t="n">
        <v>44635</v>
      </c>
      <c r="C473" s="1" t="n">
        <v>45786</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11987-2022</t>
        </is>
      </c>
      <c r="B474" s="1" t="n">
        <v>44635</v>
      </c>
      <c r="C474" s="1" t="n">
        <v>45786</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11986-2022</t>
        </is>
      </c>
      <c r="B475" s="1" t="n">
        <v>44635</v>
      </c>
      <c r="C475" s="1" t="n">
        <v>45786</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12176-2022</t>
        </is>
      </c>
      <c r="B476" s="1" t="n">
        <v>44636</v>
      </c>
      <c r="C476" s="1" t="n">
        <v>45786</v>
      </c>
      <c r="D476" t="inlineStr">
        <is>
          <t>UPPSALA LÄN</t>
        </is>
      </c>
      <c r="E476" t="inlineStr">
        <is>
          <t>ÖSTHAMMAR</t>
        </is>
      </c>
      <c r="G476" t="n">
        <v>3.5</v>
      </c>
      <c r="H476" t="n">
        <v>0</v>
      </c>
      <c r="I476" t="n">
        <v>0</v>
      </c>
      <c r="J476" t="n">
        <v>0</v>
      </c>
      <c r="K476" t="n">
        <v>0</v>
      </c>
      <c r="L476" t="n">
        <v>0</v>
      </c>
      <c r="M476" t="n">
        <v>0</v>
      </c>
      <c r="N476" t="n">
        <v>0</v>
      </c>
      <c r="O476" t="n">
        <v>0</v>
      </c>
      <c r="P476" t="n">
        <v>0</v>
      </c>
      <c r="Q476" t="n">
        <v>0</v>
      </c>
      <c r="R476" s="2" t="inlineStr"/>
    </row>
    <row r="477" ht="15" customHeight="1">
      <c r="A477" t="inlineStr">
        <is>
          <t>A 12999-2022</t>
        </is>
      </c>
      <c r="B477" s="1" t="n">
        <v>44643</v>
      </c>
      <c r="C477" s="1" t="n">
        <v>45786</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45786</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13093-2022</t>
        </is>
      </c>
      <c r="B479" s="1" t="n">
        <v>44643</v>
      </c>
      <c r="C479" s="1" t="n">
        <v>45786</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45786</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13279-2022</t>
        </is>
      </c>
      <c r="B481" s="1" t="n">
        <v>44644</v>
      </c>
      <c r="C481" s="1" t="n">
        <v>45786</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13867-2022</t>
        </is>
      </c>
      <c r="B482" s="1" t="n">
        <v>44649</v>
      </c>
      <c r="C482" s="1" t="n">
        <v>45786</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14272-2022</t>
        </is>
      </c>
      <c r="B483" s="1" t="n">
        <v>44651</v>
      </c>
      <c r="C483" s="1" t="n">
        <v>45786</v>
      </c>
      <c r="D483" t="inlineStr">
        <is>
          <t>UPPSALA LÄN</t>
        </is>
      </c>
      <c r="E483" t="inlineStr">
        <is>
          <t>ÖSTHAMMAR</t>
        </is>
      </c>
      <c r="F483" t="inlineStr">
        <is>
          <t>Bergvik skog öst AB</t>
        </is>
      </c>
      <c r="G483" t="n">
        <v>3.1</v>
      </c>
      <c r="H483" t="n">
        <v>0</v>
      </c>
      <c r="I483" t="n">
        <v>0</v>
      </c>
      <c r="J483" t="n">
        <v>0</v>
      </c>
      <c r="K483" t="n">
        <v>0</v>
      </c>
      <c r="L483" t="n">
        <v>0</v>
      </c>
      <c r="M483" t="n">
        <v>0</v>
      </c>
      <c r="N483" t="n">
        <v>0</v>
      </c>
      <c r="O483" t="n">
        <v>0</v>
      </c>
      <c r="P483" t="n">
        <v>0</v>
      </c>
      <c r="Q483" t="n">
        <v>0</v>
      </c>
      <c r="R483" s="2" t="inlineStr"/>
    </row>
    <row r="484" ht="15" customHeight="1">
      <c r="A484" t="inlineStr">
        <is>
          <t>A 14124-2022</t>
        </is>
      </c>
      <c r="B484" s="1" t="n">
        <v>44651</v>
      </c>
      <c r="C484" s="1" t="n">
        <v>45786</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v>
      </c>
      <c r="C485" s="1" t="n">
        <v>45786</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v>
      </c>
      <c r="C486" s="1" t="n">
        <v>45786</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14671-2022</t>
        </is>
      </c>
      <c r="B487" s="1" t="n">
        <v>44655</v>
      </c>
      <c r="C487" s="1" t="n">
        <v>45786</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15064-2022</t>
        </is>
      </c>
      <c r="B488" s="1" t="n">
        <v>44657</v>
      </c>
      <c r="C488" s="1" t="n">
        <v>45786</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15311-2022</t>
        </is>
      </c>
      <c r="B489" s="1" t="n">
        <v>44659</v>
      </c>
      <c r="C489" s="1" t="n">
        <v>45786</v>
      </c>
      <c r="D489" t="inlineStr">
        <is>
          <t>UPPSALA LÄN</t>
        </is>
      </c>
      <c r="E489" t="inlineStr">
        <is>
          <t>ÖSTHAMMAR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15334-2022</t>
        </is>
      </c>
      <c r="B490" s="1" t="n">
        <v>44659</v>
      </c>
      <c r="C490" s="1" t="n">
        <v>45786</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15447-2022</t>
        </is>
      </c>
      <c r="B491" s="1" t="n">
        <v>44660</v>
      </c>
      <c r="C491" s="1" t="n">
        <v>45786</v>
      </c>
      <c r="D491" t="inlineStr">
        <is>
          <t>UPPSALA LÄN</t>
        </is>
      </c>
      <c r="E491" t="inlineStr">
        <is>
          <t>ÖSTHAMMAR</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v>
      </c>
      <c r="C492" s="1" t="n">
        <v>45786</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15449-2022</t>
        </is>
      </c>
      <c r="B493" s="1" t="n">
        <v>44660</v>
      </c>
      <c r="C493" s="1" t="n">
        <v>45786</v>
      </c>
      <c r="D493" t="inlineStr">
        <is>
          <t>UPPSALA LÄN</t>
        </is>
      </c>
      <c r="E493" t="inlineStr">
        <is>
          <t>ÖSTHAMMAR</t>
        </is>
      </c>
      <c r="F493" t="inlineStr">
        <is>
          <t>Bergvik skog öst AB</t>
        </is>
      </c>
      <c r="G493" t="n">
        <v>2</v>
      </c>
      <c r="H493" t="n">
        <v>0</v>
      </c>
      <c r="I493" t="n">
        <v>0</v>
      </c>
      <c r="J493" t="n">
        <v>0</v>
      </c>
      <c r="K493" t="n">
        <v>0</v>
      </c>
      <c r="L493" t="n">
        <v>0</v>
      </c>
      <c r="M493" t="n">
        <v>0</v>
      </c>
      <c r="N493" t="n">
        <v>0</v>
      </c>
      <c r="O493" t="n">
        <v>0</v>
      </c>
      <c r="P493" t="n">
        <v>0</v>
      </c>
      <c r="Q493" t="n">
        <v>0</v>
      </c>
      <c r="R493" s="2" t="inlineStr"/>
    </row>
    <row r="494" ht="15" customHeight="1">
      <c r="A494" t="inlineStr">
        <is>
          <t>A 15456-2022</t>
        </is>
      </c>
      <c r="B494" s="1" t="n">
        <v>44661</v>
      </c>
      <c r="C494" s="1" t="n">
        <v>45786</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15457-2022</t>
        </is>
      </c>
      <c r="B495" s="1" t="n">
        <v>44661</v>
      </c>
      <c r="C495" s="1" t="n">
        <v>45786</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15847-2022</t>
        </is>
      </c>
      <c r="B496" s="1" t="n">
        <v>44664</v>
      </c>
      <c r="C496" s="1" t="n">
        <v>45786</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15845-2022</t>
        </is>
      </c>
      <c r="B497" s="1" t="n">
        <v>44664</v>
      </c>
      <c r="C497" s="1" t="n">
        <v>45786</v>
      </c>
      <c r="D497" t="inlineStr">
        <is>
          <t>UPPSALA LÄN</t>
        </is>
      </c>
      <c r="E497" t="inlineStr">
        <is>
          <t>ÖSTHAMMAR</t>
        </is>
      </c>
      <c r="G497" t="n">
        <v>4.5</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45786</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16141-2022</t>
        </is>
      </c>
      <c r="B499" s="1" t="n">
        <v>44665</v>
      </c>
      <c r="C499" s="1" t="n">
        <v>45786</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16142-2022</t>
        </is>
      </c>
      <c r="B500" s="1" t="n">
        <v>44665</v>
      </c>
      <c r="C500" s="1" t="n">
        <v>45786</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16167-2022</t>
        </is>
      </c>
      <c r="B501" s="1" t="n">
        <v>44667</v>
      </c>
      <c r="C501" s="1" t="n">
        <v>45786</v>
      </c>
      <c r="D501" t="inlineStr">
        <is>
          <t>UPPSALA LÄN</t>
        </is>
      </c>
      <c r="E501" t="inlineStr">
        <is>
          <t>ÖSTHAMMAR</t>
        </is>
      </c>
      <c r="F501" t="inlineStr">
        <is>
          <t>Bergvik skog öst AB</t>
        </is>
      </c>
      <c r="G501" t="n">
        <v>18.7</v>
      </c>
      <c r="H501" t="n">
        <v>0</v>
      </c>
      <c r="I501" t="n">
        <v>0</v>
      </c>
      <c r="J501" t="n">
        <v>0</v>
      </c>
      <c r="K501" t="n">
        <v>0</v>
      </c>
      <c r="L501" t="n">
        <v>0</v>
      </c>
      <c r="M501" t="n">
        <v>0</v>
      </c>
      <c r="N501" t="n">
        <v>0</v>
      </c>
      <c r="O501" t="n">
        <v>0</v>
      </c>
      <c r="P501" t="n">
        <v>0</v>
      </c>
      <c r="Q501" t="n">
        <v>0</v>
      </c>
      <c r="R501" s="2" t="inlineStr"/>
    </row>
    <row r="502" ht="15" customHeight="1">
      <c r="A502" t="inlineStr">
        <is>
          <t>A 16185-2022</t>
        </is>
      </c>
      <c r="B502" s="1" t="n">
        <v>44669</v>
      </c>
      <c r="C502" s="1" t="n">
        <v>45786</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16184-2022</t>
        </is>
      </c>
      <c r="B503" s="1" t="n">
        <v>44669</v>
      </c>
      <c r="C503" s="1" t="n">
        <v>45786</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16254-2022</t>
        </is>
      </c>
      <c r="B504" s="1" t="n">
        <v>44670</v>
      </c>
      <c r="C504" s="1" t="n">
        <v>45786</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16933-2022</t>
        </is>
      </c>
      <c r="B505" s="1" t="n">
        <v>44676</v>
      </c>
      <c r="C505" s="1" t="n">
        <v>45786</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17013-2022</t>
        </is>
      </c>
      <c r="B506" s="1" t="n">
        <v>44676</v>
      </c>
      <c r="C506" s="1" t="n">
        <v>45786</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17947-2022</t>
        </is>
      </c>
      <c r="B507" s="1" t="n">
        <v>44683</v>
      </c>
      <c r="C507" s="1" t="n">
        <v>45786</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45786</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45786</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v>
      </c>
      <c r="C510" s="1" t="n">
        <v>45786</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18728-2022</t>
        </is>
      </c>
      <c r="B511" s="1" t="n">
        <v>44687</v>
      </c>
      <c r="C511" s="1" t="n">
        <v>45786</v>
      </c>
      <c r="D511" t="inlineStr">
        <is>
          <t>UPPSALA LÄN</t>
        </is>
      </c>
      <c r="E511" t="inlineStr">
        <is>
          <t>ÖSTHAMMAR</t>
        </is>
      </c>
      <c r="G511" t="n">
        <v>8.1</v>
      </c>
      <c r="H511" t="n">
        <v>0</v>
      </c>
      <c r="I511" t="n">
        <v>0</v>
      </c>
      <c r="J511" t="n">
        <v>0</v>
      </c>
      <c r="K511" t="n">
        <v>0</v>
      </c>
      <c r="L511" t="n">
        <v>0</v>
      </c>
      <c r="M511" t="n">
        <v>0</v>
      </c>
      <c r="N511" t="n">
        <v>0</v>
      </c>
      <c r="O511" t="n">
        <v>0</v>
      </c>
      <c r="P511" t="n">
        <v>0</v>
      </c>
      <c r="Q511" t="n">
        <v>0</v>
      </c>
      <c r="R511" s="2" t="inlineStr"/>
    </row>
    <row r="512" ht="15" customHeight="1">
      <c r="A512" t="inlineStr">
        <is>
          <t>A 18734-2022</t>
        </is>
      </c>
      <c r="B512" s="1" t="n">
        <v>44687</v>
      </c>
      <c r="C512" s="1" t="n">
        <v>45786</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v>
      </c>
      <c r="C513" s="1" t="n">
        <v>45786</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18736-2022</t>
        </is>
      </c>
      <c r="B514" s="1" t="n">
        <v>44687</v>
      </c>
      <c r="C514" s="1" t="n">
        <v>45786</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45786</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19181-2022</t>
        </is>
      </c>
      <c r="B516" s="1" t="n">
        <v>44691</v>
      </c>
      <c r="C516" s="1" t="n">
        <v>45786</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19287-2022</t>
        </is>
      </c>
      <c r="B517" s="1" t="n">
        <v>44692</v>
      </c>
      <c r="C517" s="1" t="n">
        <v>45786</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19707-2022</t>
        </is>
      </c>
      <c r="B518" s="1" t="n">
        <v>44694</v>
      </c>
      <c r="C518" s="1" t="n">
        <v>45786</v>
      </c>
      <c r="D518" t="inlineStr">
        <is>
          <t>UPPSALA LÄN</t>
        </is>
      </c>
      <c r="E518" t="inlineStr">
        <is>
          <t>ÖSTHAMMAR</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20468-2022</t>
        </is>
      </c>
      <c r="B519" s="1" t="n">
        <v>44699</v>
      </c>
      <c r="C519" s="1" t="n">
        <v>45786</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21522-2022</t>
        </is>
      </c>
      <c r="B520" s="1" t="n">
        <v>44706</v>
      </c>
      <c r="C520" s="1" t="n">
        <v>45786</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21830-2022</t>
        </is>
      </c>
      <c r="B521" s="1" t="n">
        <v>44710</v>
      </c>
      <c r="C521" s="1" t="n">
        <v>45786</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21829-2022</t>
        </is>
      </c>
      <c r="B522" s="1" t="n">
        <v>44710</v>
      </c>
      <c r="C522" s="1" t="n">
        <v>45786</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22207-2022</t>
        </is>
      </c>
      <c r="B523" s="1" t="n">
        <v>44712</v>
      </c>
      <c r="C523" s="1" t="n">
        <v>45786</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22619-2022</t>
        </is>
      </c>
      <c r="B524" s="1" t="n">
        <v>44714</v>
      </c>
      <c r="C524" s="1" t="n">
        <v>45786</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22804-2022</t>
        </is>
      </c>
      <c r="B525" s="1" t="n">
        <v>44715</v>
      </c>
      <c r="C525" s="1" t="n">
        <v>45786</v>
      </c>
      <c r="D525" t="inlineStr">
        <is>
          <t>UPPSALA LÄN</t>
        </is>
      </c>
      <c r="E525" t="inlineStr">
        <is>
          <t>ÖSTHAMMAR</t>
        </is>
      </c>
      <c r="G525" t="n">
        <v>2.7</v>
      </c>
      <c r="H525" t="n">
        <v>0</v>
      </c>
      <c r="I525" t="n">
        <v>0</v>
      </c>
      <c r="J525" t="n">
        <v>0</v>
      </c>
      <c r="K525" t="n">
        <v>0</v>
      </c>
      <c r="L525" t="n">
        <v>0</v>
      </c>
      <c r="M525" t="n">
        <v>0</v>
      </c>
      <c r="N525" t="n">
        <v>0</v>
      </c>
      <c r="O525" t="n">
        <v>0</v>
      </c>
      <c r="P525" t="n">
        <v>0</v>
      </c>
      <c r="Q525" t="n">
        <v>0</v>
      </c>
      <c r="R525" s="2" t="inlineStr"/>
    </row>
    <row r="526" ht="15" customHeight="1">
      <c r="A526" t="inlineStr">
        <is>
          <t>A 22887-2022</t>
        </is>
      </c>
      <c r="B526" s="1" t="n">
        <v>44715</v>
      </c>
      <c r="C526" s="1" t="n">
        <v>45786</v>
      </c>
      <c r="D526" t="inlineStr">
        <is>
          <t>UPPSALA LÄN</t>
        </is>
      </c>
      <c r="E526" t="inlineStr">
        <is>
          <t>ÖSTHAMMAR</t>
        </is>
      </c>
      <c r="G526" t="n">
        <v>0.2</v>
      </c>
      <c r="H526" t="n">
        <v>0</v>
      </c>
      <c r="I526" t="n">
        <v>0</v>
      </c>
      <c r="J526" t="n">
        <v>0</v>
      </c>
      <c r="K526" t="n">
        <v>0</v>
      </c>
      <c r="L526" t="n">
        <v>0</v>
      </c>
      <c r="M526" t="n">
        <v>0</v>
      </c>
      <c r="N526" t="n">
        <v>0</v>
      </c>
      <c r="O526" t="n">
        <v>0</v>
      </c>
      <c r="P526" t="n">
        <v>0</v>
      </c>
      <c r="Q526" t="n">
        <v>0</v>
      </c>
      <c r="R526" s="2" t="inlineStr"/>
    </row>
    <row r="527" ht="15" customHeight="1">
      <c r="A527" t="inlineStr">
        <is>
          <t>A 22945-2022</t>
        </is>
      </c>
      <c r="B527" s="1" t="n">
        <v>44715</v>
      </c>
      <c r="C527" s="1" t="n">
        <v>45786</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22993-2022</t>
        </is>
      </c>
      <c r="B528" s="1" t="n">
        <v>44718</v>
      </c>
      <c r="C528" s="1" t="n">
        <v>45786</v>
      </c>
      <c r="D528" t="inlineStr">
        <is>
          <t>UPPSALA LÄN</t>
        </is>
      </c>
      <c r="E528" t="inlineStr">
        <is>
          <t>ÖSTHAMMAR</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22994-2022</t>
        </is>
      </c>
      <c r="B529" s="1" t="n">
        <v>44718</v>
      </c>
      <c r="C529" s="1" t="n">
        <v>45786</v>
      </c>
      <c r="D529" t="inlineStr">
        <is>
          <t>UPPSALA LÄN</t>
        </is>
      </c>
      <c r="E529" t="inlineStr">
        <is>
          <t>ÖSTHAMMAR</t>
        </is>
      </c>
      <c r="F529" t="inlineStr">
        <is>
          <t>Bergvik skog öst AB</t>
        </is>
      </c>
      <c r="G529" t="n">
        <v>29.9</v>
      </c>
      <c r="H529" t="n">
        <v>0</v>
      </c>
      <c r="I529" t="n">
        <v>0</v>
      </c>
      <c r="J529" t="n">
        <v>0</v>
      </c>
      <c r="K529" t="n">
        <v>0</v>
      </c>
      <c r="L529" t="n">
        <v>0</v>
      </c>
      <c r="M529" t="n">
        <v>0</v>
      </c>
      <c r="N529" t="n">
        <v>0</v>
      </c>
      <c r="O529" t="n">
        <v>0</v>
      </c>
      <c r="P529" t="n">
        <v>0</v>
      </c>
      <c r="Q529" t="n">
        <v>0</v>
      </c>
      <c r="R529" s="2" t="inlineStr"/>
    </row>
    <row r="530" ht="15" customHeight="1">
      <c r="A530" t="inlineStr">
        <is>
          <t>A 23603-2022</t>
        </is>
      </c>
      <c r="B530" s="1" t="n">
        <v>44721</v>
      </c>
      <c r="C530" s="1" t="n">
        <v>45786</v>
      </c>
      <c r="D530" t="inlineStr">
        <is>
          <t>UPPSALA LÄN</t>
        </is>
      </c>
      <c r="E530" t="inlineStr">
        <is>
          <t>ÖSTHAMMAR</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24138-2022</t>
        </is>
      </c>
      <c r="B531" s="1" t="n">
        <v>44725</v>
      </c>
      <c r="C531" s="1" t="n">
        <v>45786</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24149-2022</t>
        </is>
      </c>
      <c r="B532" s="1" t="n">
        <v>44725</v>
      </c>
      <c r="C532" s="1" t="n">
        <v>45786</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24181-2022</t>
        </is>
      </c>
      <c r="B533" s="1" t="n">
        <v>44725</v>
      </c>
      <c r="C533" s="1" t="n">
        <v>45786</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24259-2022</t>
        </is>
      </c>
      <c r="B534" s="1" t="n">
        <v>44725</v>
      </c>
      <c r="C534" s="1" t="n">
        <v>45786</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24447-2022</t>
        </is>
      </c>
      <c r="B535" s="1" t="n">
        <v>44726</v>
      </c>
      <c r="C535" s="1" t="n">
        <v>45786</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v>
      </c>
      <c r="C536" s="1" t="n">
        <v>45786</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24817-2022</t>
        </is>
      </c>
      <c r="B537" s="1" t="n">
        <v>44728</v>
      </c>
      <c r="C537" s="1" t="n">
        <v>45786</v>
      </c>
      <c r="D537" t="inlineStr">
        <is>
          <t>UPPSALA LÄN</t>
        </is>
      </c>
      <c r="E537" t="inlineStr">
        <is>
          <t>ÖSTHAMMAR</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45786</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25418-2022</t>
        </is>
      </c>
      <c r="B539" s="1" t="n">
        <v>44732</v>
      </c>
      <c r="C539" s="1" t="n">
        <v>45786</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v>
      </c>
      <c r="C540" s="1" t="n">
        <v>45786</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26008-2022</t>
        </is>
      </c>
      <c r="B541" s="1" t="n">
        <v>44734</v>
      </c>
      <c r="C541" s="1" t="n">
        <v>45786</v>
      </c>
      <c r="D541" t="inlineStr">
        <is>
          <t>UPPSALA LÄN</t>
        </is>
      </c>
      <c r="E541" t="inlineStr">
        <is>
          <t>ÖSTHAMMAR</t>
        </is>
      </c>
      <c r="F541" t="inlineStr">
        <is>
          <t>Bergvik skog öst AB</t>
        </is>
      </c>
      <c r="G541" t="n">
        <v>8.4</v>
      </c>
      <c r="H541" t="n">
        <v>0</v>
      </c>
      <c r="I541" t="n">
        <v>0</v>
      </c>
      <c r="J541" t="n">
        <v>0</v>
      </c>
      <c r="K541" t="n">
        <v>0</v>
      </c>
      <c r="L541" t="n">
        <v>0</v>
      </c>
      <c r="M541" t="n">
        <v>0</v>
      </c>
      <c r="N541" t="n">
        <v>0</v>
      </c>
      <c r="O541" t="n">
        <v>0</v>
      </c>
      <c r="P541" t="n">
        <v>0</v>
      </c>
      <c r="Q541" t="n">
        <v>0</v>
      </c>
      <c r="R541" s="2" t="inlineStr"/>
    </row>
    <row r="542" ht="15" customHeight="1">
      <c r="A542" t="inlineStr">
        <is>
          <t>A 25987-2022</t>
        </is>
      </c>
      <c r="B542" s="1" t="n">
        <v>44734</v>
      </c>
      <c r="C542" s="1" t="n">
        <v>45786</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25983-2022</t>
        </is>
      </c>
      <c r="B543" s="1" t="n">
        <v>44734</v>
      </c>
      <c r="C543" s="1" t="n">
        <v>45786</v>
      </c>
      <c r="D543" t="inlineStr">
        <is>
          <t>UPPSALA LÄN</t>
        </is>
      </c>
      <c r="E543" t="inlineStr">
        <is>
          <t>ÖSTHAMMAR</t>
        </is>
      </c>
      <c r="G543" t="n">
        <v>4.7</v>
      </c>
      <c r="H543" t="n">
        <v>0</v>
      </c>
      <c r="I543" t="n">
        <v>0</v>
      </c>
      <c r="J543" t="n">
        <v>0</v>
      </c>
      <c r="K543" t="n">
        <v>0</v>
      </c>
      <c r="L543" t="n">
        <v>0</v>
      </c>
      <c r="M543" t="n">
        <v>0</v>
      </c>
      <c r="N543" t="n">
        <v>0</v>
      </c>
      <c r="O543" t="n">
        <v>0</v>
      </c>
      <c r="P543" t="n">
        <v>0</v>
      </c>
      <c r="Q543" t="n">
        <v>0</v>
      </c>
      <c r="R543" s="2" t="inlineStr"/>
    </row>
    <row r="544" ht="15" customHeight="1">
      <c r="A544" t="inlineStr">
        <is>
          <t>A 26004-2022</t>
        </is>
      </c>
      <c r="B544" s="1" t="n">
        <v>44734</v>
      </c>
      <c r="C544" s="1" t="n">
        <v>45786</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26534-2022</t>
        </is>
      </c>
      <c r="B545" s="1" t="n">
        <v>44739</v>
      </c>
      <c r="C545" s="1" t="n">
        <v>45786</v>
      </c>
      <c r="D545" t="inlineStr">
        <is>
          <t>UPPSALA LÄN</t>
        </is>
      </c>
      <c r="E545" t="inlineStr">
        <is>
          <t>ÖSTHAMMAR</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26552-2022</t>
        </is>
      </c>
      <c r="B546" s="1" t="n">
        <v>44739</v>
      </c>
      <c r="C546" s="1" t="n">
        <v>45786</v>
      </c>
      <c r="D546" t="inlineStr">
        <is>
          <t>UPPSALA LÄN</t>
        </is>
      </c>
      <c r="E546" t="inlineStr">
        <is>
          <t>ÖSTHAMMAR</t>
        </is>
      </c>
      <c r="G546" t="n">
        <v>2.2</v>
      </c>
      <c r="H546" t="n">
        <v>0</v>
      </c>
      <c r="I546" t="n">
        <v>0</v>
      </c>
      <c r="J546" t="n">
        <v>0</v>
      </c>
      <c r="K546" t="n">
        <v>0</v>
      </c>
      <c r="L546" t="n">
        <v>0</v>
      </c>
      <c r="M546" t="n">
        <v>0</v>
      </c>
      <c r="N546" t="n">
        <v>0</v>
      </c>
      <c r="O546" t="n">
        <v>0</v>
      </c>
      <c r="P546" t="n">
        <v>0</v>
      </c>
      <c r="Q546" t="n">
        <v>0</v>
      </c>
      <c r="R546" s="2" t="inlineStr"/>
    </row>
    <row r="547" ht="15" customHeight="1">
      <c r="A547" t="inlineStr">
        <is>
          <t>A 26561-2022</t>
        </is>
      </c>
      <c r="B547" s="1" t="n">
        <v>44739</v>
      </c>
      <c r="C547" s="1" t="n">
        <v>45786</v>
      </c>
      <c r="D547" t="inlineStr">
        <is>
          <t>UPPSALA LÄN</t>
        </is>
      </c>
      <c r="E547" t="inlineStr">
        <is>
          <t>ÖSTHAMMAR</t>
        </is>
      </c>
      <c r="G547" t="n">
        <v>3.7</v>
      </c>
      <c r="H547" t="n">
        <v>0</v>
      </c>
      <c r="I547" t="n">
        <v>0</v>
      </c>
      <c r="J547" t="n">
        <v>0</v>
      </c>
      <c r="K547" t="n">
        <v>0</v>
      </c>
      <c r="L547" t="n">
        <v>0</v>
      </c>
      <c r="M547" t="n">
        <v>0</v>
      </c>
      <c r="N547" t="n">
        <v>0</v>
      </c>
      <c r="O547" t="n">
        <v>0</v>
      </c>
      <c r="P547" t="n">
        <v>0</v>
      </c>
      <c r="Q547" t="n">
        <v>0</v>
      </c>
      <c r="R547" s="2" t="inlineStr"/>
    </row>
    <row r="548" ht="15" customHeight="1">
      <c r="A548" t="inlineStr">
        <is>
          <t>A 28228-2022</t>
        </is>
      </c>
      <c r="B548" s="1" t="n">
        <v>44746</v>
      </c>
      <c r="C548" s="1" t="n">
        <v>45786</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29753-2022</t>
        </is>
      </c>
      <c r="B549" s="1" t="n">
        <v>44755</v>
      </c>
      <c r="C549" s="1" t="n">
        <v>45786</v>
      </c>
      <c r="D549" t="inlineStr">
        <is>
          <t>UPPSALA LÄN</t>
        </is>
      </c>
      <c r="E549" t="inlineStr">
        <is>
          <t>ÖSTHAMMAR</t>
        </is>
      </c>
      <c r="G549" t="n">
        <v>9.4</v>
      </c>
      <c r="H549" t="n">
        <v>0</v>
      </c>
      <c r="I549" t="n">
        <v>0</v>
      </c>
      <c r="J549" t="n">
        <v>0</v>
      </c>
      <c r="K549" t="n">
        <v>0</v>
      </c>
      <c r="L549" t="n">
        <v>0</v>
      </c>
      <c r="M549" t="n">
        <v>0</v>
      </c>
      <c r="N549" t="n">
        <v>0</v>
      </c>
      <c r="O549" t="n">
        <v>0</v>
      </c>
      <c r="P549" t="n">
        <v>0</v>
      </c>
      <c r="Q549" t="n">
        <v>0</v>
      </c>
      <c r="R549" s="2" t="inlineStr"/>
    </row>
    <row r="550" ht="15" customHeight="1">
      <c r="A550" t="inlineStr">
        <is>
          <t>A 30212-2022</t>
        </is>
      </c>
      <c r="B550" s="1" t="n">
        <v>44757</v>
      </c>
      <c r="C550" s="1" t="n">
        <v>45786</v>
      </c>
      <c r="D550" t="inlineStr">
        <is>
          <t>UPPSALA LÄN</t>
        </is>
      </c>
      <c r="E550" t="inlineStr">
        <is>
          <t>ÖSTHAMMAR</t>
        </is>
      </c>
      <c r="F550" t="inlineStr">
        <is>
          <t>Bergvik skog öst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30209-2022</t>
        </is>
      </c>
      <c r="B551" s="1" t="n">
        <v>44757</v>
      </c>
      <c r="C551" s="1" t="n">
        <v>45786</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30549-2022</t>
        </is>
      </c>
      <c r="B552" s="1" t="n">
        <v>44762</v>
      </c>
      <c r="C552" s="1" t="n">
        <v>45786</v>
      </c>
      <c r="D552" t="inlineStr">
        <is>
          <t>UPPSALA LÄN</t>
        </is>
      </c>
      <c r="E552" t="inlineStr">
        <is>
          <t>ÖSTHAMMAR</t>
        </is>
      </c>
      <c r="F552" t="inlineStr">
        <is>
          <t>Bergvik skog öst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31027-2022</t>
        </is>
      </c>
      <c r="B553" s="1" t="n">
        <v>44768</v>
      </c>
      <c r="C553" s="1" t="n">
        <v>45786</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31035-2022</t>
        </is>
      </c>
      <c r="B554" s="1" t="n">
        <v>44768</v>
      </c>
      <c r="C554" s="1" t="n">
        <v>45786</v>
      </c>
      <c r="D554" t="inlineStr">
        <is>
          <t>UPPSALA LÄN</t>
        </is>
      </c>
      <c r="E554" t="inlineStr">
        <is>
          <t>ÖSTHAMMAR</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31026-2022</t>
        </is>
      </c>
      <c r="B555" s="1" t="n">
        <v>44768</v>
      </c>
      <c r="C555" s="1" t="n">
        <v>45786</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31182-2022</t>
        </is>
      </c>
      <c r="B556" s="1" t="n">
        <v>44770</v>
      </c>
      <c r="C556" s="1" t="n">
        <v>45786</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31140-2022</t>
        </is>
      </c>
      <c r="B557" s="1" t="n">
        <v>44770</v>
      </c>
      <c r="C557" s="1" t="n">
        <v>45786</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31137-2022</t>
        </is>
      </c>
      <c r="B558" s="1" t="n">
        <v>44770</v>
      </c>
      <c r="C558" s="1" t="n">
        <v>45786</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31282-2022</t>
        </is>
      </c>
      <c r="B559" s="1" t="n">
        <v>44771</v>
      </c>
      <c r="C559" s="1" t="n">
        <v>45786</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31574-2022</t>
        </is>
      </c>
      <c r="B560" s="1" t="n">
        <v>44775</v>
      </c>
      <c r="C560" s="1" t="n">
        <v>45786</v>
      </c>
      <c r="D560" t="inlineStr">
        <is>
          <t>UPPSALA LÄN</t>
        </is>
      </c>
      <c r="E560" t="inlineStr">
        <is>
          <t>ÖSTHAMMAR</t>
        </is>
      </c>
      <c r="G560" t="n">
        <v>29.7</v>
      </c>
      <c r="H560" t="n">
        <v>0</v>
      </c>
      <c r="I560" t="n">
        <v>0</v>
      </c>
      <c r="J560" t="n">
        <v>0</v>
      </c>
      <c r="K560" t="n">
        <v>0</v>
      </c>
      <c r="L560" t="n">
        <v>0</v>
      </c>
      <c r="M560" t="n">
        <v>0</v>
      </c>
      <c r="N560" t="n">
        <v>0</v>
      </c>
      <c r="O560" t="n">
        <v>0</v>
      </c>
      <c r="P560" t="n">
        <v>0</v>
      </c>
      <c r="Q560" t="n">
        <v>0</v>
      </c>
      <c r="R560" s="2" t="inlineStr"/>
    </row>
    <row r="561" ht="15" customHeight="1">
      <c r="A561" t="inlineStr">
        <is>
          <t>A 31549-2022</t>
        </is>
      </c>
      <c r="B561" s="1" t="n">
        <v>44775</v>
      </c>
      <c r="C561" s="1" t="n">
        <v>45786</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31669-2022</t>
        </is>
      </c>
      <c r="B562" s="1" t="n">
        <v>44775</v>
      </c>
      <c r="C562" s="1" t="n">
        <v>45786</v>
      </c>
      <c r="D562" t="inlineStr">
        <is>
          <t>UPPSALA LÄN</t>
        </is>
      </c>
      <c r="E562" t="inlineStr">
        <is>
          <t>ÖSTHAMMAR</t>
        </is>
      </c>
      <c r="G562" t="n">
        <v>6</v>
      </c>
      <c r="H562" t="n">
        <v>0</v>
      </c>
      <c r="I562" t="n">
        <v>0</v>
      </c>
      <c r="J562" t="n">
        <v>0</v>
      </c>
      <c r="K562" t="n">
        <v>0</v>
      </c>
      <c r="L562" t="n">
        <v>0</v>
      </c>
      <c r="M562" t="n">
        <v>0</v>
      </c>
      <c r="N562" t="n">
        <v>0</v>
      </c>
      <c r="O562" t="n">
        <v>0</v>
      </c>
      <c r="P562" t="n">
        <v>0</v>
      </c>
      <c r="Q562" t="n">
        <v>0</v>
      </c>
      <c r="R562" s="2" t="inlineStr"/>
    </row>
    <row r="563" ht="15" customHeight="1">
      <c r="A563" t="inlineStr">
        <is>
          <t>A 32678-2022</t>
        </is>
      </c>
      <c r="B563" s="1" t="n">
        <v>44783</v>
      </c>
      <c r="C563" s="1" t="n">
        <v>45786</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32742-2022</t>
        </is>
      </c>
      <c r="B564" s="1" t="n">
        <v>44783</v>
      </c>
      <c r="C564" s="1" t="n">
        <v>45786</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32744-2022</t>
        </is>
      </c>
      <c r="B565" s="1" t="n">
        <v>44783</v>
      </c>
      <c r="C565" s="1" t="n">
        <v>45786</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34418-2022</t>
        </is>
      </c>
      <c r="B566" s="1" t="n">
        <v>44792</v>
      </c>
      <c r="C566" s="1" t="n">
        <v>45786</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34742-2022</t>
        </is>
      </c>
      <c r="B567" s="1" t="n">
        <v>44795</v>
      </c>
      <c r="C567" s="1" t="n">
        <v>45786</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34971-2022</t>
        </is>
      </c>
      <c r="B568" s="1" t="n">
        <v>44796</v>
      </c>
      <c r="C568" s="1" t="n">
        <v>45786</v>
      </c>
      <c r="D568" t="inlineStr">
        <is>
          <t>UPPSALA LÄN</t>
        </is>
      </c>
      <c r="E568" t="inlineStr">
        <is>
          <t>ÖSTHAMMAR</t>
        </is>
      </c>
      <c r="F568" t="inlineStr">
        <is>
          <t>Bergvik skog öst AB</t>
        </is>
      </c>
      <c r="G568" t="n">
        <v>2.3</v>
      </c>
      <c r="H568" t="n">
        <v>0</v>
      </c>
      <c r="I568" t="n">
        <v>0</v>
      </c>
      <c r="J568" t="n">
        <v>0</v>
      </c>
      <c r="K568" t="n">
        <v>0</v>
      </c>
      <c r="L568" t="n">
        <v>0</v>
      </c>
      <c r="M568" t="n">
        <v>0</v>
      </c>
      <c r="N568" t="n">
        <v>0</v>
      </c>
      <c r="O568" t="n">
        <v>0</v>
      </c>
      <c r="P568" t="n">
        <v>0</v>
      </c>
      <c r="Q568" t="n">
        <v>0</v>
      </c>
      <c r="R568" s="2" t="inlineStr"/>
    </row>
    <row r="569" ht="15" customHeight="1">
      <c r="A569" t="inlineStr">
        <is>
          <t>A 34994-2022</t>
        </is>
      </c>
      <c r="B569" s="1" t="n">
        <v>44796</v>
      </c>
      <c r="C569" s="1" t="n">
        <v>45786</v>
      </c>
      <c r="D569" t="inlineStr">
        <is>
          <t>UPPSALA LÄN</t>
        </is>
      </c>
      <c r="E569" t="inlineStr">
        <is>
          <t>ÖSTHAMMAR</t>
        </is>
      </c>
      <c r="F569" t="inlineStr">
        <is>
          <t>Bergvik skog öst AB</t>
        </is>
      </c>
      <c r="G569" t="n">
        <v>3.7</v>
      </c>
      <c r="H569" t="n">
        <v>0</v>
      </c>
      <c r="I569" t="n">
        <v>0</v>
      </c>
      <c r="J569" t="n">
        <v>0</v>
      </c>
      <c r="K569" t="n">
        <v>0</v>
      </c>
      <c r="L569" t="n">
        <v>0</v>
      </c>
      <c r="M569" t="n">
        <v>0</v>
      </c>
      <c r="N569" t="n">
        <v>0</v>
      </c>
      <c r="O569" t="n">
        <v>0</v>
      </c>
      <c r="P569" t="n">
        <v>0</v>
      </c>
      <c r="Q569" t="n">
        <v>0</v>
      </c>
      <c r="R569" s="2" t="inlineStr"/>
    </row>
    <row r="570" ht="15" customHeight="1">
      <c r="A570" t="inlineStr">
        <is>
          <t>A 36343-2022</t>
        </is>
      </c>
      <c r="B570" s="1" t="n">
        <v>44803</v>
      </c>
      <c r="C570" s="1" t="n">
        <v>45786</v>
      </c>
      <c r="D570" t="inlineStr">
        <is>
          <t>UPPSALA LÄN</t>
        </is>
      </c>
      <c r="E570" t="inlineStr">
        <is>
          <t>ÖSTHAMMAR</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36873-2022</t>
        </is>
      </c>
      <c r="B571" s="1" t="n">
        <v>44805</v>
      </c>
      <c r="C571" s="1" t="n">
        <v>45786</v>
      </c>
      <c r="D571" t="inlineStr">
        <is>
          <t>UPPSALA LÄN</t>
        </is>
      </c>
      <c r="E571" t="inlineStr">
        <is>
          <t>ÖSTHAMMAR</t>
        </is>
      </c>
      <c r="G571" t="n">
        <v>2.5</v>
      </c>
      <c r="H571" t="n">
        <v>0</v>
      </c>
      <c r="I571" t="n">
        <v>0</v>
      </c>
      <c r="J571" t="n">
        <v>0</v>
      </c>
      <c r="K571" t="n">
        <v>0</v>
      </c>
      <c r="L571" t="n">
        <v>0</v>
      </c>
      <c r="M571" t="n">
        <v>0</v>
      </c>
      <c r="N571" t="n">
        <v>0</v>
      </c>
      <c r="O571" t="n">
        <v>0</v>
      </c>
      <c r="P571" t="n">
        <v>0</v>
      </c>
      <c r="Q571" t="n">
        <v>0</v>
      </c>
      <c r="R571" s="2" t="inlineStr"/>
    </row>
    <row r="572" ht="15" customHeight="1">
      <c r="A572" t="inlineStr">
        <is>
          <t>A 37545-2022</t>
        </is>
      </c>
      <c r="B572" s="1" t="n">
        <v>44809</v>
      </c>
      <c r="C572" s="1" t="n">
        <v>45786</v>
      </c>
      <c r="D572" t="inlineStr">
        <is>
          <t>UPPSALA LÄN</t>
        </is>
      </c>
      <c r="E572" t="inlineStr">
        <is>
          <t>ÖSTHAMMAR</t>
        </is>
      </c>
      <c r="G572" t="n">
        <v>3.1</v>
      </c>
      <c r="H572" t="n">
        <v>0</v>
      </c>
      <c r="I572" t="n">
        <v>0</v>
      </c>
      <c r="J572" t="n">
        <v>0</v>
      </c>
      <c r="K572" t="n">
        <v>0</v>
      </c>
      <c r="L572" t="n">
        <v>0</v>
      </c>
      <c r="M572" t="n">
        <v>0</v>
      </c>
      <c r="N572" t="n">
        <v>0</v>
      </c>
      <c r="O572" t="n">
        <v>0</v>
      </c>
      <c r="P572" t="n">
        <v>0</v>
      </c>
      <c r="Q572" t="n">
        <v>0</v>
      </c>
      <c r="R572" s="2" t="inlineStr"/>
    </row>
    <row r="573" ht="15" customHeight="1">
      <c r="A573" t="inlineStr">
        <is>
          <t>A 37570-2022</t>
        </is>
      </c>
      <c r="B573" s="1" t="n">
        <v>44809</v>
      </c>
      <c r="C573" s="1" t="n">
        <v>45786</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37813-2022</t>
        </is>
      </c>
      <c r="B574" s="1" t="n">
        <v>44810</v>
      </c>
      <c r="C574" s="1" t="n">
        <v>45786</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37812-2022</t>
        </is>
      </c>
      <c r="B575" s="1" t="n">
        <v>44810</v>
      </c>
      <c r="C575" s="1" t="n">
        <v>45786</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38501-2022</t>
        </is>
      </c>
      <c r="B576" s="1" t="n">
        <v>44813</v>
      </c>
      <c r="C576" s="1" t="n">
        <v>45786</v>
      </c>
      <c r="D576" t="inlineStr">
        <is>
          <t>UPPSALA LÄN</t>
        </is>
      </c>
      <c r="E576" t="inlineStr">
        <is>
          <t>ÖSTHAMMAR</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38702-2022</t>
        </is>
      </c>
      <c r="B577" s="1" t="n">
        <v>44814</v>
      </c>
      <c r="C577" s="1" t="n">
        <v>45786</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39480-2022</t>
        </is>
      </c>
      <c r="B578" s="1" t="n">
        <v>44818</v>
      </c>
      <c r="C578" s="1" t="n">
        <v>45786</v>
      </c>
      <c r="D578" t="inlineStr">
        <is>
          <t>UPPSALA LÄN</t>
        </is>
      </c>
      <c r="E578" t="inlineStr">
        <is>
          <t>ÖSTHAMMAR</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40336-2022</t>
        </is>
      </c>
      <c r="B579" s="1" t="n">
        <v>44823</v>
      </c>
      <c r="C579" s="1" t="n">
        <v>45786</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40637-2022</t>
        </is>
      </c>
      <c r="B580" s="1" t="n">
        <v>44824</v>
      </c>
      <c r="C580" s="1" t="n">
        <v>45786</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40681-2022</t>
        </is>
      </c>
      <c r="B581" s="1" t="n">
        <v>44824</v>
      </c>
      <c r="C581" s="1" t="n">
        <v>45786</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41033-2022</t>
        </is>
      </c>
      <c r="B582" s="1" t="n">
        <v>44825</v>
      </c>
      <c r="C582" s="1" t="n">
        <v>45786</v>
      </c>
      <c r="D582" t="inlineStr">
        <is>
          <t>UPPSALA LÄN</t>
        </is>
      </c>
      <c r="E582" t="inlineStr">
        <is>
          <t>ÖSTHAMMAR</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41423-2022</t>
        </is>
      </c>
      <c r="B583" s="1" t="n">
        <v>44826</v>
      </c>
      <c r="C583" s="1" t="n">
        <v>45786</v>
      </c>
      <c r="D583" t="inlineStr">
        <is>
          <t>UPPSALA LÄN</t>
        </is>
      </c>
      <c r="E583" t="inlineStr">
        <is>
          <t>ÖSTHAMMAR</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44020-2022</t>
        </is>
      </c>
      <c r="B584" s="1" t="n">
        <v>44838</v>
      </c>
      <c r="C584" s="1" t="n">
        <v>45786</v>
      </c>
      <c r="D584" t="inlineStr">
        <is>
          <t>UPPSALA LÄN</t>
        </is>
      </c>
      <c r="E584" t="inlineStr">
        <is>
          <t>ÖSTHAMMAR</t>
        </is>
      </c>
      <c r="F584" t="inlineStr">
        <is>
          <t>Bergvik skog öst AB</t>
        </is>
      </c>
      <c r="G584" t="n">
        <v>12.1</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v>
      </c>
      <c r="C585" s="1" t="n">
        <v>45786</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44354-2022</t>
        </is>
      </c>
      <c r="B586" s="1" t="n">
        <v>44839</v>
      </c>
      <c r="C586" s="1" t="n">
        <v>45786</v>
      </c>
      <c r="D586" t="inlineStr">
        <is>
          <t>UPPSALA LÄN</t>
        </is>
      </c>
      <c r="E586" t="inlineStr">
        <is>
          <t>ÖSTHAMMAR</t>
        </is>
      </c>
      <c r="G586" t="n">
        <v>5.4</v>
      </c>
      <c r="H586" t="n">
        <v>0</v>
      </c>
      <c r="I586" t="n">
        <v>0</v>
      </c>
      <c r="J586" t="n">
        <v>0</v>
      </c>
      <c r="K586" t="n">
        <v>0</v>
      </c>
      <c r="L586" t="n">
        <v>0</v>
      </c>
      <c r="M586" t="n">
        <v>0</v>
      </c>
      <c r="N586" t="n">
        <v>0</v>
      </c>
      <c r="O586" t="n">
        <v>0</v>
      </c>
      <c r="P586" t="n">
        <v>0</v>
      </c>
      <c r="Q586" t="n">
        <v>0</v>
      </c>
      <c r="R586" s="2" t="inlineStr"/>
    </row>
    <row r="587" ht="15" customHeight="1">
      <c r="A587" t="inlineStr">
        <is>
          <t>A 44366-2022</t>
        </is>
      </c>
      <c r="B587" s="1" t="n">
        <v>44839</v>
      </c>
      <c r="C587" s="1" t="n">
        <v>45786</v>
      </c>
      <c r="D587" t="inlineStr">
        <is>
          <t>UPPSALA LÄN</t>
        </is>
      </c>
      <c r="E587" t="inlineStr">
        <is>
          <t>ÖSTHAMMAR</t>
        </is>
      </c>
      <c r="G587" t="n">
        <v>8.1</v>
      </c>
      <c r="H587" t="n">
        <v>0</v>
      </c>
      <c r="I587" t="n">
        <v>0</v>
      </c>
      <c r="J587" t="n">
        <v>0</v>
      </c>
      <c r="K587" t="n">
        <v>0</v>
      </c>
      <c r="L587" t="n">
        <v>0</v>
      </c>
      <c r="M587" t="n">
        <v>0</v>
      </c>
      <c r="N587" t="n">
        <v>0</v>
      </c>
      <c r="O587" t="n">
        <v>0</v>
      </c>
      <c r="P587" t="n">
        <v>0</v>
      </c>
      <c r="Q587" t="n">
        <v>0</v>
      </c>
      <c r="R587" s="2" t="inlineStr"/>
    </row>
    <row r="588" ht="15" customHeight="1">
      <c r="A588" t="inlineStr">
        <is>
          <t>A 44184-2022</t>
        </is>
      </c>
      <c r="B588" s="1" t="n">
        <v>44839</v>
      </c>
      <c r="C588" s="1" t="n">
        <v>45786</v>
      </c>
      <c r="D588" t="inlineStr">
        <is>
          <t>UPPSALA LÄN</t>
        </is>
      </c>
      <c r="E588" t="inlineStr">
        <is>
          <t>ÖSTHAMMAR</t>
        </is>
      </c>
      <c r="G588" t="n">
        <v>4.2</v>
      </c>
      <c r="H588" t="n">
        <v>0</v>
      </c>
      <c r="I588" t="n">
        <v>0</v>
      </c>
      <c r="J588" t="n">
        <v>0</v>
      </c>
      <c r="K588" t="n">
        <v>0</v>
      </c>
      <c r="L588" t="n">
        <v>0</v>
      </c>
      <c r="M588" t="n">
        <v>0</v>
      </c>
      <c r="N588" t="n">
        <v>0</v>
      </c>
      <c r="O588" t="n">
        <v>0</v>
      </c>
      <c r="P588" t="n">
        <v>0</v>
      </c>
      <c r="Q588" t="n">
        <v>0</v>
      </c>
      <c r="R588" s="2" t="inlineStr"/>
    </row>
    <row r="589" ht="15" customHeight="1">
      <c r="A589" t="inlineStr">
        <is>
          <t>A 44617-2022</t>
        </is>
      </c>
      <c r="B589" s="1" t="n">
        <v>44840</v>
      </c>
      <c r="C589" s="1" t="n">
        <v>45786</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44945-2022</t>
        </is>
      </c>
      <c r="B590" s="1" t="n">
        <v>44841</v>
      </c>
      <c r="C590" s="1" t="n">
        <v>45786</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44815-2022</t>
        </is>
      </c>
      <c r="B591" s="1" t="n">
        <v>44841</v>
      </c>
      <c r="C591" s="1" t="n">
        <v>45786</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45788-2022</t>
        </is>
      </c>
      <c r="B592" s="1" t="n">
        <v>44846</v>
      </c>
      <c r="C592" s="1" t="n">
        <v>45786</v>
      </c>
      <c r="D592" t="inlineStr">
        <is>
          <t>UPPSALA LÄN</t>
        </is>
      </c>
      <c r="E592" t="inlineStr">
        <is>
          <t>ÖSTHAMMAR</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46448-2022</t>
        </is>
      </c>
      <c r="B593" s="1" t="n">
        <v>44848</v>
      </c>
      <c r="C593" s="1" t="n">
        <v>45786</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46915-2022</t>
        </is>
      </c>
      <c r="B594" s="1" t="n">
        <v>44851</v>
      </c>
      <c r="C594" s="1" t="n">
        <v>45786</v>
      </c>
      <c r="D594" t="inlineStr">
        <is>
          <t>UPPSALA LÄN</t>
        </is>
      </c>
      <c r="E594" t="inlineStr">
        <is>
          <t>ÖSTHAMMAR</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v>
      </c>
      <c r="C595" s="1" t="n">
        <v>45786</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48191-2022</t>
        </is>
      </c>
      <c r="B596" s="1" t="n">
        <v>44858</v>
      </c>
      <c r="C596" s="1" t="n">
        <v>45786</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48231-2022</t>
        </is>
      </c>
      <c r="B597" s="1" t="n">
        <v>44858</v>
      </c>
      <c r="C597" s="1" t="n">
        <v>45786</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49097-2022</t>
        </is>
      </c>
      <c r="B598" s="1" t="n">
        <v>44860</v>
      </c>
      <c r="C598" s="1" t="n">
        <v>45786</v>
      </c>
      <c r="D598" t="inlineStr">
        <is>
          <t>UPPSALA LÄN</t>
        </is>
      </c>
      <c r="E598" t="inlineStr">
        <is>
          <t>ÖSTHAMMAR</t>
        </is>
      </c>
      <c r="G598" t="n">
        <v>6.9</v>
      </c>
      <c r="H598" t="n">
        <v>0</v>
      </c>
      <c r="I598" t="n">
        <v>0</v>
      </c>
      <c r="J598" t="n">
        <v>0</v>
      </c>
      <c r="K598" t="n">
        <v>0</v>
      </c>
      <c r="L598" t="n">
        <v>0</v>
      </c>
      <c r="M598" t="n">
        <v>0</v>
      </c>
      <c r="N598" t="n">
        <v>0</v>
      </c>
      <c r="O598" t="n">
        <v>0</v>
      </c>
      <c r="P598" t="n">
        <v>0</v>
      </c>
      <c r="Q598" t="n">
        <v>0</v>
      </c>
      <c r="R598" s="2" t="inlineStr"/>
    </row>
    <row r="599" ht="15" customHeight="1">
      <c r="A599" t="inlineStr">
        <is>
          <t>A 49334-2022</t>
        </is>
      </c>
      <c r="B599" s="1" t="n">
        <v>44861</v>
      </c>
      <c r="C599" s="1" t="n">
        <v>45786</v>
      </c>
      <c r="D599" t="inlineStr">
        <is>
          <t>UPPSALA LÄN</t>
        </is>
      </c>
      <c r="E599" t="inlineStr">
        <is>
          <t>ÖSTHAMMAR</t>
        </is>
      </c>
      <c r="G599" t="n">
        <v>3.5</v>
      </c>
      <c r="H599" t="n">
        <v>0</v>
      </c>
      <c r="I599" t="n">
        <v>0</v>
      </c>
      <c r="J599" t="n">
        <v>0</v>
      </c>
      <c r="K599" t="n">
        <v>0</v>
      </c>
      <c r="L599" t="n">
        <v>0</v>
      </c>
      <c r="M599" t="n">
        <v>0</v>
      </c>
      <c r="N599" t="n">
        <v>0</v>
      </c>
      <c r="O599" t="n">
        <v>0</v>
      </c>
      <c r="P599" t="n">
        <v>0</v>
      </c>
      <c r="Q599" t="n">
        <v>0</v>
      </c>
      <c r="R599" s="2" t="inlineStr"/>
    </row>
    <row r="600" ht="15" customHeight="1">
      <c r="A600" t="inlineStr">
        <is>
          <t>A 49914-2022</t>
        </is>
      </c>
      <c r="B600" s="1" t="n">
        <v>44865</v>
      </c>
      <c r="C600" s="1" t="n">
        <v>45786</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50576-2022</t>
        </is>
      </c>
      <c r="B601" s="1" t="n">
        <v>44866</v>
      </c>
      <c r="C601" s="1" t="n">
        <v>45786</v>
      </c>
      <c r="D601" t="inlineStr">
        <is>
          <t>UPPSALA LÄN</t>
        </is>
      </c>
      <c r="E601" t="inlineStr">
        <is>
          <t>ÖSTHAMMAR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51055-2022</t>
        </is>
      </c>
      <c r="B602" s="1" t="n">
        <v>44868</v>
      </c>
      <c r="C602" s="1" t="n">
        <v>45786</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51696-2022</t>
        </is>
      </c>
      <c r="B603" s="1" t="n">
        <v>44872</v>
      </c>
      <c r="C603" s="1" t="n">
        <v>45786</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51906-2022</t>
        </is>
      </c>
      <c r="B604" s="1" t="n">
        <v>44872</v>
      </c>
      <c r="C604" s="1" t="n">
        <v>45786</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52265-2022</t>
        </is>
      </c>
      <c r="B605" s="1" t="n">
        <v>44873</v>
      </c>
      <c r="C605" s="1" t="n">
        <v>45786</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52255-2022</t>
        </is>
      </c>
      <c r="B606" s="1" t="n">
        <v>44873</v>
      </c>
      <c r="C606" s="1" t="n">
        <v>45786</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52295-2022</t>
        </is>
      </c>
      <c r="B607" s="1" t="n">
        <v>44873</v>
      </c>
      <c r="C607" s="1" t="n">
        <v>45786</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52652-2022</t>
        </is>
      </c>
      <c r="B608" s="1" t="n">
        <v>44874</v>
      </c>
      <c r="C608" s="1" t="n">
        <v>45786</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52389-2022</t>
        </is>
      </c>
      <c r="B609" s="1" t="n">
        <v>44874</v>
      </c>
      <c r="C609" s="1" t="n">
        <v>45786</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52663-2022</t>
        </is>
      </c>
      <c r="B610" s="1" t="n">
        <v>44874</v>
      </c>
      <c r="C610" s="1" t="n">
        <v>45786</v>
      </c>
      <c r="D610" t="inlineStr">
        <is>
          <t>UPPSALA LÄN</t>
        </is>
      </c>
      <c r="E610" t="inlineStr">
        <is>
          <t>ÖSTHAMMAR</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52650-2022</t>
        </is>
      </c>
      <c r="B611" s="1" t="n">
        <v>44874</v>
      </c>
      <c r="C611" s="1" t="n">
        <v>45786</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52661-2022</t>
        </is>
      </c>
      <c r="B612" s="1" t="n">
        <v>44874</v>
      </c>
      <c r="C612" s="1" t="n">
        <v>45786</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53180-2022</t>
        </is>
      </c>
      <c r="B613" s="1" t="n">
        <v>44876</v>
      </c>
      <c r="C613" s="1" t="n">
        <v>45786</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54666-2022</t>
        </is>
      </c>
      <c r="B614" s="1" t="n">
        <v>44883</v>
      </c>
      <c r="C614" s="1" t="n">
        <v>45786</v>
      </c>
      <c r="D614" t="inlineStr">
        <is>
          <t>UPPSALA LÄN</t>
        </is>
      </c>
      <c r="E614" t="inlineStr">
        <is>
          <t>ÖSTHAMMAR</t>
        </is>
      </c>
      <c r="G614" t="n">
        <v>14.3</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45786</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56969-2022</t>
        </is>
      </c>
      <c r="B616" s="1" t="n">
        <v>44894</v>
      </c>
      <c r="C616" s="1" t="n">
        <v>45786</v>
      </c>
      <c r="D616" t="inlineStr">
        <is>
          <t>UPPSALA LÄN</t>
        </is>
      </c>
      <c r="E616" t="inlineStr">
        <is>
          <t>ÖSTHAMMAR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57462-2022</t>
        </is>
      </c>
      <c r="B617" s="1" t="n">
        <v>44896</v>
      </c>
      <c r="C617" s="1" t="n">
        <v>45786</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57453-2022</t>
        </is>
      </c>
      <c r="B618" s="1" t="n">
        <v>44896</v>
      </c>
      <c r="C618" s="1" t="n">
        <v>45786</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58127-2022</t>
        </is>
      </c>
      <c r="B619" s="1" t="n">
        <v>44900</v>
      </c>
      <c r="C619" s="1" t="n">
        <v>45786</v>
      </c>
      <c r="D619" t="inlineStr">
        <is>
          <t>UPPSALA LÄN</t>
        </is>
      </c>
      <c r="E619" t="inlineStr">
        <is>
          <t>ÖSTHAMMAR</t>
        </is>
      </c>
      <c r="F619" t="inlineStr">
        <is>
          <t>Bergvik skog öst AB</t>
        </is>
      </c>
      <c r="G619" t="n">
        <v>6.4</v>
      </c>
      <c r="H619" t="n">
        <v>0</v>
      </c>
      <c r="I619" t="n">
        <v>0</v>
      </c>
      <c r="J619" t="n">
        <v>0</v>
      </c>
      <c r="K619" t="n">
        <v>0</v>
      </c>
      <c r="L619" t="n">
        <v>0</v>
      </c>
      <c r="M619" t="n">
        <v>0</v>
      </c>
      <c r="N619" t="n">
        <v>0</v>
      </c>
      <c r="O619" t="n">
        <v>0</v>
      </c>
      <c r="P619" t="n">
        <v>0</v>
      </c>
      <c r="Q619" t="n">
        <v>0</v>
      </c>
      <c r="R619" s="2" t="inlineStr"/>
    </row>
    <row r="620" ht="15" customHeight="1">
      <c r="A620" t="inlineStr">
        <is>
          <t>A 58367-2022</t>
        </is>
      </c>
      <c r="B620" s="1" t="n">
        <v>44901</v>
      </c>
      <c r="C620" s="1" t="n">
        <v>45786</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58878-2022</t>
        </is>
      </c>
      <c r="B621" s="1" t="n">
        <v>44903</v>
      </c>
      <c r="C621" s="1" t="n">
        <v>45786</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60258-2022</t>
        </is>
      </c>
      <c r="B622" s="1" t="n">
        <v>44903</v>
      </c>
      <c r="C622" s="1" t="n">
        <v>45786</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59382-2022</t>
        </is>
      </c>
      <c r="B623" s="1" t="n">
        <v>44905</v>
      </c>
      <c r="C623" s="1" t="n">
        <v>45786</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59563-2022</t>
        </is>
      </c>
      <c r="B624" s="1" t="n">
        <v>44907</v>
      </c>
      <c r="C624" s="1" t="n">
        <v>45786</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59880-2022</t>
        </is>
      </c>
      <c r="B625" s="1" t="n">
        <v>44908</v>
      </c>
      <c r="C625" s="1" t="n">
        <v>45786</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60079-2022</t>
        </is>
      </c>
      <c r="B626" s="1" t="n">
        <v>44909</v>
      </c>
      <c r="C626" s="1" t="n">
        <v>45786</v>
      </c>
      <c r="D626" t="inlineStr">
        <is>
          <t>UPPSALA LÄN</t>
        </is>
      </c>
      <c r="E626" t="inlineStr">
        <is>
          <t>ÖSTHAMMAR</t>
        </is>
      </c>
      <c r="G626" t="n">
        <v>9.6</v>
      </c>
      <c r="H626" t="n">
        <v>0</v>
      </c>
      <c r="I626" t="n">
        <v>0</v>
      </c>
      <c r="J626" t="n">
        <v>0</v>
      </c>
      <c r="K626" t="n">
        <v>0</v>
      </c>
      <c r="L626" t="n">
        <v>0</v>
      </c>
      <c r="M626" t="n">
        <v>0</v>
      </c>
      <c r="N626" t="n">
        <v>0</v>
      </c>
      <c r="O626" t="n">
        <v>0</v>
      </c>
      <c r="P626" t="n">
        <v>0</v>
      </c>
      <c r="Q626" t="n">
        <v>0</v>
      </c>
      <c r="R626" s="2" t="inlineStr"/>
    </row>
    <row r="627" ht="15" customHeight="1">
      <c r="A627" t="inlineStr">
        <is>
          <t>A 60597-2022</t>
        </is>
      </c>
      <c r="B627" s="1" t="n">
        <v>44911</v>
      </c>
      <c r="C627" s="1" t="n">
        <v>45786</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61261-2022</t>
        </is>
      </c>
      <c r="B628" s="1" t="n">
        <v>44915</v>
      </c>
      <c r="C628" s="1" t="n">
        <v>45786</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61216-2022</t>
        </is>
      </c>
      <c r="B629" s="1" t="n">
        <v>44915</v>
      </c>
      <c r="C629" s="1" t="n">
        <v>45786</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61257-2022</t>
        </is>
      </c>
      <c r="B630" s="1" t="n">
        <v>44915</v>
      </c>
      <c r="C630" s="1" t="n">
        <v>45786</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45786</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62394-2022</t>
        </is>
      </c>
      <c r="B632" s="1" t="n">
        <v>44923</v>
      </c>
      <c r="C632" s="1" t="n">
        <v>45786</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62393-2022</t>
        </is>
      </c>
      <c r="B633" s="1" t="n">
        <v>44923</v>
      </c>
      <c r="C633" s="1" t="n">
        <v>45786</v>
      </c>
      <c r="D633" t="inlineStr">
        <is>
          <t>UPPSALA LÄN</t>
        </is>
      </c>
      <c r="E633" t="inlineStr">
        <is>
          <t>ÖSTHAMMAR</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62392-2022</t>
        </is>
      </c>
      <c r="B634" s="1" t="n">
        <v>44923</v>
      </c>
      <c r="C634" s="1" t="n">
        <v>45786</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62391-2022</t>
        </is>
      </c>
      <c r="B635" s="1" t="n">
        <v>44923</v>
      </c>
      <c r="C635" s="1" t="n">
        <v>45786</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57-2023</t>
        </is>
      </c>
      <c r="B636" s="1" t="n">
        <v>44928</v>
      </c>
      <c r="C636" s="1" t="n">
        <v>45786</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59-2023</t>
        </is>
      </c>
      <c r="B637" s="1" t="n">
        <v>44928</v>
      </c>
      <c r="C637" s="1" t="n">
        <v>45786</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390-2023</t>
        </is>
      </c>
      <c r="B638" s="1" t="n">
        <v>44929</v>
      </c>
      <c r="C638" s="1" t="n">
        <v>45786</v>
      </c>
      <c r="D638" t="inlineStr">
        <is>
          <t>UPPSALA LÄN</t>
        </is>
      </c>
      <c r="E638" t="inlineStr">
        <is>
          <t>ÖSTHAMMAR</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1791-2023</t>
        </is>
      </c>
      <c r="B639" s="1" t="n">
        <v>44938</v>
      </c>
      <c r="C639" s="1" t="n">
        <v>45786</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45786</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1796-2023</t>
        </is>
      </c>
      <c r="B641" s="1" t="n">
        <v>44938</v>
      </c>
      <c r="C641" s="1" t="n">
        <v>45786</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2733-2023</t>
        </is>
      </c>
      <c r="B642" s="1" t="n">
        <v>44943</v>
      </c>
      <c r="C642" s="1" t="n">
        <v>45786</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2967-2023</t>
        </is>
      </c>
      <c r="B643" s="1" t="n">
        <v>44945</v>
      </c>
      <c r="C643" s="1" t="n">
        <v>45786</v>
      </c>
      <c r="D643" t="inlineStr">
        <is>
          <t>UPPSALA LÄN</t>
        </is>
      </c>
      <c r="E643" t="inlineStr">
        <is>
          <t>ÖSTHAMMAR</t>
        </is>
      </c>
      <c r="F643" t="inlineStr">
        <is>
          <t>Övriga Aktiebolag</t>
        </is>
      </c>
      <c r="G643" t="n">
        <v>3.1</v>
      </c>
      <c r="H643" t="n">
        <v>0</v>
      </c>
      <c r="I643" t="n">
        <v>0</v>
      </c>
      <c r="J643" t="n">
        <v>0</v>
      </c>
      <c r="K643" t="n">
        <v>0</v>
      </c>
      <c r="L643" t="n">
        <v>0</v>
      </c>
      <c r="M643" t="n">
        <v>0</v>
      </c>
      <c r="N643" t="n">
        <v>0</v>
      </c>
      <c r="O643" t="n">
        <v>0</v>
      </c>
      <c r="P643" t="n">
        <v>0</v>
      </c>
      <c r="Q643" t="n">
        <v>0</v>
      </c>
      <c r="R643" s="2" t="inlineStr"/>
    </row>
    <row r="644" ht="15" customHeight="1">
      <c r="A644" t="inlineStr">
        <is>
          <t>A 3005-2023</t>
        </is>
      </c>
      <c r="B644" s="1" t="n">
        <v>44945</v>
      </c>
      <c r="C644" s="1" t="n">
        <v>45786</v>
      </c>
      <c r="D644" t="inlineStr">
        <is>
          <t>UPPSALA LÄN</t>
        </is>
      </c>
      <c r="E644" t="inlineStr">
        <is>
          <t>ÖSTHAMMAR</t>
        </is>
      </c>
      <c r="F644" t="inlineStr">
        <is>
          <t>Bergvik skog öst AB</t>
        </is>
      </c>
      <c r="G644" t="n">
        <v>6.5</v>
      </c>
      <c r="H644" t="n">
        <v>0</v>
      </c>
      <c r="I644" t="n">
        <v>0</v>
      </c>
      <c r="J644" t="n">
        <v>0</v>
      </c>
      <c r="K644" t="n">
        <v>0</v>
      </c>
      <c r="L644" t="n">
        <v>0</v>
      </c>
      <c r="M644" t="n">
        <v>0</v>
      </c>
      <c r="N644" t="n">
        <v>0</v>
      </c>
      <c r="O644" t="n">
        <v>0</v>
      </c>
      <c r="P644" t="n">
        <v>0</v>
      </c>
      <c r="Q644" t="n">
        <v>0</v>
      </c>
      <c r="R644" s="2" t="inlineStr"/>
    </row>
    <row r="645" ht="15" customHeight="1">
      <c r="A645" t="inlineStr">
        <is>
          <t>A 3743-2023</t>
        </is>
      </c>
      <c r="B645" s="1" t="n">
        <v>44948</v>
      </c>
      <c r="C645" s="1" t="n">
        <v>45786</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3327-2023</t>
        </is>
      </c>
      <c r="B646" s="1" t="n">
        <v>44949</v>
      </c>
      <c r="C646" s="1" t="n">
        <v>45786</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3514-2023</t>
        </is>
      </c>
      <c r="B647" s="1" t="n">
        <v>44950</v>
      </c>
      <c r="C647" s="1" t="n">
        <v>45786</v>
      </c>
      <c r="D647" t="inlineStr">
        <is>
          <t>UPPSALA LÄN</t>
        </is>
      </c>
      <c r="E647" t="inlineStr">
        <is>
          <t>ÖSTHAMMAR</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45786</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4054-2023</t>
        </is>
      </c>
      <c r="B649" s="1" t="n">
        <v>44952</v>
      </c>
      <c r="C649" s="1" t="n">
        <v>45786</v>
      </c>
      <c r="D649" t="inlineStr">
        <is>
          <t>UPPSALA LÄN</t>
        </is>
      </c>
      <c r="E649" t="inlineStr">
        <is>
          <t>ÖSTHAMMAR</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4233-2023</t>
        </is>
      </c>
      <c r="B650" s="1" t="n">
        <v>44953</v>
      </c>
      <c r="C650" s="1" t="n">
        <v>45786</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4228-2023</t>
        </is>
      </c>
      <c r="B651" s="1" t="n">
        <v>44953</v>
      </c>
      <c r="C651" s="1" t="n">
        <v>45786</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4361-2023</t>
        </is>
      </c>
      <c r="B652" s="1" t="n">
        <v>44954</v>
      </c>
      <c r="C652" s="1" t="n">
        <v>45786</v>
      </c>
      <c r="D652" t="inlineStr">
        <is>
          <t>UPPSALA LÄN</t>
        </is>
      </c>
      <c r="E652" t="inlineStr">
        <is>
          <t>ÖSTHAMMAR</t>
        </is>
      </c>
      <c r="F652" t="inlineStr">
        <is>
          <t>Bergvik skog öst AB</t>
        </is>
      </c>
      <c r="G652" t="n">
        <v>18.3</v>
      </c>
      <c r="H652" t="n">
        <v>0</v>
      </c>
      <c r="I652" t="n">
        <v>0</v>
      </c>
      <c r="J652" t="n">
        <v>0</v>
      </c>
      <c r="K652" t="n">
        <v>0</v>
      </c>
      <c r="L652" t="n">
        <v>0</v>
      </c>
      <c r="M652" t="n">
        <v>0</v>
      </c>
      <c r="N652" t="n">
        <v>0</v>
      </c>
      <c r="O652" t="n">
        <v>0</v>
      </c>
      <c r="P652" t="n">
        <v>0</v>
      </c>
      <c r="Q652" t="n">
        <v>0</v>
      </c>
      <c r="R652" s="2" t="inlineStr"/>
    </row>
    <row r="653" ht="15" customHeight="1">
      <c r="A653" t="inlineStr">
        <is>
          <t>A 5404-2023</t>
        </is>
      </c>
      <c r="B653" s="1" t="n">
        <v>44957</v>
      </c>
      <c r="C653" s="1" t="n">
        <v>45786</v>
      </c>
      <c r="D653" t="inlineStr">
        <is>
          <t>UPPSALA LÄN</t>
        </is>
      </c>
      <c r="E653" t="inlineStr">
        <is>
          <t>ÖSTHAMMAR</t>
        </is>
      </c>
      <c r="G653" t="n">
        <v>2.5</v>
      </c>
      <c r="H653" t="n">
        <v>0</v>
      </c>
      <c r="I653" t="n">
        <v>0</v>
      </c>
      <c r="J653" t="n">
        <v>0</v>
      </c>
      <c r="K653" t="n">
        <v>0</v>
      </c>
      <c r="L653" t="n">
        <v>0</v>
      </c>
      <c r="M653" t="n">
        <v>0</v>
      </c>
      <c r="N653" t="n">
        <v>0</v>
      </c>
      <c r="O653" t="n">
        <v>0</v>
      </c>
      <c r="P653" t="n">
        <v>0</v>
      </c>
      <c r="Q653" t="n">
        <v>0</v>
      </c>
      <c r="R653" s="2" t="inlineStr"/>
    </row>
    <row r="654" ht="15" customHeight="1">
      <c r="A654" t="inlineStr">
        <is>
          <t>A 5429-2023</t>
        </is>
      </c>
      <c r="B654" s="1" t="n">
        <v>44959</v>
      </c>
      <c r="C654" s="1" t="n">
        <v>45786</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5430-2023</t>
        </is>
      </c>
      <c r="B655" s="1" t="n">
        <v>44959</v>
      </c>
      <c r="C655" s="1" t="n">
        <v>45786</v>
      </c>
      <c r="D655" t="inlineStr">
        <is>
          <t>UPPSALA LÄN</t>
        </is>
      </c>
      <c r="E655" t="inlineStr">
        <is>
          <t>ÖSTHAMMAR</t>
        </is>
      </c>
      <c r="F655" t="inlineStr">
        <is>
          <t>Bergvik skog öst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5643-2023</t>
        </is>
      </c>
      <c r="B656" s="1" t="n">
        <v>44960</v>
      </c>
      <c r="C656" s="1" t="n">
        <v>45786</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6629-2023</t>
        </is>
      </c>
      <c r="B657" s="1" t="n">
        <v>44960</v>
      </c>
      <c r="C657" s="1" t="n">
        <v>45786</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6635-2023</t>
        </is>
      </c>
      <c r="B658" s="1" t="n">
        <v>44960</v>
      </c>
      <c r="C658" s="1" t="n">
        <v>45786</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5832-2023</t>
        </is>
      </c>
      <c r="B659" s="1" t="n">
        <v>44963</v>
      </c>
      <c r="C659" s="1" t="n">
        <v>45786</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5836-2023</t>
        </is>
      </c>
      <c r="B660" s="1" t="n">
        <v>44963</v>
      </c>
      <c r="C660" s="1" t="n">
        <v>45786</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5831-2023</t>
        </is>
      </c>
      <c r="B661" s="1" t="n">
        <v>44963</v>
      </c>
      <c r="C661" s="1" t="n">
        <v>45786</v>
      </c>
      <c r="D661" t="inlineStr">
        <is>
          <t>UPPSALA LÄN</t>
        </is>
      </c>
      <c r="E661" t="inlineStr">
        <is>
          <t>ÖSTHAMMAR</t>
        </is>
      </c>
      <c r="G661" t="n">
        <v>8.1</v>
      </c>
      <c r="H661" t="n">
        <v>0</v>
      </c>
      <c r="I661" t="n">
        <v>0</v>
      </c>
      <c r="J661" t="n">
        <v>0</v>
      </c>
      <c r="K661" t="n">
        <v>0</v>
      </c>
      <c r="L661" t="n">
        <v>0</v>
      </c>
      <c r="M661" t="n">
        <v>0</v>
      </c>
      <c r="N661" t="n">
        <v>0</v>
      </c>
      <c r="O661" t="n">
        <v>0</v>
      </c>
      <c r="P661" t="n">
        <v>0</v>
      </c>
      <c r="Q661" t="n">
        <v>0</v>
      </c>
      <c r="R661" s="2" t="inlineStr"/>
    </row>
    <row r="662" ht="15" customHeight="1">
      <c r="A662" t="inlineStr">
        <is>
          <t>A 5857-2023</t>
        </is>
      </c>
      <c r="B662" s="1" t="n">
        <v>44963</v>
      </c>
      <c r="C662" s="1" t="n">
        <v>45786</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5884-2023</t>
        </is>
      </c>
      <c r="B663" s="1" t="n">
        <v>44963</v>
      </c>
      <c r="C663" s="1" t="n">
        <v>45786</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5877-2023</t>
        </is>
      </c>
      <c r="B664" s="1" t="n">
        <v>44963</v>
      </c>
      <c r="C664" s="1" t="n">
        <v>45786</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7195-2023</t>
        </is>
      </c>
      <c r="B665" s="1" t="n">
        <v>44970</v>
      </c>
      <c r="C665" s="1" t="n">
        <v>45786</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7206-2023</t>
        </is>
      </c>
      <c r="B666" s="1" t="n">
        <v>44970</v>
      </c>
      <c r="C666" s="1" t="n">
        <v>45786</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7118-2023</t>
        </is>
      </c>
      <c r="B667" s="1" t="n">
        <v>44970</v>
      </c>
      <c r="C667" s="1" t="n">
        <v>45786</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7546-2023</t>
        </is>
      </c>
      <c r="B668" s="1" t="n">
        <v>44972</v>
      </c>
      <c r="C668" s="1" t="n">
        <v>45786</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7543-2023</t>
        </is>
      </c>
      <c r="B669" s="1" t="n">
        <v>44972</v>
      </c>
      <c r="C669" s="1" t="n">
        <v>45786</v>
      </c>
      <c r="D669" t="inlineStr">
        <is>
          <t>UPPSALA LÄN</t>
        </is>
      </c>
      <c r="E669" t="inlineStr">
        <is>
          <t>ÖSTHAMMAR</t>
        </is>
      </c>
      <c r="F669" t="inlineStr">
        <is>
          <t>Bergvik skog öst AB</t>
        </is>
      </c>
      <c r="G669" t="n">
        <v>13.3</v>
      </c>
      <c r="H669" t="n">
        <v>0</v>
      </c>
      <c r="I669" t="n">
        <v>0</v>
      </c>
      <c r="J669" t="n">
        <v>0</v>
      </c>
      <c r="K669" t="n">
        <v>0</v>
      </c>
      <c r="L669" t="n">
        <v>0</v>
      </c>
      <c r="M669" t="n">
        <v>0</v>
      </c>
      <c r="N669" t="n">
        <v>0</v>
      </c>
      <c r="O669" t="n">
        <v>0</v>
      </c>
      <c r="P669" t="n">
        <v>0</v>
      </c>
      <c r="Q669" t="n">
        <v>0</v>
      </c>
      <c r="R669" s="2" t="inlineStr"/>
    </row>
    <row r="670" ht="15" customHeight="1">
      <c r="A670" t="inlineStr">
        <is>
          <t>A 7560-2023</t>
        </is>
      </c>
      <c r="B670" s="1" t="n">
        <v>44972</v>
      </c>
      <c r="C670" s="1" t="n">
        <v>45786</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7876-2023</t>
        </is>
      </c>
      <c r="B671" s="1" t="n">
        <v>44973</v>
      </c>
      <c r="C671" s="1" t="n">
        <v>45786</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7944-2023</t>
        </is>
      </c>
      <c r="B672" s="1" t="n">
        <v>44973</v>
      </c>
      <c r="C672" s="1" t="n">
        <v>45786</v>
      </c>
      <c r="D672" t="inlineStr">
        <is>
          <t>UPPSALA LÄN</t>
        </is>
      </c>
      <c r="E672" t="inlineStr">
        <is>
          <t>ÖSTHAMMAR</t>
        </is>
      </c>
      <c r="G672" t="n">
        <v>4.6</v>
      </c>
      <c r="H672" t="n">
        <v>0</v>
      </c>
      <c r="I672" t="n">
        <v>0</v>
      </c>
      <c r="J672" t="n">
        <v>0</v>
      </c>
      <c r="K672" t="n">
        <v>0</v>
      </c>
      <c r="L672" t="n">
        <v>0</v>
      </c>
      <c r="M672" t="n">
        <v>0</v>
      </c>
      <c r="N672" t="n">
        <v>0</v>
      </c>
      <c r="O672" t="n">
        <v>0</v>
      </c>
      <c r="P672" t="n">
        <v>0</v>
      </c>
      <c r="Q672" t="n">
        <v>0</v>
      </c>
      <c r="R672" s="2" t="inlineStr"/>
    </row>
    <row r="673" ht="15" customHeight="1">
      <c r="A673" t="inlineStr">
        <is>
          <t>A 7975-2023</t>
        </is>
      </c>
      <c r="B673" s="1" t="n">
        <v>44973</v>
      </c>
      <c r="C673" s="1" t="n">
        <v>45786</v>
      </c>
      <c r="D673" t="inlineStr">
        <is>
          <t>UPPSALA LÄN</t>
        </is>
      </c>
      <c r="E673" t="inlineStr">
        <is>
          <t>ÖSTHAMMAR</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8006-2023</t>
        </is>
      </c>
      <c r="B674" s="1" t="n">
        <v>44973</v>
      </c>
      <c r="C674" s="1" t="n">
        <v>45786</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8616-2023</t>
        </is>
      </c>
      <c r="B675" s="1" t="n">
        <v>44977</v>
      </c>
      <c r="C675" s="1" t="n">
        <v>45786</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8826-2023</t>
        </is>
      </c>
      <c r="B676" s="1" t="n">
        <v>44978</v>
      </c>
      <c r="C676" s="1" t="n">
        <v>45786</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8830-2023</t>
        </is>
      </c>
      <c r="B677" s="1" t="n">
        <v>44978</v>
      </c>
      <c r="C677" s="1" t="n">
        <v>45786</v>
      </c>
      <c r="D677" t="inlineStr">
        <is>
          <t>UPPSALA LÄN</t>
        </is>
      </c>
      <c r="E677" t="inlineStr">
        <is>
          <t>ÖSTHAMMAR</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45786</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9543-2023</t>
        </is>
      </c>
      <c r="B679" s="1" t="n">
        <v>44981</v>
      </c>
      <c r="C679" s="1" t="n">
        <v>45786</v>
      </c>
      <c r="D679" t="inlineStr">
        <is>
          <t>UPPSALA LÄN</t>
        </is>
      </c>
      <c r="E679" t="inlineStr">
        <is>
          <t>ÖSTHAMMAR</t>
        </is>
      </c>
      <c r="F679" t="inlineStr">
        <is>
          <t>Bergvik skog öst AB</t>
        </is>
      </c>
      <c r="G679" t="n">
        <v>5.9</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45786</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10449-2023</t>
        </is>
      </c>
      <c r="B681" s="1" t="n">
        <v>44987</v>
      </c>
      <c r="C681" s="1" t="n">
        <v>45786</v>
      </c>
      <c r="D681" t="inlineStr">
        <is>
          <t>UPPSALA LÄN</t>
        </is>
      </c>
      <c r="E681" t="inlineStr">
        <is>
          <t>ÖSTHAMMAR</t>
        </is>
      </c>
      <c r="G681" t="n">
        <v>3.1</v>
      </c>
      <c r="H681" t="n">
        <v>0</v>
      </c>
      <c r="I681" t="n">
        <v>0</v>
      </c>
      <c r="J681" t="n">
        <v>0</v>
      </c>
      <c r="K681" t="n">
        <v>0</v>
      </c>
      <c r="L681" t="n">
        <v>0</v>
      </c>
      <c r="M681" t="n">
        <v>0</v>
      </c>
      <c r="N681" t="n">
        <v>0</v>
      </c>
      <c r="O681" t="n">
        <v>0</v>
      </c>
      <c r="P681" t="n">
        <v>0</v>
      </c>
      <c r="Q681" t="n">
        <v>0</v>
      </c>
      <c r="R681" s="2" t="inlineStr"/>
    </row>
    <row r="682" ht="15" customHeight="1">
      <c r="A682" t="inlineStr">
        <is>
          <t>A 11017-2023</t>
        </is>
      </c>
      <c r="B682" s="1" t="n">
        <v>44991</v>
      </c>
      <c r="C682" s="1" t="n">
        <v>45786</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45786</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11008-2023</t>
        </is>
      </c>
      <c r="B684" s="1" t="n">
        <v>44991</v>
      </c>
      <c r="C684" s="1" t="n">
        <v>45786</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11015-2023</t>
        </is>
      </c>
      <c r="B685" s="1" t="n">
        <v>44991</v>
      </c>
      <c r="C685" s="1" t="n">
        <v>45786</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11036-2023</t>
        </is>
      </c>
      <c r="B686" s="1" t="n">
        <v>44991</v>
      </c>
      <c r="C686" s="1" t="n">
        <v>45786</v>
      </c>
      <c r="D686" t="inlineStr">
        <is>
          <t>UPPSALA LÄN</t>
        </is>
      </c>
      <c r="E686" t="inlineStr">
        <is>
          <t>ÖSTHAMMAR</t>
        </is>
      </c>
      <c r="F686" t="inlineStr">
        <is>
          <t>Bergvik skog öst AB</t>
        </is>
      </c>
      <c r="G686" t="n">
        <v>3</v>
      </c>
      <c r="H686" t="n">
        <v>0</v>
      </c>
      <c r="I686" t="n">
        <v>0</v>
      </c>
      <c r="J686" t="n">
        <v>0</v>
      </c>
      <c r="K686" t="n">
        <v>0</v>
      </c>
      <c r="L686" t="n">
        <v>0</v>
      </c>
      <c r="M686" t="n">
        <v>0</v>
      </c>
      <c r="N686" t="n">
        <v>0</v>
      </c>
      <c r="O686" t="n">
        <v>0</v>
      </c>
      <c r="P686" t="n">
        <v>0</v>
      </c>
      <c r="Q686" t="n">
        <v>0</v>
      </c>
      <c r="R686" s="2" t="inlineStr"/>
    </row>
    <row r="687" ht="15" customHeight="1">
      <c r="A687" t="inlineStr">
        <is>
          <t>A 11009-2023</t>
        </is>
      </c>
      <c r="B687" s="1" t="n">
        <v>44991</v>
      </c>
      <c r="C687" s="1" t="n">
        <v>45786</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11033-2023</t>
        </is>
      </c>
      <c r="B688" s="1" t="n">
        <v>44991</v>
      </c>
      <c r="C688" s="1" t="n">
        <v>45786</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11282-2023</t>
        </is>
      </c>
      <c r="B689" s="1" t="n">
        <v>44992</v>
      </c>
      <c r="C689" s="1" t="n">
        <v>45786</v>
      </c>
      <c r="D689" t="inlineStr">
        <is>
          <t>UPPSALA LÄN</t>
        </is>
      </c>
      <c r="E689" t="inlineStr">
        <is>
          <t>ÖSTHAMMAR</t>
        </is>
      </c>
      <c r="F689" t="inlineStr">
        <is>
          <t>Bergvik skog öst AB</t>
        </is>
      </c>
      <c r="G689" t="n">
        <v>12.3</v>
      </c>
      <c r="H689" t="n">
        <v>0</v>
      </c>
      <c r="I689" t="n">
        <v>0</v>
      </c>
      <c r="J689" t="n">
        <v>0</v>
      </c>
      <c r="K689" t="n">
        <v>0</v>
      </c>
      <c r="L689" t="n">
        <v>0</v>
      </c>
      <c r="M689" t="n">
        <v>0</v>
      </c>
      <c r="N689" t="n">
        <v>0</v>
      </c>
      <c r="O689" t="n">
        <v>0</v>
      </c>
      <c r="P689" t="n">
        <v>0</v>
      </c>
      <c r="Q689" t="n">
        <v>0</v>
      </c>
      <c r="R689" s="2" t="inlineStr"/>
    </row>
    <row r="690" ht="15" customHeight="1">
      <c r="A690" t="inlineStr">
        <is>
          <t>A 11281-2023</t>
        </is>
      </c>
      <c r="B690" s="1" t="n">
        <v>44992</v>
      </c>
      <c r="C690" s="1" t="n">
        <v>45786</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11469-2023</t>
        </is>
      </c>
      <c r="B691" s="1" t="n">
        <v>44993</v>
      </c>
      <c r="C691" s="1" t="n">
        <v>45786</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12190-2023</t>
        </is>
      </c>
      <c r="B692" s="1" t="n">
        <v>44995</v>
      </c>
      <c r="C692" s="1" t="n">
        <v>45786</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12186-2023</t>
        </is>
      </c>
      <c r="B693" s="1" t="n">
        <v>44995</v>
      </c>
      <c r="C693" s="1" t="n">
        <v>45786</v>
      </c>
      <c r="D693" t="inlineStr">
        <is>
          <t>UPPSALA LÄN</t>
        </is>
      </c>
      <c r="E693" t="inlineStr">
        <is>
          <t>ÖSTHAMMAR</t>
        </is>
      </c>
      <c r="G693" t="n">
        <v>5.7</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v>
      </c>
      <c r="C694" s="1" t="n">
        <v>45786</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45786</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12497-2023</t>
        </is>
      </c>
      <c r="B696" s="1" t="n">
        <v>44999</v>
      </c>
      <c r="C696" s="1" t="n">
        <v>45786</v>
      </c>
      <c r="D696" t="inlineStr">
        <is>
          <t>UPPSALA LÄN</t>
        </is>
      </c>
      <c r="E696" t="inlineStr">
        <is>
          <t>ÖSTHAMMAR</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13336-2023</t>
        </is>
      </c>
      <c r="B697" s="1" t="n">
        <v>45005</v>
      </c>
      <c r="C697" s="1" t="n">
        <v>45786</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13352-2023</t>
        </is>
      </c>
      <c r="B698" s="1" t="n">
        <v>45005</v>
      </c>
      <c r="C698" s="1" t="n">
        <v>45786</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13643-2023</t>
        </is>
      </c>
      <c r="B699" s="1" t="n">
        <v>45006</v>
      </c>
      <c r="C699" s="1" t="n">
        <v>45786</v>
      </c>
      <c r="D699" t="inlineStr">
        <is>
          <t>UPPSALA LÄN</t>
        </is>
      </c>
      <c r="E699" t="inlineStr">
        <is>
          <t>ÖSTHAMMAR</t>
        </is>
      </c>
      <c r="G699" t="n">
        <v>2.8</v>
      </c>
      <c r="H699" t="n">
        <v>0</v>
      </c>
      <c r="I699" t="n">
        <v>0</v>
      </c>
      <c r="J699" t="n">
        <v>0</v>
      </c>
      <c r="K699" t="n">
        <v>0</v>
      </c>
      <c r="L699" t="n">
        <v>0</v>
      </c>
      <c r="M699" t="n">
        <v>0</v>
      </c>
      <c r="N699" t="n">
        <v>0</v>
      </c>
      <c r="O699" t="n">
        <v>0</v>
      </c>
      <c r="P699" t="n">
        <v>0</v>
      </c>
      <c r="Q699" t="n">
        <v>0</v>
      </c>
      <c r="R699" s="2" t="inlineStr"/>
    </row>
    <row r="700" ht="15" customHeight="1">
      <c r="A700" t="inlineStr">
        <is>
          <t>A 13580-2023</t>
        </is>
      </c>
      <c r="B700" s="1" t="n">
        <v>45006</v>
      </c>
      <c r="C700" s="1" t="n">
        <v>45786</v>
      </c>
      <c r="D700" t="inlineStr">
        <is>
          <t>UPPSALA LÄN</t>
        </is>
      </c>
      <c r="E700" t="inlineStr">
        <is>
          <t>ÖSTHAMMAR</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13584-2023</t>
        </is>
      </c>
      <c r="B701" s="1" t="n">
        <v>45006</v>
      </c>
      <c r="C701" s="1" t="n">
        <v>45786</v>
      </c>
      <c r="D701" t="inlineStr">
        <is>
          <t>UPPSALA LÄN</t>
        </is>
      </c>
      <c r="E701" t="inlineStr">
        <is>
          <t>ÖSTHAMMAR</t>
        </is>
      </c>
      <c r="F701" t="inlineStr">
        <is>
          <t>Övriga Aktiebolag</t>
        </is>
      </c>
      <c r="G701" t="n">
        <v>2.7</v>
      </c>
      <c r="H701" t="n">
        <v>0</v>
      </c>
      <c r="I701" t="n">
        <v>0</v>
      </c>
      <c r="J701" t="n">
        <v>0</v>
      </c>
      <c r="K701" t="n">
        <v>0</v>
      </c>
      <c r="L701" t="n">
        <v>0</v>
      </c>
      <c r="M701" t="n">
        <v>0</v>
      </c>
      <c r="N701" t="n">
        <v>0</v>
      </c>
      <c r="O701" t="n">
        <v>0</v>
      </c>
      <c r="P701" t="n">
        <v>0</v>
      </c>
      <c r="Q701" t="n">
        <v>0</v>
      </c>
      <c r="R701" s="2" t="inlineStr"/>
    </row>
    <row r="702" ht="15" customHeight="1">
      <c r="A702" t="inlineStr">
        <is>
          <t>A 13738-2023</t>
        </is>
      </c>
      <c r="B702" s="1" t="n">
        <v>45007</v>
      </c>
      <c r="C702" s="1" t="n">
        <v>45786</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13767-2023</t>
        </is>
      </c>
      <c r="B703" s="1" t="n">
        <v>45007</v>
      </c>
      <c r="C703" s="1" t="n">
        <v>45786</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13755-2023</t>
        </is>
      </c>
      <c r="B704" s="1" t="n">
        <v>45007</v>
      </c>
      <c r="C704" s="1" t="n">
        <v>45786</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13771-2023</t>
        </is>
      </c>
      <c r="B705" s="1" t="n">
        <v>45007</v>
      </c>
      <c r="C705" s="1" t="n">
        <v>45786</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13736-2023</t>
        </is>
      </c>
      <c r="B706" s="1" t="n">
        <v>45007</v>
      </c>
      <c r="C706" s="1" t="n">
        <v>45786</v>
      </c>
      <c r="D706" t="inlineStr">
        <is>
          <t>UPPSALA LÄN</t>
        </is>
      </c>
      <c r="E706" t="inlineStr">
        <is>
          <t>ÖSTHAMMAR</t>
        </is>
      </c>
      <c r="G706" t="n">
        <v>3.7</v>
      </c>
      <c r="H706" t="n">
        <v>0</v>
      </c>
      <c r="I706" t="n">
        <v>0</v>
      </c>
      <c r="J706" t="n">
        <v>0</v>
      </c>
      <c r="K706" t="n">
        <v>0</v>
      </c>
      <c r="L706" t="n">
        <v>0</v>
      </c>
      <c r="M706" t="n">
        <v>0</v>
      </c>
      <c r="N706" t="n">
        <v>0</v>
      </c>
      <c r="O706" t="n">
        <v>0</v>
      </c>
      <c r="P706" t="n">
        <v>0</v>
      </c>
      <c r="Q706" t="n">
        <v>0</v>
      </c>
      <c r="R706" s="2" t="inlineStr"/>
    </row>
    <row r="707" ht="15" customHeight="1">
      <c r="A707" t="inlineStr">
        <is>
          <t>A 14505-2023</t>
        </is>
      </c>
      <c r="B707" s="1" t="n">
        <v>45012</v>
      </c>
      <c r="C707" s="1" t="n">
        <v>45786</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14510-2023</t>
        </is>
      </c>
      <c r="B708" s="1" t="n">
        <v>45012</v>
      </c>
      <c r="C708" s="1" t="n">
        <v>45786</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v>
      </c>
      <c r="C709" s="1" t="n">
        <v>45786</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14822-2023</t>
        </is>
      </c>
      <c r="B710" s="1" t="n">
        <v>45014</v>
      </c>
      <c r="C710" s="1" t="n">
        <v>45786</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14835-2023</t>
        </is>
      </c>
      <c r="B711" s="1" t="n">
        <v>45014</v>
      </c>
      <c r="C711" s="1" t="n">
        <v>45786</v>
      </c>
      <c r="D711" t="inlineStr">
        <is>
          <t>UPPSALA LÄN</t>
        </is>
      </c>
      <c r="E711" t="inlineStr">
        <is>
          <t>ÖSTHAMMAR</t>
        </is>
      </c>
      <c r="G711" t="n">
        <v>9.5</v>
      </c>
      <c r="H711" t="n">
        <v>0</v>
      </c>
      <c r="I711" t="n">
        <v>0</v>
      </c>
      <c r="J711" t="n">
        <v>0</v>
      </c>
      <c r="K711" t="n">
        <v>0</v>
      </c>
      <c r="L711" t="n">
        <v>0</v>
      </c>
      <c r="M711" t="n">
        <v>0</v>
      </c>
      <c r="N711" t="n">
        <v>0</v>
      </c>
      <c r="O711" t="n">
        <v>0</v>
      </c>
      <c r="P711" t="n">
        <v>0</v>
      </c>
      <c r="Q711" t="n">
        <v>0</v>
      </c>
      <c r="R711" s="2" t="inlineStr"/>
    </row>
    <row r="712" ht="15" customHeight="1">
      <c r="A712" t="inlineStr">
        <is>
          <t>A 14889-2023</t>
        </is>
      </c>
      <c r="B712" s="1" t="n">
        <v>45015</v>
      </c>
      <c r="C712" s="1" t="n">
        <v>45786</v>
      </c>
      <c r="D712" t="inlineStr">
        <is>
          <t>UPPSALA LÄN</t>
        </is>
      </c>
      <c r="E712" t="inlineStr">
        <is>
          <t>ÖSTHAMMAR</t>
        </is>
      </c>
      <c r="F712" t="inlineStr">
        <is>
          <t>Bergvik skog öst AB</t>
        </is>
      </c>
      <c r="G712" t="n">
        <v>7.6</v>
      </c>
      <c r="H712" t="n">
        <v>0</v>
      </c>
      <c r="I712" t="n">
        <v>0</v>
      </c>
      <c r="J712" t="n">
        <v>0</v>
      </c>
      <c r="K712" t="n">
        <v>0</v>
      </c>
      <c r="L712" t="n">
        <v>0</v>
      </c>
      <c r="M712" t="n">
        <v>0</v>
      </c>
      <c r="N712" t="n">
        <v>0</v>
      </c>
      <c r="O712" t="n">
        <v>0</v>
      </c>
      <c r="P712" t="n">
        <v>0</v>
      </c>
      <c r="Q712" t="n">
        <v>0</v>
      </c>
      <c r="R712" s="2" t="inlineStr"/>
    </row>
    <row r="713" ht="15" customHeight="1">
      <c r="A713" t="inlineStr">
        <is>
          <t>A 14888-2023</t>
        </is>
      </c>
      <c r="B713" s="1" t="n">
        <v>45015</v>
      </c>
      <c r="C713" s="1" t="n">
        <v>45786</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14976-2023</t>
        </is>
      </c>
      <c r="B714" s="1" t="n">
        <v>45015</v>
      </c>
      <c r="C714" s="1" t="n">
        <v>45786</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15554-2023</t>
        </is>
      </c>
      <c r="B715" s="1" t="n">
        <v>45019</v>
      </c>
      <c r="C715" s="1" t="n">
        <v>45786</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16112-2023</t>
        </is>
      </c>
      <c r="B716" s="1" t="n">
        <v>45027</v>
      </c>
      <c r="C716" s="1" t="n">
        <v>45786</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16345-2023</t>
        </is>
      </c>
      <c r="B717" s="1" t="n">
        <v>45028</v>
      </c>
      <c r="C717" s="1" t="n">
        <v>45786</v>
      </c>
      <c r="D717" t="inlineStr">
        <is>
          <t>UPPSALA LÄN</t>
        </is>
      </c>
      <c r="E717" t="inlineStr">
        <is>
          <t>ÖSTHAMMAR</t>
        </is>
      </c>
      <c r="F717" t="inlineStr">
        <is>
          <t>Övriga Aktiebolag</t>
        </is>
      </c>
      <c r="G717" t="n">
        <v>10.1</v>
      </c>
      <c r="H717" t="n">
        <v>0</v>
      </c>
      <c r="I717" t="n">
        <v>0</v>
      </c>
      <c r="J717" t="n">
        <v>0</v>
      </c>
      <c r="K717" t="n">
        <v>0</v>
      </c>
      <c r="L717" t="n">
        <v>0</v>
      </c>
      <c r="M717" t="n">
        <v>0</v>
      </c>
      <c r="N717" t="n">
        <v>0</v>
      </c>
      <c r="O717" t="n">
        <v>0</v>
      </c>
      <c r="P717" t="n">
        <v>0</v>
      </c>
      <c r="Q717" t="n">
        <v>0</v>
      </c>
      <c r="R717" s="2" t="inlineStr"/>
    </row>
    <row r="718" ht="15" customHeight="1">
      <c r="A718" t="inlineStr">
        <is>
          <t>A 16701-2023</t>
        </is>
      </c>
      <c r="B718" s="1" t="n">
        <v>45030</v>
      </c>
      <c r="C718" s="1" t="n">
        <v>45786</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16954-2023</t>
        </is>
      </c>
      <c r="B719" s="1" t="n">
        <v>45033</v>
      </c>
      <c r="C719" s="1" t="n">
        <v>45786</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16948-2023</t>
        </is>
      </c>
      <c r="B720" s="1" t="n">
        <v>45033</v>
      </c>
      <c r="C720" s="1" t="n">
        <v>45786</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16966-2023</t>
        </is>
      </c>
      <c r="B721" s="1" t="n">
        <v>45033</v>
      </c>
      <c r="C721" s="1" t="n">
        <v>45786</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17028-2023</t>
        </is>
      </c>
      <c r="B722" s="1" t="n">
        <v>45034</v>
      </c>
      <c r="C722" s="1" t="n">
        <v>45786</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17631-2023</t>
        </is>
      </c>
      <c r="B723" s="1" t="n">
        <v>45036</v>
      </c>
      <c r="C723" s="1" t="n">
        <v>45786</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17850-2023</t>
        </is>
      </c>
      <c r="B724" s="1" t="n">
        <v>45037</v>
      </c>
      <c r="C724" s="1" t="n">
        <v>45786</v>
      </c>
      <c r="D724" t="inlineStr">
        <is>
          <t>UPPSALA LÄN</t>
        </is>
      </c>
      <c r="E724" t="inlineStr">
        <is>
          <t>ÖSTHAMMAR</t>
        </is>
      </c>
      <c r="G724" t="n">
        <v>3.2</v>
      </c>
      <c r="H724" t="n">
        <v>0</v>
      </c>
      <c r="I724" t="n">
        <v>0</v>
      </c>
      <c r="J724" t="n">
        <v>0</v>
      </c>
      <c r="K724" t="n">
        <v>0</v>
      </c>
      <c r="L724" t="n">
        <v>0</v>
      </c>
      <c r="M724" t="n">
        <v>0</v>
      </c>
      <c r="N724" t="n">
        <v>0</v>
      </c>
      <c r="O724" t="n">
        <v>0</v>
      </c>
      <c r="P724" t="n">
        <v>0</v>
      </c>
      <c r="Q724" t="n">
        <v>0</v>
      </c>
      <c r="R724" s="2" t="inlineStr"/>
    </row>
    <row r="725" ht="15" customHeight="1">
      <c r="A725" t="inlineStr">
        <is>
          <t>A 17851-2023</t>
        </is>
      </c>
      <c r="B725" s="1" t="n">
        <v>45037</v>
      </c>
      <c r="C725" s="1" t="n">
        <v>45786</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17854-2023</t>
        </is>
      </c>
      <c r="B726" s="1" t="n">
        <v>45037</v>
      </c>
      <c r="C726" s="1" t="n">
        <v>45786</v>
      </c>
      <c r="D726" t="inlineStr">
        <is>
          <t>UPPSALA LÄN</t>
        </is>
      </c>
      <c r="E726" t="inlineStr">
        <is>
          <t>ÖSTHAMMAR</t>
        </is>
      </c>
      <c r="G726" t="n">
        <v>5.6</v>
      </c>
      <c r="H726" t="n">
        <v>0</v>
      </c>
      <c r="I726" t="n">
        <v>0</v>
      </c>
      <c r="J726" t="n">
        <v>0</v>
      </c>
      <c r="K726" t="n">
        <v>0</v>
      </c>
      <c r="L726" t="n">
        <v>0</v>
      </c>
      <c r="M726" t="n">
        <v>0</v>
      </c>
      <c r="N726" t="n">
        <v>0</v>
      </c>
      <c r="O726" t="n">
        <v>0</v>
      </c>
      <c r="P726" t="n">
        <v>0</v>
      </c>
      <c r="Q726" t="n">
        <v>0</v>
      </c>
      <c r="R726" s="2" t="inlineStr"/>
    </row>
    <row r="727" ht="15" customHeight="1">
      <c r="A727" t="inlineStr">
        <is>
          <t>A 18091-2023</t>
        </is>
      </c>
      <c r="B727" s="1" t="n">
        <v>45040</v>
      </c>
      <c r="C727" s="1" t="n">
        <v>45786</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17970-2023</t>
        </is>
      </c>
      <c r="B728" s="1" t="n">
        <v>45040</v>
      </c>
      <c r="C728" s="1" t="n">
        <v>45786</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18074-2023</t>
        </is>
      </c>
      <c r="B729" s="1" t="n">
        <v>45040</v>
      </c>
      <c r="C729" s="1" t="n">
        <v>45786</v>
      </c>
      <c r="D729" t="inlineStr">
        <is>
          <t>UPPSALA LÄN</t>
        </is>
      </c>
      <c r="E729" t="inlineStr">
        <is>
          <t>ÖSTHAMMAR</t>
        </is>
      </c>
      <c r="G729" t="n">
        <v>3.7</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45786</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17969-2023</t>
        </is>
      </c>
      <c r="B731" s="1" t="n">
        <v>45040</v>
      </c>
      <c r="C731" s="1" t="n">
        <v>45786</v>
      </c>
      <c r="D731" t="inlineStr">
        <is>
          <t>UPPSALA LÄN</t>
        </is>
      </c>
      <c r="E731" t="inlineStr">
        <is>
          <t>ÖSTHAMMAR</t>
        </is>
      </c>
      <c r="G731" t="n">
        <v>5.4</v>
      </c>
      <c r="H731" t="n">
        <v>0</v>
      </c>
      <c r="I731" t="n">
        <v>0</v>
      </c>
      <c r="J731" t="n">
        <v>0</v>
      </c>
      <c r="K731" t="n">
        <v>0</v>
      </c>
      <c r="L731" t="n">
        <v>0</v>
      </c>
      <c r="M731" t="n">
        <v>0</v>
      </c>
      <c r="N731" t="n">
        <v>0</v>
      </c>
      <c r="O731" t="n">
        <v>0</v>
      </c>
      <c r="P731" t="n">
        <v>0</v>
      </c>
      <c r="Q731" t="n">
        <v>0</v>
      </c>
      <c r="R731" s="2" t="inlineStr"/>
    </row>
    <row r="732" ht="15" customHeight="1">
      <c r="A732" t="inlineStr">
        <is>
          <t>A 18219-2023</t>
        </is>
      </c>
      <c r="B732" s="1" t="n">
        <v>45041</v>
      </c>
      <c r="C732" s="1" t="n">
        <v>45786</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18536-2023</t>
        </is>
      </c>
      <c r="B733" s="1" t="n">
        <v>45042</v>
      </c>
      <c r="C733" s="1" t="n">
        <v>45786</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18386-2023</t>
        </is>
      </c>
      <c r="B734" s="1" t="n">
        <v>45042</v>
      </c>
      <c r="C734" s="1" t="n">
        <v>45786</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18535-2023</t>
        </is>
      </c>
      <c r="B735" s="1" t="n">
        <v>45042</v>
      </c>
      <c r="C735" s="1" t="n">
        <v>45786</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18534-2023</t>
        </is>
      </c>
      <c r="B736" s="1" t="n">
        <v>45042</v>
      </c>
      <c r="C736" s="1" t="n">
        <v>45786</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18538-2023</t>
        </is>
      </c>
      <c r="B737" s="1" t="n">
        <v>45042</v>
      </c>
      <c r="C737" s="1" t="n">
        <v>45786</v>
      </c>
      <c r="D737" t="inlineStr">
        <is>
          <t>UPPSALA LÄN</t>
        </is>
      </c>
      <c r="E737" t="inlineStr">
        <is>
          <t>ÖSTHAMMAR</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18838-2023</t>
        </is>
      </c>
      <c r="B738" s="1" t="n">
        <v>45044</v>
      </c>
      <c r="C738" s="1" t="n">
        <v>45786</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18839-2023</t>
        </is>
      </c>
      <c r="B739" s="1" t="n">
        <v>45044</v>
      </c>
      <c r="C739" s="1" t="n">
        <v>45786</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18841-2023</t>
        </is>
      </c>
      <c r="B740" s="1" t="n">
        <v>45044</v>
      </c>
      <c r="C740" s="1" t="n">
        <v>45786</v>
      </c>
      <c r="D740" t="inlineStr">
        <is>
          <t>UPPSALA LÄN</t>
        </is>
      </c>
      <c r="E740" t="inlineStr">
        <is>
          <t>ÖSTHAMMAR</t>
        </is>
      </c>
      <c r="G740" t="n">
        <v>3.9</v>
      </c>
      <c r="H740" t="n">
        <v>0</v>
      </c>
      <c r="I740" t="n">
        <v>0</v>
      </c>
      <c r="J740" t="n">
        <v>0</v>
      </c>
      <c r="K740" t="n">
        <v>0</v>
      </c>
      <c r="L740" t="n">
        <v>0</v>
      </c>
      <c r="M740" t="n">
        <v>0</v>
      </c>
      <c r="N740" t="n">
        <v>0</v>
      </c>
      <c r="O740" t="n">
        <v>0</v>
      </c>
      <c r="P740" t="n">
        <v>0</v>
      </c>
      <c r="Q740" t="n">
        <v>0</v>
      </c>
      <c r="R740" s="2" t="inlineStr"/>
    </row>
    <row r="741" ht="15" customHeight="1">
      <c r="A741" t="inlineStr">
        <is>
          <t>A 18945-2023</t>
        </is>
      </c>
      <c r="B741" s="1" t="n">
        <v>45044</v>
      </c>
      <c r="C741" s="1" t="n">
        <v>45786</v>
      </c>
      <c r="D741" t="inlineStr">
        <is>
          <t>UPPSALA LÄN</t>
        </is>
      </c>
      <c r="E741" t="inlineStr">
        <is>
          <t>ÖSTHAMMAR</t>
        </is>
      </c>
      <c r="G741" t="n">
        <v>3.7</v>
      </c>
      <c r="H741" t="n">
        <v>0</v>
      </c>
      <c r="I741" t="n">
        <v>0</v>
      </c>
      <c r="J741" t="n">
        <v>0</v>
      </c>
      <c r="K741" t="n">
        <v>0</v>
      </c>
      <c r="L741" t="n">
        <v>0</v>
      </c>
      <c r="M741" t="n">
        <v>0</v>
      </c>
      <c r="N741" t="n">
        <v>0</v>
      </c>
      <c r="O741" t="n">
        <v>0</v>
      </c>
      <c r="P741" t="n">
        <v>0</v>
      </c>
      <c r="Q741" t="n">
        <v>0</v>
      </c>
      <c r="R741" s="2" t="inlineStr"/>
    </row>
    <row r="742" ht="15" customHeight="1">
      <c r="A742" t="inlineStr">
        <is>
          <t>A 18946-2023</t>
        </is>
      </c>
      <c r="B742" s="1" t="n">
        <v>45044</v>
      </c>
      <c r="C742" s="1" t="n">
        <v>45786</v>
      </c>
      <c r="D742" t="inlineStr">
        <is>
          <t>UPPSALA LÄN</t>
        </is>
      </c>
      <c r="E742" t="inlineStr">
        <is>
          <t>ÖSTHAMMAR</t>
        </is>
      </c>
      <c r="G742" t="n">
        <v>4.9</v>
      </c>
      <c r="H742" t="n">
        <v>0</v>
      </c>
      <c r="I742" t="n">
        <v>0</v>
      </c>
      <c r="J742" t="n">
        <v>0</v>
      </c>
      <c r="K742" t="n">
        <v>0</v>
      </c>
      <c r="L742" t="n">
        <v>0</v>
      </c>
      <c r="M742" t="n">
        <v>0</v>
      </c>
      <c r="N742" t="n">
        <v>0</v>
      </c>
      <c r="O742" t="n">
        <v>0</v>
      </c>
      <c r="P742" t="n">
        <v>0</v>
      </c>
      <c r="Q742" t="n">
        <v>0</v>
      </c>
      <c r="R742" s="2" t="inlineStr"/>
    </row>
    <row r="743" ht="15" customHeight="1">
      <c r="A743" t="inlineStr">
        <is>
          <t>A 19012-2023</t>
        </is>
      </c>
      <c r="B743" s="1" t="n">
        <v>45045</v>
      </c>
      <c r="C743" s="1" t="n">
        <v>45786</v>
      </c>
      <c r="D743" t="inlineStr">
        <is>
          <t>UPPSALA LÄN</t>
        </is>
      </c>
      <c r="E743" t="inlineStr">
        <is>
          <t>ÖSTHAMMAR</t>
        </is>
      </c>
      <c r="F743" t="inlineStr">
        <is>
          <t>Bergvik skog öst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19015-2023</t>
        </is>
      </c>
      <c r="B744" s="1" t="n">
        <v>45045</v>
      </c>
      <c r="C744" s="1" t="n">
        <v>45786</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19010-2023</t>
        </is>
      </c>
      <c r="B745" s="1" t="n">
        <v>45045</v>
      </c>
      <c r="C745" s="1" t="n">
        <v>45786</v>
      </c>
      <c r="D745" t="inlineStr">
        <is>
          <t>UPPSALA LÄN</t>
        </is>
      </c>
      <c r="E745" t="inlineStr">
        <is>
          <t>ÖSTHAMMAR</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19014-2023</t>
        </is>
      </c>
      <c r="B746" s="1" t="n">
        <v>45045</v>
      </c>
      <c r="C746" s="1" t="n">
        <v>45786</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45786</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19041-2023</t>
        </is>
      </c>
      <c r="B748" s="1" t="n">
        <v>45047</v>
      </c>
      <c r="C748" s="1" t="n">
        <v>45786</v>
      </c>
      <c r="D748" t="inlineStr">
        <is>
          <t>UPPSALA LÄN</t>
        </is>
      </c>
      <c r="E748" t="inlineStr">
        <is>
          <t>ÖSTHAMMAR</t>
        </is>
      </c>
      <c r="F748" t="inlineStr">
        <is>
          <t>Bergvik skog öst AB</t>
        </is>
      </c>
      <c r="G748" t="n">
        <v>3.9</v>
      </c>
      <c r="H748" t="n">
        <v>0</v>
      </c>
      <c r="I748" t="n">
        <v>0</v>
      </c>
      <c r="J748" t="n">
        <v>0</v>
      </c>
      <c r="K748" t="n">
        <v>0</v>
      </c>
      <c r="L748" t="n">
        <v>0</v>
      </c>
      <c r="M748" t="n">
        <v>0</v>
      </c>
      <c r="N748" t="n">
        <v>0</v>
      </c>
      <c r="O748" t="n">
        <v>0</v>
      </c>
      <c r="P748" t="n">
        <v>0</v>
      </c>
      <c r="Q748" t="n">
        <v>0</v>
      </c>
      <c r="R748" s="2" t="inlineStr"/>
    </row>
    <row r="749" ht="15" customHeight="1">
      <c r="A749" t="inlineStr">
        <is>
          <t>A 19040-2023</t>
        </is>
      </c>
      <c r="B749" s="1" t="n">
        <v>45047</v>
      </c>
      <c r="C749" s="1" t="n">
        <v>45786</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19102-2023</t>
        </is>
      </c>
      <c r="B750" s="1" t="n">
        <v>45048</v>
      </c>
      <c r="C750" s="1" t="n">
        <v>45786</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19099-2023</t>
        </is>
      </c>
      <c r="B751" s="1" t="n">
        <v>45048</v>
      </c>
      <c r="C751" s="1" t="n">
        <v>45786</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19097-2023</t>
        </is>
      </c>
      <c r="B752" s="1" t="n">
        <v>45048</v>
      </c>
      <c r="C752" s="1" t="n">
        <v>45786</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19215-2023</t>
        </is>
      </c>
      <c r="B753" s="1" t="n">
        <v>45048</v>
      </c>
      <c r="C753" s="1" t="n">
        <v>45786</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19216-2023</t>
        </is>
      </c>
      <c r="B754" s="1" t="n">
        <v>45048</v>
      </c>
      <c r="C754" s="1" t="n">
        <v>45786</v>
      </c>
      <c r="D754" t="inlineStr">
        <is>
          <t>UPPSALA LÄN</t>
        </is>
      </c>
      <c r="E754" t="inlineStr">
        <is>
          <t>ÖSTHAMMAR</t>
        </is>
      </c>
      <c r="G754" t="n">
        <v>11.3</v>
      </c>
      <c r="H754" t="n">
        <v>0</v>
      </c>
      <c r="I754" t="n">
        <v>0</v>
      </c>
      <c r="J754" t="n">
        <v>0</v>
      </c>
      <c r="K754" t="n">
        <v>0</v>
      </c>
      <c r="L754" t="n">
        <v>0</v>
      </c>
      <c r="M754" t="n">
        <v>0</v>
      </c>
      <c r="N754" t="n">
        <v>0</v>
      </c>
      <c r="O754" t="n">
        <v>0</v>
      </c>
      <c r="P754" t="n">
        <v>0</v>
      </c>
      <c r="Q754" t="n">
        <v>0</v>
      </c>
      <c r="R754" s="2" t="inlineStr"/>
    </row>
    <row r="755" ht="15" customHeight="1">
      <c r="A755" t="inlineStr">
        <is>
          <t>A 19784-2023</t>
        </is>
      </c>
      <c r="B755" s="1" t="n">
        <v>45051</v>
      </c>
      <c r="C755" s="1" t="n">
        <v>45786</v>
      </c>
      <c r="D755" t="inlineStr">
        <is>
          <t>UPPSALA LÄN</t>
        </is>
      </c>
      <c r="E755" t="inlineStr">
        <is>
          <t>ÖSTHAMMAR</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19801-2023</t>
        </is>
      </c>
      <c r="B756" s="1" t="n">
        <v>45051</v>
      </c>
      <c r="C756" s="1" t="n">
        <v>45786</v>
      </c>
      <c r="D756" t="inlineStr">
        <is>
          <t>UPPSALA LÄN</t>
        </is>
      </c>
      <c r="E756" t="inlineStr">
        <is>
          <t>ÖSTHAMMAR</t>
        </is>
      </c>
      <c r="G756" t="n">
        <v>1.3</v>
      </c>
      <c r="H756" t="n">
        <v>0</v>
      </c>
      <c r="I756" t="n">
        <v>0</v>
      </c>
      <c r="J756" t="n">
        <v>0</v>
      </c>
      <c r="K756" t="n">
        <v>0</v>
      </c>
      <c r="L756" t="n">
        <v>0</v>
      </c>
      <c r="M756" t="n">
        <v>0</v>
      </c>
      <c r="N756" t="n">
        <v>0</v>
      </c>
      <c r="O756" t="n">
        <v>0</v>
      </c>
      <c r="P756" t="n">
        <v>0</v>
      </c>
      <c r="Q756" t="n">
        <v>0</v>
      </c>
      <c r="R756" s="2" t="inlineStr"/>
    </row>
    <row r="757" ht="15" customHeight="1">
      <c r="A757" t="inlineStr">
        <is>
          <t>A 19968-2023</t>
        </is>
      </c>
      <c r="B757" s="1" t="n">
        <v>45054</v>
      </c>
      <c r="C757" s="1" t="n">
        <v>45786</v>
      </c>
      <c r="D757" t="inlineStr">
        <is>
          <t>UPPSALA LÄN</t>
        </is>
      </c>
      <c r="E757" t="inlineStr">
        <is>
          <t>ÖSTHAMMAR</t>
        </is>
      </c>
      <c r="G757" t="n">
        <v>5.8</v>
      </c>
      <c r="H757" t="n">
        <v>0</v>
      </c>
      <c r="I757" t="n">
        <v>0</v>
      </c>
      <c r="J757" t="n">
        <v>0</v>
      </c>
      <c r="K757" t="n">
        <v>0</v>
      </c>
      <c r="L757" t="n">
        <v>0</v>
      </c>
      <c r="M757" t="n">
        <v>0</v>
      </c>
      <c r="N757" t="n">
        <v>0</v>
      </c>
      <c r="O757" t="n">
        <v>0</v>
      </c>
      <c r="P757" t="n">
        <v>0</v>
      </c>
      <c r="Q757" t="n">
        <v>0</v>
      </c>
      <c r="R757" s="2" t="inlineStr"/>
    </row>
    <row r="758" ht="15" customHeight="1">
      <c r="A758" t="inlineStr">
        <is>
          <t>A 20038-2023</t>
        </is>
      </c>
      <c r="B758" s="1" t="n">
        <v>45054</v>
      </c>
      <c r="C758" s="1" t="n">
        <v>45786</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20046-2023</t>
        </is>
      </c>
      <c r="B759" s="1" t="n">
        <v>45054</v>
      </c>
      <c r="C759" s="1" t="n">
        <v>45786</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20029-2023</t>
        </is>
      </c>
      <c r="B760" s="1" t="n">
        <v>45054</v>
      </c>
      <c r="C760" s="1" t="n">
        <v>45786</v>
      </c>
      <c r="D760" t="inlineStr">
        <is>
          <t>UPPSALA LÄN</t>
        </is>
      </c>
      <c r="E760" t="inlineStr">
        <is>
          <t>ÖSTHAMMAR</t>
        </is>
      </c>
      <c r="G760" t="n">
        <v>4.8</v>
      </c>
      <c r="H760" t="n">
        <v>0</v>
      </c>
      <c r="I760" t="n">
        <v>0</v>
      </c>
      <c r="J760" t="n">
        <v>0</v>
      </c>
      <c r="K760" t="n">
        <v>0</v>
      </c>
      <c r="L760" t="n">
        <v>0</v>
      </c>
      <c r="M760" t="n">
        <v>0</v>
      </c>
      <c r="N760" t="n">
        <v>0</v>
      </c>
      <c r="O760" t="n">
        <v>0</v>
      </c>
      <c r="P760" t="n">
        <v>0</v>
      </c>
      <c r="Q760" t="n">
        <v>0</v>
      </c>
      <c r="R760" s="2" t="inlineStr"/>
    </row>
    <row r="761" ht="15" customHeight="1">
      <c r="A761" t="inlineStr">
        <is>
          <t>A 20366-2023</t>
        </is>
      </c>
      <c r="B761" s="1" t="n">
        <v>45056</v>
      </c>
      <c r="C761" s="1" t="n">
        <v>45786</v>
      </c>
      <c r="D761" t="inlineStr">
        <is>
          <t>UPPSALA LÄN</t>
        </is>
      </c>
      <c r="E761" t="inlineStr">
        <is>
          <t>ÖSTHAMMAR</t>
        </is>
      </c>
      <c r="G761" t="n">
        <v>1.6</v>
      </c>
      <c r="H761" t="n">
        <v>0</v>
      </c>
      <c r="I761" t="n">
        <v>0</v>
      </c>
      <c r="J761" t="n">
        <v>0</v>
      </c>
      <c r="K761" t="n">
        <v>0</v>
      </c>
      <c r="L761" t="n">
        <v>0</v>
      </c>
      <c r="M761" t="n">
        <v>0</v>
      </c>
      <c r="N761" t="n">
        <v>0</v>
      </c>
      <c r="O761" t="n">
        <v>0</v>
      </c>
      <c r="P761" t="n">
        <v>0</v>
      </c>
      <c r="Q761" t="n">
        <v>0</v>
      </c>
      <c r="R761" s="2" t="inlineStr"/>
    </row>
    <row r="762" ht="15" customHeight="1">
      <c r="A762" t="inlineStr">
        <is>
          <t>A 20572-2023</t>
        </is>
      </c>
      <c r="B762" s="1" t="n">
        <v>45057</v>
      </c>
      <c r="C762" s="1" t="n">
        <v>45786</v>
      </c>
      <c r="D762" t="inlineStr">
        <is>
          <t>UPPSALA LÄN</t>
        </is>
      </c>
      <c r="E762" t="inlineStr">
        <is>
          <t>ÖSTHAMMAR</t>
        </is>
      </c>
      <c r="G762" t="n">
        <v>0.7</v>
      </c>
      <c r="H762" t="n">
        <v>0</v>
      </c>
      <c r="I762" t="n">
        <v>0</v>
      </c>
      <c r="J762" t="n">
        <v>0</v>
      </c>
      <c r="K762" t="n">
        <v>0</v>
      </c>
      <c r="L762" t="n">
        <v>0</v>
      </c>
      <c r="M762" t="n">
        <v>0</v>
      </c>
      <c r="N762" t="n">
        <v>0</v>
      </c>
      <c r="O762" t="n">
        <v>0</v>
      </c>
      <c r="P762" t="n">
        <v>0</v>
      </c>
      <c r="Q762" t="n">
        <v>0</v>
      </c>
      <c r="R762" s="2" t="inlineStr"/>
    </row>
    <row r="763" ht="15" customHeight="1">
      <c r="A763" t="inlineStr">
        <is>
          <t>A 20657-2023</t>
        </is>
      </c>
      <c r="B763" s="1" t="n">
        <v>45058</v>
      </c>
      <c r="C763" s="1" t="n">
        <v>45786</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20664-2023</t>
        </is>
      </c>
      <c r="B764" s="1" t="n">
        <v>45058</v>
      </c>
      <c r="C764" s="1" t="n">
        <v>45786</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20680-2023</t>
        </is>
      </c>
      <c r="B765" s="1" t="n">
        <v>45058</v>
      </c>
      <c r="C765" s="1" t="n">
        <v>45786</v>
      </c>
      <c r="D765" t="inlineStr">
        <is>
          <t>UPPSALA LÄN</t>
        </is>
      </c>
      <c r="E765" t="inlineStr">
        <is>
          <t>ÖSTHAMMAR</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20677-2023</t>
        </is>
      </c>
      <c r="B766" s="1" t="n">
        <v>45058</v>
      </c>
      <c r="C766" s="1" t="n">
        <v>45786</v>
      </c>
      <c r="D766" t="inlineStr">
        <is>
          <t>UPPSALA LÄN</t>
        </is>
      </c>
      <c r="E766" t="inlineStr">
        <is>
          <t>ÖSTHAMMAR</t>
        </is>
      </c>
      <c r="F766" t="inlineStr">
        <is>
          <t>Bergvik skog öst AB</t>
        </is>
      </c>
      <c r="G766" t="n">
        <v>4</v>
      </c>
      <c r="H766" t="n">
        <v>0</v>
      </c>
      <c r="I766" t="n">
        <v>0</v>
      </c>
      <c r="J766" t="n">
        <v>0</v>
      </c>
      <c r="K766" t="n">
        <v>0</v>
      </c>
      <c r="L766" t="n">
        <v>0</v>
      </c>
      <c r="M766" t="n">
        <v>0</v>
      </c>
      <c r="N766" t="n">
        <v>0</v>
      </c>
      <c r="O766" t="n">
        <v>0</v>
      </c>
      <c r="P766" t="n">
        <v>0</v>
      </c>
      <c r="Q766" t="n">
        <v>0</v>
      </c>
      <c r="R766" s="2" t="inlineStr"/>
    </row>
    <row r="767" ht="15" customHeight="1">
      <c r="A767" t="inlineStr">
        <is>
          <t>A 21478-2023</t>
        </is>
      </c>
      <c r="B767" s="1" t="n">
        <v>45063</v>
      </c>
      <c r="C767" s="1" t="n">
        <v>45786</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21615-2023</t>
        </is>
      </c>
      <c r="B768" s="1" t="n">
        <v>45063</v>
      </c>
      <c r="C768" s="1" t="n">
        <v>45786</v>
      </c>
      <c r="D768" t="inlineStr">
        <is>
          <t>UPPSALA LÄN</t>
        </is>
      </c>
      <c r="E768" t="inlineStr">
        <is>
          <t>ÖSTHAMMAR</t>
        </is>
      </c>
      <c r="G768" t="n">
        <v>3.3</v>
      </c>
      <c r="H768" t="n">
        <v>0</v>
      </c>
      <c r="I768" t="n">
        <v>0</v>
      </c>
      <c r="J768" t="n">
        <v>0</v>
      </c>
      <c r="K768" t="n">
        <v>0</v>
      </c>
      <c r="L768" t="n">
        <v>0</v>
      </c>
      <c r="M768" t="n">
        <v>0</v>
      </c>
      <c r="N768" t="n">
        <v>0</v>
      </c>
      <c r="O768" t="n">
        <v>0</v>
      </c>
      <c r="P768" t="n">
        <v>0</v>
      </c>
      <c r="Q768" t="n">
        <v>0</v>
      </c>
      <c r="R768" s="2" t="inlineStr"/>
    </row>
    <row r="769" ht="15" customHeight="1">
      <c r="A769" t="inlineStr">
        <is>
          <t>A 21624-2023</t>
        </is>
      </c>
      <c r="B769" s="1" t="n">
        <v>45063</v>
      </c>
      <c r="C769" s="1" t="n">
        <v>45786</v>
      </c>
      <c r="D769" t="inlineStr">
        <is>
          <t>UPPSALA LÄN</t>
        </is>
      </c>
      <c r="E769" t="inlineStr">
        <is>
          <t>ÖSTHAMMAR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21862-2023</t>
        </is>
      </c>
      <c r="B770" s="1" t="n">
        <v>45068</v>
      </c>
      <c r="C770" s="1" t="n">
        <v>45786</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22405-2023</t>
        </is>
      </c>
      <c r="B771" s="1" t="n">
        <v>45070</v>
      </c>
      <c r="C771" s="1" t="n">
        <v>45786</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22413-2023</t>
        </is>
      </c>
      <c r="B772" s="1" t="n">
        <v>45070</v>
      </c>
      <c r="C772" s="1" t="n">
        <v>45786</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22322-2023</t>
        </is>
      </c>
      <c r="B773" s="1" t="n">
        <v>45070</v>
      </c>
      <c r="C773" s="1" t="n">
        <v>45786</v>
      </c>
      <c r="D773" t="inlineStr">
        <is>
          <t>UPPSALA LÄN</t>
        </is>
      </c>
      <c r="E773" t="inlineStr">
        <is>
          <t>ÖSTHAMMAR</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22701-2023</t>
        </is>
      </c>
      <c r="B774" s="1" t="n">
        <v>45071</v>
      </c>
      <c r="C774" s="1" t="n">
        <v>45786</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22794-2023</t>
        </is>
      </c>
      <c r="B775" s="1" t="n">
        <v>45072</v>
      </c>
      <c r="C775" s="1" t="n">
        <v>45786</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22798-2023</t>
        </is>
      </c>
      <c r="B776" s="1" t="n">
        <v>45072</v>
      </c>
      <c r="C776" s="1" t="n">
        <v>45786</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22796-2023</t>
        </is>
      </c>
      <c r="B777" s="1" t="n">
        <v>45072</v>
      </c>
      <c r="C777" s="1" t="n">
        <v>45786</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23083-2023</t>
        </is>
      </c>
      <c r="B778" s="1" t="n">
        <v>45075</v>
      </c>
      <c r="C778" s="1" t="n">
        <v>45786</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23064-2023</t>
        </is>
      </c>
      <c r="B779" s="1" t="n">
        <v>45075</v>
      </c>
      <c r="C779" s="1" t="n">
        <v>45786</v>
      </c>
      <c r="D779" t="inlineStr">
        <is>
          <t>UPPSALA LÄN</t>
        </is>
      </c>
      <c r="E779" t="inlineStr">
        <is>
          <t>ÖSTHAMMAR</t>
        </is>
      </c>
      <c r="F779" t="inlineStr">
        <is>
          <t>Kyrkan</t>
        </is>
      </c>
      <c r="G779" t="n">
        <v>16.6</v>
      </c>
      <c r="H779" t="n">
        <v>0</v>
      </c>
      <c r="I779" t="n">
        <v>0</v>
      </c>
      <c r="J779" t="n">
        <v>0</v>
      </c>
      <c r="K779" t="n">
        <v>0</v>
      </c>
      <c r="L779" t="n">
        <v>0</v>
      </c>
      <c r="M779" t="n">
        <v>0</v>
      </c>
      <c r="N779" t="n">
        <v>0</v>
      </c>
      <c r="O779" t="n">
        <v>0</v>
      </c>
      <c r="P779" t="n">
        <v>0</v>
      </c>
      <c r="Q779" t="n">
        <v>0</v>
      </c>
      <c r="R779" s="2" t="inlineStr"/>
    </row>
    <row r="780" ht="15" customHeight="1">
      <c r="A780" t="inlineStr">
        <is>
          <t>A 23197-2023</t>
        </is>
      </c>
      <c r="B780" s="1" t="n">
        <v>45075</v>
      </c>
      <c r="C780" s="1" t="n">
        <v>45786</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23142-2023</t>
        </is>
      </c>
      <c r="B781" s="1" t="n">
        <v>45075</v>
      </c>
      <c r="C781" s="1" t="n">
        <v>45786</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23059-2023</t>
        </is>
      </c>
      <c r="B782" s="1" t="n">
        <v>45075</v>
      </c>
      <c r="C782" s="1" t="n">
        <v>45786</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23363-2023</t>
        </is>
      </c>
      <c r="B783" s="1" t="n">
        <v>45076</v>
      </c>
      <c r="C783" s="1" t="n">
        <v>45786</v>
      </c>
      <c r="D783" t="inlineStr">
        <is>
          <t>UPPSALA LÄN</t>
        </is>
      </c>
      <c r="E783" t="inlineStr">
        <is>
          <t>ÖSTHAMMAR</t>
        </is>
      </c>
      <c r="G783" t="n">
        <v>3</v>
      </c>
      <c r="H783" t="n">
        <v>0</v>
      </c>
      <c r="I783" t="n">
        <v>0</v>
      </c>
      <c r="J783" t="n">
        <v>0</v>
      </c>
      <c r="K783" t="n">
        <v>0</v>
      </c>
      <c r="L783" t="n">
        <v>0</v>
      </c>
      <c r="M783" t="n">
        <v>0</v>
      </c>
      <c r="N783" t="n">
        <v>0</v>
      </c>
      <c r="O783" t="n">
        <v>0</v>
      </c>
      <c r="P783" t="n">
        <v>0</v>
      </c>
      <c r="Q783" t="n">
        <v>0</v>
      </c>
      <c r="R783" s="2" t="inlineStr"/>
    </row>
    <row r="784" ht="15" customHeight="1">
      <c r="A784" t="inlineStr">
        <is>
          <t>A 23495-2023</t>
        </is>
      </c>
      <c r="B784" s="1" t="n">
        <v>45076</v>
      </c>
      <c r="C784" s="1" t="n">
        <v>45786</v>
      </c>
      <c r="D784" t="inlineStr">
        <is>
          <t>UPPSALA LÄN</t>
        </is>
      </c>
      <c r="E784" t="inlineStr">
        <is>
          <t>ÖSTHAMMAR</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24033-2023</t>
        </is>
      </c>
      <c r="B785" s="1" t="n">
        <v>45078</v>
      </c>
      <c r="C785" s="1" t="n">
        <v>45786</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24128-2023</t>
        </is>
      </c>
      <c r="B786" s="1" t="n">
        <v>45079</v>
      </c>
      <c r="C786" s="1" t="n">
        <v>45786</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24325-2023</t>
        </is>
      </c>
      <c r="B787" s="1" t="n">
        <v>45080</v>
      </c>
      <c r="C787" s="1" t="n">
        <v>45786</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24324-2023</t>
        </is>
      </c>
      <c r="B788" s="1" t="n">
        <v>45080</v>
      </c>
      <c r="C788" s="1" t="n">
        <v>45786</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24428-2023</t>
        </is>
      </c>
      <c r="B789" s="1" t="n">
        <v>45082</v>
      </c>
      <c r="C789" s="1" t="n">
        <v>45786</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24493-2023</t>
        </is>
      </c>
      <c r="B790" s="1" t="n">
        <v>45082</v>
      </c>
      <c r="C790" s="1" t="n">
        <v>45786</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24491-2023</t>
        </is>
      </c>
      <c r="B791" s="1" t="n">
        <v>45082</v>
      </c>
      <c r="C791" s="1" t="n">
        <v>45786</v>
      </c>
      <c r="D791" t="inlineStr">
        <is>
          <t>UPPSALA LÄN</t>
        </is>
      </c>
      <c r="E791" t="inlineStr">
        <is>
          <t>ÖSTHAMMAR</t>
        </is>
      </c>
      <c r="G791" t="n">
        <v>5.3</v>
      </c>
      <c r="H791" t="n">
        <v>0</v>
      </c>
      <c r="I791" t="n">
        <v>0</v>
      </c>
      <c r="J791" t="n">
        <v>0</v>
      </c>
      <c r="K791" t="n">
        <v>0</v>
      </c>
      <c r="L791" t="n">
        <v>0</v>
      </c>
      <c r="M791" t="n">
        <v>0</v>
      </c>
      <c r="N791" t="n">
        <v>0</v>
      </c>
      <c r="O791" t="n">
        <v>0</v>
      </c>
      <c r="P791" t="n">
        <v>0</v>
      </c>
      <c r="Q791" t="n">
        <v>0</v>
      </c>
      <c r="R791" s="2" t="inlineStr"/>
    </row>
    <row r="792" ht="15" customHeight="1">
      <c r="A792" t="inlineStr">
        <is>
          <t>A 24587-2023</t>
        </is>
      </c>
      <c r="B792" s="1" t="n">
        <v>45083</v>
      </c>
      <c r="C792" s="1" t="n">
        <v>45786</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24642-2023</t>
        </is>
      </c>
      <c r="B793" s="1" t="n">
        <v>45084</v>
      </c>
      <c r="C793" s="1" t="n">
        <v>45786</v>
      </c>
      <c r="D793" t="inlineStr">
        <is>
          <t>UPPSALA LÄN</t>
        </is>
      </c>
      <c r="E793" t="inlineStr">
        <is>
          <t>ÖSTHAMMAR</t>
        </is>
      </c>
      <c r="F793" t="inlineStr">
        <is>
          <t>Bergvik skog öst AB</t>
        </is>
      </c>
      <c r="G793" t="n">
        <v>7.2</v>
      </c>
      <c r="H793" t="n">
        <v>0</v>
      </c>
      <c r="I793" t="n">
        <v>0</v>
      </c>
      <c r="J793" t="n">
        <v>0</v>
      </c>
      <c r="K793" t="n">
        <v>0</v>
      </c>
      <c r="L793" t="n">
        <v>0</v>
      </c>
      <c r="M793" t="n">
        <v>0</v>
      </c>
      <c r="N793" t="n">
        <v>0</v>
      </c>
      <c r="O793" t="n">
        <v>0</v>
      </c>
      <c r="P793" t="n">
        <v>0</v>
      </c>
      <c r="Q793" t="n">
        <v>0</v>
      </c>
      <c r="R793" s="2" t="inlineStr"/>
    </row>
    <row r="794" ht="15" customHeight="1">
      <c r="A794" t="inlineStr">
        <is>
          <t>A 24648-2023</t>
        </is>
      </c>
      <c r="B794" s="1" t="n">
        <v>45084</v>
      </c>
      <c r="C794" s="1" t="n">
        <v>45786</v>
      </c>
      <c r="D794" t="inlineStr">
        <is>
          <t>UPPSALA LÄN</t>
        </is>
      </c>
      <c r="E794" t="inlineStr">
        <is>
          <t>ÖSTHAMMAR</t>
        </is>
      </c>
      <c r="F794" t="inlineStr">
        <is>
          <t>Bergvik skog öst AB</t>
        </is>
      </c>
      <c r="G794" t="n">
        <v>12.5</v>
      </c>
      <c r="H794" t="n">
        <v>0</v>
      </c>
      <c r="I794" t="n">
        <v>0</v>
      </c>
      <c r="J794" t="n">
        <v>0</v>
      </c>
      <c r="K794" t="n">
        <v>0</v>
      </c>
      <c r="L794" t="n">
        <v>0</v>
      </c>
      <c r="M794" t="n">
        <v>0</v>
      </c>
      <c r="N794" t="n">
        <v>0</v>
      </c>
      <c r="O794" t="n">
        <v>0</v>
      </c>
      <c r="P794" t="n">
        <v>0</v>
      </c>
      <c r="Q794" t="n">
        <v>0</v>
      </c>
      <c r="R794" s="2" t="inlineStr"/>
    </row>
    <row r="795" ht="15" customHeight="1">
      <c r="A795" t="inlineStr">
        <is>
          <t>A 24751-2023</t>
        </is>
      </c>
      <c r="B795" s="1" t="n">
        <v>45084</v>
      </c>
      <c r="C795" s="1" t="n">
        <v>45786</v>
      </c>
      <c r="D795" t="inlineStr">
        <is>
          <t>UPPSALA LÄN</t>
        </is>
      </c>
      <c r="E795" t="inlineStr">
        <is>
          <t>ÖSTHAMMAR</t>
        </is>
      </c>
      <c r="F795" t="inlineStr">
        <is>
          <t>Bergvik skog öst AB</t>
        </is>
      </c>
      <c r="G795" t="n">
        <v>6.2</v>
      </c>
      <c r="H795" t="n">
        <v>0</v>
      </c>
      <c r="I795" t="n">
        <v>0</v>
      </c>
      <c r="J795" t="n">
        <v>0</v>
      </c>
      <c r="K795" t="n">
        <v>0</v>
      </c>
      <c r="L795" t="n">
        <v>0</v>
      </c>
      <c r="M795" t="n">
        <v>0</v>
      </c>
      <c r="N795" t="n">
        <v>0</v>
      </c>
      <c r="O795" t="n">
        <v>0</v>
      </c>
      <c r="P795" t="n">
        <v>0</v>
      </c>
      <c r="Q795" t="n">
        <v>0</v>
      </c>
      <c r="R795" s="2" t="inlineStr"/>
    </row>
    <row r="796" ht="15" customHeight="1">
      <c r="A796" t="inlineStr">
        <is>
          <t>A 25194-2023</t>
        </is>
      </c>
      <c r="B796" s="1" t="n">
        <v>45086</v>
      </c>
      <c r="C796" s="1" t="n">
        <v>45786</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26612-2023</t>
        </is>
      </c>
      <c r="B797" s="1" t="n">
        <v>45089</v>
      </c>
      <c r="C797" s="1" t="n">
        <v>45786</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26610-2023</t>
        </is>
      </c>
      <c r="B798" s="1" t="n">
        <v>45089</v>
      </c>
      <c r="C798" s="1" t="n">
        <v>45786</v>
      </c>
      <c r="D798" t="inlineStr">
        <is>
          <t>UPPSALA LÄN</t>
        </is>
      </c>
      <c r="E798" t="inlineStr">
        <is>
          <t>ÖSTHAMMAR</t>
        </is>
      </c>
      <c r="G798" t="n">
        <v>4.1</v>
      </c>
      <c r="H798" t="n">
        <v>0</v>
      </c>
      <c r="I798" t="n">
        <v>0</v>
      </c>
      <c r="J798" t="n">
        <v>0</v>
      </c>
      <c r="K798" t="n">
        <v>0</v>
      </c>
      <c r="L798" t="n">
        <v>0</v>
      </c>
      <c r="M798" t="n">
        <v>0</v>
      </c>
      <c r="N798" t="n">
        <v>0</v>
      </c>
      <c r="O798" t="n">
        <v>0</v>
      </c>
      <c r="P798" t="n">
        <v>0</v>
      </c>
      <c r="Q798" t="n">
        <v>0</v>
      </c>
      <c r="R798" s="2" t="inlineStr"/>
    </row>
    <row r="799" ht="15" customHeight="1">
      <c r="A799" t="inlineStr">
        <is>
          <t>A 25897-2023</t>
        </is>
      </c>
      <c r="B799" s="1" t="n">
        <v>45090</v>
      </c>
      <c r="C799" s="1" t="n">
        <v>45786</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25903-2023</t>
        </is>
      </c>
      <c r="B800" s="1" t="n">
        <v>45090</v>
      </c>
      <c r="C800" s="1" t="n">
        <v>45786</v>
      </c>
      <c r="D800" t="inlineStr">
        <is>
          <t>UPPSALA LÄN</t>
        </is>
      </c>
      <c r="E800" t="inlineStr">
        <is>
          <t>ÖSTHAMMAR</t>
        </is>
      </c>
      <c r="F800" t="inlineStr">
        <is>
          <t>Bergvik skog öst AB</t>
        </is>
      </c>
      <c r="G800" t="n">
        <v>29.2</v>
      </c>
      <c r="H800" t="n">
        <v>0</v>
      </c>
      <c r="I800" t="n">
        <v>0</v>
      </c>
      <c r="J800" t="n">
        <v>0</v>
      </c>
      <c r="K800" t="n">
        <v>0</v>
      </c>
      <c r="L800" t="n">
        <v>0</v>
      </c>
      <c r="M800" t="n">
        <v>0</v>
      </c>
      <c r="N800" t="n">
        <v>0</v>
      </c>
      <c r="O800" t="n">
        <v>0</v>
      </c>
      <c r="P800" t="n">
        <v>0</v>
      </c>
      <c r="Q800" t="n">
        <v>0</v>
      </c>
      <c r="R800" s="2" t="inlineStr"/>
    </row>
    <row r="801" ht="15" customHeight="1">
      <c r="A801" t="inlineStr">
        <is>
          <t>A 25970-2023</t>
        </is>
      </c>
      <c r="B801" s="1" t="n">
        <v>45090</v>
      </c>
      <c r="C801" s="1" t="n">
        <v>45786</v>
      </c>
      <c r="D801" t="inlineStr">
        <is>
          <t>UPPSALA LÄN</t>
        </is>
      </c>
      <c r="E801" t="inlineStr">
        <is>
          <t>ÖSTHAMMAR</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25968-2023</t>
        </is>
      </c>
      <c r="B802" s="1" t="n">
        <v>45090</v>
      </c>
      <c r="C802" s="1" t="n">
        <v>45786</v>
      </c>
      <c r="D802" t="inlineStr">
        <is>
          <t>UPPSALA LÄN</t>
        </is>
      </c>
      <c r="E802" t="inlineStr">
        <is>
          <t>ÖSTHAMMAR</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25969-2023</t>
        </is>
      </c>
      <c r="B803" s="1" t="n">
        <v>45090</v>
      </c>
      <c r="C803" s="1" t="n">
        <v>45786</v>
      </c>
      <c r="D803" t="inlineStr">
        <is>
          <t>UPPSALA LÄN</t>
        </is>
      </c>
      <c r="E803" t="inlineStr">
        <is>
          <t>ÖSTHAMMAR</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26774-2023</t>
        </is>
      </c>
      <c r="B804" s="1" t="n">
        <v>45093</v>
      </c>
      <c r="C804" s="1" t="n">
        <v>45786</v>
      </c>
      <c r="D804" t="inlineStr">
        <is>
          <t>UPPSALA LÄN</t>
        </is>
      </c>
      <c r="E804" t="inlineStr">
        <is>
          <t>ÖSTHAMMAR</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26734-2023</t>
        </is>
      </c>
      <c r="B805" s="1" t="n">
        <v>45093</v>
      </c>
      <c r="C805" s="1" t="n">
        <v>45786</v>
      </c>
      <c r="D805" t="inlineStr">
        <is>
          <t>UPPSALA LÄN</t>
        </is>
      </c>
      <c r="E805" t="inlineStr">
        <is>
          <t>ÖSTHAMMAR</t>
        </is>
      </c>
      <c r="F805" t="inlineStr">
        <is>
          <t>Bergvik skog öst AB</t>
        </is>
      </c>
      <c r="G805" t="n">
        <v>25.5</v>
      </c>
      <c r="H805" t="n">
        <v>0</v>
      </c>
      <c r="I805" t="n">
        <v>0</v>
      </c>
      <c r="J805" t="n">
        <v>0</v>
      </c>
      <c r="K805" t="n">
        <v>0</v>
      </c>
      <c r="L805" t="n">
        <v>0</v>
      </c>
      <c r="M805" t="n">
        <v>0</v>
      </c>
      <c r="N805" t="n">
        <v>0</v>
      </c>
      <c r="O805" t="n">
        <v>0</v>
      </c>
      <c r="P805" t="n">
        <v>0</v>
      </c>
      <c r="Q805" t="n">
        <v>0</v>
      </c>
      <c r="R805" s="2" t="inlineStr"/>
    </row>
    <row r="806" ht="15" customHeight="1">
      <c r="A806" t="inlineStr">
        <is>
          <t>A 28170-2023</t>
        </is>
      </c>
      <c r="B806" s="1" t="n">
        <v>45093</v>
      </c>
      <c r="C806" s="1" t="n">
        <v>45786</v>
      </c>
      <c r="D806" t="inlineStr">
        <is>
          <t>UPPSALA LÄN</t>
        </is>
      </c>
      <c r="E806" t="inlineStr">
        <is>
          <t>ÖSTHAMMAR</t>
        </is>
      </c>
      <c r="G806" t="n">
        <v>7.2</v>
      </c>
      <c r="H806" t="n">
        <v>0</v>
      </c>
      <c r="I806" t="n">
        <v>0</v>
      </c>
      <c r="J806" t="n">
        <v>0</v>
      </c>
      <c r="K806" t="n">
        <v>0</v>
      </c>
      <c r="L806" t="n">
        <v>0</v>
      </c>
      <c r="M806" t="n">
        <v>0</v>
      </c>
      <c r="N806" t="n">
        <v>0</v>
      </c>
      <c r="O806" t="n">
        <v>0</v>
      </c>
      <c r="P806" t="n">
        <v>0</v>
      </c>
      <c r="Q806" t="n">
        <v>0</v>
      </c>
      <c r="R806" s="2" t="inlineStr"/>
    </row>
    <row r="807" ht="15" customHeight="1">
      <c r="A807" t="inlineStr">
        <is>
          <t>A 27150-2023</t>
        </is>
      </c>
      <c r="B807" s="1" t="n">
        <v>45096</v>
      </c>
      <c r="C807" s="1" t="n">
        <v>45786</v>
      </c>
      <c r="D807" t="inlineStr">
        <is>
          <t>UPPSALA LÄN</t>
        </is>
      </c>
      <c r="E807" t="inlineStr">
        <is>
          <t>ÖSTHAMMAR</t>
        </is>
      </c>
      <c r="F807" t="inlineStr">
        <is>
          <t>Bergvik skog öst AB</t>
        </is>
      </c>
      <c r="G807" t="n">
        <v>5</v>
      </c>
      <c r="H807" t="n">
        <v>0</v>
      </c>
      <c r="I807" t="n">
        <v>0</v>
      </c>
      <c r="J807" t="n">
        <v>0</v>
      </c>
      <c r="K807" t="n">
        <v>0</v>
      </c>
      <c r="L807" t="n">
        <v>0</v>
      </c>
      <c r="M807" t="n">
        <v>0</v>
      </c>
      <c r="N807" t="n">
        <v>0</v>
      </c>
      <c r="O807" t="n">
        <v>0</v>
      </c>
      <c r="P807" t="n">
        <v>0</v>
      </c>
      <c r="Q807" t="n">
        <v>0</v>
      </c>
      <c r="R807" s="2" t="inlineStr"/>
    </row>
    <row r="808" ht="15" customHeight="1">
      <c r="A808" t="inlineStr">
        <is>
          <t>A 27154-2023</t>
        </is>
      </c>
      <c r="B808" s="1" t="n">
        <v>45096</v>
      </c>
      <c r="C808" s="1" t="n">
        <v>45786</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27308-2023</t>
        </is>
      </c>
      <c r="B809" s="1" t="n">
        <v>45096</v>
      </c>
      <c r="C809" s="1" t="n">
        <v>45786</v>
      </c>
      <c r="D809" t="inlineStr">
        <is>
          <t>UPPSALA LÄN</t>
        </is>
      </c>
      <c r="E809" t="inlineStr">
        <is>
          <t>ÖSTHAMMAR</t>
        </is>
      </c>
      <c r="F809" t="inlineStr">
        <is>
          <t>Bergvik skog öst AB</t>
        </is>
      </c>
      <c r="G809" t="n">
        <v>2.4</v>
      </c>
      <c r="H809" t="n">
        <v>0</v>
      </c>
      <c r="I809" t="n">
        <v>0</v>
      </c>
      <c r="J809" t="n">
        <v>0</v>
      </c>
      <c r="K809" t="n">
        <v>0</v>
      </c>
      <c r="L809" t="n">
        <v>0</v>
      </c>
      <c r="M809" t="n">
        <v>0</v>
      </c>
      <c r="N809" t="n">
        <v>0</v>
      </c>
      <c r="O809" t="n">
        <v>0</v>
      </c>
      <c r="P809" t="n">
        <v>0</v>
      </c>
      <c r="Q809" t="n">
        <v>0</v>
      </c>
      <c r="R809" s="2" t="inlineStr"/>
    </row>
    <row r="810" ht="15" customHeight="1">
      <c r="A810" t="inlineStr">
        <is>
          <t>A 27660-2023</t>
        </is>
      </c>
      <c r="B810" s="1" t="n">
        <v>45097</v>
      </c>
      <c r="C810" s="1" t="n">
        <v>45786</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27659-2023</t>
        </is>
      </c>
      <c r="B811" s="1" t="n">
        <v>45097</v>
      </c>
      <c r="C811" s="1" t="n">
        <v>45786</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27801-2023</t>
        </is>
      </c>
      <c r="B812" s="1" t="n">
        <v>45098</v>
      </c>
      <c r="C812" s="1" t="n">
        <v>45786</v>
      </c>
      <c r="D812" t="inlineStr">
        <is>
          <t>UPPSALA LÄN</t>
        </is>
      </c>
      <c r="E812" t="inlineStr">
        <is>
          <t>ÖSTHAMMAR</t>
        </is>
      </c>
      <c r="F812" t="inlineStr">
        <is>
          <t>Kyrkan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28422-2023</t>
        </is>
      </c>
      <c r="B813" s="1" t="n">
        <v>45102</v>
      </c>
      <c r="C813" s="1" t="n">
        <v>45786</v>
      </c>
      <c r="D813" t="inlineStr">
        <is>
          <t>UPPSALA LÄN</t>
        </is>
      </c>
      <c r="E813" t="inlineStr">
        <is>
          <t>ÖSTHAMMAR</t>
        </is>
      </c>
      <c r="F813" t="inlineStr">
        <is>
          <t>Bergvik skog öst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28430-2023</t>
        </is>
      </c>
      <c r="B814" s="1" t="n">
        <v>45102</v>
      </c>
      <c r="C814" s="1" t="n">
        <v>45786</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28434-2023</t>
        </is>
      </c>
      <c r="B815" s="1" t="n">
        <v>45102</v>
      </c>
      <c r="C815" s="1" t="n">
        <v>45786</v>
      </c>
      <c r="D815" t="inlineStr">
        <is>
          <t>UPPSALA LÄN</t>
        </is>
      </c>
      <c r="E815" t="inlineStr">
        <is>
          <t>ÖSTHAMMAR</t>
        </is>
      </c>
      <c r="F815" t="inlineStr">
        <is>
          <t>Bergvik skog öst AB</t>
        </is>
      </c>
      <c r="G815" t="n">
        <v>8.9</v>
      </c>
      <c r="H815" t="n">
        <v>0</v>
      </c>
      <c r="I815" t="n">
        <v>0</v>
      </c>
      <c r="J815" t="n">
        <v>0</v>
      </c>
      <c r="K815" t="n">
        <v>0</v>
      </c>
      <c r="L815" t="n">
        <v>0</v>
      </c>
      <c r="M815" t="n">
        <v>0</v>
      </c>
      <c r="N815" t="n">
        <v>0</v>
      </c>
      <c r="O815" t="n">
        <v>0</v>
      </c>
      <c r="P815" t="n">
        <v>0</v>
      </c>
      <c r="Q815" t="n">
        <v>0</v>
      </c>
      <c r="R815" s="2" t="inlineStr"/>
    </row>
    <row r="816" ht="15" customHeight="1">
      <c r="A816" t="inlineStr">
        <is>
          <t>A 28420-2023</t>
        </is>
      </c>
      <c r="B816" s="1" t="n">
        <v>45102</v>
      </c>
      <c r="C816" s="1" t="n">
        <v>45786</v>
      </c>
      <c r="D816" t="inlineStr">
        <is>
          <t>UPPSALA LÄN</t>
        </is>
      </c>
      <c r="E816" t="inlineStr">
        <is>
          <t>ÖSTHAMMAR</t>
        </is>
      </c>
      <c r="F816" t="inlineStr">
        <is>
          <t>Bergvik skog öst AB</t>
        </is>
      </c>
      <c r="G816" t="n">
        <v>3.2</v>
      </c>
      <c r="H816" t="n">
        <v>0</v>
      </c>
      <c r="I816" t="n">
        <v>0</v>
      </c>
      <c r="J816" t="n">
        <v>0</v>
      </c>
      <c r="K816" t="n">
        <v>0</v>
      </c>
      <c r="L816" t="n">
        <v>0</v>
      </c>
      <c r="M816" t="n">
        <v>0</v>
      </c>
      <c r="N816" t="n">
        <v>0</v>
      </c>
      <c r="O816" t="n">
        <v>0</v>
      </c>
      <c r="P816" t="n">
        <v>0</v>
      </c>
      <c r="Q816" t="n">
        <v>0</v>
      </c>
      <c r="R816" s="2" t="inlineStr"/>
    </row>
    <row r="817" ht="15" customHeight="1">
      <c r="A817" t="inlineStr">
        <is>
          <t>A 28432-2023</t>
        </is>
      </c>
      <c r="B817" s="1" t="n">
        <v>45102</v>
      </c>
      <c r="C817" s="1" t="n">
        <v>45786</v>
      </c>
      <c r="D817" t="inlineStr">
        <is>
          <t>UPPSALA LÄN</t>
        </is>
      </c>
      <c r="E817" t="inlineStr">
        <is>
          <t>ÖSTHAMMAR</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28421-2023</t>
        </is>
      </c>
      <c r="B818" s="1" t="n">
        <v>45102</v>
      </c>
      <c r="C818" s="1" t="n">
        <v>45786</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28429-2023</t>
        </is>
      </c>
      <c r="B819" s="1" t="n">
        <v>45102</v>
      </c>
      <c r="C819" s="1" t="n">
        <v>45786</v>
      </c>
      <c r="D819" t="inlineStr">
        <is>
          <t>UPPSALA LÄN</t>
        </is>
      </c>
      <c r="E819" t="inlineStr">
        <is>
          <t>ÖSTHAMMAR</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28482-2023</t>
        </is>
      </c>
      <c r="B820" s="1" t="n">
        <v>45103</v>
      </c>
      <c r="C820" s="1" t="n">
        <v>45786</v>
      </c>
      <c r="D820" t="inlineStr">
        <is>
          <t>UPPSALA LÄN</t>
        </is>
      </c>
      <c r="E820" t="inlineStr">
        <is>
          <t>ÖSTHAMMAR</t>
        </is>
      </c>
      <c r="F820" t="inlineStr">
        <is>
          <t>Naturvårdsverket</t>
        </is>
      </c>
      <c r="G820" t="n">
        <v>8.9</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45786</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29824-2023</t>
        </is>
      </c>
      <c r="B822" s="1" t="n">
        <v>45107</v>
      </c>
      <c r="C822" s="1" t="n">
        <v>45786</v>
      </c>
      <c r="D822" t="inlineStr">
        <is>
          <t>UPPSALA LÄN</t>
        </is>
      </c>
      <c r="E822" t="inlineStr">
        <is>
          <t>ÖSTHAMMAR</t>
        </is>
      </c>
      <c r="F822" t="inlineStr">
        <is>
          <t>Naturvårdsverket</t>
        </is>
      </c>
      <c r="G822" t="n">
        <v>1.6</v>
      </c>
      <c r="H822" t="n">
        <v>0</v>
      </c>
      <c r="I822" t="n">
        <v>0</v>
      </c>
      <c r="J822" t="n">
        <v>0</v>
      </c>
      <c r="K822" t="n">
        <v>0</v>
      </c>
      <c r="L822" t="n">
        <v>0</v>
      </c>
      <c r="M822" t="n">
        <v>0</v>
      </c>
      <c r="N822" t="n">
        <v>0</v>
      </c>
      <c r="O822" t="n">
        <v>0</v>
      </c>
      <c r="P822" t="n">
        <v>0</v>
      </c>
      <c r="Q822" t="n">
        <v>0</v>
      </c>
      <c r="R822" s="2" t="inlineStr"/>
    </row>
    <row r="823" ht="15" customHeight="1">
      <c r="A823" t="inlineStr">
        <is>
          <t>A 30086-2023</t>
        </is>
      </c>
      <c r="B823" s="1" t="n">
        <v>45110</v>
      </c>
      <c r="C823" s="1" t="n">
        <v>45786</v>
      </c>
      <c r="D823" t="inlineStr">
        <is>
          <t>UPPSALA LÄN</t>
        </is>
      </c>
      <c r="E823" t="inlineStr">
        <is>
          <t>ÖSTHAMMAR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30470-2023</t>
        </is>
      </c>
      <c r="B824" s="1" t="n">
        <v>45111</v>
      </c>
      <c r="C824" s="1" t="n">
        <v>45786</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30498-2023</t>
        </is>
      </c>
      <c r="B825" s="1" t="n">
        <v>45111</v>
      </c>
      <c r="C825" s="1" t="n">
        <v>45786</v>
      </c>
      <c r="D825" t="inlineStr">
        <is>
          <t>UPPSALA LÄN</t>
        </is>
      </c>
      <c r="E825" t="inlineStr">
        <is>
          <t>ÖSTHAMMAR</t>
        </is>
      </c>
      <c r="G825" t="n">
        <v>0.7</v>
      </c>
      <c r="H825" t="n">
        <v>0</v>
      </c>
      <c r="I825" t="n">
        <v>0</v>
      </c>
      <c r="J825" t="n">
        <v>0</v>
      </c>
      <c r="K825" t="n">
        <v>0</v>
      </c>
      <c r="L825" t="n">
        <v>0</v>
      </c>
      <c r="M825" t="n">
        <v>0</v>
      </c>
      <c r="N825" t="n">
        <v>0</v>
      </c>
      <c r="O825" t="n">
        <v>0</v>
      </c>
      <c r="P825" t="n">
        <v>0</v>
      </c>
      <c r="Q825" t="n">
        <v>0</v>
      </c>
      <c r="R825" s="2" t="inlineStr"/>
    </row>
    <row r="826" ht="15" customHeight="1">
      <c r="A826" t="inlineStr">
        <is>
          <t>A 30809-2023</t>
        </is>
      </c>
      <c r="B826" s="1" t="n">
        <v>45112</v>
      </c>
      <c r="C826" s="1" t="n">
        <v>45786</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30808-2023</t>
        </is>
      </c>
      <c r="B827" s="1" t="n">
        <v>45112</v>
      </c>
      <c r="C827" s="1" t="n">
        <v>45786</v>
      </c>
      <c r="D827" t="inlineStr">
        <is>
          <t>UPPSALA LÄN</t>
        </is>
      </c>
      <c r="E827" t="inlineStr">
        <is>
          <t>ÖSTHAMMAR</t>
        </is>
      </c>
      <c r="F827" t="inlineStr">
        <is>
          <t>Bergvik skog öst AB</t>
        </is>
      </c>
      <c r="G827" t="n">
        <v>3.3</v>
      </c>
      <c r="H827" t="n">
        <v>0</v>
      </c>
      <c r="I827" t="n">
        <v>0</v>
      </c>
      <c r="J827" t="n">
        <v>0</v>
      </c>
      <c r="K827" t="n">
        <v>0</v>
      </c>
      <c r="L827" t="n">
        <v>0</v>
      </c>
      <c r="M827" t="n">
        <v>0</v>
      </c>
      <c r="N827" t="n">
        <v>0</v>
      </c>
      <c r="O827" t="n">
        <v>0</v>
      </c>
      <c r="P827" t="n">
        <v>0</v>
      </c>
      <c r="Q827" t="n">
        <v>0</v>
      </c>
      <c r="R827" s="2" t="inlineStr"/>
    </row>
    <row r="828" ht="15" customHeight="1">
      <c r="A828" t="inlineStr">
        <is>
          <t>A 30812-2023</t>
        </is>
      </c>
      <c r="B828" s="1" t="n">
        <v>45112</v>
      </c>
      <c r="C828" s="1" t="n">
        <v>45786</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30810-2023</t>
        </is>
      </c>
      <c r="B829" s="1" t="n">
        <v>45112</v>
      </c>
      <c r="C829" s="1" t="n">
        <v>45786</v>
      </c>
      <c r="D829" t="inlineStr">
        <is>
          <t>UPPSALA LÄN</t>
        </is>
      </c>
      <c r="E829" t="inlineStr">
        <is>
          <t>ÖSTHAMMAR</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30811-2023</t>
        </is>
      </c>
      <c r="B830" s="1" t="n">
        <v>45112</v>
      </c>
      <c r="C830" s="1" t="n">
        <v>45786</v>
      </c>
      <c r="D830" t="inlineStr">
        <is>
          <t>UPPSALA LÄN</t>
        </is>
      </c>
      <c r="E830" t="inlineStr">
        <is>
          <t>ÖSTHAMMAR</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31480-2023</t>
        </is>
      </c>
      <c r="B831" s="1" t="n">
        <v>45114</v>
      </c>
      <c r="C831" s="1" t="n">
        <v>45786</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31484-2023</t>
        </is>
      </c>
      <c r="B832" s="1" t="n">
        <v>45114</v>
      </c>
      <c r="C832" s="1" t="n">
        <v>45786</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31479-2023</t>
        </is>
      </c>
      <c r="B833" s="1" t="n">
        <v>45114</v>
      </c>
      <c r="C833" s="1" t="n">
        <v>45786</v>
      </c>
      <c r="D833" t="inlineStr">
        <is>
          <t>UPPSALA LÄN</t>
        </is>
      </c>
      <c r="E833" t="inlineStr">
        <is>
          <t>ÖSTHAMMAR</t>
        </is>
      </c>
      <c r="F833" t="inlineStr">
        <is>
          <t>Bergvik skog öst AB</t>
        </is>
      </c>
      <c r="G833" t="n">
        <v>1.9</v>
      </c>
      <c r="H833" t="n">
        <v>0</v>
      </c>
      <c r="I833" t="n">
        <v>0</v>
      </c>
      <c r="J833" t="n">
        <v>0</v>
      </c>
      <c r="K833" t="n">
        <v>0</v>
      </c>
      <c r="L833" t="n">
        <v>0</v>
      </c>
      <c r="M833" t="n">
        <v>0</v>
      </c>
      <c r="N833" t="n">
        <v>0</v>
      </c>
      <c r="O833" t="n">
        <v>0</v>
      </c>
      <c r="P833" t="n">
        <v>0</v>
      </c>
      <c r="Q833" t="n">
        <v>0</v>
      </c>
      <c r="R833" s="2" t="inlineStr"/>
    </row>
    <row r="834" ht="15" customHeight="1">
      <c r="A834" t="inlineStr">
        <is>
          <t>A 31483-2023</t>
        </is>
      </c>
      <c r="B834" s="1" t="n">
        <v>45114</v>
      </c>
      <c r="C834" s="1" t="n">
        <v>45786</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31482-2023</t>
        </is>
      </c>
      <c r="B835" s="1" t="n">
        <v>45114</v>
      </c>
      <c r="C835" s="1" t="n">
        <v>45786</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31486-2023</t>
        </is>
      </c>
      <c r="B836" s="1" t="n">
        <v>45114</v>
      </c>
      <c r="C836" s="1" t="n">
        <v>45786</v>
      </c>
      <c r="D836" t="inlineStr">
        <is>
          <t>UPPSALA LÄN</t>
        </is>
      </c>
      <c r="E836" t="inlineStr">
        <is>
          <t>ÖSTHAMMAR</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31481-2023</t>
        </is>
      </c>
      <c r="B837" s="1" t="n">
        <v>45114</v>
      </c>
      <c r="C837" s="1" t="n">
        <v>45786</v>
      </c>
      <c r="D837" t="inlineStr">
        <is>
          <t>UPPSALA LÄN</t>
        </is>
      </c>
      <c r="E837" t="inlineStr">
        <is>
          <t>ÖSTHAMMAR</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31485-2023</t>
        </is>
      </c>
      <c r="B838" s="1" t="n">
        <v>45114</v>
      </c>
      <c r="C838" s="1" t="n">
        <v>45786</v>
      </c>
      <c r="D838" t="inlineStr">
        <is>
          <t>UPPSALA LÄN</t>
        </is>
      </c>
      <c r="E838" t="inlineStr">
        <is>
          <t>ÖSTHAMMAR</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31688-2023</t>
        </is>
      </c>
      <c r="B839" s="1" t="n">
        <v>45117</v>
      </c>
      <c r="C839" s="1" t="n">
        <v>45786</v>
      </c>
      <c r="D839" t="inlineStr">
        <is>
          <t>UPPSALA LÄN</t>
        </is>
      </c>
      <c r="E839" t="inlineStr">
        <is>
          <t>ÖSTHAMMAR</t>
        </is>
      </c>
      <c r="F839" t="inlineStr">
        <is>
          <t>Bergvik skog öst AB</t>
        </is>
      </c>
      <c r="G839" t="n">
        <v>4.9</v>
      </c>
      <c r="H839" t="n">
        <v>0</v>
      </c>
      <c r="I839" t="n">
        <v>0</v>
      </c>
      <c r="J839" t="n">
        <v>0</v>
      </c>
      <c r="K839" t="n">
        <v>0</v>
      </c>
      <c r="L839" t="n">
        <v>0</v>
      </c>
      <c r="M839" t="n">
        <v>0</v>
      </c>
      <c r="N839" t="n">
        <v>0</v>
      </c>
      <c r="O839" t="n">
        <v>0</v>
      </c>
      <c r="P839" t="n">
        <v>0</v>
      </c>
      <c r="Q839" t="n">
        <v>0</v>
      </c>
      <c r="R839" s="2" t="inlineStr"/>
    </row>
    <row r="840" ht="15" customHeight="1">
      <c r="A840" t="inlineStr">
        <is>
          <t>A 32194-2023</t>
        </is>
      </c>
      <c r="B840" s="1" t="n">
        <v>45119</v>
      </c>
      <c r="C840" s="1" t="n">
        <v>45786</v>
      </c>
      <c r="D840" t="inlineStr">
        <is>
          <t>UPPSALA LÄN</t>
        </is>
      </c>
      <c r="E840" t="inlineStr">
        <is>
          <t>ÖSTHAMMAR</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32195-2023</t>
        </is>
      </c>
      <c r="B841" s="1" t="n">
        <v>45119</v>
      </c>
      <c r="C841" s="1" t="n">
        <v>45786</v>
      </c>
      <c r="D841" t="inlineStr">
        <is>
          <t>UPPSALA LÄN</t>
        </is>
      </c>
      <c r="E841" t="inlineStr">
        <is>
          <t>ÖSTHAMMAR</t>
        </is>
      </c>
      <c r="F841" t="inlineStr">
        <is>
          <t>Bergvik skog öst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32197-2023</t>
        </is>
      </c>
      <c r="B842" s="1" t="n">
        <v>45119</v>
      </c>
      <c r="C842" s="1" t="n">
        <v>45786</v>
      </c>
      <c r="D842" t="inlineStr">
        <is>
          <t>UPPSALA LÄN</t>
        </is>
      </c>
      <c r="E842" t="inlineStr">
        <is>
          <t>ÖSTHAMMAR</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32196-2023</t>
        </is>
      </c>
      <c r="B843" s="1" t="n">
        <v>45119</v>
      </c>
      <c r="C843" s="1" t="n">
        <v>45786</v>
      </c>
      <c r="D843" t="inlineStr">
        <is>
          <t>UPPSALA LÄN</t>
        </is>
      </c>
      <c r="E843" t="inlineStr">
        <is>
          <t>ÖSTHAMMAR</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32390-2023</t>
        </is>
      </c>
      <c r="B844" s="1" t="n">
        <v>45120</v>
      </c>
      <c r="C844" s="1" t="n">
        <v>45786</v>
      </c>
      <c r="D844" t="inlineStr">
        <is>
          <t>UPPSALA LÄN</t>
        </is>
      </c>
      <c r="E844" t="inlineStr">
        <is>
          <t>ÖSTHAMMAR</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32693-2023</t>
        </is>
      </c>
      <c r="B845" s="1" t="n">
        <v>45121</v>
      </c>
      <c r="C845" s="1" t="n">
        <v>45786</v>
      </c>
      <c r="D845" t="inlineStr">
        <is>
          <t>UPPSALA LÄN</t>
        </is>
      </c>
      <c r="E845" t="inlineStr">
        <is>
          <t>ÖSTHAMMAR</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32691-2023</t>
        </is>
      </c>
      <c r="B846" s="1" t="n">
        <v>45121</v>
      </c>
      <c r="C846" s="1" t="n">
        <v>45786</v>
      </c>
      <c r="D846" t="inlineStr">
        <is>
          <t>UPPSALA LÄN</t>
        </is>
      </c>
      <c r="E846" t="inlineStr">
        <is>
          <t>ÖSTHAMMAR</t>
        </is>
      </c>
      <c r="F846" t="inlineStr">
        <is>
          <t>Bergvik skog öst AB</t>
        </is>
      </c>
      <c r="G846" t="n">
        <v>20.2</v>
      </c>
      <c r="H846" t="n">
        <v>0</v>
      </c>
      <c r="I846" t="n">
        <v>0</v>
      </c>
      <c r="J846" t="n">
        <v>0</v>
      </c>
      <c r="K846" t="n">
        <v>0</v>
      </c>
      <c r="L846" t="n">
        <v>0</v>
      </c>
      <c r="M846" t="n">
        <v>0</v>
      </c>
      <c r="N846" t="n">
        <v>0</v>
      </c>
      <c r="O846" t="n">
        <v>0</v>
      </c>
      <c r="P846" t="n">
        <v>0</v>
      </c>
      <c r="Q846" t="n">
        <v>0</v>
      </c>
      <c r="R846" s="2" t="inlineStr"/>
    </row>
    <row r="847" ht="15" customHeight="1">
      <c r="A847" t="inlineStr">
        <is>
          <t>A 32752-2023</t>
        </is>
      </c>
      <c r="B847" s="1" t="n">
        <v>45122</v>
      </c>
      <c r="C847" s="1" t="n">
        <v>45786</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32779-2023</t>
        </is>
      </c>
      <c r="B848" s="1" t="n">
        <v>45123</v>
      </c>
      <c r="C848" s="1" t="n">
        <v>45786</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32778-2023</t>
        </is>
      </c>
      <c r="B849" s="1" t="n">
        <v>45123</v>
      </c>
      <c r="C849" s="1" t="n">
        <v>45786</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32895-2023</t>
        </is>
      </c>
      <c r="B850" s="1" t="n">
        <v>45124</v>
      </c>
      <c r="C850" s="1" t="n">
        <v>45786</v>
      </c>
      <c r="D850" t="inlineStr">
        <is>
          <t>UPPSALA LÄN</t>
        </is>
      </c>
      <c r="E850" t="inlineStr">
        <is>
          <t>ÖSTHAMMAR</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34108-2023</t>
        </is>
      </c>
      <c r="B851" s="1" t="n">
        <v>45135</v>
      </c>
      <c r="C851" s="1" t="n">
        <v>45786</v>
      </c>
      <c r="D851" t="inlineStr">
        <is>
          <t>UPPSALA LÄN</t>
        </is>
      </c>
      <c r="E851" t="inlineStr">
        <is>
          <t>ÖSTHAMMAR</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34607-2023</t>
        </is>
      </c>
      <c r="B852" s="1" t="n">
        <v>45138</v>
      </c>
      <c r="C852" s="1" t="n">
        <v>45786</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34412-2023</t>
        </is>
      </c>
      <c r="B853" s="1" t="n">
        <v>45139</v>
      </c>
      <c r="C853" s="1" t="n">
        <v>45786</v>
      </c>
      <c r="D853" t="inlineStr">
        <is>
          <t>UPPSALA LÄN</t>
        </is>
      </c>
      <c r="E853" t="inlineStr">
        <is>
          <t>ÖSTHAMMAR</t>
        </is>
      </c>
      <c r="F853" t="inlineStr">
        <is>
          <t>Bergvik skog öst AB</t>
        </is>
      </c>
      <c r="G853" t="n">
        <v>4</v>
      </c>
      <c r="H853" t="n">
        <v>0</v>
      </c>
      <c r="I853" t="n">
        <v>0</v>
      </c>
      <c r="J853" t="n">
        <v>0</v>
      </c>
      <c r="K853" t="n">
        <v>0</v>
      </c>
      <c r="L853" t="n">
        <v>0</v>
      </c>
      <c r="M853" t="n">
        <v>0</v>
      </c>
      <c r="N853" t="n">
        <v>0</v>
      </c>
      <c r="O853" t="n">
        <v>0</v>
      </c>
      <c r="P853" t="n">
        <v>0</v>
      </c>
      <c r="Q853" t="n">
        <v>0</v>
      </c>
      <c r="R853" s="2" t="inlineStr"/>
    </row>
    <row r="854" ht="15" customHeight="1">
      <c r="A854" t="inlineStr">
        <is>
          <t>A 34471-2023</t>
        </is>
      </c>
      <c r="B854" s="1" t="n">
        <v>45139</v>
      </c>
      <c r="C854" s="1" t="n">
        <v>45786</v>
      </c>
      <c r="D854" t="inlineStr">
        <is>
          <t>UPPSALA LÄN</t>
        </is>
      </c>
      <c r="E854" t="inlineStr">
        <is>
          <t>ÖSTHAMMAR</t>
        </is>
      </c>
      <c r="F854" t="inlineStr">
        <is>
          <t>Bergvik skog öst AB</t>
        </is>
      </c>
      <c r="G854" t="n">
        <v>4.5</v>
      </c>
      <c r="H854" t="n">
        <v>0</v>
      </c>
      <c r="I854" t="n">
        <v>0</v>
      </c>
      <c r="J854" t="n">
        <v>0</v>
      </c>
      <c r="K854" t="n">
        <v>0</v>
      </c>
      <c r="L854" t="n">
        <v>0</v>
      </c>
      <c r="M854" t="n">
        <v>0</v>
      </c>
      <c r="N854" t="n">
        <v>0</v>
      </c>
      <c r="O854" t="n">
        <v>0</v>
      </c>
      <c r="P854" t="n">
        <v>0</v>
      </c>
      <c r="Q854" t="n">
        <v>0</v>
      </c>
      <c r="R854" s="2" t="inlineStr"/>
    </row>
    <row r="855" ht="15" customHeight="1">
      <c r="A855" t="inlineStr">
        <is>
          <t>A 34920-2023</t>
        </is>
      </c>
      <c r="B855" s="1" t="n">
        <v>45142</v>
      </c>
      <c r="C855" s="1" t="n">
        <v>45786</v>
      </c>
      <c r="D855" t="inlineStr">
        <is>
          <t>UPPSALA LÄN</t>
        </is>
      </c>
      <c r="E855" t="inlineStr">
        <is>
          <t>ÖSTHAMMAR</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34923-2023</t>
        </is>
      </c>
      <c r="B856" s="1" t="n">
        <v>45142</v>
      </c>
      <c r="C856" s="1" t="n">
        <v>45786</v>
      </c>
      <c r="D856" t="inlineStr">
        <is>
          <t>UPPSALA LÄN</t>
        </is>
      </c>
      <c r="E856" t="inlineStr">
        <is>
          <t>ÖSTHAMMAR</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34951-2023</t>
        </is>
      </c>
      <c r="B857" s="1" t="n">
        <v>45142</v>
      </c>
      <c r="C857" s="1" t="n">
        <v>45786</v>
      </c>
      <c r="D857" t="inlineStr">
        <is>
          <t>UPPSALA LÄN</t>
        </is>
      </c>
      <c r="E857" t="inlineStr">
        <is>
          <t>ÖSTHAMMAR</t>
        </is>
      </c>
      <c r="F857" t="inlineStr">
        <is>
          <t>Naturvårdsverket</t>
        </is>
      </c>
      <c r="G857" t="n">
        <v>4.8</v>
      </c>
      <c r="H857" t="n">
        <v>0</v>
      </c>
      <c r="I857" t="n">
        <v>0</v>
      </c>
      <c r="J857" t="n">
        <v>0</v>
      </c>
      <c r="K857" t="n">
        <v>0</v>
      </c>
      <c r="L857" t="n">
        <v>0</v>
      </c>
      <c r="M857" t="n">
        <v>0</v>
      </c>
      <c r="N857" t="n">
        <v>0</v>
      </c>
      <c r="O857" t="n">
        <v>0</v>
      </c>
      <c r="P857" t="n">
        <v>0</v>
      </c>
      <c r="Q857" t="n">
        <v>0</v>
      </c>
      <c r="R857" s="2" t="inlineStr"/>
    </row>
    <row r="858" ht="15" customHeight="1">
      <c r="A858" t="inlineStr">
        <is>
          <t>A 34922-2023</t>
        </is>
      </c>
      <c r="B858" s="1" t="n">
        <v>45142</v>
      </c>
      <c r="C858" s="1" t="n">
        <v>45786</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35403-2023</t>
        </is>
      </c>
      <c r="B859" s="1" t="n">
        <v>45146</v>
      </c>
      <c r="C859" s="1" t="n">
        <v>45786</v>
      </c>
      <c r="D859" t="inlineStr">
        <is>
          <t>UPPSALA LÄN</t>
        </is>
      </c>
      <c r="E859" t="inlineStr">
        <is>
          <t>ÖSTHAMMAR</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35309-2023</t>
        </is>
      </c>
      <c r="B860" s="1" t="n">
        <v>45146</v>
      </c>
      <c r="C860" s="1" t="n">
        <v>45786</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35413-2023</t>
        </is>
      </c>
      <c r="B861" s="1" t="n">
        <v>45146</v>
      </c>
      <c r="C861" s="1" t="n">
        <v>45786</v>
      </c>
      <c r="D861" t="inlineStr">
        <is>
          <t>UPPSALA LÄN</t>
        </is>
      </c>
      <c r="E861" t="inlineStr">
        <is>
          <t>ÖSTHAMMAR</t>
        </is>
      </c>
      <c r="F861" t="inlineStr">
        <is>
          <t>Bergvik skog öst AB</t>
        </is>
      </c>
      <c r="G861" t="n">
        <v>26.1</v>
      </c>
      <c r="H861" t="n">
        <v>0</v>
      </c>
      <c r="I861" t="n">
        <v>0</v>
      </c>
      <c r="J861" t="n">
        <v>0</v>
      </c>
      <c r="K861" t="n">
        <v>0</v>
      </c>
      <c r="L861" t="n">
        <v>0</v>
      </c>
      <c r="M861" t="n">
        <v>0</v>
      </c>
      <c r="N861" t="n">
        <v>0</v>
      </c>
      <c r="O861" t="n">
        <v>0</v>
      </c>
      <c r="P861" t="n">
        <v>0</v>
      </c>
      <c r="Q861" t="n">
        <v>0</v>
      </c>
      <c r="R861" s="2" t="inlineStr"/>
    </row>
    <row r="862" ht="15" customHeight="1">
      <c r="A862" t="inlineStr">
        <is>
          <t>A 35406-2023</t>
        </is>
      </c>
      <c r="B862" s="1" t="n">
        <v>45146</v>
      </c>
      <c r="C862" s="1" t="n">
        <v>45786</v>
      </c>
      <c r="D862" t="inlineStr">
        <is>
          <t>UPPSALA LÄN</t>
        </is>
      </c>
      <c r="E862" t="inlineStr">
        <is>
          <t>ÖSTHAMMAR</t>
        </is>
      </c>
      <c r="F862" t="inlineStr">
        <is>
          <t>Bergvik skog öst AB</t>
        </is>
      </c>
      <c r="G862" t="n">
        <v>1.7</v>
      </c>
      <c r="H862" t="n">
        <v>0</v>
      </c>
      <c r="I862" t="n">
        <v>0</v>
      </c>
      <c r="J862" t="n">
        <v>0</v>
      </c>
      <c r="K862" t="n">
        <v>0</v>
      </c>
      <c r="L862" t="n">
        <v>0</v>
      </c>
      <c r="M862" t="n">
        <v>0</v>
      </c>
      <c r="N862" t="n">
        <v>0</v>
      </c>
      <c r="O862" t="n">
        <v>0</v>
      </c>
      <c r="P862" t="n">
        <v>0</v>
      </c>
      <c r="Q862" t="n">
        <v>0</v>
      </c>
      <c r="R862" s="2" t="inlineStr"/>
    </row>
    <row r="863" ht="15" customHeight="1">
      <c r="A863" t="inlineStr">
        <is>
          <t>A 35410-2023</t>
        </is>
      </c>
      <c r="B863" s="1" t="n">
        <v>45146</v>
      </c>
      <c r="C863" s="1" t="n">
        <v>45786</v>
      </c>
      <c r="D863" t="inlineStr">
        <is>
          <t>UPPSALA LÄN</t>
        </is>
      </c>
      <c r="E863" t="inlineStr">
        <is>
          <t>ÖSTHAMMAR</t>
        </is>
      </c>
      <c r="F863" t="inlineStr">
        <is>
          <t>Bergvik skog öst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35474-2023</t>
        </is>
      </c>
      <c r="B864" s="1" t="n">
        <v>45146</v>
      </c>
      <c r="C864" s="1" t="n">
        <v>45786</v>
      </c>
      <c r="D864" t="inlineStr">
        <is>
          <t>UPPSALA LÄN</t>
        </is>
      </c>
      <c r="E864" t="inlineStr">
        <is>
          <t>ÖSTHAMMAR</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35476-2023</t>
        </is>
      </c>
      <c r="B865" s="1" t="n">
        <v>45146</v>
      </c>
      <c r="C865" s="1" t="n">
        <v>45786</v>
      </c>
      <c r="D865" t="inlineStr">
        <is>
          <t>UPPSALA LÄN</t>
        </is>
      </c>
      <c r="E865" t="inlineStr">
        <is>
          <t>ÖSTHAMMAR</t>
        </is>
      </c>
      <c r="G865" t="n">
        <v>2.4</v>
      </c>
      <c r="H865" t="n">
        <v>0</v>
      </c>
      <c r="I865" t="n">
        <v>0</v>
      </c>
      <c r="J865" t="n">
        <v>0</v>
      </c>
      <c r="K865" t="n">
        <v>0</v>
      </c>
      <c r="L865" t="n">
        <v>0</v>
      </c>
      <c r="M865" t="n">
        <v>0</v>
      </c>
      <c r="N865" t="n">
        <v>0</v>
      </c>
      <c r="O865" t="n">
        <v>0</v>
      </c>
      <c r="P865" t="n">
        <v>0</v>
      </c>
      <c r="Q865" t="n">
        <v>0</v>
      </c>
      <c r="R865" s="2" t="inlineStr"/>
    </row>
    <row r="866" ht="15" customHeight="1">
      <c r="A866" t="inlineStr">
        <is>
          <t>A 35539-2023</t>
        </is>
      </c>
      <c r="B866" s="1" t="n">
        <v>45147</v>
      </c>
      <c r="C866" s="1" t="n">
        <v>45786</v>
      </c>
      <c r="D866" t="inlineStr">
        <is>
          <t>UPPSALA LÄN</t>
        </is>
      </c>
      <c r="E866" t="inlineStr">
        <is>
          <t>ÖSTHAMMAR</t>
        </is>
      </c>
      <c r="G866" t="n">
        <v>1.4</v>
      </c>
      <c r="H866" t="n">
        <v>0</v>
      </c>
      <c r="I866" t="n">
        <v>0</v>
      </c>
      <c r="J866" t="n">
        <v>0</v>
      </c>
      <c r="K866" t="n">
        <v>0</v>
      </c>
      <c r="L866" t="n">
        <v>0</v>
      </c>
      <c r="M866" t="n">
        <v>0</v>
      </c>
      <c r="N866" t="n">
        <v>0</v>
      </c>
      <c r="O866" t="n">
        <v>0</v>
      </c>
      <c r="P866" t="n">
        <v>0</v>
      </c>
      <c r="Q866" t="n">
        <v>0</v>
      </c>
      <c r="R866" s="2" t="inlineStr"/>
    </row>
    <row r="867" ht="15" customHeight="1">
      <c r="A867" t="inlineStr">
        <is>
          <t>A 35918-2023</t>
        </is>
      </c>
      <c r="B867" s="1" t="n">
        <v>45148</v>
      </c>
      <c r="C867" s="1" t="n">
        <v>45786</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36020-2023</t>
        </is>
      </c>
      <c r="B868" s="1" t="n">
        <v>45149</v>
      </c>
      <c r="C868" s="1" t="n">
        <v>45786</v>
      </c>
      <c r="D868" t="inlineStr">
        <is>
          <t>UPPSALA LÄN</t>
        </is>
      </c>
      <c r="E868" t="inlineStr">
        <is>
          <t>ÖSTHAMMAR</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36301-2023</t>
        </is>
      </c>
      <c r="B869" s="1" t="n">
        <v>45152</v>
      </c>
      <c r="C869" s="1" t="n">
        <v>45786</v>
      </c>
      <c r="D869" t="inlineStr">
        <is>
          <t>UPPSALA LÄN</t>
        </is>
      </c>
      <c r="E869" t="inlineStr">
        <is>
          <t>ÖSTHAMMAR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36447-2023</t>
        </is>
      </c>
      <c r="B870" s="1" t="n">
        <v>45152</v>
      </c>
      <c r="C870" s="1" t="n">
        <v>45786</v>
      </c>
      <c r="D870" t="inlineStr">
        <is>
          <t>UPPSALA LÄN</t>
        </is>
      </c>
      <c r="E870" t="inlineStr">
        <is>
          <t>ÖSTHAMMAR</t>
        </is>
      </c>
      <c r="F870" t="inlineStr">
        <is>
          <t>Bergvik skog öst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36861-2023</t>
        </is>
      </c>
      <c r="B871" s="1" t="n">
        <v>45154</v>
      </c>
      <c r="C871" s="1" t="n">
        <v>45786</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36857-2023</t>
        </is>
      </c>
      <c r="B872" s="1" t="n">
        <v>45154</v>
      </c>
      <c r="C872" s="1" t="n">
        <v>45786</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36904-2023</t>
        </is>
      </c>
      <c r="B873" s="1" t="n">
        <v>45154</v>
      </c>
      <c r="C873" s="1" t="n">
        <v>45786</v>
      </c>
      <c r="D873" t="inlineStr">
        <is>
          <t>UPPSALA LÄN</t>
        </is>
      </c>
      <c r="E873" t="inlineStr">
        <is>
          <t>ÖSTHAMMAR</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37021-2023</t>
        </is>
      </c>
      <c r="B874" s="1" t="n">
        <v>45155</v>
      </c>
      <c r="C874" s="1" t="n">
        <v>45786</v>
      </c>
      <c r="D874" t="inlineStr">
        <is>
          <t>UPPSALA LÄN</t>
        </is>
      </c>
      <c r="E874" t="inlineStr">
        <is>
          <t>ÖSTHAMMAR</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37296-2023</t>
        </is>
      </c>
      <c r="B875" s="1" t="n">
        <v>45156</v>
      </c>
      <c r="C875" s="1" t="n">
        <v>45786</v>
      </c>
      <c r="D875" t="inlineStr">
        <is>
          <t>UPPSALA LÄN</t>
        </is>
      </c>
      <c r="E875" t="inlineStr">
        <is>
          <t>ÖSTHAMMAR</t>
        </is>
      </c>
      <c r="G875" t="n">
        <v>4.7</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45786</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45786</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45786</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45786</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45786</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45786</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45786</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45786</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45786</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45786</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45786</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45786</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45786</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45786</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45786</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45786</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45786</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45786</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45786</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45786</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45786</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45786</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45786</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45786</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45786</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45786</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45786</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45786</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45786</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45786</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45786</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45786</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45786</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45786</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45786</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45786</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45786</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45786</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45786</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45786</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45786</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45786</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45786</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45786</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45786</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45786</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45786</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45786</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45786</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45786</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45786</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45786</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45786</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45786</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45786</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45786</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45786</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45786</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45786</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45786</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45786</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45786</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45786</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45786</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45786</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45786</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45786</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45786</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45786</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45786</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45786</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45786</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45786</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45786</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45786</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45786</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45786</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45786</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45786</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45786</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45786</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45786</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45786</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45786</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45786</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45786</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45786</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45786</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45786</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45786</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45786</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45786</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45786</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45786</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45786</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45786</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45786</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45786</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45786</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45786</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45786</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45786</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45786</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45786</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45786</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45786</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45786</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45786</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45786</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45786</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45786</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45786</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45786</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45786</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45786</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45786</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45786</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45786</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45786</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45786</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45786</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45786</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45786</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45786</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45786</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45786</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45786</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45786</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45786</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45786</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45786</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45786</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45786</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45786</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45786</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45786</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45786</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45786</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45786</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45786</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45786</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45786</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45786</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45786</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45786</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45786</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45786</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45786</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45786</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45786</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45786</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45786</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45786</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45786</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45786</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45786</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45786</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45786</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45786</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45786</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45786</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45786</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45786</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45786</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45786</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45786</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45786</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45786</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45786</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45786</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45786</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45786</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45786</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45786</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45786</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45786</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45786</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45786</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45786</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45786</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45786</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45786</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45786</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45786</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45786</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45786</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45786</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45786</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45786</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45786</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45786</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45786</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45786</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45786</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45786</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45786</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45786</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45786</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45786</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45786</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45786</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45786</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45786</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45786</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45786</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45786</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45786</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45786</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45786</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45786</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45786</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45786</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45786</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45786</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45786</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45786</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45786</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45786</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45786</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45786</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45786</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45786</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45786</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45786</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45786</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45786</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45786</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45786</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45786</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45786</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45786</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45786</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45786</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45786</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45786</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45786</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45786</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45786</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45786</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45786</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45786</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45786</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45786</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45786</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45786</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45786</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45786</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45786</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45786</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45786</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45786</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45786</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45786</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45786</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45786</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45786</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45786</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45786</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45786</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45786</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45786</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45786</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45786</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45786</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45786</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45786</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45786</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45786</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45786</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45786</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45786</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45786</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45786</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45786</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45786</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45786</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45786</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45786</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45786</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45786</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45786</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45786</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45786</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45786</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45786</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45786</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45786</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45786</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45786</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45786</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45786</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45786</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45786</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45786</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45786</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45786</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45786</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45786</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45786</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45786</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45786</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45786</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45786</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45786</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45786</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45786</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45786</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45786</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45786</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45786</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45786</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45786</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45786</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45786</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45786</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45786</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45786</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45786</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45786</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45786</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45786</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45786</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45786</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45786</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45786</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45786</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45786</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45786</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45786</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45786</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45786</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45786</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45786</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45786</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45786</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45786</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45786</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45786</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45786</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45786</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45786</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45786</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45786</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45786</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45786</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45786</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45786</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45786</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45786</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45786</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45786</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45786</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45786</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45786</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45786</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45786</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45786</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45786</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45786</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45786</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45786</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45786</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45786</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45786</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45786</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45786</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45786</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45786</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45786</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45786</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45786</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45786</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45786</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45786</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45786</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45786</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45786</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45786</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45786</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45786</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45786</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45786</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45786</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45786</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45786</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45786</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45786</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45786</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45786</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45786</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45786</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45786</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45786</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45786</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45786</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45786</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45786</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45786</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45786</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45786</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45786</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45786</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45786</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45786</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45786</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45786</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45786</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45786</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45786</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45786</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45786</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45786</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45786</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45786</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45786</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45786</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45786</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45786</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45786</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45786</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45786</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45786</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45786</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45786</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45786</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45786</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45786</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45786</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45786</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45786</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45786</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45786</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45786</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45786</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45786</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45786</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45786</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45786</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45786</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45786</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45786</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45786</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45786</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45786</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45786</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45786</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45786</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45786</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45786</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45786</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45786</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45786</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45786</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45786</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45786</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45786</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45786</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45786</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45786</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45786</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45786</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45786</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45786</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45786</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45786</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45786</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45786</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45786</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45786</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45786</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45786</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45786</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45786</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45786</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45786</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45786</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45786</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45786</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45786</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45786</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45786</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45786</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45786</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45786</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45786</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45786</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45786</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45786</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45786</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45786</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45786</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45786</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45786</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45786</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45786</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45786</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45786</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45786</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45786</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45786</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45786</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45786</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45786</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45786</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45786</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45786</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45786</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45786</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45786</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45786</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45786</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45786</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45786</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45786</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45786</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45786</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45786</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45786</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45786</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45786</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45786</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45786</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45786</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45786</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45786</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45786</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45786</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45786</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45786</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45786</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45786</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45786</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45786</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45786</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45786</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45786</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45786</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45786</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45786</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45786</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45786</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45786</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45786</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45786</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45786</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45786</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45786</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45786</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45786</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45786</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45786</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45786</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45786</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45786</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45786</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45786</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45786</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45786</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45786</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45786</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45786</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45786</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45786</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45786</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45786</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45786</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45786</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45786</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17430-2025</t>
        </is>
      </c>
      <c r="B1444" s="1" t="n">
        <v>45757</v>
      </c>
      <c r="C1444" s="1" t="n">
        <v>45786</v>
      </c>
      <c r="D1444" t="inlineStr">
        <is>
          <t>UPPSALA LÄN</t>
        </is>
      </c>
      <c r="E1444" t="inlineStr">
        <is>
          <t>ÖSTHAMMAR</t>
        </is>
      </c>
      <c r="F1444" t="inlineStr">
        <is>
          <t>Övriga Aktiebolag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17433-2025</t>
        </is>
      </c>
      <c r="B1445" s="1" t="n">
        <v>45757</v>
      </c>
      <c r="C1445" s="1" t="n">
        <v>45786</v>
      </c>
      <c r="D1445" t="inlineStr">
        <is>
          <t>UPPSALA LÄN</t>
        </is>
      </c>
      <c r="E1445" t="inlineStr">
        <is>
          <t>ÖSTHAMMAR</t>
        </is>
      </c>
      <c r="F1445" t="inlineStr">
        <is>
          <t>Övriga Aktiebolag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17648-2025</t>
        </is>
      </c>
      <c r="B1446" s="1" t="n">
        <v>45758</v>
      </c>
      <c r="C1446" s="1" t="n">
        <v>45786</v>
      </c>
      <c r="D1446" t="inlineStr">
        <is>
          <t>UPPSALA LÄN</t>
        </is>
      </c>
      <c r="E1446" t="inlineStr">
        <is>
          <t>ÖSTHAMMAR</t>
        </is>
      </c>
      <c r="F1446" t="inlineStr">
        <is>
          <t>Bergvik skog väst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45786</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45786</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17646-2025</t>
        </is>
      </c>
      <c r="B1449" s="1" t="n">
        <v>45758</v>
      </c>
      <c r="C1449" s="1" t="n">
        <v>45786</v>
      </c>
      <c r="D1449" t="inlineStr">
        <is>
          <t>UPPSALA LÄN</t>
        </is>
      </c>
      <c r="E1449" t="inlineStr">
        <is>
          <t>ÖSTHAMMAR</t>
        </is>
      </c>
      <c r="F1449" t="inlineStr">
        <is>
          <t>Bergvik skog väst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17655-2025</t>
        </is>
      </c>
      <c r="B1450" s="1" t="n">
        <v>45758</v>
      </c>
      <c r="C1450" s="1" t="n">
        <v>45786</v>
      </c>
      <c r="D1450" t="inlineStr">
        <is>
          <t>UPPSALA LÄN</t>
        </is>
      </c>
      <c r="E1450" t="inlineStr">
        <is>
          <t>ÖSTHAMMAR</t>
        </is>
      </c>
      <c r="F1450" t="inlineStr">
        <is>
          <t>Övriga Aktiebolag</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17643-2025</t>
        </is>
      </c>
      <c r="B1451" s="1" t="n">
        <v>45758</v>
      </c>
      <c r="C1451" s="1" t="n">
        <v>45786</v>
      </c>
      <c r="D1451" t="inlineStr">
        <is>
          <t>UPPSALA LÄN</t>
        </is>
      </c>
      <c r="E1451" t="inlineStr">
        <is>
          <t>ÖSTHAMMAR</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45786</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45786</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17931-2025</t>
        </is>
      </c>
      <c r="B1454" s="1" t="n">
        <v>45759</v>
      </c>
      <c r="C1454" s="1" t="n">
        <v>45786</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45786</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45786</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17930-2025</t>
        </is>
      </c>
      <c r="B1457" s="1" t="n">
        <v>45759</v>
      </c>
      <c r="C1457" s="1" t="n">
        <v>45786</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17938-2025</t>
        </is>
      </c>
      <c r="B1458" s="1" t="n">
        <v>45760</v>
      </c>
      <c r="C1458" s="1" t="n">
        <v>45786</v>
      </c>
      <c r="D1458" t="inlineStr">
        <is>
          <t>UPPSALA LÄN</t>
        </is>
      </c>
      <c r="E1458" t="inlineStr">
        <is>
          <t>ÖSTHAMMAR</t>
        </is>
      </c>
      <c r="F1458" t="inlineStr">
        <is>
          <t>Bergvik skog öst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45786</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45786</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18095-2025</t>
        </is>
      </c>
      <c r="B1461" s="1" t="n">
        <v>45761</v>
      </c>
      <c r="C1461" s="1" t="n">
        <v>45786</v>
      </c>
      <c r="D1461" t="inlineStr">
        <is>
          <t>UPPSALA LÄN</t>
        </is>
      </c>
      <c r="E1461" t="inlineStr">
        <is>
          <t>ÖSTHAMMAR</t>
        </is>
      </c>
      <c r="F1461" t="inlineStr">
        <is>
          <t>Bergvik skog öst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18088-2025</t>
        </is>
      </c>
      <c r="B1462" s="1" t="n">
        <v>45761</v>
      </c>
      <c r="C1462" s="1" t="n">
        <v>45786</v>
      </c>
      <c r="D1462" t="inlineStr">
        <is>
          <t>UPPSALA LÄN</t>
        </is>
      </c>
      <c r="E1462" t="inlineStr">
        <is>
          <t>ÖSTHAMMAR</t>
        </is>
      </c>
      <c r="F1462" t="inlineStr">
        <is>
          <t>Bergvik skog öst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18094-2025</t>
        </is>
      </c>
      <c r="B1463" s="1" t="n">
        <v>45761</v>
      </c>
      <c r="C1463" s="1" t="n">
        <v>45786</v>
      </c>
      <c r="D1463" t="inlineStr">
        <is>
          <t>UPPSALA LÄN</t>
        </is>
      </c>
      <c r="E1463" t="inlineStr">
        <is>
          <t>ÖSTHAMMAR</t>
        </is>
      </c>
      <c r="F1463" t="inlineStr">
        <is>
          <t>Bergvik skog öst AB</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45786</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45786</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19637-2025</t>
        </is>
      </c>
      <c r="B1466" s="1" t="n">
        <v>45770</v>
      </c>
      <c r="C1466" s="1" t="n">
        <v>45786</v>
      </c>
      <c r="D1466" t="inlineStr">
        <is>
          <t>UPPSALA LÄN</t>
        </is>
      </c>
      <c r="E1466" t="inlineStr">
        <is>
          <t>ÖSTHAMMAR</t>
        </is>
      </c>
      <c r="F1466" t="inlineStr">
        <is>
          <t>Övriga Aktiebolag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19650-2025</t>
        </is>
      </c>
      <c r="B1467" s="1" t="n">
        <v>45770</v>
      </c>
      <c r="C1467" s="1" t="n">
        <v>45786</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19646-2025</t>
        </is>
      </c>
      <c r="B1468" s="1" t="n">
        <v>45770</v>
      </c>
      <c r="C1468" s="1" t="n">
        <v>45786</v>
      </c>
      <c r="D1468" t="inlineStr">
        <is>
          <t>UPPSALA LÄN</t>
        </is>
      </c>
      <c r="E1468" t="inlineStr">
        <is>
          <t>ÖSTHAMMAR</t>
        </is>
      </c>
      <c r="F1468" t="inlineStr">
        <is>
          <t>Övriga Aktiebolag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19501-2025</t>
        </is>
      </c>
      <c r="B1469" s="1" t="n">
        <v>45770</v>
      </c>
      <c r="C1469" s="1" t="n">
        <v>45786</v>
      </c>
      <c r="D1469" t="inlineStr">
        <is>
          <t>UPPSALA LÄN</t>
        </is>
      </c>
      <c r="E1469" t="inlineStr">
        <is>
          <t>ÖSTHAMMAR</t>
        </is>
      </c>
      <c r="F1469" t="inlineStr">
        <is>
          <t>Övriga Aktiebolag</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45786</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45786</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45786</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45786</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45786</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21133-2025</t>
        </is>
      </c>
      <c r="B1475" s="1" t="n">
        <v>45778</v>
      </c>
      <c r="C1475" s="1" t="n">
        <v>45786</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c r="A1476" t="inlineStr">
        <is>
          <t>A 21132-2025</t>
        </is>
      </c>
      <c r="B1476" s="1" t="n">
        <v>45778</v>
      </c>
      <c r="C1476" s="1" t="n">
        <v>45786</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2025-05-09T16:34:26Z</dcterms:created>
  <dcterms:modified xmlns:dcterms="http://purl.org/dc/terms/" xmlns:xsi="http://www.w3.org/2001/XMLSchema-instance" xsi:type="dcterms:W3CDTF">2025-05-09T16:34:28Z</dcterms:modified>
</cp:coreProperties>
</file>