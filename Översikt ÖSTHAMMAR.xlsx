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46134</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46134</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46134</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46134</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46134</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46134</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46134</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46134</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46134</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46134</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46134</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46134</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46134</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46134</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46134</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46134</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46134</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46134</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46134</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46134</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16239-2025</t>
        </is>
      </c>
      <c r="B25" s="1" t="n">
        <v>45746</v>
      </c>
      <c r="C25" s="1" t="n">
        <v>46134</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49910-2022</t>
        </is>
      </c>
      <c r="B26" s="1" t="n">
        <v>44865</v>
      </c>
      <c r="C26" s="1" t="n">
        <v>46134</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9569-2026</t>
        </is>
      </c>
      <c r="B27" s="1" t="n">
        <v>46071.65847222223</v>
      </c>
      <c r="C27" s="1" t="n">
        <v>46134</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63054-2025</t>
        </is>
      </c>
      <c r="B28" s="1" t="n">
        <v>46009</v>
      </c>
      <c r="C28" s="1" t="n">
        <v>46134</v>
      </c>
      <c r="D28" t="inlineStr">
        <is>
          <t>UPPSALA LÄN</t>
        </is>
      </c>
      <c r="E28" t="inlineStr">
        <is>
          <t>ÖSTHAMMAR</t>
        </is>
      </c>
      <c r="F28" t="inlineStr">
        <is>
          <t>Kyrkan</t>
        </is>
      </c>
      <c r="G28" t="n">
        <v>6.5</v>
      </c>
      <c r="H28" t="n">
        <v>2</v>
      </c>
      <c r="I28" t="n">
        <v>2</v>
      </c>
      <c r="J28" t="n">
        <v>3</v>
      </c>
      <c r="K28" t="n">
        <v>1</v>
      </c>
      <c r="L28" t="n">
        <v>0</v>
      </c>
      <c r="M28" t="n">
        <v>0</v>
      </c>
      <c r="N28" t="n">
        <v>0</v>
      </c>
      <c r="O28" t="n">
        <v>4</v>
      </c>
      <c r="P28" t="n">
        <v>1</v>
      </c>
      <c r="Q28" t="n">
        <v>7</v>
      </c>
      <c r="R28" s="2" t="inlineStr">
        <is>
          <t>Knärot
Gultoppig fingersvamp
Kortskaftad ärgspik
Vedtrappmossa
Fjällig taggsvamp s.str.
Svavelriska
Blåsippa</t>
        </is>
      </c>
      <c r="S28">
        <f>HYPERLINK("https://klasma.github.io/Logging_0382/artfynd/A 63054-2025 artfynd.xlsx", "A 63054-2025")</f>
        <v/>
      </c>
      <c r="T28">
        <f>HYPERLINK("https://klasma.github.io/Logging_0382/kartor/A 63054-2025 karta.png", "A 63054-2025")</f>
        <v/>
      </c>
      <c r="U28">
        <f>HYPERLINK("https://klasma.github.io/Logging_0382/knärot/A 63054-2025 karta knärot.png", "A 63054-2025")</f>
        <v/>
      </c>
      <c r="V28">
        <f>HYPERLINK("https://klasma.github.io/Logging_0382/klagomål/A 63054-2025 FSC-klagomål.docx", "A 63054-2025")</f>
        <v/>
      </c>
      <c r="W28">
        <f>HYPERLINK("https://klasma.github.io/Logging_0382/klagomålsmail/A 63054-2025 FSC-klagomål mail.docx", "A 63054-2025")</f>
        <v/>
      </c>
      <c r="X28">
        <f>HYPERLINK("https://klasma.github.io/Logging_0382/tillsyn/A 63054-2025 tillsynsbegäran.docx", "A 63054-2025")</f>
        <v/>
      </c>
      <c r="Y28">
        <f>HYPERLINK("https://klasma.github.io/Logging_0382/tillsynsmail/A 63054-2025 tillsynsbegäran mail.docx", "A 63054-2025")</f>
        <v/>
      </c>
    </row>
    <row r="29" ht="15" customHeight="1">
      <c r="A29" t="inlineStr">
        <is>
          <t>A 16242-2025</t>
        </is>
      </c>
      <c r="B29" s="1" t="n">
        <v>45746</v>
      </c>
      <c r="C29" s="1" t="n">
        <v>46134</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221-2025</t>
        </is>
      </c>
      <c r="B30" s="1" t="n">
        <v>45660</v>
      </c>
      <c r="C30" s="1" t="n">
        <v>46134</v>
      </c>
      <c r="D30" t="inlineStr">
        <is>
          <t>UPPSALA LÄN</t>
        </is>
      </c>
      <c r="E30" t="inlineStr">
        <is>
          <t>ÖSTHAMMAR</t>
        </is>
      </c>
      <c r="F30" t="inlineStr">
        <is>
          <t>Bergvik skog öst AB</t>
        </is>
      </c>
      <c r="G30" t="n">
        <v>1.3</v>
      </c>
      <c r="H30" t="n">
        <v>3</v>
      </c>
      <c r="I30" t="n">
        <v>4</v>
      </c>
      <c r="J30" t="n">
        <v>2</v>
      </c>
      <c r="K30" t="n">
        <v>0</v>
      </c>
      <c r="L30" t="n">
        <v>0</v>
      </c>
      <c r="M30" t="n">
        <v>0</v>
      </c>
      <c r="N30" t="n">
        <v>0</v>
      </c>
      <c r="O30" t="n">
        <v>2</v>
      </c>
      <c r="P30" t="n">
        <v>0</v>
      </c>
      <c r="Q30" t="n">
        <v>7</v>
      </c>
      <c r="R30" s="2" t="inlineStr">
        <is>
          <t>Gul taggsvamp
Talltita
Fjällig taggsvamp s.str.
Grön sköldmossa
Korallblylav
Rödgul trumpetsvamp
Blåsippa</t>
        </is>
      </c>
      <c r="S30">
        <f>HYPERLINK("https://klasma.github.io/Logging_0382/artfynd/A 221-2025 artfynd.xlsx", "A 221-2025")</f>
        <v/>
      </c>
      <c r="T30">
        <f>HYPERLINK("https://klasma.github.io/Logging_0382/kartor/A 221-2025 karta.png", "A 221-2025")</f>
        <v/>
      </c>
      <c r="V30">
        <f>HYPERLINK("https://klasma.github.io/Logging_0382/klagomål/A 221-2025 FSC-klagomål.docx", "A 221-2025")</f>
        <v/>
      </c>
      <c r="W30">
        <f>HYPERLINK("https://klasma.github.io/Logging_0382/klagomålsmail/A 221-2025 FSC-klagomål mail.docx", "A 221-2025")</f>
        <v/>
      </c>
      <c r="X30">
        <f>HYPERLINK("https://klasma.github.io/Logging_0382/tillsyn/A 221-2025 tillsynsbegäran.docx", "A 221-2025")</f>
        <v/>
      </c>
      <c r="Y30">
        <f>HYPERLINK("https://klasma.github.io/Logging_0382/tillsynsmail/A 221-2025 tillsynsbegäran mail.docx", "A 221-2025")</f>
        <v/>
      </c>
      <c r="Z30">
        <f>HYPERLINK("https://klasma.github.io/Logging_0382/fåglar/A 221-2025 prioriterade fågelarter.docx", "A 221-2025")</f>
        <v/>
      </c>
    </row>
    <row r="31" ht="15" customHeight="1">
      <c r="A31" t="inlineStr">
        <is>
          <t>A 35911-2021</t>
        </is>
      </c>
      <c r="B31" s="1" t="n">
        <v>44387</v>
      </c>
      <c r="C31" s="1" t="n">
        <v>46134</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46134</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46134</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46785-2023</t>
        </is>
      </c>
      <c r="B34" s="1" t="n">
        <v>45198</v>
      </c>
      <c r="C34" s="1" t="n">
        <v>46134</v>
      </c>
      <c r="D34" t="inlineStr">
        <is>
          <t>UPPSALA LÄN</t>
        </is>
      </c>
      <c r="E34" t="inlineStr">
        <is>
          <t>ÖSTHAMMAR</t>
        </is>
      </c>
      <c r="G34" t="n">
        <v>1.6</v>
      </c>
      <c r="H34" t="n">
        <v>3</v>
      </c>
      <c r="I34" t="n">
        <v>5</v>
      </c>
      <c r="J34" t="n">
        <v>0</v>
      </c>
      <c r="K34" t="n">
        <v>0</v>
      </c>
      <c r="L34" t="n">
        <v>0</v>
      </c>
      <c r="M34" t="n">
        <v>0</v>
      </c>
      <c r="N34" t="n">
        <v>0</v>
      </c>
      <c r="O34" t="n">
        <v>0</v>
      </c>
      <c r="P34" t="n">
        <v>0</v>
      </c>
      <c r="Q34" t="n">
        <v>6</v>
      </c>
      <c r="R34" s="2" t="inlineStr">
        <is>
          <t>Nästrot
Skogsknipprot
Sårläka
Tibast
Vågbandad barkbock
Blåsippa</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23496-2023</t>
        </is>
      </c>
      <c r="B35" s="1" t="n">
        <v>45076</v>
      </c>
      <c r="C35" s="1" t="n">
        <v>46134</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48277-2023</t>
        </is>
      </c>
      <c r="B36" s="1" t="n">
        <v>45205</v>
      </c>
      <c r="C36" s="1" t="n">
        <v>46134</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46134</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46134</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1101-2026</t>
        </is>
      </c>
      <c r="B40" s="1" t="n">
        <v>46030.66722222222</v>
      </c>
      <c r="C40" s="1" t="n">
        <v>46134</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26056-2025</t>
        </is>
      </c>
      <c r="B41" s="1" t="n">
        <v>45804.79280092593</v>
      </c>
      <c r="C41" s="1" t="n">
        <v>46134</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15556-2022</t>
        </is>
      </c>
      <c r="B42" s="1" t="n">
        <v>44662</v>
      </c>
      <c r="C42" s="1" t="n">
        <v>46134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23498-2023</t>
        </is>
      </c>
      <c r="B43" s="1" t="n">
        <v>45076</v>
      </c>
      <c r="C43" s="1" t="n">
        <v>46134</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51154-2025</t>
        </is>
      </c>
      <c r="B44" s="1" t="n">
        <v>45947.57583333334</v>
      </c>
      <c r="C44" s="1" t="n">
        <v>46134</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43992-2022</t>
        </is>
      </c>
      <c r="B45" s="1" t="n">
        <v>44837</v>
      </c>
      <c r="C45" s="1" t="n">
        <v>46134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24563-2022</t>
        </is>
      </c>
      <c r="B46" s="1" t="n">
        <v>44727</v>
      </c>
      <c r="C46" s="1" t="n">
        <v>46134</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74364-2021</t>
        </is>
      </c>
      <c r="B47" s="1" t="n">
        <v>44559</v>
      </c>
      <c r="C47" s="1" t="n">
        <v>46134</v>
      </c>
      <c r="D47" t="inlineStr">
        <is>
          <t>UPPSALA LÄN</t>
        </is>
      </c>
      <c r="E47" t="inlineStr">
        <is>
          <t>ÖSTHAMMAR</t>
        </is>
      </c>
      <c r="G47" t="n">
        <v>3.5</v>
      </c>
      <c r="H47" t="n">
        <v>3</v>
      </c>
      <c r="I47" t="n">
        <v>3</v>
      </c>
      <c r="J47" t="n">
        <v>0</v>
      </c>
      <c r="K47" t="n">
        <v>0</v>
      </c>
      <c r="L47" t="n">
        <v>0</v>
      </c>
      <c r="M47" t="n">
        <v>0</v>
      </c>
      <c r="N47" t="n">
        <v>0</v>
      </c>
      <c r="O47" t="n">
        <v>0</v>
      </c>
      <c r="P47" t="n">
        <v>0</v>
      </c>
      <c r="Q47" t="n">
        <v>5</v>
      </c>
      <c r="R47" s="2" t="inlineStr">
        <is>
          <t>Bronshjon
Skogsknipprot
Sårläka
Blåsippa
Lopplummer (aggregat)</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55492-2023</t>
        </is>
      </c>
      <c r="B48" s="1" t="n">
        <v>45238</v>
      </c>
      <c r="C48" s="1" t="n">
        <v>46134</v>
      </c>
      <c r="D48" t="inlineStr">
        <is>
          <t>UPPSALA LÄN</t>
        </is>
      </c>
      <c r="E48" t="inlineStr">
        <is>
          <t>ÖSTHAMMAR</t>
        </is>
      </c>
      <c r="G48" t="n">
        <v>3.1</v>
      </c>
      <c r="H48" t="n">
        <v>4</v>
      </c>
      <c r="I48" t="n">
        <v>2</v>
      </c>
      <c r="J48" t="n">
        <v>0</v>
      </c>
      <c r="K48" t="n">
        <v>2</v>
      </c>
      <c r="L48" t="n">
        <v>0</v>
      </c>
      <c r="M48" t="n">
        <v>0</v>
      </c>
      <c r="N48" t="n">
        <v>0</v>
      </c>
      <c r="O48" t="n">
        <v>2</v>
      </c>
      <c r="P48" t="n">
        <v>2</v>
      </c>
      <c r="Q48" t="n">
        <v>5</v>
      </c>
      <c r="R48" s="2" t="inlineStr">
        <is>
          <t>Knärot
Violgubbe
Skogsknipprot
Tvåblad
Fläcknycklar</t>
        </is>
      </c>
      <c r="S48">
        <f>HYPERLINK("https://klasma.github.io/Logging_0382/artfynd/A 55492-2023 artfynd.xlsx", "A 55492-2023")</f>
        <v/>
      </c>
      <c r="T48">
        <f>HYPERLINK("https://klasma.github.io/Logging_0382/kartor/A 55492-2023 karta.png", "A 55492-2023")</f>
        <v/>
      </c>
      <c r="U48">
        <f>HYPERLINK("https://klasma.github.io/Logging_0382/knärot/A 55492-2023 karta knärot.png", "A 55492-2023")</f>
        <v/>
      </c>
      <c r="V48">
        <f>HYPERLINK("https://klasma.github.io/Logging_0382/klagomål/A 55492-2023 FSC-klagomål.docx", "A 55492-2023")</f>
        <v/>
      </c>
      <c r="W48">
        <f>HYPERLINK("https://klasma.github.io/Logging_0382/klagomålsmail/A 55492-2023 FSC-klagomål mail.docx", "A 55492-2023")</f>
        <v/>
      </c>
      <c r="X48">
        <f>HYPERLINK("https://klasma.github.io/Logging_0382/tillsyn/A 55492-2023 tillsynsbegäran.docx", "A 55492-2023")</f>
        <v/>
      </c>
      <c r="Y48">
        <f>HYPERLINK("https://klasma.github.io/Logging_0382/tillsynsmail/A 55492-2023 tillsynsbegäran mail.docx", "A 55492-2023")</f>
        <v/>
      </c>
    </row>
    <row r="49" ht="15" customHeight="1">
      <c r="A49" t="inlineStr">
        <is>
          <t>A 52808-2022</t>
        </is>
      </c>
      <c r="B49" s="1" t="n">
        <v>44875</v>
      </c>
      <c r="C49" s="1" t="n">
        <v>46134</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46134</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46134</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46134</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46134</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46134</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18158-2026</t>
        </is>
      </c>
      <c r="B55" s="1" t="n">
        <v>46125.64015046296</v>
      </c>
      <c r="C55" s="1" t="n">
        <v>46134</v>
      </c>
      <c r="D55" t="inlineStr">
        <is>
          <t>UPPSALA LÄN</t>
        </is>
      </c>
      <c r="E55" t="inlineStr">
        <is>
          <t>ÖSTHAMMAR</t>
        </is>
      </c>
      <c r="F55" t="inlineStr">
        <is>
          <t>Övriga Aktiebolag</t>
        </is>
      </c>
      <c r="G55" t="n">
        <v>3.7</v>
      </c>
      <c r="H55" t="n">
        <v>3</v>
      </c>
      <c r="I55" t="n">
        <v>2</v>
      </c>
      <c r="J55" t="n">
        <v>1</v>
      </c>
      <c r="K55" t="n">
        <v>0</v>
      </c>
      <c r="L55" t="n">
        <v>0</v>
      </c>
      <c r="M55" t="n">
        <v>0</v>
      </c>
      <c r="N55" t="n">
        <v>0</v>
      </c>
      <c r="O55" t="n">
        <v>1</v>
      </c>
      <c r="P55" t="n">
        <v>0</v>
      </c>
      <c r="Q55" t="n">
        <v>4</v>
      </c>
      <c r="R55" s="2" t="inlineStr">
        <is>
          <t>Gulsparv
Nästrot
Tibast
Blåsippa</t>
        </is>
      </c>
      <c r="S55">
        <f>HYPERLINK("https://klasma.github.io/Logging_0382/artfynd/A 18158-2026 artfynd.xlsx", "A 18158-2026")</f>
        <v/>
      </c>
      <c r="T55">
        <f>HYPERLINK("https://klasma.github.io/Logging_0382/kartor/A 18158-2026 karta.png", "A 18158-2026")</f>
        <v/>
      </c>
      <c r="V55">
        <f>HYPERLINK("https://klasma.github.io/Logging_0382/klagomål/A 18158-2026 FSC-klagomål.docx", "A 18158-2026")</f>
        <v/>
      </c>
      <c r="W55">
        <f>HYPERLINK("https://klasma.github.io/Logging_0382/klagomålsmail/A 18158-2026 FSC-klagomål mail.docx", "A 18158-2026")</f>
        <v/>
      </c>
      <c r="X55">
        <f>HYPERLINK("https://klasma.github.io/Logging_0382/tillsyn/A 18158-2026 tillsynsbegäran.docx", "A 18158-2026")</f>
        <v/>
      </c>
      <c r="Y55">
        <f>HYPERLINK("https://klasma.github.io/Logging_0382/tillsynsmail/A 18158-2026 tillsynsbegäran mail.docx", "A 18158-2026")</f>
        <v/>
      </c>
      <c r="Z55">
        <f>HYPERLINK("https://klasma.github.io/Logging_0382/fåglar/A 18158-2026 prioriterade fågelarter.docx", "A 18158-2026")</f>
        <v/>
      </c>
    </row>
    <row r="56" ht="15" customHeight="1">
      <c r="A56" t="inlineStr">
        <is>
          <t>A 26279-2024</t>
        </is>
      </c>
      <c r="B56" s="1" t="n">
        <v>45468</v>
      </c>
      <c r="C56" s="1" t="n">
        <v>46134</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25044-2025</t>
        </is>
      </c>
      <c r="B57" s="1" t="n">
        <v>45799.66607638889</v>
      </c>
      <c r="C57" s="1" t="n">
        <v>46134</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46134</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46134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46134</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9715-2024</t>
        </is>
      </c>
      <c r="B61" s="1" t="n">
        <v>45362.53928240741</v>
      </c>
      <c r="C61" s="1" t="n">
        <v>46134</v>
      </c>
      <c r="D61" t="inlineStr">
        <is>
          <t>UPPSALA LÄN</t>
        </is>
      </c>
      <c r="E61" t="inlineStr">
        <is>
          <t>ÖSTHAMMAR</t>
        </is>
      </c>
      <c r="G61" t="n">
        <v>4.7</v>
      </c>
      <c r="H61" t="n">
        <v>2</v>
      </c>
      <c r="I61" t="n">
        <v>2</v>
      </c>
      <c r="J61" t="n">
        <v>0</v>
      </c>
      <c r="K61" t="n">
        <v>1</v>
      </c>
      <c r="L61" t="n">
        <v>0</v>
      </c>
      <c r="M61" t="n">
        <v>0</v>
      </c>
      <c r="N61" t="n">
        <v>0</v>
      </c>
      <c r="O61" t="n">
        <v>1</v>
      </c>
      <c r="P61" t="n">
        <v>1</v>
      </c>
      <c r="Q61" t="n">
        <v>3</v>
      </c>
      <c r="R61" s="2" t="inlineStr">
        <is>
          <t>Knärot
Skogsknipprot
Vedticka</t>
        </is>
      </c>
      <c r="S61">
        <f>HYPERLINK("https://klasma.github.io/Logging_0382/artfynd/A 9715-2024 artfynd.xlsx", "A 9715-2024")</f>
        <v/>
      </c>
      <c r="T61">
        <f>HYPERLINK("https://klasma.github.io/Logging_0382/kartor/A 9715-2024 karta.png", "A 9715-2024")</f>
        <v/>
      </c>
      <c r="U61">
        <f>HYPERLINK("https://klasma.github.io/Logging_0382/knärot/A 9715-2024 karta knärot.png", "A 9715-2024")</f>
        <v/>
      </c>
      <c r="V61">
        <f>HYPERLINK("https://klasma.github.io/Logging_0382/klagomål/A 9715-2024 FSC-klagomål.docx", "A 9715-2024")</f>
        <v/>
      </c>
      <c r="W61">
        <f>HYPERLINK("https://klasma.github.io/Logging_0382/klagomålsmail/A 9715-2024 FSC-klagomål mail.docx", "A 9715-2024")</f>
        <v/>
      </c>
      <c r="X61">
        <f>HYPERLINK("https://klasma.github.io/Logging_0382/tillsyn/A 9715-2024 tillsynsbegäran.docx", "A 9715-2024")</f>
        <v/>
      </c>
      <c r="Y61">
        <f>HYPERLINK("https://klasma.github.io/Logging_0382/tillsynsmail/A 9715-2024 tillsynsbegäran mail.docx", "A 9715-2024")</f>
        <v/>
      </c>
    </row>
    <row r="62" ht="15" customHeight="1">
      <c r="A62" t="inlineStr">
        <is>
          <t>A 26552-2022</t>
        </is>
      </c>
      <c r="B62" s="1" t="n">
        <v>44739</v>
      </c>
      <c r="C62" s="1" t="n">
        <v>46134</v>
      </c>
      <c r="D62" t="inlineStr">
        <is>
          <t>UPPSALA LÄN</t>
        </is>
      </c>
      <c r="E62" t="inlineStr">
        <is>
          <t>ÖSTHAMMAR</t>
        </is>
      </c>
      <c r="G62" t="n">
        <v>2.2</v>
      </c>
      <c r="H62" t="n">
        <v>3</v>
      </c>
      <c r="I62" t="n">
        <v>0</v>
      </c>
      <c r="J62" t="n">
        <v>1</v>
      </c>
      <c r="K62" t="n">
        <v>0</v>
      </c>
      <c r="L62" t="n">
        <v>0</v>
      </c>
      <c r="M62" t="n">
        <v>0</v>
      </c>
      <c r="N62" t="n">
        <v>0</v>
      </c>
      <c r="O62" t="n">
        <v>1</v>
      </c>
      <c r="P62" t="n">
        <v>0</v>
      </c>
      <c r="Q62" t="n">
        <v>3</v>
      </c>
      <c r="R62" s="2" t="inlineStr">
        <is>
          <t>Nordfladdermus
Dvärgpipistrell
Vattenfladdermus</t>
        </is>
      </c>
      <c r="S62">
        <f>HYPERLINK("https://klasma.github.io/Logging_0382/artfynd/A 26552-2022 artfynd.xlsx", "A 26552-2022")</f>
        <v/>
      </c>
      <c r="T62">
        <f>HYPERLINK("https://klasma.github.io/Logging_0382/kartor/A 26552-2022 karta.png", "A 26552-2022")</f>
        <v/>
      </c>
      <c r="V62">
        <f>HYPERLINK("https://klasma.github.io/Logging_0382/klagomål/A 26552-2022 FSC-klagomål.docx", "A 26552-2022")</f>
        <v/>
      </c>
      <c r="W62">
        <f>HYPERLINK("https://klasma.github.io/Logging_0382/klagomålsmail/A 26552-2022 FSC-klagomål mail.docx", "A 26552-2022")</f>
        <v/>
      </c>
      <c r="X62">
        <f>HYPERLINK("https://klasma.github.io/Logging_0382/tillsyn/A 26552-2022 tillsynsbegäran.docx", "A 26552-2022")</f>
        <v/>
      </c>
      <c r="Y62">
        <f>HYPERLINK("https://klasma.github.io/Logging_0382/tillsynsmail/A 26552-2022 tillsynsbegäran mail.docx", "A 26552-2022")</f>
        <v/>
      </c>
    </row>
    <row r="63" ht="15" customHeight="1">
      <c r="A63" t="inlineStr">
        <is>
          <t>A 55051-2021</t>
        </is>
      </c>
      <c r="B63" s="1" t="n">
        <v>44474</v>
      </c>
      <c r="C63" s="1" t="n">
        <v>46134</v>
      </c>
      <c r="D63" t="inlineStr">
        <is>
          <t>UPPSALA LÄN</t>
        </is>
      </c>
      <c r="E63" t="inlineStr">
        <is>
          <t>ÖSTHAMMAR</t>
        </is>
      </c>
      <c r="F63" t="inlineStr">
        <is>
          <t>Bergvik skog öst AB</t>
        </is>
      </c>
      <c r="G63" t="n">
        <v>6.5</v>
      </c>
      <c r="H63" t="n">
        <v>1</v>
      </c>
      <c r="I63" t="n">
        <v>2</v>
      </c>
      <c r="J63" t="n">
        <v>0</v>
      </c>
      <c r="K63" t="n">
        <v>0</v>
      </c>
      <c r="L63" t="n">
        <v>0</v>
      </c>
      <c r="M63" t="n">
        <v>0</v>
      </c>
      <c r="N63" t="n">
        <v>0</v>
      </c>
      <c r="O63" t="n">
        <v>0</v>
      </c>
      <c r="P63" t="n">
        <v>0</v>
      </c>
      <c r="Q63" t="n">
        <v>3</v>
      </c>
      <c r="R63" s="2" t="inlineStr">
        <is>
          <t>Svart trolldruva
Tibast
Blåsippa</t>
        </is>
      </c>
      <c r="S63">
        <f>HYPERLINK("https://klasma.github.io/Logging_0382/artfynd/A 55051-2021 artfynd.xlsx", "A 55051-2021")</f>
        <v/>
      </c>
      <c r="T63">
        <f>HYPERLINK("https://klasma.github.io/Logging_0382/kartor/A 55051-2021 karta.png", "A 55051-2021")</f>
        <v/>
      </c>
      <c r="V63">
        <f>HYPERLINK("https://klasma.github.io/Logging_0382/klagomål/A 55051-2021 FSC-klagomål.docx", "A 55051-2021")</f>
        <v/>
      </c>
      <c r="W63">
        <f>HYPERLINK("https://klasma.github.io/Logging_0382/klagomålsmail/A 55051-2021 FSC-klagomål mail.docx", "A 55051-2021")</f>
        <v/>
      </c>
      <c r="X63">
        <f>HYPERLINK("https://klasma.github.io/Logging_0382/tillsyn/A 55051-2021 tillsynsbegäran.docx", "A 55051-2021")</f>
        <v/>
      </c>
      <c r="Y63">
        <f>HYPERLINK("https://klasma.github.io/Logging_0382/tillsynsmail/A 55051-2021 tillsynsbegäran mail.docx", "A 55051-2021")</f>
        <v/>
      </c>
    </row>
    <row r="64" ht="15" customHeight="1">
      <c r="A64" t="inlineStr">
        <is>
          <t>A 33035-2021</t>
        </is>
      </c>
      <c r="B64" s="1" t="n">
        <v>44376</v>
      </c>
      <c r="C64" s="1" t="n">
        <v>46134</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26557-2022</t>
        </is>
      </c>
      <c r="B65" s="1" t="n">
        <v>44739</v>
      </c>
      <c r="C65" s="1" t="n">
        <v>46134</v>
      </c>
      <c r="D65" t="inlineStr">
        <is>
          <t>UPPSALA LÄN</t>
        </is>
      </c>
      <c r="E65" t="inlineStr">
        <is>
          <t>ÖSTHAMMAR</t>
        </is>
      </c>
      <c r="F65" t="inlineStr">
        <is>
          <t>Övriga statliga verk och myndigheter</t>
        </is>
      </c>
      <c r="G65" t="n">
        <v>1.7</v>
      </c>
      <c r="H65" t="n">
        <v>3</v>
      </c>
      <c r="I65" t="n">
        <v>0</v>
      </c>
      <c r="J65" t="n">
        <v>3</v>
      </c>
      <c r="K65" t="n">
        <v>0</v>
      </c>
      <c r="L65" t="n">
        <v>0</v>
      </c>
      <c r="M65" t="n">
        <v>0</v>
      </c>
      <c r="N65" t="n">
        <v>0</v>
      </c>
      <c r="O65" t="n">
        <v>3</v>
      </c>
      <c r="P65" t="n">
        <v>0</v>
      </c>
      <c r="Q65" t="n">
        <v>3</v>
      </c>
      <c r="R65" s="2" t="inlineStr">
        <is>
          <t>Järpe
Mindre hackspett
Spillkråka</t>
        </is>
      </c>
      <c r="S65">
        <f>HYPERLINK("https://klasma.github.io/Logging_0382/artfynd/A 26557-2022 artfynd.xlsx", "A 26557-2022")</f>
        <v/>
      </c>
      <c r="T65">
        <f>HYPERLINK("https://klasma.github.io/Logging_0382/kartor/A 26557-2022 karta.png", "A 26557-2022")</f>
        <v/>
      </c>
      <c r="V65">
        <f>HYPERLINK("https://klasma.github.io/Logging_0382/klagomål/A 26557-2022 FSC-klagomål.docx", "A 26557-2022")</f>
        <v/>
      </c>
      <c r="W65">
        <f>HYPERLINK("https://klasma.github.io/Logging_0382/klagomålsmail/A 26557-2022 FSC-klagomål mail.docx", "A 26557-2022")</f>
        <v/>
      </c>
      <c r="X65">
        <f>HYPERLINK("https://klasma.github.io/Logging_0382/tillsyn/A 26557-2022 tillsynsbegäran.docx", "A 26557-2022")</f>
        <v/>
      </c>
      <c r="Y65">
        <f>HYPERLINK("https://klasma.github.io/Logging_0382/tillsynsmail/A 26557-2022 tillsynsbegäran mail.docx", "A 26557-2022")</f>
        <v/>
      </c>
      <c r="Z65">
        <f>HYPERLINK("https://klasma.github.io/Logging_0382/fåglar/A 26557-2022 prioriterade fågelarter.docx", "A 26557-2022")</f>
        <v/>
      </c>
    </row>
    <row r="66" ht="15" customHeight="1">
      <c r="A66" t="inlineStr">
        <is>
          <t>A 9683-2023</t>
        </is>
      </c>
      <c r="B66" s="1" t="n">
        <v>44984.43856481482</v>
      </c>
      <c r="C66" s="1" t="n">
        <v>46134</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60078-2021</t>
        </is>
      </c>
      <c r="B67" s="1" t="n">
        <v>44495</v>
      </c>
      <c r="C67" s="1" t="n">
        <v>46134</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46134</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46134</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46134</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46134</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41303-2025</t>
        </is>
      </c>
      <c r="B72" s="1" t="n">
        <v>45898.69215277778</v>
      </c>
      <c r="C72" s="1" t="n">
        <v>46134</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2916-2025</t>
        </is>
      </c>
      <c r="B73" s="1" t="n">
        <v>45677</v>
      </c>
      <c r="C73" s="1" t="n">
        <v>46134</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46134</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37768-2025</t>
        </is>
      </c>
      <c r="B75" s="1" t="n">
        <v>45880</v>
      </c>
      <c r="C75" s="1" t="n">
        <v>46134</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56669-2025</t>
        </is>
      </c>
      <c r="B76" s="1" t="n">
        <v>45975.69306712963</v>
      </c>
      <c r="C76" s="1" t="n">
        <v>46134</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9646-2024</t>
        </is>
      </c>
      <c r="B77" s="1" t="n">
        <v>45362.37055555556</v>
      </c>
      <c r="C77" s="1" t="n">
        <v>46134</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60898-2025</t>
        </is>
      </c>
      <c r="B78" s="1" t="n">
        <v>45999.58256944444</v>
      </c>
      <c r="C78" s="1" t="n">
        <v>46134</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46134</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73981-2021</t>
        </is>
      </c>
      <c r="B80" s="1" t="n">
        <v>44555</v>
      </c>
      <c r="C80" s="1" t="n">
        <v>46134</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13287-2022</t>
        </is>
      </c>
      <c r="B81" s="1" t="n">
        <v>44644</v>
      </c>
      <c r="C81" s="1" t="n">
        <v>46134</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17694-2026</t>
        </is>
      </c>
      <c r="B82" s="1" t="n">
        <v>46121.65268518519</v>
      </c>
      <c r="C82" s="1" t="n">
        <v>46134</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25098-2022</t>
        </is>
      </c>
      <c r="B83" s="1" t="n">
        <v>44729.44149305556</v>
      </c>
      <c r="C83" s="1" t="n">
        <v>46134</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26277-2024</t>
        </is>
      </c>
      <c r="B84" s="1" t="n">
        <v>45468</v>
      </c>
      <c r="C84" s="1" t="n">
        <v>46134</v>
      </c>
      <c r="D84" t="inlineStr">
        <is>
          <t>UPPSALA LÄN</t>
        </is>
      </c>
      <c r="E84" t="inlineStr">
        <is>
          <t>ÖSTHAMMAR</t>
        </is>
      </c>
      <c r="G84" t="n">
        <v>3.5</v>
      </c>
      <c r="H84" t="n">
        <v>1</v>
      </c>
      <c r="I84" t="n">
        <v>2</v>
      </c>
      <c r="J84" t="n">
        <v>0</v>
      </c>
      <c r="K84" t="n">
        <v>0</v>
      </c>
      <c r="L84" t="n">
        <v>0</v>
      </c>
      <c r="M84" t="n">
        <v>0</v>
      </c>
      <c r="N84" t="n">
        <v>0</v>
      </c>
      <c r="O84" t="n">
        <v>0</v>
      </c>
      <c r="P84" t="n">
        <v>0</v>
      </c>
      <c r="Q84" t="n">
        <v>2</v>
      </c>
      <c r="R84" s="2" t="inlineStr">
        <is>
          <t>Nästrot
Sårläka</t>
        </is>
      </c>
      <c r="S84">
        <f>HYPERLINK("https://klasma.github.io/Logging_0382/artfynd/A 26277-2024 artfynd.xlsx", "A 26277-2024")</f>
        <v/>
      </c>
      <c r="T84">
        <f>HYPERLINK("https://klasma.github.io/Logging_0382/kartor/A 26277-2024 karta.png", "A 26277-2024")</f>
        <v/>
      </c>
      <c r="V84">
        <f>HYPERLINK("https://klasma.github.io/Logging_0382/klagomål/A 26277-2024 FSC-klagomål.docx", "A 26277-2024")</f>
        <v/>
      </c>
      <c r="W84">
        <f>HYPERLINK("https://klasma.github.io/Logging_0382/klagomålsmail/A 26277-2024 FSC-klagomål mail.docx", "A 26277-2024")</f>
        <v/>
      </c>
      <c r="X84">
        <f>HYPERLINK("https://klasma.github.io/Logging_0382/tillsyn/A 26277-2024 tillsynsbegäran.docx", "A 26277-2024")</f>
        <v/>
      </c>
      <c r="Y84">
        <f>HYPERLINK("https://klasma.github.io/Logging_0382/tillsynsmail/A 26277-2024 tillsynsbegäran mail.docx", "A 26277-2024")</f>
        <v/>
      </c>
    </row>
    <row r="85" ht="15" customHeight="1">
      <c r="A85" t="inlineStr">
        <is>
          <t>A 67855-2021</t>
        </is>
      </c>
      <c r="B85" s="1" t="n">
        <v>44525</v>
      </c>
      <c r="C85" s="1" t="n">
        <v>46134</v>
      </c>
      <c r="D85" t="inlineStr">
        <is>
          <t>UPPSALA LÄN</t>
        </is>
      </c>
      <c r="E85" t="inlineStr">
        <is>
          <t>ÖSTHAMMAR</t>
        </is>
      </c>
      <c r="G85" t="n">
        <v>7.5</v>
      </c>
      <c r="H85" t="n">
        <v>0</v>
      </c>
      <c r="I85" t="n">
        <v>2</v>
      </c>
      <c r="J85" t="n">
        <v>0</v>
      </c>
      <c r="K85" t="n">
        <v>0</v>
      </c>
      <c r="L85" t="n">
        <v>0</v>
      </c>
      <c r="M85" t="n">
        <v>0</v>
      </c>
      <c r="N85" t="n">
        <v>0</v>
      </c>
      <c r="O85" t="n">
        <v>0</v>
      </c>
      <c r="P85" t="n">
        <v>0</v>
      </c>
      <c r="Q85" t="n">
        <v>2</v>
      </c>
      <c r="R85" s="2" t="inlineStr">
        <is>
          <t>Guldkremla
Kamjordstjärna</t>
        </is>
      </c>
      <c r="S85">
        <f>HYPERLINK("https://klasma.github.io/Logging_0382/artfynd/A 67855-2021 artfynd.xlsx", "A 67855-2021")</f>
        <v/>
      </c>
      <c r="T85">
        <f>HYPERLINK("https://klasma.github.io/Logging_0382/kartor/A 67855-2021 karta.png", "A 67855-2021")</f>
        <v/>
      </c>
      <c r="V85">
        <f>HYPERLINK("https://klasma.github.io/Logging_0382/klagomål/A 67855-2021 FSC-klagomål.docx", "A 67855-2021")</f>
        <v/>
      </c>
      <c r="W85">
        <f>HYPERLINK("https://klasma.github.io/Logging_0382/klagomålsmail/A 67855-2021 FSC-klagomål mail.docx", "A 67855-2021")</f>
        <v/>
      </c>
      <c r="X85">
        <f>HYPERLINK("https://klasma.github.io/Logging_0382/tillsyn/A 67855-2021 tillsynsbegäran.docx", "A 67855-2021")</f>
        <v/>
      </c>
      <c r="Y85">
        <f>HYPERLINK("https://klasma.github.io/Logging_0382/tillsynsmail/A 67855-2021 tillsynsbegäran mail.docx", "A 67855-2021")</f>
        <v/>
      </c>
    </row>
    <row r="86" ht="15" customHeight="1">
      <c r="A86" t="inlineStr">
        <is>
          <t>A 21453-2023</t>
        </is>
      </c>
      <c r="B86" s="1" t="n">
        <v>45063</v>
      </c>
      <c r="C86" s="1" t="n">
        <v>46134</v>
      </c>
      <c r="D86" t="inlineStr">
        <is>
          <t>UPPSALA LÄN</t>
        </is>
      </c>
      <c r="E86" t="inlineStr">
        <is>
          <t>ÖSTHAMMAR</t>
        </is>
      </c>
      <c r="F86" t="inlineStr">
        <is>
          <t>Bergvik skog väst AB</t>
        </is>
      </c>
      <c r="G86" t="n">
        <v>6.1</v>
      </c>
      <c r="H86" t="n">
        <v>1</v>
      </c>
      <c r="I86" t="n">
        <v>1</v>
      </c>
      <c r="J86" t="n">
        <v>0</v>
      </c>
      <c r="K86" t="n">
        <v>0</v>
      </c>
      <c r="L86" t="n">
        <v>0</v>
      </c>
      <c r="M86" t="n">
        <v>0</v>
      </c>
      <c r="N86" t="n">
        <v>0</v>
      </c>
      <c r="O86" t="n">
        <v>0</v>
      </c>
      <c r="P86" t="n">
        <v>0</v>
      </c>
      <c r="Q86" t="n">
        <v>2</v>
      </c>
      <c r="R86" s="2" t="inlineStr">
        <is>
          <t>Fransig jordstjärna
Blåsippa</t>
        </is>
      </c>
      <c r="S86">
        <f>HYPERLINK("https://klasma.github.io/Logging_0382/artfynd/A 21453-2023 artfynd.xlsx", "A 21453-2023")</f>
        <v/>
      </c>
      <c r="T86">
        <f>HYPERLINK("https://klasma.github.io/Logging_0382/kartor/A 21453-2023 karta.png", "A 21453-2023")</f>
        <v/>
      </c>
      <c r="V86">
        <f>HYPERLINK("https://klasma.github.io/Logging_0382/klagomål/A 21453-2023 FSC-klagomål.docx", "A 21453-2023")</f>
        <v/>
      </c>
      <c r="W86">
        <f>HYPERLINK("https://klasma.github.io/Logging_0382/klagomålsmail/A 21453-2023 FSC-klagomål mail.docx", "A 21453-2023")</f>
        <v/>
      </c>
      <c r="X86">
        <f>HYPERLINK("https://klasma.github.io/Logging_0382/tillsyn/A 21453-2023 tillsynsbegäran.docx", "A 21453-2023")</f>
        <v/>
      </c>
      <c r="Y86">
        <f>HYPERLINK("https://klasma.github.io/Logging_0382/tillsynsmail/A 21453-2023 tillsynsbegäran mail.docx", "A 21453-2023")</f>
        <v/>
      </c>
    </row>
    <row r="87" ht="15" customHeight="1">
      <c r="A87" t="inlineStr">
        <is>
          <t>A 20553-2025</t>
        </is>
      </c>
      <c r="B87" s="1" t="n">
        <v>45775.63983796296</v>
      </c>
      <c r="C87" s="1" t="n">
        <v>46134</v>
      </c>
      <c r="D87" t="inlineStr">
        <is>
          <t>UPPSALA LÄN</t>
        </is>
      </c>
      <c r="E87" t="inlineStr">
        <is>
          <t>ÖSTHAMMAR</t>
        </is>
      </c>
      <c r="G87" t="n">
        <v>0.4</v>
      </c>
      <c r="H87" t="n">
        <v>0</v>
      </c>
      <c r="I87" t="n">
        <v>2</v>
      </c>
      <c r="J87" t="n">
        <v>0</v>
      </c>
      <c r="K87" t="n">
        <v>0</v>
      </c>
      <c r="L87" t="n">
        <v>0</v>
      </c>
      <c r="M87" t="n">
        <v>0</v>
      </c>
      <c r="N87" t="n">
        <v>0</v>
      </c>
      <c r="O87" t="n">
        <v>0</v>
      </c>
      <c r="P87" t="n">
        <v>0</v>
      </c>
      <c r="Q87" t="n">
        <v>2</v>
      </c>
      <c r="R87" s="2" t="inlineStr">
        <is>
          <t>Jättesvampmal
Robust tickgnagare</t>
        </is>
      </c>
      <c r="S87">
        <f>HYPERLINK("https://klasma.github.io/Logging_0382/artfynd/A 20553-2025 artfynd.xlsx", "A 20553-2025")</f>
        <v/>
      </c>
      <c r="T87">
        <f>HYPERLINK("https://klasma.github.io/Logging_0382/kartor/A 20553-2025 karta.png", "A 20553-2025")</f>
        <v/>
      </c>
      <c r="V87">
        <f>HYPERLINK("https://klasma.github.io/Logging_0382/klagomål/A 20553-2025 FSC-klagomål.docx", "A 20553-2025")</f>
        <v/>
      </c>
      <c r="W87">
        <f>HYPERLINK("https://klasma.github.io/Logging_0382/klagomålsmail/A 20553-2025 FSC-klagomål mail.docx", "A 20553-2025")</f>
        <v/>
      </c>
      <c r="X87">
        <f>HYPERLINK("https://klasma.github.io/Logging_0382/tillsyn/A 20553-2025 tillsynsbegäran.docx", "A 20553-2025")</f>
        <v/>
      </c>
      <c r="Y87">
        <f>HYPERLINK("https://klasma.github.io/Logging_0382/tillsynsmail/A 20553-2025 tillsynsbegäran mail.docx", "A 20553-2025")</f>
        <v/>
      </c>
    </row>
    <row r="88" ht="15" customHeight="1">
      <c r="A88" t="inlineStr">
        <is>
          <t>A 30943-2024</t>
        </is>
      </c>
      <c r="B88" s="1" t="n">
        <v>45499</v>
      </c>
      <c r="C88" s="1" t="n">
        <v>46134</v>
      </c>
      <c r="D88" t="inlineStr">
        <is>
          <t>UPPSALA LÄN</t>
        </is>
      </c>
      <c r="E88" t="inlineStr">
        <is>
          <t>ÖSTHAMMAR</t>
        </is>
      </c>
      <c r="G88" t="n">
        <v>4.5</v>
      </c>
      <c r="H88" t="n">
        <v>0</v>
      </c>
      <c r="I88" t="n">
        <v>2</v>
      </c>
      <c r="J88" t="n">
        <v>0</v>
      </c>
      <c r="K88" t="n">
        <v>0</v>
      </c>
      <c r="L88" t="n">
        <v>0</v>
      </c>
      <c r="M88" t="n">
        <v>0</v>
      </c>
      <c r="N88" t="n">
        <v>0</v>
      </c>
      <c r="O88" t="n">
        <v>0</v>
      </c>
      <c r="P88" t="n">
        <v>0</v>
      </c>
      <c r="Q88" t="n">
        <v>2</v>
      </c>
      <c r="R88" s="2" t="inlineStr">
        <is>
          <t>Tibast
Underviol</t>
        </is>
      </c>
      <c r="S88">
        <f>HYPERLINK("https://klasma.github.io/Logging_0382/artfynd/A 30943-2024 artfynd.xlsx", "A 30943-2024")</f>
        <v/>
      </c>
      <c r="T88">
        <f>HYPERLINK("https://klasma.github.io/Logging_0382/kartor/A 30943-2024 karta.png", "A 30943-2024")</f>
        <v/>
      </c>
      <c r="V88">
        <f>HYPERLINK("https://klasma.github.io/Logging_0382/klagomål/A 30943-2024 FSC-klagomål.docx", "A 30943-2024")</f>
        <v/>
      </c>
      <c r="W88">
        <f>HYPERLINK("https://klasma.github.io/Logging_0382/klagomålsmail/A 30943-2024 FSC-klagomål mail.docx", "A 30943-2024")</f>
        <v/>
      </c>
      <c r="X88">
        <f>HYPERLINK("https://klasma.github.io/Logging_0382/tillsyn/A 30943-2024 tillsynsbegäran.docx", "A 30943-2024")</f>
        <v/>
      </c>
      <c r="Y88">
        <f>HYPERLINK("https://klasma.github.io/Logging_0382/tillsynsmail/A 30943-2024 tillsynsbegäran mail.docx", "A 30943-2024")</f>
        <v/>
      </c>
    </row>
    <row r="89" ht="15" customHeight="1">
      <c r="A89" t="inlineStr">
        <is>
          <t>A 38442-2022</t>
        </is>
      </c>
      <c r="B89" s="1" t="n">
        <v>44813</v>
      </c>
      <c r="C89" s="1" t="n">
        <v>46134</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46134</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46134</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46134</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46134</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46134</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46134</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41220-2025</t>
        </is>
      </c>
      <c r="B96" s="1" t="n">
        <v>45898.58630787037</v>
      </c>
      <c r="C96" s="1" t="n">
        <v>46134</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10034-2023</t>
        </is>
      </c>
      <c r="B97" s="1" t="n">
        <v>44985</v>
      </c>
      <c r="C97" s="1" t="n">
        <v>46134</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46134</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46134</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25179-2023</t>
        </is>
      </c>
      <c r="B100" s="1" t="n">
        <v>45078</v>
      </c>
      <c r="C100" s="1" t="n">
        <v>46134</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4714-2026</t>
        </is>
      </c>
      <c r="B101" s="1" t="n">
        <v>46048.46175925926</v>
      </c>
      <c r="C101" s="1" t="n">
        <v>46134</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22209-2022</t>
        </is>
      </c>
      <c r="B102" s="1" t="n">
        <v>44712</v>
      </c>
      <c r="C102" s="1" t="n">
        <v>46134</v>
      </c>
      <c r="D102" t="inlineStr">
        <is>
          <t>UPPSALA LÄN</t>
        </is>
      </c>
      <c r="E102" t="inlineStr">
        <is>
          <t>ÖSTHAMMAR</t>
        </is>
      </c>
      <c r="F102" t="inlineStr">
        <is>
          <t>Bergvik skog öst AB</t>
        </is>
      </c>
      <c r="G102" t="n">
        <v>1.5</v>
      </c>
      <c r="H102" t="n">
        <v>1</v>
      </c>
      <c r="I102" t="n">
        <v>0</v>
      </c>
      <c r="J102" t="n">
        <v>0</v>
      </c>
      <c r="K102" t="n">
        <v>0</v>
      </c>
      <c r="L102" t="n">
        <v>0</v>
      </c>
      <c r="M102" t="n">
        <v>0</v>
      </c>
      <c r="N102" t="n">
        <v>0</v>
      </c>
      <c r="O102" t="n">
        <v>0</v>
      </c>
      <c r="P102" t="n">
        <v>0</v>
      </c>
      <c r="Q102" t="n">
        <v>1</v>
      </c>
      <c r="R102" s="2" t="inlineStr">
        <is>
          <t>Blåsippa</t>
        </is>
      </c>
      <c r="S102">
        <f>HYPERLINK("https://klasma.github.io/Logging_0382/artfynd/A 22209-2022 artfynd.xlsx", "A 22209-2022")</f>
        <v/>
      </c>
      <c r="T102">
        <f>HYPERLINK("https://klasma.github.io/Logging_0382/kartor/A 22209-2022 karta.png", "A 22209-2022")</f>
        <v/>
      </c>
      <c r="V102">
        <f>HYPERLINK("https://klasma.github.io/Logging_0382/klagomål/A 22209-2022 FSC-klagomål.docx", "A 22209-2022")</f>
        <v/>
      </c>
      <c r="W102">
        <f>HYPERLINK("https://klasma.github.io/Logging_0382/klagomålsmail/A 22209-2022 FSC-klagomål mail.docx", "A 22209-2022")</f>
        <v/>
      </c>
      <c r="X102">
        <f>HYPERLINK("https://klasma.github.io/Logging_0382/tillsyn/A 22209-2022 tillsynsbegäran.docx", "A 22209-2022")</f>
        <v/>
      </c>
      <c r="Y102">
        <f>HYPERLINK("https://klasma.github.io/Logging_0382/tillsynsmail/A 22209-2022 tillsynsbegäran mail.docx", "A 22209-2022")</f>
        <v/>
      </c>
    </row>
    <row r="103" ht="15" customHeight="1">
      <c r="A103" t="inlineStr">
        <is>
          <t>A 52879-2025</t>
        </is>
      </c>
      <c r="B103" s="1" t="n">
        <v>45957.544375</v>
      </c>
      <c r="C103" s="1" t="n">
        <v>46134</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6507-2026</t>
        </is>
      </c>
      <c r="B104" s="1" t="n">
        <v>46056.38474537037</v>
      </c>
      <c r="C104" s="1" t="n">
        <v>46134</v>
      </c>
      <c r="D104" t="inlineStr">
        <is>
          <t>UPPSALA LÄN</t>
        </is>
      </c>
      <c r="E104" t="inlineStr">
        <is>
          <t>ÖSTHAMMAR</t>
        </is>
      </c>
      <c r="F104" t="inlineStr">
        <is>
          <t>Bergvik skog öst AB</t>
        </is>
      </c>
      <c r="G104" t="n">
        <v>1.5</v>
      </c>
      <c r="H104" t="n">
        <v>0</v>
      </c>
      <c r="I104" t="n">
        <v>1</v>
      </c>
      <c r="J104" t="n">
        <v>0</v>
      </c>
      <c r="K104" t="n">
        <v>0</v>
      </c>
      <c r="L104" t="n">
        <v>0</v>
      </c>
      <c r="M104" t="n">
        <v>0</v>
      </c>
      <c r="N104" t="n">
        <v>0</v>
      </c>
      <c r="O104" t="n">
        <v>0</v>
      </c>
      <c r="P104" t="n">
        <v>0</v>
      </c>
      <c r="Q104" t="n">
        <v>1</v>
      </c>
      <c r="R104" s="2" t="inlineStr">
        <is>
          <t>Tibast</t>
        </is>
      </c>
      <c r="S104">
        <f>HYPERLINK("https://klasma.github.io/Logging_0382/artfynd/A 6507-2026 artfynd.xlsx", "A 6507-2026")</f>
        <v/>
      </c>
      <c r="T104">
        <f>HYPERLINK("https://klasma.github.io/Logging_0382/kartor/A 6507-2026 karta.png", "A 6507-2026")</f>
        <v/>
      </c>
      <c r="V104">
        <f>HYPERLINK("https://klasma.github.io/Logging_0382/klagomål/A 6507-2026 FSC-klagomål.docx", "A 6507-2026")</f>
        <v/>
      </c>
      <c r="W104">
        <f>HYPERLINK("https://klasma.github.io/Logging_0382/klagomålsmail/A 6507-2026 FSC-klagomål mail.docx", "A 6507-2026")</f>
        <v/>
      </c>
      <c r="X104">
        <f>HYPERLINK("https://klasma.github.io/Logging_0382/tillsyn/A 6507-2026 tillsynsbegäran.docx", "A 6507-2026")</f>
        <v/>
      </c>
      <c r="Y104">
        <f>HYPERLINK("https://klasma.github.io/Logging_0382/tillsynsmail/A 6507-2026 tillsynsbegäran mail.docx", "A 6507-2026")</f>
        <v/>
      </c>
    </row>
    <row r="105" ht="15" customHeight="1">
      <c r="A105" t="inlineStr">
        <is>
          <t>A 22287-2023</t>
        </is>
      </c>
      <c r="B105" s="1" t="n">
        <v>45070</v>
      </c>
      <c r="C105" s="1" t="n">
        <v>46134</v>
      </c>
      <c r="D105" t="inlineStr">
        <is>
          <t>UPPSALA LÄN</t>
        </is>
      </c>
      <c r="E105" t="inlineStr">
        <is>
          <t>ÖSTHAMMAR</t>
        </is>
      </c>
      <c r="G105" t="n">
        <v>6.3</v>
      </c>
      <c r="H105" t="n">
        <v>1</v>
      </c>
      <c r="I105" t="n">
        <v>1</v>
      </c>
      <c r="J105" t="n">
        <v>0</v>
      </c>
      <c r="K105" t="n">
        <v>0</v>
      </c>
      <c r="L105" t="n">
        <v>0</v>
      </c>
      <c r="M105" t="n">
        <v>0</v>
      </c>
      <c r="N105" t="n">
        <v>0</v>
      </c>
      <c r="O105" t="n">
        <v>0</v>
      </c>
      <c r="P105" t="n">
        <v>0</v>
      </c>
      <c r="Q105" t="n">
        <v>1</v>
      </c>
      <c r="R105" s="2" t="inlineStr">
        <is>
          <t>Guckusko</t>
        </is>
      </c>
      <c r="S105">
        <f>HYPERLINK("https://klasma.github.io/Logging_0382/artfynd/A 22287-2023 artfynd.xlsx", "A 22287-2023")</f>
        <v/>
      </c>
      <c r="T105">
        <f>HYPERLINK("https://klasma.github.io/Logging_0382/kartor/A 22287-2023 karta.png", "A 22287-2023")</f>
        <v/>
      </c>
      <c r="V105">
        <f>HYPERLINK("https://klasma.github.io/Logging_0382/klagomål/A 22287-2023 FSC-klagomål.docx", "A 22287-2023")</f>
        <v/>
      </c>
      <c r="W105">
        <f>HYPERLINK("https://klasma.github.io/Logging_0382/klagomålsmail/A 22287-2023 FSC-klagomål mail.docx", "A 22287-2023")</f>
        <v/>
      </c>
      <c r="X105">
        <f>HYPERLINK("https://klasma.github.io/Logging_0382/tillsyn/A 22287-2023 tillsynsbegäran.docx", "A 22287-2023")</f>
        <v/>
      </c>
      <c r="Y105">
        <f>HYPERLINK("https://klasma.github.io/Logging_0382/tillsynsmail/A 22287-2023 tillsynsbegäran mail.docx", "A 22287-2023")</f>
        <v/>
      </c>
    </row>
    <row r="106" ht="15" customHeight="1">
      <c r="A106" t="inlineStr">
        <is>
          <t>A 7470-2022</t>
        </is>
      </c>
      <c r="B106" s="1" t="n">
        <v>44607</v>
      </c>
      <c r="C106" s="1" t="n">
        <v>46134</v>
      </c>
      <c r="D106" t="inlineStr">
        <is>
          <t>UPPSALA LÄN</t>
        </is>
      </c>
      <c r="E106" t="inlineStr">
        <is>
          <t>ÖSTHAMMAR</t>
        </is>
      </c>
      <c r="G106" t="n">
        <v>2.6</v>
      </c>
      <c r="H106" t="n">
        <v>1</v>
      </c>
      <c r="I106" t="n">
        <v>1</v>
      </c>
      <c r="J106" t="n">
        <v>0</v>
      </c>
      <c r="K106" t="n">
        <v>0</v>
      </c>
      <c r="L106" t="n">
        <v>0</v>
      </c>
      <c r="M106" t="n">
        <v>0</v>
      </c>
      <c r="N106" t="n">
        <v>0</v>
      </c>
      <c r="O106" t="n">
        <v>0</v>
      </c>
      <c r="P106" t="n">
        <v>0</v>
      </c>
      <c r="Q106" t="n">
        <v>1</v>
      </c>
      <c r="R106" s="2" t="inlineStr">
        <is>
          <t>Grön sköldmossa</t>
        </is>
      </c>
      <c r="S106">
        <f>HYPERLINK("https://klasma.github.io/Logging_0382/artfynd/A 7470-2022 artfynd.xlsx", "A 7470-2022")</f>
        <v/>
      </c>
      <c r="T106">
        <f>HYPERLINK("https://klasma.github.io/Logging_0382/kartor/A 7470-2022 karta.png", "A 7470-2022")</f>
        <v/>
      </c>
      <c r="V106">
        <f>HYPERLINK("https://klasma.github.io/Logging_0382/klagomål/A 7470-2022 FSC-klagomål.docx", "A 7470-2022")</f>
        <v/>
      </c>
      <c r="W106">
        <f>HYPERLINK("https://klasma.github.io/Logging_0382/klagomålsmail/A 7470-2022 FSC-klagomål mail.docx", "A 7470-2022")</f>
        <v/>
      </c>
      <c r="X106">
        <f>HYPERLINK("https://klasma.github.io/Logging_0382/tillsyn/A 7470-2022 tillsynsbegäran.docx", "A 7470-2022")</f>
        <v/>
      </c>
      <c r="Y106">
        <f>HYPERLINK("https://klasma.github.io/Logging_0382/tillsynsmail/A 7470-2022 tillsynsbegäran mail.docx", "A 7470-2022")</f>
        <v/>
      </c>
    </row>
    <row r="107" ht="15" customHeight="1">
      <c r="A107" t="inlineStr">
        <is>
          <t>A 33800-2024</t>
        </is>
      </c>
      <c r="B107" s="1" t="n">
        <v>45520</v>
      </c>
      <c r="C107" s="1" t="n">
        <v>46134</v>
      </c>
      <c r="D107" t="inlineStr">
        <is>
          <t>UPPSALA LÄN</t>
        </is>
      </c>
      <c r="E107" t="inlineStr">
        <is>
          <t>ÖSTHAMMAR</t>
        </is>
      </c>
      <c r="F107" t="inlineStr">
        <is>
          <t>Naturvårdsverket</t>
        </is>
      </c>
      <c r="G107" t="n">
        <v>1.5</v>
      </c>
      <c r="H107" t="n">
        <v>1</v>
      </c>
      <c r="I107" t="n">
        <v>0</v>
      </c>
      <c r="J107" t="n">
        <v>0</v>
      </c>
      <c r="K107" t="n">
        <v>0</v>
      </c>
      <c r="L107" t="n">
        <v>0</v>
      </c>
      <c r="M107" t="n">
        <v>0</v>
      </c>
      <c r="N107" t="n">
        <v>0</v>
      </c>
      <c r="O107" t="n">
        <v>0</v>
      </c>
      <c r="P107" t="n">
        <v>0</v>
      </c>
      <c r="Q107" t="n">
        <v>1</v>
      </c>
      <c r="R107" s="2" t="inlineStr">
        <is>
          <t>Fläcknycklar</t>
        </is>
      </c>
      <c r="S107">
        <f>HYPERLINK("https://klasma.github.io/Logging_0382/artfynd/A 33800-2024 artfynd.xlsx", "A 33800-2024")</f>
        <v/>
      </c>
      <c r="T107">
        <f>HYPERLINK("https://klasma.github.io/Logging_0382/kartor/A 33800-2024 karta.png", "A 33800-2024")</f>
        <v/>
      </c>
      <c r="V107">
        <f>HYPERLINK("https://klasma.github.io/Logging_0382/klagomål/A 33800-2024 FSC-klagomål.docx", "A 33800-2024")</f>
        <v/>
      </c>
      <c r="W107">
        <f>HYPERLINK("https://klasma.github.io/Logging_0382/klagomålsmail/A 33800-2024 FSC-klagomål mail.docx", "A 33800-2024")</f>
        <v/>
      </c>
      <c r="X107">
        <f>HYPERLINK("https://klasma.github.io/Logging_0382/tillsyn/A 33800-2024 tillsynsbegäran.docx", "A 33800-2024")</f>
        <v/>
      </c>
      <c r="Y107">
        <f>HYPERLINK("https://klasma.github.io/Logging_0382/tillsynsmail/A 33800-2024 tillsynsbegäran mail.docx", "A 33800-2024")</f>
        <v/>
      </c>
    </row>
    <row r="108" ht="15" customHeight="1">
      <c r="A108" t="inlineStr">
        <is>
          <t>A 49839-2021</t>
        </is>
      </c>
      <c r="B108" s="1" t="n">
        <v>44455</v>
      </c>
      <c r="C108" s="1" t="n">
        <v>46134</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15248-2026</t>
        </is>
      </c>
      <c r="B109" s="1" t="n">
        <v>46105.57002314815</v>
      </c>
      <c r="C109" s="1" t="n">
        <v>46134</v>
      </c>
      <c r="D109" t="inlineStr">
        <is>
          <t>UPPSALA LÄN</t>
        </is>
      </c>
      <c r="E109" t="inlineStr">
        <is>
          <t>ÖSTHAMMAR</t>
        </is>
      </c>
      <c r="F109" t="inlineStr">
        <is>
          <t>Övriga Aktiebolag</t>
        </is>
      </c>
      <c r="G109" t="n">
        <v>3.1</v>
      </c>
      <c r="H109" t="n">
        <v>1</v>
      </c>
      <c r="I109" t="n">
        <v>0</v>
      </c>
      <c r="J109" t="n">
        <v>0</v>
      </c>
      <c r="K109" t="n">
        <v>1</v>
      </c>
      <c r="L109" t="n">
        <v>0</v>
      </c>
      <c r="M109" t="n">
        <v>0</v>
      </c>
      <c r="N109" t="n">
        <v>0</v>
      </c>
      <c r="O109" t="n">
        <v>1</v>
      </c>
      <c r="P109" t="n">
        <v>1</v>
      </c>
      <c r="Q109" t="n">
        <v>1</v>
      </c>
      <c r="R109" s="2" t="inlineStr">
        <is>
          <t>Hällebräcka</t>
        </is>
      </c>
      <c r="S109">
        <f>HYPERLINK("https://klasma.github.io/Logging_0382/artfynd/A 15248-2026 artfynd.xlsx", "A 15248-2026")</f>
        <v/>
      </c>
      <c r="T109">
        <f>HYPERLINK("https://klasma.github.io/Logging_0382/kartor/A 15248-2026 karta.png", "A 15248-2026")</f>
        <v/>
      </c>
      <c r="V109">
        <f>HYPERLINK("https://klasma.github.io/Logging_0382/klagomål/A 15248-2026 FSC-klagomål.docx", "A 15248-2026")</f>
        <v/>
      </c>
      <c r="W109">
        <f>HYPERLINK("https://klasma.github.io/Logging_0382/klagomålsmail/A 15248-2026 FSC-klagomål mail.docx", "A 15248-2026")</f>
        <v/>
      </c>
      <c r="X109">
        <f>HYPERLINK("https://klasma.github.io/Logging_0382/tillsyn/A 15248-2026 tillsynsbegäran.docx", "A 15248-2026")</f>
        <v/>
      </c>
      <c r="Y109">
        <f>HYPERLINK("https://klasma.github.io/Logging_0382/tillsynsmail/A 15248-2026 tillsynsbegäran mail.docx", "A 15248-2026")</f>
        <v/>
      </c>
    </row>
    <row r="110" ht="15" customHeight="1">
      <c r="A110" t="inlineStr">
        <is>
          <t>A 15258-2026</t>
        </is>
      </c>
      <c r="B110" s="1" t="n">
        <v>46105.58886574074</v>
      </c>
      <c r="C110" s="1" t="n">
        <v>46134</v>
      </c>
      <c r="D110" t="inlineStr">
        <is>
          <t>UPPSALA LÄN</t>
        </is>
      </c>
      <c r="E110" t="inlineStr">
        <is>
          <t>ÖSTHAMMAR</t>
        </is>
      </c>
      <c r="F110" t="inlineStr">
        <is>
          <t>Övriga Aktiebolag</t>
        </is>
      </c>
      <c r="G110" t="n">
        <v>3.4</v>
      </c>
      <c r="H110" t="n">
        <v>0</v>
      </c>
      <c r="I110" t="n">
        <v>0</v>
      </c>
      <c r="J110" t="n">
        <v>1</v>
      </c>
      <c r="K110" t="n">
        <v>0</v>
      </c>
      <c r="L110" t="n">
        <v>0</v>
      </c>
      <c r="M110" t="n">
        <v>0</v>
      </c>
      <c r="N110" t="n">
        <v>0</v>
      </c>
      <c r="O110" t="n">
        <v>1</v>
      </c>
      <c r="P110" t="n">
        <v>0</v>
      </c>
      <c r="Q110" t="n">
        <v>1</v>
      </c>
      <c r="R110" s="2" t="inlineStr">
        <is>
          <t>Slåtterfibbla</t>
        </is>
      </c>
      <c r="S110">
        <f>HYPERLINK("https://klasma.github.io/Logging_0382/artfynd/A 15258-2026 artfynd.xlsx", "A 15258-2026")</f>
        <v/>
      </c>
      <c r="T110">
        <f>HYPERLINK("https://klasma.github.io/Logging_0382/kartor/A 15258-2026 karta.png", "A 15258-2026")</f>
        <v/>
      </c>
      <c r="V110">
        <f>HYPERLINK("https://klasma.github.io/Logging_0382/klagomål/A 15258-2026 FSC-klagomål.docx", "A 15258-2026")</f>
        <v/>
      </c>
      <c r="W110">
        <f>HYPERLINK("https://klasma.github.io/Logging_0382/klagomålsmail/A 15258-2026 FSC-klagomål mail.docx", "A 15258-2026")</f>
        <v/>
      </c>
      <c r="X110">
        <f>HYPERLINK("https://klasma.github.io/Logging_0382/tillsyn/A 15258-2026 tillsynsbegäran.docx", "A 15258-2026")</f>
        <v/>
      </c>
      <c r="Y110">
        <f>HYPERLINK("https://klasma.github.io/Logging_0382/tillsynsmail/A 15258-2026 tillsynsbegäran mail.docx", "A 15258-2026")</f>
        <v/>
      </c>
    </row>
    <row r="111" ht="15" customHeight="1">
      <c r="A111" t="inlineStr">
        <is>
          <t>A 22375-2024</t>
        </is>
      </c>
      <c r="B111" s="1" t="n">
        <v>45446</v>
      </c>
      <c r="C111" s="1" t="n">
        <v>46134</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61410-2025</t>
        </is>
      </c>
      <c r="B112" s="1" t="n">
        <v>46001.51974537037</v>
      </c>
      <c r="C112" s="1" t="n">
        <v>46134</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37296-2023</t>
        </is>
      </c>
      <c r="B113" s="1" t="n">
        <v>45156</v>
      </c>
      <c r="C113" s="1" t="n">
        <v>46134</v>
      </c>
      <c r="D113" t="inlineStr">
        <is>
          <t>UPPSALA LÄN</t>
        </is>
      </c>
      <c r="E113" t="inlineStr">
        <is>
          <t>ÖSTHAMMAR</t>
        </is>
      </c>
      <c r="G113" t="n">
        <v>4.7</v>
      </c>
      <c r="H113" t="n">
        <v>1</v>
      </c>
      <c r="I113" t="n">
        <v>0</v>
      </c>
      <c r="J113" t="n">
        <v>0</v>
      </c>
      <c r="K113" t="n">
        <v>1</v>
      </c>
      <c r="L113" t="n">
        <v>0</v>
      </c>
      <c r="M113" t="n">
        <v>0</v>
      </c>
      <c r="N113" t="n">
        <v>0</v>
      </c>
      <c r="O113" t="n">
        <v>1</v>
      </c>
      <c r="P113" t="n">
        <v>1</v>
      </c>
      <c r="Q113" t="n">
        <v>1</v>
      </c>
      <c r="R113" s="2" t="inlineStr">
        <is>
          <t>Backsippa</t>
        </is>
      </c>
      <c r="S113">
        <f>HYPERLINK("https://klasma.github.io/Logging_0382/artfynd/A 37296-2023 artfynd.xlsx", "A 37296-2023")</f>
        <v/>
      </c>
      <c r="T113">
        <f>HYPERLINK("https://klasma.github.io/Logging_0382/kartor/A 37296-2023 karta.png", "A 37296-2023")</f>
        <v/>
      </c>
      <c r="V113">
        <f>HYPERLINK("https://klasma.github.io/Logging_0382/klagomål/A 37296-2023 FSC-klagomål.docx", "A 37296-2023")</f>
        <v/>
      </c>
      <c r="W113">
        <f>HYPERLINK("https://klasma.github.io/Logging_0382/klagomålsmail/A 37296-2023 FSC-klagomål mail.docx", "A 37296-2023")</f>
        <v/>
      </c>
      <c r="X113">
        <f>HYPERLINK("https://klasma.github.io/Logging_0382/tillsyn/A 37296-2023 tillsynsbegäran.docx", "A 37296-2023")</f>
        <v/>
      </c>
      <c r="Y113">
        <f>HYPERLINK("https://klasma.github.io/Logging_0382/tillsynsmail/A 37296-2023 tillsynsbegäran mail.docx", "A 37296-2023")</f>
        <v/>
      </c>
    </row>
    <row r="114" ht="15" customHeight="1">
      <c r="A114" t="inlineStr">
        <is>
          <t>A 65989-2021</t>
        </is>
      </c>
      <c r="B114" s="1" t="n">
        <v>44517</v>
      </c>
      <c r="C114" s="1" t="n">
        <v>46134</v>
      </c>
      <c r="D114" t="inlineStr">
        <is>
          <t>UPPSALA LÄN</t>
        </is>
      </c>
      <c r="E114" t="inlineStr">
        <is>
          <t>ÖSTHAMMAR</t>
        </is>
      </c>
      <c r="G114" t="n">
        <v>6.9</v>
      </c>
      <c r="H114" t="n">
        <v>1</v>
      </c>
      <c r="I114" t="n">
        <v>1</v>
      </c>
      <c r="J114" t="n">
        <v>0</v>
      </c>
      <c r="K114" t="n">
        <v>0</v>
      </c>
      <c r="L114" t="n">
        <v>0</v>
      </c>
      <c r="M114" t="n">
        <v>0</v>
      </c>
      <c r="N114" t="n">
        <v>0</v>
      </c>
      <c r="O114" t="n">
        <v>0</v>
      </c>
      <c r="P114" t="n">
        <v>0</v>
      </c>
      <c r="Q114" t="n">
        <v>1</v>
      </c>
      <c r="R114" s="2" t="inlineStr">
        <is>
          <t>Skogsknipprot</t>
        </is>
      </c>
      <c r="S114">
        <f>HYPERLINK("https://klasma.github.io/Logging_0382/artfynd/A 65989-2021 artfynd.xlsx", "A 65989-2021")</f>
        <v/>
      </c>
      <c r="T114">
        <f>HYPERLINK("https://klasma.github.io/Logging_0382/kartor/A 65989-2021 karta.png", "A 65989-2021")</f>
        <v/>
      </c>
      <c r="V114">
        <f>HYPERLINK("https://klasma.github.io/Logging_0382/klagomål/A 65989-2021 FSC-klagomål.docx", "A 65989-2021")</f>
        <v/>
      </c>
      <c r="W114">
        <f>HYPERLINK("https://klasma.github.io/Logging_0382/klagomålsmail/A 65989-2021 FSC-klagomål mail.docx", "A 65989-2021")</f>
        <v/>
      </c>
      <c r="X114">
        <f>HYPERLINK("https://klasma.github.io/Logging_0382/tillsyn/A 65989-2021 tillsynsbegäran.docx", "A 65989-2021")</f>
        <v/>
      </c>
      <c r="Y114">
        <f>HYPERLINK("https://klasma.github.io/Logging_0382/tillsynsmail/A 65989-2021 tillsynsbegäran mail.docx", "A 65989-2021")</f>
        <v/>
      </c>
    </row>
    <row r="115" ht="15" customHeight="1">
      <c r="A115" t="inlineStr">
        <is>
          <t>A 7446-2022</t>
        </is>
      </c>
      <c r="B115" s="1" t="n">
        <v>44606</v>
      </c>
      <c r="C115" s="1" t="n">
        <v>46134</v>
      </c>
      <c r="D115" t="inlineStr">
        <is>
          <t>UPPSALA LÄN</t>
        </is>
      </c>
      <c r="E115" t="inlineStr">
        <is>
          <t>ÖSTHAMMAR</t>
        </is>
      </c>
      <c r="G115" t="n">
        <v>5</v>
      </c>
      <c r="H115" t="n">
        <v>1</v>
      </c>
      <c r="I115" t="n">
        <v>0</v>
      </c>
      <c r="J115" t="n">
        <v>0</v>
      </c>
      <c r="K115" t="n">
        <v>0</v>
      </c>
      <c r="L115" t="n">
        <v>0</v>
      </c>
      <c r="M115" t="n">
        <v>0</v>
      </c>
      <c r="N115" t="n">
        <v>0</v>
      </c>
      <c r="O115" t="n">
        <v>0</v>
      </c>
      <c r="P115" t="n">
        <v>0</v>
      </c>
      <c r="Q115" t="n">
        <v>1</v>
      </c>
      <c r="R115" s="2" t="inlineStr">
        <is>
          <t>Mattlummer</t>
        </is>
      </c>
      <c r="S115">
        <f>HYPERLINK("https://klasma.github.io/Logging_0382/artfynd/A 7446-2022 artfynd.xlsx", "A 7446-2022")</f>
        <v/>
      </c>
      <c r="T115">
        <f>HYPERLINK("https://klasma.github.io/Logging_0382/kartor/A 7446-2022 karta.png", "A 7446-2022")</f>
        <v/>
      </c>
      <c r="V115">
        <f>HYPERLINK("https://klasma.github.io/Logging_0382/klagomål/A 7446-2022 FSC-klagomål.docx", "A 7446-2022")</f>
        <v/>
      </c>
      <c r="W115">
        <f>HYPERLINK("https://klasma.github.io/Logging_0382/klagomålsmail/A 7446-2022 FSC-klagomål mail.docx", "A 7446-2022")</f>
        <v/>
      </c>
      <c r="X115">
        <f>HYPERLINK("https://klasma.github.io/Logging_0382/tillsyn/A 7446-2022 tillsynsbegäran.docx", "A 7446-2022")</f>
        <v/>
      </c>
      <c r="Y115">
        <f>HYPERLINK("https://klasma.github.io/Logging_0382/tillsynsmail/A 7446-2022 tillsynsbegäran mail.docx", "A 7446-2022")</f>
        <v/>
      </c>
    </row>
    <row r="116" ht="15" customHeight="1">
      <c r="A116" t="inlineStr">
        <is>
          <t>A 61574-2025</t>
        </is>
      </c>
      <c r="B116" s="1" t="n">
        <v>46002</v>
      </c>
      <c r="C116" s="1" t="n">
        <v>46134</v>
      </c>
      <c r="D116" t="inlineStr">
        <is>
          <t>UPPSALA LÄN</t>
        </is>
      </c>
      <c r="E116" t="inlineStr">
        <is>
          <t>ÖSTHAMMAR</t>
        </is>
      </c>
      <c r="F116" t="inlineStr">
        <is>
          <t>Övriga Aktiebolag</t>
        </is>
      </c>
      <c r="G116" t="n">
        <v>16.6</v>
      </c>
      <c r="H116" t="n">
        <v>1</v>
      </c>
      <c r="I116" t="n">
        <v>0</v>
      </c>
      <c r="J116" t="n">
        <v>0</v>
      </c>
      <c r="K116" t="n">
        <v>1</v>
      </c>
      <c r="L116" t="n">
        <v>0</v>
      </c>
      <c r="M116" t="n">
        <v>0</v>
      </c>
      <c r="N116" t="n">
        <v>0</v>
      </c>
      <c r="O116" t="n">
        <v>1</v>
      </c>
      <c r="P116" t="n">
        <v>1</v>
      </c>
      <c r="Q116" t="n">
        <v>1</v>
      </c>
      <c r="R116" s="2" t="inlineStr">
        <is>
          <t>Hällebräcka</t>
        </is>
      </c>
      <c r="S116">
        <f>HYPERLINK("https://klasma.github.io/Logging_0382/artfynd/A 61574-2025 artfynd.xlsx", "A 61574-2025")</f>
        <v/>
      </c>
      <c r="T116">
        <f>HYPERLINK("https://klasma.github.io/Logging_0382/kartor/A 61574-2025 karta.png", "A 61574-2025")</f>
        <v/>
      </c>
      <c r="V116">
        <f>HYPERLINK("https://klasma.github.io/Logging_0382/klagomål/A 61574-2025 FSC-klagomål.docx", "A 61574-2025")</f>
        <v/>
      </c>
      <c r="W116">
        <f>HYPERLINK("https://klasma.github.io/Logging_0382/klagomålsmail/A 61574-2025 FSC-klagomål mail.docx", "A 61574-2025")</f>
        <v/>
      </c>
      <c r="X116">
        <f>HYPERLINK("https://klasma.github.io/Logging_0382/tillsyn/A 61574-2025 tillsynsbegäran.docx", "A 61574-2025")</f>
        <v/>
      </c>
      <c r="Y116">
        <f>HYPERLINK("https://klasma.github.io/Logging_0382/tillsynsmail/A 61574-2025 tillsynsbegäran mail.docx", "A 61574-2025")</f>
        <v/>
      </c>
    </row>
    <row r="117" ht="15" customHeight="1">
      <c r="A117" t="inlineStr">
        <is>
          <t>A 1227-2022</t>
        </is>
      </c>
      <c r="B117" s="1" t="n">
        <v>44572.57641203704</v>
      </c>
      <c r="C117" s="1" t="n">
        <v>46134</v>
      </c>
      <c r="D117" t="inlineStr">
        <is>
          <t>UPPSALA LÄN</t>
        </is>
      </c>
      <c r="E117" t="inlineStr">
        <is>
          <t>ÖSTHAMMAR</t>
        </is>
      </c>
      <c r="G117" t="n">
        <v>1.7</v>
      </c>
      <c r="H117" t="n">
        <v>0</v>
      </c>
      <c r="I117" t="n">
        <v>1</v>
      </c>
      <c r="J117" t="n">
        <v>0</v>
      </c>
      <c r="K117" t="n">
        <v>0</v>
      </c>
      <c r="L117" t="n">
        <v>0</v>
      </c>
      <c r="M117" t="n">
        <v>0</v>
      </c>
      <c r="N117" t="n">
        <v>0</v>
      </c>
      <c r="O117" t="n">
        <v>0</v>
      </c>
      <c r="P117" t="n">
        <v>0</v>
      </c>
      <c r="Q117" t="n">
        <v>1</v>
      </c>
      <c r="R117" s="2" t="inlineStr">
        <is>
          <t>Guldkremla</t>
        </is>
      </c>
      <c r="S117">
        <f>HYPERLINK("https://klasma.github.io/Logging_0382/artfynd/A 1227-2022 artfynd.xlsx", "A 1227-2022")</f>
        <v/>
      </c>
      <c r="T117">
        <f>HYPERLINK("https://klasma.github.io/Logging_0382/kartor/A 1227-2022 karta.png", "A 1227-2022")</f>
        <v/>
      </c>
      <c r="V117">
        <f>HYPERLINK("https://klasma.github.io/Logging_0382/klagomål/A 1227-2022 FSC-klagomål.docx", "A 1227-2022")</f>
        <v/>
      </c>
      <c r="W117">
        <f>HYPERLINK("https://klasma.github.io/Logging_0382/klagomålsmail/A 1227-2022 FSC-klagomål mail.docx", "A 1227-2022")</f>
        <v/>
      </c>
      <c r="X117">
        <f>HYPERLINK("https://klasma.github.io/Logging_0382/tillsyn/A 1227-2022 tillsynsbegäran.docx", "A 1227-2022")</f>
        <v/>
      </c>
      <c r="Y117">
        <f>HYPERLINK("https://klasma.github.io/Logging_0382/tillsynsmail/A 1227-2022 tillsynsbegäran mail.docx", "A 1227-2022")</f>
        <v/>
      </c>
    </row>
    <row r="118" ht="15" customHeight="1">
      <c r="A118" t="inlineStr">
        <is>
          <t>A 29679-2023</t>
        </is>
      </c>
      <c r="B118" s="1" t="n">
        <v>45107</v>
      </c>
      <c r="C118" s="1" t="n">
        <v>46134</v>
      </c>
      <c r="D118" t="inlineStr">
        <is>
          <t>UPPSALA LÄN</t>
        </is>
      </c>
      <c r="E118" t="inlineStr">
        <is>
          <t>ÖSTHAMMAR</t>
        </is>
      </c>
      <c r="F118" t="inlineStr">
        <is>
          <t>Övriga Aktiebolag</t>
        </is>
      </c>
      <c r="G118" t="n">
        <v>7.3</v>
      </c>
      <c r="H118" t="n">
        <v>0</v>
      </c>
      <c r="I118" t="n">
        <v>0</v>
      </c>
      <c r="J118" t="n">
        <v>1</v>
      </c>
      <c r="K118" t="n">
        <v>0</v>
      </c>
      <c r="L118" t="n">
        <v>0</v>
      </c>
      <c r="M118" t="n">
        <v>0</v>
      </c>
      <c r="N118" t="n">
        <v>0</v>
      </c>
      <c r="O118" t="n">
        <v>1</v>
      </c>
      <c r="P118" t="n">
        <v>0</v>
      </c>
      <c r="Q118" t="n">
        <v>1</v>
      </c>
      <c r="R118" s="2" t="inlineStr">
        <is>
          <t>Vintertagging</t>
        </is>
      </c>
      <c r="S118">
        <f>HYPERLINK("https://klasma.github.io/Logging_0382/artfynd/A 29679-2023 artfynd.xlsx", "A 29679-2023")</f>
        <v/>
      </c>
      <c r="T118">
        <f>HYPERLINK("https://klasma.github.io/Logging_0382/kartor/A 29679-2023 karta.png", "A 29679-2023")</f>
        <v/>
      </c>
      <c r="V118">
        <f>HYPERLINK("https://klasma.github.io/Logging_0382/klagomål/A 29679-2023 FSC-klagomål.docx", "A 29679-2023")</f>
        <v/>
      </c>
      <c r="W118">
        <f>HYPERLINK("https://klasma.github.io/Logging_0382/klagomålsmail/A 29679-2023 FSC-klagomål mail.docx", "A 29679-2023")</f>
        <v/>
      </c>
      <c r="X118">
        <f>HYPERLINK("https://klasma.github.io/Logging_0382/tillsyn/A 29679-2023 tillsynsbegäran.docx", "A 29679-2023")</f>
        <v/>
      </c>
      <c r="Y118">
        <f>HYPERLINK("https://klasma.github.io/Logging_0382/tillsynsmail/A 29679-2023 tillsynsbegäran mail.docx", "A 29679-2023")</f>
        <v/>
      </c>
    </row>
    <row r="119" ht="15" customHeight="1">
      <c r="A119" t="inlineStr">
        <is>
          <t>A 24797-2022</t>
        </is>
      </c>
      <c r="B119" s="1" t="n">
        <v>44728</v>
      </c>
      <c r="C119" s="1" t="n">
        <v>46134</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34090-2023</t>
        </is>
      </c>
      <c r="B120" s="1" t="n">
        <v>45135</v>
      </c>
      <c r="C120" s="1" t="n">
        <v>46134</v>
      </c>
      <c r="D120" t="inlineStr">
        <is>
          <t>UPPSALA LÄN</t>
        </is>
      </c>
      <c r="E120" t="inlineStr">
        <is>
          <t>ÖSTHAMMAR</t>
        </is>
      </c>
      <c r="F120" t="inlineStr">
        <is>
          <t>Bergvik skog öst AB</t>
        </is>
      </c>
      <c r="G120" t="n">
        <v>5.7</v>
      </c>
      <c r="H120" t="n">
        <v>1</v>
      </c>
      <c r="I120" t="n">
        <v>0</v>
      </c>
      <c r="J120" t="n">
        <v>1</v>
      </c>
      <c r="K120" t="n">
        <v>0</v>
      </c>
      <c r="L120" t="n">
        <v>0</v>
      </c>
      <c r="M120" t="n">
        <v>0</v>
      </c>
      <c r="N120" t="n">
        <v>0</v>
      </c>
      <c r="O120" t="n">
        <v>1</v>
      </c>
      <c r="P120" t="n">
        <v>0</v>
      </c>
      <c r="Q120" t="n">
        <v>1</v>
      </c>
      <c r="R120" s="2" t="inlineStr">
        <is>
          <t>Spillkråka</t>
        </is>
      </c>
      <c r="S120">
        <f>HYPERLINK("https://klasma.github.io/Logging_0382/artfynd/A 34090-2023 artfynd.xlsx", "A 34090-2023")</f>
        <v/>
      </c>
      <c r="T120">
        <f>HYPERLINK("https://klasma.github.io/Logging_0382/kartor/A 34090-2023 karta.png", "A 34090-2023")</f>
        <v/>
      </c>
      <c r="V120">
        <f>HYPERLINK("https://klasma.github.io/Logging_0382/klagomål/A 34090-2023 FSC-klagomål.docx", "A 34090-2023")</f>
        <v/>
      </c>
      <c r="W120">
        <f>HYPERLINK("https://klasma.github.io/Logging_0382/klagomålsmail/A 34090-2023 FSC-klagomål mail.docx", "A 34090-2023")</f>
        <v/>
      </c>
      <c r="X120">
        <f>HYPERLINK("https://klasma.github.io/Logging_0382/tillsyn/A 34090-2023 tillsynsbegäran.docx", "A 34090-2023")</f>
        <v/>
      </c>
      <c r="Y120">
        <f>HYPERLINK("https://klasma.github.io/Logging_0382/tillsynsmail/A 34090-2023 tillsynsbegäran mail.docx", "A 34090-2023")</f>
        <v/>
      </c>
      <c r="Z120">
        <f>HYPERLINK("https://klasma.github.io/Logging_0382/fåglar/A 34090-2023 prioriterade fågelarter.docx", "A 34090-2023")</f>
        <v/>
      </c>
    </row>
    <row r="121" ht="15" customHeight="1">
      <c r="A121" t="inlineStr">
        <is>
          <t>A 14706-2023</t>
        </is>
      </c>
      <c r="B121" s="1" t="n">
        <v>45013</v>
      </c>
      <c r="C121" s="1" t="n">
        <v>46134</v>
      </c>
      <c r="D121" t="inlineStr">
        <is>
          <t>UPPSALA LÄN</t>
        </is>
      </c>
      <c r="E121" t="inlineStr">
        <is>
          <t>ÖSTHAMMAR</t>
        </is>
      </c>
      <c r="G121" t="n">
        <v>0.9</v>
      </c>
      <c r="H121" t="n">
        <v>0</v>
      </c>
      <c r="I121" t="n">
        <v>1</v>
      </c>
      <c r="J121" t="n">
        <v>0</v>
      </c>
      <c r="K121" t="n">
        <v>0</v>
      </c>
      <c r="L121" t="n">
        <v>0</v>
      </c>
      <c r="M121" t="n">
        <v>0</v>
      </c>
      <c r="N121" t="n">
        <v>0</v>
      </c>
      <c r="O121" t="n">
        <v>0</v>
      </c>
      <c r="P121" t="n">
        <v>0</v>
      </c>
      <c r="Q121" t="n">
        <v>1</v>
      </c>
      <c r="R121" s="2" t="inlineStr">
        <is>
          <t>Olivspindling</t>
        </is>
      </c>
      <c r="S121">
        <f>HYPERLINK("https://klasma.github.io/Logging_0382/artfynd/A 14706-2023 artfynd.xlsx", "A 14706-2023")</f>
        <v/>
      </c>
      <c r="T121">
        <f>HYPERLINK("https://klasma.github.io/Logging_0382/kartor/A 14706-2023 karta.png", "A 14706-2023")</f>
        <v/>
      </c>
      <c r="V121">
        <f>HYPERLINK("https://klasma.github.io/Logging_0382/klagomål/A 14706-2023 FSC-klagomål.docx", "A 14706-2023")</f>
        <v/>
      </c>
      <c r="W121">
        <f>HYPERLINK("https://klasma.github.io/Logging_0382/klagomålsmail/A 14706-2023 FSC-klagomål mail.docx", "A 14706-2023")</f>
        <v/>
      </c>
      <c r="X121">
        <f>HYPERLINK("https://klasma.github.io/Logging_0382/tillsyn/A 14706-2023 tillsynsbegäran.docx", "A 14706-2023")</f>
        <v/>
      </c>
      <c r="Y121">
        <f>HYPERLINK("https://klasma.github.io/Logging_0382/tillsynsmail/A 14706-2023 tillsynsbegäran mail.docx", "A 14706-2023")</f>
        <v/>
      </c>
    </row>
    <row r="122" ht="15" customHeight="1">
      <c r="A122" t="inlineStr">
        <is>
          <t>A 12753-2024</t>
        </is>
      </c>
      <c r="B122" s="1" t="n">
        <v>45384</v>
      </c>
      <c r="C122" s="1" t="n">
        <v>46134</v>
      </c>
      <c r="D122" t="inlineStr">
        <is>
          <t>UPPSALA LÄN</t>
        </is>
      </c>
      <c r="E122" t="inlineStr">
        <is>
          <t>ÖSTHAMMAR</t>
        </is>
      </c>
      <c r="G122" t="n">
        <v>1.7</v>
      </c>
      <c r="H122" t="n">
        <v>0</v>
      </c>
      <c r="I122" t="n">
        <v>0</v>
      </c>
      <c r="J122" t="n">
        <v>1</v>
      </c>
      <c r="K122" t="n">
        <v>0</v>
      </c>
      <c r="L122" t="n">
        <v>0</v>
      </c>
      <c r="M122" t="n">
        <v>0</v>
      </c>
      <c r="N122" t="n">
        <v>0</v>
      </c>
      <c r="O122" t="n">
        <v>1</v>
      </c>
      <c r="P122" t="n">
        <v>0</v>
      </c>
      <c r="Q122" t="n">
        <v>1</v>
      </c>
      <c r="R122" s="2" t="inlineStr">
        <is>
          <t>Flattoppad klubbsvamp</t>
        </is>
      </c>
      <c r="S122">
        <f>HYPERLINK("https://klasma.github.io/Logging_0382/artfynd/A 12753-2024 artfynd.xlsx", "A 12753-2024")</f>
        <v/>
      </c>
      <c r="T122">
        <f>HYPERLINK("https://klasma.github.io/Logging_0382/kartor/A 12753-2024 karta.png", "A 12753-2024")</f>
        <v/>
      </c>
      <c r="V122">
        <f>HYPERLINK("https://klasma.github.io/Logging_0382/klagomål/A 12753-2024 FSC-klagomål.docx", "A 12753-2024")</f>
        <v/>
      </c>
      <c r="W122">
        <f>HYPERLINK("https://klasma.github.io/Logging_0382/klagomålsmail/A 12753-2024 FSC-klagomål mail.docx", "A 12753-2024")</f>
        <v/>
      </c>
      <c r="X122">
        <f>HYPERLINK("https://klasma.github.io/Logging_0382/tillsyn/A 12753-2024 tillsynsbegäran.docx", "A 12753-2024")</f>
        <v/>
      </c>
      <c r="Y122">
        <f>HYPERLINK("https://klasma.github.io/Logging_0382/tillsynsmail/A 12753-2024 tillsynsbegäran mail.docx", "A 12753-2024")</f>
        <v/>
      </c>
    </row>
    <row r="123" ht="15" customHeight="1">
      <c r="A123" t="inlineStr">
        <is>
          <t>A 14203-2024</t>
        </is>
      </c>
      <c r="B123" s="1" t="n">
        <v>45393</v>
      </c>
      <c r="C123" s="1" t="n">
        <v>46134</v>
      </c>
      <c r="D123" t="inlineStr">
        <is>
          <t>UPPSALA LÄN</t>
        </is>
      </c>
      <c r="E123" t="inlineStr">
        <is>
          <t>ÖSTHAMMAR</t>
        </is>
      </c>
      <c r="G123" t="n">
        <v>1.4</v>
      </c>
      <c r="H123" t="n">
        <v>0</v>
      </c>
      <c r="I123" t="n">
        <v>0</v>
      </c>
      <c r="J123" t="n">
        <v>1</v>
      </c>
      <c r="K123" t="n">
        <v>0</v>
      </c>
      <c r="L123" t="n">
        <v>0</v>
      </c>
      <c r="M123" t="n">
        <v>0</v>
      </c>
      <c r="N123" t="n">
        <v>0</v>
      </c>
      <c r="O123" t="n">
        <v>1</v>
      </c>
      <c r="P123" t="n">
        <v>0</v>
      </c>
      <c r="Q123" t="n">
        <v>1</v>
      </c>
      <c r="R123" s="2" t="inlineStr">
        <is>
          <t>Scharlakansvaxing</t>
        </is>
      </c>
      <c r="S123">
        <f>HYPERLINK("https://klasma.github.io/Logging_0382/artfynd/A 14203-2024 artfynd.xlsx", "A 14203-2024")</f>
        <v/>
      </c>
      <c r="T123">
        <f>HYPERLINK("https://klasma.github.io/Logging_0382/kartor/A 14203-2024 karta.png", "A 14203-2024")</f>
        <v/>
      </c>
      <c r="V123">
        <f>HYPERLINK("https://klasma.github.io/Logging_0382/klagomål/A 14203-2024 FSC-klagomål.docx", "A 14203-2024")</f>
        <v/>
      </c>
      <c r="W123">
        <f>HYPERLINK("https://klasma.github.io/Logging_0382/klagomålsmail/A 14203-2024 FSC-klagomål mail.docx", "A 14203-2024")</f>
        <v/>
      </c>
      <c r="X123">
        <f>HYPERLINK("https://klasma.github.io/Logging_0382/tillsyn/A 14203-2024 tillsynsbegäran.docx", "A 14203-2024")</f>
        <v/>
      </c>
      <c r="Y123">
        <f>HYPERLINK("https://klasma.github.io/Logging_0382/tillsynsmail/A 14203-2024 tillsynsbegäran mail.docx", "A 14203-2024")</f>
        <v/>
      </c>
    </row>
    <row r="124" ht="15" customHeight="1">
      <c r="A124" t="inlineStr">
        <is>
          <t>A 63615-2021</t>
        </is>
      </c>
      <c r="B124" s="1" t="n">
        <v>44509</v>
      </c>
      <c r="C124" s="1" t="n">
        <v>46134</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70408-2021</t>
        </is>
      </c>
      <c r="B125" s="1" t="n">
        <v>44536</v>
      </c>
      <c r="C125" s="1" t="n">
        <v>46134</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25434-2022</t>
        </is>
      </c>
      <c r="B126" s="1" t="n">
        <v>44732.48165509259</v>
      </c>
      <c r="C126" s="1" t="n">
        <v>46134</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25076-2022</t>
        </is>
      </c>
      <c r="B127" s="1" t="n">
        <v>44729</v>
      </c>
      <c r="C127" s="1" t="n">
        <v>46134</v>
      </c>
      <c r="D127" t="inlineStr">
        <is>
          <t>UPPSALA LÄN</t>
        </is>
      </c>
      <c r="E127" t="inlineStr">
        <is>
          <t>ÖSTHAMMAR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8775-2022</t>
        </is>
      </c>
      <c r="B128" s="1" t="n">
        <v>44614</v>
      </c>
      <c r="C128" s="1" t="n">
        <v>46134</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73983-2021</t>
        </is>
      </c>
      <c r="B129" s="1" t="n">
        <v>44555.80506944445</v>
      </c>
      <c r="C129" s="1" t="n">
        <v>46134</v>
      </c>
      <c r="D129" t="inlineStr">
        <is>
          <t>UPPSALA LÄN</t>
        </is>
      </c>
      <c r="E129" t="inlineStr">
        <is>
          <t>ÖSTHAMMAR</t>
        </is>
      </c>
      <c r="G129" t="n">
        <v>0.6</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46134</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46134</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18727-2022</t>
        </is>
      </c>
      <c r="B132" s="1" t="n">
        <v>44687.68890046296</v>
      </c>
      <c r="C132" s="1" t="n">
        <v>46134</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18732-2022</t>
        </is>
      </c>
      <c r="B133" s="1" t="n">
        <v>44687</v>
      </c>
      <c r="C133" s="1" t="n">
        <v>46134</v>
      </c>
      <c r="D133" t="inlineStr">
        <is>
          <t>UPPSALA LÄN</t>
        </is>
      </c>
      <c r="E133" t="inlineStr">
        <is>
          <t>ÖSTHAMMAR</t>
        </is>
      </c>
      <c r="G133" t="n">
        <v>10.5</v>
      </c>
      <c r="H133" t="n">
        <v>0</v>
      </c>
      <c r="I133" t="n">
        <v>0</v>
      </c>
      <c r="J133" t="n">
        <v>0</v>
      </c>
      <c r="K133" t="n">
        <v>0</v>
      </c>
      <c r="L133" t="n">
        <v>0</v>
      </c>
      <c r="M133" t="n">
        <v>0</v>
      </c>
      <c r="N133" t="n">
        <v>0</v>
      </c>
      <c r="O133" t="n">
        <v>0</v>
      </c>
      <c r="P133" t="n">
        <v>0</v>
      </c>
      <c r="Q133" t="n">
        <v>0</v>
      </c>
      <c r="R133" s="2" t="inlineStr"/>
    </row>
    <row r="134" ht="15" customHeight="1">
      <c r="A134" t="inlineStr">
        <is>
          <t>A 10288-2022</t>
        </is>
      </c>
      <c r="B134" s="1" t="n">
        <v>44622</v>
      </c>
      <c r="C134" s="1" t="n">
        <v>46134</v>
      </c>
      <c r="D134" t="inlineStr">
        <is>
          <t>UPPSALA LÄN</t>
        </is>
      </c>
      <c r="E134" t="inlineStr">
        <is>
          <t>ÖSTHAMMAR</t>
        </is>
      </c>
      <c r="F134" t="inlineStr">
        <is>
          <t>Bergvik skog öst AB</t>
        </is>
      </c>
      <c r="G134" t="n">
        <v>0.3</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46134</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46134</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46134</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46134</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61746-2021</t>
        </is>
      </c>
      <c r="B139" s="1" t="n">
        <v>44498</v>
      </c>
      <c r="C139" s="1" t="n">
        <v>46134</v>
      </c>
      <c r="D139" t="inlineStr">
        <is>
          <t>UPPSALA LÄN</t>
        </is>
      </c>
      <c r="E139" t="inlineStr">
        <is>
          <t>ÖSTHAMMAR</t>
        </is>
      </c>
      <c r="G139" t="n">
        <v>5.6</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46134</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44019-2022</t>
        </is>
      </c>
      <c r="B141" s="1" t="n">
        <v>44838.82126157408</v>
      </c>
      <c r="C141" s="1" t="n">
        <v>46134</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2108-2022</t>
        </is>
      </c>
      <c r="B142" s="1" t="n">
        <v>44577.83829861111</v>
      </c>
      <c r="C142" s="1" t="n">
        <v>46134</v>
      </c>
      <c r="D142" t="inlineStr">
        <is>
          <t>UPPSALA LÄN</t>
        </is>
      </c>
      <c r="E142" t="inlineStr">
        <is>
          <t>ÖSTHAMMAR</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46134</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46134</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46134</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46134</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46134</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46134</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26257-2021</t>
        </is>
      </c>
      <c r="B149" s="1" t="n">
        <v>44347</v>
      </c>
      <c r="C149" s="1" t="n">
        <v>46134</v>
      </c>
      <c r="D149" t="inlineStr">
        <is>
          <t>UPPSALA LÄN</t>
        </is>
      </c>
      <c r="E149" t="inlineStr">
        <is>
          <t>ÖSTHAMMAR</t>
        </is>
      </c>
      <c r="G149" t="n">
        <v>3.2</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46134</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46134</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46134</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46134</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46134</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46134</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46134</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46134</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24138-2022</t>
        </is>
      </c>
      <c r="B158" s="1" t="n">
        <v>44725.45895833334</v>
      </c>
      <c r="C158" s="1" t="n">
        <v>46134</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46134</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66549-2021</t>
        </is>
      </c>
      <c r="B160" s="1" t="n">
        <v>44519.3990162037</v>
      </c>
      <c r="C160" s="1" t="n">
        <v>46134</v>
      </c>
      <c r="D160" t="inlineStr">
        <is>
          <t>UPPSALA LÄN</t>
        </is>
      </c>
      <c r="E160" t="inlineStr">
        <is>
          <t>ÖSTHAMMAR</t>
        </is>
      </c>
      <c r="F160" t="inlineStr">
        <is>
          <t>Bergvik skog öst AB</t>
        </is>
      </c>
      <c r="G160" t="n">
        <v>2.8</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46134</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5932-2022</t>
        </is>
      </c>
      <c r="B162" s="1" t="n">
        <v>44598.8281712963</v>
      </c>
      <c r="C162" s="1" t="n">
        <v>46134</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48308-2021</t>
        </is>
      </c>
      <c r="B163" s="1" t="n">
        <v>44450</v>
      </c>
      <c r="C163" s="1" t="n">
        <v>46134</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19287-2022</t>
        </is>
      </c>
      <c r="B164" s="1" t="n">
        <v>44692.49559027778</v>
      </c>
      <c r="C164" s="1" t="n">
        <v>46134</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51612-2021</t>
        </is>
      </c>
      <c r="B165" s="1" t="n">
        <v>44462</v>
      </c>
      <c r="C165" s="1" t="n">
        <v>46134</v>
      </c>
      <c r="D165" t="inlineStr">
        <is>
          <t>UPPSALA LÄN</t>
        </is>
      </c>
      <c r="E165" t="inlineStr">
        <is>
          <t>ÖSTHAMMAR</t>
        </is>
      </c>
      <c r="G165" t="n">
        <v>2.7</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46134</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46134</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46134</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46134</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49914-2022</t>
        </is>
      </c>
      <c r="B170" s="1" t="n">
        <v>44865</v>
      </c>
      <c r="C170" s="1" t="n">
        <v>46134</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22945-2022</t>
        </is>
      </c>
      <c r="B171" s="1" t="n">
        <v>44715.91158564815</v>
      </c>
      <c r="C171" s="1" t="n">
        <v>46134</v>
      </c>
      <c r="D171" t="inlineStr">
        <is>
          <t>UPPSALA LÄN</t>
        </is>
      </c>
      <c r="E171" t="inlineStr">
        <is>
          <t>ÖSTHAMMAR</t>
        </is>
      </c>
      <c r="F171" t="inlineStr">
        <is>
          <t>Bergvik skog öst AB</t>
        </is>
      </c>
      <c r="G171" t="n">
        <v>1</v>
      </c>
      <c r="H171" t="n">
        <v>0</v>
      </c>
      <c r="I171" t="n">
        <v>0</v>
      </c>
      <c r="J171" t="n">
        <v>0</v>
      </c>
      <c r="K171" t="n">
        <v>0</v>
      </c>
      <c r="L171" t="n">
        <v>0</v>
      </c>
      <c r="M171" t="n">
        <v>0</v>
      </c>
      <c r="N171" t="n">
        <v>0</v>
      </c>
      <c r="O171" t="n">
        <v>0</v>
      </c>
      <c r="P171" t="n">
        <v>0</v>
      </c>
      <c r="Q171" t="n">
        <v>0</v>
      </c>
      <c r="R171" s="2" t="inlineStr"/>
    </row>
    <row r="172" ht="15" customHeight="1">
      <c r="A172" t="inlineStr">
        <is>
          <t>A 43469-2021</t>
        </is>
      </c>
      <c r="B172" s="1" t="n">
        <v>44432</v>
      </c>
      <c r="C172" s="1" t="n">
        <v>46134</v>
      </c>
      <c r="D172" t="inlineStr">
        <is>
          <t>UPPSALA LÄN</t>
        </is>
      </c>
      <c r="E172" t="inlineStr">
        <is>
          <t>ÖSTHAMMAR</t>
        </is>
      </c>
      <c r="G172" t="n">
        <v>3.9</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46134</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46134</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46134</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46134</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46134</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46134</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46134</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46134</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46134</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46134</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46134</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46134</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46134</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46134</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46134</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46134</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46134</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46134</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7871-2022</t>
        </is>
      </c>
      <c r="B191" s="1" t="n">
        <v>44608</v>
      </c>
      <c r="C191" s="1" t="n">
        <v>46134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51906-2022</t>
        </is>
      </c>
      <c r="B192" s="1" t="n">
        <v>44872.62109953703</v>
      </c>
      <c r="C192" s="1" t="n">
        <v>46134</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31182-2022</t>
        </is>
      </c>
      <c r="B193" s="1" t="n">
        <v>44770</v>
      </c>
      <c r="C193" s="1" t="n">
        <v>46134</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26534-2022</t>
        </is>
      </c>
      <c r="B194" s="1" t="n">
        <v>44739</v>
      </c>
      <c r="C194" s="1" t="n">
        <v>46134</v>
      </c>
      <c r="D194" t="inlineStr">
        <is>
          <t>UPPSALA LÄN</t>
        </is>
      </c>
      <c r="E194" t="inlineStr">
        <is>
          <t>ÖSTHAMMAR</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52898-2021</t>
        </is>
      </c>
      <c r="B195" s="1" t="n">
        <v>44467</v>
      </c>
      <c r="C195" s="1" t="n">
        <v>46134</v>
      </c>
      <c r="D195" t="inlineStr">
        <is>
          <t>UPPSALA LÄN</t>
        </is>
      </c>
      <c r="E195" t="inlineStr">
        <is>
          <t>ÖSTHAMMAR</t>
        </is>
      </c>
      <c r="G195" t="n">
        <v>2.3</v>
      </c>
      <c r="H195" t="n">
        <v>0</v>
      </c>
      <c r="I195" t="n">
        <v>0</v>
      </c>
      <c r="J195" t="n">
        <v>0</v>
      </c>
      <c r="K195" t="n">
        <v>0</v>
      </c>
      <c r="L195" t="n">
        <v>0</v>
      </c>
      <c r="M195" t="n">
        <v>0</v>
      </c>
      <c r="N195" t="n">
        <v>0</v>
      </c>
      <c r="O195" t="n">
        <v>0</v>
      </c>
      <c r="P195" t="n">
        <v>0</v>
      </c>
      <c r="Q195" t="n">
        <v>0</v>
      </c>
      <c r="R195" s="2" t="inlineStr"/>
    </row>
    <row r="196" ht="15" customHeight="1">
      <c r="A196" t="inlineStr">
        <is>
          <t>A 9789-2022</t>
        </is>
      </c>
      <c r="B196" s="1" t="n">
        <v>44620.35590277778</v>
      </c>
      <c r="C196" s="1" t="n">
        <v>46134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2168-2022</t>
        </is>
      </c>
      <c r="B197" s="1" t="n">
        <v>44578</v>
      </c>
      <c r="C197" s="1" t="n">
        <v>46134</v>
      </c>
      <c r="D197" t="inlineStr">
        <is>
          <t>UPPSALA LÄN</t>
        </is>
      </c>
      <c r="E197" t="inlineStr">
        <is>
          <t>ÖSTHAMMAR</t>
        </is>
      </c>
      <c r="G197" t="n">
        <v>2.9</v>
      </c>
      <c r="H197" t="n">
        <v>0</v>
      </c>
      <c r="I197" t="n">
        <v>0</v>
      </c>
      <c r="J197" t="n">
        <v>0</v>
      </c>
      <c r="K197" t="n">
        <v>0</v>
      </c>
      <c r="L197" t="n">
        <v>0</v>
      </c>
      <c r="M197" t="n">
        <v>0</v>
      </c>
      <c r="N197" t="n">
        <v>0</v>
      </c>
      <c r="O197" t="n">
        <v>0</v>
      </c>
      <c r="P197" t="n">
        <v>0</v>
      </c>
      <c r="Q197" t="n">
        <v>0</v>
      </c>
      <c r="R197" s="2" t="inlineStr"/>
    </row>
    <row r="198" ht="15" customHeight="1">
      <c r="A198" t="inlineStr">
        <is>
          <t>A 18734-2022</t>
        </is>
      </c>
      <c r="B198" s="1" t="n">
        <v>44687.86751157408</v>
      </c>
      <c r="C198" s="1" t="n">
        <v>46134</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11884-2022</t>
        </is>
      </c>
      <c r="B199" s="1" t="n">
        <v>44635.39946759259</v>
      </c>
      <c r="C199" s="1" t="n">
        <v>46134</v>
      </c>
      <c r="D199" t="inlineStr">
        <is>
          <t>UPPSALA LÄN</t>
        </is>
      </c>
      <c r="E199" t="inlineStr">
        <is>
          <t>ÖSTHAMMAR</t>
        </is>
      </c>
      <c r="G199" t="n">
        <v>0.8</v>
      </c>
      <c r="H199" t="n">
        <v>0</v>
      </c>
      <c r="I199" t="n">
        <v>0</v>
      </c>
      <c r="J199" t="n">
        <v>0</v>
      </c>
      <c r="K199" t="n">
        <v>0</v>
      </c>
      <c r="L199" t="n">
        <v>0</v>
      </c>
      <c r="M199" t="n">
        <v>0</v>
      </c>
      <c r="N199" t="n">
        <v>0</v>
      </c>
      <c r="O199" t="n">
        <v>0</v>
      </c>
      <c r="P199" t="n">
        <v>0</v>
      </c>
      <c r="Q199" t="n">
        <v>0</v>
      </c>
      <c r="R199" s="2" t="inlineStr"/>
    </row>
    <row r="200" ht="15" customHeight="1">
      <c r="A200" t="inlineStr">
        <is>
          <t>A 19214-2021</t>
        </is>
      </c>
      <c r="B200" s="1" t="n">
        <v>44309.28576388889</v>
      </c>
      <c r="C200" s="1" t="n">
        <v>46134</v>
      </c>
      <c r="D200" t="inlineStr">
        <is>
          <t>UPPSALA LÄN</t>
        </is>
      </c>
      <c r="E200" t="inlineStr">
        <is>
          <t>ÖSTHAMMAR</t>
        </is>
      </c>
      <c r="F200" t="inlineStr">
        <is>
          <t>Bergvik skog öst AB</t>
        </is>
      </c>
      <c r="G200" t="n">
        <v>6</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46134</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46134</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46134</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46134</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46134</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46134</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46134</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1436-2025</t>
        </is>
      </c>
      <c r="B208" s="1" t="n">
        <v>45669.67625</v>
      </c>
      <c r="C208" s="1" t="n">
        <v>46134</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19040-2023</t>
        </is>
      </c>
      <c r="B209" s="1" t="n">
        <v>45047</v>
      </c>
      <c r="C209" s="1" t="n">
        <v>46134</v>
      </c>
      <c r="D209" t="inlineStr">
        <is>
          <t>UPPSALA LÄN</t>
        </is>
      </c>
      <c r="E209" t="inlineStr">
        <is>
          <t>ÖSTHAMMAR</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18838-2023</t>
        </is>
      </c>
      <c r="B210" s="1" t="n">
        <v>45044</v>
      </c>
      <c r="C210" s="1" t="n">
        <v>46134</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38702-2022</t>
        </is>
      </c>
      <c r="B211" s="1" t="n">
        <v>44814.5991087963</v>
      </c>
      <c r="C211" s="1" t="n">
        <v>46134</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33062-2021</t>
        </is>
      </c>
      <c r="B212" s="1" t="n">
        <v>44376</v>
      </c>
      <c r="C212" s="1" t="n">
        <v>46134</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49097-2022</t>
        </is>
      </c>
      <c r="B213" s="1" t="n">
        <v>44860</v>
      </c>
      <c r="C213" s="1" t="n">
        <v>46134</v>
      </c>
      <c r="D213" t="inlineStr">
        <is>
          <t>UPPSALA LÄN</t>
        </is>
      </c>
      <c r="E213" t="inlineStr">
        <is>
          <t>ÖSTHAMMAR</t>
        </is>
      </c>
      <c r="G213" t="n">
        <v>6.9</v>
      </c>
      <c r="H213" t="n">
        <v>0</v>
      </c>
      <c r="I213" t="n">
        <v>0</v>
      </c>
      <c r="J213" t="n">
        <v>0</v>
      </c>
      <c r="K213" t="n">
        <v>0</v>
      </c>
      <c r="L213" t="n">
        <v>0</v>
      </c>
      <c r="M213" t="n">
        <v>0</v>
      </c>
      <c r="N213" t="n">
        <v>0</v>
      </c>
      <c r="O213" t="n">
        <v>0</v>
      </c>
      <c r="P213" t="n">
        <v>0</v>
      </c>
      <c r="Q213" t="n">
        <v>0</v>
      </c>
      <c r="R213" s="2" t="inlineStr"/>
    </row>
    <row r="214" ht="15" customHeight="1">
      <c r="A214" t="inlineStr">
        <is>
          <t>A 20326-2021</t>
        </is>
      </c>
      <c r="B214" s="1" t="n">
        <v>44308</v>
      </c>
      <c r="C214" s="1" t="n">
        <v>46134</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28421-2023</t>
        </is>
      </c>
      <c r="B215" s="1" t="n">
        <v>45102</v>
      </c>
      <c r="C215" s="1" t="n">
        <v>46134</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17867-2024</t>
        </is>
      </c>
      <c r="B216" s="1" t="n">
        <v>45419.44106481481</v>
      </c>
      <c r="C216" s="1" t="n">
        <v>46134</v>
      </c>
      <c r="D216" t="inlineStr">
        <is>
          <t>UPPSALA LÄN</t>
        </is>
      </c>
      <c r="E216" t="inlineStr">
        <is>
          <t>ÖSTHAMMAR</t>
        </is>
      </c>
      <c r="G216" t="n">
        <v>7.2</v>
      </c>
      <c r="H216" t="n">
        <v>0</v>
      </c>
      <c r="I216" t="n">
        <v>0</v>
      </c>
      <c r="J216" t="n">
        <v>0</v>
      </c>
      <c r="K216" t="n">
        <v>0</v>
      </c>
      <c r="L216" t="n">
        <v>0</v>
      </c>
      <c r="M216" t="n">
        <v>0</v>
      </c>
      <c r="N216" t="n">
        <v>0</v>
      </c>
      <c r="O216" t="n">
        <v>0</v>
      </c>
      <c r="P216" t="n">
        <v>0</v>
      </c>
      <c r="Q216" t="n">
        <v>0</v>
      </c>
      <c r="R216" s="2" t="inlineStr"/>
    </row>
    <row r="217" ht="15" customHeight="1">
      <c r="A217" t="inlineStr">
        <is>
          <t>A 12756-2024</t>
        </is>
      </c>
      <c r="B217" s="1" t="n">
        <v>45384</v>
      </c>
      <c r="C217" s="1" t="n">
        <v>46134</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57-2023</t>
        </is>
      </c>
      <c r="B218" s="1" t="n">
        <v>44928.40917824074</v>
      </c>
      <c r="C218" s="1" t="n">
        <v>46134</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59-2023</t>
        </is>
      </c>
      <c r="B219" s="1" t="n">
        <v>44928.41822916667</v>
      </c>
      <c r="C219" s="1" t="n">
        <v>46134</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25252-2024</t>
        </is>
      </c>
      <c r="B220" s="1" t="n">
        <v>45462</v>
      </c>
      <c r="C220" s="1" t="n">
        <v>46134</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25938-2024</t>
        </is>
      </c>
      <c r="B221" s="1" t="n">
        <v>45467.63127314814</v>
      </c>
      <c r="C221" s="1" t="n">
        <v>46134</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46134</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33552-2024</t>
        </is>
      </c>
      <c r="B223" s="1" t="n">
        <v>45519</v>
      </c>
      <c r="C223" s="1" t="n">
        <v>46134</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33553-2024</t>
        </is>
      </c>
      <c r="B224" s="1" t="n">
        <v>45519</v>
      </c>
      <c r="C224" s="1" t="n">
        <v>46134</v>
      </c>
      <c r="D224" t="inlineStr">
        <is>
          <t>UPPSALA LÄN</t>
        </is>
      </c>
      <c r="E224" t="inlineStr">
        <is>
          <t>ÖSTHAMMAR</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46134</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54666-2022</t>
        </is>
      </c>
      <c r="B226" s="1" t="n">
        <v>44883</v>
      </c>
      <c r="C226" s="1" t="n">
        <v>46134</v>
      </c>
      <c r="D226" t="inlineStr">
        <is>
          <t>UPPSALA LÄN</t>
        </is>
      </c>
      <c r="E226" t="inlineStr">
        <is>
          <t>ÖSTHAMMAR</t>
        </is>
      </c>
      <c r="G226" t="n">
        <v>14.3</v>
      </c>
      <c r="H226" t="n">
        <v>0</v>
      </c>
      <c r="I226" t="n">
        <v>0</v>
      </c>
      <c r="J226" t="n">
        <v>0</v>
      </c>
      <c r="K226" t="n">
        <v>0</v>
      </c>
      <c r="L226" t="n">
        <v>0</v>
      </c>
      <c r="M226" t="n">
        <v>0</v>
      </c>
      <c r="N226" t="n">
        <v>0</v>
      </c>
      <c r="O226" t="n">
        <v>0</v>
      </c>
      <c r="P226" t="n">
        <v>0</v>
      </c>
      <c r="Q226" t="n">
        <v>0</v>
      </c>
      <c r="R226" s="2" t="inlineStr"/>
    </row>
    <row r="227" ht="15" customHeight="1">
      <c r="A227" t="inlineStr">
        <is>
          <t>A 59731-2023</t>
        </is>
      </c>
      <c r="B227" s="1" t="n">
        <v>45257</v>
      </c>
      <c r="C227" s="1" t="n">
        <v>46134</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5429-2023</t>
        </is>
      </c>
      <c r="B228" s="1" t="n">
        <v>44959.83037037037</v>
      </c>
      <c r="C228" s="1" t="n">
        <v>46134</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19947-2024</t>
        </is>
      </c>
      <c r="B229" s="1" t="n">
        <v>45433</v>
      </c>
      <c r="C229" s="1" t="n">
        <v>46134</v>
      </c>
      <c r="D229" t="inlineStr">
        <is>
          <t>UPPSALA LÄN</t>
        </is>
      </c>
      <c r="E229" t="inlineStr">
        <is>
          <t>ÖSTHAMMAR</t>
        </is>
      </c>
      <c r="G229" t="n">
        <v>0.3</v>
      </c>
      <c r="H229" t="n">
        <v>0</v>
      </c>
      <c r="I229" t="n">
        <v>0</v>
      </c>
      <c r="J229" t="n">
        <v>0</v>
      </c>
      <c r="K229" t="n">
        <v>0</v>
      </c>
      <c r="L229" t="n">
        <v>0</v>
      </c>
      <c r="M229" t="n">
        <v>0</v>
      </c>
      <c r="N229" t="n">
        <v>0</v>
      </c>
      <c r="O229" t="n">
        <v>0</v>
      </c>
      <c r="P229" t="n">
        <v>0</v>
      </c>
      <c r="Q229" t="n">
        <v>0</v>
      </c>
      <c r="R229" s="2" t="inlineStr"/>
    </row>
    <row r="230" ht="15" customHeight="1">
      <c r="A230" t="inlineStr">
        <is>
          <t>A 34607-2023</t>
        </is>
      </c>
      <c r="B230" s="1" t="n">
        <v>45138</v>
      </c>
      <c r="C230" s="1" t="n">
        <v>46134</v>
      </c>
      <c r="D230" t="inlineStr">
        <is>
          <t>UPPSALA LÄN</t>
        </is>
      </c>
      <c r="E230" t="inlineStr">
        <is>
          <t>ÖSTHAMMAR</t>
        </is>
      </c>
      <c r="G230" t="n">
        <v>4.7</v>
      </c>
      <c r="H230" t="n">
        <v>0</v>
      </c>
      <c r="I230" t="n">
        <v>0</v>
      </c>
      <c r="J230" t="n">
        <v>0</v>
      </c>
      <c r="K230" t="n">
        <v>0</v>
      </c>
      <c r="L230" t="n">
        <v>0</v>
      </c>
      <c r="M230" t="n">
        <v>0</v>
      </c>
      <c r="N230" t="n">
        <v>0</v>
      </c>
      <c r="O230" t="n">
        <v>0</v>
      </c>
      <c r="P230" t="n">
        <v>0</v>
      </c>
      <c r="Q230" t="n">
        <v>0</v>
      </c>
      <c r="R230" s="2" t="inlineStr"/>
    </row>
    <row r="231" ht="15" customHeight="1">
      <c r="A231" t="inlineStr">
        <is>
          <t>A 11385-2024</t>
        </is>
      </c>
      <c r="B231" s="1" t="n">
        <v>45372</v>
      </c>
      <c r="C231" s="1" t="n">
        <v>46134</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52659-2021</t>
        </is>
      </c>
      <c r="B232" s="1" t="n">
        <v>44466</v>
      </c>
      <c r="C232" s="1" t="n">
        <v>46134</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14433-2024</t>
        </is>
      </c>
      <c r="B233" s="1" t="n">
        <v>45394.46115740741</v>
      </c>
      <c r="C233" s="1" t="n">
        <v>46134</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56969-2022</t>
        </is>
      </c>
      <c r="B234" s="1" t="n">
        <v>44894.68043981482</v>
      </c>
      <c r="C234" s="1" t="n">
        <v>46134</v>
      </c>
      <c r="D234" t="inlineStr">
        <is>
          <t>UPPSALA LÄN</t>
        </is>
      </c>
      <c r="E234" t="inlineStr">
        <is>
          <t>ÖSTHAMMAR</t>
        </is>
      </c>
      <c r="G234" t="n">
        <v>5.5</v>
      </c>
      <c r="H234" t="n">
        <v>0</v>
      </c>
      <c r="I234" t="n">
        <v>0</v>
      </c>
      <c r="J234" t="n">
        <v>0</v>
      </c>
      <c r="K234" t="n">
        <v>0</v>
      </c>
      <c r="L234" t="n">
        <v>0</v>
      </c>
      <c r="M234" t="n">
        <v>0</v>
      </c>
      <c r="N234" t="n">
        <v>0</v>
      </c>
      <c r="O234" t="n">
        <v>0</v>
      </c>
      <c r="P234" t="n">
        <v>0</v>
      </c>
      <c r="Q234" t="n">
        <v>0</v>
      </c>
      <c r="R234" s="2" t="inlineStr"/>
    </row>
    <row r="235" ht="15" customHeight="1">
      <c r="A235" t="inlineStr">
        <is>
          <t>A 7876-2023</t>
        </is>
      </c>
      <c r="B235" s="1" t="n">
        <v>44973.57263888889</v>
      </c>
      <c r="C235" s="1" t="n">
        <v>46134</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36904-2023</t>
        </is>
      </c>
      <c r="B236" s="1" t="n">
        <v>45154</v>
      </c>
      <c r="C236" s="1" t="n">
        <v>46134</v>
      </c>
      <c r="D236" t="inlineStr">
        <is>
          <t>UPPSALA LÄN</t>
        </is>
      </c>
      <c r="E236" t="inlineStr">
        <is>
          <t>ÖSTHAMMAR</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35539-2023</t>
        </is>
      </c>
      <c r="B237" s="1" t="n">
        <v>45147.37006944444</v>
      </c>
      <c r="C237" s="1" t="n">
        <v>46134</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23968-2025</t>
        </is>
      </c>
      <c r="B238" s="1" t="n">
        <v>45796</v>
      </c>
      <c r="C238" s="1" t="n">
        <v>46134</v>
      </c>
      <c r="D238" t="inlineStr">
        <is>
          <t>UPPSALA LÄN</t>
        </is>
      </c>
      <c r="E238" t="inlineStr">
        <is>
          <t>ÖSTHAMMAR</t>
        </is>
      </c>
      <c r="F238" t="inlineStr">
        <is>
          <t>Bergvik skog öst AB</t>
        </is>
      </c>
      <c r="G238" t="n">
        <v>7.5</v>
      </c>
      <c r="H238" t="n">
        <v>0</v>
      </c>
      <c r="I238" t="n">
        <v>0</v>
      </c>
      <c r="J238" t="n">
        <v>0</v>
      </c>
      <c r="K238" t="n">
        <v>0</v>
      </c>
      <c r="L238" t="n">
        <v>0</v>
      </c>
      <c r="M238" t="n">
        <v>0</v>
      </c>
      <c r="N238" t="n">
        <v>0</v>
      </c>
      <c r="O238" t="n">
        <v>0</v>
      </c>
      <c r="P238" t="n">
        <v>0</v>
      </c>
      <c r="Q238" t="n">
        <v>0</v>
      </c>
      <c r="R238" s="2" t="inlineStr"/>
    </row>
    <row r="239" ht="15" customHeight="1">
      <c r="A239" t="inlineStr">
        <is>
          <t>A 38233-2024</t>
        </is>
      </c>
      <c r="B239" s="1" t="n">
        <v>45545</v>
      </c>
      <c r="C239" s="1" t="n">
        <v>46134</v>
      </c>
      <c r="D239" t="inlineStr">
        <is>
          <t>UPPSALA LÄN</t>
        </is>
      </c>
      <c r="E239" t="inlineStr">
        <is>
          <t>ÖSTHAMMAR</t>
        </is>
      </c>
      <c r="G239" t="n">
        <v>3.4</v>
      </c>
      <c r="H239" t="n">
        <v>0</v>
      </c>
      <c r="I239" t="n">
        <v>0</v>
      </c>
      <c r="J239" t="n">
        <v>0</v>
      </c>
      <c r="K239" t="n">
        <v>0</v>
      </c>
      <c r="L239" t="n">
        <v>0</v>
      </c>
      <c r="M239" t="n">
        <v>0</v>
      </c>
      <c r="N239" t="n">
        <v>0</v>
      </c>
      <c r="O239" t="n">
        <v>0</v>
      </c>
      <c r="P239" t="n">
        <v>0</v>
      </c>
      <c r="Q239" t="n">
        <v>0</v>
      </c>
      <c r="R239" s="2" t="inlineStr"/>
    </row>
    <row r="240" ht="15" customHeight="1">
      <c r="A240" t="inlineStr">
        <is>
          <t>A 56260-2022</t>
        </is>
      </c>
      <c r="B240" s="1" t="n">
        <v>44890</v>
      </c>
      <c r="C240" s="1" t="n">
        <v>46134</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46134</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1584-2025</t>
        </is>
      </c>
      <c r="B242" s="1" t="n">
        <v>45670</v>
      </c>
      <c r="C242" s="1" t="n">
        <v>46134</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46134</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30972-2024</t>
        </is>
      </c>
      <c r="B244" s="1" t="n">
        <v>45499.47106481482</v>
      </c>
      <c r="C244" s="1" t="n">
        <v>46134</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29231-2024</t>
        </is>
      </c>
      <c r="B245" s="1" t="n">
        <v>45482</v>
      </c>
      <c r="C245" s="1" t="n">
        <v>46134</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24415-2025</t>
        </is>
      </c>
      <c r="B246" s="1" t="n">
        <v>45797.67381944445</v>
      </c>
      <c r="C246" s="1" t="n">
        <v>46134</v>
      </c>
      <c r="D246" t="inlineStr">
        <is>
          <t>UPPSALA LÄN</t>
        </is>
      </c>
      <c r="E246" t="inlineStr">
        <is>
          <t>ÖSTHAMMAR</t>
        </is>
      </c>
      <c r="G246" t="n">
        <v>0.8</v>
      </c>
      <c r="H246" t="n">
        <v>0</v>
      </c>
      <c r="I246" t="n">
        <v>0</v>
      </c>
      <c r="J246" t="n">
        <v>0</v>
      </c>
      <c r="K246" t="n">
        <v>0</v>
      </c>
      <c r="L246" t="n">
        <v>0</v>
      </c>
      <c r="M246" t="n">
        <v>0</v>
      </c>
      <c r="N246" t="n">
        <v>0</v>
      </c>
      <c r="O246" t="n">
        <v>0</v>
      </c>
      <c r="P246" t="n">
        <v>0</v>
      </c>
      <c r="Q246" t="n">
        <v>0</v>
      </c>
      <c r="R246" s="2" t="inlineStr"/>
    </row>
    <row r="247" ht="15" customHeight="1">
      <c r="A247" t="inlineStr">
        <is>
          <t>A 30931-2021</t>
        </is>
      </c>
      <c r="B247" s="1" t="n">
        <v>44365</v>
      </c>
      <c r="C247" s="1" t="n">
        <v>46134</v>
      </c>
      <c r="D247" t="inlineStr">
        <is>
          <t>UPPSALA LÄN</t>
        </is>
      </c>
      <c r="E247" t="inlineStr">
        <is>
          <t>ÖSTHAMMAR</t>
        </is>
      </c>
      <c r="F247" t="inlineStr">
        <is>
          <t>Bergvik skog öst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25049-2025</t>
        </is>
      </c>
      <c r="B248" s="1" t="n">
        <v>45799.66876157407</v>
      </c>
      <c r="C248" s="1" t="n">
        <v>46134</v>
      </c>
      <c r="D248" t="inlineStr">
        <is>
          <t>UPPSALA LÄN</t>
        </is>
      </c>
      <c r="E248" t="inlineStr">
        <is>
          <t>ÖSTHAMMAR</t>
        </is>
      </c>
      <c r="F248" t="inlineStr">
        <is>
          <t>Bergvik skog öst AB</t>
        </is>
      </c>
      <c r="G248" t="n">
        <v>3.8</v>
      </c>
      <c r="H248" t="n">
        <v>0</v>
      </c>
      <c r="I248" t="n">
        <v>0</v>
      </c>
      <c r="J248" t="n">
        <v>0</v>
      </c>
      <c r="K248" t="n">
        <v>0</v>
      </c>
      <c r="L248" t="n">
        <v>0</v>
      </c>
      <c r="M248" t="n">
        <v>0</v>
      </c>
      <c r="N248" t="n">
        <v>0</v>
      </c>
      <c r="O248" t="n">
        <v>0</v>
      </c>
      <c r="P248" t="n">
        <v>0</v>
      </c>
      <c r="Q248" t="n">
        <v>0</v>
      </c>
      <c r="R248" s="2" t="inlineStr"/>
    </row>
    <row r="249" ht="15" customHeight="1">
      <c r="A249" t="inlineStr">
        <is>
          <t>A 223-2026</t>
        </is>
      </c>
      <c r="B249" s="1" t="n">
        <v>46026.84339120371</v>
      </c>
      <c r="C249" s="1" t="n">
        <v>46134</v>
      </c>
      <c r="D249" t="inlineStr">
        <is>
          <t>UPPSALA LÄN</t>
        </is>
      </c>
      <c r="E249" t="inlineStr">
        <is>
          <t>ÖSTHAMMAR</t>
        </is>
      </c>
      <c r="G249" t="n">
        <v>39.2</v>
      </c>
      <c r="H249" t="n">
        <v>0</v>
      </c>
      <c r="I249" t="n">
        <v>0</v>
      </c>
      <c r="J249" t="n">
        <v>0</v>
      </c>
      <c r="K249" t="n">
        <v>0</v>
      </c>
      <c r="L249" t="n">
        <v>0</v>
      </c>
      <c r="M249" t="n">
        <v>0</v>
      </c>
      <c r="N249" t="n">
        <v>0</v>
      </c>
      <c r="O249" t="n">
        <v>0</v>
      </c>
      <c r="P249" t="n">
        <v>0</v>
      </c>
      <c r="Q249" t="n">
        <v>0</v>
      </c>
      <c r="R249" s="2" t="inlineStr"/>
    </row>
    <row r="250" ht="15" customHeight="1">
      <c r="A250" t="inlineStr">
        <is>
          <t>A 360-2026</t>
        </is>
      </c>
      <c r="B250" s="1" t="n">
        <v>46027.66442129629</v>
      </c>
      <c r="C250" s="1" t="n">
        <v>46134</v>
      </c>
      <c r="D250" t="inlineStr">
        <is>
          <t>UPPSALA LÄN</t>
        </is>
      </c>
      <c r="E250" t="inlineStr">
        <is>
          <t>ÖSTHAMMAR</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285-2026</t>
        </is>
      </c>
      <c r="B251" s="1" t="n">
        <v>46027.49130787037</v>
      </c>
      <c r="C251" s="1" t="n">
        <v>46134</v>
      </c>
      <c r="D251" t="inlineStr">
        <is>
          <t>UPPSALA LÄN</t>
        </is>
      </c>
      <c r="E251" t="inlineStr">
        <is>
          <t>ÖSTHAMMAR</t>
        </is>
      </c>
      <c r="F251" t="inlineStr">
        <is>
          <t>Bergvik skog öst AB</t>
        </is>
      </c>
      <c r="G251" t="n">
        <v>1.6</v>
      </c>
      <c r="H251" t="n">
        <v>0</v>
      </c>
      <c r="I251" t="n">
        <v>0</v>
      </c>
      <c r="J251" t="n">
        <v>0</v>
      </c>
      <c r="K251" t="n">
        <v>0</v>
      </c>
      <c r="L251" t="n">
        <v>0</v>
      </c>
      <c r="M251" t="n">
        <v>0</v>
      </c>
      <c r="N251" t="n">
        <v>0</v>
      </c>
      <c r="O251" t="n">
        <v>0</v>
      </c>
      <c r="P251" t="n">
        <v>0</v>
      </c>
      <c r="Q251" t="n">
        <v>0</v>
      </c>
      <c r="R251" s="2" t="inlineStr"/>
    </row>
    <row r="252" ht="15" customHeight="1">
      <c r="A252" t="inlineStr">
        <is>
          <t>A 362-2026</t>
        </is>
      </c>
      <c r="B252" s="1" t="n">
        <v>46027.6659375</v>
      </c>
      <c r="C252" s="1" t="n">
        <v>46134</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64811-2021</t>
        </is>
      </c>
      <c r="B253" s="1" t="n">
        <v>44512</v>
      </c>
      <c r="C253" s="1" t="n">
        <v>46134</v>
      </c>
      <c r="D253" t="inlineStr">
        <is>
          <t>UPPSALA LÄN</t>
        </is>
      </c>
      <c r="E253" t="inlineStr">
        <is>
          <t>ÖSTHAMMAR</t>
        </is>
      </c>
      <c r="G253" t="n">
        <v>4.2</v>
      </c>
      <c r="H253" t="n">
        <v>0</v>
      </c>
      <c r="I253" t="n">
        <v>0</v>
      </c>
      <c r="J253" t="n">
        <v>0</v>
      </c>
      <c r="K253" t="n">
        <v>0</v>
      </c>
      <c r="L253" t="n">
        <v>0</v>
      </c>
      <c r="M253" t="n">
        <v>0</v>
      </c>
      <c r="N253" t="n">
        <v>0</v>
      </c>
      <c r="O253" t="n">
        <v>0</v>
      </c>
      <c r="P253" t="n">
        <v>0</v>
      </c>
      <c r="Q253" t="n">
        <v>0</v>
      </c>
      <c r="R253" s="2" t="inlineStr"/>
    </row>
    <row r="254" ht="15" customHeight="1">
      <c r="A254" t="inlineStr">
        <is>
          <t>A 8830-2023</t>
        </is>
      </c>
      <c r="B254" s="1" t="n">
        <v>44978</v>
      </c>
      <c r="C254" s="1" t="n">
        <v>46134</v>
      </c>
      <c r="D254" t="inlineStr">
        <is>
          <t>UPPSALA LÄN</t>
        </is>
      </c>
      <c r="E254" t="inlineStr">
        <is>
          <t>ÖSTHAMMAR</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24944-2025</t>
        </is>
      </c>
      <c r="B255" s="1" t="n">
        <v>45799.56347222222</v>
      </c>
      <c r="C255" s="1" t="n">
        <v>46134</v>
      </c>
      <c r="D255" t="inlineStr">
        <is>
          <t>UPPSALA LÄN</t>
        </is>
      </c>
      <c r="E255" t="inlineStr">
        <is>
          <t>ÖSTHAMMAR</t>
        </is>
      </c>
      <c r="G255" t="n">
        <v>7.3</v>
      </c>
      <c r="H255" t="n">
        <v>0</v>
      </c>
      <c r="I255" t="n">
        <v>0</v>
      </c>
      <c r="J255" t="n">
        <v>0</v>
      </c>
      <c r="K255" t="n">
        <v>0</v>
      </c>
      <c r="L255" t="n">
        <v>0</v>
      </c>
      <c r="M255" t="n">
        <v>0</v>
      </c>
      <c r="N255" t="n">
        <v>0</v>
      </c>
      <c r="O255" t="n">
        <v>0</v>
      </c>
      <c r="P255" t="n">
        <v>0</v>
      </c>
      <c r="Q255" t="n">
        <v>0</v>
      </c>
      <c r="R255" s="2" t="inlineStr"/>
    </row>
    <row r="256" ht="15" customHeight="1">
      <c r="A256" t="inlineStr">
        <is>
          <t>A 6106-2024</t>
        </is>
      </c>
      <c r="B256" s="1" t="n">
        <v>45337.36831018519</v>
      </c>
      <c r="C256" s="1" t="n">
        <v>46134</v>
      </c>
      <c r="D256" t="inlineStr">
        <is>
          <t>UPPSALA LÄN</t>
        </is>
      </c>
      <c r="E256" t="inlineStr">
        <is>
          <t>ÖSTHAMMAR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31896-2025</t>
        </is>
      </c>
      <c r="B257" s="1" t="n">
        <v>45834.67556712963</v>
      </c>
      <c r="C257" s="1" t="n">
        <v>46134</v>
      </c>
      <c r="D257" t="inlineStr">
        <is>
          <t>UPPSALA LÄN</t>
        </is>
      </c>
      <c r="E257" t="inlineStr">
        <is>
          <t>ÖSTHAMMAR</t>
        </is>
      </c>
      <c r="G257" t="n">
        <v>4.1</v>
      </c>
      <c r="H257" t="n">
        <v>0</v>
      </c>
      <c r="I257" t="n">
        <v>0</v>
      </c>
      <c r="J257" t="n">
        <v>0</v>
      </c>
      <c r="K257" t="n">
        <v>0</v>
      </c>
      <c r="L257" t="n">
        <v>0</v>
      </c>
      <c r="M257" t="n">
        <v>0</v>
      </c>
      <c r="N257" t="n">
        <v>0</v>
      </c>
      <c r="O257" t="n">
        <v>0</v>
      </c>
      <c r="P257" t="n">
        <v>0</v>
      </c>
      <c r="Q257" t="n">
        <v>0</v>
      </c>
      <c r="R257" s="2" t="inlineStr"/>
    </row>
    <row r="258" ht="15" customHeight="1">
      <c r="A258" t="inlineStr">
        <is>
          <t>A 33550-2024</t>
        </is>
      </c>
      <c r="B258" s="1" t="n">
        <v>45519.81043981481</v>
      </c>
      <c r="C258" s="1" t="n">
        <v>46134</v>
      </c>
      <c r="D258" t="inlineStr">
        <is>
          <t>UPPSALA LÄN</t>
        </is>
      </c>
      <c r="E258" t="inlineStr">
        <is>
          <t>ÖSTHAMMAR</t>
        </is>
      </c>
      <c r="F258" t="inlineStr">
        <is>
          <t>Bergvik skog öst AB</t>
        </is>
      </c>
      <c r="G258" t="n">
        <v>1.8</v>
      </c>
      <c r="H258" t="n">
        <v>0</v>
      </c>
      <c r="I258" t="n">
        <v>0</v>
      </c>
      <c r="J258" t="n">
        <v>0</v>
      </c>
      <c r="K258" t="n">
        <v>0</v>
      </c>
      <c r="L258" t="n">
        <v>0</v>
      </c>
      <c r="M258" t="n">
        <v>0</v>
      </c>
      <c r="N258" t="n">
        <v>0</v>
      </c>
      <c r="O258" t="n">
        <v>0</v>
      </c>
      <c r="P258" t="n">
        <v>0</v>
      </c>
      <c r="Q258" t="n">
        <v>0</v>
      </c>
      <c r="R258" s="2" t="inlineStr"/>
    </row>
    <row r="259" ht="15" customHeight="1">
      <c r="A259" t="inlineStr">
        <is>
          <t>A 62295-2022</t>
        </is>
      </c>
      <c r="B259" s="1" t="n">
        <v>44916</v>
      </c>
      <c r="C259" s="1" t="n">
        <v>46134</v>
      </c>
      <c r="D259" t="inlineStr">
        <is>
          <t>UPPSALA LÄN</t>
        </is>
      </c>
      <c r="E259" t="inlineStr">
        <is>
          <t>ÖSTHAMMAR</t>
        </is>
      </c>
      <c r="G259" t="n">
        <v>3.3</v>
      </c>
      <c r="H259" t="n">
        <v>0</v>
      </c>
      <c r="I259" t="n">
        <v>0</v>
      </c>
      <c r="J259" t="n">
        <v>0</v>
      </c>
      <c r="K259" t="n">
        <v>0</v>
      </c>
      <c r="L259" t="n">
        <v>0</v>
      </c>
      <c r="M259" t="n">
        <v>0</v>
      </c>
      <c r="N259" t="n">
        <v>0</v>
      </c>
      <c r="O259" t="n">
        <v>0</v>
      </c>
      <c r="P259" t="n">
        <v>0</v>
      </c>
      <c r="Q259" t="n">
        <v>0</v>
      </c>
      <c r="R259" s="2" t="inlineStr"/>
    </row>
    <row r="260" ht="15" customHeight="1">
      <c r="A260" t="inlineStr">
        <is>
          <t>A 16089-2025</t>
        </is>
      </c>
      <c r="B260" s="1" t="n">
        <v>45749.84232638889</v>
      </c>
      <c r="C260" s="1" t="n">
        <v>46134</v>
      </c>
      <c r="D260" t="inlineStr">
        <is>
          <t>UPPSALA LÄN</t>
        </is>
      </c>
      <c r="E260" t="inlineStr">
        <is>
          <t>ÖSTHAMMAR</t>
        </is>
      </c>
      <c r="F260" t="inlineStr">
        <is>
          <t>Bergvik skog öst AB</t>
        </is>
      </c>
      <c r="G260" t="n">
        <v>2.6</v>
      </c>
      <c r="H260" t="n">
        <v>0</v>
      </c>
      <c r="I260" t="n">
        <v>0</v>
      </c>
      <c r="J260" t="n">
        <v>0</v>
      </c>
      <c r="K260" t="n">
        <v>0</v>
      </c>
      <c r="L260" t="n">
        <v>0</v>
      </c>
      <c r="M260" t="n">
        <v>0</v>
      </c>
      <c r="N260" t="n">
        <v>0</v>
      </c>
      <c r="O260" t="n">
        <v>0</v>
      </c>
      <c r="P260" t="n">
        <v>0</v>
      </c>
      <c r="Q260" t="n">
        <v>0</v>
      </c>
      <c r="R260" s="2" t="inlineStr"/>
    </row>
    <row r="261" ht="15" customHeight="1">
      <c r="A261" t="inlineStr">
        <is>
          <t>A 22709-2021</t>
        </is>
      </c>
      <c r="B261" s="1" t="n">
        <v>44327.61518518518</v>
      </c>
      <c r="C261" s="1" t="n">
        <v>46134</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34185-2024</t>
        </is>
      </c>
      <c r="B262" s="1" t="n">
        <v>45524</v>
      </c>
      <c r="C262" s="1" t="n">
        <v>46134</v>
      </c>
      <c r="D262" t="inlineStr">
        <is>
          <t>UPPSALA LÄN</t>
        </is>
      </c>
      <c r="E262" t="inlineStr">
        <is>
          <t>ÖSTHAMMAR</t>
        </is>
      </c>
      <c r="G262" t="n">
        <v>2.5</v>
      </c>
      <c r="H262" t="n">
        <v>0</v>
      </c>
      <c r="I262" t="n">
        <v>0</v>
      </c>
      <c r="J262" t="n">
        <v>0</v>
      </c>
      <c r="K262" t="n">
        <v>0</v>
      </c>
      <c r="L262" t="n">
        <v>0</v>
      </c>
      <c r="M262" t="n">
        <v>0</v>
      </c>
      <c r="N262" t="n">
        <v>0</v>
      </c>
      <c r="O262" t="n">
        <v>0</v>
      </c>
      <c r="P262" t="n">
        <v>0</v>
      </c>
      <c r="Q262" t="n">
        <v>0</v>
      </c>
      <c r="R262" s="2" t="inlineStr"/>
    </row>
    <row r="263" ht="15" customHeight="1">
      <c r="A263" t="inlineStr">
        <is>
          <t>A 14170-2025</t>
        </is>
      </c>
      <c r="B263" s="1" t="n">
        <v>45740.51895833333</v>
      </c>
      <c r="C263" s="1" t="n">
        <v>46134</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32815-2024</t>
        </is>
      </c>
      <c r="B264" s="1" t="n">
        <v>45516.57682870371</v>
      </c>
      <c r="C264" s="1" t="n">
        <v>46134</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32884-2024</t>
        </is>
      </c>
      <c r="B265" s="1" t="n">
        <v>45516.72097222223</v>
      </c>
      <c r="C265" s="1" t="n">
        <v>46134</v>
      </c>
      <c r="D265" t="inlineStr">
        <is>
          <t>UPPSALA LÄN</t>
        </is>
      </c>
      <c r="E265" t="inlineStr">
        <is>
          <t>ÖSTHAMMAR</t>
        </is>
      </c>
      <c r="G265" t="n">
        <v>0.6</v>
      </c>
      <c r="H265" t="n">
        <v>0</v>
      </c>
      <c r="I265" t="n">
        <v>0</v>
      </c>
      <c r="J265" t="n">
        <v>0</v>
      </c>
      <c r="K265" t="n">
        <v>0</v>
      </c>
      <c r="L265" t="n">
        <v>0</v>
      </c>
      <c r="M265" t="n">
        <v>0</v>
      </c>
      <c r="N265" t="n">
        <v>0</v>
      </c>
      <c r="O265" t="n">
        <v>0</v>
      </c>
      <c r="P265" t="n">
        <v>0</v>
      </c>
      <c r="Q265" t="n">
        <v>0</v>
      </c>
      <c r="R265" s="2" t="inlineStr"/>
    </row>
    <row r="266" ht="15" customHeight="1">
      <c r="A266" t="inlineStr">
        <is>
          <t>A 38886-2025</t>
        </is>
      </c>
      <c r="B266" s="1" t="n">
        <v>45887.58370370371</v>
      </c>
      <c r="C266" s="1" t="n">
        <v>46134</v>
      </c>
      <c r="D266" t="inlineStr">
        <is>
          <t>UPPSALA LÄN</t>
        </is>
      </c>
      <c r="E266" t="inlineStr">
        <is>
          <t>ÖSTHAMMAR</t>
        </is>
      </c>
      <c r="F266" t="inlineStr">
        <is>
          <t>Bergvik skog öst AB</t>
        </is>
      </c>
      <c r="G266" t="n">
        <v>4.7</v>
      </c>
      <c r="H266" t="n">
        <v>0</v>
      </c>
      <c r="I266" t="n">
        <v>0</v>
      </c>
      <c r="J266" t="n">
        <v>0</v>
      </c>
      <c r="K266" t="n">
        <v>0</v>
      </c>
      <c r="L266" t="n">
        <v>0</v>
      </c>
      <c r="M266" t="n">
        <v>0</v>
      </c>
      <c r="N266" t="n">
        <v>0</v>
      </c>
      <c r="O266" t="n">
        <v>0</v>
      </c>
      <c r="P266" t="n">
        <v>0</v>
      </c>
      <c r="Q266" t="n">
        <v>0</v>
      </c>
      <c r="R266" s="2" t="inlineStr"/>
    </row>
    <row r="267" ht="15" customHeight="1">
      <c r="A267" t="inlineStr">
        <is>
          <t>A 5344-2025</t>
        </is>
      </c>
      <c r="B267" s="1" t="n">
        <v>45692</v>
      </c>
      <c r="C267" s="1" t="n">
        <v>46134</v>
      </c>
      <c r="D267" t="inlineStr">
        <is>
          <t>UPPSALA LÄN</t>
        </is>
      </c>
      <c r="E267" t="inlineStr">
        <is>
          <t>ÖSTHAMMAR</t>
        </is>
      </c>
      <c r="F267" t="inlineStr">
        <is>
          <t>Bergvik skog öst AB</t>
        </is>
      </c>
      <c r="G267" t="n">
        <v>3.2</v>
      </c>
      <c r="H267" t="n">
        <v>0</v>
      </c>
      <c r="I267" t="n">
        <v>0</v>
      </c>
      <c r="J267" t="n">
        <v>0</v>
      </c>
      <c r="K267" t="n">
        <v>0</v>
      </c>
      <c r="L267" t="n">
        <v>0</v>
      </c>
      <c r="M267" t="n">
        <v>0</v>
      </c>
      <c r="N267" t="n">
        <v>0</v>
      </c>
      <c r="O267" t="n">
        <v>0</v>
      </c>
      <c r="P267" t="n">
        <v>0</v>
      </c>
      <c r="Q267" t="n">
        <v>0</v>
      </c>
      <c r="R267" s="2" t="inlineStr"/>
    </row>
    <row r="268" ht="15" customHeight="1">
      <c r="A268" t="inlineStr">
        <is>
          <t>A 12945-2025</t>
        </is>
      </c>
      <c r="B268" s="1" t="n">
        <v>45734.38159722222</v>
      </c>
      <c r="C268" s="1" t="n">
        <v>46134</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638-2026</t>
        </is>
      </c>
      <c r="B269" s="1" t="n">
        <v>46029.56026620371</v>
      </c>
      <c r="C269" s="1" t="n">
        <v>46134</v>
      </c>
      <c r="D269" t="inlineStr">
        <is>
          <t>UPPSALA LÄN</t>
        </is>
      </c>
      <c r="E269" t="inlineStr">
        <is>
          <t>ÖSTHAMMAR</t>
        </is>
      </c>
      <c r="F269" t="inlineStr">
        <is>
          <t>Bergvik skog öst AB</t>
        </is>
      </c>
      <c r="G269" t="n">
        <v>6.1</v>
      </c>
      <c r="H269" t="n">
        <v>0</v>
      </c>
      <c r="I269" t="n">
        <v>0</v>
      </c>
      <c r="J269" t="n">
        <v>0</v>
      </c>
      <c r="K269" t="n">
        <v>0</v>
      </c>
      <c r="L269" t="n">
        <v>0</v>
      </c>
      <c r="M269" t="n">
        <v>0</v>
      </c>
      <c r="N269" t="n">
        <v>0</v>
      </c>
      <c r="O269" t="n">
        <v>0</v>
      </c>
      <c r="P269" t="n">
        <v>0</v>
      </c>
      <c r="Q269" t="n">
        <v>0</v>
      </c>
      <c r="R269" s="2" t="inlineStr"/>
    </row>
    <row r="270" ht="15" customHeight="1">
      <c r="A270" t="inlineStr">
        <is>
          <t>A 653-2026</t>
        </is>
      </c>
      <c r="B270" s="1" t="n">
        <v>46029.57829861111</v>
      </c>
      <c r="C270" s="1" t="n">
        <v>46134</v>
      </c>
      <c r="D270" t="inlineStr">
        <is>
          <t>UPPSALA LÄN</t>
        </is>
      </c>
      <c r="E270" t="inlineStr">
        <is>
          <t>ÖSTHAMMAR</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58297-2024</t>
        </is>
      </c>
      <c r="B271" s="1" t="n">
        <v>45632.59780092593</v>
      </c>
      <c r="C271" s="1" t="n">
        <v>46134</v>
      </c>
      <c r="D271" t="inlineStr">
        <is>
          <t>UPPSALA LÄN</t>
        </is>
      </c>
      <c r="E271" t="inlineStr">
        <is>
          <t>ÖSTHAMMAR</t>
        </is>
      </c>
      <c r="G271" t="n">
        <v>5.1</v>
      </c>
      <c r="H271" t="n">
        <v>0</v>
      </c>
      <c r="I271" t="n">
        <v>0</v>
      </c>
      <c r="J271" t="n">
        <v>0</v>
      </c>
      <c r="K271" t="n">
        <v>0</v>
      </c>
      <c r="L271" t="n">
        <v>0</v>
      </c>
      <c r="M271" t="n">
        <v>0</v>
      </c>
      <c r="N271" t="n">
        <v>0</v>
      </c>
      <c r="O271" t="n">
        <v>0</v>
      </c>
      <c r="P271" t="n">
        <v>0</v>
      </c>
      <c r="Q271" t="n">
        <v>0</v>
      </c>
      <c r="R271" s="2" t="inlineStr"/>
    </row>
    <row r="272" ht="15" customHeight="1">
      <c r="A272" t="inlineStr">
        <is>
          <t>A 61261-2022</t>
        </is>
      </c>
      <c r="B272" s="1" t="n">
        <v>44915.59645833333</v>
      </c>
      <c r="C272" s="1" t="n">
        <v>46134</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4984-2024</t>
        </is>
      </c>
      <c r="B273" s="1" t="n">
        <v>45329</v>
      </c>
      <c r="C273" s="1" t="n">
        <v>46134</v>
      </c>
      <c r="D273" t="inlineStr">
        <is>
          <t>UPPSALA LÄN</t>
        </is>
      </c>
      <c r="E273" t="inlineStr">
        <is>
          <t>ÖSTHAMMAR</t>
        </is>
      </c>
      <c r="G273" t="n">
        <v>2.2</v>
      </c>
      <c r="H273" t="n">
        <v>0</v>
      </c>
      <c r="I273" t="n">
        <v>0</v>
      </c>
      <c r="J273" t="n">
        <v>0</v>
      </c>
      <c r="K273" t="n">
        <v>0</v>
      </c>
      <c r="L273" t="n">
        <v>0</v>
      </c>
      <c r="M273" t="n">
        <v>0</v>
      </c>
      <c r="N273" t="n">
        <v>0</v>
      </c>
      <c r="O273" t="n">
        <v>0</v>
      </c>
      <c r="P273" t="n">
        <v>0</v>
      </c>
      <c r="Q273" t="n">
        <v>0</v>
      </c>
      <c r="R273" s="2" t="inlineStr"/>
    </row>
    <row r="274" ht="15" customHeight="1">
      <c r="A274" t="inlineStr">
        <is>
          <t>A 26055-2025</t>
        </is>
      </c>
      <c r="B274" s="1" t="n">
        <v>45804.77559027778</v>
      </c>
      <c r="C274" s="1" t="n">
        <v>46134</v>
      </c>
      <c r="D274" t="inlineStr">
        <is>
          <t>UPPSALA LÄN</t>
        </is>
      </c>
      <c r="E274" t="inlineStr">
        <is>
          <t>ÖSTHAMMAR</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26330-2025</t>
        </is>
      </c>
      <c r="B275" s="1" t="n">
        <v>45805.68263888889</v>
      </c>
      <c r="C275" s="1" t="n">
        <v>46134</v>
      </c>
      <c r="D275" t="inlineStr">
        <is>
          <t>UPPSALA LÄN</t>
        </is>
      </c>
      <c r="E275" t="inlineStr">
        <is>
          <t>ÖSTHAMMAR</t>
        </is>
      </c>
      <c r="G275" t="n">
        <v>0.5</v>
      </c>
      <c r="H275" t="n">
        <v>0</v>
      </c>
      <c r="I275" t="n">
        <v>0</v>
      </c>
      <c r="J275" t="n">
        <v>0</v>
      </c>
      <c r="K275" t="n">
        <v>0</v>
      </c>
      <c r="L275" t="n">
        <v>0</v>
      </c>
      <c r="M275" t="n">
        <v>0</v>
      </c>
      <c r="N275" t="n">
        <v>0</v>
      </c>
      <c r="O275" t="n">
        <v>0</v>
      </c>
      <c r="P275" t="n">
        <v>0</v>
      </c>
      <c r="Q275" t="n">
        <v>0</v>
      </c>
      <c r="R275" s="2" t="inlineStr"/>
    </row>
    <row r="276" ht="15" customHeight="1">
      <c r="A276" t="inlineStr">
        <is>
          <t>A 26319-2025</t>
        </is>
      </c>
      <c r="B276" s="1" t="n">
        <v>45805.65960648148</v>
      </c>
      <c r="C276" s="1" t="n">
        <v>46134</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1393-2026</t>
        </is>
      </c>
      <c r="B277" s="1" t="n">
        <v>46031.63748842593</v>
      </c>
      <c r="C277" s="1" t="n">
        <v>46134</v>
      </c>
      <c r="D277" t="inlineStr">
        <is>
          <t>UPPSALA LÄN</t>
        </is>
      </c>
      <c r="E277" t="inlineStr">
        <is>
          <t>ÖSTHAMMAR</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44560.43136574074</v>
      </c>
      <c r="C278" s="1" t="n">
        <v>46134</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7543-2023</t>
        </is>
      </c>
      <c r="B279" s="1" t="n">
        <v>44972</v>
      </c>
      <c r="C279" s="1" t="n">
        <v>46134</v>
      </c>
      <c r="D279" t="inlineStr">
        <is>
          <t>UPPSALA LÄN</t>
        </is>
      </c>
      <c r="E279" t="inlineStr">
        <is>
          <t>ÖSTHAMMAR</t>
        </is>
      </c>
      <c r="F279" t="inlineStr">
        <is>
          <t>Bergvik skog öst AB</t>
        </is>
      </c>
      <c r="G279" t="n">
        <v>13.3</v>
      </c>
      <c r="H279" t="n">
        <v>0</v>
      </c>
      <c r="I279" t="n">
        <v>0</v>
      </c>
      <c r="J279" t="n">
        <v>0</v>
      </c>
      <c r="K279" t="n">
        <v>0</v>
      </c>
      <c r="L279" t="n">
        <v>0</v>
      </c>
      <c r="M279" t="n">
        <v>0</v>
      </c>
      <c r="N279" t="n">
        <v>0</v>
      </c>
      <c r="O279" t="n">
        <v>0</v>
      </c>
      <c r="P279" t="n">
        <v>0</v>
      </c>
      <c r="Q279" t="n">
        <v>0</v>
      </c>
      <c r="R279" s="2" t="inlineStr"/>
    </row>
    <row r="280" ht="15" customHeight="1">
      <c r="A280" t="inlineStr">
        <is>
          <t>A 20634-2024</t>
        </is>
      </c>
      <c r="B280" s="1" t="n">
        <v>45436</v>
      </c>
      <c r="C280" s="1" t="n">
        <v>46134</v>
      </c>
      <c r="D280" t="inlineStr">
        <is>
          <t>UPPSALA LÄN</t>
        </is>
      </c>
      <c r="E280" t="inlineStr">
        <is>
          <t>ÖSTHAMMAR</t>
        </is>
      </c>
      <c r="G280" t="n">
        <v>6.5</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46134</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40016-2025</t>
        </is>
      </c>
      <c r="B282" s="1" t="n">
        <v>45894.34747685185</v>
      </c>
      <c r="C282" s="1" t="n">
        <v>46134</v>
      </c>
      <c r="D282" t="inlineStr">
        <is>
          <t>UPPSALA LÄN</t>
        </is>
      </c>
      <c r="E282" t="inlineStr">
        <is>
          <t>ÖSTHAMMAR</t>
        </is>
      </c>
      <c r="F282" t="inlineStr">
        <is>
          <t>Kyrkan</t>
        </is>
      </c>
      <c r="G282" t="n">
        <v>6.6</v>
      </c>
      <c r="H282" t="n">
        <v>0</v>
      </c>
      <c r="I282" t="n">
        <v>0</v>
      </c>
      <c r="J282" t="n">
        <v>0</v>
      </c>
      <c r="K282" t="n">
        <v>0</v>
      </c>
      <c r="L282" t="n">
        <v>0</v>
      </c>
      <c r="M282" t="n">
        <v>0</v>
      </c>
      <c r="N282" t="n">
        <v>0</v>
      </c>
      <c r="O282" t="n">
        <v>0</v>
      </c>
      <c r="P282" t="n">
        <v>0</v>
      </c>
      <c r="Q282" t="n">
        <v>0</v>
      </c>
      <c r="R282" s="2" t="inlineStr"/>
    </row>
    <row r="283" ht="15" customHeight="1">
      <c r="A283" t="inlineStr">
        <is>
          <t>A 26521-2025</t>
        </is>
      </c>
      <c r="B283" s="1" t="n">
        <v>45807.56275462963</v>
      </c>
      <c r="C283" s="1" t="n">
        <v>46134</v>
      </c>
      <c r="D283" t="inlineStr">
        <is>
          <t>UPPSALA LÄN</t>
        </is>
      </c>
      <c r="E283" t="inlineStr">
        <is>
          <t>ÖSTHAMMAR</t>
        </is>
      </c>
      <c r="G283" t="n">
        <v>1.1</v>
      </c>
      <c r="H283" t="n">
        <v>0</v>
      </c>
      <c r="I283" t="n">
        <v>0</v>
      </c>
      <c r="J283" t="n">
        <v>0</v>
      </c>
      <c r="K283" t="n">
        <v>0</v>
      </c>
      <c r="L283" t="n">
        <v>0</v>
      </c>
      <c r="M283" t="n">
        <v>0</v>
      </c>
      <c r="N283" t="n">
        <v>0</v>
      </c>
      <c r="O283" t="n">
        <v>0</v>
      </c>
      <c r="P283" t="n">
        <v>0</v>
      </c>
      <c r="Q283" t="n">
        <v>0</v>
      </c>
      <c r="R283" s="2" t="inlineStr"/>
    </row>
    <row r="284" ht="15" customHeight="1">
      <c r="A284" t="inlineStr">
        <is>
          <t>A 26526-2025</t>
        </is>
      </c>
      <c r="B284" s="1" t="n">
        <v>45807.56612268519</v>
      </c>
      <c r="C284" s="1" t="n">
        <v>46134</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40416-2025</t>
        </is>
      </c>
      <c r="B285" s="1" t="n">
        <v>45895.57736111111</v>
      </c>
      <c r="C285" s="1" t="n">
        <v>46134</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40377-2025</t>
        </is>
      </c>
      <c r="B286" s="1" t="n">
        <v>45895.53020833333</v>
      </c>
      <c r="C286" s="1" t="n">
        <v>46134</v>
      </c>
      <c r="D286" t="inlineStr">
        <is>
          <t>UPPSALA LÄN</t>
        </is>
      </c>
      <c r="E286" t="inlineStr">
        <is>
          <t>ÖSTHAMMAR</t>
        </is>
      </c>
      <c r="G286" t="n">
        <v>0.6</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46134</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40570-2025</t>
        </is>
      </c>
      <c r="B288" s="1" t="n">
        <v>45896.47878472223</v>
      </c>
      <c r="C288" s="1" t="n">
        <v>46134</v>
      </c>
      <c r="D288" t="inlineStr">
        <is>
          <t>UPPSALA LÄN</t>
        </is>
      </c>
      <c r="E288" t="inlineStr">
        <is>
          <t>ÖSTHAMMAR</t>
        </is>
      </c>
      <c r="F288" t="inlineStr">
        <is>
          <t>Övriga Aktiebolag</t>
        </is>
      </c>
      <c r="G288" t="n">
        <v>4.8</v>
      </c>
      <c r="H288" t="n">
        <v>0</v>
      </c>
      <c r="I288" t="n">
        <v>0</v>
      </c>
      <c r="J288" t="n">
        <v>0</v>
      </c>
      <c r="K288" t="n">
        <v>0</v>
      </c>
      <c r="L288" t="n">
        <v>0</v>
      </c>
      <c r="M288" t="n">
        <v>0</v>
      </c>
      <c r="N288" t="n">
        <v>0</v>
      </c>
      <c r="O288" t="n">
        <v>0</v>
      </c>
      <c r="P288" t="n">
        <v>0</v>
      </c>
      <c r="Q288" t="n">
        <v>0</v>
      </c>
      <c r="R288" s="2" t="inlineStr"/>
    </row>
    <row r="289" ht="15" customHeight="1">
      <c r="A289" t="inlineStr">
        <is>
          <t>A 27395-2025</t>
        </is>
      </c>
      <c r="B289" s="1" t="n">
        <v>45812.6850462963</v>
      </c>
      <c r="C289" s="1" t="n">
        <v>46134</v>
      </c>
      <c r="D289" t="inlineStr">
        <is>
          <t>UPPSALA LÄN</t>
        </is>
      </c>
      <c r="E289" t="inlineStr">
        <is>
          <t>ÖSTHAMMAR</t>
        </is>
      </c>
      <c r="F289" t="inlineStr">
        <is>
          <t>Bergvik skog öst AB</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40382-2025</t>
        </is>
      </c>
      <c r="B290" s="1" t="n">
        <v>45895.53689814815</v>
      </c>
      <c r="C290" s="1" t="n">
        <v>46134</v>
      </c>
      <c r="D290" t="inlineStr">
        <is>
          <t>UPPSALA LÄN</t>
        </is>
      </c>
      <c r="E290" t="inlineStr">
        <is>
          <t>ÖSTHAMMAR</t>
        </is>
      </c>
      <c r="G290" t="n">
        <v>2.2</v>
      </c>
      <c r="H290" t="n">
        <v>0</v>
      </c>
      <c r="I290" t="n">
        <v>0</v>
      </c>
      <c r="J290" t="n">
        <v>0</v>
      </c>
      <c r="K290" t="n">
        <v>0</v>
      </c>
      <c r="L290" t="n">
        <v>0</v>
      </c>
      <c r="M290" t="n">
        <v>0</v>
      </c>
      <c r="N290" t="n">
        <v>0</v>
      </c>
      <c r="O290" t="n">
        <v>0</v>
      </c>
      <c r="P290" t="n">
        <v>0</v>
      </c>
      <c r="Q290" t="n">
        <v>0</v>
      </c>
      <c r="R290" s="2" t="inlineStr"/>
    </row>
    <row r="291" ht="15" customHeight="1">
      <c r="A291" t="inlineStr">
        <is>
          <t>A 40384-2025</t>
        </is>
      </c>
      <c r="B291" s="1" t="n">
        <v>45895.54085648148</v>
      </c>
      <c r="C291" s="1" t="n">
        <v>46134</v>
      </c>
      <c r="D291" t="inlineStr">
        <is>
          <t>UPPSALA LÄN</t>
        </is>
      </c>
      <c r="E291" t="inlineStr">
        <is>
          <t>ÖSTHAMMAR</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52650-2022</t>
        </is>
      </c>
      <c r="B292" s="1" t="n">
        <v>44874</v>
      </c>
      <c r="C292" s="1" t="n">
        <v>46134</v>
      </c>
      <c r="D292" t="inlineStr">
        <is>
          <t>UPPSALA LÄN</t>
        </is>
      </c>
      <c r="E292" t="inlineStr">
        <is>
          <t>ÖSTHAMMAR</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52661-2022</t>
        </is>
      </c>
      <c r="B293" s="1" t="n">
        <v>44874</v>
      </c>
      <c r="C293" s="1" t="n">
        <v>46134</v>
      </c>
      <c r="D293" t="inlineStr">
        <is>
          <t>UPPSALA LÄN</t>
        </is>
      </c>
      <c r="E293" t="inlineStr">
        <is>
          <t>ÖSTHAMMAR</t>
        </is>
      </c>
      <c r="F293" t="inlineStr">
        <is>
          <t>Bergvik skog öst AB</t>
        </is>
      </c>
      <c r="G293" t="n">
        <v>0.2</v>
      </c>
      <c r="H293" t="n">
        <v>0</v>
      </c>
      <c r="I293" t="n">
        <v>0</v>
      </c>
      <c r="J293" t="n">
        <v>0</v>
      </c>
      <c r="K293" t="n">
        <v>0</v>
      </c>
      <c r="L293" t="n">
        <v>0</v>
      </c>
      <c r="M293" t="n">
        <v>0</v>
      </c>
      <c r="N293" t="n">
        <v>0</v>
      </c>
      <c r="O293" t="n">
        <v>0</v>
      </c>
      <c r="P293" t="n">
        <v>0</v>
      </c>
      <c r="Q293" t="n">
        <v>0</v>
      </c>
      <c r="R293" s="2" t="inlineStr"/>
    </row>
    <row r="294" ht="15" customHeight="1">
      <c r="A294" t="inlineStr">
        <is>
          <t>A 27347-2025</t>
        </is>
      </c>
      <c r="B294" s="1" t="n">
        <v>45812.62390046296</v>
      </c>
      <c r="C294" s="1" t="n">
        <v>46134</v>
      </c>
      <c r="D294" t="inlineStr">
        <is>
          <t>UPPSALA LÄN</t>
        </is>
      </c>
      <c r="E294" t="inlineStr">
        <is>
          <t>ÖSTHAMMAR</t>
        </is>
      </c>
      <c r="G294" t="n">
        <v>0.4</v>
      </c>
      <c r="H294" t="n">
        <v>0</v>
      </c>
      <c r="I294" t="n">
        <v>0</v>
      </c>
      <c r="J294" t="n">
        <v>0</v>
      </c>
      <c r="K294" t="n">
        <v>0</v>
      </c>
      <c r="L294" t="n">
        <v>0</v>
      </c>
      <c r="M294" t="n">
        <v>0</v>
      </c>
      <c r="N294" t="n">
        <v>0</v>
      </c>
      <c r="O294" t="n">
        <v>0</v>
      </c>
      <c r="P294" t="n">
        <v>0</v>
      </c>
      <c r="Q294" t="n">
        <v>0</v>
      </c>
      <c r="R294" s="2" t="inlineStr"/>
    </row>
    <row r="295" ht="15" customHeight="1">
      <c r="A295" t="inlineStr">
        <is>
          <t>A 40460-2025</t>
        </is>
      </c>
      <c r="B295" s="1" t="n">
        <v>45895.65013888889</v>
      </c>
      <c r="C295" s="1" t="n">
        <v>46134</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46134</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46134</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3732-2022</t>
        </is>
      </c>
      <c r="B298" s="1" t="n">
        <v>44586.64851851852</v>
      </c>
      <c r="C298" s="1" t="n">
        <v>46134</v>
      </c>
      <c r="D298" t="inlineStr">
        <is>
          <t>UPPSALA LÄN</t>
        </is>
      </c>
      <c r="E298" t="inlineStr">
        <is>
          <t>ÖSTHAMMAR</t>
        </is>
      </c>
      <c r="F298" t="inlineStr">
        <is>
          <t>Bergvik skog öst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27352-2025</t>
        </is>
      </c>
      <c r="B299" s="1" t="n">
        <v>45812.62694444445</v>
      </c>
      <c r="C299" s="1" t="n">
        <v>46134</v>
      </c>
      <c r="D299" t="inlineStr">
        <is>
          <t>UPPSALA LÄN</t>
        </is>
      </c>
      <c r="E299" t="inlineStr">
        <is>
          <t>ÖSTHAMMAR</t>
        </is>
      </c>
      <c r="G299" t="n">
        <v>2.5</v>
      </c>
      <c r="H299" t="n">
        <v>0</v>
      </c>
      <c r="I299" t="n">
        <v>0</v>
      </c>
      <c r="J299" t="n">
        <v>0</v>
      </c>
      <c r="K299" t="n">
        <v>0</v>
      </c>
      <c r="L299" t="n">
        <v>0</v>
      </c>
      <c r="M299" t="n">
        <v>0</v>
      </c>
      <c r="N299" t="n">
        <v>0</v>
      </c>
      <c r="O299" t="n">
        <v>0</v>
      </c>
      <c r="P299" t="n">
        <v>0</v>
      </c>
      <c r="Q299" t="n">
        <v>0</v>
      </c>
      <c r="R299" s="2" t="inlineStr"/>
    </row>
    <row r="300" ht="15" customHeight="1">
      <c r="A300" t="inlineStr">
        <is>
          <t>A 27131-2025</t>
        </is>
      </c>
      <c r="B300" s="1" t="n">
        <v>45811</v>
      </c>
      <c r="C300" s="1" t="n">
        <v>46134</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38003-2024</t>
        </is>
      </c>
      <c r="B301" s="1" t="n">
        <v>45544</v>
      </c>
      <c r="C301" s="1" t="n">
        <v>46134</v>
      </c>
      <c r="D301" t="inlineStr">
        <is>
          <t>UPPSALA LÄN</t>
        </is>
      </c>
      <c r="E301" t="inlineStr">
        <is>
          <t>ÖSTHAMMAR</t>
        </is>
      </c>
      <c r="F301" t="inlineStr">
        <is>
          <t>Naturvårdsverket</t>
        </is>
      </c>
      <c r="G301" t="n">
        <v>4.2</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46134</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1575-2025</t>
        </is>
      </c>
      <c r="B303" s="1" t="n">
        <v>45670</v>
      </c>
      <c r="C303" s="1" t="n">
        <v>46134</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16141-2022</t>
        </is>
      </c>
      <c r="B304" s="1" t="n">
        <v>44665</v>
      </c>
      <c r="C304" s="1" t="n">
        <v>46134</v>
      </c>
      <c r="D304" t="inlineStr">
        <is>
          <t>UPPSALA LÄN</t>
        </is>
      </c>
      <c r="E304" t="inlineStr">
        <is>
          <t>ÖSTHAMMAR</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27058-2025</t>
        </is>
      </c>
      <c r="B305" s="1" t="n">
        <v>45811.63436342592</v>
      </c>
      <c r="C305" s="1" t="n">
        <v>46134</v>
      </c>
      <c r="D305" t="inlineStr">
        <is>
          <t>UPPSALA LÄN</t>
        </is>
      </c>
      <c r="E305" t="inlineStr">
        <is>
          <t>ÖSTHAMMAR</t>
        </is>
      </c>
      <c r="F305" t="inlineStr">
        <is>
          <t>Bergvik skog öst AB</t>
        </is>
      </c>
      <c r="G305" t="n">
        <v>5.7</v>
      </c>
      <c r="H305" t="n">
        <v>0</v>
      </c>
      <c r="I305" t="n">
        <v>0</v>
      </c>
      <c r="J305" t="n">
        <v>0</v>
      </c>
      <c r="K305" t="n">
        <v>0</v>
      </c>
      <c r="L305" t="n">
        <v>0</v>
      </c>
      <c r="M305" t="n">
        <v>0</v>
      </c>
      <c r="N305" t="n">
        <v>0</v>
      </c>
      <c r="O305" t="n">
        <v>0</v>
      </c>
      <c r="P305" t="n">
        <v>0</v>
      </c>
      <c r="Q305" t="n">
        <v>0</v>
      </c>
      <c r="R305" s="2" t="inlineStr"/>
    </row>
    <row r="306" ht="15" customHeight="1">
      <c r="A306" t="inlineStr">
        <is>
          <t>A 28152-2024</t>
        </is>
      </c>
      <c r="B306" s="1" t="n">
        <v>45476.77056712963</v>
      </c>
      <c r="C306" s="1" t="n">
        <v>46134</v>
      </c>
      <c r="D306" t="inlineStr">
        <is>
          <t>UPPSALA LÄN</t>
        </is>
      </c>
      <c r="E306" t="inlineStr">
        <is>
          <t>ÖSTHAMMAR</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27350-2025</t>
        </is>
      </c>
      <c r="B307" s="1" t="n">
        <v>45812.62571759259</v>
      </c>
      <c r="C307" s="1" t="n">
        <v>46134</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27132-2025</t>
        </is>
      </c>
      <c r="B308" s="1" t="n">
        <v>45811</v>
      </c>
      <c r="C308" s="1" t="n">
        <v>46134</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57453-2022</t>
        </is>
      </c>
      <c r="B309" s="1" t="n">
        <v>44896.56266203704</v>
      </c>
      <c r="C309" s="1" t="n">
        <v>46134</v>
      </c>
      <c r="D309" t="inlineStr">
        <is>
          <t>UPPSALA LÄN</t>
        </is>
      </c>
      <c r="E309" t="inlineStr">
        <is>
          <t>ÖSTHAMMAR</t>
        </is>
      </c>
      <c r="G309" t="n">
        <v>1.7</v>
      </c>
      <c r="H309" t="n">
        <v>0</v>
      </c>
      <c r="I309" t="n">
        <v>0</v>
      </c>
      <c r="J309" t="n">
        <v>0</v>
      </c>
      <c r="K309" t="n">
        <v>0</v>
      </c>
      <c r="L309" t="n">
        <v>0</v>
      </c>
      <c r="M309" t="n">
        <v>0</v>
      </c>
      <c r="N309" t="n">
        <v>0</v>
      </c>
      <c r="O309" t="n">
        <v>0</v>
      </c>
      <c r="P309" t="n">
        <v>0</v>
      </c>
      <c r="Q309" t="n">
        <v>0</v>
      </c>
      <c r="R309" s="2" t="inlineStr"/>
    </row>
    <row r="310" ht="15" customHeight="1">
      <c r="A310" t="inlineStr">
        <is>
          <t>A 57462-2022</t>
        </is>
      </c>
      <c r="B310" s="1" t="n">
        <v>44896.57527777777</v>
      </c>
      <c r="C310" s="1" t="n">
        <v>46134</v>
      </c>
      <c r="D310" t="inlineStr">
        <is>
          <t>UPPSALA LÄN</t>
        </is>
      </c>
      <c r="E310" t="inlineStr">
        <is>
          <t>ÖSTHAMMAR</t>
        </is>
      </c>
      <c r="G310" t="n">
        <v>1.9</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46134</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2839-2025</t>
        </is>
      </c>
      <c r="B312" s="1" t="n">
        <v>45677</v>
      </c>
      <c r="C312" s="1" t="n">
        <v>46134</v>
      </c>
      <c r="D312" t="inlineStr">
        <is>
          <t>UPPSALA LÄN</t>
        </is>
      </c>
      <c r="E312" t="inlineStr">
        <is>
          <t>ÖSTHAMMAR</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2947-2025</t>
        </is>
      </c>
      <c r="B313" s="1" t="n">
        <v>45678</v>
      </c>
      <c r="C313" s="1" t="n">
        <v>46134</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27563-2025</t>
        </is>
      </c>
      <c r="B314" s="1" t="n">
        <v>45813.48471064815</v>
      </c>
      <c r="C314" s="1" t="n">
        <v>46134</v>
      </c>
      <c r="D314" t="inlineStr">
        <is>
          <t>UPPSALA LÄN</t>
        </is>
      </c>
      <c r="E314" t="inlineStr">
        <is>
          <t>ÖSTHAMMAR</t>
        </is>
      </c>
      <c r="F314" t="inlineStr">
        <is>
          <t>Bergvik skog öst AB</t>
        </is>
      </c>
      <c r="G314" t="n">
        <v>4</v>
      </c>
      <c r="H314" t="n">
        <v>0</v>
      </c>
      <c r="I314" t="n">
        <v>0</v>
      </c>
      <c r="J314" t="n">
        <v>0</v>
      </c>
      <c r="K314" t="n">
        <v>0</v>
      </c>
      <c r="L314" t="n">
        <v>0</v>
      </c>
      <c r="M314" t="n">
        <v>0</v>
      </c>
      <c r="N314" t="n">
        <v>0</v>
      </c>
      <c r="O314" t="n">
        <v>0</v>
      </c>
      <c r="P314" t="n">
        <v>0</v>
      </c>
      <c r="Q314" t="n">
        <v>0</v>
      </c>
      <c r="R314" s="2" t="inlineStr"/>
    </row>
    <row r="315" ht="15" customHeight="1">
      <c r="A315" t="inlineStr">
        <is>
          <t>A 27920-2025</t>
        </is>
      </c>
      <c r="B315" s="1" t="n">
        <v>45817.48454861111</v>
      </c>
      <c r="C315" s="1" t="n">
        <v>46134</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24401-2025</t>
        </is>
      </c>
      <c r="B316" s="1" t="n">
        <v>45797.64908564815</v>
      </c>
      <c r="C316" s="1" t="n">
        <v>46134</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2352-2026</t>
        </is>
      </c>
      <c r="B317" s="1" t="n">
        <v>46034</v>
      </c>
      <c r="C317" s="1" t="n">
        <v>46134</v>
      </c>
      <c r="D317" t="inlineStr">
        <is>
          <t>UPPSALA LÄN</t>
        </is>
      </c>
      <c r="E317" t="inlineStr">
        <is>
          <t>ÖSTHAMMAR</t>
        </is>
      </c>
      <c r="G317" t="n">
        <v>0.9</v>
      </c>
      <c r="H317" t="n">
        <v>0</v>
      </c>
      <c r="I317" t="n">
        <v>0</v>
      </c>
      <c r="J317" t="n">
        <v>0</v>
      </c>
      <c r="K317" t="n">
        <v>0</v>
      </c>
      <c r="L317" t="n">
        <v>0</v>
      </c>
      <c r="M317" t="n">
        <v>0</v>
      </c>
      <c r="N317" t="n">
        <v>0</v>
      </c>
      <c r="O317" t="n">
        <v>0</v>
      </c>
      <c r="P317" t="n">
        <v>0</v>
      </c>
      <c r="Q317" t="n">
        <v>0</v>
      </c>
      <c r="R317" s="2" t="inlineStr"/>
    </row>
    <row r="318" ht="15" customHeight="1">
      <c r="A318" t="inlineStr">
        <is>
          <t>A 2358-2026</t>
        </is>
      </c>
      <c r="B318" s="1" t="n">
        <v>46034</v>
      </c>
      <c r="C318" s="1" t="n">
        <v>46134</v>
      </c>
      <c r="D318" t="inlineStr">
        <is>
          <t>UPPSALA LÄN</t>
        </is>
      </c>
      <c r="E318" t="inlineStr">
        <is>
          <t>ÖSTHAMMAR</t>
        </is>
      </c>
      <c r="G318" t="n">
        <v>3.6</v>
      </c>
      <c r="H318" t="n">
        <v>0</v>
      </c>
      <c r="I318" t="n">
        <v>0</v>
      </c>
      <c r="J318" t="n">
        <v>0</v>
      </c>
      <c r="K318" t="n">
        <v>0</v>
      </c>
      <c r="L318" t="n">
        <v>0</v>
      </c>
      <c r="M318" t="n">
        <v>0</v>
      </c>
      <c r="N318" t="n">
        <v>0</v>
      </c>
      <c r="O318" t="n">
        <v>0</v>
      </c>
      <c r="P318" t="n">
        <v>0</v>
      </c>
      <c r="Q318" t="n">
        <v>0</v>
      </c>
      <c r="R318" s="2" t="inlineStr"/>
    </row>
    <row r="319" ht="15" customHeight="1">
      <c r="A319" t="inlineStr">
        <is>
          <t>A 8908-2025</t>
        </is>
      </c>
      <c r="B319" s="1" t="n">
        <v>45713.4196875</v>
      </c>
      <c r="C319" s="1" t="n">
        <v>46134</v>
      </c>
      <c r="D319" t="inlineStr">
        <is>
          <t>UPPSALA LÄN</t>
        </is>
      </c>
      <c r="E319" t="inlineStr">
        <is>
          <t>ÖSTHAMMAR</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1271-2026</t>
        </is>
      </c>
      <c r="B320" s="1" t="n">
        <v>46031.46616898148</v>
      </c>
      <c r="C320" s="1" t="n">
        <v>46134</v>
      </c>
      <c r="D320" t="inlineStr">
        <is>
          <t>UPPSALA LÄN</t>
        </is>
      </c>
      <c r="E320" t="inlineStr">
        <is>
          <t>ÖSTHAMMAR</t>
        </is>
      </c>
      <c r="F320" t="inlineStr">
        <is>
          <t>Bergvik skog öst AB</t>
        </is>
      </c>
      <c r="G320" t="n">
        <v>12</v>
      </c>
      <c r="H320" t="n">
        <v>0</v>
      </c>
      <c r="I320" t="n">
        <v>0</v>
      </c>
      <c r="J320" t="n">
        <v>0</v>
      </c>
      <c r="K320" t="n">
        <v>0</v>
      </c>
      <c r="L320" t="n">
        <v>0</v>
      </c>
      <c r="M320" t="n">
        <v>0</v>
      </c>
      <c r="N320" t="n">
        <v>0</v>
      </c>
      <c r="O320" t="n">
        <v>0</v>
      </c>
      <c r="P320" t="n">
        <v>0</v>
      </c>
      <c r="Q320" t="n">
        <v>0</v>
      </c>
      <c r="R320" s="2" t="inlineStr"/>
    </row>
    <row r="321" ht="15" customHeight="1">
      <c r="A321" t="inlineStr">
        <is>
          <t>A 27812-2025</t>
        </is>
      </c>
      <c r="B321" s="1" t="n">
        <v>45817.32150462963</v>
      </c>
      <c r="C321" s="1" t="n">
        <v>46134</v>
      </c>
      <c r="D321" t="inlineStr">
        <is>
          <t>UPPSALA LÄN</t>
        </is>
      </c>
      <c r="E321" t="inlineStr">
        <is>
          <t>ÖSTHAMMAR</t>
        </is>
      </c>
      <c r="F321" t="inlineStr">
        <is>
          <t>Bergvik skog öst AB</t>
        </is>
      </c>
      <c r="G321" t="n">
        <v>1.8</v>
      </c>
      <c r="H321" t="n">
        <v>0</v>
      </c>
      <c r="I321" t="n">
        <v>0</v>
      </c>
      <c r="J321" t="n">
        <v>0</v>
      </c>
      <c r="K321" t="n">
        <v>0</v>
      </c>
      <c r="L321" t="n">
        <v>0</v>
      </c>
      <c r="M321" t="n">
        <v>0</v>
      </c>
      <c r="N321" t="n">
        <v>0</v>
      </c>
      <c r="O321" t="n">
        <v>0</v>
      </c>
      <c r="P321" t="n">
        <v>0</v>
      </c>
      <c r="Q321" t="n">
        <v>0</v>
      </c>
      <c r="R321" s="2" t="inlineStr"/>
    </row>
    <row r="322" ht="15" customHeight="1">
      <c r="A322" t="inlineStr">
        <is>
          <t>A 41519-2025</t>
        </is>
      </c>
      <c r="B322" s="1" t="n">
        <v>45901.54751157408</v>
      </c>
      <c r="C322" s="1" t="n">
        <v>46134</v>
      </c>
      <c r="D322" t="inlineStr">
        <is>
          <t>UPPSALA LÄN</t>
        </is>
      </c>
      <c r="E322" t="inlineStr">
        <is>
          <t>ÖSTHAMMAR</t>
        </is>
      </c>
      <c r="F322" t="inlineStr">
        <is>
          <t>Övriga Aktiebolag</t>
        </is>
      </c>
      <c r="G322" t="n">
        <v>17.1</v>
      </c>
      <c r="H322" t="n">
        <v>0</v>
      </c>
      <c r="I322" t="n">
        <v>0</v>
      </c>
      <c r="J322" t="n">
        <v>0</v>
      </c>
      <c r="K322" t="n">
        <v>0</v>
      </c>
      <c r="L322" t="n">
        <v>0</v>
      </c>
      <c r="M322" t="n">
        <v>0</v>
      </c>
      <c r="N322" t="n">
        <v>0</v>
      </c>
      <c r="O322" t="n">
        <v>0</v>
      </c>
      <c r="P322" t="n">
        <v>0</v>
      </c>
      <c r="Q322" t="n">
        <v>0</v>
      </c>
      <c r="R322" s="2" t="inlineStr"/>
    </row>
    <row r="323" ht="15" customHeight="1">
      <c r="A323" t="inlineStr">
        <is>
          <t>A 27919-2025</t>
        </is>
      </c>
      <c r="B323" s="1" t="n">
        <v>45817.48384259259</v>
      </c>
      <c r="C323" s="1" t="n">
        <v>46134</v>
      </c>
      <c r="D323" t="inlineStr">
        <is>
          <t>UPPSALA LÄN</t>
        </is>
      </c>
      <c r="E323" t="inlineStr">
        <is>
          <t>ÖSTHAMMAR</t>
        </is>
      </c>
      <c r="F323" t="inlineStr">
        <is>
          <t>Bergvik skog öst AB</t>
        </is>
      </c>
      <c r="G323" t="n">
        <v>3.5</v>
      </c>
      <c r="H323" t="n">
        <v>0</v>
      </c>
      <c r="I323" t="n">
        <v>0</v>
      </c>
      <c r="J323" t="n">
        <v>0</v>
      </c>
      <c r="K323" t="n">
        <v>0</v>
      </c>
      <c r="L323" t="n">
        <v>0</v>
      </c>
      <c r="M323" t="n">
        <v>0</v>
      </c>
      <c r="N323" t="n">
        <v>0</v>
      </c>
      <c r="O323" t="n">
        <v>0</v>
      </c>
      <c r="P323" t="n">
        <v>0</v>
      </c>
      <c r="Q323" t="n">
        <v>0</v>
      </c>
      <c r="R323" s="2" t="inlineStr"/>
    </row>
    <row r="324" ht="15" customHeight="1">
      <c r="A324" t="inlineStr">
        <is>
          <t>A 27853-2025</t>
        </is>
      </c>
      <c r="B324" s="1" t="n">
        <v>45817.40178240741</v>
      </c>
      <c r="C324" s="1" t="n">
        <v>46134</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27509-2025</t>
        </is>
      </c>
      <c r="B325" s="1" t="n">
        <v>45813.4278125</v>
      </c>
      <c r="C325" s="1" t="n">
        <v>46134</v>
      </c>
      <c r="D325" t="inlineStr">
        <is>
          <t>UPPSALA LÄN</t>
        </is>
      </c>
      <c r="E325" t="inlineStr">
        <is>
          <t>ÖSTHAMMAR</t>
        </is>
      </c>
      <c r="F325" t="inlineStr">
        <is>
          <t>Bergvik skog öst AB</t>
        </is>
      </c>
      <c r="G325" t="n">
        <v>3.3</v>
      </c>
      <c r="H325" t="n">
        <v>0</v>
      </c>
      <c r="I325" t="n">
        <v>0</v>
      </c>
      <c r="J325" t="n">
        <v>0</v>
      </c>
      <c r="K325" t="n">
        <v>0</v>
      </c>
      <c r="L325" t="n">
        <v>0</v>
      </c>
      <c r="M325" t="n">
        <v>0</v>
      </c>
      <c r="N325" t="n">
        <v>0</v>
      </c>
      <c r="O325" t="n">
        <v>0</v>
      </c>
      <c r="P325" t="n">
        <v>0</v>
      </c>
      <c r="Q325" t="n">
        <v>0</v>
      </c>
      <c r="R325" s="2" t="inlineStr"/>
    </row>
    <row r="326" ht="15" customHeight="1">
      <c r="A326" t="inlineStr">
        <is>
          <t>A 24408-2025</t>
        </is>
      </c>
      <c r="B326" s="1" t="n">
        <v>45797.65774305556</v>
      </c>
      <c r="C326" s="1" t="n">
        <v>46134</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28745-2025</t>
        </is>
      </c>
      <c r="B327" s="1" t="n">
        <v>45820.39076388889</v>
      </c>
      <c r="C327" s="1" t="n">
        <v>46134</v>
      </c>
      <c r="D327" t="inlineStr">
        <is>
          <t>UPPSALA LÄN</t>
        </is>
      </c>
      <c r="E327" t="inlineStr">
        <is>
          <t>ÖSTHAMMAR</t>
        </is>
      </c>
      <c r="G327" t="n">
        <v>1.7</v>
      </c>
      <c r="H327" t="n">
        <v>0</v>
      </c>
      <c r="I327" t="n">
        <v>0</v>
      </c>
      <c r="J327" t="n">
        <v>0</v>
      </c>
      <c r="K327" t="n">
        <v>0</v>
      </c>
      <c r="L327" t="n">
        <v>0</v>
      </c>
      <c r="M327" t="n">
        <v>0</v>
      </c>
      <c r="N327" t="n">
        <v>0</v>
      </c>
      <c r="O327" t="n">
        <v>0</v>
      </c>
      <c r="P327" t="n">
        <v>0</v>
      </c>
      <c r="Q327" t="n">
        <v>0</v>
      </c>
      <c r="R327" s="2" t="inlineStr"/>
    </row>
    <row r="328" ht="15" customHeight="1">
      <c r="A328" t="inlineStr">
        <is>
          <t>A 28748-2025</t>
        </is>
      </c>
      <c r="B328" s="1" t="n">
        <v>45820.39540509259</v>
      </c>
      <c r="C328" s="1" t="n">
        <v>46134</v>
      </c>
      <c r="D328" t="inlineStr">
        <is>
          <t>UPPSALA LÄN</t>
        </is>
      </c>
      <c r="E328" t="inlineStr">
        <is>
          <t>ÖSTHAMMAR</t>
        </is>
      </c>
      <c r="G328" t="n">
        <v>2</v>
      </c>
      <c r="H328" t="n">
        <v>0</v>
      </c>
      <c r="I328" t="n">
        <v>0</v>
      </c>
      <c r="J328" t="n">
        <v>0</v>
      </c>
      <c r="K328" t="n">
        <v>0</v>
      </c>
      <c r="L328" t="n">
        <v>0</v>
      </c>
      <c r="M328" t="n">
        <v>0</v>
      </c>
      <c r="N328" t="n">
        <v>0</v>
      </c>
      <c r="O328" t="n">
        <v>0</v>
      </c>
      <c r="P328" t="n">
        <v>0</v>
      </c>
      <c r="Q328" t="n">
        <v>0</v>
      </c>
      <c r="R328" s="2" t="inlineStr"/>
    </row>
    <row r="329" ht="15" customHeight="1">
      <c r="A329" t="inlineStr">
        <is>
          <t>A 1906-2026</t>
        </is>
      </c>
      <c r="B329" s="1" t="n">
        <v>46035.55158564815</v>
      </c>
      <c r="C329" s="1" t="n">
        <v>46134</v>
      </c>
      <c r="D329" t="inlineStr">
        <is>
          <t>UPPSALA LÄN</t>
        </is>
      </c>
      <c r="E329" t="inlineStr">
        <is>
          <t>ÖSTHAMMAR</t>
        </is>
      </c>
      <c r="F329" t="inlineStr">
        <is>
          <t>Bergvik skog öst AB</t>
        </is>
      </c>
      <c r="G329" t="n">
        <v>4.3</v>
      </c>
      <c r="H329" t="n">
        <v>0</v>
      </c>
      <c r="I329" t="n">
        <v>0</v>
      </c>
      <c r="J329" t="n">
        <v>0</v>
      </c>
      <c r="K329" t="n">
        <v>0</v>
      </c>
      <c r="L329" t="n">
        <v>0</v>
      </c>
      <c r="M329" t="n">
        <v>0</v>
      </c>
      <c r="N329" t="n">
        <v>0</v>
      </c>
      <c r="O329" t="n">
        <v>0</v>
      </c>
      <c r="P329" t="n">
        <v>0</v>
      </c>
      <c r="Q329" t="n">
        <v>0</v>
      </c>
      <c r="R329" s="2" t="inlineStr"/>
    </row>
    <row r="330" ht="15" customHeight="1">
      <c r="A330" t="inlineStr">
        <is>
          <t>A 61817-2021</t>
        </is>
      </c>
      <c r="B330" s="1" t="n">
        <v>44501.76855324074</v>
      </c>
      <c r="C330" s="1" t="n">
        <v>46134</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73982-2021</t>
        </is>
      </c>
      <c r="B331" s="1" t="n">
        <v>44555.80339120371</v>
      </c>
      <c r="C331" s="1" t="n">
        <v>46134</v>
      </c>
      <c r="D331" t="inlineStr">
        <is>
          <t>UPPSALA LÄN</t>
        </is>
      </c>
      <c r="E331" t="inlineStr">
        <is>
          <t>ÖSTHAMMAR</t>
        </is>
      </c>
      <c r="G331" t="n">
        <v>0.9</v>
      </c>
      <c r="H331" t="n">
        <v>0</v>
      </c>
      <c r="I331" t="n">
        <v>0</v>
      </c>
      <c r="J331" t="n">
        <v>0</v>
      </c>
      <c r="K331" t="n">
        <v>0</v>
      </c>
      <c r="L331" t="n">
        <v>0</v>
      </c>
      <c r="M331" t="n">
        <v>0</v>
      </c>
      <c r="N331" t="n">
        <v>0</v>
      </c>
      <c r="O331" t="n">
        <v>0</v>
      </c>
      <c r="P331" t="n">
        <v>0</v>
      </c>
      <c r="Q331" t="n">
        <v>0</v>
      </c>
      <c r="R331" s="2" t="inlineStr"/>
    </row>
    <row r="332" ht="15" customHeight="1">
      <c r="A332" t="inlineStr">
        <is>
          <t>A 28442-2025</t>
        </is>
      </c>
      <c r="B332" s="1" t="n">
        <v>45819</v>
      </c>
      <c r="C332" s="1" t="n">
        <v>46134</v>
      </c>
      <c r="D332" t="inlineStr">
        <is>
          <t>UPPSALA LÄN</t>
        </is>
      </c>
      <c r="E332" t="inlineStr">
        <is>
          <t>ÖSTHAMMAR</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14859-2025</t>
        </is>
      </c>
      <c r="B333" s="1" t="n">
        <v>45743.42427083333</v>
      </c>
      <c r="C333" s="1" t="n">
        <v>46134</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23728-2025</t>
        </is>
      </c>
      <c r="B334" s="1" t="n">
        <v>45793.41719907407</v>
      </c>
      <c r="C334" s="1" t="n">
        <v>46134</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28739-2025</t>
        </is>
      </c>
      <c r="B335" s="1" t="n">
        <v>45820</v>
      </c>
      <c r="C335" s="1" t="n">
        <v>46134</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14272-2025</t>
        </is>
      </c>
      <c r="B336" s="1" t="n">
        <v>45740.64327546296</v>
      </c>
      <c r="C336" s="1" t="n">
        <v>46134</v>
      </c>
      <c r="D336" t="inlineStr">
        <is>
          <t>UPPSALA LÄN</t>
        </is>
      </c>
      <c r="E336" t="inlineStr">
        <is>
          <t>ÖSTHAMMAR</t>
        </is>
      </c>
      <c r="G336" t="n">
        <v>5.7</v>
      </c>
      <c r="H336" t="n">
        <v>0</v>
      </c>
      <c r="I336" t="n">
        <v>0</v>
      </c>
      <c r="J336" t="n">
        <v>0</v>
      </c>
      <c r="K336" t="n">
        <v>0</v>
      </c>
      <c r="L336" t="n">
        <v>0</v>
      </c>
      <c r="M336" t="n">
        <v>0</v>
      </c>
      <c r="N336" t="n">
        <v>0</v>
      </c>
      <c r="O336" t="n">
        <v>0</v>
      </c>
      <c r="P336" t="n">
        <v>0</v>
      </c>
      <c r="Q336" t="n">
        <v>0</v>
      </c>
      <c r="R336" s="2" t="inlineStr"/>
    </row>
    <row r="337" ht="15" customHeight="1">
      <c r="A337" t="inlineStr">
        <is>
          <t>A 27486-2025</t>
        </is>
      </c>
      <c r="B337" s="1" t="n">
        <v>45813.38521990741</v>
      </c>
      <c r="C337" s="1" t="n">
        <v>46134</v>
      </c>
      <c r="D337" t="inlineStr">
        <is>
          <t>UPPSALA LÄN</t>
        </is>
      </c>
      <c r="E337" t="inlineStr">
        <is>
          <t>ÖSTHAMMAR</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27660-2023</t>
        </is>
      </c>
      <c r="B338" s="1" t="n">
        <v>45097</v>
      </c>
      <c r="C338" s="1" t="n">
        <v>46134</v>
      </c>
      <c r="D338" t="inlineStr">
        <is>
          <t>UPPSALA LÄN</t>
        </is>
      </c>
      <c r="E338" t="inlineStr">
        <is>
          <t>ÖSTHAMMAR</t>
        </is>
      </c>
      <c r="G338" t="n">
        <v>2.8</v>
      </c>
      <c r="H338" t="n">
        <v>0</v>
      </c>
      <c r="I338" t="n">
        <v>0</v>
      </c>
      <c r="J338" t="n">
        <v>0</v>
      </c>
      <c r="K338" t="n">
        <v>0</v>
      </c>
      <c r="L338" t="n">
        <v>0</v>
      </c>
      <c r="M338" t="n">
        <v>0</v>
      </c>
      <c r="N338" t="n">
        <v>0</v>
      </c>
      <c r="O338" t="n">
        <v>0</v>
      </c>
      <c r="P338" t="n">
        <v>0</v>
      </c>
      <c r="Q338" t="n">
        <v>0</v>
      </c>
      <c r="R338" s="2" t="inlineStr"/>
    </row>
    <row r="339" ht="15" customHeight="1">
      <c r="A339" t="inlineStr">
        <is>
          <t>A 29029-2025</t>
        </is>
      </c>
      <c r="B339" s="1" t="n">
        <v>45821.43973379629</v>
      </c>
      <c r="C339" s="1" t="n">
        <v>46134</v>
      </c>
      <c r="D339" t="inlineStr">
        <is>
          <t>UPPSALA LÄN</t>
        </is>
      </c>
      <c r="E339" t="inlineStr">
        <is>
          <t>ÖSTHAMMAR</t>
        </is>
      </c>
      <c r="F339" t="inlineStr">
        <is>
          <t>Bergvik skog öst AB</t>
        </is>
      </c>
      <c r="G339" t="n">
        <v>4.2</v>
      </c>
      <c r="H339" t="n">
        <v>0</v>
      </c>
      <c r="I339" t="n">
        <v>0</v>
      </c>
      <c r="J339" t="n">
        <v>0</v>
      </c>
      <c r="K339" t="n">
        <v>0</v>
      </c>
      <c r="L339" t="n">
        <v>0</v>
      </c>
      <c r="M339" t="n">
        <v>0</v>
      </c>
      <c r="N339" t="n">
        <v>0</v>
      </c>
      <c r="O339" t="n">
        <v>0</v>
      </c>
      <c r="P339" t="n">
        <v>0</v>
      </c>
      <c r="Q339" t="n">
        <v>0</v>
      </c>
      <c r="R339" s="2" t="inlineStr"/>
    </row>
    <row r="340" ht="15" customHeight="1">
      <c r="A340" t="inlineStr">
        <is>
          <t>A 29028-2025</t>
        </is>
      </c>
      <c r="B340" s="1" t="n">
        <v>45821.4384375</v>
      </c>
      <c r="C340" s="1" t="n">
        <v>46134</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24389-2025</t>
        </is>
      </c>
      <c r="B341" s="1" t="n">
        <v>45797.63553240741</v>
      </c>
      <c r="C341" s="1" t="n">
        <v>46134</v>
      </c>
      <c r="D341" t="inlineStr">
        <is>
          <t>UPPSALA LÄN</t>
        </is>
      </c>
      <c r="E341" t="inlineStr">
        <is>
          <t>ÖSTHAMMAR</t>
        </is>
      </c>
      <c r="G341" t="n">
        <v>1.1</v>
      </c>
      <c r="H341" t="n">
        <v>0</v>
      </c>
      <c r="I341" t="n">
        <v>0</v>
      </c>
      <c r="J341" t="n">
        <v>0</v>
      </c>
      <c r="K341" t="n">
        <v>0</v>
      </c>
      <c r="L341" t="n">
        <v>0</v>
      </c>
      <c r="M341" t="n">
        <v>0</v>
      </c>
      <c r="N341" t="n">
        <v>0</v>
      </c>
      <c r="O341" t="n">
        <v>0</v>
      </c>
      <c r="P341" t="n">
        <v>0</v>
      </c>
      <c r="Q341" t="n">
        <v>0</v>
      </c>
      <c r="R341" s="2" t="inlineStr"/>
    </row>
    <row r="342" ht="15" customHeight="1">
      <c r="A342" t="inlineStr">
        <is>
          <t>A 29031-2025</t>
        </is>
      </c>
      <c r="B342" s="1" t="n">
        <v>45821.44159722222</v>
      </c>
      <c r="C342" s="1" t="n">
        <v>46134</v>
      </c>
      <c r="D342" t="inlineStr">
        <is>
          <t>UPPSALA LÄN</t>
        </is>
      </c>
      <c r="E342" t="inlineStr">
        <is>
          <t>ÖSTHAMMAR</t>
        </is>
      </c>
      <c r="F342" t="inlineStr">
        <is>
          <t>Bergvik skog öst AB</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27384-2025</t>
        </is>
      </c>
      <c r="B343" s="1" t="n">
        <v>45812.6672337963</v>
      </c>
      <c r="C343" s="1" t="n">
        <v>46134</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27490-2025</t>
        </is>
      </c>
      <c r="B344" s="1" t="n">
        <v>45813.39273148148</v>
      </c>
      <c r="C344" s="1" t="n">
        <v>46134</v>
      </c>
      <c r="D344" t="inlineStr">
        <is>
          <t>UPPSALA LÄN</t>
        </is>
      </c>
      <c r="E344" t="inlineStr">
        <is>
          <t>ÖSTHAMMAR</t>
        </is>
      </c>
      <c r="F344" t="inlineStr">
        <is>
          <t>Bergvik skog öst AB</t>
        </is>
      </c>
      <c r="G344" t="n">
        <v>6.1</v>
      </c>
      <c r="H344" t="n">
        <v>0</v>
      </c>
      <c r="I344" t="n">
        <v>0</v>
      </c>
      <c r="J344" t="n">
        <v>0</v>
      </c>
      <c r="K344" t="n">
        <v>0</v>
      </c>
      <c r="L344" t="n">
        <v>0</v>
      </c>
      <c r="M344" t="n">
        <v>0</v>
      </c>
      <c r="N344" t="n">
        <v>0</v>
      </c>
      <c r="O344" t="n">
        <v>0</v>
      </c>
      <c r="P344" t="n">
        <v>0</v>
      </c>
      <c r="Q344" t="n">
        <v>0</v>
      </c>
      <c r="R344" s="2" t="inlineStr"/>
    </row>
    <row r="345" ht="15" customHeight="1">
      <c r="A345" t="inlineStr">
        <is>
          <t>A 27494-2025</t>
        </is>
      </c>
      <c r="B345" s="1" t="n">
        <v>45813.39756944445</v>
      </c>
      <c r="C345" s="1" t="n">
        <v>46134</v>
      </c>
      <c r="D345" t="inlineStr">
        <is>
          <t>UPPSALA LÄN</t>
        </is>
      </c>
      <c r="E345" t="inlineStr">
        <is>
          <t>ÖSTHAMMAR</t>
        </is>
      </c>
      <c r="F345" t="inlineStr">
        <is>
          <t>Bergvik skog öst AB</t>
        </is>
      </c>
      <c r="G345" t="n">
        <v>23.4</v>
      </c>
      <c r="H345" t="n">
        <v>0</v>
      </c>
      <c r="I345" t="n">
        <v>0</v>
      </c>
      <c r="J345" t="n">
        <v>0</v>
      </c>
      <c r="K345" t="n">
        <v>0</v>
      </c>
      <c r="L345" t="n">
        <v>0</v>
      </c>
      <c r="M345" t="n">
        <v>0</v>
      </c>
      <c r="N345" t="n">
        <v>0</v>
      </c>
      <c r="O345" t="n">
        <v>0</v>
      </c>
      <c r="P345" t="n">
        <v>0</v>
      </c>
      <c r="Q345" t="n">
        <v>0</v>
      </c>
      <c r="R345" s="2" t="inlineStr"/>
    </row>
    <row r="346" ht="15" customHeight="1">
      <c r="A346" t="inlineStr">
        <is>
          <t>A 29384-2025</t>
        </is>
      </c>
      <c r="B346" s="1" t="n">
        <v>45824</v>
      </c>
      <c r="C346" s="1" t="n">
        <v>46134</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29024-2025</t>
        </is>
      </c>
      <c r="B347" s="1" t="n">
        <v>45821.43233796296</v>
      </c>
      <c r="C347" s="1" t="n">
        <v>46134</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28099-2025</t>
        </is>
      </c>
      <c r="B348" s="1" t="n">
        <v>45817.82967592592</v>
      </c>
      <c r="C348" s="1" t="n">
        <v>46134</v>
      </c>
      <c r="D348" t="inlineStr">
        <is>
          <t>UPPSALA LÄN</t>
        </is>
      </c>
      <c r="E348" t="inlineStr">
        <is>
          <t>ÖSTHAMMAR</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5076-2025</t>
        </is>
      </c>
      <c r="B349" s="1" t="n">
        <v>45691</v>
      </c>
      <c r="C349" s="1" t="n">
        <v>46134</v>
      </c>
      <c r="D349" t="inlineStr">
        <is>
          <t>UPPSALA LÄN</t>
        </is>
      </c>
      <c r="E349" t="inlineStr">
        <is>
          <t>ÖSTHAMMAR</t>
        </is>
      </c>
      <c r="G349" t="n">
        <v>5.8</v>
      </c>
      <c r="H349" t="n">
        <v>0</v>
      </c>
      <c r="I349" t="n">
        <v>0</v>
      </c>
      <c r="J349" t="n">
        <v>0</v>
      </c>
      <c r="K349" t="n">
        <v>0</v>
      </c>
      <c r="L349" t="n">
        <v>0</v>
      </c>
      <c r="M349" t="n">
        <v>0</v>
      </c>
      <c r="N349" t="n">
        <v>0</v>
      </c>
      <c r="O349" t="n">
        <v>0</v>
      </c>
      <c r="P349" t="n">
        <v>0</v>
      </c>
      <c r="Q349" t="n">
        <v>0</v>
      </c>
      <c r="R349" s="2" t="inlineStr"/>
    </row>
    <row r="350" ht="15" customHeight="1">
      <c r="A350" t="inlineStr">
        <is>
          <t>A 29775-2025</t>
        </is>
      </c>
      <c r="B350" s="1" t="n">
        <v>45825.63803240741</v>
      </c>
      <c r="C350" s="1" t="n">
        <v>46134</v>
      </c>
      <c r="D350" t="inlineStr">
        <is>
          <t>UPPSALA LÄN</t>
        </is>
      </c>
      <c r="E350" t="inlineStr">
        <is>
          <t>ÖSTHAMMAR</t>
        </is>
      </c>
      <c r="G350" t="n">
        <v>0.9</v>
      </c>
      <c r="H350" t="n">
        <v>0</v>
      </c>
      <c r="I350" t="n">
        <v>0</v>
      </c>
      <c r="J350" t="n">
        <v>0</v>
      </c>
      <c r="K350" t="n">
        <v>0</v>
      </c>
      <c r="L350" t="n">
        <v>0</v>
      </c>
      <c r="M350" t="n">
        <v>0</v>
      </c>
      <c r="N350" t="n">
        <v>0</v>
      </c>
      <c r="O350" t="n">
        <v>0</v>
      </c>
      <c r="P350" t="n">
        <v>0</v>
      </c>
      <c r="Q350" t="n">
        <v>0</v>
      </c>
      <c r="R350" s="2" t="inlineStr"/>
    </row>
    <row r="351" ht="15" customHeight="1">
      <c r="A351" t="inlineStr">
        <is>
          <t>A 62394-2022</t>
        </is>
      </c>
      <c r="B351" s="1" t="n">
        <v>44923.82017361111</v>
      </c>
      <c r="C351" s="1" t="n">
        <v>46134</v>
      </c>
      <c r="D351" t="inlineStr">
        <is>
          <t>UPPSALA LÄN</t>
        </is>
      </c>
      <c r="E351" t="inlineStr">
        <is>
          <t>ÖSTHAMMAR</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33927-2025</t>
        </is>
      </c>
      <c r="B352" s="1" t="n">
        <v>45842.62363425926</v>
      </c>
      <c r="C352" s="1" t="n">
        <v>46134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43011-2025</t>
        </is>
      </c>
      <c r="B353" s="1" t="n">
        <v>45909.48989583334</v>
      </c>
      <c r="C353" s="1" t="n">
        <v>46134</v>
      </c>
      <c r="D353" t="inlineStr">
        <is>
          <t>UPPSALA LÄN</t>
        </is>
      </c>
      <c r="E353" t="inlineStr">
        <is>
          <t>ÖSTHAMMAR</t>
        </is>
      </c>
      <c r="F353" t="inlineStr">
        <is>
          <t>Övriga Aktiebolag</t>
        </is>
      </c>
      <c r="G353" t="n">
        <v>4.7</v>
      </c>
      <c r="H353" t="n">
        <v>0</v>
      </c>
      <c r="I353" t="n">
        <v>0</v>
      </c>
      <c r="J353" t="n">
        <v>0</v>
      </c>
      <c r="K353" t="n">
        <v>0</v>
      </c>
      <c r="L353" t="n">
        <v>0</v>
      </c>
      <c r="M353" t="n">
        <v>0</v>
      </c>
      <c r="N353" t="n">
        <v>0</v>
      </c>
      <c r="O353" t="n">
        <v>0</v>
      </c>
      <c r="P353" t="n">
        <v>0</v>
      </c>
      <c r="Q353" t="n">
        <v>0</v>
      </c>
      <c r="R353" s="2" t="inlineStr"/>
    </row>
    <row r="354" ht="15" customHeight="1">
      <c r="A354" t="inlineStr">
        <is>
          <t>A 42940-2025</t>
        </is>
      </c>
      <c r="B354" s="1" t="n">
        <v>45909.33440972222</v>
      </c>
      <c r="C354" s="1" t="n">
        <v>46134</v>
      </c>
      <c r="D354" t="inlineStr">
        <is>
          <t>UPPSALA LÄN</t>
        </is>
      </c>
      <c r="E354" t="inlineStr">
        <is>
          <t>ÖSTHAMMAR</t>
        </is>
      </c>
      <c r="G354" t="n">
        <v>2.1</v>
      </c>
      <c r="H354" t="n">
        <v>0</v>
      </c>
      <c r="I354" t="n">
        <v>0</v>
      </c>
      <c r="J354" t="n">
        <v>0</v>
      </c>
      <c r="K354" t="n">
        <v>0</v>
      </c>
      <c r="L354" t="n">
        <v>0</v>
      </c>
      <c r="M354" t="n">
        <v>0</v>
      </c>
      <c r="N354" t="n">
        <v>0</v>
      </c>
      <c r="O354" t="n">
        <v>0</v>
      </c>
      <c r="P354" t="n">
        <v>0</v>
      </c>
      <c r="Q354" t="n">
        <v>0</v>
      </c>
      <c r="R354" s="2" t="inlineStr"/>
    </row>
    <row r="355" ht="15" customHeight="1">
      <c r="A355" t="inlineStr">
        <is>
          <t>A 6153-2022</t>
        </is>
      </c>
      <c r="B355" s="1" t="n">
        <v>44599</v>
      </c>
      <c r="C355" s="1" t="n">
        <v>46134</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30244-2025</t>
        </is>
      </c>
      <c r="B356" s="1" t="n">
        <v>45827.40902777778</v>
      </c>
      <c r="C356" s="1" t="n">
        <v>46134</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1800-2023</t>
        </is>
      </c>
      <c r="B357" s="1" t="n">
        <v>44938</v>
      </c>
      <c r="C357" s="1" t="n">
        <v>46134</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30504-2025</t>
        </is>
      </c>
      <c r="B358" s="1" t="n">
        <v>45830.8558912037</v>
      </c>
      <c r="C358" s="1" t="n">
        <v>46134</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47341-2023</t>
        </is>
      </c>
      <c r="B359" s="1" t="n">
        <v>45202.55721064815</v>
      </c>
      <c r="C359" s="1" t="n">
        <v>46134</v>
      </c>
      <c r="D359" t="inlineStr">
        <is>
          <t>UPPSALA LÄN</t>
        </is>
      </c>
      <c r="E359" t="inlineStr">
        <is>
          <t>ÖSTHAMMAR</t>
        </is>
      </c>
      <c r="G359" t="n">
        <v>4.9</v>
      </c>
      <c r="H359" t="n">
        <v>0</v>
      </c>
      <c r="I359" t="n">
        <v>0</v>
      </c>
      <c r="J359" t="n">
        <v>0</v>
      </c>
      <c r="K359" t="n">
        <v>0</v>
      </c>
      <c r="L359" t="n">
        <v>0</v>
      </c>
      <c r="M359" t="n">
        <v>0</v>
      </c>
      <c r="N359" t="n">
        <v>0</v>
      </c>
      <c r="O359" t="n">
        <v>0</v>
      </c>
      <c r="P359" t="n">
        <v>0</v>
      </c>
      <c r="Q359" t="n">
        <v>0</v>
      </c>
      <c r="R359" s="2" t="inlineStr"/>
    </row>
    <row r="360" ht="15" customHeight="1">
      <c r="A360" t="inlineStr">
        <is>
          <t>A 43622-2025</t>
        </is>
      </c>
      <c r="B360" s="1" t="n">
        <v>45911.68295138889</v>
      </c>
      <c r="C360" s="1" t="n">
        <v>46134</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30503-2025</t>
        </is>
      </c>
      <c r="B361" s="1" t="n">
        <v>45830.8500462963</v>
      </c>
      <c r="C361" s="1" t="n">
        <v>46134</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43604-2025</t>
        </is>
      </c>
      <c r="B362" s="1" t="n">
        <v>45911.66671296296</v>
      </c>
      <c r="C362" s="1" t="n">
        <v>46134</v>
      </c>
      <c r="D362" t="inlineStr">
        <is>
          <t>UPPSALA LÄN</t>
        </is>
      </c>
      <c r="E362" t="inlineStr">
        <is>
          <t>ÖSTHAMMAR</t>
        </is>
      </c>
      <c r="G362" t="n">
        <v>8.5</v>
      </c>
      <c r="H362" t="n">
        <v>0</v>
      </c>
      <c r="I362" t="n">
        <v>0</v>
      </c>
      <c r="J362" t="n">
        <v>0</v>
      </c>
      <c r="K362" t="n">
        <v>0</v>
      </c>
      <c r="L362" t="n">
        <v>0</v>
      </c>
      <c r="M362" t="n">
        <v>0</v>
      </c>
      <c r="N362" t="n">
        <v>0</v>
      </c>
      <c r="O362" t="n">
        <v>0</v>
      </c>
      <c r="P362" t="n">
        <v>0</v>
      </c>
      <c r="Q362" t="n">
        <v>0</v>
      </c>
      <c r="R362" s="2" t="inlineStr"/>
    </row>
    <row r="363" ht="15" customHeight="1">
      <c r="A363" t="inlineStr">
        <is>
          <t>A 61216-2022</t>
        </is>
      </c>
      <c r="B363" s="1" t="n">
        <v>44915.55423611111</v>
      </c>
      <c r="C363" s="1" t="n">
        <v>46134</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30610-2025</t>
        </is>
      </c>
      <c r="B364" s="1" t="n">
        <v>45831.45965277778</v>
      </c>
      <c r="C364" s="1" t="n">
        <v>46134</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44533.44887731481</v>
      </c>
      <c r="C365" s="1" t="n">
        <v>46134</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31579-2025</t>
        </is>
      </c>
      <c r="B366" s="1" t="n">
        <v>45833.68211805556</v>
      </c>
      <c r="C366" s="1" t="n">
        <v>46134</v>
      </c>
      <c r="D366" t="inlineStr">
        <is>
          <t>UPPSALA LÄN</t>
        </is>
      </c>
      <c r="E366" t="inlineStr">
        <is>
          <t>ÖSTHAMMAR</t>
        </is>
      </c>
      <c r="G366" t="n">
        <v>1.5</v>
      </c>
      <c r="H366" t="n">
        <v>0</v>
      </c>
      <c r="I366" t="n">
        <v>0</v>
      </c>
      <c r="J366" t="n">
        <v>0</v>
      </c>
      <c r="K366" t="n">
        <v>0</v>
      </c>
      <c r="L366" t="n">
        <v>0</v>
      </c>
      <c r="M366" t="n">
        <v>0</v>
      </c>
      <c r="N366" t="n">
        <v>0</v>
      </c>
      <c r="O366" t="n">
        <v>0</v>
      </c>
      <c r="P366" t="n">
        <v>0</v>
      </c>
      <c r="Q366" t="n">
        <v>0</v>
      </c>
      <c r="R366" s="2" t="inlineStr"/>
    </row>
    <row r="367" ht="15" customHeight="1">
      <c r="A367" t="inlineStr">
        <is>
          <t>A 31360-2025</t>
        </is>
      </c>
      <c r="B367" s="1" t="n">
        <v>45833.43527777777</v>
      </c>
      <c r="C367" s="1" t="n">
        <v>46134</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21478-2023</t>
        </is>
      </c>
      <c r="B368" s="1" t="n">
        <v>45063.47773148148</v>
      </c>
      <c r="C368" s="1" t="n">
        <v>46134</v>
      </c>
      <c r="D368" t="inlineStr">
        <is>
          <t>UPPSALA LÄN</t>
        </is>
      </c>
      <c r="E368" t="inlineStr">
        <is>
          <t>ÖSTHAMMAR</t>
        </is>
      </c>
      <c r="G368" t="n">
        <v>0.4</v>
      </c>
      <c r="H368" t="n">
        <v>0</v>
      </c>
      <c r="I368" t="n">
        <v>0</v>
      </c>
      <c r="J368" t="n">
        <v>0</v>
      </c>
      <c r="K368" t="n">
        <v>0</v>
      </c>
      <c r="L368" t="n">
        <v>0</v>
      </c>
      <c r="M368" t="n">
        <v>0</v>
      </c>
      <c r="N368" t="n">
        <v>0</v>
      </c>
      <c r="O368" t="n">
        <v>0</v>
      </c>
      <c r="P368" t="n">
        <v>0</v>
      </c>
      <c r="Q368" t="n">
        <v>0</v>
      </c>
      <c r="R368" s="2" t="inlineStr"/>
    </row>
    <row r="369" ht="15" customHeight="1">
      <c r="A369" t="inlineStr">
        <is>
          <t>A 31249-2025</t>
        </is>
      </c>
      <c r="B369" s="1" t="n">
        <v>45832.89476851852</v>
      </c>
      <c r="C369" s="1" t="n">
        <v>46134</v>
      </c>
      <c r="D369" t="inlineStr">
        <is>
          <t>UPPSALA LÄN</t>
        </is>
      </c>
      <c r="E369" t="inlineStr">
        <is>
          <t>ÖSTHAMMAR</t>
        </is>
      </c>
      <c r="G369" t="n">
        <v>0.6</v>
      </c>
      <c r="H369" t="n">
        <v>0</v>
      </c>
      <c r="I369" t="n">
        <v>0</v>
      </c>
      <c r="J369" t="n">
        <v>0</v>
      </c>
      <c r="K369" t="n">
        <v>0</v>
      </c>
      <c r="L369" t="n">
        <v>0</v>
      </c>
      <c r="M369" t="n">
        <v>0</v>
      </c>
      <c r="N369" t="n">
        <v>0</v>
      </c>
      <c r="O369" t="n">
        <v>0</v>
      </c>
      <c r="P369" t="n">
        <v>0</v>
      </c>
      <c r="Q369" t="n">
        <v>0</v>
      </c>
      <c r="R369" s="2" t="inlineStr"/>
    </row>
    <row r="370" ht="15" customHeight="1">
      <c r="A370" t="inlineStr">
        <is>
          <t>A 2733-2023</t>
        </is>
      </c>
      <c r="B370" s="1" t="n">
        <v>44943</v>
      </c>
      <c r="C370" s="1" t="n">
        <v>46134</v>
      </c>
      <c r="D370" t="inlineStr">
        <is>
          <t>UPPSALA LÄN</t>
        </is>
      </c>
      <c r="E370" t="inlineStr">
        <is>
          <t>ÖSTHAMMAR</t>
        </is>
      </c>
      <c r="G370" t="n">
        <v>2.6</v>
      </c>
      <c r="H370" t="n">
        <v>0</v>
      </c>
      <c r="I370" t="n">
        <v>0</v>
      </c>
      <c r="J370" t="n">
        <v>0</v>
      </c>
      <c r="K370" t="n">
        <v>0</v>
      </c>
      <c r="L370" t="n">
        <v>0</v>
      </c>
      <c r="M370" t="n">
        <v>0</v>
      </c>
      <c r="N370" t="n">
        <v>0</v>
      </c>
      <c r="O370" t="n">
        <v>0</v>
      </c>
      <c r="P370" t="n">
        <v>0</v>
      </c>
      <c r="Q370" t="n">
        <v>0</v>
      </c>
      <c r="R370" s="2" t="inlineStr"/>
    </row>
    <row r="371" ht="15" customHeight="1">
      <c r="A371" t="inlineStr">
        <is>
          <t>A 44491-2025</t>
        </is>
      </c>
      <c r="B371" s="1" t="n">
        <v>45916.66152777777</v>
      </c>
      <c r="C371" s="1" t="n">
        <v>46134</v>
      </c>
      <c r="D371" t="inlineStr">
        <is>
          <t>UPPSALA LÄN</t>
        </is>
      </c>
      <c r="E371" t="inlineStr">
        <is>
          <t>ÖSTHAMMAR</t>
        </is>
      </c>
      <c r="F371" t="inlineStr">
        <is>
          <t>Bergvik skog öst AB</t>
        </is>
      </c>
      <c r="G371" t="n">
        <v>4.3</v>
      </c>
      <c r="H371" t="n">
        <v>0</v>
      </c>
      <c r="I371" t="n">
        <v>0</v>
      </c>
      <c r="J371" t="n">
        <v>0</v>
      </c>
      <c r="K371" t="n">
        <v>0</v>
      </c>
      <c r="L371" t="n">
        <v>0</v>
      </c>
      <c r="M371" t="n">
        <v>0</v>
      </c>
      <c r="N371" t="n">
        <v>0</v>
      </c>
      <c r="O371" t="n">
        <v>0</v>
      </c>
      <c r="P371" t="n">
        <v>0</v>
      </c>
      <c r="Q371" t="n">
        <v>0</v>
      </c>
      <c r="R371" s="2" t="inlineStr"/>
    </row>
    <row r="372" ht="15" customHeight="1">
      <c r="A372" t="inlineStr">
        <is>
          <t>A 44917-2025</t>
        </is>
      </c>
      <c r="B372" s="1" t="n">
        <v>45918.54903935185</v>
      </c>
      <c r="C372" s="1" t="n">
        <v>46134</v>
      </c>
      <c r="D372" t="inlineStr">
        <is>
          <t>UPPSALA LÄN</t>
        </is>
      </c>
      <c r="E372" t="inlineStr">
        <is>
          <t>ÖSTHAMMAR</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46134</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31977-2025</t>
        </is>
      </c>
      <c r="B374" s="1" t="n">
        <v>45835.3554050926</v>
      </c>
      <c r="C374" s="1" t="n">
        <v>46134</v>
      </c>
      <c r="D374" t="inlineStr">
        <is>
          <t>UPPSALA LÄN</t>
        </is>
      </c>
      <c r="E374" t="inlineStr">
        <is>
          <t>ÖSTHAMMAR</t>
        </is>
      </c>
      <c r="F374" t="inlineStr">
        <is>
          <t>Övriga Aktiebolag</t>
        </is>
      </c>
      <c r="G374" t="n">
        <v>35.3</v>
      </c>
      <c r="H374" t="n">
        <v>0</v>
      </c>
      <c r="I374" t="n">
        <v>0</v>
      </c>
      <c r="J374" t="n">
        <v>0</v>
      </c>
      <c r="K374" t="n">
        <v>0</v>
      </c>
      <c r="L374" t="n">
        <v>0</v>
      </c>
      <c r="M374" t="n">
        <v>0</v>
      </c>
      <c r="N374" t="n">
        <v>0</v>
      </c>
      <c r="O374" t="n">
        <v>0</v>
      </c>
      <c r="P374" t="n">
        <v>0</v>
      </c>
      <c r="Q374" t="n">
        <v>0</v>
      </c>
      <c r="R374" s="2" t="inlineStr"/>
    </row>
    <row r="375" ht="15" customHeight="1">
      <c r="A375" t="inlineStr">
        <is>
          <t>A 31956-2025</t>
        </is>
      </c>
      <c r="B375" s="1" t="n">
        <v>45835.34184027778</v>
      </c>
      <c r="C375" s="1" t="n">
        <v>46134</v>
      </c>
      <c r="D375" t="inlineStr">
        <is>
          <t>UPPSALA LÄN</t>
        </is>
      </c>
      <c r="E375" t="inlineStr">
        <is>
          <t>ÖSTHAMMAR</t>
        </is>
      </c>
      <c r="F375" t="inlineStr">
        <is>
          <t>Övriga Aktiebolag</t>
        </is>
      </c>
      <c r="G375" t="n">
        <v>4.2</v>
      </c>
      <c r="H375" t="n">
        <v>0</v>
      </c>
      <c r="I375" t="n">
        <v>0</v>
      </c>
      <c r="J375" t="n">
        <v>0</v>
      </c>
      <c r="K375" t="n">
        <v>0</v>
      </c>
      <c r="L375" t="n">
        <v>0</v>
      </c>
      <c r="M375" t="n">
        <v>0</v>
      </c>
      <c r="N375" t="n">
        <v>0</v>
      </c>
      <c r="O375" t="n">
        <v>0</v>
      </c>
      <c r="P375" t="n">
        <v>0</v>
      </c>
      <c r="Q375" t="n">
        <v>0</v>
      </c>
      <c r="R375" s="2" t="inlineStr"/>
    </row>
    <row r="376" ht="15" customHeight="1">
      <c r="A376" t="inlineStr">
        <is>
          <t>A 45105-2025</t>
        </is>
      </c>
      <c r="B376" s="1" t="n">
        <v>45919.40252314815</v>
      </c>
      <c r="C376" s="1" t="n">
        <v>46134</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45102-2025</t>
        </is>
      </c>
      <c r="B377" s="1" t="n">
        <v>45919.39731481481</v>
      </c>
      <c r="C377" s="1" t="n">
        <v>46134</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33048-2025</t>
        </is>
      </c>
      <c r="B378" s="1" t="n">
        <v>45840.41451388889</v>
      </c>
      <c r="C378" s="1" t="n">
        <v>46134</v>
      </c>
      <c r="D378" t="inlineStr">
        <is>
          <t>UPPSALA LÄN</t>
        </is>
      </c>
      <c r="E378" t="inlineStr">
        <is>
          <t>ÖSTHAMMAR</t>
        </is>
      </c>
      <c r="G378" t="n">
        <v>1.8</v>
      </c>
      <c r="H378" t="n">
        <v>0</v>
      </c>
      <c r="I378" t="n">
        <v>0</v>
      </c>
      <c r="J378" t="n">
        <v>0</v>
      </c>
      <c r="K378" t="n">
        <v>0</v>
      </c>
      <c r="L378" t="n">
        <v>0</v>
      </c>
      <c r="M378" t="n">
        <v>0</v>
      </c>
      <c r="N378" t="n">
        <v>0</v>
      </c>
      <c r="O378" t="n">
        <v>0</v>
      </c>
      <c r="P378" t="n">
        <v>0</v>
      </c>
      <c r="Q378" t="n">
        <v>0</v>
      </c>
      <c r="R378" s="2" t="inlineStr"/>
    </row>
    <row r="379" ht="15" customHeight="1">
      <c r="A379" t="inlineStr">
        <is>
          <t>A 27476-2025</t>
        </is>
      </c>
      <c r="B379" s="1" t="n">
        <v>45813.37517361111</v>
      </c>
      <c r="C379" s="1" t="n">
        <v>46134</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31574-2022</t>
        </is>
      </c>
      <c r="B380" s="1" t="n">
        <v>44775</v>
      </c>
      <c r="C380" s="1" t="n">
        <v>46134</v>
      </c>
      <c r="D380" t="inlineStr">
        <is>
          <t>UPPSALA LÄN</t>
        </is>
      </c>
      <c r="E380" t="inlineStr">
        <is>
          <t>ÖSTHAMMAR</t>
        </is>
      </c>
      <c r="G380" t="n">
        <v>29.7</v>
      </c>
      <c r="H380" t="n">
        <v>0</v>
      </c>
      <c r="I380" t="n">
        <v>0</v>
      </c>
      <c r="J380" t="n">
        <v>0</v>
      </c>
      <c r="K380" t="n">
        <v>0</v>
      </c>
      <c r="L380" t="n">
        <v>0</v>
      </c>
      <c r="M380" t="n">
        <v>0</v>
      </c>
      <c r="N380" t="n">
        <v>0</v>
      </c>
      <c r="O380" t="n">
        <v>0</v>
      </c>
      <c r="P380" t="n">
        <v>0</v>
      </c>
      <c r="Q380" t="n">
        <v>0</v>
      </c>
      <c r="R380" s="2" t="inlineStr"/>
    </row>
    <row r="381" ht="15" customHeight="1">
      <c r="A381" t="inlineStr">
        <is>
          <t>A 45720-2025</t>
        </is>
      </c>
      <c r="B381" s="1" t="n">
        <v>45923.44583333333</v>
      </c>
      <c r="C381" s="1" t="n">
        <v>46134</v>
      </c>
      <c r="D381" t="inlineStr">
        <is>
          <t>UPPSALA LÄN</t>
        </is>
      </c>
      <c r="E381" t="inlineStr">
        <is>
          <t>ÖSTHAMMAR</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45721-2025</t>
        </is>
      </c>
      <c r="B382" s="1" t="n">
        <v>45923.44844907407</v>
      </c>
      <c r="C382" s="1" t="n">
        <v>46134</v>
      </c>
      <c r="D382" t="inlineStr">
        <is>
          <t>UPPSALA LÄN</t>
        </is>
      </c>
      <c r="E382" t="inlineStr">
        <is>
          <t>ÖSTHAMMAR</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45993-2025</t>
        </is>
      </c>
      <c r="B383" s="1" t="n">
        <v>45924.39706018518</v>
      </c>
      <c r="C383" s="1" t="n">
        <v>46134</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33271-2025</t>
        </is>
      </c>
      <c r="B384" s="1" t="n">
        <v>45840.68381944444</v>
      </c>
      <c r="C384" s="1" t="n">
        <v>46134</v>
      </c>
      <c r="D384" t="inlineStr">
        <is>
          <t>UPPSALA LÄN</t>
        </is>
      </c>
      <c r="E384" t="inlineStr">
        <is>
          <t>ÖSTHAMMAR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46134</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46089-2025</t>
        </is>
      </c>
      <c r="B386" s="1" t="n">
        <v>45924.52100694444</v>
      </c>
      <c r="C386" s="1" t="n">
        <v>46134</v>
      </c>
      <c r="D386" t="inlineStr">
        <is>
          <t>UPPSALA LÄN</t>
        </is>
      </c>
      <c r="E386" t="inlineStr">
        <is>
          <t>ÖSTHAMMAR</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24181-2022</t>
        </is>
      </c>
      <c r="B387" s="1" t="n">
        <v>44725</v>
      </c>
      <c r="C387" s="1" t="n">
        <v>46134</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32718-2025</t>
        </is>
      </c>
      <c r="B388" s="1" t="n">
        <v>45839.37740740741</v>
      </c>
      <c r="C388" s="1" t="n">
        <v>46134</v>
      </c>
      <c r="D388" t="inlineStr">
        <is>
          <t>UPPSALA LÄN</t>
        </is>
      </c>
      <c r="E388" t="inlineStr">
        <is>
          <t>ÖSTHAMMAR</t>
        </is>
      </c>
      <c r="G388" t="n">
        <v>10.4</v>
      </c>
      <c r="H388" t="n">
        <v>0</v>
      </c>
      <c r="I388" t="n">
        <v>0</v>
      </c>
      <c r="J388" t="n">
        <v>0</v>
      </c>
      <c r="K388" t="n">
        <v>0</v>
      </c>
      <c r="L388" t="n">
        <v>0</v>
      </c>
      <c r="M388" t="n">
        <v>0</v>
      </c>
      <c r="N388" t="n">
        <v>0</v>
      </c>
      <c r="O388" t="n">
        <v>0</v>
      </c>
      <c r="P388" t="n">
        <v>0</v>
      </c>
      <c r="Q388" t="n">
        <v>0</v>
      </c>
      <c r="R388" s="2" t="inlineStr"/>
    </row>
    <row r="389" ht="15" customHeight="1">
      <c r="A389" t="inlineStr">
        <is>
          <t>A 33529-2025</t>
        </is>
      </c>
      <c r="B389" s="1" t="n">
        <v>45841.55199074074</v>
      </c>
      <c r="C389" s="1" t="n">
        <v>46134</v>
      </c>
      <c r="D389" t="inlineStr">
        <is>
          <t>UPPSALA LÄN</t>
        </is>
      </c>
      <c r="E389" t="inlineStr">
        <is>
          <t>ÖSTHAMMAR</t>
        </is>
      </c>
      <c r="F389" t="inlineStr">
        <is>
          <t>Bergvik skog öst AB</t>
        </is>
      </c>
      <c r="G389" t="n">
        <v>11.8</v>
      </c>
      <c r="H389" t="n">
        <v>0</v>
      </c>
      <c r="I389" t="n">
        <v>0</v>
      </c>
      <c r="J389" t="n">
        <v>0</v>
      </c>
      <c r="K389" t="n">
        <v>0</v>
      </c>
      <c r="L389" t="n">
        <v>0</v>
      </c>
      <c r="M389" t="n">
        <v>0</v>
      </c>
      <c r="N389" t="n">
        <v>0</v>
      </c>
      <c r="O389" t="n">
        <v>0</v>
      </c>
      <c r="P389" t="n">
        <v>0</v>
      </c>
      <c r="Q389" t="n">
        <v>0</v>
      </c>
      <c r="R389" s="2" t="inlineStr"/>
    </row>
    <row r="390" ht="15" customHeight="1">
      <c r="A390" t="inlineStr">
        <is>
          <t>A 4096-2025</t>
        </is>
      </c>
      <c r="B390" s="1" t="n">
        <v>45684</v>
      </c>
      <c r="C390" s="1" t="n">
        <v>46134</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45715-2025</t>
        </is>
      </c>
      <c r="B391" s="1" t="n">
        <v>45923.44094907407</v>
      </c>
      <c r="C391" s="1" t="n">
        <v>46134</v>
      </c>
      <c r="D391" t="inlineStr">
        <is>
          <t>UPPSALA LÄN</t>
        </is>
      </c>
      <c r="E391" t="inlineStr">
        <is>
          <t>ÖSTHAMMAR</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22884-2024</t>
        </is>
      </c>
      <c r="B392" s="1" t="n">
        <v>45448</v>
      </c>
      <c r="C392" s="1" t="n">
        <v>46134</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33973-2025</t>
        </is>
      </c>
      <c r="B393" s="1" t="n">
        <v>45842.98429398148</v>
      </c>
      <c r="C393" s="1" t="n">
        <v>46134</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33972-2025</t>
        </is>
      </c>
      <c r="B394" s="1" t="n">
        <v>45842.97236111111</v>
      </c>
      <c r="C394" s="1" t="n">
        <v>46134</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26395-2025</t>
        </is>
      </c>
      <c r="B395" s="1" t="n">
        <v>45807</v>
      </c>
      <c r="C395" s="1" t="n">
        <v>46134</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8874-2025</t>
        </is>
      </c>
      <c r="B396" s="1" t="n">
        <v>45713</v>
      </c>
      <c r="C396" s="1" t="n">
        <v>46134</v>
      </c>
      <c r="D396" t="inlineStr">
        <is>
          <t>UPPSALA LÄN</t>
        </is>
      </c>
      <c r="E396" t="inlineStr">
        <is>
          <t>ÖSTHAMMAR</t>
        </is>
      </c>
      <c r="G396" t="n">
        <v>6.3</v>
      </c>
      <c r="H396" t="n">
        <v>0</v>
      </c>
      <c r="I396" t="n">
        <v>0</v>
      </c>
      <c r="J396" t="n">
        <v>0</v>
      </c>
      <c r="K396" t="n">
        <v>0</v>
      </c>
      <c r="L396" t="n">
        <v>0</v>
      </c>
      <c r="M396" t="n">
        <v>0</v>
      </c>
      <c r="N396" t="n">
        <v>0</v>
      </c>
      <c r="O396" t="n">
        <v>0</v>
      </c>
      <c r="P396" t="n">
        <v>0</v>
      </c>
      <c r="Q396" t="n">
        <v>0</v>
      </c>
      <c r="R396" s="2" t="inlineStr"/>
    </row>
    <row r="397" ht="15" customHeight="1">
      <c r="A397" t="inlineStr">
        <is>
          <t>A 25418-2022</t>
        </is>
      </c>
      <c r="B397" s="1" t="n">
        <v>44732.464375</v>
      </c>
      <c r="C397" s="1" t="n">
        <v>46134</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62391-2022</t>
        </is>
      </c>
      <c r="B398" s="1" t="n">
        <v>44923.7849537037</v>
      </c>
      <c r="C398" s="1" t="n">
        <v>46134</v>
      </c>
      <c r="D398" t="inlineStr">
        <is>
          <t>UPPSALA LÄN</t>
        </is>
      </c>
      <c r="E398" t="inlineStr">
        <is>
          <t>ÖSTHAMMAR</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47336-2025</t>
        </is>
      </c>
      <c r="B399" s="1" t="n">
        <v>45930.56592592593</v>
      </c>
      <c r="C399" s="1" t="n">
        <v>46134</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47337-2025</t>
        </is>
      </c>
      <c r="B400" s="1" t="n">
        <v>45930.56607638889</v>
      </c>
      <c r="C400" s="1" t="n">
        <v>46134</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31485-2023</t>
        </is>
      </c>
      <c r="B401" s="1" t="n">
        <v>45114</v>
      </c>
      <c r="C401" s="1" t="n">
        <v>46134</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46134</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46826-2025</t>
        </is>
      </c>
      <c r="B403" s="1" t="n">
        <v>45927.00606481481</v>
      </c>
      <c r="C403" s="1" t="n">
        <v>46134</v>
      </c>
      <c r="D403" t="inlineStr">
        <is>
          <t>UPPSALA LÄN</t>
        </is>
      </c>
      <c r="E403" t="inlineStr">
        <is>
          <t>ÖSTHAMMAR</t>
        </is>
      </c>
      <c r="G403" t="n">
        <v>9</v>
      </c>
      <c r="H403" t="n">
        <v>0</v>
      </c>
      <c r="I403" t="n">
        <v>0</v>
      </c>
      <c r="J403" t="n">
        <v>0</v>
      </c>
      <c r="K403" t="n">
        <v>0</v>
      </c>
      <c r="L403" t="n">
        <v>0</v>
      </c>
      <c r="M403" t="n">
        <v>0</v>
      </c>
      <c r="N403" t="n">
        <v>0</v>
      </c>
      <c r="O403" t="n">
        <v>0</v>
      </c>
      <c r="P403" t="n">
        <v>0</v>
      </c>
      <c r="Q403" t="n">
        <v>0</v>
      </c>
      <c r="R403" s="2" t="inlineStr"/>
    </row>
    <row r="404" ht="15" customHeight="1">
      <c r="A404" t="inlineStr">
        <is>
          <t>A 56759-2024</t>
        </is>
      </c>
      <c r="B404" s="1" t="n">
        <v>45628.39877314815</v>
      </c>
      <c r="C404" s="1" t="n">
        <v>46134</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2615-2026</t>
        </is>
      </c>
      <c r="B405" s="1" t="n">
        <v>46037.58893518519</v>
      </c>
      <c r="C405" s="1" t="n">
        <v>46134</v>
      </c>
      <c r="D405" t="inlineStr">
        <is>
          <t>UPPSALA LÄN</t>
        </is>
      </c>
      <c r="E405" t="inlineStr">
        <is>
          <t>ÖSTHAMMAR</t>
        </is>
      </c>
      <c r="G405" t="n">
        <v>3.2</v>
      </c>
      <c r="H405" t="n">
        <v>0</v>
      </c>
      <c r="I405" t="n">
        <v>0</v>
      </c>
      <c r="J405" t="n">
        <v>0</v>
      </c>
      <c r="K405" t="n">
        <v>0</v>
      </c>
      <c r="L405" t="n">
        <v>0</v>
      </c>
      <c r="M405" t="n">
        <v>0</v>
      </c>
      <c r="N405" t="n">
        <v>0</v>
      </c>
      <c r="O405" t="n">
        <v>0</v>
      </c>
      <c r="P405" t="n">
        <v>0</v>
      </c>
      <c r="Q405" t="n">
        <v>0</v>
      </c>
      <c r="R405" s="2" t="inlineStr"/>
    </row>
    <row r="406" ht="15" customHeight="1">
      <c r="A406" t="inlineStr">
        <is>
          <t>A 2620-2026</t>
        </is>
      </c>
      <c r="B406" s="1" t="n">
        <v>46037.59137731481</v>
      </c>
      <c r="C406" s="1" t="n">
        <v>46134</v>
      </c>
      <c r="D406" t="inlineStr">
        <is>
          <t>UPPSALA LÄN</t>
        </is>
      </c>
      <c r="E406" t="inlineStr">
        <is>
          <t>ÖSTHAMMAR</t>
        </is>
      </c>
      <c r="G406" t="n">
        <v>4.4</v>
      </c>
      <c r="H406" t="n">
        <v>0</v>
      </c>
      <c r="I406" t="n">
        <v>0</v>
      </c>
      <c r="J406" t="n">
        <v>0</v>
      </c>
      <c r="K406" t="n">
        <v>0</v>
      </c>
      <c r="L406" t="n">
        <v>0</v>
      </c>
      <c r="M406" t="n">
        <v>0</v>
      </c>
      <c r="N406" t="n">
        <v>0</v>
      </c>
      <c r="O406" t="n">
        <v>0</v>
      </c>
      <c r="P406" t="n">
        <v>0</v>
      </c>
      <c r="Q406" t="n">
        <v>0</v>
      </c>
      <c r="R406" s="2" t="inlineStr"/>
    </row>
    <row r="407" ht="15" customHeight="1">
      <c r="A407" t="inlineStr">
        <is>
          <t>A 32744-2022</t>
        </is>
      </c>
      <c r="B407" s="1" t="n">
        <v>44783.70378472222</v>
      </c>
      <c r="C407" s="1" t="n">
        <v>46134</v>
      </c>
      <c r="D407" t="inlineStr">
        <is>
          <t>UPPSALA LÄN</t>
        </is>
      </c>
      <c r="E407" t="inlineStr">
        <is>
          <t>ÖSTHAMMAR</t>
        </is>
      </c>
      <c r="F407" t="inlineStr">
        <is>
          <t>Bergvik skog öst AB</t>
        </is>
      </c>
      <c r="G407" t="n">
        <v>3</v>
      </c>
      <c r="H407" t="n">
        <v>0</v>
      </c>
      <c r="I407" t="n">
        <v>0</v>
      </c>
      <c r="J407" t="n">
        <v>0</v>
      </c>
      <c r="K407" t="n">
        <v>0</v>
      </c>
      <c r="L407" t="n">
        <v>0</v>
      </c>
      <c r="M407" t="n">
        <v>0</v>
      </c>
      <c r="N407" t="n">
        <v>0</v>
      </c>
      <c r="O407" t="n">
        <v>0</v>
      </c>
      <c r="P407" t="n">
        <v>0</v>
      </c>
      <c r="Q407" t="n">
        <v>0</v>
      </c>
      <c r="R407" s="2" t="inlineStr"/>
    </row>
    <row r="408" ht="15" customHeight="1">
      <c r="A408" t="inlineStr">
        <is>
          <t>A 10117-2025</t>
        </is>
      </c>
      <c r="B408" s="1" t="n">
        <v>45719.59866898148</v>
      </c>
      <c r="C408" s="1" t="n">
        <v>46134</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3055-2026</t>
        </is>
      </c>
      <c r="B409" s="1" t="n">
        <v>46039.39636574074</v>
      </c>
      <c r="C409" s="1" t="n">
        <v>46134</v>
      </c>
      <c r="D409" t="inlineStr">
        <is>
          <t>UPPSALA LÄN</t>
        </is>
      </c>
      <c r="E409" t="inlineStr">
        <is>
          <t>ÖSTHAMMAR</t>
        </is>
      </c>
      <c r="F409" t="inlineStr">
        <is>
          <t>Bergvik skog öst AB</t>
        </is>
      </c>
      <c r="G409" t="n">
        <v>3.5</v>
      </c>
      <c r="H409" t="n">
        <v>0</v>
      </c>
      <c r="I409" t="n">
        <v>0</v>
      </c>
      <c r="J409" t="n">
        <v>0</v>
      </c>
      <c r="K409" t="n">
        <v>0</v>
      </c>
      <c r="L409" t="n">
        <v>0</v>
      </c>
      <c r="M409" t="n">
        <v>0</v>
      </c>
      <c r="N409" t="n">
        <v>0</v>
      </c>
      <c r="O409" t="n">
        <v>0</v>
      </c>
      <c r="P409" t="n">
        <v>0</v>
      </c>
      <c r="Q409" t="n">
        <v>0</v>
      </c>
      <c r="R409" s="2" t="inlineStr"/>
    </row>
    <row r="410" ht="15" customHeight="1">
      <c r="A410" t="inlineStr">
        <is>
          <t>A 47614-2025</t>
        </is>
      </c>
      <c r="B410" s="1" t="n">
        <v>45931.47211805556</v>
      </c>
      <c r="C410" s="1" t="n">
        <v>46134</v>
      </c>
      <c r="D410" t="inlineStr">
        <is>
          <t>UPPSALA LÄN</t>
        </is>
      </c>
      <c r="E410" t="inlineStr">
        <is>
          <t>ÖSTHAMMAR</t>
        </is>
      </c>
      <c r="G410" t="n">
        <v>22.8</v>
      </c>
      <c r="H410" t="n">
        <v>0</v>
      </c>
      <c r="I410" t="n">
        <v>0</v>
      </c>
      <c r="J410" t="n">
        <v>0</v>
      </c>
      <c r="K410" t="n">
        <v>0</v>
      </c>
      <c r="L410" t="n">
        <v>0</v>
      </c>
      <c r="M410" t="n">
        <v>0</v>
      </c>
      <c r="N410" t="n">
        <v>0</v>
      </c>
      <c r="O410" t="n">
        <v>0</v>
      </c>
      <c r="P410" t="n">
        <v>0</v>
      </c>
      <c r="Q410" t="n">
        <v>0</v>
      </c>
      <c r="R410" s="2" t="inlineStr"/>
    </row>
    <row r="411" ht="15" customHeight="1">
      <c r="A411" t="inlineStr">
        <is>
          <t>A 3095-2026</t>
        </is>
      </c>
      <c r="B411" s="1" t="n">
        <v>46040.90493055555</v>
      </c>
      <c r="C411" s="1" t="n">
        <v>46134</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25859-2024</t>
        </is>
      </c>
      <c r="B412" s="1" t="n">
        <v>45467</v>
      </c>
      <c r="C412" s="1" t="n">
        <v>46134</v>
      </c>
      <c r="D412" t="inlineStr">
        <is>
          <t>UPPSALA LÄN</t>
        </is>
      </c>
      <c r="E412" t="inlineStr">
        <is>
          <t>ÖSTHAMMAR</t>
        </is>
      </c>
      <c r="G412" t="n">
        <v>7.9</v>
      </c>
      <c r="H412" t="n">
        <v>0</v>
      </c>
      <c r="I412" t="n">
        <v>0</v>
      </c>
      <c r="J412" t="n">
        <v>0</v>
      </c>
      <c r="K412" t="n">
        <v>0</v>
      </c>
      <c r="L412" t="n">
        <v>0</v>
      </c>
      <c r="M412" t="n">
        <v>0</v>
      </c>
      <c r="N412" t="n">
        <v>0</v>
      </c>
      <c r="O412" t="n">
        <v>0</v>
      </c>
      <c r="P412" t="n">
        <v>0</v>
      </c>
      <c r="Q412" t="n">
        <v>0</v>
      </c>
      <c r="R412" s="2" t="inlineStr"/>
    </row>
    <row r="413" ht="15" customHeight="1">
      <c r="A413" t="inlineStr">
        <is>
          <t>A 19640-2025</t>
        </is>
      </c>
      <c r="B413" s="1" t="n">
        <v>45770.65739583333</v>
      </c>
      <c r="C413" s="1" t="n">
        <v>46134</v>
      </c>
      <c r="D413" t="inlineStr">
        <is>
          <t>UPPSALA LÄN</t>
        </is>
      </c>
      <c r="E413" t="inlineStr">
        <is>
          <t>ÖSTHAMMAR</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47615-2025</t>
        </is>
      </c>
      <c r="B414" s="1" t="n">
        <v>45931.47542824074</v>
      </c>
      <c r="C414" s="1" t="n">
        <v>46134</v>
      </c>
      <c r="D414" t="inlineStr">
        <is>
          <t>UPPSALA LÄN</t>
        </is>
      </c>
      <c r="E414" t="inlineStr">
        <is>
          <t>ÖSTHAMMAR</t>
        </is>
      </c>
      <c r="G414" t="n">
        <v>7</v>
      </c>
      <c r="H414" t="n">
        <v>0</v>
      </c>
      <c r="I414" t="n">
        <v>0</v>
      </c>
      <c r="J414" t="n">
        <v>0</v>
      </c>
      <c r="K414" t="n">
        <v>0</v>
      </c>
      <c r="L414" t="n">
        <v>0</v>
      </c>
      <c r="M414" t="n">
        <v>0</v>
      </c>
      <c r="N414" t="n">
        <v>0</v>
      </c>
      <c r="O414" t="n">
        <v>0</v>
      </c>
      <c r="P414" t="n">
        <v>0</v>
      </c>
      <c r="Q414" t="n">
        <v>0</v>
      </c>
      <c r="R414" s="2" t="inlineStr"/>
    </row>
    <row r="415" ht="15" customHeight="1">
      <c r="A415" t="inlineStr">
        <is>
          <t>A 3926-2026</t>
        </is>
      </c>
      <c r="B415" s="1" t="n">
        <v>46043.781875</v>
      </c>
      <c r="C415" s="1" t="n">
        <v>46134</v>
      </c>
      <c r="D415" t="inlineStr">
        <is>
          <t>UPPSALA LÄN</t>
        </is>
      </c>
      <c r="E415" t="inlineStr">
        <is>
          <t>ÖSTHAMMAR</t>
        </is>
      </c>
      <c r="G415" t="n">
        <v>3.3</v>
      </c>
      <c r="H415" t="n">
        <v>0</v>
      </c>
      <c r="I415" t="n">
        <v>0</v>
      </c>
      <c r="J415" t="n">
        <v>0</v>
      </c>
      <c r="K415" t="n">
        <v>0</v>
      </c>
      <c r="L415" t="n">
        <v>0</v>
      </c>
      <c r="M415" t="n">
        <v>0</v>
      </c>
      <c r="N415" t="n">
        <v>0</v>
      </c>
      <c r="O415" t="n">
        <v>0</v>
      </c>
      <c r="P415" t="n">
        <v>0</v>
      </c>
      <c r="Q415" t="n">
        <v>0</v>
      </c>
      <c r="R415" s="2" t="inlineStr"/>
    </row>
    <row r="416" ht="15" customHeight="1">
      <c r="A416" t="inlineStr">
        <is>
          <t>A 3959-2026</t>
        </is>
      </c>
      <c r="B416" s="1" t="n">
        <v>46044.33802083333</v>
      </c>
      <c r="C416" s="1" t="n">
        <v>46134</v>
      </c>
      <c r="D416" t="inlineStr">
        <is>
          <t>UPPSALA LÄN</t>
        </is>
      </c>
      <c r="E416" t="inlineStr">
        <is>
          <t>ÖSTHAMMAR</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3642-2026</t>
        </is>
      </c>
      <c r="B417" s="1" t="n">
        <v>46043.35760416667</v>
      </c>
      <c r="C417" s="1" t="n">
        <v>46134</v>
      </c>
      <c r="D417" t="inlineStr">
        <is>
          <t>UPPSALA LÄN</t>
        </is>
      </c>
      <c r="E417" t="inlineStr">
        <is>
          <t>ÖSTHAMMAR</t>
        </is>
      </c>
      <c r="G417" t="n">
        <v>3</v>
      </c>
      <c r="H417" t="n">
        <v>0</v>
      </c>
      <c r="I417" t="n">
        <v>0</v>
      </c>
      <c r="J417" t="n">
        <v>0</v>
      </c>
      <c r="K417" t="n">
        <v>0</v>
      </c>
      <c r="L417" t="n">
        <v>0</v>
      </c>
      <c r="M417" t="n">
        <v>0</v>
      </c>
      <c r="N417" t="n">
        <v>0</v>
      </c>
      <c r="O417" t="n">
        <v>0</v>
      </c>
      <c r="P417" t="n">
        <v>0</v>
      </c>
      <c r="Q417" t="n">
        <v>0</v>
      </c>
      <c r="R417" s="2" t="inlineStr"/>
    </row>
    <row r="418" ht="15" customHeight="1">
      <c r="A418" t="inlineStr">
        <is>
          <t>A 3668-2026</t>
        </is>
      </c>
      <c r="B418" s="1" t="n">
        <v>46043.41212962963</v>
      </c>
      <c r="C418" s="1" t="n">
        <v>46134</v>
      </c>
      <c r="D418" t="inlineStr">
        <is>
          <t>UPPSALA LÄN</t>
        </is>
      </c>
      <c r="E418" t="inlineStr">
        <is>
          <t>ÖSTHAMMAR</t>
        </is>
      </c>
      <c r="G418" t="n">
        <v>1.7</v>
      </c>
      <c r="H418" t="n">
        <v>0</v>
      </c>
      <c r="I418" t="n">
        <v>0</v>
      </c>
      <c r="J418" t="n">
        <v>0</v>
      </c>
      <c r="K418" t="n">
        <v>0</v>
      </c>
      <c r="L418" t="n">
        <v>0</v>
      </c>
      <c r="M418" t="n">
        <v>0</v>
      </c>
      <c r="N418" t="n">
        <v>0</v>
      </c>
      <c r="O418" t="n">
        <v>0</v>
      </c>
      <c r="P418" t="n">
        <v>0</v>
      </c>
      <c r="Q418" t="n">
        <v>0</v>
      </c>
      <c r="R418" s="2" t="inlineStr"/>
    </row>
    <row r="419" ht="15" customHeight="1">
      <c r="A419" t="inlineStr">
        <is>
          <t>A 4570-2026</t>
        </is>
      </c>
      <c r="B419" s="1" t="n">
        <v>46048.00856481482</v>
      </c>
      <c r="C419" s="1" t="n">
        <v>46134</v>
      </c>
      <c r="D419" t="inlineStr">
        <is>
          <t>UPPSALA LÄN</t>
        </is>
      </c>
      <c r="E419" t="inlineStr">
        <is>
          <t>ÖSTHAMMAR</t>
        </is>
      </c>
      <c r="F419" t="inlineStr">
        <is>
          <t>Allmännings- och besparingsskogar</t>
        </is>
      </c>
      <c r="G419" t="n">
        <v>7.1</v>
      </c>
      <c r="H419" t="n">
        <v>0</v>
      </c>
      <c r="I419" t="n">
        <v>0</v>
      </c>
      <c r="J419" t="n">
        <v>0</v>
      </c>
      <c r="K419" t="n">
        <v>0</v>
      </c>
      <c r="L419" t="n">
        <v>0</v>
      </c>
      <c r="M419" t="n">
        <v>0</v>
      </c>
      <c r="N419" t="n">
        <v>0</v>
      </c>
      <c r="O419" t="n">
        <v>0</v>
      </c>
      <c r="P419" t="n">
        <v>0</v>
      </c>
      <c r="Q419" t="n">
        <v>0</v>
      </c>
      <c r="R419" s="2" t="inlineStr"/>
    </row>
    <row r="420" ht="15" customHeight="1">
      <c r="A420" t="inlineStr">
        <is>
          <t>A 48977-2025</t>
        </is>
      </c>
      <c r="B420" s="1" t="n">
        <v>45936</v>
      </c>
      <c r="C420" s="1" t="n">
        <v>46134</v>
      </c>
      <c r="D420" t="inlineStr">
        <is>
          <t>UPPSALA LÄN</t>
        </is>
      </c>
      <c r="E420" t="inlineStr">
        <is>
          <t>ÖSTHAMMAR</t>
        </is>
      </c>
      <c r="G420" t="n">
        <v>21.1</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44591.51854166666</v>
      </c>
      <c r="C421" s="1" t="n">
        <v>46134</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11643-2022</t>
        </is>
      </c>
      <c r="B422" s="1" t="n">
        <v>44631.92662037037</v>
      </c>
      <c r="C422" s="1" t="n">
        <v>46134</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11036-2023</t>
        </is>
      </c>
      <c r="B423" s="1" t="n">
        <v>44991.9321412037</v>
      </c>
      <c r="C423" s="1" t="n">
        <v>46134</v>
      </c>
      <c r="D423" t="inlineStr">
        <is>
          <t>UPPSALA LÄN</t>
        </is>
      </c>
      <c r="E423" t="inlineStr">
        <is>
          <t>ÖSTHAMMAR</t>
        </is>
      </c>
      <c r="F423" t="inlineStr">
        <is>
          <t>Bergvik skog öst AB</t>
        </is>
      </c>
      <c r="G423" t="n">
        <v>3</v>
      </c>
      <c r="H423" t="n">
        <v>0</v>
      </c>
      <c r="I423" t="n">
        <v>0</v>
      </c>
      <c r="J423" t="n">
        <v>0</v>
      </c>
      <c r="K423" t="n">
        <v>0</v>
      </c>
      <c r="L423" t="n">
        <v>0</v>
      </c>
      <c r="M423" t="n">
        <v>0</v>
      </c>
      <c r="N423" t="n">
        <v>0</v>
      </c>
      <c r="O423" t="n">
        <v>0</v>
      </c>
      <c r="P423" t="n">
        <v>0</v>
      </c>
      <c r="Q423" t="n">
        <v>0</v>
      </c>
      <c r="R423" s="2" t="inlineStr"/>
    </row>
    <row r="424" ht="15" customHeight="1">
      <c r="A424" t="inlineStr">
        <is>
          <t>A 23363-2023</t>
        </is>
      </c>
      <c r="B424" s="1" t="n">
        <v>45076</v>
      </c>
      <c r="C424" s="1" t="n">
        <v>46134</v>
      </c>
      <c r="D424" t="inlineStr">
        <is>
          <t>UPPSALA LÄN</t>
        </is>
      </c>
      <c r="E424" t="inlineStr">
        <is>
          <t>ÖSTHAMMAR</t>
        </is>
      </c>
      <c r="G424" t="n">
        <v>3</v>
      </c>
      <c r="H424" t="n">
        <v>0</v>
      </c>
      <c r="I424" t="n">
        <v>0</v>
      </c>
      <c r="J424" t="n">
        <v>0</v>
      </c>
      <c r="K424" t="n">
        <v>0</v>
      </c>
      <c r="L424" t="n">
        <v>0</v>
      </c>
      <c r="M424" t="n">
        <v>0</v>
      </c>
      <c r="N424" t="n">
        <v>0</v>
      </c>
      <c r="O424" t="n">
        <v>0</v>
      </c>
      <c r="P424" t="n">
        <v>0</v>
      </c>
      <c r="Q424" t="n">
        <v>0</v>
      </c>
      <c r="R424" s="2" t="inlineStr"/>
    </row>
    <row r="425" ht="15" customHeight="1">
      <c r="A425" t="inlineStr">
        <is>
          <t>A 3418-2025</t>
        </is>
      </c>
      <c r="B425" s="1" t="n">
        <v>45680</v>
      </c>
      <c r="C425" s="1" t="n">
        <v>46134</v>
      </c>
      <c r="D425" t="inlineStr">
        <is>
          <t>UPPSALA LÄN</t>
        </is>
      </c>
      <c r="E425" t="inlineStr">
        <is>
          <t>ÖSTHAMMAR</t>
        </is>
      </c>
      <c r="F425" t="inlineStr">
        <is>
          <t>Bergvik skog väst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3420-2025</t>
        </is>
      </c>
      <c r="B426" s="1" t="n">
        <v>45680</v>
      </c>
      <c r="C426" s="1" t="n">
        <v>46134</v>
      </c>
      <c r="D426" t="inlineStr">
        <is>
          <t>UPPSALA LÄN</t>
        </is>
      </c>
      <c r="E426" t="inlineStr">
        <is>
          <t>ÖSTHAMMAR</t>
        </is>
      </c>
      <c r="F426" t="inlineStr">
        <is>
          <t>Bergvik skog väst AB</t>
        </is>
      </c>
      <c r="G426" t="n">
        <v>3.6</v>
      </c>
      <c r="H426" t="n">
        <v>0</v>
      </c>
      <c r="I426" t="n">
        <v>0</v>
      </c>
      <c r="J426" t="n">
        <v>0</v>
      </c>
      <c r="K426" t="n">
        <v>0</v>
      </c>
      <c r="L426" t="n">
        <v>0</v>
      </c>
      <c r="M426" t="n">
        <v>0</v>
      </c>
      <c r="N426" t="n">
        <v>0</v>
      </c>
      <c r="O426" t="n">
        <v>0</v>
      </c>
      <c r="P426" t="n">
        <v>0</v>
      </c>
      <c r="Q426" t="n">
        <v>0</v>
      </c>
      <c r="R426" s="2" t="inlineStr"/>
    </row>
    <row r="427" ht="15" customHeight="1">
      <c r="A427" t="inlineStr">
        <is>
          <t>A 48654-2025</t>
        </is>
      </c>
      <c r="B427" s="1" t="n">
        <v>45936.55887731481</v>
      </c>
      <c r="C427" s="1" t="n">
        <v>46134</v>
      </c>
      <c r="D427" t="inlineStr">
        <is>
          <t>UPPSALA LÄN</t>
        </is>
      </c>
      <c r="E427" t="inlineStr">
        <is>
          <t>ÖSTHAMMAR</t>
        </is>
      </c>
      <c r="F427" t="inlineStr">
        <is>
          <t>Övriga Aktiebolag</t>
        </is>
      </c>
      <c r="G427" t="n">
        <v>0.7</v>
      </c>
      <c r="H427" t="n">
        <v>0</v>
      </c>
      <c r="I427" t="n">
        <v>0</v>
      </c>
      <c r="J427" t="n">
        <v>0</v>
      </c>
      <c r="K427" t="n">
        <v>0</v>
      </c>
      <c r="L427" t="n">
        <v>0</v>
      </c>
      <c r="M427" t="n">
        <v>0</v>
      </c>
      <c r="N427" t="n">
        <v>0</v>
      </c>
      <c r="O427" t="n">
        <v>0</v>
      </c>
      <c r="P427" t="n">
        <v>0</v>
      </c>
      <c r="Q427" t="n">
        <v>0</v>
      </c>
      <c r="R427" s="2" t="inlineStr"/>
    </row>
    <row r="428" ht="15" customHeight="1">
      <c r="A428" t="inlineStr">
        <is>
          <t>A 48854-2025</t>
        </is>
      </c>
      <c r="B428" s="1" t="n">
        <v>45937.43274305556</v>
      </c>
      <c r="C428" s="1" t="n">
        <v>46134</v>
      </c>
      <c r="D428" t="inlineStr">
        <is>
          <t>UPPSALA LÄN</t>
        </is>
      </c>
      <c r="E428" t="inlineStr">
        <is>
          <t>ÖSTHAMMAR</t>
        </is>
      </c>
      <c r="F428" t="inlineStr">
        <is>
          <t>Övriga Aktiebolag</t>
        </is>
      </c>
      <c r="G428" t="n">
        <v>18.9</v>
      </c>
      <c r="H428" t="n">
        <v>0</v>
      </c>
      <c r="I428" t="n">
        <v>0</v>
      </c>
      <c r="J428" t="n">
        <v>0</v>
      </c>
      <c r="K428" t="n">
        <v>0</v>
      </c>
      <c r="L428" t="n">
        <v>0</v>
      </c>
      <c r="M428" t="n">
        <v>0</v>
      </c>
      <c r="N428" t="n">
        <v>0</v>
      </c>
      <c r="O428" t="n">
        <v>0</v>
      </c>
      <c r="P428" t="n">
        <v>0</v>
      </c>
      <c r="Q428" t="n">
        <v>0</v>
      </c>
      <c r="R428" s="2" t="inlineStr"/>
    </row>
    <row r="429" ht="15" customHeight="1">
      <c r="A429" t="inlineStr">
        <is>
          <t>A 14505-2023</t>
        </is>
      </c>
      <c r="B429" s="1" t="n">
        <v>45012.7975</v>
      </c>
      <c r="C429" s="1" t="n">
        <v>46134</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12913-2026</t>
        </is>
      </c>
      <c r="B430" s="1" t="n">
        <v>46092.58787037037</v>
      </c>
      <c r="C430" s="1" t="n">
        <v>46134</v>
      </c>
      <c r="D430" t="inlineStr">
        <is>
          <t>UPPSALA LÄN</t>
        </is>
      </c>
      <c r="E430" t="inlineStr">
        <is>
          <t>ÖSTHAMMAR</t>
        </is>
      </c>
      <c r="F430" t="inlineStr">
        <is>
          <t>Övriga Aktiebolag</t>
        </is>
      </c>
      <c r="G430" t="n">
        <v>9</v>
      </c>
      <c r="H430" t="n">
        <v>0</v>
      </c>
      <c r="I430" t="n">
        <v>0</v>
      </c>
      <c r="J430" t="n">
        <v>0</v>
      </c>
      <c r="K430" t="n">
        <v>0</v>
      </c>
      <c r="L430" t="n">
        <v>0</v>
      </c>
      <c r="M430" t="n">
        <v>0</v>
      </c>
      <c r="N430" t="n">
        <v>0</v>
      </c>
      <c r="O430" t="n">
        <v>0</v>
      </c>
      <c r="P430" t="n">
        <v>0</v>
      </c>
      <c r="Q430" t="n">
        <v>0</v>
      </c>
      <c r="R430" s="2" t="inlineStr"/>
    </row>
    <row r="431" ht="15" customHeight="1">
      <c r="A431" t="inlineStr">
        <is>
          <t>A 17929-2025</t>
        </is>
      </c>
      <c r="B431" s="1" t="n">
        <v>45759.56462962963</v>
      </c>
      <c r="C431" s="1" t="n">
        <v>46134</v>
      </c>
      <c r="D431" t="inlineStr">
        <is>
          <t>UPPSALA LÄN</t>
        </is>
      </c>
      <c r="E431" t="inlineStr">
        <is>
          <t>ÖSTHAMMAR</t>
        </is>
      </c>
      <c r="G431" t="n">
        <v>3.4</v>
      </c>
      <c r="H431" t="n">
        <v>0</v>
      </c>
      <c r="I431" t="n">
        <v>0</v>
      </c>
      <c r="J431" t="n">
        <v>0</v>
      </c>
      <c r="K431" t="n">
        <v>0</v>
      </c>
      <c r="L431" t="n">
        <v>0</v>
      </c>
      <c r="M431" t="n">
        <v>0</v>
      </c>
      <c r="N431" t="n">
        <v>0</v>
      </c>
      <c r="O431" t="n">
        <v>0</v>
      </c>
      <c r="P431" t="n">
        <v>0</v>
      </c>
      <c r="Q431" t="n">
        <v>0</v>
      </c>
      <c r="R431" s="2" t="inlineStr"/>
    </row>
    <row r="432" ht="15" customHeight="1">
      <c r="A432" t="inlineStr">
        <is>
          <t>A 60577-2021</t>
        </is>
      </c>
      <c r="B432" s="1" t="n">
        <v>44496.57019675926</v>
      </c>
      <c r="C432" s="1" t="n">
        <v>46134</v>
      </c>
      <c r="D432" t="inlineStr">
        <is>
          <t>UPPSALA LÄN</t>
        </is>
      </c>
      <c r="E432" t="inlineStr">
        <is>
          <t>ÖSTHAMMAR</t>
        </is>
      </c>
      <c r="G432" t="n">
        <v>0.5</v>
      </c>
      <c r="H432" t="n">
        <v>0</v>
      </c>
      <c r="I432" t="n">
        <v>0</v>
      </c>
      <c r="J432" t="n">
        <v>0</v>
      </c>
      <c r="K432" t="n">
        <v>0</v>
      </c>
      <c r="L432" t="n">
        <v>0</v>
      </c>
      <c r="M432" t="n">
        <v>0</v>
      </c>
      <c r="N432" t="n">
        <v>0</v>
      </c>
      <c r="O432" t="n">
        <v>0</v>
      </c>
      <c r="P432" t="n">
        <v>0</v>
      </c>
      <c r="Q432" t="n">
        <v>0</v>
      </c>
      <c r="R432" s="2" t="inlineStr"/>
    </row>
    <row r="433" ht="15" customHeight="1">
      <c r="A433" t="inlineStr">
        <is>
          <t>A 48857-2025</t>
        </is>
      </c>
      <c r="B433" s="1" t="n">
        <v>45937.43621527778</v>
      </c>
      <c r="C433" s="1" t="n">
        <v>46134</v>
      </c>
      <c r="D433" t="inlineStr">
        <is>
          <t>UPPSALA LÄN</t>
        </is>
      </c>
      <c r="E433" t="inlineStr">
        <is>
          <t>ÖSTHAMMAR</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36092-2025</t>
        </is>
      </c>
      <c r="B434" s="1" t="n">
        <v>45866.48244212963</v>
      </c>
      <c r="C434" s="1" t="n">
        <v>46134</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62695-2023</t>
        </is>
      </c>
      <c r="B435" s="1" t="n">
        <v>45271</v>
      </c>
      <c r="C435" s="1" t="n">
        <v>46134</v>
      </c>
      <c r="D435" t="inlineStr">
        <is>
          <t>UPPSALA LÄN</t>
        </is>
      </c>
      <c r="E435" t="inlineStr">
        <is>
          <t>ÖSTHAMMAR</t>
        </is>
      </c>
      <c r="G435" t="n">
        <v>5.3</v>
      </c>
      <c r="H435" t="n">
        <v>0</v>
      </c>
      <c r="I435" t="n">
        <v>0</v>
      </c>
      <c r="J435" t="n">
        <v>0</v>
      </c>
      <c r="K435" t="n">
        <v>0</v>
      </c>
      <c r="L435" t="n">
        <v>0</v>
      </c>
      <c r="M435" t="n">
        <v>0</v>
      </c>
      <c r="N435" t="n">
        <v>0</v>
      </c>
      <c r="O435" t="n">
        <v>0</v>
      </c>
      <c r="P435" t="n">
        <v>0</v>
      </c>
      <c r="Q435" t="n">
        <v>0</v>
      </c>
      <c r="R435" s="2" t="inlineStr"/>
    </row>
    <row r="436" ht="15" customHeight="1">
      <c r="A436" t="inlineStr">
        <is>
          <t>A 26328-2025</t>
        </is>
      </c>
      <c r="B436" s="1" t="n">
        <v>45805.67305555556</v>
      </c>
      <c r="C436" s="1" t="n">
        <v>46134</v>
      </c>
      <c r="D436" t="inlineStr">
        <is>
          <t>UPPSALA LÄN</t>
        </is>
      </c>
      <c r="E436" t="inlineStr">
        <is>
          <t>ÖSTHAMMAR</t>
        </is>
      </c>
      <c r="G436" t="n">
        <v>1.6</v>
      </c>
      <c r="H436" t="n">
        <v>0</v>
      </c>
      <c r="I436" t="n">
        <v>0</v>
      </c>
      <c r="J436" t="n">
        <v>0</v>
      </c>
      <c r="K436" t="n">
        <v>0</v>
      </c>
      <c r="L436" t="n">
        <v>0</v>
      </c>
      <c r="M436" t="n">
        <v>0</v>
      </c>
      <c r="N436" t="n">
        <v>0</v>
      </c>
      <c r="O436" t="n">
        <v>0</v>
      </c>
      <c r="P436" t="n">
        <v>0</v>
      </c>
      <c r="Q436" t="n">
        <v>0</v>
      </c>
      <c r="R436" s="2" t="inlineStr"/>
    </row>
    <row r="437" ht="15" customHeight="1">
      <c r="A437" t="inlineStr">
        <is>
          <t>A 36451-2025</t>
        </is>
      </c>
      <c r="B437" s="1" t="n">
        <v>45869.4290625</v>
      </c>
      <c r="C437" s="1" t="n">
        <v>46134</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5469-2026</t>
        </is>
      </c>
      <c r="B438" s="1" t="n">
        <v>46050</v>
      </c>
      <c r="C438" s="1" t="n">
        <v>46134</v>
      </c>
      <c r="D438" t="inlineStr">
        <is>
          <t>UPPSALA LÄN</t>
        </is>
      </c>
      <c r="E438" t="inlineStr">
        <is>
          <t>ÖSTHAMMAR</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49773-2025</t>
        </is>
      </c>
      <c r="B439" s="1" t="n">
        <v>45940.37303240741</v>
      </c>
      <c r="C439" s="1" t="n">
        <v>46134</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46134</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49620-2025</t>
        </is>
      </c>
      <c r="B441" s="1" t="n">
        <v>45939.58928240741</v>
      </c>
      <c r="C441" s="1" t="n">
        <v>46134</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54437-2024</t>
        </is>
      </c>
      <c r="B442" s="1" t="n">
        <v>45617</v>
      </c>
      <c r="C442" s="1" t="n">
        <v>46134</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36646-2025</t>
        </is>
      </c>
      <c r="B443" s="1" t="n">
        <v>45872</v>
      </c>
      <c r="C443" s="1" t="n">
        <v>46134</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36643-2025</t>
        </is>
      </c>
      <c r="B444" s="1" t="n">
        <v>45872.47782407407</v>
      </c>
      <c r="C444" s="1" t="n">
        <v>46134</v>
      </c>
      <c r="D444" t="inlineStr">
        <is>
          <t>UPPSALA LÄN</t>
        </is>
      </c>
      <c r="E444" t="inlineStr">
        <is>
          <t>ÖSTHAMMAR</t>
        </is>
      </c>
      <c r="F444" t="inlineStr">
        <is>
          <t>Bergvik skog öst AB</t>
        </is>
      </c>
      <c r="G444" t="n">
        <v>15.1</v>
      </c>
      <c r="H444" t="n">
        <v>0</v>
      </c>
      <c r="I444" t="n">
        <v>0</v>
      </c>
      <c r="J444" t="n">
        <v>0</v>
      </c>
      <c r="K444" t="n">
        <v>0</v>
      </c>
      <c r="L444" t="n">
        <v>0</v>
      </c>
      <c r="M444" t="n">
        <v>0</v>
      </c>
      <c r="N444" t="n">
        <v>0</v>
      </c>
      <c r="O444" t="n">
        <v>0</v>
      </c>
      <c r="P444" t="n">
        <v>0</v>
      </c>
      <c r="Q444" t="n">
        <v>0</v>
      </c>
      <c r="R444" s="2" t="inlineStr"/>
    </row>
    <row r="445" ht="15" customHeight="1">
      <c r="A445" t="inlineStr">
        <is>
          <t>A 23742-2024</t>
        </is>
      </c>
      <c r="B445" s="1" t="n">
        <v>45455</v>
      </c>
      <c r="C445" s="1" t="n">
        <v>46134</v>
      </c>
      <c r="D445" t="inlineStr">
        <is>
          <t>UPPSALA LÄN</t>
        </is>
      </c>
      <c r="E445" t="inlineStr">
        <is>
          <t>ÖSTHAMMAR</t>
        </is>
      </c>
      <c r="F445" t="inlineStr">
        <is>
          <t>Bergvik skog öst AB</t>
        </is>
      </c>
      <c r="G445" t="n">
        <v>2.2</v>
      </c>
      <c r="H445" t="n">
        <v>0</v>
      </c>
      <c r="I445" t="n">
        <v>0</v>
      </c>
      <c r="J445" t="n">
        <v>0</v>
      </c>
      <c r="K445" t="n">
        <v>0</v>
      </c>
      <c r="L445" t="n">
        <v>0</v>
      </c>
      <c r="M445" t="n">
        <v>0</v>
      </c>
      <c r="N445" t="n">
        <v>0</v>
      </c>
      <c r="O445" t="n">
        <v>0</v>
      </c>
      <c r="P445" t="n">
        <v>0</v>
      </c>
      <c r="Q445" t="n">
        <v>0</v>
      </c>
      <c r="R445" s="2" t="inlineStr"/>
    </row>
    <row r="446" ht="15" customHeight="1">
      <c r="A446" t="inlineStr">
        <is>
          <t>A 36645-2025</t>
        </is>
      </c>
      <c r="B446" s="1" t="n">
        <v>45872</v>
      </c>
      <c r="C446" s="1" t="n">
        <v>46134</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36644-2025</t>
        </is>
      </c>
      <c r="B447" s="1" t="n">
        <v>45872.48738425926</v>
      </c>
      <c r="C447" s="1" t="n">
        <v>46134</v>
      </c>
      <c r="D447" t="inlineStr">
        <is>
          <t>UPPSALA LÄN</t>
        </is>
      </c>
      <c r="E447" t="inlineStr">
        <is>
          <t>ÖSTHAMMAR</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29282-2021</t>
        </is>
      </c>
      <c r="B448" s="1" t="n">
        <v>44361</v>
      </c>
      <c r="C448" s="1" t="n">
        <v>46134</v>
      </c>
      <c r="D448" t="inlineStr">
        <is>
          <t>UPPSALA LÄN</t>
        </is>
      </c>
      <c r="E448" t="inlineStr">
        <is>
          <t>ÖSTHAMMAR</t>
        </is>
      </c>
      <c r="G448" t="n">
        <v>2.4</v>
      </c>
      <c r="H448" t="n">
        <v>0</v>
      </c>
      <c r="I448" t="n">
        <v>0</v>
      </c>
      <c r="J448" t="n">
        <v>0</v>
      </c>
      <c r="K448" t="n">
        <v>0</v>
      </c>
      <c r="L448" t="n">
        <v>0</v>
      </c>
      <c r="M448" t="n">
        <v>0</v>
      </c>
      <c r="N448" t="n">
        <v>0</v>
      </c>
      <c r="O448" t="n">
        <v>0</v>
      </c>
      <c r="P448" t="n">
        <v>0</v>
      </c>
      <c r="Q448" t="n">
        <v>0</v>
      </c>
      <c r="R448" s="2" t="inlineStr"/>
    </row>
    <row r="449" ht="15" customHeight="1">
      <c r="A449" t="inlineStr">
        <is>
          <t>A 6039-2025</t>
        </is>
      </c>
      <c r="B449" s="1" t="n">
        <v>45695</v>
      </c>
      <c r="C449" s="1" t="n">
        <v>46134</v>
      </c>
      <c r="D449" t="inlineStr">
        <is>
          <t>UPPSALA LÄN</t>
        </is>
      </c>
      <c r="E449" t="inlineStr">
        <is>
          <t>ÖSTHAMMAR</t>
        </is>
      </c>
      <c r="G449" t="n">
        <v>2.3</v>
      </c>
      <c r="H449" t="n">
        <v>0</v>
      </c>
      <c r="I449" t="n">
        <v>0</v>
      </c>
      <c r="J449" t="n">
        <v>0</v>
      </c>
      <c r="K449" t="n">
        <v>0</v>
      </c>
      <c r="L449" t="n">
        <v>0</v>
      </c>
      <c r="M449" t="n">
        <v>0</v>
      </c>
      <c r="N449" t="n">
        <v>0</v>
      </c>
      <c r="O449" t="n">
        <v>0</v>
      </c>
      <c r="P449" t="n">
        <v>0</v>
      </c>
      <c r="Q449" t="n">
        <v>0</v>
      </c>
      <c r="R449" s="2" t="inlineStr"/>
    </row>
    <row r="450" ht="15" customHeight="1">
      <c r="A450" t="inlineStr">
        <is>
          <t>A 8769-2025</t>
        </is>
      </c>
      <c r="B450" s="1" t="n">
        <v>45712.59412037037</v>
      </c>
      <c r="C450" s="1" t="n">
        <v>46134</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20326-2021</t>
        </is>
      </c>
      <c r="B451" s="1" t="n">
        <v>44308</v>
      </c>
      <c r="C451" s="1" t="n">
        <v>46134</v>
      </c>
      <c r="D451" t="inlineStr">
        <is>
          <t>UPPSALA LÄN</t>
        </is>
      </c>
      <c r="E451" t="inlineStr">
        <is>
          <t>ÖSTHAMMAR</t>
        </is>
      </c>
      <c r="G451" t="n">
        <v>7</v>
      </c>
      <c r="H451" t="n">
        <v>0</v>
      </c>
      <c r="I451" t="n">
        <v>0</v>
      </c>
      <c r="J451" t="n">
        <v>0</v>
      </c>
      <c r="K451" t="n">
        <v>0</v>
      </c>
      <c r="L451" t="n">
        <v>0</v>
      </c>
      <c r="M451" t="n">
        <v>0</v>
      </c>
      <c r="N451" t="n">
        <v>0</v>
      </c>
      <c r="O451" t="n">
        <v>0</v>
      </c>
      <c r="P451" t="n">
        <v>0</v>
      </c>
      <c r="Q451" t="n">
        <v>0</v>
      </c>
      <c r="R451" s="2" t="inlineStr"/>
    </row>
    <row r="452" ht="15" customHeight="1">
      <c r="A452" t="inlineStr">
        <is>
          <t>A 55086-2024</t>
        </is>
      </c>
      <c r="B452" s="1" t="n">
        <v>45621.43098379629</v>
      </c>
      <c r="C452" s="1" t="n">
        <v>46134</v>
      </c>
      <c r="D452" t="inlineStr">
        <is>
          <t>UPPSALA LÄN</t>
        </is>
      </c>
      <c r="E452" t="inlineStr">
        <is>
          <t>ÖSTHAMMAR</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55090-2024</t>
        </is>
      </c>
      <c r="B453" s="1" t="n">
        <v>45621.4350462963</v>
      </c>
      <c r="C453" s="1" t="n">
        <v>46134</v>
      </c>
      <c r="D453" t="inlineStr">
        <is>
          <t>UPPSALA LÄN</t>
        </is>
      </c>
      <c r="E453" t="inlineStr">
        <is>
          <t>ÖSTHAMMAR</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55093-2024</t>
        </is>
      </c>
      <c r="B454" s="1" t="n">
        <v>45621.43712962963</v>
      </c>
      <c r="C454" s="1" t="n">
        <v>46134</v>
      </c>
      <c r="D454" t="inlineStr">
        <is>
          <t>UPPSALA LÄN</t>
        </is>
      </c>
      <c r="E454" t="inlineStr">
        <is>
          <t>ÖSTHAMMAR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51379-2025</t>
        </is>
      </c>
      <c r="B455" s="1" t="n">
        <v>45950.45677083333</v>
      </c>
      <c r="C455" s="1" t="n">
        <v>46134</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28432-2023</t>
        </is>
      </c>
      <c r="B456" s="1" t="n">
        <v>45102.59896990741</v>
      </c>
      <c r="C456" s="1" t="n">
        <v>46134</v>
      </c>
      <c r="D456" t="inlineStr">
        <is>
          <t>UPPSALA LÄN</t>
        </is>
      </c>
      <c r="E456" t="inlineStr">
        <is>
          <t>ÖSTHAMMAR</t>
        </is>
      </c>
      <c r="F456" t="inlineStr">
        <is>
          <t>Bergvik skog öst AB</t>
        </is>
      </c>
      <c r="G456" t="n">
        <v>3.9</v>
      </c>
      <c r="H456" t="n">
        <v>0</v>
      </c>
      <c r="I456" t="n">
        <v>0</v>
      </c>
      <c r="J456" t="n">
        <v>0</v>
      </c>
      <c r="K456" t="n">
        <v>0</v>
      </c>
      <c r="L456" t="n">
        <v>0</v>
      </c>
      <c r="M456" t="n">
        <v>0</v>
      </c>
      <c r="N456" t="n">
        <v>0</v>
      </c>
      <c r="O456" t="n">
        <v>0</v>
      </c>
      <c r="P456" t="n">
        <v>0</v>
      </c>
      <c r="Q456" t="n">
        <v>0</v>
      </c>
      <c r="R456" s="2" t="inlineStr"/>
    </row>
    <row r="457" ht="15" customHeight="1">
      <c r="A457" t="inlineStr">
        <is>
          <t>A 51266-2025</t>
        </is>
      </c>
      <c r="B457" s="1" t="n">
        <v>45949.71568287037</v>
      </c>
      <c r="C457" s="1" t="n">
        <v>46134</v>
      </c>
      <c r="D457" t="inlineStr">
        <is>
          <t>UPPSALA LÄN</t>
        </is>
      </c>
      <c r="E457" t="inlineStr">
        <is>
          <t>ÖSTHAMMAR</t>
        </is>
      </c>
      <c r="F457" t="inlineStr">
        <is>
          <t>Bergvik skog öst AB</t>
        </is>
      </c>
      <c r="G457" t="n">
        <v>4.7</v>
      </c>
      <c r="H457" t="n">
        <v>0</v>
      </c>
      <c r="I457" t="n">
        <v>0</v>
      </c>
      <c r="J457" t="n">
        <v>0</v>
      </c>
      <c r="K457" t="n">
        <v>0</v>
      </c>
      <c r="L457" t="n">
        <v>0</v>
      </c>
      <c r="M457" t="n">
        <v>0</v>
      </c>
      <c r="N457" t="n">
        <v>0</v>
      </c>
      <c r="O457" t="n">
        <v>0</v>
      </c>
      <c r="P457" t="n">
        <v>0</v>
      </c>
      <c r="Q457" t="n">
        <v>0</v>
      </c>
      <c r="R457" s="2" t="inlineStr"/>
    </row>
    <row r="458" ht="15" customHeight="1">
      <c r="A458" t="inlineStr">
        <is>
          <t>A 43915-2023</t>
        </is>
      </c>
      <c r="B458" s="1" t="n">
        <v>45187.71274305556</v>
      </c>
      <c r="C458" s="1" t="n">
        <v>46134</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37656-2025</t>
        </is>
      </c>
      <c r="B459" s="1" t="n">
        <v>45880</v>
      </c>
      <c r="C459" s="1" t="n">
        <v>46134</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51156-2025</t>
        </is>
      </c>
      <c r="B460" s="1" t="n">
        <v>45947.57833333333</v>
      </c>
      <c r="C460" s="1" t="n">
        <v>46134</v>
      </c>
      <c r="D460" t="inlineStr">
        <is>
          <t>UPPSALA LÄN</t>
        </is>
      </c>
      <c r="E460" t="inlineStr">
        <is>
          <t>ÖSTHAMMAR</t>
        </is>
      </c>
      <c r="F460" t="inlineStr">
        <is>
          <t>Allmännings- och besparingsskogar</t>
        </is>
      </c>
      <c r="G460" t="n">
        <v>2.8</v>
      </c>
      <c r="H460" t="n">
        <v>0</v>
      </c>
      <c r="I460" t="n">
        <v>0</v>
      </c>
      <c r="J460" t="n">
        <v>0</v>
      </c>
      <c r="K460" t="n">
        <v>0</v>
      </c>
      <c r="L460" t="n">
        <v>0</v>
      </c>
      <c r="M460" t="n">
        <v>0</v>
      </c>
      <c r="N460" t="n">
        <v>0</v>
      </c>
      <c r="O460" t="n">
        <v>0</v>
      </c>
      <c r="P460" t="n">
        <v>0</v>
      </c>
      <c r="Q460" t="n">
        <v>0</v>
      </c>
      <c r="R460" s="2" t="inlineStr"/>
    </row>
    <row r="461" ht="15" customHeight="1">
      <c r="A461" t="inlineStr">
        <is>
          <t>A 37764-2025</t>
        </is>
      </c>
      <c r="B461" s="1" t="n">
        <v>45880.70917824074</v>
      </c>
      <c r="C461" s="1" t="n">
        <v>46134</v>
      </c>
      <c r="D461" t="inlineStr">
        <is>
          <t>UPPSALA LÄN</t>
        </is>
      </c>
      <c r="E461" t="inlineStr">
        <is>
          <t>ÖSTHAMMAR</t>
        </is>
      </c>
      <c r="G461" t="n">
        <v>4.6</v>
      </c>
      <c r="H461" t="n">
        <v>0</v>
      </c>
      <c r="I461" t="n">
        <v>0</v>
      </c>
      <c r="J461" t="n">
        <v>0</v>
      </c>
      <c r="K461" t="n">
        <v>0</v>
      </c>
      <c r="L461" t="n">
        <v>0</v>
      </c>
      <c r="M461" t="n">
        <v>0</v>
      </c>
      <c r="N461" t="n">
        <v>0</v>
      </c>
      <c r="O461" t="n">
        <v>0</v>
      </c>
      <c r="P461" t="n">
        <v>0</v>
      </c>
      <c r="Q461" t="n">
        <v>0</v>
      </c>
      <c r="R461" s="2" t="inlineStr"/>
    </row>
    <row r="462" ht="15" customHeight="1">
      <c r="A462" t="inlineStr">
        <is>
          <t>A 13352-2023</t>
        </is>
      </c>
      <c r="B462" s="1" t="n">
        <v>45005</v>
      </c>
      <c r="C462" s="1" t="n">
        <v>46134</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51255-2025</t>
        </is>
      </c>
      <c r="B463" s="1" t="n">
        <v>45949.00917824074</v>
      </c>
      <c r="C463" s="1" t="n">
        <v>46134</v>
      </c>
      <c r="D463" t="inlineStr">
        <is>
          <t>UPPSALA LÄN</t>
        </is>
      </c>
      <c r="E463" t="inlineStr">
        <is>
          <t>ÖSTHAMMAR</t>
        </is>
      </c>
      <c r="G463" t="n">
        <v>1.4</v>
      </c>
      <c r="H463" t="n">
        <v>0</v>
      </c>
      <c r="I463" t="n">
        <v>0</v>
      </c>
      <c r="J463" t="n">
        <v>0</v>
      </c>
      <c r="K463" t="n">
        <v>0</v>
      </c>
      <c r="L463" t="n">
        <v>0</v>
      </c>
      <c r="M463" t="n">
        <v>0</v>
      </c>
      <c r="N463" t="n">
        <v>0</v>
      </c>
      <c r="O463" t="n">
        <v>0</v>
      </c>
      <c r="P463" t="n">
        <v>0</v>
      </c>
      <c r="Q463" t="n">
        <v>0</v>
      </c>
      <c r="R463" s="2" t="inlineStr"/>
    </row>
    <row r="464" ht="15" customHeight="1">
      <c r="A464" t="inlineStr">
        <is>
          <t>A 51265-2025</t>
        </is>
      </c>
      <c r="B464" s="1" t="n">
        <v>45949.70971064815</v>
      </c>
      <c r="C464" s="1" t="n">
        <v>46134</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51254-2025</t>
        </is>
      </c>
      <c r="B465" s="1" t="n">
        <v>45948.99313657408</v>
      </c>
      <c r="C465" s="1" t="n">
        <v>46134</v>
      </c>
      <c r="D465" t="inlineStr">
        <is>
          <t>UPPSALA LÄN</t>
        </is>
      </c>
      <c r="E465" t="inlineStr">
        <is>
          <t>ÖSTHAMMAR</t>
        </is>
      </c>
      <c r="G465" t="n">
        <v>8.9</v>
      </c>
      <c r="H465" t="n">
        <v>0</v>
      </c>
      <c r="I465" t="n">
        <v>0</v>
      </c>
      <c r="J465" t="n">
        <v>0</v>
      </c>
      <c r="K465" t="n">
        <v>0</v>
      </c>
      <c r="L465" t="n">
        <v>0</v>
      </c>
      <c r="M465" t="n">
        <v>0</v>
      </c>
      <c r="N465" t="n">
        <v>0</v>
      </c>
      <c r="O465" t="n">
        <v>0</v>
      </c>
      <c r="P465" t="n">
        <v>0</v>
      </c>
      <c r="Q465" t="n">
        <v>0</v>
      </c>
      <c r="R465" s="2" t="inlineStr"/>
    </row>
    <row r="466" ht="15" customHeight="1">
      <c r="A466" t="inlineStr">
        <is>
          <t>A 5189-2025</t>
        </is>
      </c>
      <c r="B466" s="1" t="n">
        <v>45691</v>
      </c>
      <c r="C466" s="1" t="n">
        <v>46134</v>
      </c>
      <c r="D466" t="inlineStr">
        <is>
          <t>UPPSALA LÄN</t>
        </is>
      </c>
      <c r="E466" t="inlineStr">
        <is>
          <t>ÖSTHAMMAR</t>
        </is>
      </c>
      <c r="F466" t="inlineStr">
        <is>
          <t>Bergvik skog öst AB</t>
        </is>
      </c>
      <c r="G466" t="n">
        <v>24.4</v>
      </c>
      <c r="H466" t="n">
        <v>0</v>
      </c>
      <c r="I466" t="n">
        <v>0</v>
      </c>
      <c r="J466" t="n">
        <v>0</v>
      </c>
      <c r="K466" t="n">
        <v>0</v>
      </c>
      <c r="L466" t="n">
        <v>0</v>
      </c>
      <c r="M466" t="n">
        <v>0</v>
      </c>
      <c r="N466" t="n">
        <v>0</v>
      </c>
      <c r="O466" t="n">
        <v>0</v>
      </c>
      <c r="P466" t="n">
        <v>0</v>
      </c>
      <c r="Q466" t="n">
        <v>0</v>
      </c>
      <c r="R466" s="2" t="inlineStr"/>
    </row>
    <row r="467" ht="15" customHeight="1">
      <c r="A467" t="inlineStr">
        <is>
          <t>A 36343-2022</t>
        </is>
      </c>
      <c r="B467" s="1" t="n">
        <v>44803.78524305556</v>
      </c>
      <c r="C467" s="1" t="n">
        <v>46134</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51708-2025</t>
        </is>
      </c>
      <c r="B468" s="1" t="n">
        <v>45951.56679398148</v>
      </c>
      <c r="C468" s="1" t="n">
        <v>46134</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7118-2023</t>
        </is>
      </c>
      <c r="B469" s="1" t="n">
        <v>44970.39591435185</v>
      </c>
      <c r="C469" s="1" t="n">
        <v>46134</v>
      </c>
      <c r="D469" t="inlineStr">
        <is>
          <t>UPPSALA LÄN</t>
        </is>
      </c>
      <c r="E469" t="inlineStr">
        <is>
          <t>ÖSTHAMMAR</t>
        </is>
      </c>
      <c r="G469" t="n">
        <v>2.1</v>
      </c>
      <c r="H469" t="n">
        <v>0</v>
      </c>
      <c r="I469" t="n">
        <v>0</v>
      </c>
      <c r="J469" t="n">
        <v>0</v>
      </c>
      <c r="K469" t="n">
        <v>0</v>
      </c>
      <c r="L469" t="n">
        <v>0</v>
      </c>
      <c r="M469" t="n">
        <v>0</v>
      </c>
      <c r="N469" t="n">
        <v>0</v>
      </c>
      <c r="O469" t="n">
        <v>0</v>
      </c>
      <c r="P469" t="n">
        <v>0</v>
      </c>
      <c r="Q469" t="n">
        <v>0</v>
      </c>
      <c r="R469" s="2" t="inlineStr"/>
    </row>
    <row r="470" ht="15" customHeight="1">
      <c r="A470" t="inlineStr">
        <is>
          <t>A 18731-2022</t>
        </is>
      </c>
      <c r="B470" s="1" t="n">
        <v>44687.78673611111</v>
      </c>
      <c r="C470" s="1" t="n">
        <v>46134</v>
      </c>
      <c r="D470" t="inlineStr">
        <is>
          <t>UPPSALA LÄN</t>
        </is>
      </c>
      <c r="E470" t="inlineStr">
        <is>
          <t>ÖSTHAMMAR</t>
        </is>
      </c>
      <c r="G470" t="n">
        <v>4.9</v>
      </c>
      <c r="H470" t="n">
        <v>0</v>
      </c>
      <c r="I470" t="n">
        <v>0</v>
      </c>
      <c r="J470" t="n">
        <v>0</v>
      </c>
      <c r="K470" t="n">
        <v>0</v>
      </c>
      <c r="L470" t="n">
        <v>0</v>
      </c>
      <c r="M470" t="n">
        <v>0</v>
      </c>
      <c r="N470" t="n">
        <v>0</v>
      </c>
      <c r="O470" t="n">
        <v>0</v>
      </c>
      <c r="P470" t="n">
        <v>0</v>
      </c>
      <c r="Q470" t="n">
        <v>0</v>
      </c>
      <c r="R470" s="2" t="inlineStr"/>
    </row>
    <row r="471" ht="15" customHeight="1">
      <c r="A471" t="inlineStr">
        <is>
          <t>A 37770-2025</t>
        </is>
      </c>
      <c r="B471" s="1" t="n">
        <v>45880.7505787037</v>
      </c>
      <c r="C471" s="1" t="n">
        <v>46134</v>
      </c>
      <c r="D471" t="inlineStr">
        <is>
          <t>UPPSALA LÄN</t>
        </is>
      </c>
      <c r="E471" t="inlineStr">
        <is>
          <t>ÖSTHAMMAR</t>
        </is>
      </c>
      <c r="G471" t="n">
        <v>2.9</v>
      </c>
      <c r="H471" t="n">
        <v>0</v>
      </c>
      <c r="I471" t="n">
        <v>0</v>
      </c>
      <c r="J471" t="n">
        <v>0</v>
      </c>
      <c r="K471" t="n">
        <v>0</v>
      </c>
      <c r="L471" t="n">
        <v>0</v>
      </c>
      <c r="M471" t="n">
        <v>0</v>
      </c>
      <c r="N471" t="n">
        <v>0</v>
      </c>
      <c r="O471" t="n">
        <v>0</v>
      </c>
      <c r="P471" t="n">
        <v>0</v>
      </c>
      <c r="Q471" t="n">
        <v>0</v>
      </c>
      <c r="R471" s="2" t="inlineStr"/>
    </row>
    <row r="472" ht="15" customHeight="1">
      <c r="A472" t="inlineStr">
        <is>
          <t>A 23495-2023</t>
        </is>
      </c>
      <c r="B472" s="1" t="n">
        <v>45076.71652777777</v>
      </c>
      <c r="C472" s="1" t="n">
        <v>46134</v>
      </c>
      <c r="D472" t="inlineStr">
        <is>
          <t>UPPSALA LÄN</t>
        </is>
      </c>
      <c r="E472" t="inlineStr">
        <is>
          <t>ÖSTHAMMAR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1063-2025</t>
        </is>
      </c>
      <c r="B473" s="1" t="n">
        <v>45666</v>
      </c>
      <c r="C473" s="1" t="n">
        <v>46134</v>
      </c>
      <c r="D473" t="inlineStr">
        <is>
          <t>UPPSALA LÄN</t>
        </is>
      </c>
      <c r="E473" t="inlineStr">
        <is>
          <t>ÖSTHAMMAR</t>
        </is>
      </c>
      <c r="G473" t="n">
        <v>1.5</v>
      </c>
      <c r="H473" t="n">
        <v>0</v>
      </c>
      <c r="I473" t="n">
        <v>0</v>
      </c>
      <c r="J473" t="n">
        <v>0</v>
      </c>
      <c r="K473" t="n">
        <v>0</v>
      </c>
      <c r="L473" t="n">
        <v>0</v>
      </c>
      <c r="M473" t="n">
        <v>0</v>
      </c>
      <c r="N473" t="n">
        <v>0</v>
      </c>
      <c r="O473" t="n">
        <v>0</v>
      </c>
      <c r="P473" t="n">
        <v>0</v>
      </c>
      <c r="Q473" t="n">
        <v>0</v>
      </c>
      <c r="R473" s="2" t="inlineStr"/>
    </row>
    <row r="474" ht="15" customHeight="1">
      <c r="A474" t="inlineStr">
        <is>
          <t>A 10495-2025</t>
        </is>
      </c>
      <c r="B474" s="1" t="n">
        <v>45721</v>
      </c>
      <c r="C474" s="1" t="n">
        <v>46134</v>
      </c>
      <c r="D474" t="inlineStr">
        <is>
          <t>UPPSALA LÄN</t>
        </is>
      </c>
      <c r="E474" t="inlineStr">
        <is>
          <t>ÖSTHAMMAR</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42213-2025</t>
        </is>
      </c>
      <c r="B475" s="1" t="n">
        <v>45904.50652777778</v>
      </c>
      <c r="C475" s="1" t="n">
        <v>46134</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52332-2025</t>
        </is>
      </c>
      <c r="B476" s="1" t="n">
        <v>45953.67853009259</v>
      </c>
      <c r="C476" s="1" t="n">
        <v>46134</v>
      </c>
      <c r="D476" t="inlineStr">
        <is>
          <t>UPPSALA LÄN</t>
        </is>
      </c>
      <c r="E476" t="inlineStr">
        <is>
          <t>ÖSTHAMMAR</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4356-2025</t>
        </is>
      </c>
      <c r="B477" s="1" t="n">
        <v>45686</v>
      </c>
      <c r="C477" s="1" t="n">
        <v>46134</v>
      </c>
      <c r="D477" t="inlineStr">
        <is>
          <t>UPPSALA LÄN</t>
        </is>
      </c>
      <c r="E477" t="inlineStr">
        <is>
          <t>ÖSTHAMMAR</t>
        </is>
      </c>
      <c r="F477" t="inlineStr">
        <is>
          <t>Övriga Aktiebolag</t>
        </is>
      </c>
      <c r="G477" t="n">
        <v>24.6</v>
      </c>
      <c r="H477" t="n">
        <v>0</v>
      </c>
      <c r="I477" t="n">
        <v>0</v>
      </c>
      <c r="J477" t="n">
        <v>0</v>
      </c>
      <c r="K477" t="n">
        <v>0</v>
      </c>
      <c r="L477" t="n">
        <v>0</v>
      </c>
      <c r="M477" t="n">
        <v>0</v>
      </c>
      <c r="N477" t="n">
        <v>0</v>
      </c>
      <c r="O477" t="n">
        <v>0</v>
      </c>
      <c r="P477" t="n">
        <v>0</v>
      </c>
      <c r="Q477" t="n">
        <v>0</v>
      </c>
      <c r="R477" s="2" t="inlineStr"/>
    </row>
    <row r="478" ht="15" customHeight="1">
      <c r="A478" t="inlineStr">
        <is>
          <t>A 17085-2025</t>
        </is>
      </c>
      <c r="B478" s="1" t="n">
        <v>45755.64612268518</v>
      </c>
      <c r="C478" s="1" t="n">
        <v>46134</v>
      </c>
      <c r="D478" t="inlineStr">
        <is>
          <t>UPPSALA LÄN</t>
        </is>
      </c>
      <c r="E478" t="inlineStr">
        <is>
          <t>ÖSTHAMMAR</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32244-2021</t>
        </is>
      </c>
      <c r="B479" s="1" t="n">
        <v>44371.45335648148</v>
      </c>
      <c r="C479" s="1" t="n">
        <v>46134</v>
      </c>
      <c r="D479" t="inlineStr">
        <is>
          <t>UPPSALA LÄN</t>
        </is>
      </c>
      <c r="E479" t="inlineStr">
        <is>
          <t>ÖSTHAMMAR</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33056-2021</t>
        </is>
      </c>
      <c r="B480" s="1" t="n">
        <v>44376.52438657408</v>
      </c>
      <c r="C480" s="1" t="n">
        <v>46134</v>
      </c>
      <c r="D480" t="inlineStr">
        <is>
          <t>UPPSALA LÄN</t>
        </is>
      </c>
      <c r="E480" t="inlineStr">
        <is>
          <t>ÖSTHAMMAR</t>
        </is>
      </c>
      <c r="G480" t="n">
        <v>0.6</v>
      </c>
      <c r="H480" t="n">
        <v>0</v>
      </c>
      <c r="I480" t="n">
        <v>0</v>
      </c>
      <c r="J480" t="n">
        <v>0</v>
      </c>
      <c r="K480" t="n">
        <v>0</v>
      </c>
      <c r="L480" t="n">
        <v>0</v>
      </c>
      <c r="M480" t="n">
        <v>0</v>
      </c>
      <c r="N480" t="n">
        <v>0</v>
      </c>
      <c r="O480" t="n">
        <v>0</v>
      </c>
      <c r="P480" t="n">
        <v>0</v>
      </c>
      <c r="Q480" t="n">
        <v>0</v>
      </c>
      <c r="R480" s="2" t="inlineStr"/>
    </row>
    <row r="481" ht="15" customHeight="1">
      <c r="A481" t="inlineStr">
        <is>
          <t>A 4292-2025</t>
        </is>
      </c>
      <c r="B481" s="1" t="n">
        <v>45685.66459490741</v>
      </c>
      <c r="C481" s="1" t="n">
        <v>46134</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8592-2022</t>
        </is>
      </c>
      <c r="B482" s="1" t="n">
        <v>44613</v>
      </c>
      <c r="C482" s="1" t="n">
        <v>46134</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53735-2025</t>
        </is>
      </c>
      <c r="B483" s="1" t="n">
        <v>45960.64431712963</v>
      </c>
      <c r="C483" s="1" t="n">
        <v>46134</v>
      </c>
      <c r="D483" t="inlineStr">
        <is>
          <t>UPPSALA LÄN</t>
        </is>
      </c>
      <c r="E483" t="inlineStr">
        <is>
          <t>ÖSTHAMMAR</t>
        </is>
      </c>
      <c r="F483" t="inlineStr">
        <is>
          <t>Bergvik skog öst AB</t>
        </is>
      </c>
      <c r="G483" t="n">
        <v>0.9</v>
      </c>
      <c r="H483" t="n">
        <v>0</v>
      </c>
      <c r="I483" t="n">
        <v>0</v>
      </c>
      <c r="J483" t="n">
        <v>0</v>
      </c>
      <c r="K483" t="n">
        <v>0</v>
      </c>
      <c r="L483" t="n">
        <v>0</v>
      </c>
      <c r="M483" t="n">
        <v>0</v>
      </c>
      <c r="N483" t="n">
        <v>0</v>
      </c>
      <c r="O483" t="n">
        <v>0</v>
      </c>
      <c r="P483" t="n">
        <v>0</v>
      </c>
      <c r="Q483" t="n">
        <v>0</v>
      </c>
      <c r="R483" s="2" t="inlineStr"/>
    </row>
    <row r="484" ht="15" customHeight="1">
      <c r="A484" t="inlineStr">
        <is>
          <t>A 53737-2025</t>
        </is>
      </c>
      <c r="B484" s="1" t="n">
        <v>45960.64520833334</v>
      </c>
      <c r="C484" s="1" t="n">
        <v>46134</v>
      </c>
      <c r="D484" t="inlineStr">
        <is>
          <t>UPPSALA LÄN</t>
        </is>
      </c>
      <c r="E484" t="inlineStr">
        <is>
          <t>ÖSTHAMMAR</t>
        </is>
      </c>
      <c r="F484" t="inlineStr">
        <is>
          <t>Bergvik skog öst AB</t>
        </is>
      </c>
      <c r="G484" t="n">
        <v>3</v>
      </c>
      <c r="H484" t="n">
        <v>0</v>
      </c>
      <c r="I484" t="n">
        <v>0</v>
      </c>
      <c r="J484" t="n">
        <v>0</v>
      </c>
      <c r="K484" t="n">
        <v>0</v>
      </c>
      <c r="L484" t="n">
        <v>0</v>
      </c>
      <c r="M484" t="n">
        <v>0</v>
      </c>
      <c r="N484" t="n">
        <v>0</v>
      </c>
      <c r="O484" t="n">
        <v>0</v>
      </c>
      <c r="P484" t="n">
        <v>0</v>
      </c>
      <c r="Q484" t="n">
        <v>0</v>
      </c>
      <c r="R484" s="2" t="inlineStr"/>
    </row>
    <row r="485" ht="15" customHeight="1">
      <c r="A485" t="inlineStr">
        <is>
          <t>A 53567-2025</t>
        </is>
      </c>
      <c r="B485" s="1" t="n">
        <v>45960</v>
      </c>
      <c r="C485" s="1" t="n">
        <v>46134</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53961-2025</t>
        </is>
      </c>
      <c r="B486" s="1" t="n">
        <v>45961</v>
      </c>
      <c r="C486" s="1" t="n">
        <v>46134</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13472-2026</t>
        </is>
      </c>
      <c r="B487" s="1" t="n">
        <v>46094</v>
      </c>
      <c r="C487" s="1" t="n">
        <v>46134</v>
      </c>
      <c r="D487" t="inlineStr">
        <is>
          <t>UPPSALA LÄN</t>
        </is>
      </c>
      <c r="E487" t="inlineStr">
        <is>
          <t>ÖSTHAMMAR</t>
        </is>
      </c>
      <c r="F487" t="inlineStr">
        <is>
          <t>Övriga Aktiebolag</t>
        </is>
      </c>
      <c r="G487" t="n">
        <v>4</v>
      </c>
      <c r="H487" t="n">
        <v>0</v>
      </c>
      <c r="I487" t="n">
        <v>0</v>
      </c>
      <c r="J487" t="n">
        <v>0</v>
      </c>
      <c r="K487" t="n">
        <v>0</v>
      </c>
      <c r="L487" t="n">
        <v>0</v>
      </c>
      <c r="M487" t="n">
        <v>0</v>
      </c>
      <c r="N487" t="n">
        <v>0</v>
      </c>
      <c r="O487" t="n">
        <v>0</v>
      </c>
      <c r="P487" t="n">
        <v>0</v>
      </c>
      <c r="Q487" t="n">
        <v>0</v>
      </c>
      <c r="R487" s="2" t="inlineStr"/>
    </row>
    <row r="488" ht="15" customHeight="1">
      <c r="A488" t="inlineStr">
        <is>
          <t>A 53557-2025</t>
        </is>
      </c>
      <c r="B488" s="1" t="n">
        <v>45960</v>
      </c>
      <c r="C488" s="1" t="n">
        <v>46134</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53656-2025</t>
        </is>
      </c>
      <c r="B489" s="1" t="n">
        <v>45960</v>
      </c>
      <c r="C489" s="1" t="n">
        <v>46134</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14030-2026</t>
        </is>
      </c>
      <c r="B490" s="1" t="n">
        <v>46098.77094907407</v>
      </c>
      <c r="C490" s="1" t="n">
        <v>46134</v>
      </c>
      <c r="D490" t="inlineStr">
        <is>
          <t>UPPSALA LÄN</t>
        </is>
      </c>
      <c r="E490" t="inlineStr">
        <is>
          <t>ÖSTHAMMAR</t>
        </is>
      </c>
      <c r="F490" t="inlineStr">
        <is>
          <t>Bergvik skog öst AB</t>
        </is>
      </c>
      <c r="G490" t="n">
        <v>8.4</v>
      </c>
      <c r="H490" t="n">
        <v>0</v>
      </c>
      <c r="I490" t="n">
        <v>0</v>
      </c>
      <c r="J490" t="n">
        <v>0</v>
      </c>
      <c r="K490" t="n">
        <v>0</v>
      </c>
      <c r="L490" t="n">
        <v>0</v>
      </c>
      <c r="M490" t="n">
        <v>0</v>
      </c>
      <c r="N490" t="n">
        <v>0</v>
      </c>
      <c r="O490" t="n">
        <v>0</v>
      </c>
      <c r="P490" t="n">
        <v>0</v>
      </c>
      <c r="Q490" t="n">
        <v>0</v>
      </c>
      <c r="R490" s="2" t="inlineStr"/>
    </row>
    <row r="491" ht="15" customHeight="1">
      <c r="A491" t="inlineStr">
        <is>
          <t>A 6522-2026</t>
        </is>
      </c>
      <c r="B491" s="1" t="n">
        <v>46056.4025</v>
      </c>
      <c r="C491" s="1" t="n">
        <v>46134</v>
      </c>
      <c r="D491" t="inlineStr">
        <is>
          <t>UPPSALA LÄN</t>
        </is>
      </c>
      <c r="E491" t="inlineStr">
        <is>
          <t>ÖSTHAMMAR</t>
        </is>
      </c>
      <c r="F491" t="inlineStr">
        <is>
          <t>Bergvik skog öst AB</t>
        </is>
      </c>
      <c r="G491" t="n">
        <v>4.2</v>
      </c>
      <c r="H491" t="n">
        <v>0</v>
      </c>
      <c r="I491" t="n">
        <v>0</v>
      </c>
      <c r="J491" t="n">
        <v>0</v>
      </c>
      <c r="K491" t="n">
        <v>0</v>
      </c>
      <c r="L491" t="n">
        <v>0</v>
      </c>
      <c r="M491" t="n">
        <v>0</v>
      </c>
      <c r="N491" t="n">
        <v>0</v>
      </c>
      <c r="O491" t="n">
        <v>0</v>
      </c>
      <c r="P491" t="n">
        <v>0</v>
      </c>
      <c r="Q491" t="n">
        <v>0</v>
      </c>
      <c r="R491" s="2" t="inlineStr"/>
    </row>
    <row r="492" ht="15" customHeight="1">
      <c r="A492" t="inlineStr">
        <is>
          <t>A 3119-2025</t>
        </is>
      </c>
      <c r="B492" s="1" t="n">
        <v>45678</v>
      </c>
      <c r="C492" s="1" t="n">
        <v>46134</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6517-2026</t>
        </is>
      </c>
      <c r="B493" s="1" t="n">
        <v>46056.39921296296</v>
      </c>
      <c r="C493" s="1" t="n">
        <v>46134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6635-2026</t>
        </is>
      </c>
      <c r="B494" s="1" t="n">
        <v>46056.52885416667</v>
      </c>
      <c r="C494" s="1" t="n">
        <v>46134</v>
      </c>
      <c r="D494" t="inlineStr">
        <is>
          <t>UPPSALA LÄN</t>
        </is>
      </c>
      <c r="E494" t="inlineStr">
        <is>
          <t>ÖSTHAMMAR</t>
        </is>
      </c>
      <c r="F494" t="inlineStr">
        <is>
          <t>Bergvik skog öst AB</t>
        </is>
      </c>
      <c r="G494" t="n">
        <v>4.3</v>
      </c>
      <c r="H494" t="n">
        <v>0</v>
      </c>
      <c r="I494" t="n">
        <v>0</v>
      </c>
      <c r="J494" t="n">
        <v>0</v>
      </c>
      <c r="K494" t="n">
        <v>0</v>
      </c>
      <c r="L494" t="n">
        <v>0</v>
      </c>
      <c r="M494" t="n">
        <v>0</v>
      </c>
      <c r="N494" t="n">
        <v>0</v>
      </c>
      <c r="O494" t="n">
        <v>0</v>
      </c>
      <c r="P494" t="n">
        <v>0</v>
      </c>
      <c r="Q494" t="n">
        <v>0</v>
      </c>
      <c r="R494" s="2" t="inlineStr"/>
    </row>
    <row r="495" ht="15" customHeight="1">
      <c r="A495" t="inlineStr">
        <is>
          <t>A 17646-2025</t>
        </is>
      </c>
      <c r="B495" s="1" t="n">
        <v>45758.32872685185</v>
      </c>
      <c r="C495" s="1" t="n">
        <v>46134</v>
      </c>
      <c r="D495" t="inlineStr">
        <is>
          <t>UPPSALA LÄN</t>
        </is>
      </c>
      <c r="E495" t="inlineStr">
        <is>
          <t>ÖSTHAMMAR</t>
        </is>
      </c>
      <c r="F495" t="inlineStr">
        <is>
          <t>Bergvik skog väst AB</t>
        </is>
      </c>
      <c r="G495" t="n">
        <v>3.4</v>
      </c>
      <c r="H495" t="n">
        <v>0</v>
      </c>
      <c r="I495" t="n">
        <v>0</v>
      </c>
      <c r="J495" t="n">
        <v>0</v>
      </c>
      <c r="K495" t="n">
        <v>0</v>
      </c>
      <c r="L495" t="n">
        <v>0</v>
      </c>
      <c r="M495" t="n">
        <v>0</v>
      </c>
      <c r="N495" t="n">
        <v>0</v>
      </c>
      <c r="O495" t="n">
        <v>0</v>
      </c>
      <c r="P495" t="n">
        <v>0</v>
      </c>
      <c r="Q495" t="n">
        <v>0</v>
      </c>
      <c r="R495" s="2" t="inlineStr"/>
    </row>
    <row r="496" ht="15" customHeight="1">
      <c r="A496" t="inlineStr">
        <is>
          <t>A 17648-2025</t>
        </is>
      </c>
      <c r="B496" s="1" t="n">
        <v>45758.33064814815</v>
      </c>
      <c r="C496" s="1" t="n">
        <v>46134</v>
      </c>
      <c r="D496" t="inlineStr">
        <is>
          <t>UPPSALA LÄN</t>
        </is>
      </c>
      <c r="E496" t="inlineStr">
        <is>
          <t>ÖSTHAMMAR</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54592-2025</t>
        </is>
      </c>
      <c r="B497" s="1" t="n">
        <v>45965.74545138889</v>
      </c>
      <c r="C497" s="1" t="n">
        <v>46134</v>
      </c>
      <c r="D497" t="inlineStr">
        <is>
          <t>UPPSALA LÄN</t>
        </is>
      </c>
      <c r="E497" t="inlineStr">
        <is>
          <t>ÖSTHAMMAR</t>
        </is>
      </c>
      <c r="F497" t="inlineStr">
        <is>
          <t>Bergvik skog öst AB</t>
        </is>
      </c>
      <c r="G497" t="n">
        <v>5</v>
      </c>
      <c r="H497" t="n">
        <v>0</v>
      </c>
      <c r="I497" t="n">
        <v>0</v>
      </c>
      <c r="J497" t="n">
        <v>0</v>
      </c>
      <c r="K497" t="n">
        <v>0</v>
      </c>
      <c r="L497" t="n">
        <v>0</v>
      </c>
      <c r="M497" t="n">
        <v>0</v>
      </c>
      <c r="N497" t="n">
        <v>0</v>
      </c>
      <c r="O497" t="n">
        <v>0</v>
      </c>
      <c r="P497" t="n">
        <v>0</v>
      </c>
      <c r="Q497" t="n">
        <v>0</v>
      </c>
      <c r="R497" s="2" t="inlineStr"/>
    </row>
    <row r="498" ht="15" customHeight="1">
      <c r="A498" t="inlineStr">
        <is>
          <t>A 14007-2026</t>
        </is>
      </c>
      <c r="B498" s="1" t="n">
        <v>46098.65329861111</v>
      </c>
      <c r="C498" s="1" t="n">
        <v>46134</v>
      </c>
      <c r="D498" t="inlineStr">
        <is>
          <t>UPPSALA LÄN</t>
        </is>
      </c>
      <c r="E498" t="inlineStr">
        <is>
          <t>ÖSTHAMMAR</t>
        </is>
      </c>
      <c r="G498" t="n">
        <v>0.6</v>
      </c>
      <c r="H498" t="n">
        <v>0</v>
      </c>
      <c r="I498" t="n">
        <v>0</v>
      </c>
      <c r="J498" t="n">
        <v>0</v>
      </c>
      <c r="K498" t="n">
        <v>0</v>
      </c>
      <c r="L498" t="n">
        <v>0</v>
      </c>
      <c r="M498" t="n">
        <v>0</v>
      </c>
      <c r="N498" t="n">
        <v>0</v>
      </c>
      <c r="O498" t="n">
        <v>0</v>
      </c>
      <c r="P498" t="n">
        <v>0</v>
      </c>
      <c r="Q498" t="n">
        <v>0</v>
      </c>
      <c r="R498" s="2" t="inlineStr"/>
    </row>
    <row r="499" ht="15" customHeight="1">
      <c r="A499" t="inlineStr">
        <is>
          <t>A 6511-2026</t>
        </is>
      </c>
      <c r="B499" s="1" t="n">
        <v>46056.38925925926</v>
      </c>
      <c r="C499" s="1" t="n">
        <v>46134</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14031-2026</t>
        </is>
      </c>
      <c r="B500" s="1" t="n">
        <v>46098.77274305555</v>
      </c>
      <c r="C500" s="1" t="n">
        <v>46134</v>
      </c>
      <c r="D500" t="inlineStr">
        <is>
          <t>UPPSALA LÄN</t>
        </is>
      </c>
      <c r="E500" t="inlineStr">
        <is>
          <t>ÖSTHAMMAR</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54242-2025</t>
        </is>
      </c>
      <c r="B501" s="1" t="n">
        <v>45964.63251157408</v>
      </c>
      <c r="C501" s="1" t="n">
        <v>46134</v>
      </c>
      <c r="D501" t="inlineStr">
        <is>
          <t>UPPSALA LÄN</t>
        </is>
      </c>
      <c r="E501" t="inlineStr">
        <is>
          <t>ÖSTHAMMAR</t>
        </is>
      </c>
      <c r="G501" t="n">
        <v>4.7</v>
      </c>
      <c r="H501" t="n">
        <v>0</v>
      </c>
      <c r="I501" t="n">
        <v>0</v>
      </c>
      <c r="J501" t="n">
        <v>0</v>
      </c>
      <c r="K501" t="n">
        <v>0</v>
      </c>
      <c r="L501" t="n">
        <v>0</v>
      </c>
      <c r="M501" t="n">
        <v>0</v>
      </c>
      <c r="N501" t="n">
        <v>0</v>
      </c>
      <c r="O501" t="n">
        <v>0</v>
      </c>
      <c r="P501" t="n">
        <v>0</v>
      </c>
      <c r="Q501" t="n">
        <v>0</v>
      </c>
      <c r="R501" s="2" t="inlineStr"/>
    </row>
    <row r="502" ht="15" customHeight="1">
      <c r="A502" t="inlineStr">
        <is>
          <t>A 54647-2025</t>
        </is>
      </c>
      <c r="B502" s="1" t="n">
        <v>45966.37258101852</v>
      </c>
      <c r="C502" s="1" t="n">
        <v>46134</v>
      </c>
      <c r="D502" t="inlineStr">
        <is>
          <t>UPPSALA LÄN</t>
        </is>
      </c>
      <c r="E502" t="inlineStr">
        <is>
          <t>ÖSTHAMMAR</t>
        </is>
      </c>
      <c r="G502" t="n">
        <v>4.3</v>
      </c>
      <c r="H502" t="n">
        <v>0</v>
      </c>
      <c r="I502" t="n">
        <v>0</v>
      </c>
      <c r="J502" t="n">
        <v>0</v>
      </c>
      <c r="K502" t="n">
        <v>0</v>
      </c>
      <c r="L502" t="n">
        <v>0</v>
      </c>
      <c r="M502" t="n">
        <v>0</v>
      </c>
      <c r="N502" t="n">
        <v>0</v>
      </c>
      <c r="O502" t="n">
        <v>0</v>
      </c>
      <c r="P502" t="n">
        <v>0</v>
      </c>
      <c r="Q502" t="n">
        <v>0</v>
      </c>
      <c r="R502" s="2" t="inlineStr"/>
    </row>
    <row r="503" ht="15" customHeight="1">
      <c r="A503" t="inlineStr">
        <is>
          <t>A 54649-2025</t>
        </is>
      </c>
      <c r="B503" s="1" t="n">
        <v>45966.37548611111</v>
      </c>
      <c r="C503" s="1" t="n">
        <v>46134</v>
      </c>
      <c r="D503" t="inlineStr">
        <is>
          <t>UPPSALA LÄN</t>
        </is>
      </c>
      <c r="E503" t="inlineStr">
        <is>
          <t>ÖSTHAMMAR</t>
        </is>
      </c>
      <c r="G503" t="n">
        <v>0.5</v>
      </c>
      <c r="H503" t="n">
        <v>0</v>
      </c>
      <c r="I503" t="n">
        <v>0</v>
      </c>
      <c r="J503" t="n">
        <v>0</v>
      </c>
      <c r="K503" t="n">
        <v>0</v>
      </c>
      <c r="L503" t="n">
        <v>0</v>
      </c>
      <c r="M503" t="n">
        <v>0</v>
      </c>
      <c r="N503" t="n">
        <v>0</v>
      </c>
      <c r="O503" t="n">
        <v>0</v>
      </c>
      <c r="P503" t="n">
        <v>0</v>
      </c>
      <c r="Q503" t="n">
        <v>0</v>
      </c>
      <c r="R503" s="2" t="inlineStr"/>
    </row>
    <row r="504" ht="15" customHeight="1">
      <c r="A504" t="inlineStr">
        <is>
          <t>A 60047-2021</t>
        </is>
      </c>
      <c r="B504" s="1" t="n">
        <v>44495</v>
      </c>
      <c r="C504" s="1" t="n">
        <v>46134</v>
      </c>
      <c r="D504" t="inlineStr">
        <is>
          <t>UPPSALA LÄN</t>
        </is>
      </c>
      <c r="E504" t="inlineStr">
        <is>
          <t>ÖSTHAMMAR</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18401-2025</t>
        </is>
      </c>
      <c r="B505" s="1" t="n">
        <v>45762.5966087963</v>
      </c>
      <c r="C505" s="1" t="n">
        <v>46134</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30086-2023</t>
        </is>
      </c>
      <c r="B506" s="1" t="n">
        <v>45110.43907407407</v>
      </c>
      <c r="C506" s="1" t="n">
        <v>46134</v>
      </c>
      <c r="D506" t="inlineStr">
        <is>
          <t>UPPSALA LÄN</t>
        </is>
      </c>
      <c r="E506" t="inlineStr">
        <is>
          <t>ÖSTHAMMAR</t>
        </is>
      </c>
      <c r="G506" t="n">
        <v>3.5</v>
      </c>
      <c r="H506" t="n">
        <v>0</v>
      </c>
      <c r="I506" t="n">
        <v>0</v>
      </c>
      <c r="J506" t="n">
        <v>0</v>
      </c>
      <c r="K506" t="n">
        <v>0</v>
      </c>
      <c r="L506" t="n">
        <v>0</v>
      </c>
      <c r="M506" t="n">
        <v>0</v>
      </c>
      <c r="N506" t="n">
        <v>0</v>
      </c>
      <c r="O506" t="n">
        <v>0</v>
      </c>
      <c r="P506" t="n">
        <v>0</v>
      </c>
      <c r="Q506" t="n">
        <v>0</v>
      </c>
      <c r="R506" s="2" t="inlineStr"/>
    </row>
    <row r="507" ht="15" customHeight="1">
      <c r="A507" t="inlineStr">
        <is>
          <t>A 14006-2026</t>
        </is>
      </c>
      <c r="B507" s="1" t="n">
        <v>46098.65136574074</v>
      </c>
      <c r="C507" s="1" t="n">
        <v>46134</v>
      </c>
      <c r="D507" t="inlineStr">
        <is>
          <t>UPPSALA LÄN</t>
        </is>
      </c>
      <c r="E507" t="inlineStr">
        <is>
          <t>ÖSTHAMMAR</t>
        </is>
      </c>
      <c r="G507" t="n">
        <v>2</v>
      </c>
      <c r="H507" t="n">
        <v>0</v>
      </c>
      <c r="I507" t="n">
        <v>0</v>
      </c>
      <c r="J507" t="n">
        <v>0</v>
      </c>
      <c r="K507" t="n">
        <v>0</v>
      </c>
      <c r="L507" t="n">
        <v>0</v>
      </c>
      <c r="M507" t="n">
        <v>0</v>
      </c>
      <c r="N507" t="n">
        <v>0</v>
      </c>
      <c r="O507" t="n">
        <v>0</v>
      </c>
      <c r="P507" t="n">
        <v>0</v>
      </c>
      <c r="Q507" t="n">
        <v>0</v>
      </c>
      <c r="R507" s="2" t="inlineStr"/>
    </row>
    <row r="508" ht="15" customHeight="1">
      <c r="A508" t="inlineStr">
        <is>
          <t>A 55163-2025</t>
        </is>
      </c>
      <c r="B508" s="1" t="n">
        <v>45968.48032407407</v>
      </c>
      <c r="C508" s="1" t="n">
        <v>46134</v>
      </c>
      <c r="D508" t="inlineStr">
        <is>
          <t>UPPSALA LÄN</t>
        </is>
      </c>
      <c r="E508" t="inlineStr">
        <is>
          <t>ÖSTHAMMAR</t>
        </is>
      </c>
      <c r="G508" t="n">
        <v>1.8</v>
      </c>
      <c r="H508" t="n">
        <v>0</v>
      </c>
      <c r="I508" t="n">
        <v>0</v>
      </c>
      <c r="J508" t="n">
        <v>0</v>
      </c>
      <c r="K508" t="n">
        <v>0</v>
      </c>
      <c r="L508" t="n">
        <v>0</v>
      </c>
      <c r="M508" t="n">
        <v>0</v>
      </c>
      <c r="N508" t="n">
        <v>0</v>
      </c>
      <c r="O508" t="n">
        <v>0</v>
      </c>
      <c r="P508" t="n">
        <v>0</v>
      </c>
      <c r="Q508" t="n">
        <v>0</v>
      </c>
      <c r="R508" s="2" t="inlineStr"/>
    </row>
    <row r="509" ht="15" customHeight="1">
      <c r="A509" t="inlineStr">
        <is>
          <t>A 11008-2023</t>
        </is>
      </c>
      <c r="B509" s="1" t="n">
        <v>44991</v>
      </c>
      <c r="C509" s="1" t="n">
        <v>46134</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13771-2023</t>
        </is>
      </c>
      <c r="B510" s="1" t="n">
        <v>45007</v>
      </c>
      <c r="C510" s="1" t="n">
        <v>46134</v>
      </c>
      <c r="D510" t="inlineStr">
        <is>
          <t>UPPSALA LÄN</t>
        </is>
      </c>
      <c r="E510" t="inlineStr">
        <is>
          <t>ÖSTHAMMAR</t>
        </is>
      </c>
      <c r="G510" t="n">
        <v>2.7</v>
      </c>
      <c r="H510" t="n">
        <v>0</v>
      </c>
      <c r="I510" t="n">
        <v>0</v>
      </c>
      <c r="J510" t="n">
        <v>0</v>
      </c>
      <c r="K510" t="n">
        <v>0</v>
      </c>
      <c r="L510" t="n">
        <v>0</v>
      </c>
      <c r="M510" t="n">
        <v>0</v>
      </c>
      <c r="N510" t="n">
        <v>0</v>
      </c>
      <c r="O510" t="n">
        <v>0</v>
      </c>
      <c r="P510" t="n">
        <v>0</v>
      </c>
      <c r="Q510" t="n">
        <v>0</v>
      </c>
      <c r="R510" s="2" t="inlineStr"/>
    </row>
    <row r="511" ht="15" customHeight="1">
      <c r="A511" t="inlineStr">
        <is>
          <t>A 55298-2025</t>
        </is>
      </c>
      <c r="B511" s="1" t="n">
        <v>45969.76908564815</v>
      </c>
      <c r="C511" s="1" t="n">
        <v>46134</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6712-2026</t>
        </is>
      </c>
      <c r="B512" s="1" t="n">
        <v>46056.65564814815</v>
      </c>
      <c r="C512" s="1" t="n">
        <v>46134</v>
      </c>
      <c r="D512" t="inlineStr">
        <is>
          <t>UPPSALA LÄN</t>
        </is>
      </c>
      <c r="E512" t="inlineStr">
        <is>
          <t>ÖSTHAMMAR</t>
        </is>
      </c>
      <c r="F512" t="inlineStr">
        <is>
          <t>Bergvik skog öst AB</t>
        </is>
      </c>
      <c r="G512" t="n">
        <v>5</v>
      </c>
      <c r="H512" t="n">
        <v>0</v>
      </c>
      <c r="I512" t="n">
        <v>0</v>
      </c>
      <c r="J512" t="n">
        <v>0</v>
      </c>
      <c r="K512" t="n">
        <v>0</v>
      </c>
      <c r="L512" t="n">
        <v>0</v>
      </c>
      <c r="M512" t="n">
        <v>0</v>
      </c>
      <c r="N512" t="n">
        <v>0</v>
      </c>
      <c r="O512" t="n">
        <v>0</v>
      </c>
      <c r="P512" t="n">
        <v>0</v>
      </c>
      <c r="Q512" t="n">
        <v>0</v>
      </c>
      <c r="R512" s="2" t="inlineStr"/>
    </row>
    <row r="513" ht="15" customHeight="1">
      <c r="A513" t="inlineStr">
        <is>
          <t>A 55798-2025</t>
        </is>
      </c>
      <c r="B513" s="1" t="n">
        <v>45972.66209490741</v>
      </c>
      <c r="C513" s="1" t="n">
        <v>46134</v>
      </c>
      <c r="D513" t="inlineStr">
        <is>
          <t>UPPSALA LÄN</t>
        </is>
      </c>
      <c r="E513" t="inlineStr">
        <is>
          <t>ÖSTHAMMAR</t>
        </is>
      </c>
      <c r="F513" t="inlineStr">
        <is>
          <t>Bergvik skog öst AB</t>
        </is>
      </c>
      <c r="G513" t="n">
        <v>3.9</v>
      </c>
      <c r="H513" t="n">
        <v>0</v>
      </c>
      <c r="I513" t="n">
        <v>0</v>
      </c>
      <c r="J513" t="n">
        <v>0</v>
      </c>
      <c r="K513" t="n">
        <v>0</v>
      </c>
      <c r="L513" t="n">
        <v>0</v>
      </c>
      <c r="M513" t="n">
        <v>0</v>
      </c>
      <c r="N513" t="n">
        <v>0</v>
      </c>
      <c r="O513" t="n">
        <v>0</v>
      </c>
      <c r="P513" t="n">
        <v>0</v>
      </c>
      <c r="Q513" t="n">
        <v>0</v>
      </c>
      <c r="R513" s="2" t="inlineStr"/>
    </row>
    <row r="514" ht="15" customHeight="1">
      <c r="A514" t="inlineStr">
        <is>
          <t>A 13703-2026</t>
        </is>
      </c>
      <c r="B514" s="1" t="n">
        <v>46097.56766203704</v>
      </c>
      <c r="C514" s="1" t="n">
        <v>46134</v>
      </c>
      <c r="D514" t="inlineStr">
        <is>
          <t>UPPSALA LÄN</t>
        </is>
      </c>
      <c r="E514" t="inlineStr">
        <is>
          <t>ÖSTHAMMAR</t>
        </is>
      </c>
      <c r="G514" t="n">
        <v>2.7</v>
      </c>
      <c r="H514" t="n">
        <v>0</v>
      </c>
      <c r="I514" t="n">
        <v>0</v>
      </c>
      <c r="J514" t="n">
        <v>0</v>
      </c>
      <c r="K514" t="n">
        <v>0</v>
      </c>
      <c r="L514" t="n">
        <v>0</v>
      </c>
      <c r="M514" t="n">
        <v>0</v>
      </c>
      <c r="N514" t="n">
        <v>0</v>
      </c>
      <c r="O514" t="n">
        <v>0</v>
      </c>
      <c r="P514" t="n">
        <v>0</v>
      </c>
      <c r="Q514" t="n">
        <v>0</v>
      </c>
      <c r="R514" s="2" t="inlineStr"/>
    </row>
    <row r="515" ht="15" customHeight="1">
      <c r="A515" t="inlineStr">
        <is>
          <t>A 6238-2026</t>
        </is>
      </c>
      <c r="B515" s="1" t="n">
        <v>46055.45547453704</v>
      </c>
      <c r="C515" s="1" t="n">
        <v>46134</v>
      </c>
      <c r="D515" t="inlineStr">
        <is>
          <t>UPPSALA LÄN</t>
        </is>
      </c>
      <c r="E515" t="inlineStr">
        <is>
          <t>ÖSTHAMMAR</t>
        </is>
      </c>
      <c r="F515" t="inlineStr">
        <is>
          <t>Övriga Aktiebolag</t>
        </is>
      </c>
      <c r="G515" t="n">
        <v>26.7</v>
      </c>
      <c r="H515" t="n">
        <v>0</v>
      </c>
      <c r="I515" t="n">
        <v>0</v>
      </c>
      <c r="J515" t="n">
        <v>0</v>
      </c>
      <c r="K515" t="n">
        <v>0</v>
      </c>
      <c r="L515" t="n">
        <v>0</v>
      </c>
      <c r="M515" t="n">
        <v>0</v>
      </c>
      <c r="N515" t="n">
        <v>0</v>
      </c>
      <c r="O515" t="n">
        <v>0</v>
      </c>
      <c r="P515" t="n">
        <v>0</v>
      </c>
      <c r="Q515" t="n">
        <v>0</v>
      </c>
      <c r="R515" s="2" t="inlineStr"/>
    </row>
    <row r="516" ht="15" customHeight="1">
      <c r="A516" t="inlineStr">
        <is>
          <t>A 58324-2023</t>
        </is>
      </c>
      <c r="B516" s="1" t="n">
        <v>45250.58635416667</v>
      </c>
      <c r="C516" s="1" t="n">
        <v>46134</v>
      </c>
      <c r="D516" t="inlineStr">
        <is>
          <t>UPPSALA LÄN</t>
        </is>
      </c>
      <c r="E516" t="inlineStr">
        <is>
          <t>ÖSTHAMMAR</t>
        </is>
      </c>
      <c r="G516" t="n">
        <v>5.1</v>
      </c>
      <c r="H516" t="n">
        <v>0</v>
      </c>
      <c r="I516" t="n">
        <v>0</v>
      </c>
      <c r="J516" t="n">
        <v>0</v>
      </c>
      <c r="K516" t="n">
        <v>0</v>
      </c>
      <c r="L516" t="n">
        <v>0</v>
      </c>
      <c r="M516" t="n">
        <v>0</v>
      </c>
      <c r="N516" t="n">
        <v>0</v>
      </c>
      <c r="O516" t="n">
        <v>0</v>
      </c>
      <c r="P516" t="n">
        <v>0</v>
      </c>
      <c r="Q516" t="n">
        <v>0</v>
      </c>
      <c r="R516" s="2" t="inlineStr"/>
    </row>
    <row r="517" ht="15" customHeight="1">
      <c r="A517" t="inlineStr">
        <is>
          <t>A 7241-2026</t>
        </is>
      </c>
      <c r="B517" s="1" t="n">
        <v>46058.58392361111</v>
      </c>
      <c r="C517" s="1" t="n">
        <v>46134</v>
      </c>
      <c r="D517" t="inlineStr">
        <is>
          <t>UPPSALA LÄN</t>
        </is>
      </c>
      <c r="E517" t="inlineStr">
        <is>
          <t>ÖSTHAMMAR</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7262-2026</t>
        </is>
      </c>
      <c r="B518" s="1" t="n">
        <v>46058.6049537037</v>
      </c>
      <c r="C518" s="1" t="n">
        <v>46134</v>
      </c>
      <c r="D518" t="inlineStr">
        <is>
          <t>UPPSALA LÄN</t>
        </is>
      </c>
      <c r="E518" t="inlineStr">
        <is>
          <t>ÖSTHAMMAR</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56582-2025</t>
        </is>
      </c>
      <c r="B519" s="1" t="n">
        <v>45975.54730324074</v>
      </c>
      <c r="C519" s="1" t="n">
        <v>46134</v>
      </c>
      <c r="D519" t="inlineStr">
        <is>
          <t>UPPSALA LÄN</t>
        </is>
      </c>
      <c r="E519" t="inlineStr">
        <is>
          <t>ÖSTHAMMAR</t>
        </is>
      </c>
      <c r="G519" t="n">
        <v>4.1</v>
      </c>
      <c r="H519" t="n">
        <v>0</v>
      </c>
      <c r="I519" t="n">
        <v>0</v>
      </c>
      <c r="J519" t="n">
        <v>0</v>
      </c>
      <c r="K519" t="n">
        <v>0</v>
      </c>
      <c r="L519" t="n">
        <v>0</v>
      </c>
      <c r="M519" t="n">
        <v>0</v>
      </c>
      <c r="N519" t="n">
        <v>0</v>
      </c>
      <c r="O519" t="n">
        <v>0</v>
      </c>
      <c r="P519" t="n">
        <v>0</v>
      </c>
      <c r="Q519" t="n">
        <v>0</v>
      </c>
      <c r="R519" s="2" t="inlineStr"/>
    </row>
    <row r="520" ht="15" customHeight="1">
      <c r="A520" t="inlineStr">
        <is>
          <t>A 56682-2025</t>
        </is>
      </c>
      <c r="B520" s="1" t="n">
        <v>45975</v>
      </c>
      <c r="C520" s="1" t="n">
        <v>46134</v>
      </c>
      <c r="D520" t="inlineStr">
        <is>
          <t>UPPSALA LÄN</t>
        </is>
      </c>
      <c r="E520" t="inlineStr">
        <is>
          <t>ÖSTHAMMAR</t>
        </is>
      </c>
      <c r="G520" t="n">
        <v>3.9</v>
      </c>
      <c r="H520" t="n">
        <v>0</v>
      </c>
      <c r="I520" t="n">
        <v>0</v>
      </c>
      <c r="J520" t="n">
        <v>0</v>
      </c>
      <c r="K520" t="n">
        <v>0</v>
      </c>
      <c r="L520" t="n">
        <v>0</v>
      </c>
      <c r="M520" t="n">
        <v>0</v>
      </c>
      <c r="N520" t="n">
        <v>0</v>
      </c>
      <c r="O520" t="n">
        <v>0</v>
      </c>
      <c r="P520" t="n">
        <v>0</v>
      </c>
      <c r="Q520" t="n">
        <v>0</v>
      </c>
      <c r="R520" s="2" t="inlineStr"/>
    </row>
    <row r="521" ht="15" customHeight="1">
      <c r="A521" t="inlineStr">
        <is>
          <t>A 56518-2025</t>
        </is>
      </c>
      <c r="B521" s="1" t="n">
        <v>45975.4581712963</v>
      </c>
      <c r="C521" s="1" t="n">
        <v>46134</v>
      </c>
      <c r="D521" t="inlineStr">
        <is>
          <t>UPPSALA LÄN</t>
        </is>
      </c>
      <c r="E521" t="inlineStr">
        <is>
          <t>ÖSTHAMMAR</t>
        </is>
      </c>
      <c r="G521" t="n">
        <v>2.7</v>
      </c>
      <c r="H521" t="n">
        <v>0</v>
      </c>
      <c r="I521" t="n">
        <v>0</v>
      </c>
      <c r="J521" t="n">
        <v>0</v>
      </c>
      <c r="K521" t="n">
        <v>0</v>
      </c>
      <c r="L521" t="n">
        <v>0</v>
      </c>
      <c r="M521" t="n">
        <v>0</v>
      </c>
      <c r="N521" t="n">
        <v>0</v>
      </c>
      <c r="O521" t="n">
        <v>0</v>
      </c>
      <c r="P521" t="n">
        <v>0</v>
      </c>
      <c r="Q521" t="n">
        <v>0</v>
      </c>
      <c r="R521" s="2" t="inlineStr"/>
    </row>
    <row r="522" ht="15" customHeight="1">
      <c r="A522" t="inlineStr">
        <is>
          <t>A 56658-2025</t>
        </is>
      </c>
      <c r="B522" s="1" t="n">
        <v>45975.65431712963</v>
      </c>
      <c r="C522" s="1" t="n">
        <v>46134</v>
      </c>
      <c r="D522" t="inlineStr">
        <is>
          <t>UPPSALA LÄN</t>
        </is>
      </c>
      <c r="E522" t="inlineStr">
        <is>
          <t>ÖSTHAMMAR</t>
        </is>
      </c>
      <c r="G522" t="n">
        <v>1.3</v>
      </c>
      <c r="H522" t="n">
        <v>0</v>
      </c>
      <c r="I522" t="n">
        <v>0</v>
      </c>
      <c r="J522" t="n">
        <v>0</v>
      </c>
      <c r="K522" t="n">
        <v>0</v>
      </c>
      <c r="L522" t="n">
        <v>0</v>
      </c>
      <c r="M522" t="n">
        <v>0</v>
      </c>
      <c r="N522" t="n">
        <v>0</v>
      </c>
      <c r="O522" t="n">
        <v>0</v>
      </c>
      <c r="P522" t="n">
        <v>0</v>
      </c>
      <c r="Q522" t="n">
        <v>0</v>
      </c>
      <c r="R522" s="2" t="inlineStr"/>
    </row>
    <row r="523" ht="15" customHeight="1">
      <c r="A523" t="inlineStr">
        <is>
          <t>A 56745-2025</t>
        </is>
      </c>
      <c r="B523" s="1" t="n">
        <v>45978.36157407407</v>
      </c>
      <c r="C523" s="1" t="n">
        <v>46134</v>
      </c>
      <c r="D523" t="inlineStr">
        <is>
          <t>UPPSALA LÄN</t>
        </is>
      </c>
      <c r="E523" t="inlineStr">
        <is>
          <t>ÖSTHAMMAR</t>
        </is>
      </c>
      <c r="G523" t="n">
        <v>2.6</v>
      </c>
      <c r="H523" t="n">
        <v>0</v>
      </c>
      <c r="I523" t="n">
        <v>0</v>
      </c>
      <c r="J523" t="n">
        <v>0</v>
      </c>
      <c r="K523" t="n">
        <v>0</v>
      </c>
      <c r="L523" t="n">
        <v>0</v>
      </c>
      <c r="M523" t="n">
        <v>0</v>
      </c>
      <c r="N523" t="n">
        <v>0</v>
      </c>
      <c r="O523" t="n">
        <v>0</v>
      </c>
      <c r="P523" t="n">
        <v>0</v>
      </c>
      <c r="Q523" t="n">
        <v>0</v>
      </c>
      <c r="R523" s="2" t="inlineStr"/>
    </row>
    <row r="524" ht="15" customHeight="1">
      <c r="A524" t="inlineStr">
        <is>
          <t>A 56942-2025</t>
        </is>
      </c>
      <c r="B524" s="1" t="n">
        <v>45978.62611111111</v>
      </c>
      <c r="C524" s="1" t="n">
        <v>46134</v>
      </c>
      <c r="D524" t="inlineStr">
        <is>
          <t>UPPSALA LÄN</t>
        </is>
      </c>
      <c r="E524" t="inlineStr">
        <is>
          <t>ÖSTHAMMAR</t>
        </is>
      </c>
      <c r="G524" t="n">
        <v>3.2</v>
      </c>
      <c r="H524" t="n">
        <v>0</v>
      </c>
      <c r="I524" t="n">
        <v>0</v>
      </c>
      <c r="J524" t="n">
        <v>0</v>
      </c>
      <c r="K524" t="n">
        <v>0</v>
      </c>
      <c r="L524" t="n">
        <v>0</v>
      </c>
      <c r="M524" t="n">
        <v>0</v>
      </c>
      <c r="N524" t="n">
        <v>0</v>
      </c>
      <c r="O524" t="n">
        <v>0</v>
      </c>
      <c r="P524" t="n">
        <v>0</v>
      </c>
      <c r="Q524" t="n">
        <v>0</v>
      </c>
      <c r="R524" s="2" t="inlineStr"/>
    </row>
    <row r="525" ht="15" customHeight="1">
      <c r="A525" t="inlineStr">
        <is>
          <t>A 69411-2021</t>
        </is>
      </c>
      <c r="B525" s="1" t="n">
        <v>44531.61038194445</v>
      </c>
      <c r="C525" s="1" t="n">
        <v>46134</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56757-2025</t>
        </is>
      </c>
      <c r="B526" s="1" t="n">
        <v>45978.37162037037</v>
      </c>
      <c r="C526" s="1" t="n">
        <v>46134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56823-2025</t>
        </is>
      </c>
      <c r="B527" s="1" t="n">
        <v>45978.46484953703</v>
      </c>
      <c r="C527" s="1" t="n">
        <v>46134</v>
      </c>
      <c r="D527" t="inlineStr">
        <is>
          <t>UPPSALA LÄN</t>
        </is>
      </c>
      <c r="E527" t="inlineStr">
        <is>
          <t>ÖSTHAMMAR</t>
        </is>
      </c>
      <c r="G527" t="n">
        <v>0.1</v>
      </c>
      <c r="H527" t="n">
        <v>0</v>
      </c>
      <c r="I527" t="n">
        <v>0</v>
      </c>
      <c r="J527" t="n">
        <v>0</v>
      </c>
      <c r="K527" t="n">
        <v>0</v>
      </c>
      <c r="L527" t="n">
        <v>0</v>
      </c>
      <c r="M527" t="n">
        <v>0</v>
      </c>
      <c r="N527" t="n">
        <v>0</v>
      </c>
      <c r="O527" t="n">
        <v>0</v>
      </c>
      <c r="P527" t="n">
        <v>0</v>
      </c>
      <c r="Q527" t="n">
        <v>0</v>
      </c>
      <c r="R527" s="2" t="inlineStr"/>
    </row>
    <row r="528" ht="15" customHeight="1">
      <c r="A528" t="inlineStr">
        <is>
          <t>A 56754-2025</t>
        </is>
      </c>
      <c r="B528" s="1" t="n">
        <v>45978.36700231482</v>
      </c>
      <c r="C528" s="1" t="n">
        <v>46134</v>
      </c>
      <c r="D528" t="inlineStr">
        <is>
          <t>UPPSALA LÄN</t>
        </is>
      </c>
      <c r="E528" t="inlineStr">
        <is>
          <t>ÖSTHAMMAR</t>
        </is>
      </c>
      <c r="G528" t="n">
        <v>0.9</v>
      </c>
      <c r="H528" t="n">
        <v>0</v>
      </c>
      <c r="I528" t="n">
        <v>0</v>
      </c>
      <c r="J528" t="n">
        <v>0</v>
      </c>
      <c r="K528" t="n">
        <v>0</v>
      </c>
      <c r="L528" t="n">
        <v>0</v>
      </c>
      <c r="M528" t="n">
        <v>0</v>
      </c>
      <c r="N528" t="n">
        <v>0</v>
      </c>
      <c r="O528" t="n">
        <v>0</v>
      </c>
      <c r="P528" t="n">
        <v>0</v>
      </c>
      <c r="Q528" t="n">
        <v>0</v>
      </c>
      <c r="R528" s="2" t="inlineStr"/>
    </row>
    <row r="529" ht="15" customHeight="1">
      <c r="A529" t="inlineStr">
        <is>
          <t>A 14378-2026</t>
        </is>
      </c>
      <c r="B529" s="1" t="n">
        <v>46100.37180555556</v>
      </c>
      <c r="C529" s="1" t="n">
        <v>46134</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56748-2025</t>
        </is>
      </c>
      <c r="B530" s="1" t="n">
        <v>45978.36412037037</v>
      </c>
      <c r="C530" s="1" t="n">
        <v>46134</v>
      </c>
      <c r="D530" t="inlineStr">
        <is>
          <t>UPPSALA LÄN</t>
        </is>
      </c>
      <c r="E530" t="inlineStr">
        <is>
          <t>ÖSTHAMMAR</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56653-2025</t>
        </is>
      </c>
      <c r="B531" s="1" t="n">
        <v>45975.64628472222</v>
      </c>
      <c r="C531" s="1" t="n">
        <v>46134</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56753-2025</t>
        </is>
      </c>
      <c r="B532" s="1" t="n">
        <v>45978.36677083333</v>
      </c>
      <c r="C532" s="1" t="n">
        <v>46134</v>
      </c>
      <c r="D532" t="inlineStr">
        <is>
          <t>UPPSALA LÄN</t>
        </is>
      </c>
      <c r="E532" t="inlineStr">
        <is>
          <t>ÖSTHAMMAR</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57248-2025</t>
        </is>
      </c>
      <c r="B533" s="1" t="n">
        <v>45979.635625</v>
      </c>
      <c r="C533" s="1" t="n">
        <v>46134</v>
      </c>
      <c r="D533" t="inlineStr">
        <is>
          <t>UPPSALA LÄN</t>
        </is>
      </c>
      <c r="E533" t="inlineStr">
        <is>
          <t>ÖSTHAMMAR</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49831-2023</t>
        </is>
      </c>
      <c r="B534" s="1" t="n">
        <v>45212.71241898148</v>
      </c>
      <c r="C534" s="1" t="n">
        <v>46134</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49899-2023</t>
        </is>
      </c>
      <c r="B535" s="1" t="n">
        <v>45213</v>
      </c>
      <c r="C535" s="1" t="n">
        <v>46134</v>
      </c>
      <c r="D535" t="inlineStr">
        <is>
          <t>UPPSALA LÄN</t>
        </is>
      </c>
      <c r="E535" t="inlineStr">
        <is>
          <t>ÖSTHAMMAR</t>
        </is>
      </c>
      <c r="G535" t="n">
        <v>6.2</v>
      </c>
      <c r="H535" t="n">
        <v>0</v>
      </c>
      <c r="I535" t="n">
        <v>0</v>
      </c>
      <c r="J535" t="n">
        <v>0</v>
      </c>
      <c r="K535" t="n">
        <v>0</v>
      </c>
      <c r="L535" t="n">
        <v>0</v>
      </c>
      <c r="M535" t="n">
        <v>0</v>
      </c>
      <c r="N535" t="n">
        <v>0</v>
      </c>
      <c r="O535" t="n">
        <v>0</v>
      </c>
      <c r="P535" t="n">
        <v>0</v>
      </c>
      <c r="Q535" t="n">
        <v>0</v>
      </c>
      <c r="R535" s="2" t="inlineStr"/>
    </row>
    <row r="536" ht="15" customHeight="1">
      <c r="A536" t="inlineStr">
        <is>
          <t>A 17939-2025</t>
        </is>
      </c>
      <c r="B536" s="1" t="n">
        <v>45760.55671296296</v>
      </c>
      <c r="C536" s="1" t="n">
        <v>46134</v>
      </c>
      <c r="D536" t="inlineStr">
        <is>
          <t>UPPSALA LÄN</t>
        </is>
      </c>
      <c r="E536" t="inlineStr">
        <is>
          <t>ÖSTHAMMAR</t>
        </is>
      </c>
      <c r="F536" t="inlineStr">
        <is>
          <t>Bergvik skog öst AB</t>
        </is>
      </c>
      <c r="G536" t="n">
        <v>5.4</v>
      </c>
      <c r="H536" t="n">
        <v>0</v>
      </c>
      <c r="I536" t="n">
        <v>0</v>
      </c>
      <c r="J536" t="n">
        <v>0</v>
      </c>
      <c r="K536" t="n">
        <v>0</v>
      </c>
      <c r="L536" t="n">
        <v>0</v>
      </c>
      <c r="M536" t="n">
        <v>0</v>
      </c>
      <c r="N536" t="n">
        <v>0</v>
      </c>
      <c r="O536" t="n">
        <v>0</v>
      </c>
      <c r="P536" t="n">
        <v>0</v>
      </c>
      <c r="Q536" t="n">
        <v>0</v>
      </c>
      <c r="R536" s="2" t="inlineStr"/>
    </row>
    <row r="537" ht="15" customHeight="1">
      <c r="A537" t="inlineStr">
        <is>
          <t>A 17940-2025</t>
        </is>
      </c>
      <c r="B537" s="1" t="n">
        <v>45760.55842592593</v>
      </c>
      <c r="C537" s="1" t="n">
        <v>46134</v>
      </c>
      <c r="D537" t="inlineStr">
        <is>
          <t>UPPSALA LÄN</t>
        </is>
      </c>
      <c r="E537" t="inlineStr">
        <is>
          <t>ÖSTHAMMAR</t>
        </is>
      </c>
      <c r="F537" t="inlineStr">
        <is>
          <t>Bergvik skog öst AB</t>
        </is>
      </c>
      <c r="G537" t="n">
        <v>5.6</v>
      </c>
      <c r="H537" t="n">
        <v>0</v>
      </c>
      <c r="I537" t="n">
        <v>0</v>
      </c>
      <c r="J537" t="n">
        <v>0</v>
      </c>
      <c r="K537" t="n">
        <v>0</v>
      </c>
      <c r="L537" t="n">
        <v>0</v>
      </c>
      <c r="M537" t="n">
        <v>0</v>
      </c>
      <c r="N537" t="n">
        <v>0</v>
      </c>
      <c r="O537" t="n">
        <v>0</v>
      </c>
      <c r="P537" t="n">
        <v>0</v>
      </c>
      <c r="Q537" t="n">
        <v>0</v>
      </c>
      <c r="R537" s="2" t="inlineStr"/>
    </row>
    <row r="538" ht="15" customHeight="1">
      <c r="A538" t="inlineStr">
        <is>
          <t>A 57257-2025</t>
        </is>
      </c>
      <c r="B538" s="1" t="n">
        <v>45979.65149305556</v>
      </c>
      <c r="C538" s="1" t="n">
        <v>46134</v>
      </c>
      <c r="D538" t="inlineStr">
        <is>
          <t>UPPSALA LÄN</t>
        </is>
      </c>
      <c r="E538" t="inlineStr">
        <is>
          <t>ÖSTHAMMAR</t>
        </is>
      </c>
      <c r="G538" t="n">
        <v>0.7</v>
      </c>
      <c r="H538" t="n">
        <v>0</v>
      </c>
      <c r="I538" t="n">
        <v>0</v>
      </c>
      <c r="J538" t="n">
        <v>0</v>
      </c>
      <c r="K538" t="n">
        <v>0</v>
      </c>
      <c r="L538" t="n">
        <v>0</v>
      </c>
      <c r="M538" t="n">
        <v>0</v>
      </c>
      <c r="N538" t="n">
        <v>0</v>
      </c>
      <c r="O538" t="n">
        <v>0</v>
      </c>
      <c r="P538" t="n">
        <v>0</v>
      </c>
      <c r="Q538" t="n">
        <v>0</v>
      </c>
      <c r="R538" s="2" t="inlineStr"/>
    </row>
    <row r="539" ht="15" customHeight="1">
      <c r="A539" t="inlineStr">
        <is>
          <t>A 6884-2026</t>
        </is>
      </c>
      <c r="B539" s="1" t="n">
        <v>46057.46614583334</v>
      </c>
      <c r="C539" s="1" t="n">
        <v>46134</v>
      </c>
      <c r="D539" t="inlineStr">
        <is>
          <t>UPPSALA LÄN</t>
        </is>
      </c>
      <c r="E539" t="inlineStr">
        <is>
          <t>ÖSTHAMMAR</t>
        </is>
      </c>
      <c r="G539" t="n">
        <v>4.1</v>
      </c>
      <c r="H539" t="n">
        <v>0</v>
      </c>
      <c r="I539" t="n">
        <v>0</v>
      </c>
      <c r="J539" t="n">
        <v>0</v>
      </c>
      <c r="K539" t="n">
        <v>0</v>
      </c>
      <c r="L539" t="n">
        <v>0</v>
      </c>
      <c r="M539" t="n">
        <v>0</v>
      </c>
      <c r="N539" t="n">
        <v>0</v>
      </c>
      <c r="O539" t="n">
        <v>0</v>
      </c>
      <c r="P539" t="n">
        <v>0</v>
      </c>
      <c r="Q539" t="n">
        <v>0</v>
      </c>
      <c r="R539" s="2" t="inlineStr"/>
    </row>
    <row r="540" ht="15" customHeight="1">
      <c r="A540" t="inlineStr">
        <is>
          <t>A 6762-2026</t>
        </is>
      </c>
      <c r="B540" s="1" t="n">
        <v>46056.85776620371</v>
      </c>
      <c r="C540" s="1" t="n">
        <v>46134</v>
      </c>
      <c r="D540" t="inlineStr">
        <is>
          <t>UPPSALA LÄN</t>
        </is>
      </c>
      <c r="E540" t="inlineStr">
        <is>
          <t>ÖSTHAMMAR</t>
        </is>
      </c>
      <c r="G540" t="n">
        <v>1.6</v>
      </c>
      <c r="H540" t="n">
        <v>0</v>
      </c>
      <c r="I540" t="n">
        <v>0</v>
      </c>
      <c r="J540" t="n">
        <v>0</v>
      </c>
      <c r="K540" t="n">
        <v>0</v>
      </c>
      <c r="L540" t="n">
        <v>0</v>
      </c>
      <c r="M540" t="n">
        <v>0</v>
      </c>
      <c r="N540" t="n">
        <v>0</v>
      </c>
      <c r="O540" t="n">
        <v>0</v>
      </c>
      <c r="P540" t="n">
        <v>0</v>
      </c>
      <c r="Q540" t="n">
        <v>0</v>
      </c>
      <c r="R540" s="2" t="inlineStr"/>
    </row>
    <row r="541" ht="15" customHeight="1">
      <c r="A541" t="inlineStr">
        <is>
          <t>A 57154-2025</t>
        </is>
      </c>
      <c r="B541" s="1" t="n">
        <v>45979.51086805556</v>
      </c>
      <c r="C541" s="1" t="n">
        <v>46134</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5855-2022</t>
        </is>
      </c>
      <c r="B542" s="1" t="n">
        <v>44596.63290509259</v>
      </c>
      <c r="C542" s="1" t="n">
        <v>46134</v>
      </c>
      <c r="D542" t="inlineStr">
        <is>
          <t>UPPSALA LÄN</t>
        </is>
      </c>
      <c r="E542" t="inlineStr">
        <is>
          <t>ÖSTHAMMAR</t>
        </is>
      </c>
      <c r="G542" t="n">
        <v>0.9</v>
      </c>
      <c r="H542" t="n">
        <v>0</v>
      </c>
      <c r="I542" t="n">
        <v>0</v>
      </c>
      <c r="J542" t="n">
        <v>0</v>
      </c>
      <c r="K542" t="n">
        <v>0</v>
      </c>
      <c r="L542" t="n">
        <v>0</v>
      </c>
      <c r="M542" t="n">
        <v>0</v>
      </c>
      <c r="N542" t="n">
        <v>0</v>
      </c>
      <c r="O542" t="n">
        <v>0</v>
      </c>
      <c r="P542" t="n">
        <v>0</v>
      </c>
      <c r="Q542" t="n">
        <v>0</v>
      </c>
      <c r="R542" s="2" t="inlineStr"/>
    </row>
    <row r="543" ht="15" customHeight="1">
      <c r="A543" t="inlineStr">
        <is>
          <t>A 54366-2023</t>
        </is>
      </c>
      <c r="B543" s="1" t="n">
        <v>45233</v>
      </c>
      <c r="C543" s="1" t="n">
        <v>46134</v>
      </c>
      <c r="D543" t="inlineStr">
        <is>
          <t>UPPSALA LÄN</t>
        </is>
      </c>
      <c r="E543" t="inlineStr">
        <is>
          <t>ÖSTHAMMAR</t>
        </is>
      </c>
      <c r="F543" t="inlineStr">
        <is>
          <t>Bergvik skog öst AB</t>
        </is>
      </c>
      <c r="G543" t="n">
        <v>2.9</v>
      </c>
      <c r="H543" t="n">
        <v>0</v>
      </c>
      <c r="I543" t="n">
        <v>0</v>
      </c>
      <c r="J543" t="n">
        <v>0</v>
      </c>
      <c r="K543" t="n">
        <v>0</v>
      </c>
      <c r="L543" t="n">
        <v>0</v>
      </c>
      <c r="M543" t="n">
        <v>0</v>
      </c>
      <c r="N543" t="n">
        <v>0</v>
      </c>
      <c r="O543" t="n">
        <v>0</v>
      </c>
      <c r="P543" t="n">
        <v>0</v>
      </c>
      <c r="Q543" t="n">
        <v>0</v>
      </c>
      <c r="R543" s="2" t="inlineStr"/>
    </row>
    <row r="544" ht="15" customHeight="1">
      <c r="A544" t="inlineStr">
        <is>
          <t>A 57908-2025</t>
        </is>
      </c>
      <c r="B544" s="1" t="n">
        <v>45981.78886574074</v>
      </c>
      <c r="C544" s="1" t="n">
        <v>46134</v>
      </c>
      <c r="D544" t="inlineStr">
        <is>
          <t>UPPSALA LÄN</t>
        </is>
      </c>
      <c r="E544" t="inlineStr">
        <is>
          <t>ÖSTHAMMAR</t>
        </is>
      </c>
      <c r="F544" t="inlineStr">
        <is>
          <t>Bergvik skog öst AB</t>
        </is>
      </c>
      <c r="G544" t="n">
        <v>2</v>
      </c>
      <c r="H544" t="n">
        <v>0</v>
      </c>
      <c r="I544" t="n">
        <v>0</v>
      </c>
      <c r="J544" t="n">
        <v>0</v>
      </c>
      <c r="K544" t="n">
        <v>0</v>
      </c>
      <c r="L544" t="n">
        <v>0</v>
      </c>
      <c r="M544" t="n">
        <v>0</v>
      </c>
      <c r="N544" t="n">
        <v>0</v>
      </c>
      <c r="O544" t="n">
        <v>0</v>
      </c>
      <c r="P544" t="n">
        <v>0</v>
      </c>
      <c r="Q544" t="n">
        <v>0</v>
      </c>
      <c r="R544" s="2" t="inlineStr"/>
    </row>
    <row r="545" ht="15" customHeight="1">
      <c r="A545" t="inlineStr">
        <is>
          <t>A 17643-2025</t>
        </is>
      </c>
      <c r="B545" s="1" t="n">
        <v>45758.32454861111</v>
      </c>
      <c r="C545" s="1" t="n">
        <v>46134</v>
      </c>
      <c r="D545" t="inlineStr">
        <is>
          <t>UPPSALA LÄN</t>
        </is>
      </c>
      <c r="E545" t="inlineStr">
        <is>
          <t>ÖSTHAMMAR</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13248-2025</t>
        </is>
      </c>
      <c r="B546" s="1" t="n">
        <v>45735</v>
      </c>
      <c r="C546" s="1" t="n">
        <v>46134</v>
      </c>
      <c r="D546" t="inlineStr">
        <is>
          <t>UPPSALA LÄN</t>
        </is>
      </c>
      <c r="E546" t="inlineStr">
        <is>
          <t>ÖSTHAMMAR</t>
        </is>
      </c>
      <c r="F546" t="inlineStr">
        <is>
          <t>Kyrkan</t>
        </is>
      </c>
      <c r="G546" t="n">
        <v>12.2</v>
      </c>
      <c r="H546" t="n">
        <v>0</v>
      </c>
      <c r="I546" t="n">
        <v>0</v>
      </c>
      <c r="J546" t="n">
        <v>0</v>
      </c>
      <c r="K546" t="n">
        <v>0</v>
      </c>
      <c r="L546" t="n">
        <v>0</v>
      </c>
      <c r="M546" t="n">
        <v>0</v>
      </c>
      <c r="N546" t="n">
        <v>0</v>
      </c>
      <c r="O546" t="n">
        <v>0</v>
      </c>
      <c r="P546" t="n">
        <v>0</v>
      </c>
      <c r="Q546" t="n">
        <v>0</v>
      </c>
      <c r="R546" s="2" t="inlineStr"/>
    </row>
    <row r="547" ht="15" customHeight="1">
      <c r="A547" t="inlineStr">
        <is>
          <t>A 57907-2025</t>
        </is>
      </c>
      <c r="B547" s="1" t="n">
        <v>45981.78840277778</v>
      </c>
      <c r="C547" s="1" t="n">
        <v>46134</v>
      </c>
      <c r="D547" t="inlineStr">
        <is>
          <t>UPPSALA LÄN</t>
        </is>
      </c>
      <c r="E547" t="inlineStr">
        <is>
          <t>ÖSTHAMMAR</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51364-2021</t>
        </is>
      </c>
      <c r="B548" s="1" t="n">
        <v>44461</v>
      </c>
      <c r="C548" s="1" t="n">
        <v>46134</v>
      </c>
      <c r="D548" t="inlineStr">
        <is>
          <t>UPPSALA LÄN</t>
        </is>
      </c>
      <c r="E548" t="inlineStr">
        <is>
          <t>ÖSTHAMMAR</t>
        </is>
      </c>
      <c r="G548" t="n">
        <v>2.4</v>
      </c>
      <c r="H548" t="n">
        <v>0</v>
      </c>
      <c r="I548" t="n">
        <v>0</v>
      </c>
      <c r="J548" t="n">
        <v>0</v>
      </c>
      <c r="K548" t="n">
        <v>0</v>
      </c>
      <c r="L548" t="n">
        <v>0</v>
      </c>
      <c r="M548" t="n">
        <v>0</v>
      </c>
      <c r="N548" t="n">
        <v>0</v>
      </c>
      <c r="O548" t="n">
        <v>0</v>
      </c>
      <c r="P548" t="n">
        <v>0</v>
      </c>
      <c r="Q548" t="n">
        <v>0</v>
      </c>
      <c r="R548" s="2" t="inlineStr"/>
    </row>
    <row r="549" ht="15" customHeight="1">
      <c r="A549" t="inlineStr">
        <is>
          <t>A 7855-2026</t>
        </is>
      </c>
      <c r="B549" s="1" t="n">
        <v>46062.67241898148</v>
      </c>
      <c r="C549" s="1" t="n">
        <v>46134</v>
      </c>
      <c r="D549" t="inlineStr">
        <is>
          <t>UPPSALA LÄN</t>
        </is>
      </c>
      <c r="E549" t="inlineStr">
        <is>
          <t>ÖSTHAMMAR</t>
        </is>
      </c>
      <c r="G549" t="n">
        <v>3.8</v>
      </c>
      <c r="H549" t="n">
        <v>0</v>
      </c>
      <c r="I549" t="n">
        <v>0</v>
      </c>
      <c r="J549" t="n">
        <v>0</v>
      </c>
      <c r="K549" t="n">
        <v>0</v>
      </c>
      <c r="L549" t="n">
        <v>0</v>
      </c>
      <c r="M549" t="n">
        <v>0</v>
      </c>
      <c r="N549" t="n">
        <v>0</v>
      </c>
      <c r="O549" t="n">
        <v>0</v>
      </c>
      <c r="P549" t="n">
        <v>0</v>
      </c>
      <c r="Q549" t="n">
        <v>0</v>
      </c>
      <c r="R549" s="2" t="inlineStr"/>
    </row>
    <row r="550" ht="15" customHeight="1">
      <c r="A550" t="inlineStr">
        <is>
          <t>A 61062-2023</t>
        </is>
      </c>
      <c r="B550" s="1" t="n">
        <v>45259</v>
      </c>
      <c r="C550" s="1" t="n">
        <v>46134</v>
      </c>
      <c r="D550" t="inlineStr">
        <is>
          <t>UPPSALA LÄN</t>
        </is>
      </c>
      <c r="E550" t="inlineStr">
        <is>
          <t>ÖSTHAMMAR</t>
        </is>
      </c>
      <c r="G550" t="n">
        <v>5.3</v>
      </c>
      <c r="H550" t="n">
        <v>0</v>
      </c>
      <c r="I550" t="n">
        <v>0</v>
      </c>
      <c r="J550" t="n">
        <v>0</v>
      </c>
      <c r="K550" t="n">
        <v>0</v>
      </c>
      <c r="L550" t="n">
        <v>0</v>
      </c>
      <c r="M550" t="n">
        <v>0</v>
      </c>
      <c r="N550" t="n">
        <v>0</v>
      </c>
      <c r="O550" t="n">
        <v>0</v>
      </c>
      <c r="P550" t="n">
        <v>0</v>
      </c>
      <c r="Q550" t="n">
        <v>0</v>
      </c>
      <c r="R550" s="2" t="inlineStr"/>
    </row>
    <row r="551" ht="15" customHeight="1">
      <c r="A551" t="inlineStr">
        <is>
          <t>A 58399-2025</t>
        </is>
      </c>
      <c r="B551" s="1" t="n">
        <v>45985.56244212963</v>
      </c>
      <c r="C551" s="1" t="n">
        <v>46134</v>
      </c>
      <c r="D551" t="inlineStr">
        <is>
          <t>UPPSALA LÄN</t>
        </is>
      </c>
      <c r="E551" t="inlineStr">
        <is>
          <t>ÖSTHAMMAR</t>
        </is>
      </c>
      <c r="G551" t="n">
        <v>2.6</v>
      </c>
      <c r="H551" t="n">
        <v>0</v>
      </c>
      <c r="I551" t="n">
        <v>0</v>
      </c>
      <c r="J551" t="n">
        <v>0</v>
      </c>
      <c r="K551" t="n">
        <v>0</v>
      </c>
      <c r="L551" t="n">
        <v>0</v>
      </c>
      <c r="M551" t="n">
        <v>0</v>
      </c>
      <c r="N551" t="n">
        <v>0</v>
      </c>
      <c r="O551" t="n">
        <v>0</v>
      </c>
      <c r="P551" t="n">
        <v>0</v>
      </c>
      <c r="Q551" t="n">
        <v>0</v>
      </c>
      <c r="R551" s="2" t="inlineStr"/>
    </row>
    <row r="552" ht="15" customHeight="1">
      <c r="A552" t="inlineStr">
        <is>
          <t>A 14989-2026</t>
        </is>
      </c>
      <c r="B552" s="1" t="n">
        <v>46104.58371527777</v>
      </c>
      <c r="C552" s="1" t="n">
        <v>46134</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14618-2026</t>
        </is>
      </c>
      <c r="B553" s="1" t="n">
        <v>46101.38355324074</v>
      </c>
      <c r="C553" s="1" t="n">
        <v>46134</v>
      </c>
      <c r="D553" t="inlineStr">
        <is>
          <t>UPPSALA LÄN</t>
        </is>
      </c>
      <c r="E553" t="inlineStr">
        <is>
          <t>ÖSTHAMMAR</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14878-2026</t>
        </is>
      </c>
      <c r="B554" s="1" t="n">
        <v>46104.44351851852</v>
      </c>
      <c r="C554" s="1" t="n">
        <v>46134</v>
      </c>
      <c r="D554" t="inlineStr">
        <is>
          <t>UPPSALA LÄN</t>
        </is>
      </c>
      <c r="E554" t="inlineStr">
        <is>
          <t>ÖSTHAMMAR</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15006-2026</t>
        </is>
      </c>
      <c r="B555" s="1" t="n">
        <v>46104.6130324074</v>
      </c>
      <c r="C555" s="1" t="n">
        <v>46134</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14986-2026</t>
        </is>
      </c>
      <c r="B556" s="1" t="n">
        <v>46104.5802662037</v>
      </c>
      <c r="C556" s="1" t="n">
        <v>46134</v>
      </c>
      <c r="D556" t="inlineStr">
        <is>
          <t>UPPSALA LÄN</t>
        </is>
      </c>
      <c r="E556" t="inlineStr">
        <is>
          <t>ÖSTHAMMAR</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61443-2024</t>
        </is>
      </c>
      <c r="B557" s="1" t="n">
        <v>45646.47936342593</v>
      </c>
      <c r="C557" s="1" t="n">
        <v>46134</v>
      </c>
      <c r="D557" t="inlineStr">
        <is>
          <t>UPPSALA LÄN</t>
        </is>
      </c>
      <c r="E557" t="inlineStr">
        <is>
          <t>ÖSTHAMMAR</t>
        </is>
      </c>
      <c r="G557" t="n">
        <v>0.4</v>
      </c>
      <c r="H557" t="n">
        <v>0</v>
      </c>
      <c r="I557" t="n">
        <v>0</v>
      </c>
      <c r="J557" t="n">
        <v>0</v>
      </c>
      <c r="K557" t="n">
        <v>0</v>
      </c>
      <c r="L557" t="n">
        <v>0</v>
      </c>
      <c r="M557" t="n">
        <v>0</v>
      </c>
      <c r="N557" t="n">
        <v>0</v>
      </c>
      <c r="O557" t="n">
        <v>0</v>
      </c>
      <c r="P557" t="n">
        <v>0</v>
      </c>
      <c r="Q557" t="n">
        <v>0</v>
      </c>
      <c r="R557" s="2" t="inlineStr"/>
    </row>
    <row r="558" ht="15" customHeight="1">
      <c r="A558" t="inlineStr">
        <is>
          <t>A 59743-2025</t>
        </is>
      </c>
      <c r="B558" s="1" t="n">
        <v>45992.57668981481</v>
      </c>
      <c r="C558" s="1" t="n">
        <v>46134</v>
      </c>
      <c r="D558" t="inlineStr">
        <is>
          <t>UPPSALA LÄN</t>
        </is>
      </c>
      <c r="E558" t="inlineStr">
        <is>
          <t>ÖSTHAMMAR</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59745-2025</t>
        </is>
      </c>
      <c r="B559" s="1" t="n">
        <v>45992.57708333333</v>
      </c>
      <c r="C559" s="1" t="n">
        <v>46134</v>
      </c>
      <c r="D559" t="inlineStr">
        <is>
          <t>UPPSALA LÄN</t>
        </is>
      </c>
      <c r="E559" t="inlineStr">
        <is>
          <t>ÖSTHAMMAR</t>
        </is>
      </c>
      <c r="F559" t="inlineStr">
        <is>
          <t>Bergvik skog öst AB</t>
        </is>
      </c>
      <c r="G559" t="n">
        <v>3.3</v>
      </c>
      <c r="H559" t="n">
        <v>0</v>
      </c>
      <c r="I559" t="n">
        <v>0</v>
      </c>
      <c r="J559" t="n">
        <v>0</v>
      </c>
      <c r="K559" t="n">
        <v>0</v>
      </c>
      <c r="L559" t="n">
        <v>0</v>
      </c>
      <c r="M559" t="n">
        <v>0</v>
      </c>
      <c r="N559" t="n">
        <v>0</v>
      </c>
      <c r="O559" t="n">
        <v>0</v>
      </c>
      <c r="P559" t="n">
        <v>0</v>
      </c>
      <c r="Q559" t="n">
        <v>0</v>
      </c>
      <c r="R559" s="2" t="inlineStr"/>
    </row>
    <row r="560" ht="15" customHeight="1">
      <c r="A560" t="inlineStr">
        <is>
          <t>A 59706-2025</t>
        </is>
      </c>
      <c r="B560" s="1" t="n">
        <v>45992.50333333333</v>
      </c>
      <c r="C560" s="1" t="n">
        <v>46134</v>
      </c>
      <c r="D560" t="inlineStr">
        <is>
          <t>UPPSALA LÄN</t>
        </is>
      </c>
      <c r="E560" t="inlineStr">
        <is>
          <t>ÖSTHAMMAR</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26612-2023</t>
        </is>
      </c>
      <c r="B561" s="1" t="n">
        <v>45089</v>
      </c>
      <c r="C561" s="1" t="n">
        <v>46134</v>
      </c>
      <c r="D561" t="inlineStr">
        <is>
          <t>UPPSALA LÄN</t>
        </is>
      </c>
      <c r="E561" t="inlineStr">
        <is>
          <t>ÖSTHAMMAR</t>
        </is>
      </c>
      <c r="G561" t="n">
        <v>2.1</v>
      </c>
      <c r="H561" t="n">
        <v>0</v>
      </c>
      <c r="I561" t="n">
        <v>0</v>
      </c>
      <c r="J561" t="n">
        <v>0</v>
      </c>
      <c r="K561" t="n">
        <v>0</v>
      </c>
      <c r="L561" t="n">
        <v>0</v>
      </c>
      <c r="M561" t="n">
        <v>0</v>
      </c>
      <c r="N561" t="n">
        <v>0</v>
      </c>
      <c r="O561" t="n">
        <v>0</v>
      </c>
      <c r="P561" t="n">
        <v>0</v>
      </c>
      <c r="Q561" t="n">
        <v>0</v>
      </c>
      <c r="R561" s="2" t="inlineStr"/>
    </row>
    <row r="562" ht="15" customHeight="1">
      <c r="A562" t="inlineStr">
        <is>
          <t>A 14269-2025</t>
        </is>
      </c>
      <c r="B562" s="1" t="n">
        <v>45740.64078703704</v>
      </c>
      <c r="C562" s="1" t="n">
        <v>46134</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18088-2025</t>
        </is>
      </c>
      <c r="B563" s="1" t="n">
        <v>45761.53104166667</v>
      </c>
      <c r="C563" s="1" t="n">
        <v>46134</v>
      </c>
      <c r="D563" t="inlineStr">
        <is>
          <t>UPPSALA LÄN</t>
        </is>
      </c>
      <c r="E563" t="inlineStr">
        <is>
          <t>ÖSTHAMMAR</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18095-2025</t>
        </is>
      </c>
      <c r="B564" s="1" t="n">
        <v>45761.54925925926</v>
      </c>
      <c r="C564" s="1" t="n">
        <v>46134</v>
      </c>
      <c r="D564" t="inlineStr">
        <is>
          <t>UPPSALA LÄN</t>
        </is>
      </c>
      <c r="E564" t="inlineStr">
        <is>
          <t>ÖSTHAMMAR</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59708-2025</t>
        </is>
      </c>
      <c r="B565" s="1" t="n">
        <v>45992.50802083333</v>
      </c>
      <c r="C565" s="1" t="n">
        <v>46134</v>
      </c>
      <c r="D565" t="inlineStr">
        <is>
          <t>UPPSALA LÄN</t>
        </is>
      </c>
      <c r="E565" t="inlineStr">
        <is>
          <t>ÖSTHAMMAR</t>
        </is>
      </c>
      <c r="F565" t="inlineStr">
        <is>
          <t>Bergvik skog öst AB</t>
        </is>
      </c>
      <c r="G565" t="n">
        <v>3.2</v>
      </c>
      <c r="H565" t="n">
        <v>0</v>
      </c>
      <c r="I565" t="n">
        <v>0</v>
      </c>
      <c r="J565" t="n">
        <v>0</v>
      </c>
      <c r="K565" t="n">
        <v>0</v>
      </c>
      <c r="L565" t="n">
        <v>0</v>
      </c>
      <c r="M565" t="n">
        <v>0</v>
      </c>
      <c r="N565" t="n">
        <v>0</v>
      </c>
      <c r="O565" t="n">
        <v>0</v>
      </c>
      <c r="P565" t="n">
        <v>0</v>
      </c>
      <c r="Q565" t="n">
        <v>0</v>
      </c>
      <c r="R565" s="2" t="inlineStr"/>
    </row>
    <row r="566" ht="15" customHeight="1">
      <c r="A566" t="inlineStr">
        <is>
          <t>A 16531-2025</t>
        </is>
      </c>
      <c r="B566" s="1" t="n">
        <v>45751</v>
      </c>
      <c r="C566" s="1" t="n">
        <v>46134</v>
      </c>
      <c r="D566" t="inlineStr">
        <is>
          <t>UPPSALA LÄN</t>
        </is>
      </c>
      <c r="E566" t="inlineStr">
        <is>
          <t>ÖSTHAMMAR</t>
        </is>
      </c>
      <c r="G566" t="n">
        <v>3.3</v>
      </c>
      <c r="H566" t="n">
        <v>0</v>
      </c>
      <c r="I566" t="n">
        <v>0</v>
      </c>
      <c r="J566" t="n">
        <v>0</v>
      </c>
      <c r="K566" t="n">
        <v>0</v>
      </c>
      <c r="L566" t="n">
        <v>0</v>
      </c>
      <c r="M566" t="n">
        <v>0</v>
      </c>
      <c r="N566" t="n">
        <v>0</v>
      </c>
      <c r="O566" t="n">
        <v>0</v>
      </c>
      <c r="P566" t="n">
        <v>0</v>
      </c>
      <c r="Q566" t="n">
        <v>0</v>
      </c>
      <c r="R566" s="2" t="inlineStr"/>
    </row>
    <row r="567" ht="15" customHeight="1">
      <c r="A567" t="inlineStr">
        <is>
          <t>A 25897-2023</t>
        </is>
      </c>
      <c r="B567" s="1" t="n">
        <v>45090.63300925926</v>
      </c>
      <c r="C567" s="1" t="n">
        <v>46134</v>
      </c>
      <c r="D567" t="inlineStr">
        <is>
          <t>UPPSALA LÄN</t>
        </is>
      </c>
      <c r="E567" t="inlineStr">
        <is>
          <t>ÖSTHAMMAR</t>
        </is>
      </c>
      <c r="F567" t="inlineStr">
        <is>
          <t>Bergvik skog öst AB</t>
        </is>
      </c>
      <c r="G567" t="n">
        <v>1.6</v>
      </c>
      <c r="H567" t="n">
        <v>0</v>
      </c>
      <c r="I567" t="n">
        <v>0</v>
      </c>
      <c r="J567" t="n">
        <v>0</v>
      </c>
      <c r="K567" t="n">
        <v>0</v>
      </c>
      <c r="L567" t="n">
        <v>0</v>
      </c>
      <c r="M567" t="n">
        <v>0</v>
      </c>
      <c r="N567" t="n">
        <v>0</v>
      </c>
      <c r="O567" t="n">
        <v>0</v>
      </c>
      <c r="P567" t="n">
        <v>0</v>
      </c>
      <c r="Q567" t="n">
        <v>0</v>
      </c>
      <c r="R567" s="2" t="inlineStr"/>
    </row>
    <row r="568" ht="15" customHeight="1">
      <c r="A568" t="inlineStr">
        <is>
          <t>A 60603-2025</t>
        </is>
      </c>
      <c r="B568" s="1" t="n">
        <v>45996.3543287037</v>
      </c>
      <c r="C568" s="1" t="n">
        <v>46134</v>
      </c>
      <c r="D568" t="inlineStr">
        <is>
          <t>UPPSALA LÄN</t>
        </is>
      </c>
      <c r="E568" t="inlineStr">
        <is>
          <t>ÖSTHAMMAR</t>
        </is>
      </c>
      <c r="G568" t="n">
        <v>4.7</v>
      </c>
      <c r="H568" t="n">
        <v>0</v>
      </c>
      <c r="I568" t="n">
        <v>0</v>
      </c>
      <c r="J568" t="n">
        <v>0</v>
      </c>
      <c r="K568" t="n">
        <v>0</v>
      </c>
      <c r="L568" t="n">
        <v>0</v>
      </c>
      <c r="M568" t="n">
        <v>0</v>
      </c>
      <c r="N568" t="n">
        <v>0</v>
      </c>
      <c r="O568" t="n">
        <v>0</v>
      </c>
      <c r="P568" t="n">
        <v>0</v>
      </c>
      <c r="Q568" t="n">
        <v>0</v>
      </c>
      <c r="R568" s="2" t="inlineStr"/>
    </row>
    <row r="569" ht="15" customHeight="1">
      <c r="A569" t="inlineStr">
        <is>
          <t>A 20046-2023</t>
        </is>
      </c>
      <c r="B569" s="1" t="n">
        <v>45054</v>
      </c>
      <c r="C569" s="1" t="n">
        <v>46134</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41478-2024</t>
        </is>
      </c>
      <c r="B570" s="1" t="n">
        <v>45560.44158564815</v>
      </c>
      <c r="C570" s="1" t="n">
        <v>46134</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57156-2025</t>
        </is>
      </c>
      <c r="B571" s="1" t="n">
        <v>45979.51591435185</v>
      </c>
      <c r="C571" s="1" t="n">
        <v>46134</v>
      </c>
      <c r="D571" t="inlineStr">
        <is>
          <t>UPPSALA LÄN</t>
        </is>
      </c>
      <c r="E571" t="inlineStr">
        <is>
          <t>ÖSTHAMMAR</t>
        </is>
      </c>
      <c r="G571" t="n">
        <v>1.8</v>
      </c>
      <c r="H571" t="n">
        <v>0</v>
      </c>
      <c r="I571" t="n">
        <v>0</v>
      </c>
      <c r="J571" t="n">
        <v>0</v>
      </c>
      <c r="K571" t="n">
        <v>0</v>
      </c>
      <c r="L571" t="n">
        <v>0</v>
      </c>
      <c r="M571" t="n">
        <v>0</v>
      </c>
      <c r="N571" t="n">
        <v>0</v>
      </c>
      <c r="O571" t="n">
        <v>0</v>
      </c>
      <c r="P571" t="n">
        <v>0</v>
      </c>
      <c r="Q571" t="n">
        <v>0</v>
      </c>
      <c r="R571" s="2" t="inlineStr"/>
    </row>
    <row r="572" ht="15" customHeight="1">
      <c r="A572" t="inlineStr">
        <is>
          <t>A 3638-2022</t>
        </is>
      </c>
      <c r="B572" s="1" t="n">
        <v>44578</v>
      </c>
      <c r="C572" s="1" t="n">
        <v>46134</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60910-2025</t>
        </is>
      </c>
      <c r="B573" s="1" t="n">
        <v>45999.59837962963</v>
      </c>
      <c r="C573" s="1" t="n">
        <v>46134</v>
      </c>
      <c r="D573" t="inlineStr">
        <is>
          <t>UPPSALA LÄN</t>
        </is>
      </c>
      <c r="E573" t="inlineStr">
        <is>
          <t>ÖSTHAMMAR</t>
        </is>
      </c>
      <c r="G573" t="n">
        <v>3.5</v>
      </c>
      <c r="H573" t="n">
        <v>0</v>
      </c>
      <c r="I573" t="n">
        <v>0</v>
      </c>
      <c r="J573" t="n">
        <v>0</v>
      </c>
      <c r="K573" t="n">
        <v>0</v>
      </c>
      <c r="L573" t="n">
        <v>0</v>
      </c>
      <c r="M573" t="n">
        <v>0</v>
      </c>
      <c r="N573" t="n">
        <v>0</v>
      </c>
      <c r="O573" t="n">
        <v>0</v>
      </c>
      <c r="P573" t="n">
        <v>0</v>
      </c>
      <c r="Q573" t="n">
        <v>0</v>
      </c>
      <c r="R573" s="2" t="inlineStr"/>
    </row>
    <row r="574" ht="15" customHeight="1">
      <c r="A574" t="inlineStr">
        <is>
          <t>A 60738-2025</t>
        </is>
      </c>
      <c r="B574" s="1" t="n">
        <v>45996.83506944445</v>
      </c>
      <c r="C574" s="1" t="n">
        <v>46134</v>
      </c>
      <c r="D574" t="inlineStr">
        <is>
          <t>UPPSALA LÄN</t>
        </is>
      </c>
      <c r="E574" t="inlineStr">
        <is>
          <t>ÖSTHAMMAR</t>
        </is>
      </c>
      <c r="G574" t="n">
        <v>1.8</v>
      </c>
      <c r="H574" t="n">
        <v>0</v>
      </c>
      <c r="I574" t="n">
        <v>0</v>
      </c>
      <c r="J574" t="n">
        <v>0</v>
      </c>
      <c r="K574" t="n">
        <v>0</v>
      </c>
      <c r="L574" t="n">
        <v>0</v>
      </c>
      <c r="M574" t="n">
        <v>0</v>
      </c>
      <c r="N574" t="n">
        <v>0</v>
      </c>
      <c r="O574" t="n">
        <v>0</v>
      </c>
      <c r="P574" t="n">
        <v>0</v>
      </c>
      <c r="Q574" t="n">
        <v>0</v>
      </c>
      <c r="R574" s="2" t="inlineStr"/>
    </row>
    <row r="575" ht="15" customHeight="1">
      <c r="A575" t="inlineStr">
        <is>
          <t>A 8291-2026</t>
        </is>
      </c>
      <c r="B575" s="1" t="n">
        <v>46064.56945601852</v>
      </c>
      <c r="C575" s="1" t="n">
        <v>46134</v>
      </c>
      <c r="D575" t="inlineStr">
        <is>
          <t>UPPSALA LÄN</t>
        </is>
      </c>
      <c r="E575" t="inlineStr">
        <is>
          <t>ÖSTHAMMAR</t>
        </is>
      </c>
      <c r="G575" t="n">
        <v>4.5</v>
      </c>
      <c r="H575" t="n">
        <v>0</v>
      </c>
      <c r="I575" t="n">
        <v>0</v>
      </c>
      <c r="J575" t="n">
        <v>0</v>
      </c>
      <c r="K575" t="n">
        <v>0</v>
      </c>
      <c r="L575" t="n">
        <v>0</v>
      </c>
      <c r="M575" t="n">
        <v>0</v>
      </c>
      <c r="N575" t="n">
        <v>0</v>
      </c>
      <c r="O575" t="n">
        <v>0</v>
      </c>
      <c r="P575" t="n">
        <v>0</v>
      </c>
      <c r="Q575" t="n">
        <v>0</v>
      </c>
      <c r="R575" s="2" t="inlineStr"/>
    </row>
    <row r="576" ht="15" customHeight="1">
      <c r="A576" t="inlineStr">
        <is>
          <t>A 15475-2026</t>
        </is>
      </c>
      <c r="B576" s="1" t="n">
        <v>46106.43859953704</v>
      </c>
      <c r="C576" s="1" t="n">
        <v>46134</v>
      </c>
      <c r="D576" t="inlineStr">
        <is>
          <t>UPPSALA LÄN</t>
        </is>
      </c>
      <c r="E576" t="inlineStr">
        <is>
          <t>ÖSTHAMMAR</t>
        </is>
      </c>
      <c r="G576" t="n">
        <v>2.4</v>
      </c>
      <c r="H576" t="n">
        <v>0</v>
      </c>
      <c r="I576" t="n">
        <v>0</v>
      </c>
      <c r="J576" t="n">
        <v>0</v>
      </c>
      <c r="K576" t="n">
        <v>0</v>
      </c>
      <c r="L576" t="n">
        <v>0</v>
      </c>
      <c r="M576" t="n">
        <v>0</v>
      </c>
      <c r="N576" t="n">
        <v>0</v>
      </c>
      <c r="O576" t="n">
        <v>0</v>
      </c>
      <c r="P576" t="n">
        <v>0</v>
      </c>
      <c r="Q576" t="n">
        <v>0</v>
      </c>
      <c r="R576" s="2" t="inlineStr"/>
    </row>
    <row r="577" ht="15" customHeight="1">
      <c r="A577" t="inlineStr">
        <is>
          <t>A 8269-2026</t>
        </is>
      </c>
      <c r="B577" s="1" t="n">
        <v>46064.54721064815</v>
      </c>
      <c r="C577" s="1" t="n">
        <v>46134</v>
      </c>
      <c r="D577" t="inlineStr">
        <is>
          <t>UPPSALA LÄN</t>
        </is>
      </c>
      <c r="E577" t="inlineStr">
        <is>
          <t>ÖSTHAMMAR</t>
        </is>
      </c>
      <c r="G577" t="n">
        <v>2.6</v>
      </c>
      <c r="H577" t="n">
        <v>0</v>
      </c>
      <c r="I577" t="n">
        <v>0</v>
      </c>
      <c r="J577" t="n">
        <v>0</v>
      </c>
      <c r="K577" t="n">
        <v>0</v>
      </c>
      <c r="L577" t="n">
        <v>0</v>
      </c>
      <c r="M577" t="n">
        <v>0</v>
      </c>
      <c r="N577" t="n">
        <v>0</v>
      </c>
      <c r="O577" t="n">
        <v>0</v>
      </c>
      <c r="P577" t="n">
        <v>0</v>
      </c>
      <c r="Q577" t="n">
        <v>0</v>
      </c>
      <c r="R577" s="2" t="inlineStr"/>
    </row>
    <row r="578" ht="15" customHeight="1">
      <c r="A578" t="inlineStr">
        <is>
          <t>A 17969-2023</t>
        </is>
      </c>
      <c r="B578" s="1" t="n">
        <v>45040.47081018519</v>
      </c>
      <c r="C578" s="1" t="n">
        <v>46134</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8086-2026</t>
        </is>
      </c>
      <c r="B579" s="1" t="n">
        <v>46063.70094907407</v>
      </c>
      <c r="C579" s="1" t="n">
        <v>46134</v>
      </c>
      <c r="D579" t="inlineStr">
        <is>
          <t>UPPSALA LÄN</t>
        </is>
      </c>
      <c r="E579" t="inlineStr">
        <is>
          <t>ÖSTHAMMAR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61250-2025</t>
        </is>
      </c>
      <c r="B580" s="1" t="n">
        <v>46000.66645833333</v>
      </c>
      <c r="C580" s="1" t="n">
        <v>46134</v>
      </c>
      <c r="D580" t="inlineStr">
        <is>
          <t>UPPSALA LÄN</t>
        </is>
      </c>
      <c r="E580" t="inlineStr">
        <is>
          <t>ÖSTHAMMAR</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58878-2022</t>
        </is>
      </c>
      <c r="B581" s="1" t="n">
        <v>44903</v>
      </c>
      <c r="C581" s="1" t="n">
        <v>46134</v>
      </c>
      <c r="D581" t="inlineStr">
        <is>
          <t>UPPSALA LÄN</t>
        </is>
      </c>
      <c r="E581" t="inlineStr">
        <is>
          <t>ÖSTHAMMAR</t>
        </is>
      </c>
      <c r="G581" t="n">
        <v>0.8</v>
      </c>
      <c r="H581" t="n">
        <v>0</v>
      </c>
      <c r="I581" t="n">
        <v>0</v>
      </c>
      <c r="J581" t="n">
        <v>0</v>
      </c>
      <c r="K581" t="n">
        <v>0</v>
      </c>
      <c r="L581" t="n">
        <v>0</v>
      </c>
      <c r="M581" t="n">
        <v>0</v>
      </c>
      <c r="N581" t="n">
        <v>0</v>
      </c>
      <c r="O581" t="n">
        <v>0</v>
      </c>
      <c r="P581" t="n">
        <v>0</v>
      </c>
      <c r="Q581" t="n">
        <v>0</v>
      </c>
      <c r="R581" s="2" t="inlineStr"/>
    </row>
    <row r="582" ht="15" customHeight="1">
      <c r="A582" t="inlineStr">
        <is>
          <t>A 61143-2025</t>
        </is>
      </c>
      <c r="B582" s="1" t="n">
        <v>46000.53084490741</v>
      </c>
      <c r="C582" s="1" t="n">
        <v>46134</v>
      </c>
      <c r="D582" t="inlineStr">
        <is>
          <t>UPPSALA LÄN</t>
        </is>
      </c>
      <c r="E582" t="inlineStr">
        <is>
          <t>ÖSTHAMMAR</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15640-2026</t>
        </is>
      </c>
      <c r="B583" s="1" t="n">
        <v>46106.63700231481</v>
      </c>
      <c r="C583" s="1" t="n">
        <v>46134</v>
      </c>
      <c r="D583" t="inlineStr">
        <is>
          <t>UPPSALA LÄN</t>
        </is>
      </c>
      <c r="E583" t="inlineStr">
        <is>
          <t>ÖSTHAMMAR</t>
        </is>
      </c>
      <c r="F583" t="inlineStr">
        <is>
          <t>Övriga Aktiebolag</t>
        </is>
      </c>
      <c r="G583" t="n">
        <v>7.7</v>
      </c>
      <c r="H583" t="n">
        <v>0</v>
      </c>
      <c r="I583" t="n">
        <v>0</v>
      </c>
      <c r="J583" t="n">
        <v>0</v>
      </c>
      <c r="K583" t="n">
        <v>0</v>
      </c>
      <c r="L583" t="n">
        <v>0</v>
      </c>
      <c r="M583" t="n">
        <v>0</v>
      </c>
      <c r="N583" t="n">
        <v>0</v>
      </c>
      <c r="O583" t="n">
        <v>0</v>
      </c>
      <c r="P583" t="n">
        <v>0</v>
      </c>
      <c r="Q583" t="n">
        <v>0</v>
      </c>
      <c r="R583" s="2" t="inlineStr"/>
    </row>
    <row r="584" ht="15" customHeight="1">
      <c r="A584" t="inlineStr">
        <is>
          <t>A 12528-2024</t>
        </is>
      </c>
      <c r="B584" s="1" t="n">
        <v>45379.61878472222</v>
      </c>
      <c r="C584" s="1" t="n">
        <v>46134</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61147-2025</t>
        </is>
      </c>
      <c r="B585" s="1" t="n">
        <v>46000.53493055556</v>
      </c>
      <c r="C585" s="1" t="n">
        <v>46134</v>
      </c>
      <c r="D585" t="inlineStr">
        <is>
          <t>UPPSALA LÄN</t>
        </is>
      </c>
      <c r="E585" t="inlineStr">
        <is>
          <t>ÖSTHAMMAR</t>
        </is>
      </c>
      <c r="F585" t="inlineStr">
        <is>
          <t>Bergvik skog öst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61251-2025</t>
        </is>
      </c>
      <c r="B586" s="1" t="n">
        <v>46000.6669675926</v>
      </c>
      <c r="C586" s="1" t="n">
        <v>46134</v>
      </c>
      <c r="D586" t="inlineStr">
        <is>
          <t>UPPSALA LÄN</t>
        </is>
      </c>
      <c r="E586" t="inlineStr">
        <is>
          <t>ÖSTHAMMAR</t>
        </is>
      </c>
      <c r="F586" t="inlineStr">
        <is>
          <t>Bergvik skog öst AB</t>
        </is>
      </c>
      <c r="G586" t="n">
        <v>22.2</v>
      </c>
      <c r="H586" t="n">
        <v>0</v>
      </c>
      <c r="I586" t="n">
        <v>0</v>
      </c>
      <c r="J586" t="n">
        <v>0</v>
      </c>
      <c r="K586" t="n">
        <v>0</v>
      </c>
      <c r="L586" t="n">
        <v>0</v>
      </c>
      <c r="M586" t="n">
        <v>0</v>
      </c>
      <c r="N586" t="n">
        <v>0</v>
      </c>
      <c r="O586" t="n">
        <v>0</v>
      </c>
      <c r="P586" t="n">
        <v>0</v>
      </c>
      <c r="Q586" t="n">
        <v>0</v>
      </c>
      <c r="R586" s="2" t="inlineStr"/>
    </row>
    <row r="587" ht="15" customHeight="1">
      <c r="A587" t="inlineStr">
        <is>
          <t>A 4228-2023</t>
        </is>
      </c>
      <c r="B587" s="1" t="n">
        <v>44953.48179398148</v>
      </c>
      <c r="C587" s="1" t="n">
        <v>46134</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61838-2025</t>
        </is>
      </c>
      <c r="B588" s="1" t="n">
        <v>46003.35675925926</v>
      </c>
      <c r="C588" s="1" t="n">
        <v>46134</v>
      </c>
      <c r="D588" t="inlineStr">
        <is>
          <t>UPPSALA LÄN</t>
        </is>
      </c>
      <c r="E588" t="inlineStr">
        <is>
          <t>ÖSTHAMMAR</t>
        </is>
      </c>
      <c r="G588" t="n">
        <v>1.2</v>
      </c>
      <c r="H588" t="n">
        <v>0</v>
      </c>
      <c r="I588" t="n">
        <v>0</v>
      </c>
      <c r="J588" t="n">
        <v>0</v>
      </c>
      <c r="K588" t="n">
        <v>0</v>
      </c>
      <c r="L588" t="n">
        <v>0</v>
      </c>
      <c r="M588" t="n">
        <v>0</v>
      </c>
      <c r="N588" t="n">
        <v>0</v>
      </c>
      <c r="O588" t="n">
        <v>0</v>
      </c>
      <c r="P588" t="n">
        <v>0</v>
      </c>
      <c r="Q588" t="n">
        <v>0</v>
      </c>
      <c r="R588" s="2" t="inlineStr"/>
    </row>
    <row r="589" ht="15" customHeight="1">
      <c r="A589" t="inlineStr">
        <is>
          <t>A 18091-2023</t>
        </is>
      </c>
      <c r="B589" s="1" t="n">
        <v>45040</v>
      </c>
      <c r="C589" s="1" t="n">
        <v>46134</v>
      </c>
      <c r="D589" t="inlineStr">
        <is>
          <t>UPPSALA LÄN</t>
        </is>
      </c>
      <c r="E589" t="inlineStr">
        <is>
          <t>ÖSTHAMMAR</t>
        </is>
      </c>
      <c r="G589" t="n">
        <v>2.4</v>
      </c>
      <c r="H589" t="n">
        <v>0</v>
      </c>
      <c r="I589" t="n">
        <v>0</v>
      </c>
      <c r="J589" t="n">
        <v>0</v>
      </c>
      <c r="K589" t="n">
        <v>0</v>
      </c>
      <c r="L589" t="n">
        <v>0</v>
      </c>
      <c r="M589" t="n">
        <v>0</v>
      </c>
      <c r="N589" t="n">
        <v>0</v>
      </c>
      <c r="O589" t="n">
        <v>0</v>
      </c>
      <c r="P589" t="n">
        <v>0</v>
      </c>
      <c r="Q589" t="n">
        <v>0</v>
      </c>
      <c r="R589" s="2" t="inlineStr"/>
    </row>
    <row r="590" ht="15" customHeight="1">
      <c r="A590" t="inlineStr">
        <is>
          <t>A 8014-2026</t>
        </is>
      </c>
      <c r="B590" s="1" t="n">
        <v>46063.54009259259</v>
      </c>
      <c r="C590" s="1" t="n">
        <v>46134</v>
      </c>
      <c r="D590" t="inlineStr">
        <is>
          <t>UPPSALA LÄN</t>
        </is>
      </c>
      <c r="E590" t="inlineStr">
        <is>
          <t>ÖSTHAMMAR</t>
        </is>
      </c>
      <c r="G590" t="n">
        <v>15.2</v>
      </c>
      <c r="H590" t="n">
        <v>0</v>
      </c>
      <c r="I590" t="n">
        <v>0</v>
      </c>
      <c r="J590" t="n">
        <v>0</v>
      </c>
      <c r="K590" t="n">
        <v>0</v>
      </c>
      <c r="L590" t="n">
        <v>0</v>
      </c>
      <c r="M590" t="n">
        <v>0</v>
      </c>
      <c r="N590" t="n">
        <v>0</v>
      </c>
      <c r="O590" t="n">
        <v>0</v>
      </c>
      <c r="P590" t="n">
        <v>0</v>
      </c>
      <c r="Q590" t="n">
        <v>0</v>
      </c>
      <c r="R590" s="2" t="inlineStr"/>
    </row>
    <row r="591" ht="15" customHeight="1">
      <c r="A591" t="inlineStr">
        <is>
          <t>A 13701-2026</t>
        </is>
      </c>
      <c r="B591" s="1" t="n">
        <v>46097</v>
      </c>
      <c r="C591" s="1" t="n">
        <v>46134</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66779-2021</t>
        </is>
      </c>
      <c r="B592" s="1" t="n">
        <v>44522.31700231481</v>
      </c>
      <c r="C592" s="1" t="n">
        <v>46134</v>
      </c>
      <c r="D592" t="inlineStr">
        <is>
          <t>UPPSALA LÄN</t>
        </is>
      </c>
      <c r="E592" t="inlineStr">
        <is>
          <t>ÖSTHAMMAR</t>
        </is>
      </c>
      <c r="G592" t="n">
        <v>2</v>
      </c>
      <c r="H592" t="n">
        <v>0</v>
      </c>
      <c r="I592" t="n">
        <v>0</v>
      </c>
      <c r="J592" t="n">
        <v>0</v>
      </c>
      <c r="K592" t="n">
        <v>0</v>
      </c>
      <c r="L592" t="n">
        <v>0</v>
      </c>
      <c r="M592" t="n">
        <v>0</v>
      </c>
      <c r="N592" t="n">
        <v>0</v>
      </c>
      <c r="O592" t="n">
        <v>0</v>
      </c>
      <c r="P592" t="n">
        <v>0</v>
      </c>
      <c r="Q592" t="n">
        <v>0</v>
      </c>
      <c r="R592" s="2" t="inlineStr"/>
    </row>
    <row r="593" ht="15" customHeight="1">
      <c r="A593" t="inlineStr">
        <is>
          <t>A 23197-2023</t>
        </is>
      </c>
      <c r="B593" s="1" t="n">
        <v>45075</v>
      </c>
      <c r="C593" s="1" t="n">
        <v>46134</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60079-2022</t>
        </is>
      </c>
      <c r="B594" s="1" t="n">
        <v>44909</v>
      </c>
      <c r="C594" s="1" t="n">
        <v>46134</v>
      </c>
      <c r="D594" t="inlineStr">
        <is>
          <t>UPPSALA LÄN</t>
        </is>
      </c>
      <c r="E594" t="inlineStr">
        <is>
          <t>ÖSTHAMMAR</t>
        </is>
      </c>
      <c r="G594" t="n">
        <v>9.6</v>
      </c>
      <c r="H594" t="n">
        <v>0</v>
      </c>
      <c r="I594" t="n">
        <v>0</v>
      </c>
      <c r="J594" t="n">
        <v>0</v>
      </c>
      <c r="K594" t="n">
        <v>0</v>
      </c>
      <c r="L594" t="n">
        <v>0</v>
      </c>
      <c r="M594" t="n">
        <v>0</v>
      </c>
      <c r="N594" t="n">
        <v>0</v>
      </c>
      <c r="O594" t="n">
        <v>0</v>
      </c>
      <c r="P594" t="n">
        <v>0</v>
      </c>
      <c r="Q594" t="n">
        <v>0</v>
      </c>
      <c r="R594" s="2" t="inlineStr"/>
    </row>
    <row r="595" ht="15" customHeight="1">
      <c r="A595" t="inlineStr">
        <is>
          <t>A 9267-2024</t>
        </is>
      </c>
      <c r="B595" s="1" t="n">
        <v>45358</v>
      </c>
      <c r="C595" s="1" t="n">
        <v>46134</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62745-2025</t>
        </is>
      </c>
      <c r="B596" s="1" t="n">
        <v>46008.57596064815</v>
      </c>
      <c r="C596" s="1" t="n">
        <v>46134</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33758-2024</t>
        </is>
      </c>
      <c r="B597" s="1" t="n">
        <v>45520.56896990741</v>
      </c>
      <c r="C597" s="1" t="n">
        <v>46134</v>
      </c>
      <c r="D597" t="inlineStr">
        <is>
          <t>UPPSALA LÄN</t>
        </is>
      </c>
      <c r="E597" t="inlineStr">
        <is>
          <t>ÖSTHAMMAR</t>
        </is>
      </c>
      <c r="G597" t="n">
        <v>6.5</v>
      </c>
      <c r="H597" t="n">
        <v>0</v>
      </c>
      <c r="I597" t="n">
        <v>0</v>
      </c>
      <c r="J597" t="n">
        <v>0</v>
      </c>
      <c r="K597" t="n">
        <v>0</v>
      </c>
      <c r="L597" t="n">
        <v>0</v>
      </c>
      <c r="M597" t="n">
        <v>0</v>
      </c>
      <c r="N597" t="n">
        <v>0</v>
      </c>
      <c r="O597" t="n">
        <v>0</v>
      </c>
      <c r="P597" t="n">
        <v>0</v>
      </c>
      <c r="Q597" t="n">
        <v>0</v>
      </c>
      <c r="R597" s="2" t="inlineStr"/>
    </row>
    <row r="598" ht="15" customHeight="1">
      <c r="A598" t="inlineStr">
        <is>
          <t>A 8030-2026</t>
        </is>
      </c>
      <c r="B598" s="1" t="n">
        <v>46063.57956018519</v>
      </c>
      <c r="C598" s="1" t="n">
        <v>46134</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35316-2024</t>
        </is>
      </c>
      <c r="B599" s="1" t="n">
        <v>45530.68873842592</v>
      </c>
      <c r="C599" s="1" t="n">
        <v>46134</v>
      </c>
      <c r="D599" t="inlineStr">
        <is>
          <t>UPPSALA LÄN</t>
        </is>
      </c>
      <c r="E599" t="inlineStr">
        <is>
          <t>ÖSTHAMMAR</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38571-2023</t>
        </is>
      </c>
      <c r="B600" s="1" t="n">
        <v>45162.6177662037</v>
      </c>
      <c r="C600" s="1" t="n">
        <v>46134</v>
      </c>
      <c r="D600" t="inlineStr">
        <is>
          <t>UPPSALA LÄN</t>
        </is>
      </c>
      <c r="E600" t="inlineStr">
        <is>
          <t>ÖSTHAMMAR</t>
        </is>
      </c>
      <c r="F600" t="inlineStr">
        <is>
          <t>Bergvik skog öst AB</t>
        </is>
      </c>
      <c r="G600" t="n">
        <v>1.1</v>
      </c>
      <c r="H600" t="n">
        <v>0</v>
      </c>
      <c r="I600" t="n">
        <v>0</v>
      </c>
      <c r="J600" t="n">
        <v>0</v>
      </c>
      <c r="K600" t="n">
        <v>0</v>
      </c>
      <c r="L600" t="n">
        <v>0</v>
      </c>
      <c r="M600" t="n">
        <v>0</v>
      </c>
      <c r="N600" t="n">
        <v>0</v>
      </c>
      <c r="O600" t="n">
        <v>0</v>
      </c>
      <c r="P600" t="n">
        <v>0</v>
      </c>
      <c r="Q600" t="n">
        <v>0</v>
      </c>
      <c r="R600" s="2" t="inlineStr"/>
    </row>
    <row r="601" ht="15" customHeight="1">
      <c r="A601" t="inlineStr">
        <is>
          <t>A 15478-2026</t>
        </is>
      </c>
      <c r="B601" s="1" t="n">
        <v>46106.44582175926</v>
      </c>
      <c r="C601" s="1" t="n">
        <v>46134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7560-2023</t>
        </is>
      </c>
      <c r="B602" s="1" t="n">
        <v>44972.34811342593</v>
      </c>
      <c r="C602" s="1" t="n">
        <v>46134</v>
      </c>
      <c r="D602" t="inlineStr">
        <is>
          <t>UPPSALA LÄN</t>
        </is>
      </c>
      <c r="E602" t="inlineStr">
        <is>
          <t>ÖSTHAMMAR</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44184-2024</t>
        </is>
      </c>
      <c r="B603" s="1" t="n">
        <v>45572</v>
      </c>
      <c r="C603" s="1" t="n">
        <v>46134</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48083-2024</t>
        </is>
      </c>
      <c r="B604" s="1" t="n">
        <v>45589.58766203704</v>
      </c>
      <c r="C604" s="1" t="n">
        <v>46134</v>
      </c>
      <c r="D604" t="inlineStr">
        <is>
          <t>UPPSALA LÄN</t>
        </is>
      </c>
      <c r="E604" t="inlineStr">
        <is>
          <t>ÖSTHAMMAR</t>
        </is>
      </c>
      <c r="G604" t="n">
        <v>3</v>
      </c>
      <c r="H604" t="n">
        <v>0</v>
      </c>
      <c r="I604" t="n">
        <v>0</v>
      </c>
      <c r="J604" t="n">
        <v>0</v>
      </c>
      <c r="K604" t="n">
        <v>0</v>
      </c>
      <c r="L604" t="n">
        <v>0</v>
      </c>
      <c r="M604" t="n">
        <v>0</v>
      </c>
      <c r="N604" t="n">
        <v>0</v>
      </c>
      <c r="O604" t="n">
        <v>0</v>
      </c>
      <c r="P604" t="n">
        <v>0</v>
      </c>
      <c r="Q604" t="n">
        <v>0</v>
      </c>
      <c r="R604" s="2" t="inlineStr"/>
    </row>
    <row r="605" ht="15" customHeight="1">
      <c r="A605" t="inlineStr">
        <is>
          <t>A 74436-2021</t>
        </is>
      </c>
      <c r="B605" s="1" t="n">
        <v>44560.4502199074</v>
      </c>
      <c r="C605" s="1" t="n">
        <v>46134</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15744-2026</t>
        </is>
      </c>
      <c r="B606" s="1" t="n">
        <v>46107.4175462963</v>
      </c>
      <c r="C606" s="1" t="n">
        <v>46134</v>
      </c>
      <c r="D606" t="inlineStr">
        <is>
          <t>UPPSALA LÄN</t>
        </is>
      </c>
      <c r="E606" t="inlineStr">
        <is>
          <t>ÖSTHAMMAR</t>
        </is>
      </c>
      <c r="F606" t="inlineStr">
        <is>
          <t>Bergvik skog öst AB</t>
        </is>
      </c>
      <c r="G606" t="n">
        <v>7.8</v>
      </c>
      <c r="H606" t="n">
        <v>0</v>
      </c>
      <c r="I606" t="n">
        <v>0</v>
      </c>
      <c r="J606" t="n">
        <v>0</v>
      </c>
      <c r="K606" t="n">
        <v>0</v>
      </c>
      <c r="L606" t="n">
        <v>0</v>
      </c>
      <c r="M606" t="n">
        <v>0</v>
      </c>
      <c r="N606" t="n">
        <v>0</v>
      </c>
      <c r="O606" t="n">
        <v>0</v>
      </c>
      <c r="P606" t="n">
        <v>0</v>
      </c>
      <c r="Q606" t="n">
        <v>0</v>
      </c>
      <c r="R606" s="2" t="inlineStr"/>
    </row>
    <row r="607" ht="15" customHeight="1">
      <c r="A607" t="inlineStr">
        <is>
          <t>A 8789-2026</t>
        </is>
      </c>
      <c r="B607" s="1" t="n">
        <v>46066.58792824074</v>
      </c>
      <c r="C607" s="1" t="n">
        <v>46134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32778-2023</t>
        </is>
      </c>
      <c r="B608" s="1" t="n">
        <v>45123.88789351852</v>
      </c>
      <c r="C608" s="1" t="n">
        <v>46134</v>
      </c>
      <c r="D608" t="inlineStr">
        <is>
          <t>UPPSALA LÄN</t>
        </is>
      </c>
      <c r="E608" t="inlineStr">
        <is>
          <t>ÖSTHAMMAR</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33680-2024</t>
        </is>
      </c>
      <c r="B609" s="1" t="n">
        <v>45520.50712962963</v>
      </c>
      <c r="C609" s="1" t="n">
        <v>46134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15452-2026</t>
        </is>
      </c>
      <c r="B610" s="1" t="n">
        <v>46106.4181712963</v>
      </c>
      <c r="C610" s="1" t="n">
        <v>46134</v>
      </c>
      <c r="D610" t="inlineStr">
        <is>
          <t>UPPSALA LÄN</t>
        </is>
      </c>
      <c r="E610" t="inlineStr">
        <is>
          <t>ÖSTHAMMAR</t>
        </is>
      </c>
      <c r="G610" t="n">
        <v>0.7</v>
      </c>
      <c r="H610" t="n">
        <v>0</v>
      </c>
      <c r="I610" t="n">
        <v>0</v>
      </c>
      <c r="J610" t="n">
        <v>0</v>
      </c>
      <c r="K610" t="n">
        <v>0</v>
      </c>
      <c r="L610" t="n">
        <v>0</v>
      </c>
      <c r="M610" t="n">
        <v>0</v>
      </c>
      <c r="N610" t="n">
        <v>0</v>
      </c>
      <c r="O610" t="n">
        <v>0</v>
      </c>
      <c r="P610" t="n">
        <v>0</v>
      </c>
      <c r="Q610" t="n">
        <v>0</v>
      </c>
      <c r="R610" s="2" t="inlineStr"/>
    </row>
    <row r="611" ht="15" customHeight="1">
      <c r="A611" t="inlineStr">
        <is>
          <t>A 7944-2023</t>
        </is>
      </c>
      <c r="B611" s="1" t="n">
        <v>44973.66458333333</v>
      </c>
      <c r="C611" s="1" t="n">
        <v>46134</v>
      </c>
      <c r="D611" t="inlineStr">
        <is>
          <t>UPPSALA LÄN</t>
        </is>
      </c>
      <c r="E611" t="inlineStr">
        <is>
          <t>ÖSTHAMMAR</t>
        </is>
      </c>
      <c r="G611" t="n">
        <v>4.6</v>
      </c>
      <c r="H611" t="n">
        <v>0</v>
      </c>
      <c r="I611" t="n">
        <v>0</v>
      </c>
      <c r="J611" t="n">
        <v>0</v>
      </c>
      <c r="K611" t="n">
        <v>0</v>
      </c>
      <c r="L611" t="n">
        <v>0</v>
      </c>
      <c r="M611" t="n">
        <v>0</v>
      </c>
      <c r="N611" t="n">
        <v>0</v>
      </c>
      <c r="O611" t="n">
        <v>0</v>
      </c>
      <c r="P611" t="n">
        <v>0</v>
      </c>
      <c r="Q611" t="n">
        <v>0</v>
      </c>
      <c r="R611" s="2" t="inlineStr"/>
    </row>
    <row r="612" ht="15" customHeight="1">
      <c r="A612" t="inlineStr">
        <is>
          <t>A 8525-2026</t>
        </is>
      </c>
      <c r="B612" s="1" t="n">
        <v>46065.58760416666</v>
      </c>
      <c r="C612" s="1" t="n">
        <v>46134</v>
      </c>
      <c r="D612" t="inlineStr">
        <is>
          <t>UPPSALA LÄN</t>
        </is>
      </c>
      <c r="E612" t="inlineStr">
        <is>
          <t>ÖSTHAMMAR</t>
        </is>
      </c>
      <c r="F612" t="inlineStr">
        <is>
          <t>Övriga Aktiebolag</t>
        </is>
      </c>
      <c r="G612" t="n">
        <v>4.8</v>
      </c>
      <c r="H612" t="n">
        <v>0</v>
      </c>
      <c r="I612" t="n">
        <v>0</v>
      </c>
      <c r="J612" t="n">
        <v>0</v>
      </c>
      <c r="K612" t="n">
        <v>0</v>
      </c>
      <c r="L612" t="n">
        <v>0</v>
      </c>
      <c r="M612" t="n">
        <v>0</v>
      </c>
      <c r="N612" t="n">
        <v>0</v>
      </c>
      <c r="O612" t="n">
        <v>0</v>
      </c>
      <c r="P612" t="n">
        <v>0</v>
      </c>
      <c r="Q612" t="n">
        <v>0</v>
      </c>
      <c r="R612" s="2" t="inlineStr"/>
    </row>
    <row r="613" ht="15" customHeight="1">
      <c r="A613" t="inlineStr">
        <is>
          <t>A 8530-2026</t>
        </is>
      </c>
      <c r="B613" s="1" t="n">
        <v>46065.60075231481</v>
      </c>
      <c r="C613" s="1" t="n">
        <v>46134</v>
      </c>
      <c r="D613" t="inlineStr">
        <is>
          <t>UPPSALA LÄN</t>
        </is>
      </c>
      <c r="E613" t="inlineStr">
        <is>
          <t>ÖSTHAMMAR</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8616-2023</t>
        </is>
      </c>
      <c r="B614" s="1" t="n">
        <v>44977</v>
      </c>
      <c r="C614" s="1" t="n">
        <v>46134</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16038-2026</t>
        </is>
      </c>
      <c r="B615" s="1" t="n">
        <v>46108</v>
      </c>
      <c r="C615" s="1" t="n">
        <v>46134</v>
      </c>
      <c r="D615" t="inlineStr">
        <is>
          <t>UPPSALA LÄN</t>
        </is>
      </c>
      <c r="E615" t="inlineStr">
        <is>
          <t>ÖSTHAMMAR</t>
        </is>
      </c>
      <c r="G615" t="n">
        <v>2.2</v>
      </c>
      <c r="H615" t="n">
        <v>0</v>
      </c>
      <c r="I615" t="n">
        <v>0</v>
      </c>
      <c r="J615" t="n">
        <v>0</v>
      </c>
      <c r="K615" t="n">
        <v>0</v>
      </c>
      <c r="L615" t="n">
        <v>0</v>
      </c>
      <c r="M615" t="n">
        <v>0</v>
      </c>
      <c r="N615" t="n">
        <v>0</v>
      </c>
      <c r="O615" t="n">
        <v>0</v>
      </c>
      <c r="P615" t="n">
        <v>0</v>
      </c>
      <c r="Q615" t="n">
        <v>0</v>
      </c>
      <c r="R615" s="2" t="inlineStr"/>
    </row>
    <row r="616" ht="15" customHeight="1">
      <c r="A616" t="inlineStr">
        <is>
          <t>A 16640-2026</t>
        </is>
      </c>
      <c r="B616" s="1" t="n">
        <v>46112.63155092593</v>
      </c>
      <c r="C616" s="1" t="n">
        <v>46134</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16601-2026</t>
        </is>
      </c>
      <c r="B617" s="1" t="n">
        <v>46112.59744212963</v>
      </c>
      <c r="C617" s="1" t="n">
        <v>46134</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1567-2025</t>
        </is>
      </c>
      <c r="B618" s="1" t="n">
        <v>45670</v>
      </c>
      <c r="C618" s="1" t="n">
        <v>46134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16042-2026</t>
        </is>
      </c>
      <c r="B619" s="1" t="n">
        <v>46108</v>
      </c>
      <c r="C619" s="1" t="n">
        <v>46134</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16494-2026</t>
        </is>
      </c>
      <c r="B620" s="1" t="n">
        <v>46112.43229166666</v>
      </c>
      <c r="C620" s="1" t="n">
        <v>46134</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16614-2026</t>
        </is>
      </c>
      <c r="B621" s="1" t="n">
        <v>46112.60460648148</v>
      </c>
      <c r="C621" s="1" t="n">
        <v>46134</v>
      </c>
      <c r="D621" t="inlineStr">
        <is>
          <t>UPPSALA LÄN</t>
        </is>
      </c>
      <c r="E621" t="inlineStr">
        <is>
          <t>ÖSTHAMMAR</t>
        </is>
      </c>
      <c r="F621" t="inlineStr">
        <is>
          <t>Bergvik skog öst AB</t>
        </is>
      </c>
      <c r="G621" t="n">
        <v>2.4</v>
      </c>
      <c r="H621" t="n">
        <v>0</v>
      </c>
      <c r="I621" t="n">
        <v>0</v>
      </c>
      <c r="J621" t="n">
        <v>0</v>
      </c>
      <c r="K621" t="n">
        <v>0</v>
      </c>
      <c r="L621" t="n">
        <v>0</v>
      </c>
      <c r="M621" t="n">
        <v>0</v>
      </c>
      <c r="N621" t="n">
        <v>0</v>
      </c>
      <c r="O621" t="n">
        <v>0</v>
      </c>
      <c r="P621" t="n">
        <v>0</v>
      </c>
      <c r="Q621" t="n">
        <v>0</v>
      </c>
      <c r="R621" s="2" t="inlineStr"/>
    </row>
    <row r="622" ht="15" customHeight="1">
      <c r="A622" t="inlineStr">
        <is>
          <t>A 73965-2021</t>
        </is>
      </c>
      <c r="B622" s="1" t="n">
        <v>44553.80824074074</v>
      </c>
      <c r="C622" s="1" t="n">
        <v>46134</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16608-2026</t>
        </is>
      </c>
      <c r="B623" s="1" t="n">
        <v>46112.60068287037</v>
      </c>
      <c r="C623" s="1" t="n">
        <v>46134</v>
      </c>
      <c r="D623" t="inlineStr">
        <is>
          <t>UPPSALA LÄN</t>
        </is>
      </c>
      <c r="E623" t="inlineStr">
        <is>
          <t>ÖSTHAMMAR</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73592-2021</t>
        </is>
      </c>
      <c r="B624" s="1" t="n">
        <v>44552.36974537037</v>
      </c>
      <c r="C624" s="1" t="n">
        <v>46134</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16522-2026</t>
        </is>
      </c>
      <c r="B625" s="1" t="n">
        <v>46112.46268518519</v>
      </c>
      <c r="C625" s="1" t="n">
        <v>46134</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16612-2026</t>
        </is>
      </c>
      <c r="B626" s="1" t="n">
        <v>46112.60299768519</v>
      </c>
      <c r="C626" s="1" t="n">
        <v>46134</v>
      </c>
      <c r="D626" t="inlineStr">
        <is>
          <t>UPPSALA LÄN</t>
        </is>
      </c>
      <c r="E626" t="inlineStr">
        <is>
          <t>ÖSTHAMMAR</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31479-2023</t>
        </is>
      </c>
      <c r="B627" s="1" t="n">
        <v>45114.79793981482</v>
      </c>
      <c r="C627" s="1" t="n">
        <v>46134</v>
      </c>
      <c r="D627" t="inlineStr">
        <is>
          <t>UPPSALA LÄN</t>
        </is>
      </c>
      <c r="E627" t="inlineStr">
        <is>
          <t>ÖSTHAMMAR</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16359-2026</t>
        </is>
      </c>
      <c r="B628" s="1" t="n">
        <v>46111.60564814815</v>
      </c>
      <c r="C628" s="1" t="n">
        <v>46134</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16498-2026</t>
        </is>
      </c>
      <c r="B629" s="1" t="n">
        <v>46112.43565972222</v>
      </c>
      <c r="C629" s="1" t="n">
        <v>46134</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24128-2023</t>
        </is>
      </c>
      <c r="B630" s="1" t="n">
        <v>45079.50289351852</v>
      </c>
      <c r="C630" s="1" t="n">
        <v>46134</v>
      </c>
      <c r="D630" t="inlineStr">
        <is>
          <t>UPPSALA LÄN</t>
        </is>
      </c>
      <c r="E630" t="inlineStr">
        <is>
          <t>ÖSTHAMMAR</t>
        </is>
      </c>
      <c r="G630" t="n">
        <v>0.6</v>
      </c>
      <c r="H630" t="n">
        <v>0</v>
      </c>
      <c r="I630" t="n">
        <v>0</v>
      </c>
      <c r="J630" t="n">
        <v>0</v>
      </c>
      <c r="K630" t="n">
        <v>0</v>
      </c>
      <c r="L630" t="n">
        <v>0</v>
      </c>
      <c r="M630" t="n">
        <v>0</v>
      </c>
      <c r="N630" t="n">
        <v>0</v>
      </c>
      <c r="O630" t="n">
        <v>0</v>
      </c>
      <c r="P630" t="n">
        <v>0</v>
      </c>
      <c r="Q630" t="n">
        <v>0</v>
      </c>
      <c r="R630" s="2" t="inlineStr"/>
    </row>
    <row r="631" ht="15" customHeight="1">
      <c r="A631" t="inlineStr">
        <is>
          <t>A 35918-2023</t>
        </is>
      </c>
      <c r="B631" s="1" t="n">
        <v>45148.64976851852</v>
      </c>
      <c r="C631" s="1" t="n">
        <v>46134</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16796-2026</t>
        </is>
      </c>
      <c r="B632" s="1" t="n">
        <v>46113.47394675926</v>
      </c>
      <c r="C632" s="1" t="n">
        <v>46134</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9666-2026</t>
        </is>
      </c>
      <c r="B633" s="1" t="n">
        <v>46072.36847222222</v>
      </c>
      <c r="C633" s="1" t="n">
        <v>46134</v>
      </c>
      <c r="D633" t="inlineStr">
        <is>
          <t>UPPSALA LÄN</t>
        </is>
      </c>
      <c r="E633" t="inlineStr">
        <is>
          <t>ÖSTHAMMAR</t>
        </is>
      </c>
      <c r="F633" t="inlineStr">
        <is>
          <t>Bergvik skog öst AB</t>
        </is>
      </c>
      <c r="G633" t="n">
        <v>12.8</v>
      </c>
      <c r="H633" t="n">
        <v>0</v>
      </c>
      <c r="I633" t="n">
        <v>0</v>
      </c>
      <c r="J633" t="n">
        <v>0</v>
      </c>
      <c r="K633" t="n">
        <v>0</v>
      </c>
      <c r="L633" t="n">
        <v>0</v>
      </c>
      <c r="M633" t="n">
        <v>0</v>
      </c>
      <c r="N633" t="n">
        <v>0</v>
      </c>
      <c r="O633" t="n">
        <v>0</v>
      </c>
      <c r="P633" t="n">
        <v>0</v>
      </c>
      <c r="Q633" t="n">
        <v>0</v>
      </c>
      <c r="R633" s="2" t="inlineStr"/>
    </row>
    <row r="634" ht="15" customHeight="1">
      <c r="A634" t="inlineStr">
        <is>
          <t>A 16788-2026</t>
        </is>
      </c>
      <c r="B634" s="1" t="n">
        <v>46113.46101851852</v>
      </c>
      <c r="C634" s="1" t="n">
        <v>46134</v>
      </c>
      <c r="D634" t="inlineStr">
        <is>
          <t>UPPSALA LÄN</t>
        </is>
      </c>
      <c r="E634" t="inlineStr">
        <is>
          <t>ÖSTHAMMAR</t>
        </is>
      </c>
      <c r="G634" t="n">
        <v>0.8</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46134</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1527-2025</t>
        </is>
      </c>
      <c r="B636" s="1" t="n">
        <v>45670</v>
      </c>
      <c r="C636" s="1" t="n">
        <v>46134</v>
      </c>
      <c r="D636" t="inlineStr">
        <is>
          <t>UPPSALA LÄN</t>
        </is>
      </c>
      <c r="E636" t="inlineStr">
        <is>
          <t>ÖSTHAMMAR</t>
        </is>
      </c>
      <c r="F636" t="inlineStr">
        <is>
          <t>Bergvik skog öst AB</t>
        </is>
      </c>
      <c r="G636" t="n">
        <v>7.7</v>
      </c>
      <c r="H636" t="n">
        <v>0</v>
      </c>
      <c r="I636" t="n">
        <v>0</v>
      </c>
      <c r="J636" t="n">
        <v>0</v>
      </c>
      <c r="K636" t="n">
        <v>0</v>
      </c>
      <c r="L636" t="n">
        <v>0</v>
      </c>
      <c r="M636" t="n">
        <v>0</v>
      </c>
      <c r="N636" t="n">
        <v>0</v>
      </c>
      <c r="O636" t="n">
        <v>0</v>
      </c>
      <c r="P636" t="n">
        <v>0</v>
      </c>
      <c r="Q636" t="n">
        <v>0</v>
      </c>
      <c r="R636" s="2" t="inlineStr"/>
    </row>
    <row r="637" ht="15" customHeight="1">
      <c r="A637" t="inlineStr">
        <is>
          <t>A 35474-2023</t>
        </is>
      </c>
      <c r="B637" s="1" t="n">
        <v>45146.68921296296</v>
      </c>
      <c r="C637" s="1" t="n">
        <v>46134</v>
      </c>
      <c r="D637" t="inlineStr">
        <is>
          <t>UPPSALA LÄN</t>
        </is>
      </c>
      <c r="E637" t="inlineStr">
        <is>
          <t>ÖSTHAMMAR</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26303-2024</t>
        </is>
      </c>
      <c r="B638" s="1" t="n">
        <v>45468</v>
      </c>
      <c r="C638" s="1" t="n">
        <v>46134</v>
      </c>
      <c r="D638" t="inlineStr">
        <is>
          <t>UPPSALA LÄN</t>
        </is>
      </c>
      <c r="E638" t="inlineStr">
        <is>
          <t>ÖSTHAMMAR</t>
        </is>
      </c>
      <c r="G638" t="n">
        <v>1.2</v>
      </c>
      <c r="H638" t="n">
        <v>0</v>
      </c>
      <c r="I638" t="n">
        <v>0</v>
      </c>
      <c r="J638" t="n">
        <v>0</v>
      </c>
      <c r="K638" t="n">
        <v>0</v>
      </c>
      <c r="L638" t="n">
        <v>0</v>
      </c>
      <c r="M638" t="n">
        <v>0</v>
      </c>
      <c r="N638" t="n">
        <v>0</v>
      </c>
      <c r="O638" t="n">
        <v>0</v>
      </c>
      <c r="P638" t="n">
        <v>0</v>
      </c>
      <c r="Q638" t="n">
        <v>0</v>
      </c>
      <c r="R638" s="2" t="inlineStr"/>
    </row>
    <row r="639" ht="15" customHeight="1">
      <c r="A639" t="inlineStr">
        <is>
          <t>A 9664-2026</t>
        </is>
      </c>
      <c r="B639" s="1" t="n">
        <v>46072.36732638889</v>
      </c>
      <c r="C639" s="1" t="n">
        <v>46134</v>
      </c>
      <c r="D639" t="inlineStr">
        <is>
          <t>UPPSALA LÄN</t>
        </is>
      </c>
      <c r="E639" t="inlineStr">
        <is>
          <t>ÖSTHAMMAR</t>
        </is>
      </c>
      <c r="F639" t="inlineStr">
        <is>
          <t>Bergvik skog öst AB</t>
        </is>
      </c>
      <c r="G639" t="n">
        <v>0.3</v>
      </c>
      <c r="H639" t="n">
        <v>0</v>
      </c>
      <c r="I639" t="n">
        <v>0</v>
      </c>
      <c r="J639" t="n">
        <v>0</v>
      </c>
      <c r="K639" t="n">
        <v>0</v>
      </c>
      <c r="L639" t="n">
        <v>0</v>
      </c>
      <c r="M639" t="n">
        <v>0</v>
      </c>
      <c r="N639" t="n">
        <v>0</v>
      </c>
      <c r="O639" t="n">
        <v>0</v>
      </c>
      <c r="P639" t="n">
        <v>0</v>
      </c>
      <c r="Q639" t="n">
        <v>0</v>
      </c>
      <c r="R639" s="2" t="inlineStr"/>
    </row>
    <row r="640" ht="15" customHeight="1">
      <c r="A640" t="inlineStr">
        <is>
          <t>A 44152-2024</t>
        </is>
      </c>
      <c r="B640" s="1" t="n">
        <v>45572</v>
      </c>
      <c r="C640" s="1" t="n">
        <v>46134</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4561-2022</t>
        </is>
      </c>
      <c r="B641" s="1" t="n">
        <v>44591.59170138889</v>
      </c>
      <c r="C641" s="1" t="n">
        <v>46134</v>
      </c>
      <c r="D641" t="inlineStr">
        <is>
          <t>UPPSALA LÄN</t>
        </is>
      </c>
      <c r="E641" t="inlineStr">
        <is>
          <t>ÖSTHAMMAR</t>
        </is>
      </c>
      <c r="F641" t="inlineStr">
        <is>
          <t>Bergvik skog öst AB</t>
        </is>
      </c>
      <c r="G641" t="n">
        <v>1.5</v>
      </c>
      <c r="H641" t="n">
        <v>0</v>
      </c>
      <c r="I641" t="n">
        <v>0</v>
      </c>
      <c r="J641" t="n">
        <v>0</v>
      </c>
      <c r="K641" t="n">
        <v>0</v>
      </c>
      <c r="L641" t="n">
        <v>0</v>
      </c>
      <c r="M641" t="n">
        <v>0</v>
      </c>
      <c r="N641" t="n">
        <v>0</v>
      </c>
      <c r="O641" t="n">
        <v>0</v>
      </c>
      <c r="P641" t="n">
        <v>0</v>
      </c>
      <c r="Q641" t="n">
        <v>0</v>
      </c>
      <c r="R641" s="2" t="inlineStr"/>
    </row>
    <row r="642" ht="15" customHeight="1">
      <c r="A642" t="inlineStr">
        <is>
          <t>A 17651-2025</t>
        </is>
      </c>
      <c r="B642" s="1" t="n">
        <v>45758.33304398148</v>
      </c>
      <c r="C642" s="1" t="n">
        <v>46134</v>
      </c>
      <c r="D642" t="inlineStr">
        <is>
          <t>UPPSALA LÄN</t>
        </is>
      </c>
      <c r="E642" t="inlineStr">
        <is>
          <t>ÖSTHAMMAR</t>
        </is>
      </c>
      <c r="F642" t="inlineStr">
        <is>
          <t>Bergvik skog väst AB</t>
        </is>
      </c>
      <c r="G642" t="n">
        <v>1.8</v>
      </c>
      <c r="H642" t="n">
        <v>0</v>
      </c>
      <c r="I642" t="n">
        <v>0</v>
      </c>
      <c r="J642" t="n">
        <v>0</v>
      </c>
      <c r="K642" t="n">
        <v>0</v>
      </c>
      <c r="L642" t="n">
        <v>0</v>
      </c>
      <c r="M642" t="n">
        <v>0</v>
      </c>
      <c r="N642" t="n">
        <v>0</v>
      </c>
      <c r="O642" t="n">
        <v>0</v>
      </c>
      <c r="P642" t="n">
        <v>0</v>
      </c>
      <c r="Q642" t="n">
        <v>0</v>
      </c>
      <c r="R642" s="2" t="inlineStr"/>
    </row>
    <row r="643" ht="15" customHeight="1">
      <c r="A643" t="inlineStr">
        <is>
          <t>A 17198-2026</t>
        </is>
      </c>
      <c r="B643" s="1" t="n">
        <v>46118.60039351852</v>
      </c>
      <c r="C643" s="1" t="n">
        <v>46134</v>
      </c>
      <c r="D643" t="inlineStr">
        <is>
          <t>UPPSALA LÄN</t>
        </is>
      </c>
      <c r="E643" t="inlineStr">
        <is>
          <t>ÖSTHAMMAR</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10290-2025</t>
        </is>
      </c>
      <c r="B644" s="1" t="n">
        <v>45720.41847222222</v>
      </c>
      <c r="C644" s="1" t="n">
        <v>46134</v>
      </c>
      <c r="D644" t="inlineStr">
        <is>
          <t>UPPSALA LÄN</t>
        </is>
      </c>
      <c r="E644" t="inlineStr">
        <is>
          <t>ÖSTHAMMAR</t>
        </is>
      </c>
      <c r="G644" t="n">
        <v>8.6</v>
      </c>
      <c r="H644" t="n">
        <v>0</v>
      </c>
      <c r="I644" t="n">
        <v>0</v>
      </c>
      <c r="J644" t="n">
        <v>0</v>
      </c>
      <c r="K644" t="n">
        <v>0</v>
      </c>
      <c r="L644" t="n">
        <v>0</v>
      </c>
      <c r="M644" t="n">
        <v>0</v>
      </c>
      <c r="N644" t="n">
        <v>0</v>
      </c>
      <c r="O644" t="n">
        <v>0</v>
      </c>
      <c r="P644" t="n">
        <v>0</v>
      </c>
      <c r="Q644" t="n">
        <v>0</v>
      </c>
      <c r="R644" s="2" t="inlineStr"/>
    </row>
    <row r="645" ht="15" customHeight="1">
      <c r="A645" t="inlineStr">
        <is>
          <t>A 45102-2024</t>
        </is>
      </c>
      <c r="B645" s="1" t="n">
        <v>45575.58836805556</v>
      </c>
      <c r="C645" s="1" t="n">
        <v>46134</v>
      </c>
      <c r="D645" t="inlineStr">
        <is>
          <t>UPPSALA LÄN</t>
        </is>
      </c>
      <c r="E645" t="inlineStr">
        <is>
          <t>ÖSTHAMMAR</t>
        </is>
      </c>
      <c r="G645" t="n">
        <v>8.6</v>
      </c>
      <c r="H645" t="n">
        <v>0</v>
      </c>
      <c r="I645" t="n">
        <v>0</v>
      </c>
      <c r="J645" t="n">
        <v>0</v>
      </c>
      <c r="K645" t="n">
        <v>0</v>
      </c>
      <c r="L645" t="n">
        <v>0</v>
      </c>
      <c r="M645" t="n">
        <v>0</v>
      </c>
      <c r="N645" t="n">
        <v>0</v>
      </c>
      <c r="O645" t="n">
        <v>0</v>
      </c>
      <c r="P645" t="n">
        <v>0</v>
      </c>
      <c r="Q645" t="n">
        <v>0</v>
      </c>
      <c r="R645" s="2" t="inlineStr"/>
    </row>
    <row r="646" ht="15" customHeight="1">
      <c r="A646" t="inlineStr">
        <is>
          <t>A 45307-2023</t>
        </is>
      </c>
      <c r="B646" s="1" t="n">
        <v>45191</v>
      </c>
      <c r="C646" s="1" t="n">
        <v>46134</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6661-2024</t>
        </is>
      </c>
      <c r="B647" s="1" t="n">
        <v>45341.70582175926</v>
      </c>
      <c r="C647" s="1" t="n">
        <v>46134</v>
      </c>
      <c r="D647" t="inlineStr">
        <is>
          <t>UPPSALA LÄN</t>
        </is>
      </c>
      <c r="E647" t="inlineStr">
        <is>
          <t>ÖSTHAMMAR</t>
        </is>
      </c>
      <c r="G647" t="n">
        <v>0.2</v>
      </c>
      <c r="H647" t="n">
        <v>0</v>
      </c>
      <c r="I647" t="n">
        <v>0</v>
      </c>
      <c r="J647" t="n">
        <v>0</v>
      </c>
      <c r="K647" t="n">
        <v>0</v>
      </c>
      <c r="L647" t="n">
        <v>0</v>
      </c>
      <c r="M647" t="n">
        <v>0</v>
      </c>
      <c r="N647" t="n">
        <v>0</v>
      </c>
      <c r="O647" t="n">
        <v>0</v>
      </c>
      <c r="P647" t="n">
        <v>0</v>
      </c>
      <c r="Q647" t="n">
        <v>0</v>
      </c>
      <c r="R647" s="2" t="inlineStr"/>
    </row>
    <row r="648" ht="15" customHeight="1">
      <c r="A648" t="inlineStr">
        <is>
          <t>A 4101-2022</t>
        </is>
      </c>
      <c r="B648" s="1" t="n">
        <v>44588</v>
      </c>
      <c r="C648" s="1" t="n">
        <v>46134</v>
      </c>
      <c r="D648" t="inlineStr">
        <is>
          <t>UPPSALA LÄN</t>
        </is>
      </c>
      <c r="E648" t="inlineStr">
        <is>
          <t>ÖSTHAMMAR</t>
        </is>
      </c>
      <c r="G648" t="n">
        <v>4.4</v>
      </c>
      <c r="H648" t="n">
        <v>0</v>
      </c>
      <c r="I648" t="n">
        <v>0</v>
      </c>
      <c r="J648" t="n">
        <v>0</v>
      </c>
      <c r="K648" t="n">
        <v>0</v>
      </c>
      <c r="L648" t="n">
        <v>0</v>
      </c>
      <c r="M648" t="n">
        <v>0</v>
      </c>
      <c r="N648" t="n">
        <v>0</v>
      </c>
      <c r="O648" t="n">
        <v>0</v>
      </c>
      <c r="P648" t="n">
        <v>0</v>
      </c>
      <c r="Q648" t="n">
        <v>0</v>
      </c>
      <c r="R648" s="2" t="inlineStr"/>
    </row>
    <row r="649" ht="15" customHeight="1">
      <c r="A649" t="inlineStr">
        <is>
          <t>A 52478-2024</t>
        </is>
      </c>
      <c r="B649" s="1" t="n">
        <v>45609.55065972222</v>
      </c>
      <c r="C649" s="1" t="n">
        <v>46134</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5933-2022</t>
        </is>
      </c>
      <c r="B650" s="1" t="n">
        <v>44598.82957175926</v>
      </c>
      <c r="C650" s="1" t="n">
        <v>46134</v>
      </c>
      <c r="D650" t="inlineStr">
        <is>
          <t>UPPSALA LÄN</t>
        </is>
      </c>
      <c r="E650" t="inlineStr">
        <is>
          <t>ÖSTHAMMAR</t>
        </is>
      </c>
      <c r="F650" t="inlineStr">
        <is>
          <t>Bergvik skog öst AB</t>
        </is>
      </c>
      <c r="G650" t="n">
        <v>1.4</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46134</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13279-2022</t>
        </is>
      </c>
      <c r="B652" s="1" t="n">
        <v>44644</v>
      </c>
      <c r="C652" s="1" t="n">
        <v>46134</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6892-2022</t>
        </is>
      </c>
      <c r="B653" s="1" t="n">
        <v>44602</v>
      </c>
      <c r="C653" s="1" t="n">
        <v>46134</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13044-2022</t>
        </is>
      </c>
      <c r="B654" s="1" t="n">
        <v>44643</v>
      </c>
      <c r="C654" s="1" t="n">
        <v>46134</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8763-2025</t>
        </is>
      </c>
      <c r="B655" s="1" t="n">
        <v>45712.57872685185</v>
      </c>
      <c r="C655" s="1" t="n">
        <v>46134</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17764-2026</t>
        </is>
      </c>
      <c r="B656" s="1" t="n">
        <v>46122.35938657408</v>
      </c>
      <c r="C656" s="1" t="n">
        <v>46134</v>
      </c>
      <c r="D656" t="inlineStr">
        <is>
          <t>UPPSALA LÄN</t>
        </is>
      </c>
      <c r="E656" t="inlineStr">
        <is>
          <t>ÖSTHAMMAR</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17928-2026</t>
        </is>
      </c>
      <c r="B657" s="1" t="n">
        <v>46122.62048611111</v>
      </c>
      <c r="C657" s="1" t="n">
        <v>46134</v>
      </c>
      <c r="D657" t="inlineStr">
        <is>
          <t>UPPSALA LÄN</t>
        </is>
      </c>
      <c r="E657" t="inlineStr">
        <is>
          <t>ÖSTHAMMAR</t>
        </is>
      </c>
      <c r="F657" t="inlineStr">
        <is>
          <t>Bergvik skog öst AB</t>
        </is>
      </c>
      <c r="G657" t="n">
        <v>14.7</v>
      </c>
      <c r="H657" t="n">
        <v>0</v>
      </c>
      <c r="I657" t="n">
        <v>0</v>
      </c>
      <c r="J657" t="n">
        <v>0</v>
      </c>
      <c r="K657" t="n">
        <v>0</v>
      </c>
      <c r="L657" t="n">
        <v>0</v>
      </c>
      <c r="M657" t="n">
        <v>0</v>
      </c>
      <c r="N657" t="n">
        <v>0</v>
      </c>
      <c r="O657" t="n">
        <v>0</v>
      </c>
      <c r="P657" t="n">
        <v>0</v>
      </c>
      <c r="Q657" t="n">
        <v>0</v>
      </c>
      <c r="R657" s="2" t="inlineStr"/>
    </row>
    <row r="658" ht="15" customHeight="1">
      <c r="A658" t="inlineStr">
        <is>
          <t>A 17927-2026</t>
        </is>
      </c>
      <c r="B658" s="1" t="n">
        <v>46122.62008101852</v>
      </c>
      <c r="C658" s="1" t="n">
        <v>46134</v>
      </c>
      <c r="D658" t="inlineStr">
        <is>
          <t>UPPSALA LÄN</t>
        </is>
      </c>
      <c r="E658" t="inlineStr">
        <is>
          <t>ÖSTHAMMAR</t>
        </is>
      </c>
      <c r="F658" t="inlineStr">
        <is>
          <t>Bergvik skog öst AB</t>
        </is>
      </c>
      <c r="G658" t="n">
        <v>3.3</v>
      </c>
      <c r="H658" t="n">
        <v>0</v>
      </c>
      <c r="I658" t="n">
        <v>0</v>
      </c>
      <c r="J658" t="n">
        <v>0</v>
      </c>
      <c r="K658" t="n">
        <v>0</v>
      </c>
      <c r="L658" t="n">
        <v>0</v>
      </c>
      <c r="M658" t="n">
        <v>0</v>
      </c>
      <c r="N658" t="n">
        <v>0</v>
      </c>
      <c r="O658" t="n">
        <v>0</v>
      </c>
      <c r="P658" t="n">
        <v>0</v>
      </c>
      <c r="Q658" t="n">
        <v>0</v>
      </c>
      <c r="R658" s="2" t="inlineStr"/>
    </row>
    <row r="659" ht="15" customHeight="1">
      <c r="A659" t="inlineStr">
        <is>
          <t>A 17926-2026</t>
        </is>
      </c>
      <c r="B659" s="1" t="n">
        <v>46122.61969907407</v>
      </c>
      <c r="C659" s="1" t="n">
        <v>46134</v>
      </c>
      <c r="D659" t="inlineStr">
        <is>
          <t>UPPSALA LÄN</t>
        </is>
      </c>
      <c r="E659" t="inlineStr">
        <is>
          <t>ÖSTHAMMAR</t>
        </is>
      </c>
      <c r="F659" t="inlineStr">
        <is>
          <t>Bergvik skog öst AB</t>
        </is>
      </c>
      <c r="G659" t="n">
        <v>2.3</v>
      </c>
      <c r="H659" t="n">
        <v>0</v>
      </c>
      <c r="I659" t="n">
        <v>0</v>
      </c>
      <c r="J659" t="n">
        <v>0</v>
      </c>
      <c r="K659" t="n">
        <v>0</v>
      </c>
      <c r="L659" t="n">
        <v>0</v>
      </c>
      <c r="M659" t="n">
        <v>0</v>
      </c>
      <c r="N659" t="n">
        <v>0</v>
      </c>
      <c r="O659" t="n">
        <v>0</v>
      </c>
      <c r="P659" t="n">
        <v>0</v>
      </c>
      <c r="Q659" t="n">
        <v>0</v>
      </c>
      <c r="R659" s="2" t="inlineStr"/>
    </row>
    <row r="660" ht="15" customHeight="1">
      <c r="A660" t="inlineStr">
        <is>
          <t>A 17760-2026</t>
        </is>
      </c>
      <c r="B660" s="1" t="n">
        <v>46122.35453703703</v>
      </c>
      <c r="C660" s="1" t="n">
        <v>46134</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17767-2026</t>
        </is>
      </c>
      <c r="B661" s="1" t="n">
        <v>46122.36061342592</v>
      </c>
      <c r="C661" s="1" t="n">
        <v>46134</v>
      </c>
      <c r="D661" t="inlineStr">
        <is>
          <t>UPPSALA LÄN</t>
        </is>
      </c>
      <c r="E661" t="inlineStr">
        <is>
          <t>ÖSTHAMMAR</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8623-2025</t>
        </is>
      </c>
      <c r="B662" s="1" t="n">
        <v>45711.51902777778</v>
      </c>
      <c r="C662" s="1" t="n">
        <v>46134</v>
      </c>
      <c r="D662" t="inlineStr">
        <is>
          <t>UPPSALA LÄN</t>
        </is>
      </c>
      <c r="E662" t="inlineStr">
        <is>
          <t>ÖSTHAMMAR</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8626-2025</t>
        </is>
      </c>
      <c r="B663" s="1" t="n">
        <v>45711.53565972222</v>
      </c>
      <c r="C663" s="1" t="n">
        <v>46134</v>
      </c>
      <c r="D663" t="inlineStr">
        <is>
          <t>UPPSALA LÄN</t>
        </is>
      </c>
      <c r="E663" t="inlineStr">
        <is>
          <t>ÖSTHAMMAR</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52694-2023</t>
        </is>
      </c>
      <c r="B664" s="1" t="n">
        <v>45225.76836805556</v>
      </c>
      <c r="C664" s="1" t="n">
        <v>46134</v>
      </c>
      <c r="D664" t="inlineStr">
        <is>
          <t>UPPSALA LÄN</t>
        </is>
      </c>
      <c r="E664" t="inlineStr">
        <is>
          <t>ÖSTHAMMAR</t>
        </is>
      </c>
      <c r="G664" t="n">
        <v>0.8</v>
      </c>
      <c r="H664" t="n">
        <v>0</v>
      </c>
      <c r="I664" t="n">
        <v>0</v>
      </c>
      <c r="J664" t="n">
        <v>0</v>
      </c>
      <c r="K664" t="n">
        <v>0</v>
      </c>
      <c r="L664" t="n">
        <v>0</v>
      </c>
      <c r="M664" t="n">
        <v>0</v>
      </c>
      <c r="N664" t="n">
        <v>0</v>
      </c>
      <c r="O664" t="n">
        <v>0</v>
      </c>
      <c r="P664" t="n">
        <v>0</v>
      </c>
      <c r="Q664" t="n">
        <v>0</v>
      </c>
      <c r="R664" s="2" t="inlineStr"/>
    </row>
    <row r="665" ht="15" customHeight="1">
      <c r="A665" t="inlineStr">
        <is>
          <t>A 15748-2026</t>
        </is>
      </c>
      <c r="B665" s="1" t="n">
        <v>46107.4227662037</v>
      </c>
      <c r="C665" s="1" t="n">
        <v>46134</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18761-2026</t>
        </is>
      </c>
      <c r="B666" s="1" t="n">
        <v>46128.56317129629</v>
      </c>
      <c r="C666" s="1" t="n">
        <v>46134</v>
      </c>
      <c r="D666" t="inlineStr">
        <is>
          <t>UPPSALA LÄN</t>
        </is>
      </c>
      <c r="E666" t="inlineStr">
        <is>
          <t>ÖSTHAMMAR</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12263-2026</t>
        </is>
      </c>
      <c r="B667" s="1" t="n">
        <v>46087.49299768519</v>
      </c>
      <c r="C667" s="1" t="n">
        <v>46134</v>
      </c>
      <c r="D667" t="inlineStr">
        <is>
          <t>UPPSALA LÄN</t>
        </is>
      </c>
      <c r="E667" t="inlineStr">
        <is>
          <t>ÖSTHAMMAR</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5303-2025</t>
        </is>
      </c>
      <c r="B668" s="1" t="n">
        <v>45692</v>
      </c>
      <c r="C668" s="1" t="n">
        <v>46134</v>
      </c>
      <c r="D668" t="inlineStr">
        <is>
          <t>UPPSALA LÄN</t>
        </is>
      </c>
      <c r="E668" t="inlineStr">
        <is>
          <t>ÖSTHAMMAR</t>
        </is>
      </c>
      <c r="G668" t="n">
        <v>5</v>
      </c>
      <c r="H668" t="n">
        <v>0</v>
      </c>
      <c r="I668" t="n">
        <v>0</v>
      </c>
      <c r="J668" t="n">
        <v>0</v>
      </c>
      <c r="K668" t="n">
        <v>0</v>
      </c>
      <c r="L668" t="n">
        <v>0</v>
      </c>
      <c r="M668" t="n">
        <v>0</v>
      </c>
      <c r="N668" t="n">
        <v>0</v>
      </c>
      <c r="O668" t="n">
        <v>0</v>
      </c>
      <c r="P668" t="n">
        <v>0</v>
      </c>
      <c r="Q668" t="n">
        <v>0</v>
      </c>
      <c r="R668" s="2" t="inlineStr"/>
    </row>
    <row r="669" ht="15" customHeight="1">
      <c r="A669" t="inlineStr">
        <is>
          <t>A 18758-2026</t>
        </is>
      </c>
      <c r="B669" s="1" t="n">
        <v>46128.56182870371</v>
      </c>
      <c r="C669" s="1" t="n">
        <v>46134</v>
      </c>
      <c r="D669" t="inlineStr">
        <is>
          <t>UPPSALA LÄN</t>
        </is>
      </c>
      <c r="E669" t="inlineStr">
        <is>
          <t>ÖSTHAMMAR</t>
        </is>
      </c>
      <c r="F669" t="inlineStr">
        <is>
          <t>Bergvik skog öst AB</t>
        </is>
      </c>
      <c r="G669" t="n">
        <v>2.4</v>
      </c>
      <c r="H669" t="n">
        <v>0</v>
      </c>
      <c r="I669" t="n">
        <v>0</v>
      </c>
      <c r="J669" t="n">
        <v>0</v>
      </c>
      <c r="K669" t="n">
        <v>0</v>
      </c>
      <c r="L669" t="n">
        <v>0</v>
      </c>
      <c r="M669" t="n">
        <v>0</v>
      </c>
      <c r="N669" t="n">
        <v>0</v>
      </c>
      <c r="O669" t="n">
        <v>0</v>
      </c>
      <c r="P669" t="n">
        <v>0</v>
      </c>
      <c r="Q669" t="n">
        <v>0</v>
      </c>
      <c r="R669" s="2" t="inlineStr"/>
    </row>
    <row r="670" ht="15" customHeight="1">
      <c r="A670" t="inlineStr">
        <is>
          <t>A 24493-2023</t>
        </is>
      </c>
      <c r="B670" s="1" t="n">
        <v>45082.62603009259</v>
      </c>
      <c r="C670" s="1" t="n">
        <v>46134</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12150-2026</t>
        </is>
      </c>
      <c r="B671" s="1" t="n">
        <v>46086.59512731482</v>
      </c>
      <c r="C671" s="1" t="n">
        <v>46134</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12261-2026</t>
        </is>
      </c>
      <c r="B672" s="1" t="n">
        <v>46087.48739583333</v>
      </c>
      <c r="C672" s="1" t="n">
        <v>46134</v>
      </c>
      <c r="D672" t="inlineStr">
        <is>
          <t>UPPSALA LÄN</t>
        </is>
      </c>
      <c r="E672" t="inlineStr">
        <is>
          <t>ÖSTHAMMAR</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12262-2026</t>
        </is>
      </c>
      <c r="B673" s="1" t="n">
        <v>46087.4896875</v>
      </c>
      <c r="C673" s="1" t="n">
        <v>46134</v>
      </c>
      <c r="D673" t="inlineStr">
        <is>
          <t>UPPSALA LÄN</t>
        </is>
      </c>
      <c r="E673" t="inlineStr">
        <is>
          <t>ÖSTHAMMAR</t>
        </is>
      </c>
      <c r="F673" t="inlineStr">
        <is>
          <t>Övriga Aktiebolag</t>
        </is>
      </c>
      <c r="G673" t="n">
        <v>1.7</v>
      </c>
      <c r="H673" t="n">
        <v>0</v>
      </c>
      <c r="I673" t="n">
        <v>0</v>
      </c>
      <c r="J673" t="n">
        <v>0</v>
      </c>
      <c r="K673" t="n">
        <v>0</v>
      </c>
      <c r="L673" t="n">
        <v>0</v>
      </c>
      <c r="M673" t="n">
        <v>0</v>
      </c>
      <c r="N673" t="n">
        <v>0</v>
      </c>
      <c r="O673" t="n">
        <v>0</v>
      </c>
      <c r="P673" t="n">
        <v>0</v>
      </c>
      <c r="Q673" t="n">
        <v>0</v>
      </c>
      <c r="R673" s="2" t="inlineStr"/>
    </row>
    <row r="674" ht="15" customHeight="1">
      <c r="A674" t="inlineStr">
        <is>
          <t>A 12172-2026</t>
        </is>
      </c>
      <c r="B674" s="1" t="n">
        <v>46086.6590625</v>
      </c>
      <c r="C674" s="1" t="n">
        <v>46134</v>
      </c>
      <c r="D674" t="inlineStr">
        <is>
          <t>UPPSALA LÄN</t>
        </is>
      </c>
      <c r="E674" t="inlineStr">
        <is>
          <t>ÖSTHAMMAR</t>
        </is>
      </c>
      <c r="F674" t="inlineStr">
        <is>
          <t>Bergvik skog öst AB</t>
        </is>
      </c>
      <c r="G674" t="n">
        <v>5.4</v>
      </c>
      <c r="H674" t="n">
        <v>0</v>
      </c>
      <c r="I674" t="n">
        <v>0</v>
      </c>
      <c r="J674" t="n">
        <v>0</v>
      </c>
      <c r="K674" t="n">
        <v>0</v>
      </c>
      <c r="L674" t="n">
        <v>0</v>
      </c>
      <c r="M674" t="n">
        <v>0</v>
      </c>
      <c r="N674" t="n">
        <v>0</v>
      </c>
      <c r="O674" t="n">
        <v>0</v>
      </c>
      <c r="P674" t="n">
        <v>0</v>
      </c>
      <c r="Q674" t="n">
        <v>0</v>
      </c>
      <c r="R674" s="2" t="inlineStr"/>
    </row>
    <row r="675" ht="15" customHeight="1">
      <c r="A675" t="inlineStr">
        <is>
          <t>A 34742-2022</t>
        </is>
      </c>
      <c r="B675" s="1" t="n">
        <v>44795.61990740741</v>
      </c>
      <c r="C675" s="1" t="n">
        <v>46134</v>
      </c>
      <c r="D675" t="inlineStr">
        <is>
          <t>UPPSALA LÄN</t>
        </is>
      </c>
      <c r="E675" t="inlineStr">
        <is>
          <t>ÖSTHAMMAR</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13622-2025</t>
        </is>
      </c>
      <c r="B676" s="1" t="n">
        <v>45736</v>
      </c>
      <c r="C676" s="1" t="n">
        <v>46134</v>
      </c>
      <c r="D676" t="inlineStr">
        <is>
          <t>UPPSALA LÄN</t>
        </is>
      </c>
      <c r="E676" t="inlineStr">
        <is>
          <t>ÖSTHAMMAR</t>
        </is>
      </c>
      <c r="G676" t="n">
        <v>2.6</v>
      </c>
      <c r="H676" t="n">
        <v>0</v>
      </c>
      <c r="I676" t="n">
        <v>0</v>
      </c>
      <c r="J676" t="n">
        <v>0</v>
      </c>
      <c r="K676" t="n">
        <v>0</v>
      </c>
      <c r="L676" t="n">
        <v>0</v>
      </c>
      <c r="M676" t="n">
        <v>0</v>
      </c>
      <c r="N676" t="n">
        <v>0</v>
      </c>
      <c r="O676" t="n">
        <v>0</v>
      </c>
      <c r="P676" t="n">
        <v>0</v>
      </c>
      <c r="Q676" t="n">
        <v>0</v>
      </c>
      <c r="R676" s="2" t="inlineStr"/>
    </row>
    <row r="677" ht="15" customHeight="1">
      <c r="A677" t="inlineStr">
        <is>
          <t>A 18760-2026</t>
        </is>
      </c>
      <c r="B677" s="1" t="n">
        <v>46128.56234953704</v>
      </c>
      <c r="C677" s="1" t="n">
        <v>46134</v>
      </c>
      <c r="D677" t="inlineStr">
        <is>
          <t>UPPSALA LÄN</t>
        </is>
      </c>
      <c r="E677" t="inlineStr">
        <is>
          <t>ÖSTHAMMAR</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12151-2026</t>
        </is>
      </c>
      <c r="B678" s="1" t="n">
        <v>46086.5972800926</v>
      </c>
      <c r="C678" s="1" t="n">
        <v>46134</v>
      </c>
      <c r="D678" t="inlineStr">
        <is>
          <t>UPPSALA LÄN</t>
        </is>
      </c>
      <c r="E678" t="inlineStr">
        <is>
          <t>ÖSTHAMMAR</t>
        </is>
      </c>
      <c r="F678" t="inlineStr">
        <is>
          <t>Bergvik skog öst AB</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46399-2023</t>
        </is>
      </c>
      <c r="B679" s="1" t="n">
        <v>45197.49262731482</v>
      </c>
      <c r="C679" s="1" t="n">
        <v>46134</v>
      </c>
      <c r="D679" t="inlineStr">
        <is>
          <t>UPPSALA LÄN</t>
        </is>
      </c>
      <c r="E679" t="inlineStr">
        <is>
          <t>ÖSTHAMMAR</t>
        </is>
      </c>
      <c r="G679" t="n">
        <v>5.8</v>
      </c>
      <c r="H679" t="n">
        <v>0</v>
      </c>
      <c r="I679" t="n">
        <v>0</v>
      </c>
      <c r="J679" t="n">
        <v>0</v>
      </c>
      <c r="K679" t="n">
        <v>0</v>
      </c>
      <c r="L679" t="n">
        <v>0</v>
      </c>
      <c r="M679" t="n">
        <v>0</v>
      </c>
      <c r="N679" t="n">
        <v>0</v>
      </c>
      <c r="O679" t="n">
        <v>0</v>
      </c>
      <c r="P679" t="n">
        <v>0</v>
      </c>
      <c r="Q679" t="n">
        <v>0</v>
      </c>
      <c r="R679" s="2" t="inlineStr"/>
    </row>
    <row r="680" ht="15" customHeight="1">
      <c r="A680" t="inlineStr">
        <is>
          <t>A 13358-2024</t>
        </is>
      </c>
      <c r="B680" s="1" t="n">
        <v>45387.3503125</v>
      </c>
      <c r="C680" s="1" t="n">
        <v>46134</v>
      </c>
      <c r="D680" t="inlineStr">
        <is>
          <t>UPPSALA LÄN</t>
        </is>
      </c>
      <c r="E680" t="inlineStr">
        <is>
          <t>ÖSTHAMMAR</t>
        </is>
      </c>
      <c r="G680" t="n">
        <v>2.2</v>
      </c>
      <c r="H680" t="n">
        <v>0</v>
      </c>
      <c r="I680" t="n">
        <v>0</v>
      </c>
      <c r="J680" t="n">
        <v>0</v>
      </c>
      <c r="K680" t="n">
        <v>0</v>
      </c>
      <c r="L680" t="n">
        <v>0</v>
      </c>
      <c r="M680" t="n">
        <v>0</v>
      </c>
      <c r="N680" t="n">
        <v>0</v>
      </c>
      <c r="O680" t="n">
        <v>0</v>
      </c>
      <c r="P680" t="n">
        <v>0</v>
      </c>
      <c r="Q680" t="n">
        <v>0</v>
      </c>
      <c r="R680" s="2" t="inlineStr"/>
    </row>
    <row r="681" ht="15" customHeight="1">
      <c r="A681" t="inlineStr">
        <is>
          <t>A 12387-2026</t>
        </is>
      </c>
      <c r="B681" s="1" t="n">
        <v>46090</v>
      </c>
      <c r="C681" s="1" t="n">
        <v>46134</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55079-2024</t>
        </is>
      </c>
      <c r="B682" s="1" t="n">
        <v>45621.42747685185</v>
      </c>
      <c r="C682" s="1" t="n">
        <v>46134</v>
      </c>
      <c r="D682" t="inlineStr">
        <is>
          <t>UPPSALA LÄN</t>
        </is>
      </c>
      <c r="E682" t="inlineStr">
        <is>
          <t>ÖSTHAMMAR</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36873-2022</t>
        </is>
      </c>
      <c r="B683" s="1" t="n">
        <v>44805.63708333333</v>
      </c>
      <c r="C683" s="1" t="n">
        <v>46134</v>
      </c>
      <c r="D683" t="inlineStr">
        <is>
          <t>UPPSALA LÄN</t>
        </is>
      </c>
      <c r="E683" t="inlineStr">
        <is>
          <t>ÖSTHAMMAR</t>
        </is>
      </c>
      <c r="G683" t="n">
        <v>2.5</v>
      </c>
      <c r="H683" t="n">
        <v>0</v>
      </c>
      <c r="I683" t="n">
        <v>0</v>
      </c>
      <c r="J683" t="n">
        <v>0</v>
      </c>
      <c r="K683" t="n">
        <v>0</v>
      </c>
      <c r="L683" t="n">
        <v>0</v>
      </c>
      <c r="M683" t="n">
        <v>0</v>
      </c>
      <c r="N683" t="n">
        <v>0</v>
      </c>
      <c r="O683" t="n">
        <v>0</v>
      </c>
      <c r="P683" t="n">
        <v>0</v>
      </c>
      <c r="Q683" t="n">
        <v>0</v>
      </c>
      <c r="R683" s="2" t="inlineStr"/>
    </row>
    <row r="684" ht="15" customHeight="1">
      <c r="A684" t="inlineStr">
        <is>
          <t>A 53733-2023</t>
        </is>
      </c>
      <c r="B684" s="1" t="n">
        <v>45230.76862268519</v>
      </c>
      <c r="C684" s="1" t="n">
        <v>46134</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53735-2023</t>
        </is>
      </c>
      <c r="B685" s="1" t="n">
        <v>45230.77258101852</v>
      </c>
      <c r="C685" s="1" t="n">
        <v>46134</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21522-2022</t>
        </is>
      </c>
      <c r="B686" s="1" t="n">
        <v>44706</v>
      </c>
      <c r="C686" s="1" t="n">
        <v>46134</v>
      </c>
      <c r="D686" t="inlineStr">
        <is>
          <t>UPPSALA LÄN</t>
        </is>
      </c>
      <c r="E686" t="inlineStr">
        <is>
          <t>ÖSTHAMMAR</t>
        </is>
      </c>
      <c r="G686" t="n">
        <v>1.8</v>
      </c>
      <c r="H686" t="n">
        <v>0</v>
      </c>
      <c r="I686" t="n">
        <v>0</v>
      </c>
      <c r="J686" t="n">
        <v>0</v>
      </c>
      <c r="K686" t="n">
        <v>0</v>
      </c>
      <c r="L686" t="n">
        <v>0</v>
      </c>
      <c r="M686" t="n">
        <v>0</v>
      </c>
      <c r="N686" t="n">
        <v>0</v>
      </c>
      <c r="O686" t="n">
        <v>0</v>
      </c>
      <c r="P686" t="n">
        <v>0</v>
      </c>
      <c r="Q686" t="n">
        <v>0</v>
      </c>
      <c r="R686" s="2" t="inlineStr"/>
    </row>
    <row r="687" ht="15" customHeight="1">
      <c r="A687" t="inlineStr">
        <is>
          <t>A 14187-2022</t>
        </is>
      </c>
      <c r="B687" s="1" t="n">
        <v>44651.5625</v>
      </c>
      <c r="C687" s="1" t="n">
        <v>46134</v>
      </c>
      <c r="D687" t="inlineStr">
        <is>
          <t>UPPSALA LÄN</t>
        </is>
      </c>
      <c r="E687" t="inlineStr">
        <is>
          <t>ÖSTHAMMAR</t>
        </is>
      </c>
      <c r="F687" t="inlineStr">
        <is>
          <t>Övriga Aktiebolag</t>
        </is>
      </c>
      <c r="G687" t="n">
        <v>14.1</v>
      </c>
      <c r="H687" t="n">
        <v>0</v>
      </c>
      <c r="I687" t="n">
        <v>0</v>
      </c>
      <c r="J687" t="n">
        <v>0</v>
      </c>
      <c r="K687" t="n">
        <v>0</v>
      </c>
      <c r="L687" t="n">
        <v>0</v>
      </c>
      <c r="M687" t="n">
        <v>0</v>
      </c>
      <c r="N687" t="n">
        <v>0</v>
      </c>
      <c r="O687" t="n">
        <v>0</v>
      </c>
      <c r="P687" t="n">
        <v>0</v>
      </c>
      <c r="Q687" t="n">
        <v>0</v>
      </c>
      <c r="R687" s="2" t="inlineStr"/>
    </row>
    <row r="688" ht="15" customHeight="1">
      <c r="A688" t="inlineStr">
        <is>
          <t>A 7997-2022</t>
        </is>
      </c>
      <c r="B688" s="1" t="n">
        <v>44609</v>
      </c>
      <c r="C688" s="1" t="n">
        <v>46134</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4676-2025</t>
        </is>
      </c>
      <c r="B689" s="1" t="n">
        <v>45687.8313425926</v>
      </c>
      <c r="C689" s="1" t="n">
        <v>46134</v>
      </c>
      <c r="D689" t="inlineStr">
        <is>
          <t>UPPSALA LÄN</t>
        </is>
      </c>
      <c r="E689" t="inlineStr">
        <is>
          <t>ÖSTHAMMAR</t>
        </is>
      </c>
      <c r="G689" t="n">
        <v>3.7</v>
      </c>
      <c r="H689" t="n">
        <v>0</v>
      </c>
      <c r="I689" t="n">
        <v>0</v>
      </c>
      <c r="J689" t="n">
        <v>0</v>
      </c>
      <c r="K689" t="n">
        <v>0</v>
      </c>
      <c r="L689" t="n">
        <v>0</v>
      </c>
      <c r="M689" t="n">
        <v>0</v>
      </c>
      <c r="N689" t="n">
        <v>0</v>
      </c>
      <c r="O689" t="n">
        <v>0</v>
      </c>
      <c r="P689" t="n">
        <v>0</v>
      </c>
      <c r="Q689" t="n">
        <v>0</v>
      </c>
      <c r="R689" s="2" t="inlineStr"/>
    </row>
    <row r="690" ht="15" customHeight="1">
      <c r="A690" t="inlineStr">
        <is>
          <t>A 55837-2023</t>
        </is>
      </c>
      <c r="B690" s="1" t="n">
        <v>45239</v>
      </c>
      <c r="C690" s="1" t="n">
        <v>46134</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19258-2026</t>
        </is>
      </c>
      <c r="B691" s="1" t="n">
        <v>46132.70572916666</v>
      </c>
      <c r="C691" s="1" t="n">
        <v>46134</v>
      </c>
      <c r="D691" t="inlineStr">
        <is>
          <t>UPPSALA LÄN</t>
        </is>
      </c>
      <c r="E691" t="inlineStr">
        <is>
          <t>ÖSTHAMMAR</t>
        </is>
      </c>
      <c r="F691" t="inlineStr">
        <is>
          <t>Naturvårdsverket</t>
        </is>
      </c>
      <c r="G691" t="n">
        <v>18.6</v>
      </c>
      <c r="H691" t="n">
        <v>0</v>
      </c>
      <c r="I691" t="n">
        <v>0</v>
      </c>
      <c r="J691" t="n">
        <v>0</v>
      </c>
      <c r="K691" t="n">
        <v>0</v>
      </c>
      <c r="L691" t="n">
        <v>0</v>
      </c>
      <c r="M691" t="n">
        <v>0</v>
      </c>
      <c r="N691" t="n">
        <v>0</v>
      </c>
      <c r="O691" t="n">
        <v>0</v>
      </c>
      <c r="P691" t="n">
        <v>0</v>
      </c>
      <c r="Q691" t="n">
        <v>0</v>
      </c>
      <c r="R691" s="2" t="inlineStr"/>
    </row>
    <row r="692" ht="15" customHeight="1">
      <c r="A692" t="inlineStr">
        <is>
          <t>A 13093-2022</t>
        </is>
      </c>
      <c r="B692" s="1" t="n">
        <v>44643.93269675926</v>
      </c>
      <c r="C692" s="1" t="n">
        <v>46134</v>
      </c>
      <c r="D692" t="inlineStr">
        <is>
          <t>UPPSALA LÄN</t>
        </is>
      </c>
      <c r="E692" t="inlineStr">
        <is>
          <t>ÖSTHAMMAR</t>
        </is>
      </c>
      <c r="F692" t="inlineStr">
        <is>
          <t>Bergvik skog öst AB</t>
        </is>
      </c>
      <c r="G692" t="n">
        <v>3.2</v>
      </c>
      <c r="H692" t="n">
        <v>0</v>
      </c>
      <c r="I692" t="n">
        <v>0</v>
      </c>
      <c r="J692" t="n">
        <v>0</v>
      </c>
      <c r="K692" t="n">
        <v>0</v>
      </c>
      <c r="L692" t="n">
        <v>0</v>
      </c>
      <c r="M692" t="n">
        <v>0</v>
      </c>
      <c r="N692" t="n">
        <v>0</v>
      </c>
      <c r="O692" t="n">
        <v>0</v>
      </c>
      <c r="P692" t="n">
        <v>0</v>
      </c>
      <c r="Q692" t="n">
        <v>0</v>
      </c>
      <c r="R692" s="2" t="inlineStr"/>
    </row>
    <row r="693" ht="15" customHeight="1">
      <c r="A693" t="inlineStr">
        <is>
          <t>A 45795-2023</t>
        </is>
      </c>
      <c r="B693" s="1" t="n">
        <v>45195</v>
      </c>
      <c r="C693" s="1" t="n">
        <v>46134</v>
      </c>
      <c r="D693" t="inlineStr">
        <is>
          <t>UPPSALA LÄN</t>
        </is>
      </c>
      <c r="E693" t="inlineStr">
        <is>
          <t>ÖSTHAMMAR</t>
        </is>
      </c>
      <c r="G693" t="n">
        <v>4</v>
      </c>
      <c r="H693" t="n">
        <v>0</v>
      </c>
      <c r="I693" t="n">
        <v>0</v>
      </c>
      <c r="J693" t="n">
        <v>0</v>
      </c>
      <c r="K693" t="n">
        <v>0</v>
      </c>
      <c r="L693" t="n">
        <v>0</v>
      </c>
      <c r="M693" t="n">
        <v>0</v>
      </c>
      <c r="N693" t="n">
        <v>0</v>
      </c>
      <c r="O693" t="n">
        <v>0</v>
      </c>
      <c r="P693" t="n">
        <v>0</v>
      </c>
      <c r="Q693" t="n">
        <v>0</v>
      </c>
      <c r="R693" s="2" t="inlineStr"/>
    </row>
    <row r="694" ht="15" customHeight="1">
      <c r="A694" t="inlineStr">
        <is>
          <t>A 38600-2023</t>
        </is>
      </c>
      <c r="B694" s="1" t="n">
        <v>45162</v>
      </c>
      <c r="C694" s="1" t="n">
        <v>46134</v>
      </c>
      <c r="D694" t="inlineStr">
        <is>
          <t>UPPSALA LÄN</t>
        </is>
      </c>
      <c r="E694" t="inlineStr">
        <is>
          <t>ÖSTHAMMAR</t>
        </is>
      </c>
      <c r="F694" t="inlineStr">
        <is>
          <t>Bergvik skog väst AB</t>
        </is>
      </c>
      <c r="G694" t="n">
        <v>0.1</v>
      </c>
      <c r="H694" t="n">
        <v>0</v>
      </c>
      <c r="I694" t="n">
        <v>0</v>
      </c>
      <c r="J694" t="n">
        <v>0</v>
      </c>
      <c r="K694" t="n">
        <v>0</v>
      </c>
      <c r="L694" t="n">
        <v>0</v>
      </c>
      <c r="M694" t="n">
        <v>0</v>
      </c>
      <c r="N694" t="n">
        <v>0</v>
      </c>
      <c r="O694" t="n">
        <v>0</v>
      </c>
      <c r="P694" t="n">
        <v>0</v>
      </c>
      <c r="Q694" t="n">
        <v>0</v>
      </c>
      <c r="R694" s="2" t="inlineStr"/>
    </row>
    <row r="695" ht="15" customHeight="1">
      <c r="A695" t="inlineStr">
        <is>
          <t>A 8624-2025</t>
        </is>
      </c>
      <c r="B695" s="1" t="n">
        <v>45711.52333333333</v>
      </c>
      <c r="C695" s="1" t="n">
        <v>46134</v>
      </c>
      <c r="D695" t="inlineStr">
        <is>
          <t>UPPSALA LÄN</t>
        </is>
      </c>
      <c r="E695" t="inlineStr">
        <is>
          <t>ÖSTHAMMAR</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17644-2025</t>
        </is>
      </c>
      <c r="B696" s="1" t="n">
        <v>45758.32645833334</v>
      </c>
      <c r="C696" s="1" t="n">
        <v>46134</v>
      </c>
      <c r="D696" t="inlineStr">
        <is>
          <t>UPPSALA LÄN</t>
        </is>
      </c>
      <c r="E696" t="inlineStr">
        <is>
          <t>ÖSTHAMMAR</t>
        </is>
      </c>
      <c r="F696" t="inlineStr">
        <is>
          <t>Bergvik skog väst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20385-2025</t>
        </is>
      </c>
      <c r="B697" s="1" t="n">
        <v>45775.44483796296</v>
      </c>
      <c r="C697" s="1" t="n">
        <v>46134</v>
      </c>
      <c r="D697" t="inlineStr">
        <is>
          <t>UPPSALA LÄN</t>
        </is>
      </c>
      <c r="E697" t="inlineStr">
        <is>
          <t>ÖSTHAMMAR</t>
        </is>
      </c>
      <c r="G697" t="n">
        <v>1.9</v>
      </c>
      <c r="H697" t="n">
        <v>0</v>
      </c>
      <c r="I697" t="n">
        <v>0</v>
      </c>
      <c r="J697" t="n">
        <v>0</v>
      </c>
      <c r="K697" t="n">
        <v>0</v>
      </c>
      <c r="L697" t="n">
        <v>0</v>
      </c>
      <c r="M697" t="n">
        <v>0</v>
      </c>
      <c r="N697" t="n">
        <v>0</v>
      </c>
      <c r="O697" t="n">
        <v>0</v>
      </c>
      <c r="P697" t="n">
        <v>0</v>
      </c>
      <c r="Q697" t="n">
        <v>0</v>
      </c>
      <c r="R697" s="2" t="inlineStr"/>
    </row>
    <row r="698" ht="15" customHeight="1">
      <c r="A698" t="inlineStr">
        <is>
          <t>A 18183-2022</t>
        </is>
      </c>
      <c r="B698" s="1" t="n">
        <v>44684</v>
      </c>
      <c r="C698" s="1" t="n">
        <v>46134</v>
      </c>
      <c r="D698" t="inlineStr">
        <is>
          <t>UPPSALA LÄN</t>
        </is>
      </c>
      <c r="E698" t="inlineStr">
        <is>
          <t>ÖSTHAMMAR</t>
        </is>
      </c>
      <c r="G698" t="n">
        <v>0.2</v>
      </c>
      <c r="H698" t="n">
        <v>0</v>
      </c>
      <c r="I698" t="n">
        <v>0</v>
      </c>
      <c r="J698" t="n">
        <v>0</v>
      </c>
      <c r="K698" t="n">
        <v>0</v>
      </c>
      <c r="L698" t="n">
        <v>0</v>
      </c>
      <c r="M698" t="n">
        <v>0</v>
      </c>
      <c r="N698" t="n">
        <v>0</v>
      </c>
      <c r="O698" t="n">
        <v>0</v>
      </c>
      <c r="P698" t="n">
        <v>0</v>
      </c>
      <c r="Q698" t="n">
        <v>0</v>
      </c>
      <c r="R698" s="2" t="inlineStr"/>
    </row>
    <row r="699" ht="15" customHeight="1">
      <c r="A699" t="inlineStr">
        <is>
          <t>A 4304-2025</t>
        </is>
      </c>
      <c r="B699" s="1" t="n">
        <v>45685.68193287037</v>
      </c>
      <c r="C699" s="1" t="n">
        <v>46134</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28170-2023</t>
        </is>
      </c>
      <c r="B700" s="1" t="n">
        <v>45093</v>
      </c>
      <c r="C700" s="1" t="n">
        <v>46134</v>
      </c>
      <c r="D700" t="inlineStr">
        <is>
          <t>UPPSALA LÄN</t>
        </is>
      </c>
      <c r="E700" t="inlineStr">
        <is>
          <t>ÖSTHAMMAR</t>
        </is>
      </c>
      <c r="G700" t="n">
        <v>7.2</v>
      </c>
      <c r="H700" t="n">
        <v>0</v>
      </c>
      <c r="I700" t="n">
        <v>0</v>
      </c>
      <c r="J700" t="n">
        <v>0</v>
      </c>
      <c r="K700" t="n">
        <v>0</v>
      </c>
      <c r="L700" t="n">
        <v>0</v>
      </c>
      <c r="M700" t="n">
        <v>0</v>
      </c>
      <c r="N700" t="n">
        <v>0</v>
      </c>
      <c r="O700" t="n">
        <v>0</v>
      </c>
      <c r="P700" t="n">
        <v>0</v>
      </c>
      <c r="Q700" t="n">
        <v>0</v>
      </c>
      <c r="R700" s="2" t="inlineStr"/>
    </row>
    <row r="701" ht="15" customHeight="1">
      <c r="A701" t="inlineStr">
        <is>
          <t>A 16933-2022</t>
        </is>
      </c>
      <c r="B701" s="1" t="n">
        <v>44676</v>
      </c>
      <c r="C701" s="1" t="n">
        <v>46134</v>
      </c>
      <c r="D701" t="inlineStr">
        <is>
          <t>UPPSALA LÄN</t>
        </is>
      </c>
      <c r="E701" t="inlineStr">
        <is>
          <t>ÖSTHAMMAR</t>
        </is>
      </c>
      <c r="G701" t="n">
        <v>1.3</v>
      </c>
      <c r="H701" t="n">
        <v>0</v>
      </c>
      <c r="I701" t="n">
        <v>0</v>
      </c>
      <c r="J701" t="n">
        <v>0</v>
      </c>
      <c r="K701" t="n">
        <v>0</v>
      </c>
      <c r="L701" t="n">
        <v>0</v>
      </c>
      <c r="M701" t="n">
        <v>0</v>
      </c>
      <c r="N701" t="n">
        <v>0</v>
      </c>
      <c r="O701" t="n">
        <v>0</v>
      </c>
      <c r="P701" t="n">
        <v>0</v>
      </c>
      <c r="Q701" t="n">
        <v>0</v>
      </c>
      <c r="R701" s="2" t="inlineStr"/>
    </row>
    <row r="702" ht="15" customHeight="1">
      <c r="A702" t="inlineStr">
        <is>
          <t>A 23741-2024</t>
        </is>
      </c>
      <c r="B702" s="1" t="n">
        <v>45455</v>
      </c>
      <c r="C702" s="1" t="n">
        <v>46134</v>
      </c>
      <c r="D702" t="inlineStr">
        <is>
          <t>UPPSALA LÄN</t>
        </is>
      </c>
      <c r="E702" t="inlineStr">
        <is>
          <t>ÖSTHAMMAR</t>
        </is>
      </c>
      <c r="F702" t="inlineStr">
        <is>
          <t>Bergvik skog öst AB</t>
        </is>
      </c>
      <c r="G702" t="n">
        <v>1.9</v>
      </c>
      <c r="H702" t="n">
        <v>0</v>
      </c>
      <c r="I702" t="n">
        <v>0</v>
      </c>
      <c r="J702" t="n">
        <v>0</v>
      </c>
      <c r="K702" t="n">
        <v>0</v>
      </c>
      <c r="L702" t="n">
        <v>0</v>
      </c>
      <c r="M702" t="n">
        <v>0</v>
      </c>
      <c r="N702" t="n">
        <v>0</v>
      </c>
      <c r="O702" t="n">
        <v>0</v>
      </c>
      <c r="P702" t="n">
        <v>0</v>
      </c>
      <c r="Q702" t="n">
        <v>0</v>
      </c>
      <c r="R702" s="2" t="inlineStr"/>
    </row>
    <row r="703" ht="15" customHeight="1">
      <c r="A703" t="inlineStr">
        <is>
          <t>A 9264-2024</t>
        </is>
      </c>
      <c r="B703" s="1" t="n">
        <v>45358</v>
      </c>
      <c r="C703" s="1" t="n">
        <v>46134</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57043-2022</t>
        </is>
      </c>
      <c r="B704" s="1" t="n">
        <v>44895.36748842592</v>
      </c>
      <c r="C704" s="1" t="n">
        <v>46134</v>
      </c>
      <c r="D704" t="inlineStr">
        <is>
          <t>UPPSALA LÄN</t>
        </is>
      </c>
      <c r="E704" t="inlineStr">
        <is>
          <t>ÖSTHAMMAR</t>
        </is>
      </c>
      <c r="F704" t="inlineStr">
        <is>
          <t>Bergvik skog öst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47390-2023</t>
        </is>
      </c>
      <c r="B705" s="1" t="n">
        <v>45202</v>
      </c>
      <c r="C705" s="1" t="n">
        <v>46134</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15928-2022</t>
        </is>
      </c>
      <c r="B706" s="1" t="n">
        <v>44664</v>
      </c>
      <c r="C706" s="1" t="n">
        <v>46134</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28228-2022</t>
        </is>
      </c>
      <c r="B707" s="1" t="n">
        <v>44746.65873842593</v>
      </c>
      <c r="C707" s="1" t="n">
        <v>46134</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15445-2022</t>
        </is>
      </c>
      <c r="B708" s="1" t="n">
        <v>44660.4987962963</v>
      </c>
      <c r="C708" s="1" t="n">
        <v>46134</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10275-2025</t>
        </is>
      </c>
      <c r="B709" s="1" t="n">
        <v>45720.39715277778</v>
      </c>
      <c r="C709" s="1" t="n">
        <v>46134</v>
      </c>
      <c r="D709" t="inlineStr">
        <is>
          <t>UPPSALA LÄN</t>
        </is>
      </c>
      <c r="E709" t="inlineStr">
        <is>
          <t>ÖSTHAMMAR</t>
        </is>
      </c>
      <c r="G709" t="n">
        <v>6.2</v>
      </c>
      <c r="H709" t="n">
        <v>0</v>
      </c>
      <c r="I709" t="n">
        <v>0</v>
      </c>
      <c r="J709" t="n">
        <v>0</v>
      </c>
      <c r="K709" t="n">
        <v>0</v>
      </c>
      <c r="L709" t="n">
        <v>0</v>
      </c>
      <c r="M709" t="n">
        <v>0</v>
      </c>
      <c r="N709" t="n">
        <v>0</v>
      </c>
      <c r="O709" t="n">
        <v>0</v>
      </c>
      <c r="P709" t="n">
        <v>0</v>
      </c>
      <c r="Q709" t="n">
        <v>0</v>
      </c>
      <c r="R709" s="2" t="inlineStr"/>
    </row>
    <row r="710" ht="15" customHeight="1">
      <c r="A710" t="inlineStr">
        <is>
          <t>A 14124-2022</t>
        </is>
      </c>
      <c r="B710" s="1" t="n">
        <v>44651.40924768519</v>
      </c>
      <c r="C710" s="1" t="n">
        <v>46134</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37812-2022</t>
        </is>
      </c>
      <c r="B711" s="1" t="n">
        <v>44810</v>
      </c>
      <c r="C711" s="1" t="n">
        <v>46134</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19501-2025</t>
        </is>
      </c>
      <c r="B712" s="1" t="n">
        <v>45770.4015625</v>
      </c>
      <c r="C712" s="1" t="n">
        <v>46134</v>
      </c>
      <c r="D712" t="inlineStr">
        <is>
          <t>UPPSALA LÄN</t>
        </is>
      </c>
      <c r="E712" t="inlineStr">
        <is>
          <t>ÖSTHAMMAR</t>
        </is>
      </c>
      <c r="F712" t="inlineStr">
        <is>
          <t>Övriga Aktiebolag</t>
        </is>
      </c>
      <c r="G712" t="n">
        <v>17.3</v>
      </c>
      <c r="H712" t="n">
        <v>0</v>
      </c>
      <c r="I712" t="n">
        <v>0</v>
      </c>
      <c r="J712" t="n">
        <v>0</v>
      </c>
      <c r="K712" t="n">
        <v>0</v>
      </c>
      <c r="L712" t="n">
        <v>0</v>
      </c>
      <c r="M712" t="n">
        <v>0</v>
      </c>
      <c r="N712" t="n">
        <v>0</v>
      </c>
      <c r="O712" t="n">
        <v>0</v>
      </c>
      <c r="P712" t="n">
        <v>0</v>
      </c>
      <c r="Q712" t="n">
        <v>0</v>
      </c>
      <c r="R712" s="2" t="inlineStr"/>
    </row>
    <row r="713" ht="15" customHeight="1">
      <c r="A713" t="inlineStr">
        <is>
          <t>A 41821-2023</t>
        </is>
      </c>
      <c r="B713" s="1" t="n">
        <v>45176</v>
      </c>
      <c r="C713" s="1" t="n">
        <v>46134</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32742-2022</t>
        </is>
      </c>
      <c r="B714" s="1" t="n">
        <v>44783.69886574074</v>
      </c>
      <c r="C714" s="1" t="n">
        <v>46134</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41308-2023</t>
        </is>
      </c>
      <c r="B715" s="1" t="n">
        <v>45174.62788194444</v>
      </c>
      <c r="C715" s="1" t="n">
        <v>46134</v>
      </c>
      <c r="D715" t="inlineStr">
        <is>
          <t>UPPSALA LÄN</t>
        </is>
      </c>
      <c r="E715" t="inlineStr">
        <is>
          <t>ÖSTHAMMAR</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49833-2023</t>
        </is>
      </c>
      <c r="B716" s="1" t="n">
        <v>45212.71481481481</v>
      </c>
      <c r="C716" s="1" t="n">
        <v>46134</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17433-2025</t>
        </is>
      </c>
      <c r="B717" s="1" t="n">
        <v>45757.40733796296</v>
      </c>
      <c r="C717" s="1" t="n">
        <v>46134</v>
      </c>
      <c r="D717" t="inlineStr">
        <is>
          <t>UPPSALA LÄN</t>
        </is>
      </c>
      <c r="E717" t="inlineStr">
        <is>
          <t>ÖSTHAMMAR</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45550-2023</t>
        </is>
      </c>
      <c r="B718" s="1" t="n">
        <v>45194.57125</v>
      </c>
      <c r="C718" s="1" t="n">
        <v>46134</v>
      </c>
      <c r="D718" t="inlineStr">
        <is>
          <t>UPPSALA LÄN</t>
        </is>
      </c>
      <c r="E718" t="inlineStr">
        <is>
          <t>ÖSTHAMMAR</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54368-2023</t>
        </is>
      </c>
      <c r="B719" s="1" t="n">
        <v>45233.33221064815</v>
      </c>
      <c r="C719" s="1" t="n">
        <v>46134</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17931-2025</t>
        </is>
      </c>
      <c r="B720" s="1" t="n">
        <v>45759.56894675926</v>
      </c>
      <c r="C720" s="1" t="n">
        <v>46134</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17938-2025</t>
        </is>
      </c>
      <c r="B721" s="1" t="n">
        <v>45760.55626157407</v>
      </c>
      <c r="C721" s="1" t="n">
        <v>46134</v>
      </c>
      <c r="D721" t="inlineStr">
        <is>
          <t>UPPSALA LÄN</t>
        </is>
      </c>
      <c r="E721" t="inlineStr">
        <is>
          <t>ÖSTHAMMAR</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8791-2025</t>
        </is>
      </c>
      <c r="B722" s="1" t="n">
        <v>45712</v>
      </c>
      <c r="C722" s="1" t="n">
        <v>46134</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7216-2025</t>
        </is>
      </c>
      <c r="B723" s="1" t="n">
        <v>45702.47630787037</v>
      </c>
      <c r="C723" s="1" t="n">
        <v>46134</v>
      </c>
      <c r="D723" t="inlineStr">
        <is>
          <t>UPPSALA LÄN</t>
        </is>
      </c>
      <c r="E723" t="inlineStr">
        <is>
          <t>ÖSTHAMMAR</t>
        </is>
      </c>
      <c r="F723" t="inlineStr">
        <is>
          <t>Övriga Aktiebolag</t>
        </is>
      </c>
      <c r="G723" t="n">
        <v>12.5</v>
      </c>
      <c r="H723" t="n">
        <v>0</v>
      </c>
      <c r="I723" t="n">
        <v>0</v>
      </c>
      <c r="J723" t="n">
        <v>0</v>
      </c>
      <c r="K723" t="n">
        <v>0</v>
      </c>
      <c r="L723" t="n">
        <v>0</v>
      </c>
      <c r="M723" t="n">
        <v>0</v>
      </c>
      <c r="N723" t="n">
        <v>0</v>
      </c>
      <c r="O723" t="n">
        <v>0</v>
      </c>
      <c r="P723" t="n">
        <v>0</v>
      </c>
      <c r="Q723" t="n">
        <v>0</v>
      </c>
      <c r="R723" s="2" t="inlineStr"/>
    </row>
    <row r="724" ht="15" customHeight="1">
      <c r="A724" t="inlineStr">
        <is>
          <t>A 31137-2022</t>
        </is>
      </c>
      <c r="B724" s="1" t="n">
        <v>44770.42166666667</v>
      </c>
      <c r="C724" s="1" t="n">
        <v>46134</v>
      </c>
      <c r="D724" t="inlineStr">
        <is>
          <t>UPPSALA LÄN</t>
        </is>
      </c>
      <c r="E724" t="inlineStr">
        <is>
          <t>ÖSTHAMMAR</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18094-2025</t>
        </is>
      </c>
      <c r="B725" s="1" t="n">
        <v>45761.54710648148</v>
      </c>
      <c r="C725" s="1" t="n">
        <v>46134</v>
      </c>
      <c r="D725" t="inlineStr">
        <is>
          <t>UPPSALA LÄN</t>
        </is>
      </c>
      <c r="E725" t="inlineStr">
        <is>
          <t>ÖSTHAMMAR</t>
        </is>
      </c>
      <c r="F725" t="inlineStr">
        <is>
          <t>Bergvik skog öst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44815-2022</t>
        </is>
      </c>
      <c r="B726" s="1" t="n">
        <v>44841.40452546296</v>
      </c>
      <c r="C726" s="1" t="n">
        <v>46134</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29753-2022</t>
        </is>
      </c>
      <c r="B727" s="1" t="n">
        <v>44755</v>
      </c>
      <c r="C727" s="1" t="n">
        <v>46134</v>
      </c>
      <c r="D727" t="inlineStr">
        <is>
          <t>UPPSALA LÄN</t>
        </is>
      </c>
      <c r="E727" t="inlineStr">
        <is>
          <t>ÖSTHAMMAR</t>
        </is>
      </c>
      <c r="G727" t="n">
        <v>9.4</v>
      </c>
      <c r="H727" t="n">
        <v>0</v>
      </c>
      <c r="I727" t="n">
        <v>0</v>
      </c>
      <c r="J727" t="n">
        <v>0</v>
      </c>
      <c r="K727" t="n">
        <v>0</v>
      </c>
      <c r="L727" t="n">
        <v>0</v>
      </c>
      <c r="M727" t="n">
        <v>0</v>
      </c>
      <c r="N727" t="n">
        <v>0</v>
      </c>
      <c r="O727" t="n">
        <v>0</v>
      </c>
      <c r="P727" t="n">
        <v>0</v>
      </c>
      <c r="Q727" t="n">
        <v>0</v>
      </c>
      <c r="R727" s="2" t="inlineStr"/>
    </row>
    <row r="728" ht="15" customHeight="1">
      <c r="A728" t="inlineStr">
        <is>
          <t>A 20072-2025</t>
        </is>
      </c>
      <c r="B728" s="1" t="n">
        <v>45772</v>
      </c>
      <c r="C728" s="1" t="n">
        <v>46134</v>
      </c>
      <c r="D728" t="inlineStr">
        <is>
          <t>UPPSALA LÄN</t>
        </is>
      </c>
      <c r="E728" t="inlineStr">
        <is>
          <t>ÖSTHAMMAR</t>
        </is>
      </c>
      <c r="G728" t="n">
        <v>3.1</v>
      </c>
      <c r="H728" t="n">
        <v>0</v>
      </c>
      <c r="I728" t="n">
        <v>0</v>
      </c>
      <c r="J728" t="n">
        <v>0</v>
      </c>
      <c r="K728" t="n">
        <v>0</v>
      </c>
      <c r="L728" t="n">
        <v>0</v>
      </c>
      <c r="M728" t="n">
        <v>0</v>
      </c>
      <c r="N728" t="n">
        <v>0</v>
      </c>
      <c r="O728" t="n">
        <v>0</v>
      </c>
      <c r="P728" t="n">
        <v>0</v>
      </c>
      <c r="Q728" t="n">
        <v>0</v>
      </c>
      <c r="R728" s="2" t="inlineStr"/>
    </row>
    <row r="729" ht="15" customHeight="1">
      <c r="A729" t="inlineStr">
        <is>
          <t>A 52629-2023</t>
        </is>
      </c>
      <c r="B729" s="1" t="n">
        <v>45225</v>
      </c>
      <c r="C729" s="1" t="n">
        <v>46134</v>
      </c>
      <c r="D729" t="inlineStr">
        <is>
          <t>UPPSALA LÄN</t>
        </is>
      </c>
      <c r="E729" t="inlineStr">
        <is>
          <t>ÖSTHAMMAR</t>
        </is>
      </c>
      <c r="G729" t="n">
        <v>1.2</v>
      </c>
      <c r="H729" t="n">
        <v>0</v>
      </c>
      <c r="I729" t="n">
        <v>0</v>
      </c>
      <c r="J729" t="n">
        <v>0</v>
      </c>
      <c r="K729" t="n">
        <v>0</v>
      </c>
      <c r="L729" t="n">
        <v>0</v>
      </c>
      <c r="M729" t="n">
        <v>0</v>
      </c>
      <c r="N729" t="n">
        <v>0</v>
      </c>
      <c r="O729" t="n">
        <v>0</v>
      </c>
      <c r="P729" t="n">
        <v>0</v>
      </c>
      <c r="Q729" t="n">
        <v>0</v>
      </c>
      <c r="R729" s="2" t="inlineStr"/>
    </row>
    <row r="730" ht="15" customHeight="1">
      <c r="A730" t="inlineStr">
        <is>
          <t>A 9642-2024</t>
        </is>
      </c>
      <c r="B730" s="1" t="n">
        <v>45362.36296296296</v>
      </c>
      <c r="C730" s="1" t="n">
        <v>46134</v>
      </c>
      <c r="D730" t="inlineStr">
        <is>
          <t>UPPSALA LÄN</t>
        </is>
      </c>
      <c r="E730" t="inlineStr">
        <is>
          <t>ÖSTHAMMAR</t>
        </is>
      </c>
      <c r="G730" t="n">
        <v>3.1</v>
      </c>
      <c r="H730" t="n">
        <v>0</v>
      </c>
      <c r="I730" t="n">
        <v>0</v>
      </c>
      <c r="J730" t="n">
        <v>0</v>
      </c>
      <c r="K730" t="n">
        <v>0</v>
      </c>
      <c r="L730" t="n">
        <v>0</v>
      </c>
      <c r="M730" t="n">
        <v>0</v>
      </c>
      <c r="N730" t="n">
        <v>0</v>
      </c>
      <c r="O730" t="n">
        <v>0</v>
      </c>
      <c r="P730" t="n">
        <v>0</v>
      </c>
      <c r="Q730" t="n">
        <v>0</v>
      </c>
      <c r="R730" s="2" t="inlineStr"/>
    </row>
    <row r="731" ht="15" customHeight="1">
      <c r="A731" t="inlineStr">
        <is>
          <t>A 31549-2022</t>
        </is>
      </c>
      <c r="B731" s="1" t="n">
        <v>44775.400625</v>
      </c>
      <c r="C731" s="1" t="n">
        <v>46134</v>
      </c>
      <c r="D731" t="inlineStr">
        <is>
          <t>UPPSALA LÄN</t>
        </is>
      </c>
      <c r="E731" t="inlineStr">
        <is>
          <t>ÖSTHAMMAR</t>
        </is>
      </c>
      <c r="G731" t="n">
        <v>1.5</v>
      </c>
      <c r="H731" t="n">
        <v>0</v>
      </c>
      <c r="I731" t="n">
        <v>0</v>
      </c>
      <c r="J731" t="n">
        <v>0</v>
      </c>
      <c r="K731" t="n">
        <v>0</v>
      </c>
      <c r="L731" t="n">
        <v>0</v>
      </c>
      <c r="M731" t="n">
        <v>0</v>
      </c>
      <c r="N731" t="n">
        <v>0</v>
      </c>
      <c r="O731" t="n">
        <v>0</v>
      </c>
      <c r="P731" t="n">
        <v>0</v>
      </c>
      <c r="Q731" t="n">
        <v>0</v>
      </c>
      <c r="R731" s="2" t="inlineStr"/>
    </row>
    <row r="732" ht="15" customHeight="1">
      <c r="A732" t="inlineStr">
        <is>
          <t>A 47522-2023</t>
        </is>
      </c>
      <c r="B732" s="1" t="n">
        <v>45203</v>
      </c>
      <c r="C732" s="1" t="n">
        <v>46134</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13738-2023</t>
        </is>
      </c>
      <c r="B733" s="1" t="n">
        <v>45007.37081018519</v>
      </c>
      <c r="C733" s="1" t="n">
        <v>46134</v>
      </c>
      <c r="D733" t="inlineStr">
        <is>
          <t>UPPSALA LÄN</t>
        </is>
      </c>
      <c r="E733" t="inlineStr">
        <is>
          <t>ÖSTHAMMAR</t>
        </is>
      </c>
      <c r="G733" t="n">
        <v>0.7</v>
      </c>
      <c r="H733" t="n">
        <v>0</v>
      </c>
      <c r="I733" t="n">
        <v>0</v>
      </c>
      <c r="J733" t="n">
        <v>0</v>
      </c>
      <c r="K733" t="n">
        <v>0</v>
      </c>
      <c r="L733" t="n">
        <v>0</v>
      </c>
      <c r="M733" t="n">
        <v>0</v>
      </c>
      <c r="N733" t="n">
        <v>0</v>
      </c>
      <c r="O733" t="n">
        <v>0</v>
      </c>
      <c r="P733" t="n">
        <v>0</v>
      </c>
      <c r="Q733" t="n">
        <v>0</v>
      </c>
      <c r="R733" s="2" t="inlineStr"/>
    </row>
    <row r="734" ht="15" customHeight="1">
      <c r="A734" t="inlineStr">
        <is>
          <t>A 34971-2022</t>
        </is>
      </c>
      <c r="B734" s="1" t="n">
        <v>44796.66613425926</v>
      </c>
      <c r="C734" s="1" t="n">
        <v>46134</v>
      </c>
      <c r="D734" t="inlineStr">
        <is>
          <t>UPPSALA LÄN</t>
        </is>
      </c>
      <c r="E734" t="inlineStr">
        <is>
          <t>ÖSTHAMMAR</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55646-2021</t>
        </is>
      </c>
      <c r="B735" s="1" t="n">
        <v>44476.3632175926</v>
      </c>
      <c r="C735" s="1" t="n">
        <v>46134</v>
      </c>
      <c r="D735" t="inlineStr">
        <is>
          <t>UPPSALA LÄN</t>
        </is>
      </c>
      <c r="E735" t="inlineStr">
        <is>
          <t>ÖSTHAMMAR</t>
        </is>
      </c>
      <c r="F735" t="inlineStr">
        <is>
          <t>Bergvik skog öst AB</t>
        </is>
      </c>
      <c r="G735" t="n">
        <v>0.2</v>
      </c>
      <c r="H735" t="n">
        <v>0</v>
      </c>
      <c r="I735" t="n">
        <v>0</v>
      </c>
      <c r="J735" t="n">
        <v>0</v>
      </c>
      <c r="K735" t="n">
        <v>0</v>
      </c>
      <c r="L735" t="n">
        <v>0</v>
      </c>
      <c r="M735" t="n">
        <v>0</v>
      </c>
      <c r="N735" t="n">
        <v>0</v>
      </c>
      <c r="O735" t="n">
        <v>0</v>
      </c>
      <c r="P735" t="n">
        <v>0</v>
      </c>
      <c r="Q735" t="n">
        <v>0</v>
      </c>
      <c r="R735" s="2" t="inlineStr"/>
    </row>
    <row r="736" ht="15" customHeight="1">
      <c r="A736" t="inlineStr">
        <is>
          <t>A 16240-2025</t>
        </is>
      </c>
      <c r="B736" s="1" t="n">
        <v>45746</v>
      </c>
      <c r="C736" s="1" t="n">
        <v>46134</v>
      </c>
      <c r="D736" t="inlineStr">
        <is>
          <t>UPPSALA LÄN</t>
        </is>
      </c>
      <c r="E736" t="inlineStr">
        <is>
          <t>ÖSTHAMMAR</t>
        </is>
      </c>
      <c r="G736" t="n">
        <v>1.4</v>
      </c>
      <c r="H736" t="n">
        <v>0</v>
      </c>
      <c r="I736" t="n">
        <v>0</v>
      </c>
      <c r="J736" t="n">
        <v>0</v>
      </c>
      <c r="K736" t="n">
        <v>0</v>
      </c>
      <c r="L736" t="n">
        <v>0</v>
      </c>
      <c r="M736" t="n">
        <v>0</v>
      </c>
      <c r="N736" t="n">
        <v>0</v>
      </c>
      <c r="O736" t="n">
        <v>0</v>
      </c>
      <c r="P736" t="n">
        <v>0</v>
      </c>
      <c r="Q736" t="n">
        <v>0</v>
      </c>
      <c r="R736" s="2" t="inlineStr"/>
    </row>
    <row r="737" ht="15" customHeight="1">
      <c r="A737" t="inlineStr">
        <is>
          <t>A 20038-2023</t>
        </is>
      </c>
      <c r="B737" s="1" t="n">
        <v>45054.65834490741</v>
      </c>
      <c r="C737" s="1" t="n">
        <v>46134</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6121-2024</t>
        </is>
      </c>
      <c r="B738" s="1" t="n">
        <v>45337.4219212963</v>
      </c>
      <c r="C738" s="1" t="n">
        <v>46134</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8699-2025</t>
        </is>
      </c>
      <c r="B739" s="1" t="n">
        <v>45712.47983796296</v>
      </c>
      <c r="C739" s="1" t="n">
        <v>46134</v>
      </c>
      <c r="D739" t="inlineStr">
        <is>
          <t>UPPSALA LÄN</t>
        </is>
      </c>
      <c r="E739" t="inlineStr">
        <is>
          <t>ÖSTHAMMAR</t>
        </is>
      </c>
      <c r="G739" t="n">
        <v>5.6</v>
      </c>
      <c r="H739" t="n">
        <v>0</v>
      </c>
      <c r="I739" t="n">
        <v>0</v>
      </c>
      <c r="J739" t="n">
        <v>0</v>
      </c>
      <c r="K739" t="n">
        <v>0</v>
      </c>
      <c r="L739" t="n">
        <v>0</v>
      </c>
      <c r="M739" t="n">
        <v>0</v>
      </c>
      <c r="N739" t="n">
        <v>0</v>
      </c>
      <c r="O739" t="n">
        <v>0</v>
      </c>
      <c r="P739" t="n">
        <v>0</v>
      </c>
      <c r="Q739" t="n">
        <v>0</v>
      </c>
      <c r="R739" s="2" t="inlineStr"/>
    </row>
    <row r="740" ht="15" customHeight="1">
      <c r="A740" t="inlineStr">
        <is>
          <t>A 15031-2025</t>
        </is>
      </c>
      <c r="B740" s="1" t="n">
        <v>45743.67333333333</v>
      </c>
      <c r="C740" s="1" t="n">
        <v>46134</v>
      </c>
      <c r="D740" t="inlineStr">
        <is>
          <t>UPPSALA LÄN</t>
        </is>
      </c>
      <c r="E740" t="inlineStr">
        <is>
          <t>ÖSTHAMMAR</t>
        </is>
      </c>
      <c r="G740" t="n">
        <v>9.6</v>
      </c>
      <c r="H740" t="n">
        <v>0</v>
      </c>
      <c r="I740" t="n">
        <v>0</v>
      </c>
      <c r="J740" t="n">
        <v>0</v>
      </c>
      <c r="K740" t="n">
        <v>0</v>
      </c>
      <c r="L740" t="n">
        <v>0</v>
      </c>
      <c r="M740" t="n">
        <v>0</v>
      </c>
      <c r="N740" t="n">
        <v>0</v>
      </c>
      <c r="O740" t="n">
        <v>0</v>
      </c>
      <c r="P740" t="n">
        <v>0</v>
      </c>
      <c r="Q740" t="n">
        <v>0</v>
      </c>
      <c r="R740" s="2" t="inlineStr"/>
    </row>
    <row r="741" ht="15" customHeight="1">
      <c r="A741" t="inlineStr">
        <is>
          <t>A 60555-2023</t>
        </is>
      </c>
      <c r="B741" s="1" t="n">
        <v>45259</v>
      </c>
      <c r="C741" s="1" t="n">
        <v>46134</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60584-2021</t>
        </is>
      </c>
      <c r="B742" s="1" t="n">
        <v>44496</v>
      </c>
      <c r="C742" s="1" t="n">
        <v>46134</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17652-2025</t>
        </is>
      </c>
      <c r="B743" s="1" t="n">
        <v>45758.33583333333</v>
      </c>
      <c r="C743" s="1" t="n">
        <v>46134</v>
      </c>
      <c r="D743" t="inlineStr">
        <is>
          <t>UPPSALA LÄN</t>
        </is>
      </c>
      <c r="E743" t="inlineStr">
        <is>
          <t>ÖSTHAMMAR</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48719-2023</t>
        </is>
      </c>
      <c r="B744" s="1" t="n">
        <v>45208.70452546296</v>
      </c>
      <c r="C744" s="1" t="n">
        <v>46134</v>
      </c>
      <c r="D744" t="inlineStr">
        <is>
          <t>UPPSALA LÄN</t>
        </is>
      </c>
      <c r="E744" t="inlineStr">
        <is>
          <t>ÖSTHAMMAR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33784-2024</t>
        </is>
      </c>
      <c r="B745" s="1" t="n">
        <v>45520</v>
      </c>
      <c r="C745" s="1" t="n">
        <v>46134</v>
      </c>
      <c r="D745" t="inlineStr">
        <is>
          <t>UPPSALA LÄN</t>
        </is>
      </c>
      <c r="E745" t="inlineStr">
        <is>
          <t>ÖSTHAMMAR</t>
        </is>
      </c>
      <c r="F745" t="inlineStr">
        <is>
          <t>Naturvårdsverket</t>
        </is>
      </c>
      <c r="G745" t="n">
        <v>0.6</v>
      </c>
      <c r="H745" t="n">
        <v>0</v>
      </c>
      <c r="I745" t="n">
        <v>0</v>
      </c>
      <c r="J745" t="n">
        <v>0</v>
      </c>
      <c r="K745" t="n">
        <v>0</v>
      </c>
      <c r="L745" t="n">
        <v>0</v>
      </c>
      <c r="M745" t="n">
        <v>0</v>
      </c>
      <c r="N745" t="n">
        <v>0</v>
      </c>
      <c r="O745" t="n">
        <v>0</v>
      </c>
      <c r="P745" t="n">
        <v>0</v>
      </c>
      <c r="Q745" t="n">
        <v>0</v>
      </c>
      <c r="R745" s="2" t="inlineStr"/>
    </row>
    <row r="746" ht="15" customHeight="1">
      <c r="A746" t="inlineStr">
        <is>
          <t>A 33601-2024</t>
        </is>
      </c>
      <c r="B746" s="1" t="n">
        <v>45520</v>
      </c>
      <c r="C746" s="1" t="n">
        <v>46134</v>
      </c>
      <c r="D746" t="inlineStr">
        <is>
          <t>UPPSALA LÄN</t>
        </is>
      </c>
      <c r="E746" t="inlineStr">
        <is>
          <t>ÖSTHAMMAR</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46134</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30755-2024</t>
        </is>
      </c>
      <c r="B748" s="1" t="n">
        <v>45496</v>
      </c>
      <c r="C748" s="1" t="n">
        <v>46134</v>
      </c>
      <c r="D748" t="inlineStr">
        <is>
          <t>UPPSALA LÄN</t>
        </is>
      </c>
      <c r="E748" t="inlineStr">
        <is>
          <t>ÖSTHAMMAR</t>
        </is>
      </c>
      <c r="F748" t="inlineStr">
        <is>
          <t>Bergvik skog öst AB</t>
        </is>
      </c>
      <c r="G748" t="n">
        <v>0.6</v>
      </c>
      <c r="H748" t="n">
        <v>0</v>
      </c>
      <c r="I748" t="n">
        <v>0</v>
      </c>
      <c r="J748" t="n">
        <v>0</v>
      </c>
      <c r="K748" t="n">
        <v>0</v>
      </c>
      <c r="L748" t="n">
        <v>0</v>
      </c>
      <c r="M748" t="n">
        <v>0</v>
      </c>
      <c r="N748" t="n">
        <v>0</v>
      </c>
      <c r="O748" t="n">
        <v>0</v>
      </c>
      <c r="P748" t="n">
        <v>0</v>
      </c>
      <c r="Q748" t="n">
        <v>0</v>
      </c>
      <c r="R748" s="2" t="inlineStr"/>
    </row>
    <row r="749" ht="15" customHeight="1">
      <c r="A749" t="inlineStr">
        <is>
          <t>A 9052-2023</t>
        </is>
      </c>
      <c r="B749" s="1" t="n">
        <v>44979</v>
      </c>
      <c r="C749" s="1" t="n">
        <v>46134</v>
      </c>
      <c r="D749" t="inlineStr">
        <is>
          <t>UPPSALA LÄN</t>
        </is>
      </c>
      <c r="E749" t="inlineStr">
        <is>
          <t>ÖSTHAMMAR</t>
        </is>
      </c>
      <c r="F749" t="inlineStr">
        <is>
          <t>Kyrkan</t>
        </is>
      </c>
      <c r="G749" t="n">
        <v>0.2</v>
      </c>
      <c r="H749" t="n">
        <v>0</v>
      </c>
      <c r="I749" t="n">
        <v>0</v>
      </c>
      <c r="J749" t="n">
        <v>0</v>
      </c>
      <c r="K749" t="n">
        <v>0</v>
      </c>
      <c r="L749" t="n">
        <v>0</v>
      </c>
      <c r="M749" t="n">
        <v>0</v>
      </c>
      <c r="N749" t="n">
        <v>0</v>
      </c>
      <c r="O749" t="n">
        <v>0</v>
      </c>
      <c r="P749" t="n">
        <v>0</v>
      </c>
      <c r="Q749" t="n">
        <v>0</v>
      </c>
      <c r="R749" s="2" t="inlineStr"/>
    </row>
    <row r="750" ht="15" customHeight="1">
      <c r="A750" t="inlineStr">
        <is>
          <t>A 33760-2024</t>
        </is>
      </c>
      <c r="B750" s="1" t="n">
        <v>45520</v>
      </c>
      <c r="C750" s="1" t="n">
        <v>46134</v>
      </c>
      <c r="D750" t="inlineStr">
        <is>
          <t>UPPSALA LÄN</t>
        </is>
      </c>
      <c r="E750" t="inlineStr">
        <is>
          <t>ÖSTHAMMAR</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3725-2022</t>
        </is>
      </c>
      <c r="B751" s="1" t="n">
        <v>44586</v>
      </c>
      <c r="C751" s="1" t="n">
        <v>46134</v>
      </c>
      <c r="D751" t="inlineStr">
        <is>
          <t>UPPSALA LÄN</t>
        </is>
      </c>
      <c r="E751" t="inlineStr">
        <is>
          <t>ÖSTHAMMAR</t>
        </is>
      </c>
      <c r="G751" t="n">
        <v>2</v>
      </c>
      <c r="H751" t="n">
        <v>0</v>
      </c>
      <c r="I751" t="n">
        <v>0</v>
      </c>
      <c r="J751" t="n">
        <v>0</v>
      </c>
      <c r="K751" t="n">
        <v>0</v>
      </c>
      <c r="L751" t="n">
        <v>0</v>
      </c>
      <c r="M751" t="n">
        <v>0</v>
      </c>
      <c r="N751" t="n">
        <v>0</v>
      </c>
      <c r="O751" t="n">
        <v>0</v>
      </c>
      <c r="P751" t="n">
        <v>0</v>
      </c>
      <c r="Q751" t="n">
        <v>0</v>
      </c>
      <c r="R751" s="2" t="inlineStr"/>
    </row>
    <row r="752" ht="15" customHeight="1">
      <c r="A752" t="inlineStr">
        <is>
          <t>A 8006-2023</t>
        </is>
      </c>
      <c r="B752" s="1" t="n">
        <v>44973</v>
      </c>
      <c r="C752" s="1" t="n">
        <v>46134</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11469-2023</t>
        </is>
      </c>
      <c r="B753" s="1" t="n">
        <v>44993.60099537037</v>
      </c>
      <c r="C753" s="1" t="n">
        <v>46134</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20324-2021</t>
        </is>
      </c>
      <c r="B754" s="1" t="n">
        <v>44308</v>
      </c>
      <c r="C754" s="1" t="n">
        <v>46134</v>
      </c>
      <c r="D754" t="inlineStr">
        <is>
          <t>UPPSALA LÄN</t>
        </is>
      </c>
      <c r="E754" t="inlineStr">
        <is>
          <t>ÖSTHAMMAR</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25033-2021</t>
        </is>
      </c>
      <c r="B755" s="1" t="n">
        <v>44341.590625</v>
      </c>
      <c r="C755" s="1" t="n">
        <v>46134</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18113-2023</t>
        </is>
      </c>
      <c r="B756" s="1" t="n">
        <v>45040</v>
      </c>
      <c r="C756" s="1" t="n">
        <v>46134</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23120-2021</t>
        </is>
      </c>
      <c r="B757" s="1" t="n">
        <v>44330</v>
      </c>
      <c r="C757" s="1" t="n">
        <v>46134</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52389-2022</t>
        </is>
      </c>
      <c r="B758" s="1" t="n">
        <v>44874.38325231482</v>
      </c>
      <c r="C758" s="1" t="n">
        <v>46134</v>
      </c>
      <c r="D758" t="inlineStr">
        <is>
          <t>UPPSALA LÄN</t>
        </is>
      </c>
      <c r="E758" t="inlineStr">
        <is>
          <t>ÖSTHAMMAR</t>
        </is>
      </c>
      <c r="G758" t="n">
        <v>3.1</v>
      </c>
      <c r="H758" t="n">
        <v>0</v>
      </c>
      <c r="I758" t="n">
        <v>0</v>
      </c>
      <c r="J758" t="n">
        <v>0</v>
      </c>
      <c r="K758" t="n">
        <v>0</v>
      </c>
      <c r="L758" t="n">
        <v>0</v>
      </c>
      <c r="M758" t="n">
        <v>0</v>
      </c>
      <c r="N758" t="n">
        <v>0</v>
      </c>
      <c r="O758" t="n">
        <v>0</v>
      </c>
      <c r="P758" t="n">
        <v>0</v>
      </c>
      <c r="Q758" t="n">
        <v>0</v>
      </c>
      <c r="R758" s="2" t="inlineStr"/>
    </row>
    <row r="759" ht="15" customHeight="1">
      <c r="A759" t="inlineStr">
        <is>
          <t>A 1238-2022</t>
        </is>
      </c>
      <c r="B759" s="1" t="n">
        <v>44572.5827662037</v>
      </c>
      <c r="C759" s="1" t="n">
        <v>46134</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3327-2023</t>
        </is>
      </c>
      <c r="B760" s="1" t="n">
        <v>44949.4377662037</v>
      </c>
      <c r="C760" s="1" t="n">
        <v>46134</v>
      </c>
      <c r="D760" t="inlineStr">
        <is>
          <t>UPPSALA LÄN</t>
        </is>
      </c>
      <c r="E760" t="inlineStr">
        <is>
          <t>ÖSTHAMMAR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4233-2023</t>
        </is>
      </c>
      <c r="B761" s="1" t="n">
        <v>44953.48619212963</v>
      </c>
      <c r="C761" s="1" t="n">
        <v>46134</v>
      </c>
      <c r="D761" t="inlineStr">
        <is>
          <t>UPPSALA LÄN</t>
        </is>
      </c>
      <c r="E761" t="inlineStr">
        <is>
          <t>ÖSTHAMMAR</t>
        </is>
      </c>
      <c r="G761" t="n">
        <v>0.9</v>
      </c>
      <c r="H761" t="n">
        <v>0</v>
      </c>
      <c r="I761" t="n">
        <v>0</v>
      </c>
      <c r="J761" t="n">
        <v>0</v>
      </c>
      <c r="K761" t="n">
        <v>0</v>
      </c>
      <c r="L761" t="n">
        <v>0</v>
      </c>
      <c r="M761" t="n">
        <v>0</v>
      </c>
      <c r="N761" t="n">
        <v>0</v>
      </c>
      <c r="O761" t="n">
        <v>0</v>
      </c>
      <c r="P761" t="n">
        <v>0</v>
      </c>
      <c r="Q761" t="n">
        <v>0</v>
      </c>
      <c r="R761" s="2" t="inlineStr"/>
    </row>
    <row r="762" ht="15" customHeight="1">
      <c r="A762" t="inlineStr">
        <is>
          <t>A 30811-2023</t>
        </is>
      </c>
      <c r="B762" s="1" t="n">
        <v>45112.86422453704</v>
      </c>
      <c r="C762" s="1" t="n">
        <v>46134</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8708-2022</t>
        </is>
      </c>
      <c r="B763" s="1" t="n">
        <v>44613.77238425926</v>
      </c>
      <c r="C763" s="1" t="n">
        <v>46134</v>
      </c>
      <c r="D763" t="inlineStr">
        <is>
          <t>UPPSALA LÄN</t>
        </is>
      </c>
      <c r="E763" t="inlineStr">
        <is>
          <t>ÖSTHAMMAR</t>
        </is>
      </c>
      <c r="G763" t="n">
        <v>4.3</v>
      </c>
      <c r="H763" t="n">
        <v>0</v>
      </c>
      <c r="I763" t="n">
        <v>0</v>
      </c>
      <c r="J763" t="n">
        <v>0</v>
      </c>
      <c r="K763" t="n">
        <v>0</v>
      </c>
      <c r="L763" t="n">
        <v>0</v>
      </c>
      <c r="M763" t="n">
        <v>0</v>
      </c>
      <c r="N763" t="n">
        <v>0</v>
      </c>
      <c r="O763" t="n">
        <v>0</v>
      </c>
      <c r="P763" t="n">
        <v>0</v>
      </c>
      <c r="Q763" t="n">
        <v>0</v>
      </c>
      <c r="R763" s="2" t="inlineStr"/>
    </row>
    <row r="764" ht="15" customHeight="1">
      <c r="A764" t="inlineStr">
        <is>
          <t>A 11547-2022</t>
        </is>
      </c>
      <c r="B764" s="1" t="n">
        <v>44631.43116898148</v>
      </c>
      <c r="C764" s="1" t="n">
        <v>46134</v>
      </c>
      <c r="D764" t="inlineStr">
        <is>
          <t>UPPSALA LÄN</t>
        </is>
      </c>
      <c r="E764" t="inlineStr">
        <is>
          <t>ÖSTHAMMAR</t>
        </is>
      </c>
      <c r="G764" t="n">
        <v>4.4</v>
      </c>
      <c r="H764" t="n">
        <v>0</v>
      </c>
      <c r="I764" t="n">
        <v>0</v>
      </c>
      <c r="J764" t="n">
        <v>0</v>
      </c>
      <c r="K764" t="n">
        <v>0</v>
      </c>
      <c r="L764" t="n">
        <v>0</v>
      </c>
      <c r="M764" t="n">
        <v>0</v>
      </c>
      <c r="N764" t="n">
        <v>0</v>
      </c>
      <c r="O764" t="n">
        <v>0</v>
      </c>
      <c r="P764" t="n">
        <v>0</v>
      </c>
      <c r="Q764" t="n">
        <v>0</v>
      </c>
      <c r="R764" s="2" t="inlineStr"/>
    </row>
    <row r="765" ht="15" customHeight="1">
      <c r="A765" t="inlineStr">
        <is>
          <t>A 25269-2024</t>
        </is>
      </c>
      <c r="B765" s="1" t="n">
        <v>45462</v>
      </c>
      <c r="C765" s="1" t="n">
        <v>46134</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59382-2022</t>
        </is>
      </c>
      <c r="B766" s="1" t="n">
        <v>44905.50363425926</v>
      </c>
      <c r="C766" s="1" t="n">
        <v>46134</v>
      </c>
      <c r="D766" t="inlineStr">
        <is>
          <t>UPPSALA LÄN</t>
        </is>
      </c>
      <c r="E766" t="inlineStr">
        <is>
          <t>ÖSTHAMMAR</t>
        </is>
      </c>
      <c r="G766" t="n">
        <v>2.9</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46134</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56903-2023</t>
        </is>
      </c>
      <c r="B768" s="1" t="n">
        <v>45244.56943287037</v>
      </c>
      <c r="C768" s="1" t="n">
        <v>46134</v>
      </c>
      <c r="D768" t="inlineStr">
        <is>
          <t>UPPSALA LÄN</t>
        </is>
      </c>
      <c r="E768" t="inlineStr">
        <is>
          <t>ÖSTHAMMAR</t>
        </is>
      </c>
      <c r="G768" t="n">
        <v>3.1</v>
      </c>
      <c r="H768" t="n">
        <v>0</v>
      </c>
      <c r="I768" t="n">
        <v>0</v>
      </c>
      <c r="J768" t="n">
        <v>0</v>
      </c>
      <c r="K768" t="n">
        <v>0</v>
      </c>
      <c r="L768" t="n">
        <v>0</v>
      </c>
      <c r="M768" t="n">
        <v>0</v>
      </c>
      <c r="N768" t="n">
        <v>0</v>
      </c>
      <c r="O768" t="n">
        <v>0</v>
      </c>
      <c r="P768" t="n">
        <v>0</v>
      </c>
      <c r="Q768" t="n">
        <v>0</v>
      </c>
      <c r="R768" s="2" t="inlineStr"/>
    </row>
    <row r="769" ht="15" customHeight="1">
      <c r="A769" t="inlineStr">
        <is>
          <t>A 67151-2021</t>
        </is>
      </c>
      <c r="B769" s="1" t="n">
        <v>44523</v>
      </c>
      <c r="C769" s="1" t="n">
        <v>46134</v>
      </c>
      <c r="D769" t="inlineStr">
        <is>
          <t>UPPSALA LÄN</t>
        </is>
      </c>
      <c r="E769" t="inlineStr">
        <is>
          <t>ÖSTHAMMAR</t>
        </is>
      </c>
      <c r="G769" t="n">
        <v>2.4</v>
      </c>
      <c r="H769" t="n">
        <v>0</v>
      </c>
      <c r="I769" t="n">
        <v>0</v>
      </c>
      <c r="J769" t="n">
        <v>0</v>
      </c>
      <c r="K769" t="n">
        <v>0</v>
      </c>
      <c r="L769" t="n">
        <v>0</v>
      </c>
      <c r="M769" t="n">
        <v>0</v>
      </c>
      <c r="N769" t="n">
        <v>0</v>
      </c>
      <c r="O769" t="n">
        <v>0</v>
      </c>
      <c r="P769" t="n">
        <v>0</v>
      </c>
      <c r="Q769" t="n">
        <v>0</v>
      </c>
      <c r="R769" s="2" t="inlineStr"/>
    </row>
    <row r="770" ht="15" customHeight="1">
      <c r="A770" t="inlineStr">
        <is>
          <t>A 29824-2023</t>
        </is>
      </c>
      <c r="B770" s="1" t="n">
        <v>45107</v>
      </c>
      <c r="C770" s="1" t="n">
        <v>46134</v>
      </c>
      <c r="D770" t="inlineStr">
        <is>
          <t>UPPSALA LÄN</t>
        </is>
      </c>
      <c r="E770" t="inlineStr">
        <is>
          <t>ÖSTHAMMAR</t>
        </is>
      </c>
      <c r="F770" t="inlineStr">
        <is>
          <t>Naturvårdsverket</t>
        </is>
      </c>
      <c r="G770" t="n">
        <v>1.6</v>
      </c>
      <c r="H770" t="n">
        <v>0</v>
      </c>
      <c r="I770" t="n">
        <v>0</v>
      </c>
      <c r="J770" t="n">
        <v>0</v>
      </c>
      <c r="K770" t="n">
        <v>0</v>
      </c>
      <c r="L770" t="n">
        <v>0</v>
      </c>
      <c r="M770" t="n">
        <v>0</v>
      </c>
      <c r="N770" t="n">
        <v>0</v>
      </c>
      <c r="O770" t="n">
        <v>0</v>
      </c>
      <c r="P770" t="n">
        <v>0</v>
      </c>
      <c r="Q770" t="n">
        <v>0</v>
      </c>
      <c r="R770" s="2" t="inlineStr"/>
    </row>
    <row r="771" ht="15" customHeight="1">
      <c r="A771" t="inlineStr">
        <is>
          <t>A 64586-2021</t>
        </is>
      </c>
      <c r="B771" s="1" t="n">
        <v>44511</v>
      </c>
      <c r="C771" s="1" t="n">
        <v>46134</v>
      </c>
      <c r="D771" t="inlineStr">
        <is>
          <t>UPPSALA LÄN</t>
        </is>
      </c>
      <c r="E771" t="inlineStr">
        <is>
          <t>ÖSTHAMMAR</t>
        </is>
      </c>
      <c r="G771" t="n">
        <v>2</v>
      </c>
      <c r="H771" t="n">
        <v>0</v>
      </c>
      <c r="I771" t="n">
        <v>0</v>
      </c>
      <c r="J771" t="n">
        <v>0</v>
      </c>
      <c r="K771" t="n">
        <v>0</v>
      </c>
      <c r="L771" t="n">
        <v>0</v>
      </c>
      <c r="M771" t="n">
        <v>0</v>
      </c>
      <c r="N771" t="n">
        <v>0</v>
      </c>
      <c r="O771" t="n">
        <v>0</v>
      </c>
      <c r="P771" t="n">
        <v>0</v>
      </c>
      <c r="Q771" t="n">
        <v>0</v>
      </c>
      <c r="R771" s="2" t="inlineStr"/>
    </row>
    <row r="772" ht="15" customHeight="1">
      <c r="A772" t="inlineStr">
        <is>
          <t>A 13755-2023</t>
        </is>
      </c>
      <c r="B772" s="1" t="n">
        <v>45007</v>
      </c>
      <c r="C772" s="1" t="n">
        <v>46134</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64774-2023</t>
        </is>
      </c>
      <c r="B773" s="1" t="n">
        <v>45282</v>
      </c>
      <c r="C773" s="1" t="n">
        <v>46134</v>
      </c>
      <c r="D773" t="inlineStr">
        <is>
          <t>UPPSALA LÄN</t>
        </is>
      </c>
      <c r="E773" t="inlineStr">
        <is>
          <t>ÖSTHAMMAR</t>
        </is>
      </c>
      <c r="F773" t="inlineStr">
        <is>
          <t>Övriga Aktiebolag</t>
        </is>
      </c>
      <c r="G773" t="n">
        <v>3.7</v>
      </c>
      <c r="H773" t="n">
        <v>0</v>
      </c>
      <c r="I773" t="n">
        <v>0</v>
      </c>
      <c r="J773" t="n">
        <v>0</v>
      </c>
      <c r="K773" t="n">
        <v>0</v>
      </c>
      <c r="L773" t="n">
        <v>0</v>
      </c>
      <c r="M773" t="n">
        <v>0</v>
      </c>
      <c r="N773" t="n">
        <v>0</v>
      </c>
      <c r="O773" t="n">
        <v>0</v>
      </c>
      <c r="P773" t="n">
        <v>0</v>
      </c>
      <c r="Q773" t="n">
        <v>0</v>
      </c>
      <c r="R773" s="2" t="inlineStr"/>
    </row>
    <row r="774" ht="15" customHeight="1">
      <c r="A774" t="inlineStr">
        <is>
          <t>A 65020-2021</t>
        </is>
      </c>
      <c r="B774" s="1" t="n">
        <v>44515</v>
      </c>
      <c r="C774" s="1" t="n">
        <v>46134</v>
      </c>
      <c r="D774" t="inlineStr">
        <is>
          <t>UPPSALA LÄN</t>
        </is>
      </c>
      <c r="E774" t="inlineStr">
        <is>
          <t>ÖSTHAMMAR</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2085-2022</t>
        </is>
      </c>
      <c r="B775" s="1" t="n">
        <v>44576.78626157407</v>
      </c>
      <c r="C775" s="1" t="n">
        <v>46134</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14671-2022</t>
        </is>
      </c>
      <c r="B776" s="1" t="n">
        <v>44655.80475694445</v>
      </c>
      <c r="C776" s="1" t="n">
        <v>46134</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12215-2023</t>
        </is>
      </c>
      <c r="B777" s="1" t="n">
        <v>44998</v>
      </c>
      <c r="C777" s="1" t="n">
        <v>46134</v>
      </c>
      <c r="D777" t="inlineStr">
        <is>
          <t>UPPSALA LÄN</t>
        </is>
      </c>
      <c r="E777" t="inlineStr">
        <is>
          <t>ÖSTHAMMAR</t>
        </is>
      </c>
      <c r="G777" t="n">
        <v>5.1</v>
      </c>
      <c r="H777" t="n">
        <v>0</v>
      </c>
      <c r="I777" t="n">
        <v>0</v>
      </c>
      <c r="J777" t="n">
        <v>0</v>
      </c>
      <c r="K777" t="n">
        <v>0</v>
      </c>
      <c r="L777" t="n">
        <v>0</v>
      </c>
      <c r="M777" t="n">
        <v>0</v>
      </c>
      <c r="N777" t="n">
        <v>0</v>
      </c>
      <c r="O777" t="n">
        <v>0</v>
      </c>
      <c r="P777" t="n">
        <v>0</v>
      </c>
      <c r="Q777" t="n">
        <v>0</v>
      </c>
      <c r="R777" s="2" t="inlineStr"/>
    </row>
    <row r="778" ht="15" customHeight="1">
      <c r="A778" t="inlineStr">
        <is>
          <t>A 41996-2024</t>
        </is>
      </c>
      <c r="B778" s="1" t="n">
        <v>45561</v>
      </c>
      <c r="C778" s="1" t="n">
        <v>46134</v>
      </c>
      <c r="D778" t="inlineStr">
        <is>
          <t>UPPSALA LÄN</t>
        </is>
      </c>
      <c r="E778" t="inlineStr">
        <is>
          <t>ÖSTHAMMAR</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15449-2022</t>
        </is>
      </c>
      <c r="B779" s="1" t="n">
        <v>44660.91659722223</v>
      </c>
      <c r="C779" s="1" t="n">
        <v>46134</v>
      </c>
      <c r="D779" t="inlineStr">
        <is>
          <t>UPPSALA LÄN</t>
        </is>
      </c>
      <c r="E779" t="inlineStr">
        <is>
          <t>ÖSTHAMMAR</t>
        </is>
      </c>
      <c r="F779" t="inlineStr">
        <is>
          <t>Bergvik skog öst AB</t>
        </is>
      </c>
      <c r="G779" t="n">
        <v>2</v>
      </c>
      <c r="H779" t="n">
        <v>0</v>
      </c>
      <c r="I779" t="n">
        <v>0</v>
      </c>
      <c r="J779" t="n">
        <v>0</v>
      </c>
      <c r="K779" t="n">
        <v>0</v>
      </c>
      <c r="L779" t="n">
        <v>0</v>
      </c>
      <c r="M779" t="n">
        <v>0</v>
      </c>
      <c r="N779" t="n">
        <v>0</v>
      </c>
      <c r="O779" t="n">
        <v>0</v>
      </c>
      <c r="P779" t="n">
        <v>0</v>
      </c>
      <c r="Q779" t="n">
        <v>0</v>
      </c>
      <c r="R779" s="2" t="inlineStr"/>
    </row>
    <row r="780" ht="15" customHeight="1">
      <c r="A780" t="inlineStr">
        <is>
          <t>A 1439-2025</t>
        </is>
      </c>
      <c r="B780" s="1" t="n">
        <v>45669.69075231482</v>
      </c>
      <c r="C780" s="1" t="n">
        <v>46134</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5884-2023</t>
        </is>
      </c>
      <c r="B781" s="1" t="n">
        <v>44963</v>
      </c>
      <c r="C781" s="1" t="n">
        <v>46134</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5215-2025</t>
        </is>
      </c>
      <c r="B782" s="1" t="n">
        <v>45691</v>
      </c>
      <c r="C782" s="1" t="n">
        <v>46134</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65028-2021</t>
        </is>
      </c>
      <c r="B783" s="1" t="n">
        <v>44515</v>
      </c>
      <c r="C783" s="1" t="n">
        <v>46134</v>
      </c>
      <c r="D783" t="inlineStr">
        <is>
          <t>UPPSALA LÄN</t>
        </is>
      </c>
      <c r="E783" t="inlineStr">
        <is>
          <t>ÖSTHAMMAR</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1525-2025</t>
        </is>
      </c>
      <c r="B784" s="1" t="n">
        <v>45670.47300925926</v>
      </c>
      <c r="C784" s="1" t="n">
        <v>46134</v>
      </c>
      <c r="D784" t="inlineStr">
        <is>
          <t>UPPSALA LÄN</t>
        </is>
      </c>
      <c r="E784" t="inlineStr">
        <is>
          <t>ÖSTHAMMAR</t>
        </is>
      </c>
      <c r="F784" t="inlineStr">
        <is>
          <t>Bergvik skog öst AB</t>
        </is>
      </c>
      <c r="G784" t="n">
        <v>2</v>
      </c>
      <c r="H784" t="n">
        <v>0</v>
      </c>
      <c r="I784" t="n">
        <v>0</v>
      </c>
      <c r="J784" t="n">
        <v>0</v>
      </c>
      <c r="K784" t="n">
        <v>0</v>
      </c>
      <c r="L784" t="n">
        <v>0</v>
      </c>
      <c r="M784" t="n">
        <v>0</v>
      </c>
      <c r="N784" t="n">
        <v>0</v>
      </c>
      <c r="O784" t="n">
        <v>0</v>
      </c>
      <c r="P784" t="n">
        <v>0</v>
      </c>
      <c r="Q784" t="n">
        <v>0</v>
      </c>
      <c r="R784" s="2" t="inlineStr"/>
    </row>
    <row r="785" ht="15" customHeight="1">
      <c r="A785" t="inlineStr">
        <is>
          <t>A 61257-2022</t>
        </is>
      </c>
      <c r="B785" s="1" t="n">
        <v>44915.59418981482</v>
      </c>
      <c r="C785" s="1" t="n">
        <v>46134</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36857-2023</t>
        </is>
      </c>
      <c r="B786" s="1" t="n">
        <v>45154.55175925926</v>
      </c>
      <c r="C786" s="1" t="n">
        <v>46134</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6206-2022</t>
        </is>
      </c>
      <c r="B787" s="1" t="n">
        <v>44600.35755787037</v>
      </c>
      <c r="C787" s="1" t="n">
        <v>46134</v>
      </c>
      <c r="D787" t="inlineStr">
        <is>
          <t>UPPSALA LÄN</t>
        </is>
      </c>
      <c r="E787" t="inlineStr">
        <is>
          <t>ÖSTHAMMAR</t>
        </is>
      </c>
      <c r="G787" t="n">
        <v>7.4</v>
      </c>
      <c r="H787" t="n">
        <v>0</v>
      </c>
      <c r="I787" t="n">
        <v>0</v>
      </c>
      <c r="J787" t="n">
        <v>0</v>
      </c>
      <c r="K787" t="n">
        <v>0</v>
      </c>
      <c r="L787" t="n">
        <v>0</v>
      </c>
      <c r="M787" t="n">
        <v>0</v>
      </c>
      <c r="N787" t="n">
        <v>0</v>
      </c>
      <c r="O787" t="n">
        <v>0</v>
      </c>
      <c r="P787" t="n">
        <v>0</v>
      </c>
      <c r="Q787" t="n">
        <v>0</v>
      </c>
      <c r="R787" s="2" t="inlineStr"/>
    </row>
    <row r="788" ht="15" customHeight="1">
      <c r="A788" t="inlineStr">
        <is>
          <t>A 6143-2022</t>
        </is>
      </c>
      <c r="B788" s="1" t="n">
        <v>44599.72306712963</v>
      </c>
      <c r="C788" s="1" t="n">
        <v>46134</v>
      </c>
      <c r="D788" t="inlineStr">
        <is>
          <t>UPPSALA LÄN</t>
        </is>
      </c>
      <c r="E788" t="inlineStr">
        <is>
          <t>ÖSTHAMMAR</t>
        </is>
      </c>
      <c r="G788" t="n">
        <v>3.4</v>
      </c>
      <c r="H788" t="n">
        <v>0</v>
      </c>
      <c r="I788" t="n">
        <v>0</v>
      </c>
      <c r="J788" t="n">
        <v>0</v>
      </c>
      <c r="K788" t="n">
        <v>0</v>
      </c>
      <c r="L788" t="n">
        <v>0</v>
      </c>
      <c r="M788" t="n">
        <v>0</v>
      </c>
      <c r="N788" t="n">
        <v>0</v>
      </c>
      <c r="O788" t="n">
        <v>0</v>
      </c>
      <c r="P788" t="n">
        <v>0</v>
      </c>
      <c r="Q788" t="n">
        <v>0</v>
      </c>
      <c r="R788" s="2" t="inlineStr"/>
    </row>
    <row r="789" ht="15" customHeight="1">
      <c r="A789" t="inlineStr">
        <is>
          <t>A 3514-2023</t>
        </is>
      </c>
      <c r="B789" s="1" t="n">
        <v>44950</v>
      </c>
      <c r="C789" s="1" t="n">
        <v>46134</v>
      </c>
      <c r="D789" t="inlineStr">
        <is>
          <t>UPPSALA LÄN</t>
        </is>
      </c>
      <c r="E789" t="inlineStr">
        <is>
          <t>ÖSTHAMMAR</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45561-2023</t>
        </is>
      </c>
      <c r="B790" s="1" t="n">
        <v>45194.59335648148</v>
      </c>
      <c r="C790" s="1" t="n">
        <v>46134</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43439-2024</t>
        </is>
      </c>
      <c r="B791" s="1" t="n">
        <v>45568</v>
      </c>
      <c r="C791" s="1" t="n">
        <v>46134</v>
      </c>
      <c r="D791" t="inlineStr">
        <is>
          <t>UPPSALA LÄN</t>
        </is>
      </c>
      <c r="E791" t="inlineStr">
        <is>
          <t>ÖSTHAMMAR</t>
        </is>
      </c>
      <c r="G791" t="n">
        <v>1</v>
      </c>
      <c r="H791" t="n">
        <v>0</v>
      </c>
      <c r="I791" t="n">
        <v>0</v>
      </c>
      <c r="J791" t="n">
        <v>0</v>
      </c>
      <c r="K791" t="n">
        <v>0</v>
      </c>
      <c r="L791" t="n">
        <v>0</v>
      </c>
      <c r="M791" t="n">
        <v>0</v>
      </c>
      <c r="N791" t="n">
        <v>0</v>
      </c>
      <c r="O791" t="n">
        <v>0</v>
      </c>
      <c r="P791" t="n">
        <v>0</v>
      </c>
      <c r="Q791" t="n">
        <v>0</v>
      </c>
      <c r="R791" s="2" t="inlineStr"/>
    </row>
    <row r="792" ht="15" customHeight="1">
      <c r="A792" t="inlineStr">
        <is>
          <t>A 59880-2022</t>
        </is>
      </c>
      <c r="B792" s="1" t="n">
        <v>44908.69575231482</v>
      </c>
      <c r="C792" s="1" t="n">
        <v>46134</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4562-2022</t>
        </is>
      </c>
      <c r="B793" s="1" t="n">
        <v>44591</v>
      </c>
      <c r="C793" s="1" t="n">
        <v>46134</v>
      </c>
      <c r="D793" t="inlineStr">
        <is>
          <t>UPPSALA LÄN</t>
        </is>
      </c>
      <c r="E793" t="inlineStr">
        <is>
          <t>ÖSTHAMMAR</t>
        </is>
      </c>
      <c r="G793" t="n">
        <v>3.4</v>
      </c>
      <c r="H793" t="n">
        <v>0</v>
      </c>
      <c r="I793" t="n">
        <v>0</v>
      </c>
      <c r="J793" t="n">
        <v>0</v>
      </c>
      <c r="K793" t="n">
        <v>0</v>
      </c>
      <c r="L793" t="n">
        <v>0</v>
      </c>
      <c r="M793" t="n">
        <v>0</v>
      </c>
      <c r="N793" t="n">
        <v>0</v>
      </c>
      <c r="O793" t="n">
        <v>0</v>
      </c>
      <c r="P793" t="n">
        <v>0</v>
      </c>
      <c r="Q793" t="n">
        <v>0</v>
      </c>
      <c r="R793" s="2" t="inlineStr"/>
    </row>
    <row r="794" ht="15" customHeight="1">
      <c r="A794" t="inlineStr">
        <is>
          <t>A 4099-2025</t>
        </is>
      </c>
      <c r="B794" s="1" t="n">
        <v>45684</v>
      </c>
      <c r="C794" s="1" t="n">
        <v>46134</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41538-2021</t>
        </is>
      </c>
      <c r="B795" s="1" t="n">
        <v>44425.35016203704</v>
      </c>
      <c r="C795" s="1" t="n">
        <v>46134</v>
      </c>
      <c r="D795" t="inlineStr">
        <is>
          <t>UPPSALA LÄN</t>
        </is>
      </c>
      <c r="E795" t="inlineStr">
        <is>
          <t>ÖSTHAMMAR</t>
        </is>
      </c>
      <c r="F795" t="inlineStr">
        <is>
          <t>Bergvik skog öst AB</t>
        </is>
      </c>
      <c r="G795" t="n">
        <v>0.4</v>
      </c>
      <c r="H795" t="n">
        <v>0</v>
      </c>
      <c r="I795" t="n">
        <v>0</v>
      </c>
      <c r="J795" t="n">
        <v>0</v>
      </c>
      <c r="K795" t="n">
        <v>0</v>
      </c>
      <c r="L795" t="n">
        <v>0</v>
      </c>
      <c r="M795" t="n">
        <v>0</v>
      </c>
      <c r="N795" t="n">
        <v>0</v>
      </c>
      <c r="O795" t="n">
        <v>0</v>
      </c>
      <c r="P795" t="n">
        <v>0</v>
      </c>
      <c r="Q795" t="n">
        <v>0</v>
      </c>
      <c r="R795" s="2" t="inlineStr"/>
    </row>
    <row r="796" ht="15" customHeight="1">
      <c r="A796" t="inlineStr">
        <is>
          <t>A 36301-2023</t>
        </is>
      </c>
      <c r="B796" s="1" t="n">
        <v>45152.37296296296</v>
      </c>
      <c r="C796" s="1" t="n">
        <v>46134</v>
      </c>
      <c r="D796" t="inlineStr">
        <is>
          <t>UPPSALA LÄN</t>
        </is>
      </c>
      <c r="E796" t="inlineStr">
        <is>
          <t>ÖSTHAMMAR</t>
        </is>
      </c>
      <c r="G796" t="n">
        <v>0.9</v>
      </c>
      <c r="H796" t="n">
        <v>0</v>
      </c>
      <c r="I796" t="n">
        <v>0</v>
      </c>
      <c r="J796" t="n">
        <v>0</v>
      </c>
      <c r="K796" t="n">
        <v>0</v>
      </c>
      <c r="L796" t="n">
        <v>0</v>
      </c>
      <c r="M796" t="n">
        <v>0</v>
      </c>
      <c r="N796" t="n">
        <v>0</v>
      </c>
      <c r="O796" t="n">
        <v>0</v>
      </c>
      <c r="P796" t="n">
        <v>0</v>
      </c>
      <c r="Q796" t="n">
        <v>0</v>
      </c>
      <c r="R796" s="2" t="inlineStr"/>
    </row>
    <row r="797" ht="15" customHeight="1">
      <c r="A797" t="inlineStr">
        <is>
          <t>A 28429-2023</t>
        </is>
      </c>
      <c r="B797" s="1" t="n">
        <v>45102.58728009259</v>
      </c>
      <c r="C797" s="1" t="n">
        <v>46134</v>
      </c>
      <c r="D797" t="inlineStr">
        <is>
          <t>UPPSALA LÄN</t>
        </is>
      </c>
      <c r="E797" t="inlineStr">
        <is>
          <t>ÖSTHAMMAR</t>
        </is>
      </c>
      <c r="F797" t="inlineStr">
        <is>
          <t>Bergvik skog öst AB</t>
        </is>
      </c>
      <c r="G797" t="n">
        <v>0.9</v>
      </c>
      <c r="H797" t="n">
        <v>0</v>
      </c>
      <c r="I797" t="n">
        <v>0</v>
      </c>
      <c r="J797" t="n">
        <v>0</v>
      </c>
      <c r="K797" t="n">
        <v>0</v>
      </c>
      <c r="L797" t="n">
        <v>0</v>
      </c>
      <c r="M797" t="n">
        <v>0</v>
      </c>
      <c r="N797" t="n">
        <v>0</v>
      </c>
      <c r="O797" t="n">
        <v>0</v>
      </c>
      <c r="P797" t="n">
        <v>0</v>
      </c>
      <c r="Q797" t="n">
        <v>0</v>
      </c>
      <c r="R797" s="2" t="inlineStr"/>
    </row>
    <row r="798" ht="15" customHeight="1">
      <c r="A798" t="inlineStr">
        <is>
          <t>A 35309-2023</t>
        </is>
      </c>
      <c r="B798" s="1" t="n">
        <v>45146</v>
      </c>
      <c r="C798" s="1" t="n">
        <v>46134</v>
      </c>
      <c r="D798" t="inlineStr">
        <is>
          <t>UPPSALA LÄN</t>
        </is>
      </c>
      <c r="E798" t="inlineStr">
        <is>
          <t>ÖSTHAMMAR</t>
        </is>
      </c>
      <c r="G798" t="n">
        <v>1.3</v>
      </c>
      <c r="H798" t="n">
        <v>0</v>
      </c>
      <c r="I798" t="n">
        <v>0</v>
      </c>
      <c r="J798" t="n">
        <v>0</v>
      </c>
      <c r="K798" t="n">
        <v>0</v>
      </c>
      <c r="L798" t="n">
        <v>0</v>
      </c>
      <c r="M798" t="n">
        <v>0</v>
      </c>
      <c r="N798" t="n">
        <v>0</v>
      </c>
      <c r="O798" t="n">
        <v>0</v>
      </c>
      <c r="P798" t="n">
        <v>0</v>
      </c>
      <c r="Q798" t="n">
        <v>0</v>
      </c>
      <c r="R798" s="2" t="inlineStr"/>
    </row>
    <row r="799" ht="15" customHeight="1">
      <c r="A799" t="inlineStr">
        <is>
          <t>A 835-2025</t>
        </is>
      </c>
      <c r="B799" s="1" t="n">
        <v>45665.58465277778</v>
      </c>
      <c r="C799" s="1" t="n">
        <v>46134</v>
      </c>
      <c r="D799" t="inlineStr">
        <is>
          <t>UPPSALA LÄN</t>
        </is>
      </c>
      <c r="E799" t="inlineStr">
        <is>
          <t>ÖSTHAMMAR</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67199-2021</t>
        </is>
      </c>
      <c r="B800" s="1" t="n">
        <v>44523.46197916667</v>
      </c>
      <c r="C800" s="1" t="n">
        <v>46134</v>
      </c>
      <c r="D800" t="inlineStr">
        <is>
          <t>UPPSALA LÄN</t>
        </is>
      </c>
      <c r="E800" t="inlineStr">
        <is>
          <t>ÖSTHAMMAR</t>
        </is>
      </c>
      <c r="G800" t="n">
        <v>2.3</v>
      </c>
      <c r="H800" t="n">
        <v>0</v>
      </c>
      <c r="I800" t="n">
        <v>0</v>
      </c>
      <c r="J800" t="n">
        <v>0</v>
      </c>
      <c r="K800" t="n">
        <v>0</v>
      </c>
      <c r="L800" t="n">
        <v>0</v>
      </c>
      <c r="M800" t="n">
        <v>0</v>
      </c>
      <c r="N800" t="n">
        <v>0</v>
      </c>
      <c r="O800" t="n">
        <v>0</v>
      </c>
      <c r="P800" t="n">
        <v>0</v>
      </c>
      <c r="Q800" t="n">
        <v>0</v>
      </c>
      <c r="R800" s="2" t="inlineStr"/>
    </row>
    <row r="801" ht="15" customHeight="1">
      <c r="A801" t="inlineStr">
        <is>
          <t>A 24259-2022</t>
        </is>
      </c>
      <c r="B801" s="1" t="n">
        <v>44725</v>
      </c>
      <c r="C801" s="1" t="n">
        <v>46134</v>
      </c>
      <c r="D801" t="inlineStr">
        <is>
          <t>UPPSALA LÄN</t>
        </is>
      </c>
      <c r="E801" t="inlineStr">
        <is>
          <t>ÖSTHAMMAR</t>
        </is>
      </c>
      <c r="G801" t="n">
        <v>2.4</v>
      </c>
      <c r="H801" t="n">
        <v>0</v>
      </c>
      <c r="I801" t="n">
        <v>0</v>
      </c>
      <c r="J801" t="n">
        <v>0</v>
      </c>
      <c r="K801" t="n">
        <v>0</v>
      </c>
      <c r="L801" t="n">
        <v>0</v>
      </c>
      <c r="M801" t="n">
        <v>0</v>
      </c>
      <c r="N801" t="n">
        <v>0</v>
      </c>
      <c r="O801" t="n">
        <v>0</v>
      </c>
      <c r="P801" t="n">
        <v>0</v>
      </c>
      <c r="Q801" t="n">
        <v>0</v>
      </c>
      <c r="R801" s="2" t="inlineStr"/>
    </row>
    <row r="802" ht="15" customHeight="1">
      <c r="A802" t="inlineStr">
        <is>
          <t>A 24367-2022</t>
        </is>
      </c>
      <c r="B802" s="1" t="n">
        <v>44726.42716435185</v>
      </c>
      <c r="C802" s="1" t="n">
        <v>46134</v>
      </c>
      <c r="D802" t="inlineStr">
        <is>
          <t>UPPSALA LÄN</t>
        </is>
      </c>
      <c r="E802" t="inlineStr">
        <is>
          <t>ÖSTHAMMAR</t>
        </is>
      </c>
      <c r="G802" t="n">
        <v>2.7</v>
      </c>
      <c r="H802" t="n">
        <v>0</v>
      </c>
      <c r="I802" t="n">
        <v>0</v>
      </c>
      <c r="J802" t="n">
        <v>0</v>
      </c>
      <c r="K802" t="n">
        <v>0</v>
      </c>
      <c r="L802" t="n">
        <v>0</v>
      </c>
      <c r="M802" t="n">
        <v>0</v>
      </c>
      <c r="N802" t="n">
        <v>0</v>
      </c>
      <c r="O802" t="n">
        <v>0</v>
      </c>
      <c r="P802" t="n">
        <v>0</v>
      </c>
      <c r="Q802" t="n">
        <v>0</v>
      </c>
      <c r="R802" s="2" t="inlineStr"/>
    </row>
    <row r="803" ht="15" customHeight="1">
      <c r="A803" t="inlineStr">
        <is>
          <t>A 49897-2023</t>
        </is>
      </c>
      <c r="B803" s="1" t="n">
        <v>45213.84846064815</v>
      </c>
      <c r="C803" s="1" t="n">
        <v>46134</v>
      </c>
      <c r="D803" t="inlineStr">
        <is>
          <t>UPPSALA LÄN</t>
        </is>
      </c>
      <c r="E803" t="inlineStr">
        <is>
          <t>ÖSTHAMMAR</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34922-2023</t>
        </is>
      </c>
      <c r="B804" s="1" t="n">
        <v>45142.48359953704</v>
      </c>
      <c r="C804" s="1" t="n">
        <v>46134</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50998-2023</t>
        </is>
      </c>
      <c r="B805" s="1" t="n">
        <v>45218.5586574074</v>
      </c>
      <c r="C805" s="1" t="n">
        <v>46134</v>
      </c>
      <c r="D805" t="inlineStr">
        <is>
          <t>UPPSALA LÄN</t>
        </is>
      </c>
      <c r="E805" t="inlineStr">
        <is>
          <t>ÖSTHAMMAR</t>
        </is>
      </c>
      <c r="G805" t="n">
        <v>3.6</v>
      </c>
      <c r="H805" t="n">
        <v>0</v>
      </c>
      <c r="I805" t="n">
        <v>0</v>
      </c>
      <c r="J805" t="n">
        <v>0</v>
      </c>
      <c r="K805" t="n">
        <v>0</v>
      </c>
      <c r="L805" t="n">
        <v>0</v>
      </c>
      <c r="M805" t="n">
        <v>0</v>
      </c>
      <c r="N805" t="n">
        <v>0</v>
      </c>
      <c r="O805" t="n">
        <v>0</v>
      </c>
      <c r="P805" t="n">
        <v>0</v>
      </c>
      <c r="Q805" t="n">
        <v>0</v>
      </c>
      <c r="R805" s="2" t="inlineStr"/>
    </row>
    <row r="806" ht="15" customHeight="1">
      <c r="A806" t="inlineStr">
        <is>
          <t>A 31669-2022</t>
        </is>
      </c>
      <c r="B806" s="1" t="n">
        <v>44775</v>
      </c>
      <c r="C806" s="1" t="n">
        <v>46134</v>
      </c>
      <c r="D806" t="inlineStr">
        <is>
          <t>UPPSALA LÄN</t>
        </is>
      </c>
      <c r="E806" t="inlineStr">
        <is>
          <t>ÖSTHAMMAR</t>
        </is>
      </c>
      <c r="G806" t="n">
        <v>6</v>
      </c>
      <c r="H806" t="n">
        <v>0</v>
      </c>
      <c r="I806" t="n">
        <v>0</v>
      </c>
      <c r="J806" t="n">
        <v>0</v>
      </c>
      <c r="K806" t="n">
        <v>0</v>
      </c>
      <c r="L806" t="n">
        <v>0</v>
      </c>
      <c r="M806" t="n">
        <v>0</v>
      </c>
      <c r="N806" t="n">
        <v>0</v>
      </c>
      <c r="O806" t="n">
        <v>0</v>
      </c>
      <c r="P806" t="n">
        <v>0</v>
      </c>
      <c r="Q806" t="n">
        <v>0</v>
      </c>
      <c r="R806" s="2" t="inlineStr"/>
    </row>
    <row r="807" ht="15" customHeight="1">
      <c r="A807" t="inlineStr">
        <is>
          <t>A 48856-2024</t>
        </is>
      </c>
      <c r="B807" s="1" t="n">
        <v>45593</v>
      </c>
      <c r="C807" s="1" t="n">
        <v>46134</v>
      </c>
      <c r="D807" t="inlineStr">
        <is>
          <t>UPPSALA LÄN</t>
        </is>
      </c>
      <c r="E807" t="inlineStr">
        <is>
          <t>ÖSTHAMMAR</t>
        </is>
      </c>
      <c r="G807" t="n">
        <v>1.5</v>
      </c>
      <c r="H807" t="n">
        <v>0</v>
      </c>
      <c r="I807" t="n">
        <v>0</v>
      </c>
      <c r="J807" t="n">
        <v>0</v>
      </c>
      <c r="K807" t="n">
        <v>0</v>
      </c>
      <c r="L807" t="n">
        <v>0</v>
      </c>
      <c r="M807" t="n">
        <v>0</v>
      </c>
      <c r="N807" t="n">
        <v>0</v>
      </c>
      <c r="O807" t="n">
        <v>0</v>
      </c>
      <c r="P807" t="n">
        <v>0</v>
      </c>
      <c r="Q807" t="n">
        <v>0</v>
      </c>
      <c r="R807" s="2" t="inlineStr"/>
    </row>
    <row r="808" ht="15" customHeight="1">
      <c r="A808" t="inlineStr">
        <is>
          <t>A 17947-2022</t>
        </is>
      </c>
      <c r="B808" s="1" t="n">
        <v>44683</v>
      </c>
      <c r="C808" s="1" t="n">
        <v>46134</v>
      </c>
      <c r="D808" t="inlineStr">
        <is>
          <t>UPPSALA LÄN</t>
        </is>
      </c>
      <c r="E808" t="inlineStr">
        <is>
          <t>ÖSTHAMMAR</t>
        </is>
      </c>
      <c r="G808" t="n">
        <v>5.5</v>
      </c>
      <c r="H808" t="n">
        <v>0</v>
      </c>
      <c r="I808" t="n">
        <v>0</v>
      </c>
      <c r="J808" t="n">
        <v>0</v>
      </c>
      <c r="K808" t="n">
        <v>0</v>
      </c>
      <c r="L808" t="n">
        <v>0</v>
      </c>
      <c r="M808" t="n">
        <v>0</v>
      </c>
      <c r="N808" t="n">
        <v>0</v>
      </c>
      <c r="O808" t="n">
        <v>0</v>
      </c>
      <c r="P808" t="n">
        <v>0</v>
      </c>
      <c r="Q808" t="n">
        <v>0</v>
      </c>
      <c r="R808" s="2" t="inlineStr"/>
    </row>
    <row r="809" ht="15" customHeight="1">
      <c r="A809" t="inlineStr">
        <is>
          <t>A 21862-2023</t>
        </is>
      </c>
      <c r="B809" s="1" t="n">
        <v>45068</v>
      </c>
      <c r="C809" s="1" t="n">
        <v>46134</v>
      </c>
      <c r="D809" t="inlineStr">
        <is>
          <t>UPPSALA LÄN</t>
        </is>
      </c>
      <c r="E809" t="inlineStr">
        <is>
          <t>ÖSTHAMMAR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12654-2025</t>
        </is>
      </c>
      <c r="B810" s="1" t="n">
        <v>45733.41601851852</v>
      </c>
      <c r="C810" s="1" t="n">
        <v>46134</v>
      </c>
      <c r="D810" t="inlineStr">
        <is>
          <t>UPPSALA LÄN</t>
        </is>
      </c>
      <c r="E810" t="inlineStr">
        <is>
          <t>ÖSTHAMMAR</t>
        </is>
      </c>
      <c r="G810" t="n">
        <v>9.9</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45096.65381944444</v>
      </c>
      <c r="C811" s="1" t="n">
        <v>46134</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28420-2023</t>
        </is>
      </c>
      <c r="B812" s="1" t="n">
        <v>45102.33054398148</v>
      </c>
      <c r="C812" s="1" t="n">
        <v>46134</v>
      </c>
      <c r="D812" t="inlineStr">
        <is>
          <t>UPPSALA LÄN</t>
        </is>
      </c>
      <c r="E812" t="inlineStr">
        <is>
          <t>ÖSTHAMMAR</t>
        </is>
      </c>
      <c r="F812" t="inlineStr">
        <is>
          <t>Bergvik skog öst AB</t>
        </is>
      </c>
      <c r="G812" t="n">
        <v>3.2</v>
      </c>
      <c r="H812" t="n">
        <v>0</v>
      </c>
      <c r="I812" t="n">
        <v>0</v>
      </c>
      <c r="J812" t="n">
        <v>0</v>
      </c>
      <c r="K812" t="n">
        <v>0</v>
      </c>
      <c r="L812" t="n">
        <v>0</v>
      </c>
      <c r="M812" t="n">
        <v>0</v>
      </c>
      <c r="N812" t="n">
        <v>0</v>
      </c>
      <c r="O812" t="n">
        <v>0</v>
      </c>
      <c r="P812" t="n">
        <v>0</v>
      </c>
      <c r="Q812" t="n">
        <v>0</v>
      </c>
      <c r="R812" s="2" t="inlineStr"/>
    </row>
    <row r="813" ht="15" customHeight="1">
      <c r="A813" t="inlineStr">
        <is>
          <t>A 40547-2023</t>
        </is>
      </c>
      <c r="B813" s="1" t="n">
        <v>45170.45050925926</v>
      </c>
      <c r="C813" s="1" t="n">
        <v>46134</v>
      </c>
      <c r="D813" t="inlineStr">
        <is>
          <t>UPPSALA LÄN</t>
        </is>
      </c>
      <c r="E813" t="inlineStr">
        <is>
          <t>ÖSTHAMMAR</t>
        </is>
      </c>
      <c r="G813" t="n">
        <v>2.1</v>
      </c>
      <c r="H813" t="n">
        <v>0</v>
      </c>
      <c r="I813" t="n">
        <v>0</v>
      </c>
      <c r="J813" t="n">
        <v>0</v>
      </c>
      <c r="K813" t="n">
        <v>0</v>
      </c>
      <c r="L813" t="n">
        <v>0</v>
      </c>
      <c r="M813" t="n">
        <v>0</v>
      </c>
      <c r="N813" t="n">
        <v>0</v>
      </c>
      <c r="O813" t="n">
        <v>0</v>
      </c>
      <c r="P813" t="n">
        <v>0</v>
      </c>
      <c r="Q813" t="n">
        <v>0</v>
      </c>
      <c r="R813" s="2" t="inlineStr"/>
    </row>
    <row r="814" ht="15" customHeight="1">
      <c r="A814" t="inlineStr">
        <is>
          <t>A 10449-2023</t>
        </is>
      </c>
      <c r="B814" s="1" t="n">
        <v>44987</v>
      </c>
      <c r="C814" s="1" t="n">
        <v>46134</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31035-2022</t>
        </is>
      </c>
      <c r="B815" s="1" t="n">
        <v>44768.88685185185</v>
      </c>
      <c r="C815" s="1" t="n">
        <v>46134</v>
      </c>
      <c r="D815" t="inlineStr">
        <is>
          <t>UPPSALA LÄN</t>
        </is>
      </c>
      <c r="E815" t="inlineStr">
        <is>
          <t>ÖSTHAMMAR</t>
        </is>
      </c>
      <c r="F815" t="inlineStr">
        <is>
          <t>Bergvik skog öst AB</t>
        </is>
      </c>
      <c r="G815" t="n">
        <v>1.5</v>
      </c>
      <c r="H815" t="n">
        <v>0</v>
      </c>
      <c r="I815" t="n">
        <v>0</v>
      </c>
      <c r="J815" t="n">
        <v>0</v>
      </c>
      <c r="K815" t="n">
        <v>0</v>
      </c>
      <c r="L815" t="n">
        <v>0</v>
      </c>
      <c r="M815" t="n">
        <v>0</v>
      </c>
      <c r="N815" t="n">
        <v>0</v>
      </c>
      <c r="O815" t="n">
        <v>0</v>
      </c>
      <c r="P815" t="n">
        <v>0</v>
      </c>
      <c r="Q815" t="n">
        <v>0</v>
      </c>
      <c r="R815" s="2" t="inlineStr"/>
    </row>
    <row r="816" ht="15" customHeight="1">
      <c r="A816" t="inlineStr">
        <is>
          <t>A 22798-2023</t>
        </is>
      </c>
      <c r="B816" s="1" t="n">
        <v>45072</v>
      </c>
      <c r="C816" s="1" t="n">
        <v>46134</v>
      </c>
      <c r="D816" t="inlineStr">
        <is>
          <t>UPPSALA LÄN</t>
        </is>
      </c>
      <c r="E816" t="inlineStr">
        <is>
          <t>ÖSTHAMMAR</t>
        </is>
      </c>
      <c r="G816" t="n">
        <v>1</v>
      </c>
      <c r="H816" t="n">
        <v>0</v>
      </c>
      <c r="I816" t="n">
        <v>0</v>
      </c>
      <c r="J816" t="n">
        <v>0</v>
      </c>
      <c r="K816" t="n">
        <v>0</v>
      </c>
      <c r="L816" t="n">
        <v>0</v>
      </c>
      <c r="M816" t="n">
        <v>0</v>
      </c>
      <c r="N816" t="n">
        <v>0</v>
      </c>
      <c r="O816" t="n">
        <v>0</v>
      </c>
      <c r="P816" t="n">
        <v>0</v>
      </c>
      <c r="Q816" t="n">
        <v>0</v>
      </c>
      <c r="R816" s="2" t="inlineStr"/>
    </row>
    <row r="817" ht="15" customHeight="1">
      <c r="A817" t="inlineStr">
        <is>
          <t>A 10982-2023</t>
        </is>
      </c>
      <c r="B817" s="1" t="n">
        <v>44991.62203703704</v>
      </c>
      <c r="C817" s="1" t="n">
        <v>46134</v>
      </c>
      <c r="D817" t="inlineStr">
        <is>
          <t>UPPSALA LÄN</t>
        </is>
      </c>
      <c r="E817" t="inlineStr">
        <is>
          <t>ÖSTHAMMAR</t>
        </is>
      </c>
      <c r="G817" t="n">
        <v>1.2</v>
      </c>
      <c r="H817" t="n">
        <v>0</v>
      </c>
      <c r="I817" t="n">
        <v>0</v>
      </c>
      <c r="J817" t="n">
        <v>0</v>
      </c>
      <c r="K817" t="n">
        <v>0</v>
      </c>
      <c r="L817" t="n">
        <v>0</v>
      </c>
      <c r="M817" t="n">
        <v>0</v>
      </c>
      <c r="N817" t="n">
        <v>0</v>
      </c>
      <c r="O817" t="n">
        <v>0</v>
      </c>
      <c r="P817" t="n">
        <v>0</v>
      </c>
      <c r="Q817" t="n">
        <v>0</v>
      </c>
      <c r="R817" s="2" t="inlineStr"/>
    </row>
    <row r="818" ht="15" customHeight="1">
      <c r="A818" t="inlineStr">
        <is>
          <t>A 40637-2022</t>
        </is>
      </c>
      <c r="B818" s="1" t="n">
        <v>44824</v>
      </c>
      <c r="C818" s="1" t="n">
        <v>46134</v>
      </c>
      <c r="D818" t="inlineStr">
        <is>
          <t>UPPSALA LÄN</t>
        </is>
      </c>
      <c r="E818" t="inlineStr">
        <is>
          <t>ÖSTHAMMAR</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6046-2025</t>
        </is>
      </c>
      <c r="B819" s="1" t="n">
        <v>45695</v>
      </c>
      <c r="C819" s="1" t="n">
        <v>46134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c r="U819">
        <f>HYPERLINK("https://klasma.github.io/Logging_0382/knärot/A 6046-2025 karta knärot.png", "A 6046-2025")</f>
        <v/>
      </c>
      <c r="V819">
        <f>HYPERLINK("https://klasma.github.io/Logging_0382/klagomål/A 6046-2025 FSC-klagomål.docx", "A 6046-2025")</f>
        <v/>
      </c>
      <c r="W819">
        <f>HYPERLINK("https://klasma.github.io/Logging_0382/klagomålsmail/A 6046-2025 FSC-klagomål mail.docx", "A 6046-2025")</f>
        <v/>
      </c>
      <c r="X819">
        <f>HYPERLINK("https://klasma.github.io/Logging_0382/tillsyn/A 6046-2025 tillsynsbegäran.docx", "A 6046-2025")</f>
        <v/>
      </c>
      <c r="Y819">
        <f>HYPERLINK("https://klasma.github.io/Logging_0382/tillsynsmail/A 6046-2025 tillsynsbegäran mail.docx", "A 6046-2025")</f>
        <v/>
      </c>
    </row>
    <row r="820" ht="15" customHeight="1">
      <c r="A820" t="inlineStr">
        <is>
          <t>A 21624-2023</t>
        </is>
      </c>
      <c r="B820" s="1" t="n">
        <v>45063.65543981481</v>
      </c>
      <c r="C820" s="1" t="n">
        <v>46134</v>
      </c>
      <c r="D820" t="inlineStr">
        <is>
          <t>UPPSALA LÄN</t>
        </is>
      </c>
      <c r="E820" t="inlineStr">
        <is>
          <t>ÖSTHAMMAR</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6120-2024</t>
        </is>
      </c>
      <c r="B821" s="1" t="n">
        <v>45337.41784722222</v>
      </c>
      <c r="C821" s="1" t="n">
        <v>46134</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58270-2023</t>
        </is>
      </c>
      <c r="B822" s="1" t="n">
        <v>45250.49961805555</v>
      </c>
      <c r="C822" s="1" t="n">
        <v>46134</v>
      </c>
      <c r="D822" t="inlineStr">
        <is>
          <t>UPPSALA LÄN</t>
        </is>
      </c>
      <c r="E822" t="inlineStr">
        <is>
          <t>ÖSTHAMMAR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22804-2022</t>
        </is>
      </c>
      <c r="B823" s="1" t="n">
        <v>44715</v>
      </c>
      <c r="C823" s="1" t="n">
        <v>46134</v>
      </c>
      <c r="D823" t="inlineStr">
        <is>
          <t>UPPSALA LÄN</t>
        </is>
      </c>
      <c r="E823" t="inlineStr">
        <is>
          <t>ÖSTHAMMAR</t>
        </is>
      </c>
      <c r="G823" t="n">
        <v>2.7</v>
      </c>
      <c r="H823" t="n">
        <v>0</v>
      </c>
      <c r="I823" t="n">
        <v>0</v>
      </c>
      <c r="J823" t="n">
        <v>0</v>
      </c>
      <c r="K823" t="n">
        <v>0</v>
      </c>
      <c r="L823" t="n">
        <v>0</v>
      </c>
      <c r="M823" t="n">
        <v>0</v>
      </c>
      <c r="N823" t="n">
        <v>0</v>
      </c>
      <c r="O823" t="n">
        <v>0</v>
      </c>
      <c r="P823" t="n">
        <v>0</v>
      </c>
      <c r="Q823" t="n">
        <v>0</v>
      </c>
      <c r="R823" s="2" t="inlineStr"/>
    </row>
    <row r="824" ht="15" customHeight="1">
      <c r="A824" t="inlineStr">
        <is>
          <t>A 57003-2021</t>
        </is>
      </c>
      <c r="B824" s="1" t="n">
        <v>44482.47577546296</v>
      </c>
      <c r="C824" s="1" t="n">
        <v>46134</v>
      </c>
      <c r="D824" t="inlineStr">
        <is>
          <t>UPPSALA LÄN</t>
        </is>
      </c>
      <c r="E824" t="inlineStr">
        <is>
          <t>ÖSTHAMMAR</t>
        </is>
      </c>
      <c r="G824" t="n">
        <v>1.9</v>
      </c>
      <c r="H824" t="n">
        <v>0</v>
      </c>
      <c r="I824" t="n">
        <v>0</v>
      </c>
      <c r="J824" t="n">
        <v>0</v>
      </c>
      <c r="K824" t="n">
        <v>0</v>
      </c>
      <c r="L824" t="n">
        <v>0</v>
      </c>
      <c r="M824" t="n">
        <v>0</v>
      </c>
      <c r="N824" t="n">
        <v>0</v>
      </c>
      <c r="O824" t="n">
        <v>0</v>
      </c>
      <c r="P824" t="n">
        <v>0</v>
      </c>
      <c r="Q824" t="n">
        <v>0</v>
      </c>
      <c r="R824" s="2" t="inlineStr"/>
    </row>
    <row r="825" ht="15" customHeight="1">
      <c r="A825" t="inlineStr">
        <is>
          <t>A 73483-2021</t>
        </is>
      </c>
      <c r="B825" s="1" t="n">
        <v>44550</v>
      </c>
      <c r="C825" s="1" t="n">
        <v>46134</v>
      </c>
      <c r="D825" t="inlineStr">
        <is>
          <t>UPPSALA LÄN</t>
        </is>
      </c>
      <c r="E825" t="inlineStr">
        <is>
          <t>ÖSTHAMMAR</t>
        </is>
      </c>
      <c r="G825" t="n">
        <v>2.8</v>
      </c>
      <c r="H825" t="n">
        <v>0</v>
      </c>
      <c r="I825" t="n">
        <v>0</v>
      </c>
      <c r="J825" t="n">
        <v>0</v>
      </c>
      <c r="K825" t="n">
        <v>0</v>
      </c>
      <c r="L825" t="n">
        <v>0</v>
      </c>
      <c r="M825" t="n">
        <v>0</v>
      </c>
      <c r="N825" t="n">
        <v>0</v>
      </c>
      <c r="O825" t="n">
        <v>0</v>
      </c>
      <c r="P825" t="n">
        <v>0</v>
      </c>
      <c r="Q825" t="n">
        <v>0</v>
      </c>
      <c r="R825" s="2" t="inlineStr"/>
    </row>
    <row r="826" ht="15" customHeight="1">
      <c r="A826" t="inlineStr">
        <is>
          <t>A 24033-2023</t>
        </is>
      </c>
      <c r="B826" s="1" t="n">
        <v>45078</v>
      </c>
      <c r="C826" s="1" t="n">
        <v>46134</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12262-2023</t>
        </is>
      </c>
      <c r="B827" s="1" t="n">
        <v>44998.66662037037</v>
      </c>
      <c r="C827" s="1" t="n">
        <v>46134</v>
      </c>
      <c r="D827" t="inlineStr">
        <is>
          <t>UPPSALA LÄN</t>
        </is>
      </c>
      <c r="E827" t="inlineStr">
        <is>
          <t>ÖSTHAMMAR</t>
        </is>
      </c>
      <c r="G827" t="n">
        <v>4.1</v>
      </c>
      <c r="H827" t="n">
        <v>0</v>
      </c>
      <c r="I827" t="n">
        <v>0</v>
      </c>
      <c r="J827" t="n">
        <v>0</v>
      </c>
      <c r="K827" t="n">
        <v>0</v>
      </c>
      <c r="L827" t="n">
        <v>0</v>
      </c>
      <c r="M827" t="n">
        <v>0</v>
      </c>
      <c r="N827" t="n">
        <v>0</v>
      </c>
      <c r="O827" t="n">
        <v>0</v>
      </c>
      <c r="P827" t="n">
        <v>0</v>
      </c>
      <c r="Q827" t="n">
        <v>0</v>
      </c>
      <c r="R827" s="2" t="inlineStr"/>
    </row>
    <row r="828" ht="15" customHeight="1">
      <c r="A828" t="inlineStr">
        <is>
          <t>A 5254-2025</t>
        </is>
      </c>
      <c r="B828" s="1" t="n">
        <v>45692</v>
      </c>
      <c r="C828" s="1" t="n">
        <v>46134</v>
      </c>
      <c r="D828" t="inlineStr">
        <is>
          <t>UPPSALA LÄN</t>
        </is>
      </c>
      <c r="E828" t="inlineStr">
        <is>
          <t>ÖSTHAMMAR</t>
        </is>
      </c>
      <c r="G828" t="n">
        <v>5</v>
      </c>
      <c r="H828" t="n">
        <v>0</v>
      </c>
      <c r="I828" t="n">
        <v>0</v>
      </c>
      <c r="J828" t="n">
        <v>0</v>
      </c>
      <c r="K828" t="n">
        <v>0</v>
      </c>
      <c r="L828" t="n">
        <v>0</v>
      </c>
      <c r="M828" t="n">
        <v>0</v>
      </c>
      <c r="N828" t="n">
        <v>0</v>
      </c>
      <c r="O828" t="n">
        <v>0</v>
      </c>
      <c r="P828" t="n">
        <v>0</v>
      </c>
      <c r="Q828" t="n">
        <v>0</v>
      </c>
      <c r="R828" s="2" t="inlineStr"/>
    </row>
    <row r="829" ht="15" customHeight="1">
      <c r="A829" t="inlineStr">
        <is>
          <t>A 44807-2024</t>
        </is>
      </c>
      <c r="B829" s="1" t="n">
        <v>45574.65427083334</v>
      </c>
      <c r="C829" s="1" t="n">
        <v>46134</v>
      </c>
      <c r="D829" t="inlineStr">
        <is>
          <t>UPPSALA LÄN</t>
        </is>
      </c>
      <c r="E829" t="inlineStr">
        <is>
          <t>ÖSTHAMMAR</t>
        </is>
      </c>
      <c r="G829" t="n">
        <v>2.9</v>
      </c>
      <c r="H829" t="n">
        <v>0</v>
      </c>
      <c r="I829" t="n">
        <v>0</v>
      </c>
      <c r="J829" t="n">
        <v>0</v>
      </c>
      <c r="K829" t="n">
        <v>0</v>
      </c>
      <c r="L829" t="n">
        <v>0</v>
      </c>
      <c r="M829" t="n">
        <v>0</v>
      </c>
      <c r="N829" t="n">
        <v>0</v>
      </c>
      <c r="O829" t="n">
        <v>0</v>
      </c>
      <c r="P829" t="n">
        <v>0</v>
      </c>
      <c r="Q829" t="n">
        <v>0</v>
      </c>
      <c r="R829" s="2" t="inlineStr"/>
    </row>
    <row r="830" ht="15" customHeight="1">
      <c r="A830" t="inlineStr">
        <is>
          <t>A 7195-2023</t>
        </is>
      </c>
      <c r="B830" s="1" t="n">
        <v>44970</v>
      </c>
      <c r="C830" s="1" t="n">
        <v>46134</v>
      </c>
      <c r="D830" t="inlineStr">
        <is>
          <t>UPPSALA LÄN</t>
        </is>
      </c>
      <c r="E830" t="inlineStr">
        <is>
          <t>ÖSTHAMMAR</t>
        </is>
      </c>
      <c r="G830" t="n">
        <v>1.3</v>
      </c>
      <c r="H830" t="n">
        <v>0</v>
      </c>
      <c r="I830" t="n">
        <v>0</v>
      </c>
      <c r="J830" t="n">
        <v>0</v>
      </c>
      <c r="K830" t="n">
        <v>0</v>
      </c>
      <c r="L830" t="n">
        <v>0</v>
      </c>
      <c r="M830" t="n">
        <v>0</v>
      </c>
      <c r="N830" t="n">
        <v>0</v>
      </c>
      <c r="O830" t="n">
        <v>0</v>
      </c>
      <c r="P830" t="n">
        <v>0</v>
      </c>
      <c r="Q830" t="n">
        <v>0</v>
      </c>
      <c r="R830" s="2" t="inlineStr"/>
    </row>
    <row r="831" ht="15" customHeight="1">
      <c r="A831" t="inlineStr">
        <is>
          <t>A 37568-2022</t>
        </is>
      </c>
      <c r="B831" s="1" t="n">
        <v>44809</v>
      </c>
      <c r="C831" s="1" t="n">
        <v>46134</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9542-2023</t>
        </is>
      </c>
      <c r="B832" s="1" t="n">
        <v>44981</v>
      </c>
      <c r="C832" s="1" t="n">
        <v>46134</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55100-2024</t>
        </is>
      </c>
      <c r="B833" s="1" t="n">
        <v>45621.4405787037</v>
      </c>
      <c r="C833" s="1" t="n">
        <v>46134</v>
      </c>
      <c r="D833" t="inlineStr">
        <is>
          <t>UPPSALA LÄN</t>
        </is>
      </c>
      <c r="E833" t="inlineStr">
        <is>
          <t>ÖSTHAMMAR</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26774-2023</t>
        </is>
      </c>
      <c r="B834" s="1" t="n">
        <v>45093.47947916666</v>
      </c>
      <c r="C834" s="1" t="n">
        <v>46134</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67848-2021</t>
        </is>
      </c>
      <c r="B835" s="1" t="n">
        <v>44525</v>
      </c>
      <c r="C835" s="1" t="n">
        <v>46134</v>
      </c>
      <c r="D835" t="inlineStr">
        <is>
          <t>UPPSALA LÄN</t>
        </is>
      </c>
      <c r="E835" t="inlineStr">
        <is>
          <t>ÖSTHAMMAR</t>
        </is>
      </c>
      <c r="G835" t="n">
        <v>1</v>
      </c>
      <c r="H835" t="n">
        <v>0</v>
      </c>
      <c r="I835" t="n">
        <v>0</v>
      </c>
      <c r="J835" t="n">
        <v>0</v>
      </c>
      <c r="K835" t="n">
        <v>0</v>
      </c>
      <c r="L835" t="n">
        <v>0</v>
      </c>
      <c r="M835" t="n">
        <v>0</v>
      </c>
      <c r="N835" t="n">
        <v>0</v>
      </c>
      <c r="O835" t="n">
        <v>0</v>
      </c>
      <c r="P835" t="n">
        <v>0</v>
      </c>
      <c r="Q835" t="n">
        <v>0</v>
      </c>
      <c r="R835" s="2" t="inlineStr"/>
    </row>
    <row r="836" ht="15" customHeight="1">
      <c r="A836" t="inlineStr">
        <is>
          <t>A 55097-2024</t>
        </is>
      </c>
      <c r="B836" s="1" t="n">
        <v>45621.43855324074</v>
      </c>
      <c r="C836" s="1" t="n">
        <v>46134</v>
      </c>
      <c r="D836" t="inlineStr">
        <is>
          <t>UPPSALA LÄN</t>
        </is>
      </c>
      <c r="E836" t="inlineStr">
        <is>
          <t>ÖSTHAMMAR</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18230-2025</t>
        </is>
      </c>
      <c r="B837" s="1" t="n">
        <v>45761.87114583333</v>
      </c>
      <c r="C837" s="1" t="n">
        <v>46134</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37865-2023</t>
        </is>
      </c>
      <c r="B838" s="1" t="n">
        <v>45160</v>
      </c>
      <c r="C838" s="1" t="n">
        <v>46134</v>
      </c>
      <c r="D838" t="inlineStr">
        <is>
          <t>UPPSALA LÄN</t>
        </is>
      </c>
      <c r="E838" t="inlineStr">
        <is>
          <t>ÖSTHAMMAR</t>
        </is>
      </c>
      <c r="G838" t="n">
        <v>1.4</v>
      </c>
      <c r="H838" t="n">
        <v>0</v>
      </c>
      <c r="I838" t="n">
        <v>0</v>
      </c>
      <c r="J838" t="n">
        <v>0</v>
      </c>
      <c r="K838" t="n">
        <v>0</v>
      </c>
      <c r="L838" t="n">
        <v>0</v>
      </c>
      <c r="M838" t="n">
        <v>0</v>
      </c>
      <c r="N838" t="n">
        <v>0</v>
      </c>
      <c r="O838" t="n">
        <v>0</v>
      </c>
      <c r="P838" t="n">
        <v>0</v>
      </c>
      <c r="Q838" t="n">
        <v>0</v>
      </c>
      <c r="R838" s="2" t="inlineStr"/>
    </row>
    <row r="839" ht="15" customHeight="1">
      <c r="A839" t="inlineStr">
        <is>
          <t>A 7100-2025</t>
        </is>
      </c>
      <c r="B839" s="1" t="n">
        <v>45701.83930555556</v>
      </c>
      <c r="C839" s="1" t="n">
        <v>46134</v>
      </c>
      <c r="D839" t="inlineStr">
        <is>
          <t>UPPSALA LÄN</t>
        </is>
      </c>
      <c r="E839" t="inlineStr">
        <is>
          <t>ÖSTHAMMAR</t>
        </is>
      </c>
      <c r="G839" t="n">
        <v>4.3</v>
      </c>
      <c r="H839" t="n">
        <v>0</v>
      </c>
      <c r="I839" t="n">
        <v>0</v>
      </c>
      <c r="J839" t="n">
        <v>0</v>
      </c>
      <c r="K839" t="n">
        <v>0</v>
      </c>
      <c r="L839" t="n">
        <v>0</v>
      </c>
      <c r="M839" t="n">
        <v>0</v>
      </c>
      <c r="N839" t="n">
        <v>0</v>
      </c>
      <c r="O839" t="n">
        <v>0</v>
      </c>
      <c r="P839" t="n">
        <v>0</v>
      </c>
      <c r="Q839" t="n">
        <v>0</v>
      </c>
      <c r="R839" s="2" t="inlineStr"/>
    </row>
    <row r="840" ht="15" customHeight="1">
      <c r="A840" t="inlineStr">
        <is>
          <t>A 54314-2023</t>
        </is>
      </c>
      <c r="B840" s="1" t="n">
        <v>45225</v>
      </c>
      <c r="C840" s="1" t="n">
        <v>46134</v>
      </c>
      <c r="D840" t="inlineStr">
        <is>
          <t>UPPSALA LÄN</t>
        </is>
      </c>
      <c r="E840" t="inlineStr">
        <is>
          <t>ÖSTHAMMAR</t>
        </is>
      </c>
      <c r="G840" t="n">
        <v>5.1</v>
      </c>
      <c r="H840" t="n">
        <v>0</v>
      </c>
      <c r="I840" t="n">
        <v>0</v>
      </c>
      <c r="J840" t="n">
        <v>0</v>
      </c>
      <c r="K840" t="n">
        <v>0</v>
      </c>
      <c r="L840" t="n">
        <v>0</v>
      </c>
      <c r="M840" t="n">
        <v>0</v>
      </c>
      <c r="N840" t="n">
        <v>0</v>
      </c>
      <c r="O840" t="n">
        <v>0</v>
      </c>
      <c r="P840" t="n">
        <v>0</v>
      </c>
      <c r="Q840" t="n">
        <v>0</v>
      </c>
      <c r="R840" s="2" t="inlineStr"/>
    </row>
    <row r="841" ht="15" customHeight="1">
      <c r="A841" t="inlineStr">
        <is>
          <t>A 49796-2024</t>
        </is>
      </c>
      <c r="B841" s="1" t="n">
        <v>45597</v>
      </c>
      <c r="C841" s="1" t="n">
        <v>46134</v>
      </c>
      <c r="D841" t="inlineStr">
        <is>
          <t>UPPSALA LÄN</t>
        </is>
      </c>
      <c r="E841" t="inlineStr">
        <is>
          <t>ÖSTHAMMAR</t>
        </is>
      </c>
      <c r="G841" t="n">
        <v>1.3</v>
      </c>
      <c r="H841" t="n">
        <v>0</v>
      </c>
      <c r="I841" t="n">
        <v>0</v>
      </c>
      <c r="J841" t="n">
        <v>0</v>
      </c>
      <c r="K841" t="n">
        <v>0</v>
      </c>
      <c r="L841" t="n">
        <v>0</v>
      </c>
      <c r="M841" t="n">
        <v>0</v>
      </c>
      <c r="N841" t="n">
        <v>0</v>
      </c>
      <c r="O841" t="n">
        <v>0</v>
      </c>
      <c r="P841" t="n">
        <v>0</v>
      </c>
      <c r="Q841" t="n">
        <v>0</v>
      </c>
      <c r="R841" s="2" t="inlineStr"/>
    </row>
    <row r="842" ht="15" customHeight="1">
      <c r="A842" t="inlineStr">
        <is>
          <t>A 1791-2023</t>
        </is>
      </c>
      <c r="B842" s="1" t="n">
        <v>44938</v>
      </c>
      <c r="C842" s="1" t="n">
        <v>46134</v>
      </c>
      <c r="D842" t="inlineStr">
        <is>
          <t>UPPSALA LÄN</t>
        </is>
      </c>
      <c r="E842" t="inlineStr">
        <is>
          <t>ÖSTHAMMAR</t>
        </is>
      </c>
      <c r="G842" t="n">
        <v>2</v>
      </c>
      <c r="H842" t="n">
        <v>0</v>
      </c>
      <c r="I842" t="n">
        <v>0</v>
      </c>
      <c r="J842" t="n">
        <v>0</v>
      </c>
      <c r="K842" t="n">
        <v>0</v>
      </c>
      <c r="L842" t="n">
        <v>0</v>
      </c>
      <c r="M842" t="n">
        <v>0</v>
      </c>
      <c r="N842" t="n">
        <v>0</v>
      </c>
      <c r="O842" t="n">
        <v>0</v>
      </c>
      <c r="P842" t="n">
        <v>0</v>
      </c>
      <c r="Q842" t="n">
        <v>0</v>
      </c>
      <c r="R842" s="2" t="inlineStr"/>
    </row>
    <row r="843" ht="15" customHeight="1">
      <c r="A843" t="inlineStr">
        <is>
          <t>A 21132-2025</t>
        </is>
      </c>
      <c r="B843" s="1" t="n">
        <v>45778.4108912037</v>
      </c>
      <c r="C843" s="1" t="n">
        <v>46134</v>
      </c>
      <c r="D843" t="inlineStr">
        <is>
          <t>UPPSALA LÄN</t>
        </is>
      </c>
      <c r="E843" t="inlineStr">
        <is>
          <t>ÖSTHAMMAR</t>
        </is>
      </c>
      <c r="G843" t="n">
        <v>10.1</v>
      </c>
      <c r="H843" t="n">
        <v>0</v>
      </c>
      <c r="I843" t="n">
        <v>0</v>
      </c>
      <c r="J843" t="n">
        <v>0</v>
      </c>
      <c r="K843" t="n">
        <v>0</v>
      </c>
      <c r="L843" t="n">
        <v>0</v>
      </c>
      <c r="M843" t="n">
        <v>0</v>
      </c>
      <c r="N843" t="n">
        <v>0</v>
      </c>
      <c r="O843" t="n">
        <v>0</v>
      </c>
      <c r="P843" t="n">
        <v>0</v>
      </c>
      <c r="Q843" t="n">
        <v>0</v>
      </c>
      <c r="R843" s="2" t="inlineStr"/>
    </row>
    <row r="844" ht="15" customHeight="1">
      <c r="A844" t="inlineStr">
        <is>
          <t>A 21133-2025</t>
        </is>
      </c>
      <c r="B844" s="1" t="n">
        <v>45778.415625</v>
      </c>
      <c r="C844" s="1" t="n">
        <v>46134</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42262-2024</t>
        </is>
      </c>
      <c r="B845" s="1" t="n">
        <v>45562</v>
      </c>
      <c r="C845" s="1" t="n">
        <v>46134</v>
      </c>
      <c r="D845" t="inlineStr">
        <is>
          <t>UPPSALA LÄN</t>
        </is>
      </c>
      <c r="E845" t="inlineStr">
        <is>
          <t>ÖSTHAMMAR</t>
        </is>
      </c>
      <c r="F845" t="inlineStr">
        <is>
          <t>Bergvik skog öst AB</t>
        </is>
      </c>
      <c r="G845" t="n">
        <v>1.7</v>
      </c>
      <c r="H845" t="n">
        <v>0</v>
      </c>
      <c r="I845" t="n">
        <v>0</v>
      </c>
      <c r="J845" t="n">
        <v>0</v>
      </c>
      <c r="K845" t="n">
        <v>0</v>
      </c>
      <c r="L845" t="n">
        <v>0</v>
      </c>
      <c r="M845" t="n">
        <v>0</v>
      </c>
      <c r="N845" t="n">
        <v>0</v>
      </c>
      <c r="O845" t="n">
        <v>0</v>
      </c>
      <c r="P845" t="n">
        <v>0</v>
      </c>
      <c r="Q845" t="n">
        <v>0</v>
      </c>
      <c r="R845" s="2" t="inlineStr"/>
    </row>
    <row r="846" ht="15" customHeight="1">
      <c r="A846" t="inlineStr">
        <is>
          <t>A 44796-2024</t>
        </is>
      </c>
      <c r="B846" s="1" t="n">
        <v>45574</v>
      </c>
      <c r="C846" s="1" t="n">
        <v>46134</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22488-2025</t>
        </is>
      </c>
      <c r="B847" s="1" t="n">
        <v>45786.64865740741</v>
      </c>
      <c r="C847" s="1" t="n">
        <v>46134</v>
      </c>
      <c r="D847" t="inlineStr">
        <is>
          <t>UPPSALA LÄN</t>
        </is>
      </c>
      <c r="E847" t="inlineStr">
        <is>
          <t>ÖSTHAMMAR</t>
        </is>
      </c>
      <c r="F847" t="inlineStr">
        <is>
          <t>Bergvik skog öst AB</t>
        </is>
      </c>
      <c r="G847" t="n">
        <v>14.9</v>
      </c>
      <c r="H847" t="n">
        <v>0</v>
      </c>
      <c r="I847" t="n">
        <v>0</v>
      </c>
      <c r="J847" t="n">
        <v>0</v>
      </c>
      <c r="K847" t="n">
        <v>0</v>
      </c>
      <c r="L847" t="n">
        <v>0</v>
      </c>
      <c r="M847" t="n">
        <v>0</v>
      </c>
      <c r="N847" t="n">
        <v>0</v>
      </c>
      <c r="O847" t="n">
        <v>0</v>
      </c>
      <c r="P847" t="n">
        <v>0</v>
      </c>
      <c r="Q847" t="n">
        <v>0</v>
      </c>
      <c r="R847" s="2" t="inlineStr"/>
    </row>
    <row r="848" ht="15" customHeight="1">
      <c r="A848" t="inlineStr">
        <is>
          <t>A 36954-2024</t>
        </is>
      </c>
      <c r="B848" s="1" t="n">
        <v>45538.71109953704</v>
      </c>
      <c r="C848" s="1" t="n">
        <v>46134</v>
      </c>
      <c r="D848" t="inlineStr">
        <is>
          <t>UPPSALA LÄN</t>
        </is>
      </c>
      <c r="E848" t="inlineStr">
        <is>
          <t>ÖSTHAMMAR</t>
        </is>
      </c>
      <c r="F848" t="inlineStr">
        <is>
          <t>Bergvik skog öst AB</t>
        </is>
      </c>
      <c r="G848" t="n">
        <v>5.1</v>
      </c>
      <c r="H848" t="n">
        <v>0</v>
      </c>
      <c r="I848" t="n">
        <v>0</v>
      </c>
      <c r="J848" t="n">
        <v>0</v>
      </c>
      <c r="K848" t="n">
        <v>0</v>
      </c>
      <c r="L848" t="n">
        <v>0</v>
      </c>
      <c r="M848" t="n">
        <v>0</v>
      </c>
      <c r="N848" t="n">
        <v>0</v>
      </c>
      <c r="O848" t="n">
        <v>0</v>
      </c>
      <c r="P848" t="n">
        <v>0</v>
      </c>
      <c r="Q848" t="n">
        <v>0</v>
      </c>
      <c r="R848" s="2" t="inlineStr"/>
    </row>
    <row r="849" ht="15" customHeight="1">
      <c r="A849" t="inlineStr">
        <is>
          <t>A 22483-2025</t>
        </is>
      </c>
      <c r="B849" s="1" t="n">
        <v>45786.64141203704</v>
      </c>
      <c r="C849" s="1" t="n">
        <v>46134</v>
      </c>
      <c r="D849" t="inlineStr">
        <is>
          <t>UPPSALA LÄN</t>
        </is>
      </c>
      <c r="E849" t="inlineStr">
        <is>
          <t>ÖSTHAMMAR</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59291-2023</t>
        </is>
      </c>
      <c r="B850" s="1" t="n">
        <v>45253.57559027777</v>
      </c>
      <c r="C850" s="1" t="n">
        <v>46134</v>
      </c>
      <c r="D850" t="inlineStr">
        <is>
          <t>UPPSALA LÄN</t>
        </is>
      </c>
      <c r="E850" t="inlineStr">
        <is>
          <t>ÖSTHAMMAR</t>
        </is>
      </c>
      <c r="G850" t="n">
        <v>1.7</v>
      </c>
      <c r="H850" t="n">
        <v>0</v>
      </c>
      <c r="I850" t="n">
        <v>0</v>
      </c>
      <c r="J850" t="n">
        <v>0</v>
      </c>
      <c r="K850" t="n">
        <v>0</v>
      </c>
      <c r="L850" t="n">
        <v>0</v>
      </c>
      <c r="M850" t="n">
        <v>0</v>
      </c>
      <c r="N850" t="n">
        <v>0</v>
      </c>
      <c r="O850" t="n">
        <v>0</v>
      </c>
      <c r="P850" t="n">
        <v>0</v>
      </c>
      <c r="Q850" t="n">
        <v>0</v>
      </c>
      <c r="R850" s="2" t="inlineStr"/>
    </row>
    <row r="851" ht="15" customHeight="1">
      <c r="A851" t="inlineStr">
        <is>
          <t>A 43685-2024</t>
        </is>
      </c>
      <c r="B851" s="1" t="n">
        <v>45569</v>
      </c>
      <c r="C851" s="1" t="n">
        <v>46134</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38575-2024</t>
        </is>
      </c>
      <c r="B852" s="1" t="n">
        <v>45546.64221064815</v>
      </c>
      <c r="C852" s="1" t="n">
        <v>46134</v>
      </c>
      <c r="D852" t="inlineStr">
        <is>
          <t>UPPSALA LÄN</t>
        </is>
      </c>
      <c r="E852" t="inlineStr">
        <is>
          <t>ÖSTHAMMAR</t>
        </is>
      </c>
      <c r="F852" t="inlineStr">
        <is>
          <t>Bergvik skog öst AB</t>
        </is>
      </c>
      <c r="G852" t="n">
        <v>5.1</v>
      </c>
      <c r="H852" t="n">
        <v>0</v>
      </c>
      <c r="I852" t="n">
        <v>0</v>
      </c>
      <c r="J852" t="n">
        <v>0</v>
      </c>
      <c r="K852" t="n">
        <v>0</v>
      </c>
      <c r="L852" t="n">
        <v>0</v>
      </c>
      <c r="M852" t="n">
        <v>0</v>
      </c>
      <c r="N852" t="n">
        <v>0</v>
      </c>
      <c r="O852" t="n">
        <v>0</v>
      </c>
      <c r="P852" t="n">
        <v>0</v>
      </c>
      <c r="Q852" t="n">
        <v>0</v>
      </c>
      <c r="R852" s="2" t="inlineStr"/>
    </row>
    <row r="853" ht="15" customHeight="1">
      <c r="A853" t="inlineStr">
        <is>
          <t>A 43993-2024</t>
        </is>
      </c>
      <c r="B853" s="1" t="n">
        <v>45572.52690972222</v>
      </c>
      <c r="C853" s="1" t="n">
        <v>46134</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22492-2025</t>
        </is>
      </c>
      <c r="B854" s="1" t="n">
        <v>45786.65072916666</v>
      </c>
      <c r="C854" s="1" t="n">
        <v>46134</v>
      </c>
      <c r="D854" t="inlineStr">
        <is>
          <t>UPPSALA LÄN</t>
        </is>
      </c>
      <c r="E854" t="inlineStr">
        <is>
          <t>ÖSTHAMMAR</t>
        </is>
      </c>
      <c r="F854" t="inlineStr">
        <is>
          <t>Bergvik skog öst AB</t>
        </is>
      </c>
      <c r="G854" t="n">
        <v>16.6</v>
      </c>
      <c r="H854" t="n">
        <v>0</v>
      </c>
      <c r="I854" t="n">
        <v>0</v>
      </c>
      <c r="J854" t="n">
        <v>0</v>
      </c>
      <c r="K854" t="n">
        <v>0</v>
      </c>
      <c r="L854" t="n">
        <v>0</v>
      </c>
      <c r="M854" t="n">
        <v>0</v>
      </c>
      <c r="N854" t="n">
        <v>0</v>
      </c>
      <c r="O854" t="n">
        <v>0</v>
      </c>
      <c r="P854" t="n">
        <v>0</v>
      </c>
      <c r="Q854" t="n">
        <v>0</v>
      </c>
      <c r="R854" s="2" t="inlineStr"/>
    </row>
    <row r="855" ht="15" customHeight="1">
      <c r="A855" t="inlineStr">
        <is>
          <t>A 5931-2022</t>
        </is>
      </c>
      <c r="B855" s="1" t="n">
        <v>44598.82700231481</v>
      </c>
      <c r="C855" s="1" t="n">
        <v>46134</v>
      </c>
      <c r="D855" t="inlineStr">
        <is>
          <t>UPPSALA LÄN</t>
        </is>
      </c>
      <c r="E855" t="inlineStr">
        <is>
          <t>ÖSTHAMMAR</t>
        </is>
      </c>
      <c r="F855" t="inlineStr">
        <is>
          <t>Bergvik skog öst AB</t>
        </is>
      </c>
      <c r="G855" t="n">
        <v>0.7</v>
      </c>
      <c r="H855" t="n">
        <v>0</v>
      </c>
      <c r="I855" t="n">
        <v>0</v>
      </c>
      <c r="J855" t="n">
        <v>0</v>
      </c>
      <c r="K855" t="n">
        <v>0</v>
      </c>
      <c r="L855" t="n">
        <v>0</v>
      </c>
      <c r="M855" t="n">
        <v>0</v>
      </c>
      <c r="N855" t="n">
        <v>0</v>
      </c>
      <c r="O855" t="n">
        <v>0</v>
      </c>
      <c r="P855" t="n">
        <v>0</v>
      </c>
      <c r="Q855" t="n">
        <v>0</v>
      </c>
      <c r="R855" s="2" t="inlineStr"/>
    </row>
    <row r="856" ht="15" customHeight="1">
      <c r="A856" t="inlineStr">
        <is>
          <t>A 43655-2024</t>
        </is>
      </c>
      <c r="B856" s="1" t="n">
        <v>45569</v>
      </c>
      <c r="C856" s="1" t="n">
        <v>46134</v>
      </c>
      <c r="D856" t="inlineStr">
        <is>
          <t>UPPSALA LÄN</t>
        </is>
      </c>
      <c r="E856" t="inlineStr">
        <is>
          <t>ÖSTHAMMAR</t>
        </is>
      </c>
      <c r="G856" t="n">
        <v>2.1</v>
      </c>
      <c r="H856" t="n">
        <v>0</v>
      </c>
      <c r="I856" t="n">
        <v>0</v>
      </c>
      <c r="J856" t="n">
        <v>0</v>
      </c>
      <c r="K856" t="n">
        <v>0</v>
      </c>
      <c r="L856" t="n">
        <v>0</v>
      </c>
      <c r="M856" t="n">
        <v>0</v>
      </c>
      <c r="N856" t="n">
        <v>0</v>
      </c>
      <c r="O856" t="n">
        <v>0</v>
      </c>
      <c r="P856" t="n">
        <v>0</v>
      </c>
      <c r="Q856" t="n">
        <v>0</v>
      </c>
      <c r="R856" s="2" t="inlineStr"/>
    </row>
    <row r="857" ht="15" customHeight="1">
      <c r="A857" t="inlineStr">
        <is>
          <t>A 43683-2024</t>
        </is>
      </c>
      <c r="B857" s="1" t="n">
        <v>45569.57518518518</v>
      </c>
      <c r="C857" s="1" t="n">
        <v>46134</v>
      </c>
      <c r="D857" t="inlineStr">
        <is>
          <t>UPPSALA LÄN</t>
        </is>
      </c>
      <c r="E857" t="inlineStr">
        <is>
          <t>ÖSTHAMMAR</t>
        </is>
      </c>
      <c r="G857" t="n">
        <v>4.7</v>
      </c>
      <c r="H857" t="n">
        <v>0</v>
      </c>
      <c r="I857" t="n">
        <v>0</v>
      </c>
      <c r="J857" t="n">
        <v>0</v>
      </c>
      <c r="K857" t="n">
        <v>0</v>
      </c>
      <c r="L857" t="n">
        <v>0</v>
      </c>
      <c r="M857" t="n">
        <v>0</v>
      </c>
      <c r="N857" t="n">
        <v>0</v>
      </c>
      <c r="O857" t="n">
        <v>0</v>
      </c>
      <c r="P857" t="n">
        <v>0</v>
      </c>
      <c r="Q857" t="n">
        <v>0</v>
      </c>
      <c r="R857" s="2" t="inlineStr"/>
    </row>
    <row r="858" ht="15" customHeight="1">
      <c r="A858" t="inlineStr">
        <is>
          <t>A 32483-2024</t>
        </is>
      </c>
      <c r="B858" s="1" t="n">
        <v>45513.36644675926</v>
      </c>
      <c r="C858" s="1" t="n">
        <v>46134</v>
      </c>
      <c r="D858" t="inlineStr">
        <is>
          <t>UPPSALA LÄN</t>
        </is>
      </c>
      <c r="E858" t="inlineStr">
        <is>
          <t>ÖSTHAMMAR</t>
        </is>
      </c>
      <c r="F858" t="inlineStr">
        <is>
          <t>Kyrkan</t>
        </is>
      </c>
      <c r="G858" t="n">
        <v>4.7</v>
      </c>
      <c r="H858" t="n">
        <v>0</v>
      </c>
      <c r="I858" t="n">
        <v>0</v>
      </c>
      <c r="J858" t="n">
        <v>0</v>
      </c>
      <c r="K858" t="n">
        <v>0</v>
      </c>
      <c r="L858" t="n">
        <v>0</v>
      </c>
      <c r="M858" t="n">
        <v>0</v>
      </c>
      <c r="N858" t="n">
        <v>0</v>
      </c>
      <c r="O858" t="n">
        <v>0</v>
      </c>
      <c r="P858" t="n">
        <v>0</v>
      </c>
      <c r="Q858" t="n">
        <v>0</v>
      </c>
      <c r="R858" s="2" t="inlineStr"/>
    </row>
    <row r="859" ht="15" customHeight="1">
      <c r="A859" t="inlineStr">
        <is>
          <t>A 14595-2023</t>
        </is>
      </c>
      <c r="B859" s="1" t="n">
        <v>45013.57858796296</v>
      </c>
      <c r="C859" s="1" t="n">
        <v>46134</v>
      </c>
      <c r="D859" t="inlineStr">
        <is>
          <t>UPPSALA LÄN</t>
        </is>
      </c>
      <c r="E859" t="inlineStr">
        <is>
          <t>ÖSTHAMMAR</t>
        </is>
      </c>
      <c r="G859" t="n">
        <v>5</v>
      </c>
      <c r="H859" t="n">
        <v>0</v>
      </c>
      <c r="I859" t="n">
        <v>0</v>
      </c>
      <c r="J859" t="n">
        <v>0</v>
      </c>
      <c r="K859" t="n">
        <v>0</v>
      </c>
      <c r="L859" t="n">
        <v>0</v>
      </c>
      <c r="M859" t="n">
        <v>0</v>
      </c>
      <c r="N859" t="n">
        <v>0</v>
      </c>
      <c r="O859" t="n">
        <v>0</v>
      </c>
      <c r="P859" t="n">
        <v>0</v>
      </c>
      <c r="Q859" t="n">
        <v>0</v>
      </c>
      <c r="R859" s="2" t="inlineStr"/>
    </row>
    <row r="860" ht="15" customHeight="1">
      <c r="A860" t="inlineStr">
        <is>
          <t>A 33685-2024</t>
        </is>
      </c>
      <c r="B860" s="1" t="n">
        <v>45520.51063657407</v>
      </c>
      <c r="C860" s="1" t="n">
        <v>46134</v>
      </c>
      <c r="D860" t="inlineStr">
        <is>
          <t>UPPSALA LÄN</t>
        </is>
      </c>
      <c r="E860" t="inlineStr">
        <is>
          <t>ÖSTHAMMAR</t>
        </is>
      </c>
      <c r="F860" t="inlineStr">
        <is>
          <t>Bergvik skog öst AB</t>
        </is>
      </c>
      <c r="G860" t="n">
        <v>3.8</v>
      </c>
      <c r="H860" t="n">
        <v>0</v>
      </c>
      <c r="I860" t="n">
        <v>0</v>
      </c>
      <c r="J860" t="n">
        <v>0</v>
      </c>
      <c r="K860" t="n">
        <v>0</v>
      </c>
      <c r="L860" t="n">
        <v>0</v>
      </c>
      <c r="M860" t="n">
        <v>0</v>
      </c>
      <c r="N860" t="n">
        <v>0</v>
      </c>
      <c r="O860" t="n">
        <v>0</v>
      </c>
      <c r="P860" t="n">
        <v>0</v>
      </c>
      <c r="Q860" t="n">
        <v>0</v>
      </c>
      <c r="R860" s="2" t="inlineStr"/>
    </row>
    <row r="861" ht="15" customHeight="1">
      <c r="A861" t="inlineStr">
        <is>
          <t>A 44027-2024</t>
        </is>
      </c>
      <c r="B861" s="1" t="n">
        <v>45572</v>
      </c>
      <c r="C861" s="1" t="n">
        <v>46134</v>
      </c>
      <c r="D861" t="inlineStr">
        <is>
          <t>UPPSALA LÄN</t>
        </is>
      </c>
      <c r="E861" t="inlineStr">
        <is>
          <t>ÖSTHAMMAR</t>
        </is>
      </c>
      <c r="G861" t="n">
        <v>6</v>
      </c>
      <c r="H861" t="n">
        <v>0</v>
      </c>
      <c r="I861" t="n">
        <v>0</v>
      </c>
      <c r="J861" t="n">
        <v>0</v>
      </c>
      <c r="K861" t="n">
        <v>0</v>
      </c>
      <c r="L861" t="n">
        <v>0</v>
      </c>
      <c r="M861" t="n">
        <v>0</v>
      </c>
      <c r="N861" t="n">
        <v>0</v>
      </c>
      <c r="O861" t="n">
        <v>0</v>
      </c>
      <c r="P861" t="n">
        <v>0</v>
      </c>
      <c r="Q861" t="n">
        <v>0</v>
      </c>
      <c r="R861" s="2" t="inlineStr"/>
    </row>
    <row r="862" ht="15" customHeight="1">
      <c r="A862" t="inlineStr">
        <is>
          <t>A 23305-2025</t>
        </is>
      </c>
      <c r="B862" s="1" t="n">
        <v>45791.60127314815</v>
      </c>
      <c r="C862" s="1" t="n">
        <v>46134</v>
      </c>
      <c r="D862" t="inlineStr">
        <is>
          <t>UPPSALA LÄN</t>
        </is>
      </c>
      <c r="E862" t="inlineStr">
        <is>
          <t>ÖSTHAMMAR</t>
        </is>
      </c>
      <c r="G862" t="n">
        <v>1.9</v>
      </c>
      <c r="H862" t="n">
        <v>0</v>
      </c>
      <c r="I862" t="n">
        <v>0</v>
      </c>
      <c r="J862" t="n">
        <v>0</v>
      </c>
      <c r="K862" t="n">
        <v>0</v>
      </c>
      <c r="L862" t="n">
        <v>0</v>
      </c>
      <c r="M862" t="n">
        <v>0</v>
      </c>
      <c r="N862" t="n">
        <v>0</v>
      </c>
      <c r="O862" t="n">
        <v>0</v>
      </c>
      <c r="P862" t="n">
        <v>0</v>
      </c>
      <c r="Q862" t="n">
        <v>0</v>
      </c>
      <c r="R862" s="2" t="inlineStr"/>
    </row>
    <row r="863">
      <c r="A863" t="inlineStr">
        <is>
          <t>A 24606-2024</t>
        </is>
      </c>
      <c r="B863" s="1" t="n">
        <v>45460</v>
      </c>
      <c r="C863" s="1" t="n">
        <v>46134</v>
      </c>
      <c r="D863" t="inlineStr">
        <is>
          <t>UPPSALA LÄN</t>
        </is>
      </c>
      <c r="E863" t="inlineStr">
        <is>
          <t>ÖSTHAMMAR</t>
        </is>
      </c>
      <c r="F863" t="inlineStr">
        <is>
          <t>Bergvik skog öst AB</t>
        </is>
      </c>
      <c r="G863" t="n">
        <v>2.9</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2026-04-22T10:51:34Z</dcterms:created>
  <dcterms:modified xmlns:dcterms="http://purl.org/dc/terms/" xmlns:xsi="http://www.w3.org/2001/XMLSchema-instance" xsi:type="dcterms:W3CDTF">2026-04-22T10:51:34Z</dcterms:modified>
</cp:coreProperties>
</file>