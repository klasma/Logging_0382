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46224</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46224</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46224</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46224</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46224</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46224</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46224</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46224</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46224</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46224</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46224</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46224</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46224</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46224</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46224</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46224</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46224</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46224</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46224</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46224</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46224</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46224</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46224</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46224</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46224</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46224</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46224</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46224</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46224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46224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46224</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46224</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46224</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46224</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46224</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46224</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46224</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46224</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46224</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46224</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46224</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46224</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46224</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46224</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46224</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46224</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46224</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46224</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46224</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46224</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46224</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46224</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46224</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46224</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46224</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46224</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46224</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4714-2026</t>
        </is>
      </c>
      <c r="B72" t="inlineStr">
        <is>
          <t>avverkningsanmälan</t>
        </is>
      </c>
      <c r="C72" t="inlineStr">
        <is>
          <t>Avverkning för att bevara och utveckla /försöksver</t>
        </is>
      </c>
      <c r="D72" s="1" t="n">
        <v>46048</v>
      </c>
      <c r="E72" s="1" t="n">
        <v>46224</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33800-2024</t>
        </is>
      </c>
      <c r="B73" t="inlineStr">
        <is>
          <t>avverkningsanmälan</t>
        </is>
      </c>
      <c r="C73" t="inlineStr">
        <is>
          <t>Avverkning för annat ändamål</t>
        </is>
      </c>
      <c r="D73" s="1" t="n">
        <v>45520</v>
      </c>
      <c r="E73" s="1" t="n">
        <v>46224</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26522-2026</t>
        </is>
      </c>
      <c r="B74" t="inlineStr">
        <is>
          <t>avverkningsanmälan</t>
        </is>
      </c>
      <c r="C74" t="inlineStr">
        <is>
          <t>Föryngringsavverkning</t>
        </is>
      </c>
      <c r="D74" s="1" t="n">
        <v>46183</v>
      </c>
      <c r="E74" s="1" t="n">
        <v>46224</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t="n">
        <v>0</v>
      </c>
      <c r="V74" s="2" t="inlineStr">
        <is>
          <t>Flentimotej
Solvända
Säfferot
Gullviva</t>
        </is>
      </c>
      <c r="W74">
        <f>HYPERLINK("https://klasma.github.io/Logging_0382/artfynd/A 26522-2026 artfynd.xlsx", "A 26522-2026")</f>
        <v/>
      </c>
      <c r="X74">
        <f>HYPERLINK("https://klasma.github.io/Logging_0382/kartor/A 26522-2026 karta.png", "A 26522-2026")</f>
        <v/>
      </c>
      <c r="Y74">
        <f>HYPERLINK("https://klasma.github.io/Logging_0382/kartor_geotiff/A 26522-2026 georefererad karta.tif", "A 26522-2026")</f>
        <v/>
      </c>
      <c r="AA74">
        <f>HYPERLINK("https://klasma.github.io/Logging_0382/klagomål/A 26522-2026 FSC-klagomål.docx", "A 26522-2026")</f>
        <v/>
      </c>
      <c r="AB74">
        <f>HYPERLINK("https://klasma.github.io/Logging_0382/klagomålsmail/A 26522-2026 FSC-klagomål mail.docx", "A 26522-2026")</f>
        <v/>
      </c>
      <c r="AC74">
        <f>HYPERLINK("https://klasma.github.io/Logging_0382/tillsyn/A 26522-2026 tillsynsbegäran.docx", "A 26522-2026")</f>
        <v/>
      </c>
      <c r="AD74">
        <f>HYPERLINK("https://klasma.github.io/Logging_0382/tillsynsmail/A 26522-2026 tillsynsbegäran mail.docx", "A 26522-2026")</f>
        <v/>
      </c>
    </row>
    <row r="75" ht="15" customHeight="1">
      <c r="A75" t="inlineStr">
        <is>
          <t>A 48352-2022</t>
        </is>
      </c>
      <c r="B75" t="inlineStr">
        <is>
          <t>avverkningsanmälan</t>
        </is>
      </c>
      <c r="C75" t="inlineStr">
        <is>
          <t>Föryngringsavverkning</t>
        </is>
      </c>
      <c r="D75" s="1" t="n">
        <v>44858</v>
      </c>
      <c r="E75" s="1" t="n">
        <v>46224</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46224</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46224</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46224</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46224</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46224</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60898-2025</t>
        </is>
      </c>
      <c r="B81" t="inlineStr">
        <is>
          <t>avverkningsanmälan</t>
        </is>
      </c>
      <c r="C81" t="inlineStr">
        <is>
          <t>Föryngringsavverkning</t>
        </is>
      </c>
      <c r="D81" s="1" t="n">
        <v>45999</v>
      </c>
      <c r="E81" s="1" t="n">
        <v>46224</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11385-2024</t>
        </is>
      </c>
      <c r="B82" t="inlineStr">
        <is>
          <t>avverkningsanmälan</t>
        </is>
      </c>
      <c r="C82" t="inlineStr">
        <is>
          <t>Föryngringsavverkning</t>
        </is>
      </c>
      <c r="D82" s="1" t="n">
        <v>45372</v>
      </c>
      <c r="E82" s="1" t="n">
        <v>46224</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58878-2022</t>
        </is>
      </c>
      <c r="B83" t="inlineStr">
        <is>
          <t>avverkningsanmälan</t>
        </is>
      </c>
      <c r="C83" t="inlineStr">
        <is>
          <t>Föryngringsavverkning</t>
        </is>
      </c>
      <c r="D83" s="1" t="n">
        <v>44903</v>
      </c>
      <c r="E83" s="1" t="n">
        <v>46224</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46224</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46224</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46224</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23125-2026</t>
        </is>
      </c>
      <c r="B87" t="inlineStr">
        <is>
          <t>avverkningsanmälan</t>
        </is>
      </c>
      <c r="C87" t="inlineStr">
        <is>
          <t>Föryngringsavverkning</t>
        </is>
      </c>
      <c r="D87" s="1" t="n">
        <v>46161</v>
      </c>
      <c r="E87" s="1" t="n">
        <v>46224</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46224</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46224</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46224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46224</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46224</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46224</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46224</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46224</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14203-2024</t>
        </is>
      </c>
      <c r="B100" t="inlineStr">
        <is>
          <t>avverkningsanmälan</t>
        </is>
      </c>
      <c r="C100" t="inlineStr">
        <is>
          <t>Föryngringsavverkning</t>
        </is>
      </c>
      <c r="D100" s="1" t="n">
        <v>45393</v>
      </c>
      <c r="E100" s="1" t="n">
        <v>46224</v>
      </c>
      <c r="F100" t="inlineStr">
        <is>
          <t>UPPSALA LÄN</t>
        </is>
      </c>
      <c r="G100" t="inlineStr">
        <is>
          <t>ÖSTHAMMAR</t>
        </is>
      </c>
      <c r="I100" t="n">
        <v>1.4</v>
      </c>
      <c r="J100" t="n">
        <v>0</v>
      </c>
      <c r="K100" t="n">
        <v>1</v>
      </c>
      <c r="L100" t="n">
        <v>1</v>
      </c>
      <c r="M100" t="n">
        <v>0</v>
      </c>
      <c r="N100" t="n">
        <v>0</v>
      </c>
      <c r="O100" t="n">
        <v>0</v>
      </c>
      <c r="P100" t="n">
        <v>0</v>
      </c>
      <c r="Q100" t="n">
        <v>1</v>
      </c>
      <c r="R100" t="n">
        <v>0</v>
      </c>
      <c r="S100" t="n">
        <v>2</v>
      </c>
      <c r="T100" t="n">
        <v>2</v>
      </c>
      <c r="U100" t="n">
        <v>0</v>
      </c>
      <c r="V100" s="2" t="inlineStr">
        <is>
          <t>Scharlakansvaxing
Blodvaxing</t>
        </is>
      </c>
      <c r="W100">
        <f>HYPERLINK("https://klasma.github.io/Logging_0382/artfynd/A 14203-2024 artfynd.xlsx", "A 14203-2024")</f>
        <v/>
      </c>
      <c r="X100">
        <f>HYPERLINK("https://klasma.github.io/Logging_0382/kartor/A 14203-2024 karta.png", "A 14203-2024")</f>
        <v/>
      </c>
      <c r="Y100">
        <f>HYPERLINK("https://klasma.github.io/Logging_0382/kartor_geotiff/A 14203-2024 georefererad karta.tif", "A 14203-2024")</f>
        <v/>
      </c>
      <c r="AA100">
        <f>HYPERLINK("https://klasma.github.io/Logging_0382/klagomål/A 14203-2024 FSC-klagomål.docx", "A 14203-2024")</f>
        <v/>
      </c>
      <c r="AB100">
        <f>HYPERLINK("https://klasma.github.io/Logging_0382/klagomålsmail/A 14203-2024 FSC-klagomål mail.docx", "A 14203-2024")</f>
        <v/>
      </c>
      <c r="AC100">
        <f>HYPERLINK("https://klasma.github.io/Logging_0382/tillsyn/A 14203-2024 tillsynsbegäran.docx", "A 14203-2024")</f>
        <v/>
      </c>
      <c r="AD100">
        <f>HYPERLINK("https://klasma.github.io/Logging_0382/tillsynsmail/A 14203-2024 tillsynsbegäran mail.docx", "A 14203-2024")</f>
        <v/>
      </c>
    </row>
    <row r="101" ht="15" customHeight="1">
      <c r="A101" t="inlineStr">
        <is>
          <t>A 18539-2024</t>
        </is>
      </c>
      <c r="B101" t="inlineStr">
        <is>
          <t>avverkningsanmälan</t>
        </is>
      </c>
      <c r="C101" t="inlineStr">
        <is>
          <t>Föryngringsavverkning</t>
        </is>
      </c>
      <c r="D101" s="1" t="n">
        <v>45425</v>
      </c>
      <c r="E101" s="1" t="n">
        <v>46224</v>
      </c>
      <c r="F101" t="inlineStr">
        <is>
          <t>UPPSALA LÄN</t>
        </is>
      </c>
      <c r="G101" t="inlineStr">
        <is>
          <t>ÖSTHAMMAR</t>
        </is>
      </c>
      <c r="I101" t="n">
        <v>4.7</v>
      </c>
      <c r="J101" t="n">
        <v>0</v>
      </c>
      <c r="K101" t="n">
        <v>2</v>
      </c>
      <c r="L101" t="n">
        <v>0</v>
      </c>
      <c r="M101" t="n">
        <v>0</v>
      </c>
      <c r="N101" t="n">
        <v>0</v>
      </c>
      <c r="O101" t="n">
        <v>0</v>
      </c>
      <c r="P101" t="n">
        <v>0</v>
      </c>
      <c r="Q101" t="n">
        <v>0</v>
      </c>
      <c r="R101" t="n">
        <v>0</v>
      </c>
      <c r="S101" t="n">
        <v>2</v>
      </c>
      <c r="T101" t="n">
        <v>3</v>
      </c>
      <c r="U101" t="n">
        <v>3</v>
      </c>
      <c r="V101" s="2" t="inlineStr">
        <is>
          <t>Bronshjon
Vågbandad barkbock</t>
        </is>
      </c>
      <c r="W101">
        <f>HYPERLINK("https://klasma.github.io/Logging_0382/artfynd/A 18539-2024 artfynd.xlsx", "A 18539-2024")</f>
        <v/>
      </c>
      <c r="X101">
        <f>HYPERLINK("https://klasma.github.io/Logging_0382/kartor/A 18539-2024 karta.png", "A 18539-2024")</f>
        <v/>
      </c>
      <c r="Y101">
        <f>HYPERLINK("https://klasma.github.io/Logging_0382/kartor_geotiff/A 18539-2024 georefererad karta.tif", "A 18539-2024")</f>
        <v/>
      </c>
      <c r="AA101">
        <f>HYPERLINK("https://klasma.github.io/Logging_0382/klagomål/A 18539-2024 FSC-klagomål.docx", "A 18539-2024")</f>
        <v/>
      </c>
      <c r="AB101">
        <f>HYPERLINK("https://klasma.github.io/Logging_0382/klagomålsmail/A 18539-2024 FSC-klagomål mail.docx", "A 18539-2024")</f>
        <v/>
      </c>
      <c r="AC101">
        <f>HYPERLINK("https://klasma.github.io/Logging_0382/tillsyn/A 18539-2024 tillsynsbegäran.docx", "A 18539-2024")</f>
        <v/>
      </c>
      <c r="AD101">
        <f>HYPERLINK("https://klasma.github.io/Logging_0382/tillsynsmail/A 18539-2024 tillsynsbegäran mail.docx", "A 18539-2024")</f>
        <v/>
      </c>
    </row>
    <row r="102" ht="15" customHeight="1">
      <c r="A102" t="inlineStr">
        <is>
          <t>A 51708-2025</t>
        </is>
      </c>
      <c r="B102" t="inlineStr">
        <is>
          <t>avverkningsanmälan</t>
        </is>
      </c>
      <c r="C102" t="inlineStr">
        <is>
          <t>Föryngringsavverkning</t>
        </is>
      </c>
      <c r="D102" s="1" t="n">
        <v>45951</v>
      </c>
      <c r="E102" s="1" t="n">
        <v>46224</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20553-2025</t>
        </is>
      </c>
      <c r="B103" t="inlineStr">
        <is>
          <t>avverkningsanmälan</t>
        </is>
      </c>
      <c r="C103" t="inlineStr">
        <is>
          <t>Föryngringsavverkning</t>
        </is>
      </c>
      <c r="D103" s="1" t="n">
        <v>45775</v>
      </c>
      <c r="E103" s="1" t="n">
        <v>46224</v>
      </c>
      <c r="F103" t="inlineStr">
        <is>
          <t>UPPSALA LÄN</t>
        </is>
      </c>
      <c r="G103" t="inlineStr">
        <is>
          <t>ÖSTHAMMAR</t>
        </is>
      </c>
      <c r="I103" t="n">
        <v>0.4</v>
      </c>
      <c r="J103" t="n">
        <v>0</v>
      </c>
      <c r="K103" t="n">
        <v>2</v>
      </c>
      <c r="L103" t="n">
        <v>0</v>
      </c>
      <c r="M103" t="n">
        <v>0</v>
      </c>
      <c r="N103" t="n">
        <v>0</v>
      </c>
      <c r="O103" t="n">
        <v>0</v>
      </c>
      <c r="P103" t="n">
        <v>0</v>
      </c>
      <c r="Q103" t="n">
        <v>0</v>
      </c>
      <c r="R103" t="n">
        <v>0</v>
      </c>
      <c r="S103" t="n">
        <v>2</v>
      </c>
      <c r="T103" t="n">
        <v>2</v>
      </c>
      <c r="U103" t="n">
        <v>0</v>
      </c>
      <c r="V103" s="2" t="inlineStr">
        <is>
          <t>Jättesvampmal
Robust tickgnagare</t>
        </is>
      </c>
      <c r="W103">
        <f>HYPERLINK("https://klasma.github.io/Logging_0382/artfynd/A 20553-2025 artfynd.xlsx", "A 20553-2025")</f>
        <v/>
      </c>
      <c r="X103">
        <f>HYPERLINK("https://klasma.github.io/Logging_0382/kartor/A 20553-2025 karta.png", "A 20553-2025")</f>
        <v/>
      </c>
      <c r="Y103">
        <f>HYPERLINK("https://klasma.github.io/Logging_0382/kartor_geotiff/A 20553-2025 georefererad karta.tif", "A 20553-2025")</f>
        <v/>
      </c>
      <c r="AA103">
        <f>HYPERLINK("https://klasma.github.io/Logging_0382/klagomål/A 20553-2025 FSC-klagomål.docx", "A 20553-2025")</f>
        <v/>
      </c>
      <c r="AB103">
        <f>HYPERLINK("https://klasma.github.io/Logging_0382/klagomålsmail/A 20553-2025 FSC-klagomål mail.docx", "A 20553-2025")</f>
        <v/>
      </c>
      <c r="AC103">
        <f>HYPERLINK("https://klasma.github.io/Logging_0382/tillsyn/A 20553-2025 tillsynsbegäran.docx", "A 20553-2025")</f>
        <v/>
      </c>
      <c r="AD103">
        <f>HYPERLINK("https://klasma.github.io/Logging_0382/tillsynsmail/A 20553-2025 tillsynsbegäran mail.docx", "A 20553-2025")</f>
        <v/>
      </c>
    </row>
    <row r="104" ht="15" customHeight="1">
      <c r="A104" t="inlineStr">
        <is>
          <t>A 46629-2024</t>
        </is>
      </c>
      <c r="B104" t="inlineStr">
        <is>
          <t>avverkningsanmälan</t>
        </is>
      </c>
      <c r="C104" t="inlineStr">
        <is>
          <t>Föryngringsavverkning</t>
        </is>
      </c>
      <c r="D104" s="1" t="n">
        <v>45583</v>
      </c>
      <c r="E104" s="1" t="n">
        <v>46224</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61400-2025</t>
        </is>
      </c>
      <c r="B105" t="inlineStr">
        <is>
          <t>avverkningsanmälan</t>
        </is>
      </c>
      <c r="C105" t="inlineStr">
        <is>
          <t>Föryngringsavverkning</t>
        </is>
      </c>
      <c r="D105" s="1" t="n">
        <v>46001</v>
      </c>
      <c r="E105" s="1" t="n">
        <v>46224</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46224</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9646-2024</t>
        </is>
      </c>
      <c r="B107" t="inlineStr">
        <is>
          <t>avverkningsanmälan</t>
        </is>
      </c>
      <c r="C107" t="inlineStr">
        <is>
          <t>Föryngringsavverkning</t>
        </is>
      </c>
      <c r="D107" s="1" t="n">
        <v>45362</v>
      </c>
      <c r="E107" s="1" t="n">
        <v>46224</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20871-2026</t>
        </is>
      </c>
      <c r="B108" t="inlineStr">
        <is>
          <t>avverkningsanmälan</t>
        </is>
      </c>
      <c r="C108" t="inlineStr">
        <is>
          <t>Föryngringsavverkning</t>
        </is>
      </c>
      <c r="D108" s="1" t="n">
        <v>46142</v>
      </c>
      <c r="E108" s="1" t="n">
        <v>46224</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21451-2026</t>
        </is>
      </c>
      <c r="B109" t="inlineStr">
        <is>
          <t>avverkningsanmälan</t>
        </is>
      </c>
      <c r="C109" t="inlineStr">
        <is>
          <t>Föryngringsavverkning</t>
        </is>
      </c>
      <c r="D109" s="1" t="n">
        <v>46146</v>
      </c>
      <c r="E109" s="1" t="n">
        <v>46224</v>
      </c>
      <c r="F109" t="inlineStr">
        <is>
          <t>UPPSALA LÄN</t>
        </is>
      </c>
      <c r="G109" t="inlineStr">
        <is>
          <t>ÖSTHAMMAR</t>
        </is>
      </c>
      <c r="I109" t="n">
        <v>0.7</v>
      </c>
      <c r="J109" t="n">
        <v>0</v>
      </c>
      <c r="K109" t="n">
        <v>0</v>
      </c>
      <c r="L109" t="n">
        <v>2</v>
      </c>
      <c r="M109" t="n">
        <v>0</v>
      </c>
      <c r="N109" t="n">
        <v>0</v>
      </c>
      <c r="O109" t="n">
        <v>0</v>
      </c>
      <c r="P109" t="n">
        <v>0</v>
      </c>
      <c r="Q109" t="n">
        <v>2</v>
      </c>
      <c r="R109" t="n">
        <v>0</v>
      </c>
      <c r="S109" t="n">
        <v>2</v>
      </c>
      <c r="T109" t="n">
        <v>4</v>
      </c>
      <c r="U109" t="n">
        <v>4</v>
      </c>
      <c r="V109" s="2" t="inlineStr">
        <is>
          <t>Slåtterfibbla
Vårärt</t>
        </is>
      </c>
      <c r="W109">
        <f>HYPERLINK("https://klasma.github.io/Logging_0382/artfynd/A 21451-2026 artfynd.xlsx", "A 21451-2026")</f>
        <v/>
      </c>
      <c r="X109">
        <f>HYPERLINK("https://klasma.github.io/Logging_0382/kartor/A 21451-2026 karta.png", "A 21451-2026")</f>
        <v/>
      </c>
      <c r="Y109">
        <f>HYPERLINK("https://klasma.github.io/Logging_0382/kartor_geotiff/A 21451-2026 georefererad karta.tif", "A 21451-2026")</f>
        <v/>
      </c>
      <c r="AA109">
        <f>HYPERLINK("https://klasma.github.io/Logging_0382/klagomål/A 21451-2026 FSC-klagomål.docx", "A 21451-2026")</f>
        <v/>
      </c>
      <c r="AB109">
        <f>HYPERLINK("https://klasma.github.io/Logging_0382/klagomålsmail/A 21451-2026 FSC-klagomål mail.docx", "A 21451-2026")</f>
        <v/>
      </c>
      <c r="AC109">
        <f>HYPERLINK("https://klasma.github.io/Logging_0382/tillsyn/A 21451-2026 tillsynsbegäran.docx", "A 21451-2026")</f>
        <v/>
      </c>
      <c r="AD109">
        <f>HYPERLINK("https://klasma.github.io/Logging_0382/tillsynsmail/A 21451-2026 tillsynsbegäran mail.docx", "A 21451-2026")</f>
        <v/>
      </c>
    </row>
    <row r="110" ht="15" customHeight="1">
      <c r="A110" t="inlineStr">
        <is>
          <t>A 21453-2023</t>
        </is>
      </c>
      <c r="B110" t="inlineStr">
        <is>
          <t>avverkningsanmälan</t>
        </is>
      </c>
      <c r="C110" t="inlineStr">
        <is>
          <t>Föryngringsavverkning</t>
        </is>
      </c>
      <c r="D110" s="1" t="n">
        <v>45063</v>
      </c>
      <c r="E110" s="1" t="n">
        <v>46224</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46224</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46224</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14859-2025</t>
        </is>
      </c>
      <c r="B113" t="inlineStr">
        <is>
          <t>avverkningsanmälan</t>
        </is>
      </c>
      <c r="C113" t="inlineStr">
        <is>
          <t>Föryngringsavverkning</t>
        </is>
      </c>
      <c r="D113" s="1" t="n">
        <v>45743</v>
      </c>
      <c r="E113" s="1" t="n">
        <v>46224</v>
      </c>
      <c r="F113" t="inlineStr">
        <is>
          <t>UPPSALA LÄN</t>
        </is>
      </c>
      <c r="G113" t="inlineStr">
        <is>
          <t>ÖSTHAMMAR</t>
        </is>
      </c>
      <c r="I113" t="n">
        <v>1.1</v>
      </c>
      <c r="J113" t="n">
        <v>0</v>
      </c>
      <c r="K113" t="n">
        <v>0</v>
      </c>
      <c r="L113" t="n">
        <v>2</v>
      </c>
      <c r="M113" t="n">
        <v>0</v>
      </c>
      <c r="N113" t="n">
        <v>0</v>
      </c>
      <c r="O113" t="n">
        <v>0</v>
      </c>
      <c r="P113" t="n">
        <v>0</v>
      </c>
      <c r="Q113" t="n">
        <v>2</v>
      </c>
      <c r="R113" t="n">
        <v>0</v>
      </c>
      <c r="S113" t="n">
        <v>2</v>
      </c>
      <c r="T113" t="n">
        <v>2</v>
      </c>
      <c r="U113" t="n">
        <v>0</v>
      </c>
      <c r="V113" s="2" t="inlineStr">
        <is>
          <t>Klasefibbla
Solvända</t>
        </is>
      </c>
      <c r="W113">
        <f>HYPERLINK("https://klasma.github.io/Logging_0382/artfynd/A 14859-2025 artfynd.xlsx", "A 14859-2025")</f>
        <v/>
      </c>
      <c r="X113">
        <f>HYPERLINK("https://klasma.github.io/Logging_0382/kartor/A 14859-2025 karta.png", "A 14859-2025")</f>
        <v/>
      </c>
      <c r="Y113">
        <f>HYPERLINK("https://klasma.github.io/Logging_0382/kartor_geotiff/A 14859-2025 georefererad karta.tif", "A 14859-2025")</f>
        <v/>
      </c>
      <c r="AA113">
        <f>HYPERLINK("https://klasma.github.io/Logging_0382/klagomål/A 14859-2025 FSC-klagomål.docx", "A 14859-2025")</f>
        <v/>
      </c>
      <c r="AB113">
        <f>HYPERLINK("https://klasma.github.io/Logging_0382/klagomålsmail/A 14859-2025 FSC-klagomål mail.docx", "A 14859-2025")</f>
        <v/>
      </c>
      <c r="AC113">
        <f>HYPERLINK("https://klasma.github.io/Logging_0382/tillsyn/A 14859-2025 tillsynsbegäran.docx", "A 14859-2025")</f>
        <v/>
      </c>
      <c r="AD113">
        <f>HYPERLINK("https://klasma.github.io/Logging_0382/tillsynsmail/A 14859-2025 tillsynsbegäran mail.docx", "A 14859-2025")</f>
        <v/>
      </c>
    </row>
    <row r="114" ht="15" customHeight="1">
      <c r="A114" t="inlineStr">
        <is>
          <t>S 4493-2022</t>
        </is>
      </c>
      <c r="B114" t="inlineStr">
        <is>
          <t>samrådsanmälan</t>
        </is>
      </c>
      <c r="C114" t="inlineStr">
        <is>
          <t>Åtgärd i nyckelbiotop</t>
        </is>
      </c>
      <c r="D114" s="1" t="n">
        <v>44782</v>
      </c>
      <c r="E114" s="1" t="n">
        <v>46224</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46224</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46224</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46224</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46224</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46224</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46224</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46224</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63615-2021</t>
        </is>
      </c>
      <c r="B122" t="inlineStr">
        <is>
          <t>avverkningsanmälan</t>
        </is>
      </c>
      <c r="C122" t="inlineStr">
        <is>
          <t>Föryngringsavverkning</t>
        </is>
      </c>
      <c r="D122" s="1" t="n">
        <v>44509</v>
      </c>
      <c r="E122" s="1" t="n">
        <v>46224</v>
      </c>
      <c r="F122" t="inlineStr">
        <is>
          <t>UPPSALA LÄN</t>
        </is>
      </c>
      <c r="G122" t="inlineStr">
        <is>
          <t>ÖSTHAMMAR</t>
        </is>
      </c>
      <c r="I122" t="n">
        <v>1.9</v>
      </c>
      <c r="J122" t="n">
        <v>0</v>
      </c>
      <c r="K122" t="n">
        <v>0</v>
      </c>
      <c r="L122" t="n">
        <v>0</v>
      </c>
      <c r="M122" t="n">
        <v>1</v>
      </c>
      <c r="N122" t="n">
        <v>0</v>
      </c>
      <c r="O122" t="n">
        <v>0</v>
      </c>
      <c r="P122" t="n">
        <v>0</v>
      </c>
      <c r="Q122" t="n">
        <v>1</v>
      </c>
      <c r="R122" t="n">
        <v>1</v>
      </c>
      <c r="S122" t="n">
        <v>1</v>
      </c>
      <c r="T122" t="n">
        <v>1</v>
      </c>
      <c r="U122" t="n">
        <v>0</v>
      </c>
      <c r="V122" s="2" t="inlineStr">
        <is>
          <t>Gul taggsvamp</t>
        </is>
      </c>
      <c r="W122">
        <f>HYPERLINK("https://klasma.github.io/Logging_0382/artfynd/A 63615-2021 artfynd.xlsx", "A 63615-2021")</f>
        <v/>
      </c>
      <c r="X122">
        <f>HYPERLINK("https://klasma.github.io/Logging_0382/kartor/A 63615-2021 karta.png", "A 63615-2021")</f>
        <v/>
      </c>
      <c r="Y122">
        <f>HYPERLINK("https://klasma.github.io/Logging_0382/kartor_geotiff/A 63615-2021 georefererad karta.tif", "A 63615-2021")</f>
        <v/>
      </c>
      <c r="AA122">
        <f>HYPERLINK("https://klasma.github.io/Logging_0382/klagomål/A 63615-2021 FSC-klagomål.docx", "A 63615-2021")</f>
        <v/>
      </c>
      <c r="AB122">
        <f>HYPERLINK("https://klasma.github.io/Logging_0382/klagomålsmail/A 63615-2021 FSC-klagomål mail.docx", "A 63615-2021")</f>
        <v/>
      </c>
      <c r="AC122">
        <f>HYPERLINK("https://klasma.github.io/Logging_0382/tillsyn/A 63615-2021 tillsynsbegäran.docx", "A 63615-2021")</f>
        <v/>
      </c>
      <c r="AD122">
        <f>HYPERLINK("https://klasma.github.io/Logging_0382/tillsynsmail/A 63615-2021 tillsynsbegäran mail.docx", "A 63615-2021")</f>
        <v/>
      </c>
    </row>
    <row r="123" ht="15" customHeight="1">
      <c r="A123" t="inlineStr">
        <is>
          <t>A 7446-2022</t>
        </is>
      </c>
      <c r="B123" t="inlineStr">
        <is>
          <t>avverkningsanmälan</t>
        </is>
      </c>
      <c r="C123" t="inlineStr">
        <is>
          <t>Föryngringsavverkning</t>
        </is>
      </c>
      <c r="D123" s="1" t="n">
        <v>44606</v>
      </c>
      <c r="E123" s="1" t="n">
        <v>46224</v>
      </c>
      <c r="F123" t="inlineStr">
        <is>
          <t>UPPSALA LÄN</t>
        </is>
      </c>
      <c r="G123" t="inlineStr">
        <is>
          <t>ÖSTHAMMAR</t>
        </is>
      </c>
      <c r="I123" t="n">
        <v>5</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HYPERLINK("https://klasma.github.io/Logging_0382/artfynd/A 7446-2022 artfynd.xlsx", "A 7446-2022")</f>
        <v/>
      </c>
      <c r="X123">
        <f>HYPERLINK("https://klasma.github.io/Logging_0382/kartor/A 7446-2022 karta.png", "A 7446-2022")</f>
        <v/>
      </c>
      <c r="Y123">
        <f>HYPERLINK("https://klasma.github.io/Logging_0382/kartor_geotiff/A 7446-2022 georefererad karta.tif", "A 7446-2022")</f>
        <v/>
      </c>
      <c r="AA123">
        <f>HYPERLINK("https://klasma.github.io/Logging_0382/klagomål/A 7446-2022 FSC-klagomål.docx", "A 7446-2022")</f>
        <v/>
      </c>
      <c r="AB123">
        <f>HYPERLINK("https://klasma.github.io/Logging_0382/klagomålsmail/A 7446-2022 FSC-klagomål mail.docx", "A 7446-2022")</f>
        <v/>
      </c>
      <c r="AC123">
        <f>HYPERLINK("https://klasma.github.io/Logging_0382/tillsyn/A 7446-2022 tillsynsbegäran.docx", "A 7446-2022")</f>
        <v/>
      </c>
      <c r="AD123">
        <f>HYPERLINK("https://klasma.github.io/Logging_0382/tillsynsmail/A 7446-2022 tillsynsbegäran mail.docx", "A 7446-2022")</f>
        <v/>
      </c>
    </row>
    <row r="124" ht="15" customHeight="1">
      <c r="A124" t="inlineStr">
        <is>
          <t>A 36904-2023</t>
        </is>
      </c>
      <c r="B124" t="inlineStr">
        <is>
          <t>avverkningsanmälan</t>
        </is>
      </c>
      <c r="C124" t="inlineStr">
        <is>
          <t>Föryngringsavverkning</t>
        </is>
      </c>
      <c r="D124" s="1" t="n">
        <v>45154</v>
      </c>
      <c r="E124" s="1" t="n">
        <v>46224</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t="n">
        <v>0</v>
      </c>
      <c r="V124" s="2" t="inlineStr">
        <is>
          <t>Hällebräcka</t>
        </is>
      </c>
      <c r="W124">
        <f>HYPERLINK("https://klasma.github.io/Logging_0382/artfynd/A 36904-2023 artfynd.xlsx", "A 36904-2023")</f>
        <v/>
      </c>
      <c r="X124">
        <f>HYPERLINK("https://klasma.github.io/Logging_0382/kartor/A 36904-2023 karta.png", "A 36904-2023")</f>
        <v/>
      </c>
      <c r="Y124">
        <f>HYPERLINK("https://klasma.github.io/Logging_0382/kartor_geotiff/A 36904-2023 georefererad karta.tif", "A 36904-2023")</f>
        <v/>
      </c>
      <c r="AA124">
        <f>HYPERLINK("https://klasma.github.io/Logging_0382/klagomål/A 36904-2023 FSC-klagomål.docx", "A 36904-2023")</f>
        <v/>
      </c>
      <c r="AB124">
        <f>HYPERLINK("https://klasma.github.io/Logging_0382/klagomålsmail/A 36904-2023 FSC-klagomål mail.docx", "A 36904-2023")</f>
        <v/>
      </c>
      <c r="AC124">
        <f>HYPERLINK("https://klasma.github.io/Logging_0382/tillsyn/A 36904-2023 tillsynsbegäran.docx", "A 36904-2023")</f>
        <v/>
      </c>
      <c r="AD124">
        <f>HYPERLINK("https://klasma.github.io/Logging_0382/tillsynsmail/A 36904-2023 tillsynsbegäran mail.docx", "A 36904-2023")</f>
        <v/>
      </c>
    </row>
    <row r="125" ht="15" customHeight="1">
      <c r="A125" t="inlineStr">
        <is>
          <t>A 40570-2025</t>
        </is>
      </c>
      <c r="B125" t="inlineStr">
        <is>
          <t>avverkningsanmälan</t>
        </is>
      </c>
      <c r="C125" t="inlineStr">
        <is>
          <t>Föryngringsavverkning</t>
        </is>
      </c>
      <c r="D125" s="1" t="n">
        <v>45896</v>
      </c>
      <c r="E125" s="1" t="n">
        <v>46224</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4984-2024</t>
        </is>
      </c>
      <c r="B126" t="inlineStr">
        <is>
          <t>avverkningsanmälan</t>
        </is>
      </c>
      <c r="C126" t="inlineStr">
        <is>
          <t>Föryngringsavverkning</t>
        </is>
      </c>
      <c r="D126" s="1" t="n">
        <v>45329</v>
      </c>
      <c r="E126" s="1" t="n">
        <v>46224</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46224</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46224</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46224</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6046-2025</t>
        </is>
      </c>
      <c r="B130" t="inlineStr">
        <is>
          <t>avverkningsanmälan</t>
        </is>
      </c>
      <c r="C130" t="inlineStr">
        <is>
          <t>Föryngringsavverkning</t>
        </is>
      </c>
      <c r="D130" s="1" t="n">
        <v>45695</v>
      </c>
      <c r="E130" s="1" t="n">
        <v>46224</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46224</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46224</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46224</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46224</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14006-2026</t>
        </is>
      </c>
      <c r="B135" t="inlineStr">
        <is>
          <t>avverkningsanmälan</t>
        </is>
      </c>
      <c r="C135" t="inlineStr">
        <is>
          <t>Föryngringsavverkning</t>
        </is>
      </c>
      <c r="D135" s="1" t="n">
        <v>46098</v>
      </c>
      <c r="E135" s="1" t="n">
        <v>46224</v>
      </c>
      <c r="F135" t="inlineStr">
        <is>
          <t>UPPSALA LÄN</t>
        </is>
      </c>
      <c r="G135" t="inlineStr">
        <is>
          <t>ÖSTHAMMAR</t>
        </is>
      </c>
      <c r="I135" t="n">
        <v>2</v>
      </c>
      <c r="J135" t="n">
        <v>0</v>
      </c>
      <c r="K135" t="n">
        <v>0</v>
      </c>
      <c r="L135" t="n">
        <v>0</v>
      </c>
      <c r="M135" t="n">
        <v>1</v>
      </c>
      <c r="N135" t="n">
        <v>0</v>
      </c>
      <c r="O135" t="n">
        <v>0</v>
      </c>
      <c r="P135" t="n">
        <v>0</v>
      </c>
      <c r="Q135" t="n">
        <v>1</v>
      </c>
      <c r="R135" t="n">
        <v>1</v>
      </c>
      <c r="S135" t="n">
        <v>1</v>
      </c>
      <c r="T135" t="n">
        <v>1</v>
      </c>
      <c r="U135" t="n">
        <v>0</v>
      </c>
      <c r="V135" s="2" t="inlineStr">
        <is>
          <t>Igelkott</t>
        </is>
      </c>
      <c r="W135">
        <f>HYPERLINK("https://klasma.github.io/Logging_0382/artfynd/A 14006-2026 artfynd.xlsx", "A 14006-2026")</f>
        <v/>
      </c>
      <c r="X135">
        <f>HYPERLINK("https://klasma.github.io/Logging_0382/kartor/A 14006-2026 karta.png", "A 14006-2026")</f>
        <v/>
      </c>
      <c r="Y135">
        <f>HYPERLINK("https://klasma.github.io/Logging_0382/kartor_geotiff/A 14006-2026 georefererad karta.tif", "A 14006-2026")</f>
        <v/>
      </c>
      <c r="AA135">
        <f>HYPERLINK("https://klasma.github.io/Logging_0382/klagomål/A 14006-2026 FSC-klagomål.docx", "A 14006-2026")</f>
        <v/>
      </c>
      <c r="AB135">
        <f>HYPERLINK("https://klasma.github.io/Logging_0382/klagomålsmail/A 14006-2026 FSC-klagomål mail.docx", "A 14006-2026")</f>
        <v/>
      </c>
      <c r="AC135">
        <f>HYPERLINK("https://klasma.github.io/Logging_0382/tillsyn/A 14006-2026 tillsynsbegäran.docx", "A 14006-2026")</f>
        <v/>
      </c>
      <c r="AD135">
        <f>HYPERLINK("https://klasma.github.io/Logging_0382/tillsynsmail/A 14006-2026 tillsynsbegäran mail.docx", "A 14006-2026")</f>
        <v/>
      </c>
    </row>
    <row r="136" ht="15" customHeight="1">
      <c r="A136" t="inlineStr">
        <is>
          <t>A 20634-2024</t>
        </is>
      </c>
      <c r="B136" t="inlineStr">
        <is>
          <t>avverkningsanmälan</t>
        </is>
      </c>
      <c r="C136" t="inlineStr">
        <is>
          <t>Föryngringsavverkning</t>
        </is>
      </c>
      <c r="D136" s="1" t="n">
        <v>45436</v>
      </c>
      <c r="E136" s="1" t="n">
        <v>46224</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46224</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8014-2026</t>
        </is>
      </c>
      <c r="B138" t="inlineStr">
        <is>
          <t>avverkningsanmälan</t>
        </is>
      </c>
      <c r="C138" t="inlineStr">
        <is>
          <t>Föryngringsavverkning</t>
        </is>
      </c>
      <c r="D138" s="1" t="n">
        <v>46063</v>
      </c>
      <c r="E138" s="1" t="n">
        <v>46224</v>
      </c>
      <c r="F138" t="inlineStr">
        <is>
          <t>UPPSALA LÄN</t>
        </is>
      </c>
      <c r="G138" t="inlineStr">
        <is>
          <t>ÖSTHAMMAR</t>
        </is>
      </c>
      <c r="I138" t="n">
        <v>15.2</v>
      </c>
      <c r="J138" t="n">
        <v>1</v>
      </c>
      <c r="K138" t="n">
        <v>1</v>
      </c>
      <c r="L138" t="n">
        <v>0</v>
      </c>
      <c r="M138" t="n">
        <v>0</v>
      </c>
      <c r="N138" t="n">
        <v>0</v>
      </c>
      <c r="O138" t="n">
        <v>0</v>
      </c>
      <c r="P138" t="n">
        <v>0</v>
      </c>
      <c r="Q138" t="n">
        <v>0</v>
      </c>
      <c r="R138" t="n">
        <v>0</v>
      </c>
      <c r="S138" t="n">
        <v>1</v>
      </c>
      <c r="T138" t="n">
        <v>1</v>
      </c>
      <c r="U138" t="n">
        <v>0</v>
      </c>
      <c r="V138" s="2" t="inlineStr">
        <is>
          <t>Skogsknipprot</t>
        </is>
      </c>
      <c r="W138">
        <f>HYPERLINK("https://klasma.github.io/Logging_0382/artfynd/A 8014-2026 artfynd.xlsx", "A 8014-2026")</f>
        <v/>
      </c>
      <c r="X138">
        <f>HYPERLINK("https://klasma.github.io/Logging_0382/kartor/A 8014-2026 karta.png", "A 8014-2026")</f>
        <v/>
      </c>
      <c r="Y138">
        <f>HYPERLINK("https://klasma.github.io/Logging_0382/kartor_geotiff/A 8014-2026 georefererad karta.tif", "A 8014-2026")</f>
        <v/>
      </c>
      <c r="AA138">
        <f>HYPERLINK("https://klasma.github.io/Logging_0382/klagomål/A 8014-2026 FSC-klagomål.docx", "A 8014-2026")</f>
        <v/>
      </c>
      <c r="AB138">
        <f>HYPERLINK("https://klasma.github.io/Logging_0382/klagomålsmail/A 8014-2026 FSC-klagomål mail.docx", "A 8014-2026")</f>
        <v/>
      </c>
      <c r="AC138">
        <f>HYPERLINK("https://klasma.github.io/Logging_0382/tillsyn/A 8014-2026 tillsynsbegäran.docx", "A 8014-2026")</f>
        <v/>
      </c>
      <c r="AD138">
        <f>HYPERLINK("https://klasma.github.io/Logging_0382/tillsynsmail/A 8014-2026 tillsynsbegäran mail.docx", "A 8014-2026")</f>
        <v/>
      </c>
    </row>
    <row r="139" ht="15" customHeight="1">
      <c r="A139" t="inlineStr">
        <is>
          <t>A 14706-2023</t>
        </is>
      </c>
      <c r="B139" t="inlineStr">
        <is>
          <t>avverkningsanmälan</t>
        </is>
      </c>
      <c r="C139" t="inlineStr">
        <is>
          <t>Föryngringsavverkning</t>
        </is>
      </c>
      <c r="D139" s="1" t="n">
        <v>45013</v>
      </c>
      <c r="E139" s="1" t="n">
        <v>46224</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t="n">
        <v>0</v>
      </c>
      <c r="V139" s="2" t="inlineStr">
        <is>
          <t>Olivspindling</t>
        </is>
      </c>
      <c r="W139">
        <f>HYPERLINK("https://klasma.github.io/Logging_0382/artfynd/A 14706-2023 artfynd.xlsx", "A 14706-2023")</f>
        <v/>
      </c>
      <c r="X139">
        <f>HYPERLINK("https://klasma.github.io/Logging_0382/kartor/A 14706-2023 karta.png", "A 14706-2023")</f>
        <v/>
      </c>
      <c r="Y139">
        <f>HYPERLINK("https://klasma.github.io/Logging_0382/kartor_geotiff/A 14706-2023 georefererad karta.tif", "A 14706-2023")</f>
        <v/>
      </c>
      <c r="AA139">
        <f>HYPERLINK("https://klasma.github.io/Logging_0382/klagomål/A 14706-2023 FSC-klagomål.docx", "A 14706-2023")</f>
        <v/>
      </c>
      <c r="AB139">
        <f>HYPERLINK("https://klasma.github.io/Logging_0382/klagomålsmail/A 14706-2023 FSC-klagomål mail.docx", "A 14706-2023")</f>
        <v/>
      </c>
      <c r="AC139">
        <f>HYPERLINK("https://klasma.github.io/Logging_0382/tillsyn/A 14706-2023 tillsynsbegäran.docx", "A 14706-2023")</f>
        <v/>
      </c>
      <c r="AD139">
        <f>HYPERLINK("https://klasma.github.io/Logging_0382/tillsynsmail/A 14706-2023 tillsynsbegäran mail.docx", "A 14706-2023")</f>
        <v/>
      </c>
    </row>
    <row r="140" ht="15" customHeight="1">
      <c r="A140" t="inlineStr">
        <is>
          <t>A 1227-2022</t>
        </is>
      </c>
      <c r="B140" t="inlineStr">
        <is>
          <t>avverkningsanmälan</t>
        </is>
      </c>
      <c r="C140" t="inlineStr">
        <is>
          <t>Föryngringsavverkning</t>
        </is>
      </c>
      <c r="D140" s="1" t="n">
        <v>44572</v>
      </c>
      <c r="E140" s="1" t="n">
        <v>46224</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34090-2023</t>
        </is>
      </c>
      <c r="B141" t="inlineStr">
        <is>
          <t>avverkningsanmälan</t>
        </is>
      </c>
      <c r="C141" t="inlineStr">
        <is>
          <t>Föryngringsavverkning</t>
        </is>
      </c>
      <c r="D141" s="1" t="n">
        <v>45135</v>
      </c>
      <c r="E141" s="1" t="n">
        <v>46224</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HYPERLINK("https://klasma.github.io/Logging_0382/artfynd/A 34090-2023 artfynd.xlsx", "A 34090-2023")</f>
        <v/>
      </c>
      <c r="X141">
        <f>HYPERLINK("https://klasma.github.io/Logging_0382/kartor/A 34090-2023 karta.png", "A 34090-2023")</f>
        <v/>
      </c>
      <c r="Y141">
        <f>HYPERLINK("https://klasma.github.io/Logging_0382/kartor_geotiff/A 34090-2023 georefererad karta.tif", "A 34090-2023")</f>
        <v/>
      </c>
      <c r="AA141">
        <f>HYPERLINK("https://klasma.github.io/Logging_0382/klagomål/A 34090-2023 FSC-klagomål.docx", "A 34090-2023")</f>
        <v/>
      </c>
      <c r="AB141">
        <f>HYPERLINK("https://klasma.github.io/Logging_0382/klagomålsmail/A 34090-2023 FSC-klagomål mail.docx", "A 34090-2023")</f>
        <v/>
      </c>
      <c r="AC141">
        <f>HYPERLINK("https://klasma.github.io/Logging_0382/tillsyn/A 34090-2023 tillsynsbegäran.docx", "A 34090-2023")</f>
        <v/>
      </c>
      <c r="AD141">
        <f>HYPERLINK("https://klasma.github.io/Logging_0382/tillsynsmail/A 34090-2023 tillsynsbegäran mail.docx", "A 34090-2023")</f>
        <v/>
      </c>
      <c r="AE141">
        <f>HYPERLINK("https://klasma.github.io/Logging_0382/fåglar/A 34090-2023 prioriterade fågelarter.docx", "A 34090-2023")</f>
        <v/>
      </c>
    </row>
    <row r="142" ht="15" customHeight="1">
      <c r="A142" t="inlineStr">
        <is>
          <t>A 11017-2023</t>
        </is>
      </c>
      <c r="B142" t="inlineStr">
        <is>
          <t>avverkningsanmälan</t>
        </is>
      </c>
      <c r="C142" t="inlineStr">
        <is>
          <t>Avverkning för annat ändamål</t>
        </is>
      </c>
      <c r="D142" s="1" t="n">
        <v>44991</v>
      </c>
      <c r="E142" s="1" t="n">
        <v>46224</v>
      </c>
      <c r="F142" t="inlineStr">
        <is>
          <t>UPPSALA LÄN</t>
        </is>
      </c>
      <c r="G142" t="inlineStr">
        <is>
          <t>ÖSTHAMMAR</t>
        </is>
      </c>
      <c r="I142" t="n">
        <v>1.9</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11017-2023 artfynd.xlsx", "A 11017-2023")</f>
        <v/>
      </c>
      <c r="X142">
        <f>HYPERLINK("https://klasma.github.io/Logging_0382/kartor/A 11017-2023 karta.png", "A 11017-2023")</f>
        <v/>
      </c>
      <c r="Y142">
        <f>HYPERLINK("https://klasma.github.io/Logging_0382/kartor_geotiff/A 11017-2023 georefererad karta.tif", "A 11017-2023")</f>
        <v/>
      </c>
      <c r="AA142">
        <f>HYPERLINK("https://klasma.github.io/Logging_0382/klagomål/A 11017-2023 FSC-klagomål.docx", "A 11017-2023")</f>
        <v/>
      </c>
      <c r="AB142">
        <f>HYPERLINK("https://klasma.github.io/Logging_0382/klagomålsmail/A 11017-2023 FSC-klagomål mail.docx", "A 11017-2023")</f>
        <v/>
      </c>
      <c r="AC142">
        <f>HYPERLINK("https://klasma.github.io/Logging_0382/tillsyn/A 11017-2023 tillsynsbegäran.docx", "A 11017-2023")</f>
        <v/>
      </c>
      <c r="AD142">
        <f>HYPERLINK("https://klasma.github.io/Logging_0382/tillsynsmail/A 11017-2023 tillsynsbegäran mail.docx", "A 11017-2023")</f>
        <v/>
      </c>
    </row>
    <row r="143" ht="15" customHeight="1">
      <c r="A143" t="inlineStr">
        <is>
          <t>A 52818-2022</t>
        </is>
      </c>
      <c r="B143" t="inlineStr">
        <is>
          <t>avverkningsanmälan</t>
        </is>
      </c>
      <c r="C143" t="inlineStr">
        <is>
          <t>Föryngringsavverkning</t>
        </is>
      </c>
      <c r="D143" s="1" t="n">
        <v>44875</v>
      </c>
      <c r="E143" s="1" t="n">
        <v>46224</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t="n">
        <v>1</v>
      </c>
      <c r="V143" s="2" t="inlineStr">
        <is>
          <t>Guckusko</t>
        </is>
      </c>
      <c r="W143">
        <f>HYPERLINK("https://klasma.github.io/Logging_0382/artfynd/A 52818-2022 artfynd.xlsx", "A 52818-2022")</f>
        <v/>
      </c>
      <c r="X143">
        <f>HYPERLINK("https://klasma.github.io/Logging_0382/kartor/A 52818-2022 karta.png", "A 52818-2022")</f>
        <v/>
      </c>
      <c r="Y143">
        <f>HYPERLINK("https://klasma.github.io/Logging_0382/kartor_geotiff/A 52818-2022 georefererad karta.tif", "A 52818-2022")</f>
        <v/>
      </c>
      <c r="AA143">
        <f>HYPERLINK("https://klasma.github.io/Logging_0382/klagomål/A 52818-2022 FSC-klagomål.docx", "A 52818-2022")</f>
        <v/>
      </c>
      <c r="AB143">
        <f>HYPERLINK("https://klasma.github.io/Logging_0382/klagomålsmail/A 52818-2022 FSC-klagomål mail.docx", "A 52818-2022")</f>
        <v/>
      </c>
      <c r="AC143">
        <f>HYPERLINK("https://klasma.github.io/Logging_0382/tillsyn/A 52818-2022 tillsynsbegäran.docx", "A 52818-2022")</f>
        <v/>
      </c>
      <c r="AD143">
        <f>HYPERLINK("https://klasma.github.io/Logging_0382/tillsynsmail/A 52818-2022 tillsynsbegäran mail.docx", "A 52818-2022")</f>
        <v/>
      </c>
    </row>
    <row r="144" ht="15" customHeight="1">
      <c r="A144" t="inlineStr">
        <is>
          <t>A 30605-2025</t>
        </is>
      </c>
      <c r="B144" t="inlineStr">
        <is>
          <t>avverkningsanmälan</t>
        </is>
      </c>
      <c r="C144" t="inlineStr">
        <is>
          <t>Föryngringsavverkning</t>
        </is>
      </c>
      <c r="D144" s="1" t="n">
        <v>45831</v>
      </c>
      <c r="E144" s="1" t="n">
        <v>46224</v>
      </c>
      <c r="F144" t="inlineStr">
        <is>
          <t>UPPSALA LÄN</t>
        </is>
      </c>
      <c r="G144" t="inlineStr">
        <is>
          <t>ÖSTHAMMAR</t>
        </is>
      </c>
      <c r="I144" t="n">
        <v>1.7</v>
      </c>
      <c r="J144" t="n">
        <v>0</v>
      </c>
      <c r="K144" t="n">
        <v>0</v>
      </c>
      <c r="L144" t="n">
        <v>0</v>
      </c>
      <c r="M144" t="n">
        <v>1</v>
      </c>
      <c r="N144" t="n">
        <v>0</v>
      </c>
      <c r="O144" t="n">
        <v>0</v>
      </c>
      <c r="P144" t="n">
        <v>0</v>
      </c>
      <c r="Q144" t="n">
        <v>1</v>
      </c>
      <c r="R144" t="n">
        <v>1</v>
      </c>
      <c r="S144" t="n">
        <v>1</v>
      </c>
      <c r="T144" t="n">
        <v>1</v>
      </c>
      <c r="U144" t="n">
        <v>0</v>
      </c>
      <c r="V144" s="2" t="inlineStr">
        <is>
          <t>Plattsäv</t>
        </is>
      </c>
      <c r="W144">
        <f>HYPERLINK("https://klasma.github.io/Logging_0382/artfynd/A 30605-2025 artfynd.xlsx", "A 30605-2025")</f>
        <v/>
      </c>
      <c r="X144">
        <f>HYPERLINK("https://klasma.github.io/Logging_0382/kartor/A 30605-2025 karta.png", "A 30605-2025")</f>
        <v/>
      </c>
      <c r="Y144">
        <f>HYPERLINK("https://klasma.github.io/Logging_0382/kartor_geotiff/A 30605-2025 georefererad karta.tif", "A 30605-2025")</f>
        <v/>
      </c>
      <c r="AA144">
        <f>HYPERLINK("https://klasma.github.io/Logging_0382/klagomål/A 30605-2025 FSC-klagomål.docx", "A 30605-2025")</f>
        <v/>
      </c>
      <c r="AB144">
        <f>HYPERLINK("https://klasma.github.io/Logging_0382/klagomålsmail/A 30605-2025 FSC-klagomål mail.docx", "A 30605-2025")</f>
        <v/>
      </c>
      <c r="AC144">
        <f>HYPERLINK("https://klasma.github.io/Logging_0382/tillsyn/A 30605-2025 tillsynsbegäran.docx", "A 30605-2025")</f>
        <v/>
      </c>
      <c r="AD144">
        <f>HYPERLINK("https://klasma.github.io/Logging_0382/tillsynsmail/A 30605-2025 tillsynsbegäran mail.docx", "A 30605-2025")</f>
        <v/>
      </c>
    </row>
    <row r="145" ht="15" customHeight="1">
      <c r="A145" t="inlineStr">
        <is>
          <t>A 38600-2023</t>
        </is>
      </c>
      <c r="B145" t="inlineStr">
        <is>
          <t>avverkningsanmälan</t>
        </is>
      </c>
      <c r="C145" t="inlineStr">
        <is>
          <t>Avverkning för annat ändamål</t>
        </is>
      </c>
      <c r="D145" s="1" t="n">
        <v>45162</v>
      </c>
      <c r="E145" s="1" t="n">
        <v>46224</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10034-2023</t>
        </is>
      </c>
      <c r="B146" t="inlineStr">
        <is>
          <t>avverkningsanmälan</t>
        </is>
      </c>
      <c r="C146" t="inlineStr">
        <is>
          <t>Avverkning för annat ändamål</t>
        </is>
      </c>
      <c r="D146" s="1" t="n">
        <v>44985</v>
      </c>
      <c r="E146" s="1" t="n">
        <v>46224</v>
      </c>
      <c r="F146" t="inlineStr">
        <is>
          <t>UPPSALA LÄN</t>
        </is>
      </c>
      <c r="G146" t="inlineStr">
        <is>
          <t>ÖSTHAMMAR</t>
        </is>
      </c>
      <c r="I146" t="n">
        <v>2.1</v>
      </c>
      <c r="J146" t="n">
        <v>1</v>
      </c>
      <c r="K146" t="n">
        <v>0</v>
      </c>
      <c r="L146" t="n">
        <v>0</v>
      </c>
      <c r="M146" t="n">
        <v>0</v>
      </c>
      <c r="N146" t="n">
        <v>0</v>
      </c>
      <c r="O146" t="n">
        <v>0</v>
      </c>
      <c r="P146" t="n">
        <v>0</v>
      </c>
      <c r="Q146" t="n">
        <v>0</v>
      </c>
      <c r="R146" t="n">
        <v>0</v>
      </c>
      <c r="S146" t="n">
        <v>1</v>
      </c>
      <c r="T146" t="n">
        <v>1</v>
      </c>
      <c r="U146" t="n">
        <v>1</v>
      </c>
      <c r="V146" s="2" t="inlineStr">
        <is>
          <t>Blåsippa</t>
        </is>
      </c>
      <c r="W146">
        <f>HYPERLINK("https://klasma.github.io/Logging_0382/artfynd/A 10034-2023 artfynd.xlsx", "A 10034-2023")</f>
        <v/>
      </c>
      <c r="X146">
        <f>HYPERLINK("https://klasma.github.io/Logging_0382/kartor/A 10034-2023 karta.png", "A 10034-2023")</f>
        <v/>
      </c>
      <c r="Y146">
        <f>HYPERLINK("https://klasma.github.io/Logging_0382/kartor_geotiff/A 10034-2023 georefererad karta.tif", "A 10034-2023")</f>
        <v/>
      </c>
      <c r="AA146">
        <f>HYPERLINK("https://klasma.github.io/Logging_0382/klagomål/A 10034-2023 FSC-klagomål.docx", "A 10034-2023")</f>
        <v/>
      </c>
      <c r="AB146">
        <f>HYPERLINK("https://klasma.github.io/Logging_0382/klagomålsmail/A 10034-2023 FSC-klagomål mail.docx", "A 10034-2023")</f>
        <v/>
      </c>
      <c r="AC146">
        <f>HYPERLINK("https://klasma.github.io/Logging_0382/tillsyn/A 10034-2023 tillsynsbegäran.docx", "A 10034-2023")</f>
        <v/>
      </c>
      <c r="AD146">
        <f>HYPERLINK("https://klasma.github.io/Logging_0382/tillsynsmail/A 10034-2023 tillsynsbegäran mail.docx", "A 10034-2023")</f>
        <v/>
      </c>
    </row>
    <row r="147" ht="15" customHeight="1">
      <c r="A147" t="inlineStr">
        <is>
          <t>A 20396-2026</t>
        </is>
      </c>
      <c r="B147" t="inlineStr">
        <is>
          <t>avverkningsanmälan</t>
        </is>
      </c>
      <c r="C147" t="inlineStr">
        <is>
          <t>Föryngringsavverkning</t>
        </is>
      </c>
      <c r="D147" s="1" t="n">
        <v>46139</v>
      </c>
      <c r="E147" s="1" t="n">
        <v>46224</v>
      </c>
      <c r="F147" t="inlineStr">
        <is>
          <t>UPPSALA LÄN</t>
        </is>
      </c>
      <c r="G147" t="inlineStr">
        <is>
          <t>ÖSTHAMMAR</t>
        </is>
      </c>
      <c r="I147" t="n">
        <v>1.4</v>
      </c>
      <c r="J147" t="n">
        <v>1</v>
      </c>
      <c r="K147" t="n">
        <v>0</v>
      </c>
      <c r="L147" t="n">
        <v>1</v>
      </c>
      <c r="M147" t="n">
        <v>0</v>
      </c>
      <c r="N147" t="n">
        <v>0</v>
      </c>
      <c r="O147" t="n">
        <v>0</v>
      </c>
      <c r="P147" t="n">
        <v>0</v>
      </c>
      <c r="Q147" t="n">
        <v>1</v>
      </c>
      <c r="R147" t="n">
        <v>0</v>
      </c>
      <c r="S147" t="n">
        <v>1</v>
      </c>
      <c r="T147" t="n">
        <v>1</v>
      </c>
      <c r="U147" t="n">
        <v>0</v>
      </c>
      <c r="V147" s="2" t="inlineStr">
        <is>
          <t>Bivråk</t>
        </is>
      </c>
      <c r="W147">
        <f>HYPERLINK("https://klasma.github.io/Logging_0382/artfynd/A 20396-2026 artfynd.xlsx", "A 20396-2026")</f>
        <v/>
      </c>
      <c r="X147">
        <f>HYPERLINK("https://klasma.github.io/Logging_0382/kartor/A 20396-2026 karta.png", "A 20396-2026")</f>
        <v/>
      </c>
      <c r="Y147">
        <f>HYPERLINK("https://klasma.github.io/Logging_0382/kartor_geotiff/A 20396-2026 georefererad karta.tif", "A 20396-2026")</f>
        <v/>
      </c>
      <c r="AA147">
        <f>HYPERLINK("https://klasma.github.io/Logging_0382/klagomål/A 20396-2026 FSC-klagomål.docx", "A 20396-2026")</f>
        <v/>
      </c>
      <c r="AB147">
        <f>HYPERLINK("https://klasma.github.io/Logging_0382/klagomålsmail/A 20396-2026 FSC-klagomål mail.docx", "A 20396-2026")</f>
        <v/>
      </c>
      <c r="AC147">
        <f>HYPERLINK("https://klasma.github.io/Logging_0382/tillsyn/A 20396-2026 tillsynsbegäran.docx", "A 20396-2026")</f>
        <v/>
      </c>
      <c r="AD147">
        <f>HYPERLINK("https://klasma.github.io/Logging_0382/tillsynsmail/A 20396-2026 tillsynsbegäran mail.docx", "A 20396-2026")</f>
        <v/>
      </c>
      <c r="AE147">
        <f>HYPERLINK("https://klasma.github.io/Logging_0382/fåglar/A 20396-2026 prioriterade fågelarter.docx", "A 20396-2026")</f>
        <v/>
      </c>
    </row>
    <row r="148" ht="15" customHeight="1">
      <c r="A148" t="inlineStr">
        <is>
          <t>A 37296-2023</t>
        </is>
      </c>
      <c r="B148" t="inlineStr">
        <is>
          <t>avverkningsanmälan</t>
        </is>
      </c>
      <c r="C148" t="inlineStr">
        <is>
          <t>Föryngringsavverkning</t>
        </is>
      </c>
      <c r="D148" s="1" t="n">
        <v>45156</v>
      </c>
      <c r="E148" s="1" t="n">
        <v>46224</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13358-2024</t>
        </is>
      </c>
      <c r="B149" t="inlineStr">
        <is>
          <t>avverkningsanmälan</t>
        </is>
      </c>
      <c r="C149" t="inlineStr">
        <is>
          <t>Föryngringsavverkning</t>
        </is>
      </c>
      <c r="D149" s="1" t="n">
        <v>45387</v>
      </c>
      <c r="E149" s="1" t="n">
        <v>46224</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28024-2026</t>
        </is>
      </c>
      <c r="B150" t="inlineStr">
        <is>
          <t>avverkningsanmälan</t>
        </is>
      </c>
      <c r="C150" t="inlineStr">
        <is>
          <t>Föryngringsavverkning</t>
        </is>
      </c>
      <c r="D150" s="1" t="n">
        <v>46195</v>
      </c>
      <c r="E150" s="1" t="n">
        <v>46224</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9052-2023</t>
        </is>
      </c>
      <c r="B151" t="inlineStr">
        <is>
          <t>avverkningsanmälan</t>
        </is>
      </c>
      <c r="C151" t="inlineStr">
        <is>
          <t>Avverkning för annat ändamål</t>
        </is>
      </c>
      <c r="D151" s="1" t="n">
        <v>44979</v>
      </c>
      <c r="E151" s="1" t="n">
        <v>46224</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12262-2023</t>
        </is>
      </c>
      <c r="B152" t="inlineStr">
        <is>
          <t>avverkningsanmälan</t>
        </is>
      </c>
      <c r="C152" t="inlineStr">
        <is>
          <t>Föryngringsavverkning</t>
        </is>
      </c>
      <c r="D152" s="1" t="n">
        <v>44998</v>
      </c>
      <c r="E152" s="1" t="n">
        <v>46224</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t="n">
        <v>1</v>
      </c>
      <c r="V152" s="2" t="inlineStr">
        <is>
          <t>Vårärt</t>
        </is>
      </c>
      <c r="W152">
        <f>HYPERLINK("https://klasma.github.io/Logging_0382/artfynd/A 12262-2023 artfynd.xlsx", "A 12262-2023")</f>
        <v/>
      </c>
      <c r="X152">
        <f>HYPERLINK("https://klasma.github.io/Logging_0382/kartor/A 12262-2023 karta.png", "A 12262-2023")</f>
        <v/>
      </c>
      <c r="Y152">
        <f>HYPERLINK("https://klasma.github.io/Logging_0382/kartor_geotiff/A 12262-2023 georefererad karta.tif", "A 12262-2023")</f>
        <v/>
      </c>
      <c r="AA152">
        <f>HYPERLINK("https://klasma.github.io/Logging_0382/klagomål/A 12262-2023 FSC-klagomål.docx", "A 12262-2023")</f>
        <v/>
      </c>
      <c r="AB152">
        <f>HYPERLINK("https://klasma.github.io/Logging_0382/klagomålsmail/A 12262-2023 FSC-klagomål mail.docx", "A 12262-2023")</f>
        <v/>
      </c>
      <c r="AC152">
        <f>HYPERLINK("https://klasma.github.io/Logging_0382/tillsyn/A 12262-2023 tillsynsbegäran.docx", "A 12262-2023")</f>
        <v/>
      </c>
      <c r="AD152">
        <f>HYPERLINK("https://klasma.github.io/Logging_0382/tillsynsmail/A 12262-2023 tillsynsbegäran mail.docx", "A 12262-2023")</f>
        <v/>
      </c>
    </row>
    <row r="153" ht="15" customHeight="1">
      <c r="A153" t="inlineStr">
        <is>
          <t>A 65989-2021</t>
        </is>
      </c>
      <c r="B153" t="inlineStr">
        <is>
          <t>avverkningsanmälan</t>
        </is>
      </c>
      <c r="C153" t="inlineStr">
        <is>
          <t>Föryngringsavverkning</t>
        </is>
      </c>
      <c r="D153" s="1" t="n">
        <v>44517</v>
      </c>
      <c r="E153" s="1" t="n">
        <v>46224</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22409-2026</t>
        </is>
      </c>
      <c r="B154" t="inlineStr">
        <is>
          <t>avverkningsanmälan</t>
        </is>
      </c>
      <c r="C154" t="inlineStr">
        <is>
          <t>Föryngringsavverkning</t>
        </is>
      </c>
      <c r="D154" s="1" t="n">
        <v>46154</v>
      </c>
      <c r="E154" s="1" t="n">
        <v>46224</v>
      </c>
      <c r="F154" t="inlineStr">
        <is>
          <t>UPPSALA LÄN</t>
        </is>
      </c>
      <c r="G154" t="inlineStr">
        <is>
          <t>ÖSTHAMMAR</t>
        </is>
      </c>
      <c r="H154" t="inlineStr">
        <is>
          <t>Övriga Aktiebolag</t>
        </is>
      </c>
      <c r="I154" t="n">
        <v>4.8</v>
      </c>
      <c r="J154" t="n">
        <v>0</v>
      </c>
      <c r="K154" t="n">
        <v>0</v>
      </c>
      <c r="L154" t="n">
        <v>1</v>
      </c>
      <c r="M154" t="n">
        <v>0</v>
      </c>
      <c r="N154" t="n">
        <v>0</v>
      </c>
      <c r="O154" t="n">
        <v>0</v>
      </c>
      <c r="P154" t="n">
        <v>0</v>
      </c>
      <c r="Q154" t="n">
        <v>1</v>
      </c>
      <c r="R154" t="n">
        <v>0</v>
      </c>
      <c r="S154" t="n">
        <v>1</v>
      </c>
      <c r="T154" t="n">
        <v>1</v>
      </c>
      <c r="U154" t="n">
        <v>0</v>
      </c>
      <c r="V154" s="2" t="inlineStr">
        <is>
          <t>Backklöver</t>
        </is>
      </c>
      <c r="W154">
        <f>HYPERLINK("https://klasma.github.io/Logging_0382/artfynd/A 22409-2026 artfynd.xlsx", "A 22409-2026")</f>
        <v/>
      </c>
      <c r="X154">
        <f>HYPERLINK("https://klasma.github.io/Logging_0382/kartor/A 22409-2026 karta.png", "A 22409-2026")</f>
        <v/>
      </c>
      <c r="Y154">
        <f>HYPERLINK("https://klasma.github.io/Logging_0382/kartor_geotiff/A 22409-2026 georefererad karta.tif", "A 22409-2026")</f>
        <v/>
      </c>
      <c r="AA154">
        <f>HYPERLINK("https://klasma.github.io/Logging_0382/klagomål/A 22409-2026 FSC-klagomål.docx", "A 22409-2026")</f>
        <v/>
      </c>
      <c r="AB154">
        <f>HYPERLINK("https://klasma.github.io/Logging_0382/klagomålsmail/A 22409-2026 FSC-klagomål mail.docx", "A 22409-2026")</f>
        <v/>
      </c>
      <c r="AC154">
        <f>HYPERLINK("https://klasma.github.io/Logging_0382/tillsyn/A 22409-2026 tillsynsbegäran.docx", "A 22409-2026")</f>
        <v/>
      </c>
      <c r="AD154">
        <f>HYPERLINK("https://klasma.github.io/Logging_0382/tillsynsmail/A 22409-2026 tillsynsbegäran mail.docx", "A 22409-2026")</f>
        <v/>
      </c>
    </row>
    <row r="155" ht="15" customHeight="1">
      <c r="A155" t="inlineStr">
        <is>
          <t>A 28046-2026</t>
        </is>
      </c>
      <c r="B155" t="inlineStr">
        <is>
          <t>avverkningsanmälan</t>
        </is>
      </c>
      <c r="C155" t="inlineStr">
        <is>
          <t>Föryngringsavverkning</t>
        </is>
      </c>
      <c r="D155" s="1" t="n">
        <v>46195</v>
      </c>
      <c r="E155" s="1" t="n">
        <v>46224</v>
      </c>
      <c r="F155" t="inlineStr">
        <is>
          <t>UPPSALA LÄN</t>
        </is>
      </c>
      <c r="G155" t="inlineStr">
        <is>
          <t>ÖSTHAMMAR</t>
        </is>
      </c>
      <c r="H155" t="inlineStr">
        <is>
          <t>Övriga Aktiebolag</t>
        </is>
      </c>
      <c r="I155" t="n">
        <v>21.2</v>
      </c>
      <c r="J155" t="n">
        <v>1</v>
      </c>
      <c r="K155" t="n">
        <v>0</v>
      </c>
      <c r="L155" t="n">
        <v>0</v>
      </c>
      <c r="M155" t="n">
        <v>1</v>
      </c>
      <c r="N155" t="n">
        <v>0</v>
      </c>
      <c r="O155" t="n">
        <v>0</v>
      </c>
      <c r="P155" t="n">
        <v>0</v>
      </c>
      <c r="Q155" t="n">
        <v>1</v>
      </c>
      <c r="R155" t="n">
        <v>1</v>
      </c>
      <c r="S155" t="n">
        <v>1</v>
      </c>
      <c r="T155" t="n">
        <v>1</v>
      </c>
      <c r="U155" t="n">
        <v>0</v>
      </c>
      <c r="V155" s="2" t="inlineStr">
        <is>
          <t>Hällebräcka</t>
        </is>
      </c>
      <c r="W155">
        <f>HYPERLINK("https://klasma.github.io/Logging_0382/artfynd/A 28046-2026 artfynd.xlsx", "A 28046-2026")</f>
        <v/>
      </c>
      <c r="X155">
        <f>HYPERLINK("https://klasma.github.io/Logging_0382/kartor/A 28046-2026 karta.png", "A 28046-2026")</f>
        <v/>
      </c>
      <c r="Y155">
        <f>HYPERLINK("https://klasma.github.io/Logging_0382/kartor_geotiff/A 28046-2026 georefererad karta.tif", "A 28046-2026")</f>
        <v/>
      </c>
      <c r="AA155">
        <f>HYPERLINK("https://klasma.github.io/Logging_0382/klagomål/A 28046-2026 FSC-klagomål.docx", "A 28046-2026")</f>
        <v/>
      </c>
      <c r="AB155">
        <f>HYPERLINK("https://klasma.github.io/Logging_0382/klagomålsmail/A 28046-2026 FSC-klagomål mail.docx", "A 28046-2026")</f>
        <v/>
      </c>
      <c r="AC155">
        <f>HYPERLINK("https://klasma.github.io/Logging_0382/tillsyn/A 28046-2026 tillsynsbegäran.docx", "A 28046-2026")</f>
        <v/>
      </c>
      <c r="AD155">
        <f>HYPERLINK("https://klasma.github.io/Logging_0382/tillsynsmail/A 28046-2026 tillsynsbegäran mail.docx", "A 28046-2026")</f>
        <v/>
      </c>
    </row>
    <row r="156" ht="15" customHeight="1">
      <c r="A156" t="inlineStr">
        <is>
          <t>A 24033-2023</t>
        </is>
      </c>
      <c r="B156" t="inlineStr">
        <is>
          <t>avverkningsanmälan</t>
        </is>
      </c>
      <c r="C156" t="inlineStr">
        <is>
          <t>Föryngringsavverkning</t>
        </is>
      </c>
      <c r="D156" s="1" t="n">
        <v>45078</v>
      </c>
      <c r="E156" s="1" t="n">
        <v>46224</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t="n">
        <v>0</v>
      </c>
      <c r="V156" s="2" t="inlineStr">
        <is>
          <t>Vattenfladdermus</t>
        </is>
      </c>
      <c r="W156">
        <f>HYPERLINK("https://klasma.github.io/Logging_0382/artfynd/A 24033-2023 artfynd.xlsx", "A 24033-2023")</f>
        <v/>
      </c>
      <c r="X156">
        <f>HYPERLINK("https://klasma.github.io/Logging_0382/kartor/A 24033-2023 karta.png", "A 24033-2023")</f>
        <v/>
      </c>
      <c r="Y156">
        <f>HYPERLINK("https://klasma.github.io/Logging_0382/kartor_geotiff/A 24033-2023 georefererad karta.tif", "A 24033-2023")</f>
        <v/>
      </c>
      <c r="AA156">
        <f>HYPERLINK("https://klasma.github.io/Logging_0382/klagomål/A 24033-2023 FSC-klagomål.docx", "A 24033-2023")</f>
        <v/>
      </c>
      <c r="AB156">
        <f>HYPERLINK("https://klasma.github.io/Logging_0382/klagomålsmail/A 24033-2023 FSC-klagomål mail.docx", "A 24033-2023")</f>
        <v/>
      </c>
      <c r="AC156">
        <f>HYPERLINK("https://klasma.github.io/Logging_0382/tillsyn/A 24033-2023 tillsynsbegäran.docx", "A 24033-2023")</f>
        <v/>
      </c>
      <c r="AD156">
        <f>HYPERLINK("https://klasma.github.io/Logging_0382/tillsynsmail/A 24033-2023 tillsynsbegäran mail.docx", "A 24033-2023")</f>
        <v/>
      </c>
    </row>
    <row r="157" ht="15" customHeight="1">
      <c r="A157" t="inlineStr">
        <is>
          <t>A 58270-2023</t>
        </is>
      </c>
      <c r="B157" t="inlineStr">
        <is>
          <t>avverkningsanmälan</t>
        </is>
      </c>
      <c r="C157" t="inlineStr">
        <is>
          <t>Föryngringsavverkning</t>
        </is>
      </c>
      <c r="D157" s="1" t="n">
        <v>45250</v>
      </c>
      <c r="E157" s="1" t="n">
        <v>46224</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30703-2026</t>
        </is>
      </c>
      <c r="B158" t="inlineStr">
        <is>
          <t>avverkningsanmälan</t>
        </is>
      </c>
      <c r="C158" t="inlineStr">
        <is>
          <t>Föryngringsavverkning</t>
        </is>
      </c>
      <c r="D158" s="1" t="n">
        <v>46211</v>
      </c>
      <c r="E158" s="1" t="n">
        <v>46224</v>
      </c>
      <c r="F158" t="inlineStr">
        <is>
          <t>UPPSALA LÄN</t>
        </is>
      </c>
      <c r="G158" t="inlineStr">
        <is>
          <t>ÖSTHAMMAR</t>
        </is>
      </c>
      <c r="H158" t="inlineStr">
        <is>
          <t>Bergvik skog öst AB</t>
        </is>
      </c>
      <c r="I158" t="n">
        <v>0.9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30703-2026 artfynd.xlsx", "A 30703-2026")</f>
        <v/>
      </c>
      <c r="X158">
        <f>HYPERLINK("https://klasma.github.io/Logging_0382/kartor/A 30703-2026 karta.png", "A 30703-2026")</f>
        <v/>
      </c>
      <c r="Y158">
        <f>HYPERLINK("https://klasma.github.io/Logging_0382/kartor_geotiff/A 30703-2026 georefererad karta.tif", "A 30703-2026")</f>
        <v/>
      </c>
      <c r="AA158">
        <f>HYPERLINK("https://klasma.github.io/Logging_0382/klagomål/A 30703-2026 FSC-klagomål.docx", "A 30703-2026")</f>
        <v/>
      </c>
      <c r="AB158">
        <f>HYPERLINK("https://klasma.github.io/Logging_0382/klagomålsmail/A 30703-2026 FSC-klagomål mail.docx", "A 30703-2026")</f>
        <v/>
      </c>
      <c r="AC158">
        <f>HYPERLINK("https://klasma.github.io/Logging_0382/tillsyn/A 30703-2026 tillsynsbegäran.docx", "A 30703-2026")</f>
        <v/>
      </c>
      <c r="AD158">
        <f>HYPERLINK("https://klasma.github.io/Logging_0382/tillsynsmail/A 30703-2026 tillsynsbegäran mail.docx", "A 30703-2026")</f>
        <v/>
      </c>
    </row>
    <row r="159" ht="15" customHeight="1">
      <c r="A159" t="inlineStr">
        <is>
          <t>A 30700-2026</t>
        </is>
      </c>
      <c r="B159" t="inlineStr">
        <is>
          <t>avverkningsanmälan</t>
        </is>
      </c>
      <c r="C159" t="inlineStr">
        <is>
          <t>Föryngringsavverkning</t>
        </is>
      </c>
      <c r="D159" s="1" t="n">
        <v>46211</v>
      </c>
      <c r="E159" s="1" t="n">
        <v>46224</v>
      </c>
      <c r="F159" t="inlineStr">
        <is>
          <t>UPPSALA LÄN</t>
        </is>
      </c>
      <c r="G159" t="inlineStr">
        <is>
          <t>ÖSTHAMMAR</t>
        </is>
      </c>
      <c r="H159" t="inlineStr">
        <is>
          <t>Bergvik skog öst AB</t>
        </is>
      </c>
      <c r="I159" t="n">
        <v>0.8</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30700-2026 artfynd.xlsx", "A 30700-2026")</f>
        <v/>
      </c>
      <c r="X159">
        <f>HYPERLINK("https://klasma.github.io/Logging_0382/kartor/A 30700-2026 karta.png", "A 30700-2026")</f>
        <v/>
      </c>
      <c r="Y159">
        <f>HYPERLINK("https://klasma.github.io/Logging_0382/kartor_geotiff/A 30700-2026 georefererad karta.tif", "A 30700-2026")</f>
        <v/>
      </c>
      <c r="AA159">
        <f>HYPERLINK("https://klasma.github.io/Logging_0382/klagomål/A 30700-2026 FSC-klagomål.docx", "A 30700-2026")</f>
        <v/>
      </c>
      <c r="AB159">
        <f>HYPERLINK("https://klasma.github.io/Logging_0382/klagomålsmail/A 30700-2026 FSC-klagomål mail.docx", "A 30700-2026")</f>
        <v/>
      </c>
      <c r="AC159">
        <f>HYPERLINK("https://klasma.github.io/Logging_0382/tillsyn/A 30700-2026 tillsynsbegäran.docx", "A 30700-2026")</f>
        <v/>
      </c>
      <c r="AD159">
        <f>HYPERLINK("https://klasma.github.io/Logging_0382/tillsynsmail/A 30700-2026 tillsynsbegäran mail.docx", "A 30700-2026")</f>
        <v/>
      </c>
    </row>
    <row r="160" ht="15" customHeight="1">
      <c r="A160" t="inlineStr">
        <is>
          <t>A 13755-2023</t>
        </is>
      </c>
      <c r="B160" t="inlineStr">
        <is>
          <t>avverkningsanmälan</t>
        </is>
      </c>
      <c r="C160" t="inlineStr">
        <is>
          <t>Föryngringsavverkning</t>
        </is>
      </c>
      <c r="D160" s="1" t="n">
        <v>45007</v>
      </c>
      <c r="E160" s="1" t="n">
        <v>46224</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46224</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61574-2025</t>
        </is>
      </c>
      <c r="B162" t="inlineStr">
        <is>
          <t>avverkningsanmälan</t>
        </is>
      </c>
      <c r="C162" t="inlineStr">
        <is>
          <t>Föryngringsavverkning</t>
        </is>
      </c>
      <c r="D162" s="1" t="n">
        <v>46002</v>
      </c>
      <c r="E162" s="1" t="n">
        <v>46224</v>
      </c>
      <c r="F162" t="inlineStr">
        <is>
          <t>UPPSALA LÄN</t>
        </is>
      </c>
      <c r="G162" t="inlineStr">
        <is>
          <t>ÖSTHAMMAR</t>
        </is>
      </c>
      <c r="H162" t="inlineStr">
        <is>
          <t>Övriga Aktiebolag</t>
        </is>
      </c>
      <c r="I162" t="n">
        <v>16.6</v>
      </c>
      <c r="J162" t="n">
        <v>1</v>
      </c>
      <c r="K162" t="n">
        <v>0</v>
      </c>
      <c r="L162" t="n">
        <v>0</v>
      </c>
      <c r="M162" t="n">
        <v>1</v>
      </c>
      <c r="N162" t="n">
        <v>0</v>
      </c>
      <c r="O162" t="n">
        <v>0</v>
      </c>
      <c r="P162" t="n">
        <v>0</v>
      </c>
      <c r="Q162" t="n">
        <v>1</v>
      </c>
      <c r="R162" t="n">
        <v>1</v>
      </c>
      <c r="S162" t="n">
        <v>1</v>
      </c>
      <c r="T162" t="n">
        <v>4</v>
      </c>
      <c r="U162" t="n">
        <v>0</v>
      </c>
      <c r="V162" s="2" t="inlineStr">
        <is>
          <t>Hällebräcka</t>
        </is>
      </c>
      <c r="W162">
        <f>HYPERLINK("https://klasma.github.io/Logging_0382/artfynd/A 61574-2025 artfynd.xlsx", "A 61574-2025")</f>
        <v/>
      </c>
      <c r="X162">
        <f>HYPERLINK("https://klasma.github.io/Logging_0382/kartor/A 61574-2025 karta.png", "A 61574-2025")</f>
        <v/>
      </c>
      <c r="Y162">
        <f>HYPERLINK("https://klasma.github.io/Logging_0382/kartor_geotiff/A 61574-2025 georefererad karta.tif", "A 61574-2025")</f>
        <v/>
      </c>
      <c r="AA162">
        <f>HYPERLINK("https://klasma.github.io/Logging_0382/klagomål/A 61574-2025 FSC-klagomål.docx", "A 61574-2025")</f>
        <v/>
      </c>
      <c r="AB162">
        <f>HYPERLINK("https://klasma.github.io/Logging_0382/klagomålsmail/A 61574-2025 FSC-klagomål mail.docx", "A 61574-2025")</f>
        <v/>
      </c>
      <c r="AC162">
        <f>HYPERLINK("https://klasma.github.io/Logging_0382/tillsyn/A 61574-2025 tillsynsbegäran.docx", "A 61574-2025")</f>
        <v/>
      </c>
      <c r="AD162">
        <f>HYPERLINK("https://klasma.github.io/Logging_0382/tillsynsmail/A 61574-2025 tillsynsbegäran mail.docx", "A 61574-2025")</f>
        <v/>
      </c>
    </row>
    <row r="163" ht="15" customHeight="1">
      <c r="A163" t="inlineStr">
        <is>
          <t>A 32483-2024</t>
        </is>
      </c>
      <c r="B163" t="inlineStr">
        <is>
          <t>avverkningsanmälan</t>
        </is>
      </c>
      <c r="C163" t="inlineStr">
        <is>
          <t>Föryngringsavverkning</t>
        </is>
      </c>
      <c r="D163" s="1" t="n">
        <v>45513</v>
      </c>
      <c r="E163" s="1" t="n">
        <v>46224</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1922-2023</t>
        </is>
      </c>
      <c r="B164" t="inlineStr">
        <is>
          <t>samrådsanmälan</t>
        </is>
      </c>
      <c r="C164" t="inlineStr">
        <is>
          <t>Annan skogsbruksåtgärd</t>
        </is>
      </c>
      <c r="D164" s="1" t="n">
        <v>45078</v>
      </c>
      <c r="E164" s="1" t="n">
        <v>46224</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46224</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46224</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46224</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46224</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46224</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46224</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46224</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46224</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46224</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46224</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46224</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46224</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46224</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46224</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46224</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46224</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46224</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46224</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15847-2022</t>
        </is>
      </c>
      <c r="B183" t="inlineStr">
        <is>
          <t>avverkningsanmälan</t>
        </is>
      </c>
      <c r="C183" t="inlineStr">
        <is>
          <t>Föryngringsavverkning</t>
        </is>
      </c>
      <c r="D183" s="1" t="n">
        <v>44664</v>
      </c>
      <c r="E183" s="1" t="n">
        <v>46224</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14271-2022</t>
        </is>
      </c>
      <c r="B184" t="inlineStr">
        <is>
          <t>avverkningsanmälan</t>
        </is>
      </c>
      <c r="C184" t="inlineStr">
        <is>
          <t>Föryngringsavverkning</t>
        </is>
      </c>
      <c r="D184" s="1" t="n">
        <v>44651</v>
      </c>
      <c r="E184" s="1" t="n">
        <v>46224</v>
      </c>
      <c r="F184" t="inlineStr">
        <is>
          <t>UPPSALA LÄN</t>
        </is>
      </c>
      <c r="G184" t="inlineStr">
        <is>
          <t>ÖSTHAMMAR</t>
        </is>
      </c>
      <c r="H184" t="inlineStr">
        <is>
          <t>Bergvik skog öst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46224</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46224</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46224</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46224</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46224</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46224</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46224</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46224</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46224</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46224</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46224</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46224</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46224</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46224</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46224</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46224</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46224</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46224</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46224</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46224</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46224</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46224</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46224</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46224</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46224</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46224</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46224</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46224</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30209-2022</t>
        </is>
      </c>
      <c r="B214" t="inlineStr">
        <is>
          <t>avverkningsanmälan</t>
        </is>
      </c>
      <c r="C214" t="inlineStr">
        <is>
          <t>Föryngringsavverkning</t>
        </is>
      </c>
      <c r="D214" s="1" t="n">
        <v>44757</v>
      </c>
      <c r="E214" s="1" t="n">
        <v>46224</v>
      </c>
      <c r="F214" t="inlineStr">
        <is>
          <t>UPPSALA LÄN</t>
        </is>
      </c>
      <c r="G214" t="inlineStr">
        <is>
          <t>ÖSTHAMMAR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46224</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46224</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46224</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46224</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46224</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46224</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46224</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46224</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46224</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46224</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46224</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46224</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46224</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46224</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46224</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46224</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46224</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46224</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46224</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46224</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46224</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46224</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46224</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46224</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46224</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46224</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46224</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46224</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46224</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46224</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48719-2023</t>
        </is>
      </c>
      <c r="B245" t="inlineStr">
        <is>
          <t>avverkningsanmälan</t>
        </is>
      </c>
      <c r="C245" t="inlineStr">
        <is>
          <t>Föryngringsavverkning</t>
        </is>
      </c>
      <c r="D245" s="1" t="n">
        <v>45208</v>
      </c>
      <c r="E245" s="1" t="n">
        <v>46224</v>
      </c>
      <c r="F245" t="inlineStr">
        <is>
          <t>UPPSALA LÄN</t>
        </is>
      </c>
      <c r="G245" t="inlineStr">
        <is>
          <t>ÖSTHAMMAR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31574-2022</t>
        </is>
      </c>
      <c r="B246" t="inlineStr">
        <is>
          <t>avverkningsanmälan</t>
        </is>
      </c>
      <c r="C246" t="inlineStr">
        <is>
          <t>Föryngringsavverkning</t>
        </is>
      </c>
      <c r="D246" s="1" t="n">
        <v>44775</v>
      </c>
      <c r="E246" s="1" t="n">
        <v>46224</v>
      </c>
      <c r="F246" t="inlineStr">
        <is>
          <t>UPPSALA LÄN</t>
        </is>
      </c>
      <c r="G246" t="inlineStr">
        <is>
          <t>ÖSTHAMMAR</t>
        </is>
      </c>
      <c r="I246" t="n">
        <v>29.7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55086-2024</t>
        </is>
      </c>
      <c r="B247" t="inlineStr">
        <is>
          <t>avverkningsanmälan</t>
        </is>
      </c>
      <c r="C247" t="inlineStr">
        <is>
          <t>Föryngringsavverkning</t>
        </is>
      </c>
      <c r="D247" s="1" t="n">
        <v>45621</v>
      </c>
      <c r="E247" s="1" t="n">
        <v>46224</v>
      </c>
      <c r="F247" t="inlineStr">
        <is>
          <t>UPPSALA LÄN</t>
        </is>
      </c>
      <c r="G247" t="inlineStr">
        <is>
          <t>ÖSTHAMMAR</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62695-2023</t>
        </is>
      </c>
      <c r="B248" t="inlineStr">
        <is>
          <t>avverkningsanmälan</t>
        </is>
      </c>
      <c r="C248" t="inlineStr">
        <is>
          <t>Föryngringsavverkning</t>
        </is>
      </c>
      <c r="D248" s="1" t="n">
        <v>45271</v>
      </c>
      <c r="E248" s="1" t="n">
        <v>46224</v>
      </c>
      <c r="F248" t="inlineStr">
        <is>
          <t>UPPSALA LÄN</t>
        </is>
      </c>
      <c r="G248" t="inlineStr">
        <is>
          <t>ÖSTHAMMAR</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46224</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46224</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4559-2022</t>
        </is>
      </c>
      <c r="B251" t="inlineStr">
        <is>
          <t>avverkningsanmälan</t>
        </is>
      </c>
      <c r="C251" t="inlineStr">
        <is>
          <t>Föryngringsavverkning</t>
        </is>
      </c>
      <c r="D251" s="1" t="n">
        <v>44591</v>
      </c>
      <c r="E251" s="1" t="n">
        <v>46224</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20046-2023</t>
        </is>
      </c>
      <c r="B252" t="inlineStr">
        <is>
          <t>avverkningsanmälan</t>
        </is>
      </c>
      <c r="C252" t="inlineStr">
        <is>
          <t>Avverkning för annat ändamål</t>
        </is>
      </c>
      <c r="D252" s="1" t="n">
        <v>45054</v>
      </c>
      <c r="E252" s="1" t="n">
        <v>46224</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29753-2022</t>
        </is>
      </c>
      <c r="B253" t="inlineStr">
        <is>
          <t>avverkningsanmälan</t>
        </is>
      </c>
      <c r="C253" t="inlineStr">
        <is>
          <t>Föryngringsavverkning</t>
        </is>
      </c>
      <c r="D253" s="1" t="n">
        <v>44755</v>
      </c>
      <c r="E253" s="1" t="n">
        <v>46224</v>
      </c>
      <c r="F253" t="inlineStr">
        <is>
          <t>UPPSALA LÄN</t>
        </is>
      </c>
      <c r="G253" t="inlineStr">
        <is>
          <t>ÖSTHAMMAR</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46224</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32742-2022</t>
        </is>
      </c>
      <c r="B255" t="inlineStr">
        <is>
          <t>avverkningsanmälan</t>
        </is>
      </c>
      <c r="C255" t="inlineStr">
        <is>
          <t>Föryngringsavverkning</t>
        </is>
      </c>
      <c r="D255" s="1" t="n">
        <v>44783</v>
      </c>
      <c r="E255" s="1" t="n">
        <v>46224</v>
      </c>
      <c r="F255" t="inlineStr">
        <is>
          <t>UPPSALA LÄN</t>
        </is>
      </c>
      <c r="G255" t="inlineStr">
        <is>
          <t>ÖSTHAMMAR</t>
        </is>
      </c>
      <c r="H255" t="inlineStr">
        <is>
          <t>Bergvik skog öst AB</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49833-2023</t>
        </is>
      </c>
      <c r="B256" t="inlineStr">
        <is>
          <t>avverkningsanmälan</t>
        </is>
      </c>
      <c r="C256" t="inlineStr">
        <is>
          <t>Föryngringsavverkning</t>
        </is>
      </c>
      <c r="D256" s="1" t="n">
        <v>45212</v>
      </c>
      <c r="E256" s="1" t="n">
        <v>46224</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46224</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46224</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46224</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46224</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46224</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46224</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43685-2024</t>
        </is>
      </c>
      <c r="B263" t="inlineStr">
        <is>
          <t>avverkningsanmälan</t>
        </is>
      </c>
      <c r="C263" t="inlineStr">
        <is>
          <t>Föryngringsavverkning</t>
        </is>
      </c>
      <c r="D263" s="1" t="n">
        <v>45569</v>
      </c>
      <c r="E263" s="1" t="n">
        <v>46224</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44796-2024</t>
        </is>
      </c>
      <c r="B264" t="inlineStr">
        <is>
          <t>avverkningsanmälan</t>
        </is>
      </c>
      <c r="C264" t="inlineStr">
        <is>
          <t>Avverkning för annat ändamål</t>
        </is>
      </c>
      <c r="D264" s="1" t="n">
        <v>45574</v>
      </c>
      <c r="E264" s="1" t="n">
        <v>46224</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44027-2024</t>
        </is>
      </c>
      <c r="B265" t="inlineStr">
        <is>
          <t>avverkningsanmälan</t>
        </is>
      </c>
      <c r="C265" t="inlineStr">
        <is>
          <t>Föryngringsavverkning</t>
        </is>
      </c>
      <c r="D265" s="1" t="n">
        <v>45572</v>
      </c>
      <c r="E265" s="1" t="n">
        <v>46224</v>
      </c>
      <c r="F265" t="inlineStr">
        <is>
          <t>UPPSALA LÄN</t>
        </is>
      </c>
      <c r="G265" t="inlineStr">
        <is>
          <t>ÖSTHAMMAR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31479-2023</t>
        </is>
      </c>
      <c r="B266" t="inlineStr">
        <is>
          <t>avverkningsanmälan</t>
        </is>
      </c>
      <c r="C266" t="inlineStr">
        <is>
          <t>Föryngringsavverkning</t>
        </is>
      </c>
      <c r="D266" s="1" t="n">
        <v>45114</v>
      </c>
      <c r="E266" s="1" t="n">
        <v>46224</v>
      </c>
      <c r="F266" t="inlineStr">
        <is>
          <t>UPPSALA LÄN</t>
        </is>
      </c>
      <c r="G266" t="inlineStr">
        <is>
          <t>ÖSTHAMMAR</t>
        </is>
      </c>
      <c r="H266" t="inlineStr">
        <is>
          <t>Bergvik skog öst AB</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5931-2022</t>
        </is>
      </c>
      <c r="B267" t="inlineStr">
        <is>
          <t>avverkningsanmälan</t>
        </is>
      </c>
      <c r="C267" t="inlineStr">
        <is>
          <t>Föryngringsavverkning</t>
        </is>
      </c>
      <c r="D267" s="1" t="n">
        <v>44598</v>
      </c>
      <c r="E267" s="1" t="n">
        <v>46224</v>
      </c>
      <c r="F267" t="inlineStr">
        <is>
          <t>UPPSALA LÄN</t>
        </is>
      </c>
      <c r="G267" t="inlineStr">
        <is>
          <t>ÖSTHAMMAR</t>
        </is>
      </c>
      <c r="H267" t="inlineStr">
        <is>
          <t>Bergvik skog öst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74436-2021</t>
        </is>
      </c>
      <c r="B268" t="inlineStr">
        <is>
          <t>avverkningsanmälan</t>
        </is>
      </c>
      <c r="C268" t="inlineStr">
        <is>
          <t>Föryngringsavverkning</t>
        </is>
      </c>
      <c r="D268" s="1" t="n">
        <v>44560</v>
      </c>
      <c r="E268" s="1" t="n">
        <v>46224</v>
      </c>
      <c r="F268" t="inlineStr">
        <is>
          <t>UPPSALA LÄN</t>
        </is>
      </c>
      <c r="G268" t="inlineStr">
        <is>
          <t>ÖSTHAMMAR</t>
        </is>
      </c>
      <c r="H268" t="inlineStr">
        <is>
          <t>Bergvik skog öst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61838-2025</t>
        </is>
      </c>
      <c r="B269" t="inlineStr">
        <is>
          <t>avverkningsanmälan</t>
        </is>
      </c>
      <c r="C269" t="inlineStr">
        <is>
          <t>Föryngringsavverkning</t>
        </is>
      </c>
      <c r="D269" s="1" t="n">
        <v>46003</v>
      </c>
      <c r="E269" s="1" t="n">
        <v>46224</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43683-2024</t>
        </is>
      </c>
      <c r="B270" t="inlineStr">
        <is>
          <t>avverkningsanmälan</t>
        </is>
      </c>
      <c r="C270" t="inlineStr">
        <is>
          <t>Föryngringsavverkning</t>
        </is>
      </c>
      <c r="D270" s="1" t="n">
        <v>45569</v>
      </c>
      <c r="E270" s="1" t="n">
        <v>46224</v>
      </c>
      <c r="F270" t="inlineStr">
        <is>
          <t>UPPSALA LÄN</t>
        </is>
      </c>
      <c r="G270" t="inlineStr">
        <is>
          <t>ÖSTHAMMAR</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43993-2024</t>
        </is>
      </c>
      <c r="B271" t="inlineStr">
        <is>
          <t>avverkningsanmälan</t>
        </is>
      </c>
      <c r="C271" t="inlineStr">
        <is>
          <t>Föryngringsavverkning</t>
        </is>
      </c>
      <c r="D271" s="1" t="n">
        <v>45572</v>
      </c>
      <c r="E271" s="1" t="n">
        <v>46224</v>
      </c>
      <c r="F271" t="inlineStr">
        <is>
          <t>UPPSALA LÄN</t>
        </is>
      </c>
      <c r="G271" t="inlineStr">
        <is>
          <t>ÖSTHAMMAR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59291-2023</t>
        </is>
      </c>
      <c r="B272" t="inlineStr">
        <is>
          <t>avverkningsanmälan</t>
        </is>
      </c>
      <c r="C272" t="inlineStr">
        <is>
          <t>Föryngringsavverkning</t>
        </is>
      </c>
      <c r="D272" s="1" t="n">
        <v>45253</v>
      </c>
      <c r="E272" s="1" t="n">
        <v>46224</v>
      </c>
      <c r="F272" t="inlineStr">
        <is>
          <t>UPPSALA LÄN</t>
        </is>
      </c>
      <c r="G272" t="inlineStr">
        <is>
          <t>ÖSTHAMMAR</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21522-2022</t>
        </is>
      </c>
      <c r="B273" t="inlineStr">
        <is>
          <t>avverkningsanmälan</t>
        </is>
      </c>
      <c r="C273" t="inlineStr">
        <is>
          <t>Föryngringsavverkning</t>
        </is>
      </c>
      <c r="D273" s="1" t="n">
        <v>44706</v>
      </c>
      <c r="E273" s="1" t="n">
        <v>46224</v>
      </c>
      <c r="F273" t="inlineStr">
        <is>
          <t>UPPSALA LÄN</t>
        </is>
      </c>
      <c r="G273" t="inlineStr">
        <is>
          <t>ÖSTHAMMAR</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35474-2023</t>
        </is>
      </c>
      <c r="B274" t="inlineStr">
        <is>
          <t>avverkningsanmälan</t>
        </is>
      </c>
      <c r="C274" t="inlineStr">
        <is>
          <t>Föryngringsavverkning</t>
        </is>
      </c>
      <c r="D274" s="1" t="n">
        <v>45146</v>
      </c>
      <c r="E274" s="1" t="n">
        <v>46224</v>
      </c>
      <c r="F274" t="inlineStr">
        <is>
          <t>UPPSALA LÄN</t>
        </is>
      </c>
      <c r="G274" t="inlineStr">
        <is>
          <t>ÖSTHAMMAR</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31035-2022</t>
        </is>
      </c>
      <c r="B275" t="inlineStr">
        <is>
          <t>avverkningsanmälan</t>
        </is>
      </c>
      <c r="C275" t="inlineStr">
        <is>
          <t>Föryngringsavverkning</t>
        </is>
      </c>
      <c r="D275" s="1" t="n">
        <v>44768</v>
      </c>
      <c r="E275" s="1" t="n">
        <v>46224</v>
      </c>
      <c r="F275" t="inlineStr">
        <is>
          <t>UPPSALA LÄN</t>
        </is>
      </c>
      <c r="G275" t="inlineStr">
        <is>
          <t>ÖSTHAMMAR</t>
        </is>
      </c>
      <c r="H275" t="inlineStr">
        <is>
          <t>Bergvik skog öst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14124-2022</t>
        </is>
      </c>
      <c r="B276" t="inlineStr">
        <is>
          <t>avverkningsanmälan</t>
        </is>
      </c>
      <c r="C276" t="inlineStr">
        <is>
          <t>Föryngringsavverkning</t>
        </is>
      </c>
      <c r="D276" s="1" t="n">
        <v>44651</v>
      </c>
      <c r="E276" s="1" t="n">
        <v>46224</v>
      </c>
      <c r="F276" t="inlineStr">
        <is>
          <t>UPPSALA LÄN</t>
        </is>
      </c>
      <c r="G276" t="inlineStr">
        <is>
          <t>ÖSTHAMMAR</t>
        </is>
      </c>
      <c r="H276" t="inlineStr">
        <is>
          <t>Bergvik skog öst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58324-2023</t>
        </is>
      </c>
      <c r="B277" t="inlineStr">
        <is>
          <t>avverkningsanmälan</t>
        </is>
      </c>
      <c r="C277" t="inlineStr">
        <is>
          <t>Föryngringsavverkning</t>
        </is>
      </c>
      <c r="D277" s="1" t="n">
        <v>45250</v>
      </c>
      <c r="E277" s="1" t="n">
        <v>46224</v>
      </c>
      <c r="F277" t="inlineStr">
        <is>
          <t>UPPSALA LÄN</t>
        </is>
      </c>
      <c r="G277" t="inlineStr">
        <is>
          <t>ÖSTHAMMAR</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1584-2025</t>
        </is>
      </c>
      <c r="B278" t="inlineStr">
        <is>
          <t>avverkningsanmälan</t>
        </is>
      </c>
      <c r="C278" t="inlineStr">
        <is>
          <t>Föryngringsavverkning</t>
        </is>
      </c>
      <c r="D278" s="1" t="n">
        <v>45670</v>
      </c>
      <c r="E278" s="1" t="n">
        <v>46224</v>
      </c>
      <c r="F278" t="inlineStr">
        <is>
          <t>UPPSALA LÄN</t>
        </is>
      </c>
      <c r="G278" t="inlineStr">
        <is>
          <t>ÖSTHAMMAR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30972-2024</t>
        </is>
      </c>
      <c r="B279" t="inlineStr">
        <is>
          <t>avverkningsanmälan</t>
        </is>
      </c>
      <c r="C279" t="inlineStr">
        <is>
          <t>Föryngringsavverkning</t>
        </is>
      </c>
      <c r="D279" s="1" t="n">
        <v>45499</v>
      </c>
      <c r="E279" s="1" t="n">
        <v>46224</v>
      </c>
      <c r="F279" t="inlineStr">
        <is>
          <t>UPPSALA LÄN</t>
        </is>
      </c>
      <c r="G279" t="inlineStr">
        <is>
          <t>ÖSTHAMMAR</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24160-2024</t>
        </is>
      </c>
      <c r="B280" t="inlineStr">
        <is>
          <t>avverkningsanmälan</t>
        </is>
      </c>
      <c r="C280" t="inlineStr">
        <is>
          <t>Föryngringsavverkning</t>
        </is>
      </c>
      <c r="D280" s="1" t="n">
        <v>45456</v>
      </c>
      <c r="E280" s="1" t="n">
        <v>46224</v>
      </c>
      <c r="F280" t="inlineStr">
        <is>
          <t>UPPSALA LÄN</t>
        </is>
      </c>
      <c r="G280" t="inlineStr">
        <is>
          <t>ÖSTHAMMAR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24415-2025</t>
        </is>
      </c>
      <c r="B281" t="inlineStr">
        <is>
          <t>avverkningsanmälan</t>
        </is>
      </c>
      <c r="C281" t="inlineStr">
        <is>
          <t>Föryngringsavverkning</t>
        </is>
      </c>
      <c r="D281" s="1" t="n">
        <v>45797</v>
      </c>
      <c r="E281" s="1" t="n">
        <v>46224</v>
      </c>
      <c r="F281" t="inlineStr">
        <is>
          <t>UPPSALA LÄN</t>
        </is>
      </c>
      <c r="G281" t="inlineStr">
        <is>
          <t>ÖSTHAMMAR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49097-2022</t>
        </is>
      </c>
      <c r="B282" t="inlineStr">
        <is>
          <t>avverkningsanmälan</t>
        </is>
      </c>
      <c r="C282" t="inlineStr">
        <is>
          <t>Föryngringsavverkning</t>
        </is>
      </c>
      <c r="D282" s="1" t="n">
        <v>44860</v>
      </c>
      <c r="E282" s="1" t="n">
        <v>46224</v>
      </c>
      <c r="F282" t="inlineStr">
        <is>
          <t>UPPSALA LÄN</t>
        </is>
      </c>
      <c r="G282" t="inlineStr">
        <is>
          <t>ÖSTHAMMAR</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62745-2025</t>
        </is>
      </c>
      <c r="B283" t="inlineStr">
        <is>
          <t>avverkningsanmälan</t>
        </is>
      </c>
      <c r="C283" t="inlineStr">
        <is>
          <t>Föryngringsavverkning</t>
        </is>
      </c>
      <c r="D283" s="1" t="n">
        <v>46008</v>
      </c>
      <c r="E283" s="1" t="n">
        <v>46224</v>
      </c>
      <c r="F283" t="inlineStr">
        <is>
          <t>UPPSALA LÄN</t>
        </is>
      </c>
      <c r="G283" t="inlineStr">
        <is>
          <t>ÖSTHAMMAR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10449-2023</t>
        </is>
      </c>
      <c r="B284" t="inlineStr">
        <is>
          <t>avverkningsanmälan</t>
        </is>
      </c>
      <c r="C284" t="inlineStr">
        <is>
          <t>Föryngringsavverkning</t>
        </is>
      </c>
      <c r="D284" s="1" t="n">
        <v>44987</v>
      </c>
      <c r="E284" s="1" t="n">
        <v>46224</v>
      </c>
      <c r="F284" t="inlineStr">
        <is>
          <t>UPPSALA LÄN</t>
        </is>
      </c>
      <c r="G284" t="inlineStr">
        <is>
          <t>ÖSTHAMMAR</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53735-2023</t>
        </is>
      </c>
      <c r="B285" t="inlineStr">
        <is>
          <t>avverkningsanmälan</t>
        </is>
      </c>
      <c r="C285" t="inlineStr">
        <is>
          <t>Föryngringsavverkning</t>
        </is>
      </c>
      <c r="D285" s="1" t="n">
        <v>45230</v>
      </c>
      <c r="E285" s="1" t="n">
        <v>46224</v>
      </c>
      <c r="F285" t="inlineStr">
        <is>
          <t>UPPSALA LÄN</t>
        </is>
      </c>
      <c r="G285" t="inlineStr">
        <is>
          <t>ÖSTHAMMAR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38702-2022</t>
        </is>
      </c>
      <c r="B286" t="inlineStr">
        <is>
          <t>avverkningsanmälan</t>
        </is>
      </c>
      <c r="C286" t="inlineStr">
        <is>
          <t>Föryngringsavverkning</t>
        </is>
      </c>
      <c r="D286" s="1" t="n">
        <v>44814</v>
      </c>
      <c r="E286" s="1" t="n">
        <v>46224</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1575-2025</t>
        </is>
      </c>
      <c r="B287" t="inlineStr">
        <is>
          <t>avverkningsanmälan</t>
        </is>
      </c>
      <c r="C287" t="inlineStr">
        <is>
          <t>Avverkning för annat ändamål</t>
        </is>
      </c>
      <c r="D287" s="1" t="n">
        <v>45670</v>
      </c>
      <c r="E287" s="1" t="n">
        <v>46224</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12945-2025</t>
        </is>
      </c>
      <c r="B288" t="inlineStr">
        <is>
          <t>avverkningsanmälan</t>
        </is>
      </c>
      <c r="C288" t="inlineStr">
        <is>
          <t>Föryngringsavverkning</t>
        </is>
      </c>
      <c r="D288" s="1" t="n">
        <v>45734</v>
      </c>
      <c r="E288" s="1" t="n">
        <v>46224</v>
      </c>
      <c r="F288" t="inlineStr">
        <is>
          <t>UPPSALA LÄN</t>
        </is>
      </c>
      <c r="G288" t="inlineStr">
        <is>
          <t>ÖSTHAMMAR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34185-2024</t>
        </is>
      </c>
      <c r="B289" t="inlineStr">
        <is>
          <t>avverkningsanmälan</t>
        </is>
      </c>
      <c r="C289" t="inlineStr">
        <is>
          <t>Föryngringsavverkning</t>
        </is>
      </c>
      <c r="D289" s="1" t="n">
        <v>45524</v>
      </c>
      <c r="E289" s="1" t="n">
        <v>46224</v>
      </c>
      <c r="F289" t="inlineStr">
        <is>
          <t>UPPSALA LÄN</t>
        </is>
      </c>
      <c r="G289" t="inlineStr">
        <is>
          <t>ÖSTHAMMAR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40384-2025</t>
        </is>
      </c>
      <c r="B290" t="inlineStr">
        <is>
          <t>avverkningsanmälan</t>
        </is>
      </c>
      <c r="C290" t="inlineStr">
        <is>
          <t>Föryngringsavverkning</t>
        </is>
      </c>
      <c r="D290" s="1" t="n">
        <v>45895</v>
      </c>
      <c r="E290" s="1" t="n">
        <v>46224</v>
      </c>
      <c r="F290" t="inlineStr">
        <is>
          <t>UPPSALA LÄN</t>
        </is>
      </c>
      <c r="G290" t="inlineStr">
        <is>
          <t>ÖSTHAMMAR</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40382-2025</t>
        </is>
      </c>
      <c r="B291" t="inlineStr">
        <is>
          <t>avverkningsanmälan</t>
        </is>
      </c>
      <c r="C291" t="inlineStr">
        <is>
          <t>Föryngringsavverkning</t>
        </is>
      </c>
      <c r="D291" s="1" t="n">
        <v>45895</v>
      </c>
      <c r="E291" s="1" t="n">
        <v>46224</v>
      </c>
      <c r="F291" t="inlineStr">
        <is>
          <t>UPPSALA LÄN</t>
        </is>
      </c>
      <c r="G291" t="inlineStr">
        <is>
          <t>ÖSTHAMMAR</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40460-2025</t>
        </is>
      </c>
      <c r="B292" t="inlineStr">
        <is>
          <t>avverkningsanmälan</t>
        </is>
      </c>
      <c r="C292" t="inlineStr">
        <is>
          <t>Föryngringsavverkning</t>
        </is>
      </c>
      <c r="D292" s="1" t="n">
        <v>45895</v>
      </c>
      <c r="E292" s="1" t="n">
        <v>46224</v>
      </c>
      <c r="F292" t="inlineStr">
        <is>
          <t>UPPSALA LÄN</t>
        </is>
      </c>
      <c r="G292" t="inlineStr">
        <is>
          <t>ÖSTHAMMAR</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40462-2025</t>
        </is>
      </c>
      <c r="B293" t="inlineStr">
        <is>
          <t>avverkningsanmälan</t>
        </is>
      </c>
      <c r="C293" t="inlineStr">
        <is>
          <t>Föryngringsavverkning</t>
        </is>
      </c>
      <c r="D293" s="1" t="n">
        <v>45895</v>
      </c>
      <c r="E293" s="1" t="n">
        <v>46224</v>
      </c>
      <c r="F293" t="inlineStr">
        <is>
          <t>UPPSALA LÄN</t>
        </is>
      </c>
      <c r="G293" t="inlineStr">
        <is>
          <t>ÖSTHAMMAR</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16089-2025</t>
        </is>
      </c>
      <c r="B294" t="inlineStr">
        <is>
          <t>avverkningsanmälan</t>
        </is>
      </c>
      <c r="C294" t="inlineStr">
        <is>
          <t>Föryngringsavverkning</t>
        </is>
      </c>
      <c r="D294" s="1" t="n">
        <v>45749</v>
      </c>
      <c r="E294" s="1" t="n">
        <v>46224</v>
      </c>
      <c r="F294" t="inlineStr">
        <is>
          <t>UPPSALA LÄN</t>
        </is>
      </c>
      <c r="G294" t="inlineStr">
        <is>
          <t>ÖSTHAMMAR</t>
        </is>
      </c>
      <c r="H294" t="inlineStr">
        <is>
          <t>Bergvik skog öst AB</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40416-2025</t>
        </is>
      </c>
      <c r="B295" t="inlineStr">
        <is>
          <t>avverkningsanmälan</t>
        </is>
      </c>
      <c r="C295" t="inlineStr">
        <is>
          <t>Föryngringsavverkning</t>
        </is>
      </c>
      <c r="D295" s="1" t="n">
        <v>45895</v>
      </c>
      <c r="E295" s="1" t="n">
        <v>46224</v>
      </c>
      <c r="F295" t="inlineStr">
        <is>
          <t>UPPSALA LÄN</t>
        </is>
      </c>
      <c r="G295" t="inlineStr">
        <is>
          <t>ÖSTHAMMAR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14170-2025</t>
        </is>
      </c>
      <c r="B296" t="inlineStr">
        <is>
          <t>avverkningsanmälan</t>
        </is>
      </c>
      <c r="C296" t="inlineStr">
        <is>
          <t>Föryngringsavverkning</t>
        </is>
      </c>
      <c r="D296" s="1" t="n">
        <v>45740</v>
      </c>
      <c r="E296" s="1" t="n">
        <v>46224</v>
      </c>
      <c r="F296" t="inlineStr">
        <is>
          <t>UPPSALA LÄN</t>
        </is>
      </c>
      <c r="G296" t="inlineStr">
        <is>
          <t>ÖSTHAMMAR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58297-2024</t>
        </is>
      </c>
      <c r="B297" t="inlineStr">
        <is>
          <t>avverkningsanmälan</t>
        </is>
      </c>
      <c r="C297" t="inlineStr">
        <is>
          <t>Föryngringsavverkning</t>
        </is>
      </c>
      <c r="D297" s="1" t="n">
        <v>45632</v>
      </c>
      <c r="E297" s="1" t="n">
        <v>46224</v>
      </c>
      <c r="F297" t="inlineStr">
        <is>
          <t>UPPSALA LÄN</t>
        </is>
      </c>
      <c r="G297" t="inlineStr">
        <is>
          <t>ÖSTHAMMAR</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26330-2025</t>
        </is>
      </c>
      <c r="B298" t="inlineStr">
        <is>
          <t>avverkningsanmälan</t>
        </is>
      </c>
      <c r="C298" t="inlineStr">
        <is>
          <t>Föryngringsavverkning</t>
        </is>
      </c>
      <c r="D298" s="1" t="n">
        <v>45805</v>
      </c>
      <c r="E298" s="1" t="n">
        <v>46224</v>
      </c>
      <c r="F298" t="inlineStr">
        <is>
          <t>UPPSALA LÄN</t>
        </is>
      </c>
      <c r="G298" t="inlineStr">
        <is>
          <t>ÖSTHAMMAR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41220-2025</t>
        </is>
      </c>
      <c r="B299" t="inlineStr">
        <is>
          <t>avverkningsanmälan</t>
        </is>
      </c>
      <c r="C299" t="inlineStr">
        <is>
          <t>Föryngringsavverkning</t>
        </is>
      </c>
      <c r="D299" s="1" t="n">
        <v>45898</v>
      </c>
      <c r="E299" s="1" t="n">
        <v>46224</v>
      </c>
      <c r="F299" t="inlineStr">
        <is>
          <t>UPPSALA LÄN</t>
        </is>
      </c>
      <c r="G299" t="inlineStr">
        <is>
          <t>ÖSTHAMMAR</t>
        </is>
      </c>
      <c r="H299" t="inlineStr">
        <is>
          <t>Bergvik skog öst AB</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38571-2023</t>
        </is>
      </c>
      <c r="B300" t="inlineStr">
        <is>
          <t>avverkningsanmälan</t>
        </is>
      </c>
      <c r="C300" t="inlineStr">
        <is>
          <t>Föryngringsavverkning</t>
        </is>
      </c>
      <c r="D300" s="1" t="n">
        <v>45162</v>
      </c>
      <c r="E300" s="1" t="n">
        <v>46224</v>
      </c>
      <c r="F300" t="inlineStr">
        <is>
          <t>UPPSALA LÄN</t>
        </is>
      </c>
      <c r="G300" t="inlineStr">
        <is>
          <t>ÖSTHAMMAR</t>
        </is>
      </c>
      <c r="H300" t="inlineStr">
        <is>
          <t>Bergvik skog öst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5884-2023</t>
        </is>
      </c>
      <c r="B301" t="inlineStr">
        <is>
          <t>avverkningsanmälan</t>
        </is>
      </c>
      <c r="C301" t="inlineStr">
        <is>
          <t>Föryngringsavverkning</t>
        </is>
      </c>
      <c r="D301" s="1" t="n">
        <v>44963</v>
      </c>
      <c r="E301" s="1" t="n">
        <v>46224</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24401-2025</t>
        </is>
      </c>
      <c r="B302" t="inlineStr">
        <is>
          <t>avverkningsanmälan</t>
        </is>
      </c>
      <c r="C302" t="inlineStr">
        <is>
          <t>Föryngringsavverkning</t>
        </is>
      </c>
      <c r="D302" s="1" t="n">
        <v>45797</v>
      </c>
      <c r="E302" s="1" t="n">
        <v>46224</v>
      </c>
      <c r="F302" t="inlineStr">
        <is>
          <t>UPPSALA LÄN</t>
        </is>
      </c>
      <c r="G302" t="inlineStr">
        <is>
          <t>ÖSTHAMMAR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24408-2025</t>
        </is>
      </c>
      <c r="B303" t="inlineStr">
        <is>
          <t>avverkningsanmälan</t>
        </is>
      </c>
      <c r="C303" t="inlineStr">
        <is>
          <t>Föryngringsavverkning</t>
        </is>
      </c>
      <c r="D303" s="1" t="n">
        <v>45797</v>
      </c>
      <c r="E303" s="1" t="n">
        <v>46224</v>
      </c>
      <c r="F303" t="inlineStr">
        <is>
          <t>UPPSALA LÄN</t>
        </is>
      </c>
      <c r="G303" t="inlineStr">
        <is>
          <t>ÖSTHAMMAR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24389-2025</t>
        </is>
      </c>
      <c r="B304" t="inlineStr">
        <is>
          <t>avverkningsanmälan</t>
        </is>
      </c>
      <c r="C304" t="inlineStr">
        <is>
          <t>Föryngringsavverkning</t>
        </is>
      </c>
      <c r="D304" s="1" t="n">
        <v>45797</v>
      </c>
      <c r="E304" s="1" t="n">
        <v>46224</v>
      </c>
      <c r="F304" t="inlineStr">
        <is>
          <t>UPPSALA LÄN</t>
        </is>
      </c>
      <c r="G304" t="inlineStr">
        <is>
          <t>ÖSTHAMMAR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27132-2025</t>
        </is>
      </c>
      <c r="B305" t="inlineStr">
        <is>
          <t>avverkningsanmälan</t>
        </is>
      </c>
      <c r="C305" t="inlineStr">
        <is>
          <t>Föryngringsavverkning</t>
        </is>
      </c>
      <c r="D305" s="1" t="n">
        <v>45811</v>
      </c>
      <c r="E305" s="1" t="n">
        <v>46224</v>
      </c>
      <c r="F305" t="inlineStr">
        <is>
          <t>UPPSALA LÄN</t>
        </is>
      </c>
      <c r="G305" t="inlineStr">
        <is>
          <t>ÖSTHAMMAR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28099-2025</t>
        </is>
      </c>
      <c r="B306" t="inlineStr">
        <is>
          <t>avverkningsanmälan</t>
        </is>
      </c>
      <c r="C306" t="inlineStr">
        <is>
          <t>Föryngringsavverkning</t>
        </is>
      </c>
      <c r="D306" s="1" t="n">
        <v>45817</v>
      </c>
      <c r="E306" s="1" t="n">
        <v>46224</v>
      </c>
      <c r="F306" t="inlineStr">
        <is>
          <t>UPPSALA LÄN</t>
        </is>
      </c>
      <c r="G306" t="inlineStr">
        <is>
          <t>ÖSTHAMMAR</t>
        </is>
      </c>
      <c r="H306" t="inlineStr">
        <is>
          <t>Bergvik skog öst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27347-2025</t>
        </is>
      </c>
      <c r="B307" t="inlineStr">
        <is>
          <t>avverkningsanmälan</t>
        </is>
      </c>
      <c r="C307" t="inlineStr">
        <is>
          <t>Föryngringsavverkning</t>
        </is>
      </c>
      <c r="D307" s="1" t="n">
        <v>45812</v>
      </c>
      <c r="E307" s="1" t="n">
        <v>46224</v>
      </c>
      <c r="F307" t="inlineStr">
        <is>
          <t>UPPSALA LÄN</t>
        </is>
      </c>
      <c r="G307" t="inlineStr">
        <is>
          <t>ÖSTHAMMAR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59731-2023</t>
        </is>
      </c>
      <c r="B308" t="inlineStr">
        <is>
          <t>avverkningsanmälan</t>
        </is>
      </c>
      <c r="C308" t="inlineStr">
        <is>
          <t>Föryngringsavverkning</t>
        </is>
      </c>
      <c r="D308" s="1" t="n">
        <v>45257</v>
      </c>
      <c r="E308" s="1" t="n">
        <v>46224</v>
      </c>
      <c r="F308" t="inlineStr">
        <is>
          <t>UPPSALA LÄN</t>
        </is>
      </c>
      <c r="G308" t="inlineStr">
        <is>
          <t>ÖSTHAMMAR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42940-2025</t>
        </is>
      </c>
      <c r="B309" t="inlineStr">
        <is>
          <t>avverkningsanmälan</t>
        </is>
      </c>
      <c r="C309" t="inlineStr">
        <is>
          <t>Föryngringsavverkning</t>
        </is>
      </c>
      <c r="D309" s="1" t="n">
        <v>45909</v>
      </c>
      <c r="E309" s="1" t="n">
        <v>46224</v>
      </c>
      <c r="F309" t="inlineStr">
        <is>
          <t>UPPSALA LÄN</t>
        </is>
      </c>
      <c r="G309" t="inlineStr">
        <is>
          <t>ÖSTHAMMAR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28228-2022</t>
        </is>
      </c>
      <c r="B310" t="inlineStr">
        <is>
          <t>avverkningsanmälan</t>
        </is>
      </c>
      <c r="C310" t="inlineStr">
        <is>
          <t>Föryngringsavverkning</t>
        </is>
      </c>
      <c r="D310" s="1" t="n">
        <v>44746</v>
      </c>
      <c r="E310" s="1" t="n">
        <v>46224</v>
      </c>
      <c r="F310" t="inlineStr">
        <is>
          <t>UPPSALA LÄN</t>
        </is>
      </c>
      <c r="G310" t="inlineStr">
        <is>
          <t>ÖSTHAMMAR</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49831-2023</t>
        </is>
      </c>
      <c r="B311" t="inlineStr">
        <is>
          <t>avverkningsanmälan</t>
        </is>
      </c>
      <c r="C311" t="inlineStr">
        <is>
          <t>Föryngringsavverkning</t>
        </is>
      </c>
      <c r="D311" s="1" t="n">
        <v>45212</v>
      </c>
      <c r="E311" s="1" t="n">
        <v>46224</v>
      </c>
      <c r="F311" t="inlineStr">
        <is>
          <t>UPPSALA LÄN</t>
        </is>
      </c>
      <c r="G311" t="inlineStr">
        <is>
          <t>ÖSTHAMMAR</t>
        </is>
      </c>
      <c r="H311" t="inlineStr">
        <is>
          <t>Bergvik skog öst AB</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35316-2024</t>
        </is>
      </c>
      <c r="B312" t="inlineStr">
        <is>
          <t>avverkningsanmälan</t>
        </is>
      </c>
      <c r="C312" t="inlineStr">
        <is>
          <t>Föryngringsavverkning</t>
        </is>
      </c>
      <c r="D312" s="1" t="n">
        <v>45530</v>
      </c>
      <c r="E312" s="1" t="n">
        <v>46224</v>
      </c>
      <c r="F312" t="inlineStr">
        <is>
          <t>UPPSALA LÄN</t>
        </is>
      </c>
      <c r="G312" t="inlineStr">
        <is>
          <t>ÖSTHAMMAR</t>
        </is>
      </c>
      <c r="H312" t="inlineStr">
        <is>
          <t>Bergvik skog öst AB</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45561-2023</t>
        </is>
      </c>
      <c r="B313" t="inlineStr">
        <is>
          <t>avverkningsanmälan</t>
        </is>
      </c>
      <c r="C313" t="inlineStr">
        <is>
          <t>Föryngringsavverkning</t>
        </is>
      </c>
      <c r="D313" s="1" t="n">
        <v>45194</v>
      </c>
      <c r="E313" s="1" t="n">
        <v>46224</v>
      </c>
      <c r="F313" t="inlineStr">
        <is>
          <t>UPPSALA LÄN</t>
        </is>
      </c>
      <c r="G313" t="inlineStr">
        <is>
          <t>ÖSTHAMMAR</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27920-2025</t>
        </is>
      </c>
      <c r="B314" t="inlineStr">
        <is>
          <t>avverkningsanmälan</t>
        </is>
      </c>
      <c r="C314" t="inlineStr">
        <is>
          <t>Föryngringsavverkning</t>
        </is>
      </c>
      <c r="D314" s="1" t="n">
        <v>45817</v>
      </c>
      <c r="E314" s="1" t="n">
        <v>46224</v>
      </c>
      <c r="F314" t="inlineStr">
        <is>
          <t>UPPSALA LÄN</t>
        </is>
      </c>
      <c r="G314" t="inlineStr">
        <is>
          <t>ÖSTHAMMAR</t>
        </is>
      </c>
      <c r="H314" t="inlineStr">
        <is>
          <t>Bergvik skog öst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8330-2025</t>
        </is>
      </c>
      <c r="B315" t="inlineStr">
        <is>
          <t>avverkningsanmälan</t>
        </is>
      </c>
      <c r="C315" t="inlineStr">
        <is>
          <t>Föryngringsavverkning</t>
        </is>
      </c>
      <c r="D315" s="1" t="n">
        <v>45708</v>
      </c>
      <c r="E315" s="1" t="n">
        <v>46224</v>
      </c>
      <c r="F315" t="inlineStr">
        <is>
          <t>UPPSALA LÄN</t>
        </is>
      </c>
      <c r="G315" t="inlineStr">
        <is>
          <t>ÖSTHAMMAR</t>
        </is>
      </c>
      <c r="H315" t="inlineStr">
        <is>
          <t>Övriga Aktiebolag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27509-2025</t>
        </is>
      </c>
      <c r="B316" t="inlineStr">
        <is>
          <t>avverkningsanmälan</t>
        </is>
      </c>
      <c r="C316" t="inlineStr">
        <is>
          <t>Föryngringsavverkning</t>
        </is>
      </c>
      <c r="D316" s="1" t="n">
        <v>45813</v>
      </c>
      <c r="E316" s="1" t="n">
        <v>46224</v>
      </c>
      <c r="F316" t="inlineStr">
        <is>
          <t>UPPSALA LÄN</t>
        </is>
      </c>
      <c r="G316" t="inlineStr">
        <is>
          <t>ÖSTHAMMAR</t>
        </is>
      </c>
      <c r="H316" t="inlineStr">
        <is>
          <t>Bergvik skog öst AB</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21478-2023</t>
        </is>
      </c>
      <c r="B317" t="inlineStr">
        <is>
          <t>avverkningsanmälan</t>
        </is>
      </c>
      <c r="C317" t="inlineStr">
        <is>
          <t>Föryngringsavverkning</t>
        </is>
      </c>
      <c r="D317" s="1" t="n">
        <v>45063</v>
      </c>
      <c r="E317" s="1" t="n">
        <v>46224</v>
      </c>
      <c r="F317" t="inlineStr">
        <is>
          <t>UPPSALA LÄN</t>
        </is>
      </c>
      <c r="G317" t="inlineStr">
        <is>
          <t>ÖSTHAMMAR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11036-2023</t>
        </is>
      </c>
      <c r="B318" t="inlineStr">
        <is>
          <t>avverkningsanmälan</t>
        </is>
      </c>
      <c r="C318" t="inlineStr">
        <is>
          <t>Föryngringsavverkning</t>
        </is>
      </c>
      <c r="D318" s="1" t="n">
        <v>44991</v>
      </c>
      <c r="E318" s="1" t="n">
        <v>46224</v>
      </c>
      <c r="F318" t="inlineStr">
        <is>
          <t>UPPSALA LÄN</t>
        </is>
      </c>
      <c r="G318" t="inlineStr">
        <is>
          <t>ÖSTHAMMAR</t>
        </is>
      </c>
      <c r="H318" t="inlineStr">
        <is>
          <t>Bergvik skog öst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32884-2024</t>
        </is>
      </c>
      <c r="B319" t="inlineStr">
        <is>
          <t>avverkningsanmälan</t>
        </is>
      </c>
      <c r="C319" t="inlineStr">
        <is>
          <t>Föryngringsavverkning</t>
        </is>
      </c>
      <c r="D319" s="1" t="n">
        <v>45516</v>
      </c>
      <c r="E319" s="1" t="n">
        <v>46224</v>
      </c>
      <c r="F319" t="inlineStr">
        <is>
          <t>UPPSALA LÄN</t>
        </is>
      </c>
      <c r="G319" t="inlineStr">
        <is>
          <t>ÖSTHAMMAR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64586-2021</t>
        </is>
      </c>
      <c r="B320" t="inlineStr">
        <is>
          <t>avverkningsanmälan</t>
        </is>
      </c>
      <c r="C320" t="inlineStr">
        <is>
          <t>Föryngringsavverkning</t>
        </is>
      </c>
      <c r="D320" s="1" t="n">
        <v>44511</v>
      </c>
      <c r="E320" s="1" t="n">
        <v>46224</v>
      </c>
      <c r="F320" t="inlineStr">
        <is>
          <t>UPPSALA LÄN</t>
        </is>
      </c>
      <c r="G320" t="inlineStr">
        <is>
          <t>ÖSTHAMMAR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27494-2025</t>
        </is>
      </c>
      <c r="B321" t="inlineStr">
        <is>
          <t>avverkningsanmälan</t>
        </is>
      </c>
      <c r="C321" t="inlineStr">
        <is>
          <t>Föryngringsavverkning</t>
        </is>
      </c>
      <c r="D321" s="1" t="n">
        <v>45813</v>
      </c>
      <c r="E321" s="1" t="n">
        <v>46224</v>
      </c>
      <c r="F321" t="inlineStr">
        <is>
          <t>UPPSALA LÄN</t>
        </is>
      </c>
      <c r="G321" t="inlineStr">
        <is>
          <t>ÖSTHAMMAR</t>
        </is>
      </c>
      <c r="H321" t="inlineStr">
        <is>
          <t>Bergvik skog öst AB</t>
        </is>
      </c>
      <c r="I321" t="n">
        <v>23.4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29384-2025</t>
        </is>
      </c>
      <c r="B322" t="inlineStr">
        <is>
          <t>avverkningsanmälan</t>
        </is>
      </c>
      <c r="C322" t="inlineStr">
        <is>
          <t>Föryngringsavverkning</t>
        </is>
      </c>
      <c r="D322" s="1" t="n">
        <v>45824</v>
      </c>
      <c r="E322" s="1" t="n">
        <v>46224</v>
      </c>
      <c r="F322" t="inlineStr">
        <is>
          <t>UPPSALA LÄN</t>
        </is>
      </c>
      <c r="G322" t="inlineStr">
        <is>
          <t>ÖSTHAMMAR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27490-2025</t>
        </is>
      </c>
      <c r="B323" t="inlineStr">
        <is>
          <t>avverkningsanmälan</t>
        </is>
      </c>
      <c r="C323" t="inlineStr">
        <is>
          <t>Föryngringsavverkning</t>
        </is>
      </c>
      <c r="D323" s="1" t="n">
        <v>45813</v>
      </c>
      <c r="E323" s="1" t="n">
        <v>46224</v>
      </c>
      <c r="F323" t="inlineStr">
        <is>
          <t>UPPSALA LÄN</t>
        </is>
      </c>
      <c r="G323" t="inlineStr">
        <is>
          <t>ÖSTHAMMAR</t>
        </is>
      </c>
      <c r="H323" t="inlineStr">
        <is>
          <t>Bergvik skog öst AB</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27486-2025</t>
        </is>
      </c>
      <c r="B324" t="inlineStr">
        <is>
          <t>avverkningsanmälan</t>
        </is>
      </c>
      <c r="C324" t="inlineStr">
        <is>
          <t>Föryngringsavverkning</t>
        </is>
      </c>
      <c r="D324" s="1" t="n">
        <v>45813</v>
      </c>
      <c r="E324" s="1" t="n">
        <v>46224</v>
      </c>
      <c r="F324" t="inlineStr">
        <is>
          <t>UPPSALA LÄN</t>
        </is>
      </c>
      <c r="G324" t="inlineStr">
        <is>
          <t>ÖSTHAMMAR</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70008-2021</t>
        </is>
      </c>
      <c r="B325" t="inlineStr">
        <is>
          <t>avverkningsanmälan</t>
        </is>
      </c>
      <c r="C325" t="inlineStr">
        <is>
          <t>Föryngringsavverkning</t>
        </is>
      </c>
      <c r="D325" s="1" t="n">
        <v>44533</v>
      </c>
      <c r="E325" s="1" t="n">
        <v>46224</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45993-2025</t>
        </is>
      </c>
      <c r="B326" t="inlineStr">
        <is>
          <t>avverkningsanmälan</t>
        </is>
      </c>
      <c r="C326" t="inlineStr">
        <is>
          <t>Föryngringsavverkning</t>
        </is>
      </c>
      <c r="D326" s="1" t="n">
        <v>45924</v>
      </c>
      <c r="E326" s="1" t="n">
        <v>46224</v>
      </c>
      <c r="F326" t="inlineStr">
        <is>
          <t>UPPSALA LÄN</t>
        </is>
      </c>
      <c r="G326" t="inlineStr">
        <is>
          <t>ÖSTHAMMAR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73982-2021</t>
        </is>
      </c>
      <c r="B327" t="inlineStr">
        <is>
          <t>avverkningsanmälan</t>
        </is>
      </c>
      <c r="C327" t="inlineStr">
        <is>
          <t>Föryngringsavverkning</t>
        </is>
      </c>
      <c r="D327" s="1" t="n">
        <v>44555</v>
      </c>
      <c r="E327" s="1" t="n">
        <v>46224</v>
      </c>
      <c r="F327" t="inlineStr">
        <is>
          <t>UPPSALA LÄN</t>
        </is>
      </c>
      <c r="G327" t="inlineStr">
        <is>
          <t>ÖSTHAMMAR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21624-2023</t>
        </is>
      </c>
      <c r="B328" t="inlineStr">
        <is>
          <t>avverkningsanmälan</t>
        </is>
      </c>
      <c r="C328" t="inlineStr">
        <is>
          <t>Föryngringsavverkning</t>
        </is>
      </c>
      <c r="D328" s="1" t="n">
        <v>45063</v>
      </c>
      <c r="E328" s="1" t="n">
        <v>46224</v>
      </c>
      <c r="F328" t="inlineStr">
        <is>
          <t>UPPSALA LÄN</t>
        </is>
      </c>
      <c r="G328" t="inlineStr">
        <is>
          <t>ÖSTHAMMAR</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41996-2024</t>
        </is>
      </c>
      <c r="B329" t="inlineStr">
        <is>
          <t>avverkningsanmälan</t>
        </is>
      </c>
      <c r="C329" t="inlineStr">
        <is>
          <t>Föryngringsavverkning</t>
        </is>
      </c>
      <c r="D329" s="1" t="n">
        <v>45561</v>
      </c>
      <c r="E329" s="1" t="n">
        <v>46224</v>
      </c>
      <c r="F329" t="inlineStr">
        <is>
          <t>UPPSALA LÄN</t>
        </is>
      </c>
      <c r="G329" t="inlineStr">
        <is>
          <t>ÖSTHAMMAR</t>
        </is>
      </c>
      <c r="H329" t="inlineStr">
        <is>
          <t>Bergvik skog öst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23742-2024</t>
        </is>
      </c>
      <c r="B330" t="inlineStr">
        <is>
          <t>avverkningsanmälan</t>
        </is>
      </c>
      <c r="C330" t="inlineStr">
        <is>
          <t>Föryngringsavverkning</t>
        </is>
      </c>
      <c r="D330" s="1" t="n">
        <v>45455</v>
      </c>
      <c r="E330" s="1" t="n">
        <v>46224</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30610-2025</t>
        </is>
      </c>
      <c r="B331" t="inlineStr">
        <is>
          <t>avverkningsanmälan</t>
        </is>
      </c>
      <c r="C331" t="inlineStr">
        <is>
          <t>Föryngringsavverkning</t>
        </is>
      </c>
      <c r="D331" s="1" t="n">
        <v>45831</v>
      </c>
      <c r="E331" s="1" t="n">
        <v>46224</v>
      </c>
      <c r="F331" t="inlineStr">
        <is>
          <t>UPPSALA LÄN</t>
        </is>
      </c>
      <c r="G331" t="inlineStr">
        <is>
          <t>ÖSTHAMMAR</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30504-2025</t>
        </is>
      </c>
      <c r="B332" t="inlineStr">
        <is>
          <t>avverkningsanmälan</t>
        </is>
      </c>
      <c r="C332" t="inlineStr">
        <is>
          <t>Föryngringsavverkning</t>
        </is>
      </c>
      <c r="D332" s="1" t="n">
        <v>45830</v>
      </c>
      <c r="E332" s="1" t="n">
        <v>46224</v>
      </c>
      <c r="F332" t="inlineStr">
        <is>
          <t>UPPSALA LÄN</t>
        </is>
      </c>
      <c r="G332" t="inlineStr">
        <is>
          <t>ÖSTHAMMAR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30503-2025</t>
        </is>
      </c>
      <c r="B333" t="inlineStr">
        <is>
          <t>avverkningsanmälan</t>
        </is>
      </c>
      <c r="C333" t="inlineStr">
        <is>
          <t>Föryngringsavverkning</t>
        </is>
      </c>
      <c r="D333" s="1" t="n">
        <v>45830</v>
      </c>
      <c r="E333" s="1" t="n">
        <v>46224</v>
      </c>
      <c r="F333" t="inlineStr">
        <is>
          <t>UPPSALA LÄN</t>
        </is>
      </c>
      <c r="G333" t="inlineStr">
        <is>
          <t>ÖSTHAMMAR</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6106-2024</t>
        </is>
      </c>
      <c r="B334" t="inlineStr">
        <is>
          <t>avverkningsanmälan</t>
        </is>
      </c>
      <c r="C334" t="inlineStr">
        <is>
          <t>Föryngringsavverkning</t>
        </is>
      </c>
      <c r="D334" s="1" t="n">
        <v>45337</v>
      </c>
      <c r="E334" s="1" t="n">
        <v>46224</v>
      </c>
      <c r="F334" t="inlineStr">
        <is>
          <t>UPPSALA LÄN</t>
        </is>
      </c>
      <c r="G334" t="inlineStr">
        <is>
          <t>ÖSTHAMMAR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31579-2025</t>
        </is>
      </c>
      <c r="B335" t="inlineStr">
        <is>
          <t>avverkningsanmälan</t>
        </is>
      </c>
      <c r="C335" t="inlineStr">
        <is>
          <t>Föryngringsavverkning</t>
        </is>
      </c>
      <c r="D335" s="1" t="n">
        <v>45833</v>
      </c>
      <c r="E335" s="1" t="n">
        <v>46224</v>
      </c>
      <c r="F335" t="inlineStr">
        <is>
          <t>UPPSALA LÄN</t>
        </is>
      </c>
      <c r="G335" t="inlineStr">
        <is>
          <t>ÖSTHAMMAR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65020-2021</t>
        </is>
      </c>
      <c r="B336" t="inlineStr">
        <is>
          <t>avverkningsanmälan</t>
        </is>
      </c>
      <c r="C336" t="inlineStr">
        <is>
          <t>Avverkning för att bevara och utveckla /försöksver</t>
        </is>
      </c>
      <c r="D336" s="1" t="n">
        <v>44515</v>
      </c>
      <c r="E336" s="1" t="n">
        <v>46224</v>
      </c>
      <c r="F336" t="inlineStr">
        <is>
          <t>UPPSALA LÄN</t>
        </is>
      </c>
      <c r="G336" t="inlineStr">
        <is>
          <t>ÖSTHAMMAR</t>
        </is>
      </c>
      <c r="H336" t="inlineStr">
        <is>
          <t>Sveaskog</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47615-2025</t>
        </is>
      </c>
      <c r="B337" t="inlineStr">
        <is>
          <t>avverkningsanmälan</t>
        </is>
      </c>
      <c r="C337" t="inlineStr">
        <is>
          <t>Föryngringsavverkning</t>
        </is>
      </c>
      <c r="D337" s="1" t="n">
        <v>45931</v>
      </c>
      <c r="E337" s="1" t="n">
        <v>46224</v>
      </c>
      <c r="F337" t="inlineStr">
        <is>
          <t>UPPSALA LÄN</t>
        </is>
      </c>
      <c r="G337" t="inlineStr">
        <is>
          <t>ÖSTHAMMAR</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1238-2022</t>
        </is>
      </c>
      <c r="B338" t="inlineStr">
        <is>
          <t>avverkningsanmälan</t>
        </is>
      </c>
      <c r="C338" t="inlineStr">
        <is>
          <t>Föryngringsavverkning</t>
        </is>
      </c>
      <c r="D338" s="1" t="n">
        <v>44572</v>
      </c>
      <c r="E338" s="1" t="n">
        <v>46224</v>
      </c>
      <c r="F338" t="inlineStr">
        <is>
          <t>UPPSALA LÄN</t>
        </is>
      </c>
      <c r="G338" t="inlineStr">
        <is>
          <t>ÖSTHAMMAR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27476-2025</t>
        </is>
      </c>
      <c r="B339" t="inlineStr">
        <is>
          <t>avverkningsanmälan</t>
        </is>
      </c>
      <c r="C339" t="inlineStr">
        <is>
          <t>Föryngringsavverkning</t>
        </is>
      </c>
      <c r="D339" s="1" t="n">
        <v>45813</v>
      </c>
      <c r="E339" s="1" t="n">
        <v>46224</v>
      </c>
      <c r="F339" t="inlineStr">
        <is>
          <t>UPPSALA LÄN</t>
        </is>
      </c>
      <c r="G339" t="inlineStr">
        <is>
          <t>ÖSTHAMMAR</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38003-2024</t>
        </is>
      </c>
      <c r="B340" t="inlineStr">
        <is>
          <t>avverkningsanmälan</t>
        </is>
      </c>
      <c r="C340" t="inlineStr">
        <is>
          <t>Föryngringsavverkning</t>
        </is>
      </c>
      <c r="D340" s="1" t="n">
        <v>45544</v>
      </c>
      <c r="E340" s="1" t="n">
        <v>46224</v>
      </c>
      <c r="F340" t="inlineStr">
        <is>
          <t>UPPSALA LÄN</t>
        </is>
      </c>
      <c r="G340" t="inlineStr">
        <is>
          <t>ÖSTHAMMAR</t>
        </is>
      </c>
      <c r="H340" t="inlineStr">
        <is>
          <t>Naturvårdsverket</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25252-2024</t>
        </is>
      </c>
      <c r="B341" t="inlineStr">
        <is>
          <t>avverkningsanmälan</t>
        </is>
      </c>
      <c r="C341" t="inlineStr">
        <is>
          <t>Föryngringsavverkning</t>
        </is>
      </c>
      <c r="D341" s="1" t="n">
        <v>45462</v>
      </c>
      <c r="E341" s="1" t="n">
        <v>46224</v>
      </c>
      <c r="F341" t="inlineStr">
        <is>
          <t>UPPSALA LÄN</t>
        </is>
      </c>
      <c r="G341" t="inlineStr">
        <is>
          <t>ÖSTHAMMAR</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48854-2025</t>
        </is>
      </c>
      <c r="B342" t="inlineStr">
        <is>
          <t>avverkningsanmälan</t>
        </is>
      </c>
      <c r="C342" t="inlineStr">
        <is>
          <t>Föryngringsavverkning</t>
        </is>
      </c>
      <c r="D342" s="1" t="n">
        <v>45937</v>
      </c>
      <c r="E342" s="1" t="n">
        <v>46224</v>
      </c>
      <c r="F342" t="inlineStr">
        <is>
          <t>UPPSALA LÄN</t>
        </is>
      </c>
      <c r="G342" t="inlineStr">
        <is>
          <t>ÖSTHAMMAR</t>
        </is>
      </c>
      <c r="H342" t="inlineStr">
        <is>
          <t>Övriga Aktiebolag</t>
        </is>
      </c>
      <c r="I342" t="n">
        <v>18.9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33529-2025</t>
        </is>
      </c>
      <c r="B343" t="inlineStr">
        <is>
          <t>avverkningsanmälan</t>
        </is>
      </c>
      <c r="C343" t="inlineStr">
        <is>
          <t>Föryngringsavverkning</t>
        </is>
      </c>
      <c r="D343" s="1" t="n">
        <v>45841</v>
      </c>
      <c r="E343" s="1" t="n">
        <v>46224</v>
      </c>
      <c r="F343" t="inlineStr">
        <is>
          <t>UPPSALA LÄN</t>
        </is>
      </c>
      <c r="G343" t="inlineStr">
        <is>
          <t>ÖSTHAMMAR</t>
        </is>
      </c>
      <c r="H343" t="inlineStr">
        <is>
          <t>Bergvik skog öst AB</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31137-2022</t>
        </is>
      </c>
      <c r="B344" t="inlineStr">
        <is>
          <t>avverkningsanmälan</t>
        </is>
      </c>
      <c r="C344" t="inlineStr">
        <is>
          <t>Föryngringsavverkning</t>
        </is>
      </c>
      <c r="D344" s="1" t="n">
        <v>44770</v>
      </c>
      <c r="E344" s="1" t="n">
        <v>46224</v>
      </c>
      <c r="F344" t="inlineStr">
        <is>
          <t>UPPSALA LÄN</t>
        </is>
      </c>
      <c r="G344" t="inlineStr">
        <is>
          <t>ÖSTHAMMAR</t>
        </is>
      </c>
      <c r="H344" t="inlineStr">
        <is>
          <t>Bergvik skog öst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26395-2025</t>
        </is>
      </c>
      <c r="B345" t="inlineStr">
        <is>
          <t>avverkningsanmälan</t>
        </is>
      </c>
      <c r="C345" t="inlineStr">
        <is>
          <t>Föryngringsavverkning</t>
        </is>
      </c>
      <c r="D345" s="1" t="n">
        <v>45807</v>
      </c>
      <c r="E345" s="1" t="n">
        <v>46224</v>
      </c>
      <c r="F345" t="inlineStr">
        <is>
          <t>UPPSALA LÄN</t>
        </is>
      </c>
      <c r="G345" t="inlineStr">
        <is>
          <t>ÖSTHAMMAR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33972-2025</t>
        </is>
      </c>
      <c r="B346" t="inlineStr">
        <is>
          <t>avverkningsanmälan</t>
        </is>
      </c>
      <c r="C346" t="inlineStr">
        <is>
          <t>Föryngringsavverkning</t>
        </is>
      </c>
      <c r="D346" s="1" t="n">
        <v>45842</v>
      </c>
      <c r="E346" s="1" t="n">
        <v>46224</v>
      </c>
      <c r="F346" t="inlineStr">
        <is>
          <t>UPPSALA LÄN</t>
        </is>
      </c>
      <c r="G346" t="inlineStr">
        <is>
          <t>ÖSTHAMMAR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74429-2021</t>
        </is>
      </c>
      <c r="B347" t="inlineStr">
        <is>
          <t>avverkningsanmälan</t>
        </is>
      </c>
      <c r="C347" t="inlineStr">
        <is>
          <t>Föryngringsavverkning</t>
        </is>
      </c>
      <c r="D347" s="1" t="n">
        <v>44560</v>
      </c>
      <c r="E347" s="1" t="n">
        <v>46224</v>
      </c>
      <c r="F347" t="inlineStr">
        <is>
          <t>UPPSALA LÄN</t>
        </is>
      </c>
      <c r="G347" t="inlineStr">
        <is>
          <t>ÖSTHAMMAR</t>
        </is>
      </c>
      <c r="H347" t="inlineStr">
        <is>
          <t>Bergvik skog öst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17867-2024</t>
        </is>
      </c>
      <c r="B348" t="inlineStr">
        <is>
          <t>avverkningsanmälan</t>
        </is>
      </c>
      <c r="C348" t="inlineStr">
        <is>
          <t>Föryngringsavverkning</t>
        </is>
      </c>
      <c r="D348" s="1" t="n">
        <v>45419</v>
      </c>
      <c r="E348" s="1" t="n">
        <v>46224</v>
      </c>
      <c r="F348" t="inlineStr">
        <is>
          <t>UPPSALA LÄN</t>
        </is>
      </c>
      <c r="G348" t="inlineStr">
        <is>
          <t>ÖSTHAMMAR</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4228-2023</t>
        </is>
      </c>
      <c r="B349" t="inlineStr">
        <is>
          <t>avverkningsanmälan</t>
        </is>
      </c>
      <c r="C349" t="inlineStr">
        <is>
          <t>Föryngringsavverkning</t>
        </is>
      </c>
      <c r="D349" s="1" t="n">
        <v>44953</v>
      </c>
      <c r="E349" s="1" t="n">
        <v>46224</v>
      </c>
      <c r="F349" t="inlineStr">
        <is>
          <t>UPPSALA LÄN</t>
        </is>
      </c>
      <c r="G349" t="inlineStr">
        <is>
          <t>ÖSTHAMMAR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25859-2024</t>
        </is>
      </c>
      <c r="B350" t="inlineStr">
        <is>
          <t>avverkningsanmälan</t>
        </is>
      </c>
      <c r="C350" t="inlineStr">
        <is>
          <t>Föryngringsavverkning</t>
        </is>
      </c>
      <c r="D350" s="1" t="n">
        <v>45467</v>
      </c>
      <c r="E350" s="1" t="n">
        <v>46224</v>
      </c>
      <c r="F350" t="inlineStr">
        <is>
          <t>UPPSALA LÄN</t>
        </is>
      </c>
      <c r="G350" t="inlineStr">
        <is>
          <t>ÖSTHAMMAR</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10117-2025</t>
        </is>
      </c>
      <c r="B351" t="inlineStr">
        <is>
          <t>avverkningsanmälan</t>
        </is>
      </c>
      <c r="C351" t="inlineStr">
        <is>
          <t>Föryngringsavverkning</t>
        </is>
      </c>
      <c r="D351" s="1" t="n">
        <v>45719</v>
      </c>
      <c r="E351" s="1" t="n">
        <v>46224</v>
      </c>
      <c r="F351" t="inlineStr">
        <is>
          <t>UPPSALA LÄN</t>
        </is>
      </c>
      <c r="G351" t="inlineStr">
        <is>
          <t>ÖSTHAMMAR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51156-2025</t>
        </is>
      </c>
      <c r="B352" t="inlineStr">
        <is>
          <t>avverkningsanmälan</t>
        </is>
      </c>
      <c r="C352" t="inlineStr">
        <is>
          <t>Föryngringsavverkning</t>
        </is>
      </c>
      <c r="D352" s="1" t="n">
        <v>45947</v>
      </c>
      <c r="E352" s="1" t="n">
        <v>46224</v>
      </c>
      <c r="F352" t="inlineStr">
        <is>
          <t>UPPSALA LÄN</t>
        </is>
      </c>
      <c r="G352" t="inlineStr">
        <is>
          <t>ÖSTHAMMAR</t>
        </is>
      </c>
      <c r="H352" t="inlineStr">
        <is>
          <t>Allmännings- och besparingsskogar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19640-2025</t>
        </is>
      </c>
      <c r="B353" t="inlineStr">
        <is>
          <t>avverkningsanmälan</t>
        </is>
      </c>
      <c r="C353" t="inlineStr">
        <is>
          <t>Föryngringsavverkning</t>
        </is>
      </c>
      <c r="D353" s="1" t="n">
        <v>45770</v>
      </c>
      <c r="E353" s="1" t="n">
        <v>46224</v>
      </c>
      <c r="F353" t="inlineStr">
        <is>
          <t>UPPSALA LÄN</t>
        </is>
      </c>
      <c r="G353" t="inlineStr">
        <is>
          <t>ÖSTHAMMAR</t>
        </is>
      </c>
      <c r="H353" t="inlineStr">
        <is>
          <t>Övriga Aktiebolag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36301-2023</t>
        </is>
      </c>
      <c r="B354" t="inlineStr">
        <is>
          <t>avverkningsanmälan</t>
        </is>
      </c>
      <c r="C354" t="inlineStr">
        <is>
          <t>Föryngringsavverkning</t>
        </is>
      </c>
      <c r="D354" s="1" t="n">
        <v>45152</v>
      </c>
      <c r="E354" s="1" t="n">
        <v>46224</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7195-2023</t>
        </is>
      </c>
      <c r="B355" t="inlineStr">
        <is>
          <t>avverkningsanmälan</t>
        </is>
      </c>
      <c r="C355" t="inlineStr">
        <is>
          <t>Föryngringsavverkning</t>
        </is>
      </c>
      <c r="D355" s="1" t="n">
        <v>44970</v>
      </c>
      <c r="E355" s="1" t="n">
        <v>46224</v>
      </c>
      <c r="F355" t="inlineStr">
        <is>
          <t>UPPSALA LÄN</t>
        </is>
      </c>
      <c r="G355" t="inlineStr">
        <is>
          <t>ÖSTHAMMAR</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51379-2025</t>
        </is>
      </c>
      <c r="B356" t="inlineStr">
        <is>
          <t>avverkningsanmälan</t>
        </is>
      </c>
      <c r="C356" t="inlineStr">
        <is>
          <t>Föryngringsavverkning</t>
        </is>
      </c>
      <c r="D356" s="1" t="n">
        <v>45950</v>
      </c>
      <c r="E356" s="1" t="n">
        <v>46224</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51255-2025</t>
        </is>
      </c>
      <c r="B357" t="inlineStr">
        <is>
          <t>avverkningsanmälan</t>
        </is>
      </c>
      <c r="C357" t="inlineStr">
        <is>
          <t>Föryngringsavverkning</t>
        </is>
      </c>
      <c r="D357" s="1" t="n">
        <v>45949</v>
      </c>
      <c r="E357" s="1" t="n">
        <v>46224</v>
      </c>
      <c r="F357" t="inlineStr">
        <is>
          <t>UPPSALA LÄN</t>
        </is>
      </c>
      <c r="G357" t="inlineStr">
        <is>
          <t>ÖSTHAMMAR</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51266-2025</t>
        </is>
      </c>
      <c r="B358" t="inlineStr">
        <is>
          <t>avverkningsanmälan</t>
        </is>
      </c>
      <c r="C358" t="inlineStr">
        <is>
          <t>Föryngringsavverkning</t>
        </is>
      </c>
      <c r="D358" s="1" t="n">
        <v>45949</v>
      </c>
      <c r="E358" s="1" t="n">
        <v>46224</v>
      </c>
      <c r="F358" t="inlineStr">
        <is>
          <t>UPPSALA LÄN</t>
        </is>
      </c>
      <c r="G358" t="inlineStr">
        <is>
          <t>ÖSTHAMMAR</t>
        </is>
      </c>
      <c r="H358" t="inlineStr">
        <is>
          <t>Bergvik skog öst AB</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51254-2025</t>
        </is>
      </c>
      <c r="B359" t="inlineStr">
        <is>
          <t>avverkningsanmälan</t>
        </is>
      </c>
      <c r="C359" t="inlineStr">
        <is>
          <t>Föryngringsavverkning</t>
        </is>
      </c>
      <c r="D359" s="1" t="n">
        <v>45948</v>
      </c>
      <c r="E359" s="1" t="n">
        <v>46224</v>
      </c>
      <c r="F359" t="inlineStr">
        <is>
          <t>UPPSALA LÄN</t>
        </is>
      </c>
      <c r="G359" t="inlineStr">
        <is>
          <t>ÖSTHAMMAR</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26774-2023</t>
        </is>
      </c>
      <c r="B360" t="inlineStr">
        <is>
          <t>avverkningsanmälan</t>
        </is>
      </c>
      <c r="C360" t="inlineStr">
        <is>
          <t>Föryngringsavverkning</t>
        </is>
      </c>
      <c r="D360" s="1" t="n">
        <v>45093</v>
      </c>
      <c r="E360" s="1" t="n">
        <v>46224</v>
      </c>
      <c r="F360" t="inlineStr">
        <is>
          <t>UPPSALA LÄN</t>
        </is>
      </c>
      <c r="G360" t="inlineStr">
        <is>
          <t>ÖSTHAMMAR</t>
        </is>
      </c>
      <c r="H360" t="inlineStr">
        <is>
          <t>Bergvik skog öst AB</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51265-2025</t>
        </is>
      </c>
      <c r="B361" t="inlineStr">
        <is>
          <t>avverkningsanmälan</t>
        </is>
      </c>
      <c r="C361" t="inlineStr">
        <is>
          <t>Föryngringsavverkning</t>
        </is>
      </c>
      <c r="D361" s="1" t="n">
        <v>45949</v>
      </c>
      <c r="E361" s="1" t="n">
        <v>46224</v>
      </c>
      <c r="F361" t="inlineStr">
        <is>
          <t>UPPSALA LÄN</t>
        </is>
      </c>
      <c r="G361" t="inlineStr">
        <is>
          <t>ÖSTHAMMAR</t>
        </is>
      </c>
      <c r="H361" t="inlineStr">
        <is>
          <t>Bergvik skog öst AB</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42213-2025</t>
        </is>
      </c>
      <c r="B362" t="inlineStr">
        <is>
          <t>avverkningsanmälan</t>
        </is>
      </c>
      <c r="C362" t="inlineStr">
        <is>
          <t>Föryngringsavverkning</t>
        </is>
      </c>
      <c r="D362" s="1" t="n">
        <v>45904</v>
      </c>
      <c r="E362" s="1" t="n">
        <v>46224</v>
      </c>
      <c r="F362" t="inlineStr">
        <is>
          <t>UPPSALA LÄN</t>
        </is>
      </c>
      <c r="G362" t="inlineStr">
        <is>
          <t>ÖSTHAMMAR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12528-2024</t>
        </is>
      </c>
      <c r="B363" t="inlineStr">
        <is>
          <t>avverkningsanmälan</t>
        </is>
      </c>
      <c r="C363" t="inlineStr">
        <is>
          <t>Föryngringsavverkning</t>
        </is>
      </c>
      <c r="D363" s="1" t="n">
        <v>45379</v>
      </c>
      <c r="E363" s="1" t="n">
        <v>46224</v>
      </c>
      <c r="F363" t="inlineStr">
        <is>
          <t>UPPSALA LÄN</t>
        </is>
      </c>
      <c r="G363" t="inlineStr">
        <is>
          <t>ÖSTHAMMAR</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17929-2025</t>
        </is>
      </c>
      <c r="B364" t="inlineStr">
        <is>
          <t>avverkningsanmälan</t>
        </is>
      </c>
      <c r="C364" t="inlineStr">
        <is>
          <t>Föryngringsavverkning</t>
        </is>
      </c>
      <c r="D364" s="1" t="n">
        <v>45759</v>
      </c>
      <c r="E364" s="1" t="n">
        <v>46224</v>
      </c>
      <c r="F364" t="inlineStr">
        <is>
          <t>UPPSALA LÄN</t>
        </is>
      </c>
      <c r="G364" t="inlineStr">
        <is>
          <t>ÖSTHAMMAR</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36451-2025</t>
        </is>
      </c>
      <c r="B365" t="inlineStr">
        <is>
          <t>avverkningsanmälan</t>
        </is>
      </c>
      <c r="C365" t="inlineStr">
        <is>
          <t>Föryngringsavverkning</t>
        </is>
      </c>
      <c r="D365" s="1" t="n">
        <v>45869</v>
      </c>
      <c r="E365" s="1" t="n">
        <v>46224</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9267-2024</t>
        </is>
      </c>
      <c r="B366" t="inlineStr">
        <is>
          <t>avverkningsanmälan</t>
        </is>
      </c>
      <c r="C366" t="inlineStr">
        <is>
          <t>Föryngringsavverkning</t>
        </is>
      </c>
      <c r="D366" s="1" t="n">
        <v>45358</v>
      </c>
      <c r="E366" s="1" t="n">
        <v>46224</v>
      </c>
      <c r="F366" t="inlineStr">
        <is>
          <t>UPPSALA LÄN</t>
        </is>
      </c>
      <c r="G366" t="inlineStr">
        <is>
          <t>ÖSTHAMMAR</t>
        </is>
      </c>
      <c r="H366" t="inlineStr">
        <is>
          <t>Bergvik skog öst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33601-2024</t>
        </is>
      </c>
      <c r="B367" t="inlineStr">
        <is>
          <t>avverkningsanmälan</t>
        </is>
      </c>
      <c r="C367" t="inlineStr">
        <is>
          <t>Föryngringsavverkning</t>
        </is>
      </c>
      <c r="D367" s="1" t="n">
        <v>45520</v>
      </c>
      <c r="E367" s="1" t="n">
        <v>46224</v>
      </c>
      <c r="F367" t="inlineStr">
        <is>
          <t>UPPSALA LÄN</t>
        </is>
      </c>
      <c r="G367" t="inlineStr">
        <is>
          <t>ÖSTHAMMAR</t>
        </is>
      </c>
      <c r="H367" t="inlineStr">
        <is>
          <t>Övriga Aktiebolag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23197-2023</t>
        </is>
      </c>
      <c r="B368" t="inlineStr">
        <is>
          <t>avverkningsanmälan</t>
        </is>
      </c>
      <c r="C368" t="inlineStr">
        <is>
          <t>Föryngringsavverkning</t>
        </is>
      </c>
      <c r="D368" s="1" t="n">
        <v>45075</v>
      </c>
      <c r="E368" s="1" t="n">
        <v>46224</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13044-2022</t>
        </is>
      </c>
      <c r="B369" t="inlineStr">
        <is>
          <t>avverkningsanmälan</t>
        </is>
      </c>
      <c r="C369" t="inlineStr">
        <is>
          <t>Föryngringsavverkning</t>
        </is>
      </c>
      <c r="D369" s="1" t="n">
        <v>44643</v>
      </c>
      <c r="E369" s="1" t="n">
        <v>46224</v>
      </c>
      <c r="F369" t="inlineStr">
        <is>
          <t>UPPSALA LÄN</t>
        </is>
      </c>
      <c r="G369" t="inlineStr">
        <is>
          <t>ÖSTHAMMAR</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53735-2025</t>
        </is>
      </c>
      <c r="B370" t="inlineStr">
        <is>
          <t>avverkningsanmälan</t>
        </is>
      </c>
      <c r="C370" t="inlineStr">
        <is>
          <t>Föryngringsavverkning</t>
        </is>
      </c>
      <c r="D370" s="1" t="n">
        <v>45960</v>
      </c>
      <c r="E370" s="1" t="n">
        <v>46224</v>
      </c>
      <c r="F370" t="inlineStr">
        <is>
          <t>UPPSALA LÄN</t>
        </is>
      </c>
      <c r="G370" t="inlineStr">
        <is>
          <t>ÖSTHAMMAR</t>
        </is>
      </c>
      <c r="H370" t="inlineStr">
        <is>
          <t>Bergvik skog öst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53737-2025</t>
        </is>
      </c>
      <c r="B371" t="inlineStr">
        <is>
          <t>avverkningsanmälan</t>
        </is>
      </c>
      <c r="C371" t="inlineStr">
        <is>
          <t>Föryngringsavverkning</t>
        </is>
      </c>
      <c r="D371" s="1" t="n">
        <v>45960</v>
      </c>
      <c r="E371" s="1" t="n">
        <v>46224</v>
      </c>
      <c r="F371" t="inlineStr">
        <is>
          <t>UPPSALA LÄN</t>
        </is>
      </c>
      <c r="G371" t="inlineStr">
        <is>
          <t>ÖSTHAMMAR</t>
        </is>
      </c>
      <c r="H371" t="inlineStr">
        <is>
          <t>Bergvik skog öst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17433-2025</t>
        </is>
      </c>
      <c r="B372" t="inlineStr">
        <is>
          <t>avverkningsanmälan</t>
        </is>
      </c>
      <c r="C372" t="inlineStr">
        <is>
          <t>Föryngringsavverkning</t>
        </is>
      </c>
      <c r="D372" s="1" t="n">
        <v>45757</v>
      </c>
      <c r="E372" s="1" t="n">
        <v>46224</v>
      </c>
      <c r="F372" t="inlineStr">
        <is>
          <t>UPPSALA LÄN</t>
        </is>
      </c>
      <c r="G372" t="inlineStr">
        <is>
          <t>ÖSTHAMMAR</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12756-2024</t>
        </is>
      </c>
      <c r="B373" t="inlineStr">
        <is>
          <t>avverkningsanmälan</t>
        </is>
      </c>
      <c r="C373" t="inlineStr">
        <is>
          <t>Föryngringsavverkning</t>
        </is>
      </c>
      <c r="D373" s="1" t="n">
        <v>45384</v>
      </c>
      <c r="E373" s="1" t="n">
        <v>46224</v>
      </c>
      <c r="F373" t="inlineStr">
        <is>
          <t>UPPSALA LÄN</t>
        </is>
      </c>
      <c r="G373" t="inlineStr">
        <is>
          <t>ÖSTHAMMAR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15928-2022</t>
        </is>
      </c>
      <c r="B374" t="inlineStr">
        <is>
          <t>avverkningsanmälan</t>
        </is>
      </c>
      <c r="C374" t="inlineStr">
        <is>
          <t>Föryngringsavverkning</t>
        </is>
      </c>
      <c r="D374" s="1" t="n">
        <v>44664</v>
      </c>
      <c r="E374" s="1" t="n">
        <v>46224</v>
      </c>
      <c r="F374" t="inlineStr">
        <is>
          <t>UPPSALA LÄN</t>
        </is>
      </c>
      <c r="G374" t="inlineStr">
        <is>
          <t>ÖSTHAMMAR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8708-2022</t>
        </is>
      </c>
      <c r="B375" t="inlineStr">
        <is>
          <t>avverkningsanmälan</t>
        </is>
      </c>
      <c r="C375" t="inlineStr">
        <is>
          <t>Föryngringsavverkning</t>
        </is>
      </c>
      <c r="D375" s="1" t="n">
        <v>44613</v>
      </c>
      <c r="E375" s="1" t="n">
        <v>46224</v>
      </c>
      <c r="F375" t="inlineStr">
        <is>
          <t>UPPSALA LÄN</t>
        </is>
      </c>
      <c r="G375" t="inlineStr">
        <is>
          <t>ÖSTHAMMAR</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54647-2025</t>
        </is>
      </c>
      <c r="B376" t="inlineStr">
        <is>
          <t>avverkningsanmälan</t>
        </is>
      </c>
      <c r="C376" t="inlineStr">
        <is>
          <t>Föryngringsavverkning</t>
        </is>
      </c>
      <c r="D376" s="1" t="n">
        <v>45966</v>
      </c>
      <c r="E376" s="1" t="n">
        <v>46224</v>
      </c>
      <c r="F376" t="inlineStr">
        <is>
          <t>UPPSALA LÄN</t>
        </is>
      </c>
      <c r="G376" t="inlineStr">
        <is>
          <t>ÖSTHAMMAR</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33760-2024</t>
        </is>
      </c>
      <c r="B377" t="inlineStr">
        <is>
          <t>avverkningsanmälan</t>
        </is>
      </c>
      <c r="C377" t="inlineStr">
        <is>
          <t>Föryngringsavverkning</t>
        </is>
      </c>
      <c r="D377" s="1" t="n">
        <v>45520</v>
      </c>
      <c r="E377" s="1" t="n">
        <v>46224</v>
      </c>
      <c r="F377" t="inlineStr">
        <is>
          <t>UPPSALA LÄN</t>
        </is>
      </c>
      <c r="G377" t="inlineStr">
        <is>
          <t>ÖSTHAMMAR</t>
        </is>
      </c>
      <c r="H377" t="inlineStr">
        <is>
          <t>Övriga Aktiebolag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8592-2022</t>
        </is>
      </c>
      <c r="B378" t="inlineStr">
        <is>
          <t>avverkningsanmälan</t>
        </is>
      </c>
      <c r="C378" t="inlineStr">
        <is>
          <t>Föryngringsavverkning</t>
        </is>
      </c>
      <c r="D378" s="1" t="n">
        <v>44613</v>
      </c>
      <c r="E378" s="1" t="n">
        <v>46224</v>
      </c>
      <c r="F378" t="inlineStr">
        <is>
          <t>UPPSALA LÄN</t>
        </is>
      </c>
      <c r="G378" t="inlineStr">
        <is>
          <t>ÖSTHAMMAR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54649-2025</t>
        </is>
      </c>
      <c r="B379" t="inlineStr">
        <is>
          <t>avverkningsanmälan</t>
        </is>
      </c>
      <c r="C379" t="inlineStr">
        <is>
          <t>Föryngringsavverkning</t>
        </is>
      </c>
      <c r="D379" s="1" t="n">
        <v>45966</v>
      </c>
      <c r="E379" s="1" t="n">
        <v>46224</v>
      </c>
      <c r="F379" t="inlineStr">
        <is>
          <t>UPPSALA LÄN</t>
        </is>
      </c>
      <c r="G379" t="inlineStr">
        <is>
          <t>ÖSTHAMMAR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52629-2023</t>
        </is>
      </c>
      <c r="B380" t="inlineStr">
        <is>
          <t>avverkningsanmälan</t>
        </is>
      </c>
      <c r="C380" t="inlineStr">
        <is>
          <t>Föryngringsavverkning</t>
        </is>
      </c>
      <c r="D380" s="1" t="n">
        <v>45225</v>
      </c>
      <c r="E380" s="1" t="n">
        <v>46224</v>
      </c>
      <c r="F380" t="inlineStr">
        <is>
          <t>UPPSALA LÄN</t>
        </is>
      </c>
      <c r="G380" t="inlineStr">
        <is>
          <t>ÖSTHAMMAR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7118-2023</t>
        </is>
      </c>
      <c r="B381" t="inlineStr">
        <is>
          <t>avverkningsanmälan</t>
        </is>
      </c>
      <c r="C381" t="inlineStr">
        <is>
          <t>Föryngringsavverkning</t>
        </is>
      </c>
      <c r="D381" s="1" t="n">
        <v>44970</v>
      </c>
      <c r="E381" s="1" t="n">
        <v>46224</v>
      </c>
      <c r="F381" t="inlineStr">
        <is>
          <t>UPPSALA LÄN</t>
        </is>
      </c>
      <c r="G381" t="inlineStr">
        <is>
          <t>ÖSTHAMMAR</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35918-2023</t>
        </is>
      </c>
      <c r="B382" t="inlineStr">
        <is>
          <t>avverkningsanmälan</t>
        </is>
      </c>
      <c r="C382" t="inlineStr">
        <is>
          <t>Föryngringsavverkning</t>
        </is>
      </c>
      <c r="D382" s="1" t="n">
        <v>45148</v>
      </c>
      <c r="E382" s="1" t="n">
        <v>46224</v>
      </c>
      <c r="F382" t="inlineStr">
        <is>
          <t>UPPSALA LÄN</t>
        </is>
      </c>
      <c r="G382" t="inlineStr">
        <is>
          <t>ÖSTHAMMAR</t>
        </is>
      </c>
      <c r="H382" t="inlineStr">
        <is>
          <t>Bergvik skog öst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6661-2024</t>
        </is>
      </c>
      <c r="B383" t="inlineStr">
        <is>
          <t>avverkningsanmälan</t>
        </is>
      </c>
      <c r="C383" t="inlineStr">
        <is>
          <t>Föryngringsavverkning</t>
        </is>
      </c>
      <c r="D383" s="1" t="n">
        <v>45341</v>
      </c>
      <c r="E383" s="1" t="n">
        <v>46224</v>
      </c>
      <c r="F383" t="inlineStr">
        <is>
          <t>UPPSALA LÄN</t>
        </is>
      </c>
      <c r="G383" t="inlineStr">
        <is>
          <t>ÖSTHAMMAR</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56903-2023</t>
        </is>
      </c>
      <c r="B384" t="inlineStr">
        <is>
          <t>avverkningsanmälan</t>
        </is>
      </c>
      <c r="C384" t="inlineStr">
        <is>
          <t>Föryngringsavverkning</t>
        </is>
      </c>
      <c r="D384" s="1" t="n">
        <v>45244</v>
      </c>
      <c r="E384" s="1" t="n">
        <v>46224</v>
      </c>
      <c r="F384" t="inlineStr">
        <is>
          <t>UPPSALA LÄN</t>
        </is>
      </c>
      <c r="G384" t="inlineStr">
        <is>
          <t>ÖSTHAMMAR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28420-2023</t>
        </is>
      </c>
      <c r="B385" t="inlineStr">
        <is>
          <t>avverkningsanmälan</t>
        </is>
      </c>
      <c r="C385" t="inlineStr">
        <is>
          <t>Föryngringsavverkning</t>
        </is>
      </c>
      <c r="D385" s="1" t="n">
        <v>45102</v>
      </c>
      <c r="E385" s="1" t="n">
        <v>46224</v>
      </c>
      <c r="F385" t="inlineStr">
        <is>
          <t>UPPSALA LÄN</t>
        </is>
      </c>
      <c r="G385" t="inlineStr">
        <is>
          <t>ÖSTHAMMAR</t>
        </is>
      </c>
      <c r="H385" t="inlineStr">
        <is>
          <t>Bergvik skog öst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28432-2023</t>
        </is>
      </c>
      <c r="B386" t="inlineStr">
        <is>
          <t>avverkningsanmälan</t>
        </is>
      </c>
      <c r="C386" t="inlineStr">
        <is>
          <t>Föryngringsavverkning</t>
        </is>
      </c>
      <c r="D386" s="1" t="n">
        <v>45102</v>
      </c>
      <c r="E386" s="1" t="n">
        <v>46224</v>
      </c>
      <c r="F386" t="inlineStr">
        <is>
          <t>UPPSALA LÄN</t>
        </is>
      </c>
      <c r="G386" t="inlineStr">
        <is>
          <t>ÖSTHAMMAR</t>
        </is>
      </c>
      <c r="H386" t="inlineStr">
        <is>
          <t>Bergvik skog öst AB</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56969-2022</t>
        </is>
      </c>
      <c r="B387" t="inlineStr">
        <is>
          <t>avverkningsanmälan</t>
        </is>
      </c>
      <c r="C387" t="inlineStr">
        <is>
          <t>Föryngringsavverkning</t>
        </is>
      </c>
      <c r="D387" s="1" t="n">
        <v>44894</v>
      </c>
      <c r="E387" s="1" t="n">
        <v>46224</v>
      </c>
      <c r="F387" t="inlineStr">
        <is>
          <t>UPPSALA LÄN</t>
        </is>
      </c>
      <c r="G387" t="inlineStr">
        <is>
          <t>ÖSTHAMMAR</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56757-2025</t>
        </is>
      </c>
      <c r="B388" t="inlineStr">
        <is>
          <t>avverkningsanmälan</t>
        </is>
      </c>
      <c r="C388" t="inlineStr">
        <is>
          <t>Föryngringsavverkning</t>
        </is>
      </c>
      <c r="D388" s="1" t="n">
        <v>45978</v>
      </c>
      <c r="E388" s="1" t="n">
        <v>46224</v>
      </c>
      <c r="F388" t="inlineStr">
        <is>
          <t>UPPSALA LÄN</t>
        </is>
      </c>
      <c r="G388" t="inlineStr">
        <is>
          <t>ÖSTHAMMAR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60584-2021</t>
        </is>
      </c>
      <c r="B389" t="inlineStr">
        <is>
          <t>avverkningsanmälan</t>
        </is>
      </c>
      <c r="C389" t="inlineStr">
        <is>
          <t>Föryngringsavverkning</t>
        </is>
      </c>
      <c r="D389" s="1" t="n">
        <v>44496</v>
      </c>
      <c r="E389" s="1" t="n">
        <v>46224</v>
      </c>
      <c r="F389" t="inlineStr">
        <is>
          <t>UPPSALA LÄN</t>
        </is>
      </c>
      <c r="G389" t="inlineStr">
        <is>
          <t>ÖSTHAMMAR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44152-2024</t>
        </is>
      </c>
      <c r="B390" t="inlineStr">
        <is>
          <t>avverkningsanmälan</t>
        </is>
      </c>
      <c r="C390" t="inlineStr">
        <is>
          <t>Föryngringsavverkning</t>
        </is>
      </c>
      <c r="D390" s="1" t="n">
        <v>45572</v>
      </c>
      <c r="E390" s="1" t="n">
        <v>46224</v>
      </c>
      <c r="F390" t="inlineStr">
        <is>
          <t>UPPSALA LÄN</t>
        </is>
      </c>
      <c r="G390" t="inlineStr">
        <is>
          <t>ÖSTHAMMAR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56748-2025</t>
        </is>
      </c>
      <c r="B391" t="inlineStr">
        <is>
          <t>avverkningsanmälan</t>
        </is>
      </c>
      <c r="C391" t="inlineStr">
        <is>
          <t>Föryngringsavverkning</t>
        </is>
      </c>
      <c r="D391" s="1" t="n">
        <v>45978</v>
      </c>
      <c r="E391" s="1" t="n">
        <v>46224</v>
      </c>
      <c r="F391" t="inlineStr">
        <is>
          <t>UPPSALA LÄN</t>
        </is>
      </c>
      <c r="G391" t="inlineStr">
        <is>
          <t>ÖSTHAMMAR</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56753-2025</t>
        </is>
      </c>
      <c r="B392" t="inlineStr">
        <is>
          <t>avverkningsanmälan</t>
        </is>
      </c>
      <c r="C392" t="inlineStr">
        <is>
          <t>Föryngringsavverkning</t>
        </is>
      </c>
      <c r="D392" s="1" t="n">
        <v>45978</v>
      </c>
      <c r="E392" s="1" t="n">
        <v>46224</v>
      </c>
      <c r="F392" t="inlineStr">
        <is>
          <t>UPPSALA LÄN</t>
        </is>
      </c>
      <c r="G392" t="inlineStr">
        <is>
          <t>ÖSTHAMMAR</t>
        </is>
      </c>
      <c r="H392" t="inlineStr">
        <is>
          <t>Sveaskog</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56823-2025</t>
        </is>
      </c>
      <c r="B393" t="inlineStr">
        <is>
          <t>avverkningsanmälan</t>
        </is>
      </c>
      <c r="C393" t="inlineStr">
        <is>
          <t>Föryngringsavverkning</t>
        </is>
      </c>
      <c r="D393" s="1" t="n">
        <v>45978</v>
      </c>
      <c r="E393" s="1" t="n">
        <v>46224</v>
      </c>
      <c r="F393" t="inlineStr">
        <is>
          <t>UPPSALA LÄN</t>
        </is>
      </c>
      <c r="G393" t="inlineStr">
        <is>
          <t>ÖSTHAMMAR</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47390-2023</t>
        </is>
      </c>
      <c r="B394" t="inlineStr">
        <is>
          <t>avverkningsanmälan</t>
        </is>
      </c>
      <c r="C394" t="inlineStr">
        <is>
          <t>Föryngringsavverkning</t>
        </is>
      </c>
      <c r="D394" s="1" t="n">
        <v>45202</v>
      </c>
      <c r="E394" s="1" t="n">
        <v>46224</v>
      </c>
      <c r="F394" t="inlineStr">
        <is>
          <t>UPPSALA LÄN</t>
        </is>
      </c>
      <c r="G394" t="inlineStr">
        <is>
          <t>ÖSTHAMMAR</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3095-2026</t>
        </is>
      </c>
      <c r="B395" t="inlineStr">
        <is>
          <t>avverkningsanmälan</t>
        </is>
      </c>
      <c r="C395" t="inlineStr">
        <is>
          <t>Föryngringsavverkning</t>
        </is>
      </c>
      <c r="D395" s="1" t="n">
        <v>46040</v>
      </c>
      <c r="E395" s="1" t="n">
        <v>46224</v>
      </c>
      <c r="F395" t="inlineStr">
        <is>
          <t>UPPSALA LÄN</t>
        </is>
      </c>
      <c r="G395" t="inlineStr">
        <is>
          <t>ÖSTHAMMAR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5877-2023</t>
        </is>
      </c>
      <c r="B396" t="inlineStr">
        <is>
          <t>avverkningsanmälan</t>
        </is>
      </c>
      <c r="C396" t="inlineStr">
        <is>
          <t>Föryngringsavverkning</t>
        </is>
      </c>
      <c r="D396" s="1" t="n">
        <v>44963</v>
      </c>
      <c r="E396" s="1" t="n">
        <v>46224</v>
      </c>
      <c r="F396" t="inlineStr">
        <is>
          <t>UPPSALA LÄN</t>
        </is>
      </c>
      <c r="G396" t="inlineStr">
        <is>
          <t>ÖSTHAMMAR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3055-2026</t>
        </is>
      </c>
      <c r="B397" t="inlineStr">
        <is>
          <t>avverkningsanmälan</t>
        </is>
      </c>
      <c r="C397" t="inlineStr">
        <is>
          <t>Föryngringsavverkning</t>
        </is>
      </c>
      <c r="D397" s="1" t="n">
        <v>46039</v>
      </c>
      <c r="E397" s="1" t="n">
        <v>46224</v>
      </c>
      <c r="F397" t="inlineStr">
        <is>
          <t>UPPSALA LÄN</t>
        </is>
      </c>
      <c r="G397" t="inlineStr">
        <is>
          <t>ÖSTHAMMAR</t>
        </is>
      </c>
      <c r="H397" t="inlineStr">
        <is>
          <t>Bergvik skog öst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52389-2022</t>
        </is>
      </c>
      <c r="B398" t="inlineStr">
        <is>
          <t>avverkningsanmälan</t>
        </is>
      </c>
      <c r="C398" t="inlineStr">
        <is>
          <t>Föryngringsavverkning</t>
        </is>
      </c>
      <c r="D398" s="1" t="n">
        <v>44874</v>
      </c>
      <c r="E398" s="1" t="n">
        <v>46224</v>
      </c>
      <c r="F398" t="inlineStr">
        <is>
          <t>UPPSALA LÄN</t>
        </is>
      </c>
      <c r="G398" t="inlineStr">
        <is>
          <t>ÖSTHAMMAR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57453-2022</t>
        </is>
      </c>
      <c r="B399" t="inlineStr">
        <is>
          <t>avverkningsanmälan</t>
        </is>
      </c>
      <c r="C399" t="inlineStr">
        <is>
          <t>Föryngringsavverkning</t>
        </is>
      </c>
      <c r="D399" s="1" t="n">
        <v>44896</v>
      </c>
      <c r="E399" s="1" t="n">
        <v>46224</v>
      </c>
      <c r="F399" t="inlineStr">
        <is>
          <t>UPPSALA LÄN</t>
        </is>
      </c>
      <c r="G399" t="inlineStr">
        <is>
          <t>ÖSTHAMMAR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57462-2022</t>
        </is>
      </c>
      <c r="B400" t="inlineStr">
        <is>
          <t>avverkningsanmälan</t>
        </is>
      </c>
      <c r="C400" t="inlineStr">
        <is>
          <t>Föryngringsavverkning</t>
        </is>
      </c>
      <c r="D400" s="1" t="n">
        <v>44896</v>
      </c>
      <c r="E400" s="1" t="n">
        <v>46224</v>
      </c>
      <c r="F400" t="inlineStr">
        <is>
          <t>UPPSALA LÄN</t>
        </is>
      </c>
      <c r="G400" t="inlineStr">
        <is>
          <t>ÖSTHAMMAR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58399-2025</t>
        </is>
      </c>
      <c r="B401" t="inlineStr">
        <is>
          <t>avverkningsanmälan</t>
        </is>
      </c>
      <c r="C401" t="inlineStr">
        <is>
          <t>Föryngringsavverkning</t>
        </is>
      </c>
      <c r="D401" s="1" t="n">
        <v>45985</v>
      </c>
      <c r="E401" s="1" t="n">
        <v>46224</v>
      </c>
      <c r="F401" t="inlineStr">
        <is>
          <t>UPPSALA LÄN</t>
        </is>
      </c>
      <c r="G401" t="inlineStr">
        <is>
          <t>ÖSTHAMMAR</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51364-2021</t>
        </is>
      </c>
      <c r="B402" t="inlineStr">
        <is>
          <t>avverkningsanmälan</t>
        </is>
      </c>
      <c r="C402" t="inlineStr">
        <is>
          <t>Föryngringsavverkning</t>
        </is>
      </c>
      <c r="D402" s="1" t="n">
        <v>44461</v>
      </c>
      <c r="E402" s="1" t="n">
        <v>46224</v>
      </c>
      <c r="F402" t="inlineStr">
        <is>
          <t>UPPSALA LÄN</t>
        </is>
      </c>
      <c r="G402" t="inlineStr">
        <is>
          <t>ÖSTHAMMAR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43915-2023</t>
        </is>
      </c>
      <c r="B403" t="inlineStr">
        <is>
          <t>avverkningsanmälan</t>
        </is>
      </c>
      <c r="C403" t="inlineStr">
        <is>
          <t>Föryngringsavverkning</t>
        </is>
      </c>
      <c r="D403" s="1" t="n">
        <v>45187</v>
      </c>
      <c r="E403" s="1" t="n">
        <v>46224</v>
      </c>
      <c r="F403" t="inlineStr">
        <is>
          <t>UPPSALA LÄN</t>
        </is>
      </c>
      <c r="G403" t="inlineStr">
        <is>
          <t>ÖSTHAMMAR</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28421-2023</t>
        </is>
      </c>
      <c r="B404" t="inlineStr">
        <is>
          <t>avverkningsanmälan</t>
        </is>
      </c>
      <c r="C404" t="inlineStr">
        <is>
          <t>Föryngringsavverkning</t>
        </is>
      </c>
      <c r="D404" s="1" t="n">
        <v>45102</v>
      </c>
      <c r="E404" s="1" t="n">
        <v>46224</v>
      </c>
      <c r="F404" t="inlineStr">
        <is>
          <t>UPPSALA LÄN</t>
        </is>
      </c>
      <c r="G404" t="inlineStr">
        <is>
          <t>ÖSTHAMMAR</t>
        </is>
      </c>
      <c r="H404" t="inlineStr">
        <is>
          <t>Bergvik skog öst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57156-2025</t>
        </is>
      </c>
      <c r="B405" t="inlineStr">
        <is>
          <t>avverkningsanmälan</t>
        </is>
      </c>
      <c r="C405" t="inlineStr">
        <is>
          <t>Föryngringsavverkning</t>
        </is>
      </c>
      <c r="D405" s="1" t="n">
        <v>45979</v>
      </c>
      <c r="E405" s="1" t="n">
        <v>46224</v>
      </c>
      <c r="F405" t="inlineStr">
        <is>
          <t>UPPSALA LÄN</t>
        </is>
      </c>
      <c r="G405" t="inlineStr">
        <is>
          <t>ÖSTHAMMAR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3642-2026</t>
        </is>
      </c>
      <c r="B406" t="inlineStr">
        <is>
          <t>avverkningsanmälan</t>
        </is>
      </c>
      <c r="C406" t="inlineStr">
        <is>
          <t>Föryngringsavverkning</t>
        </is>
      </c>
      <c r="D406" s="1" t="n">
        <v>46043</v>
      </c>
      <c r="E406" s="1" t="n">
        <v>46224</v>
      </c>
      <c r="F406" t="inlineStr">
        <is>
          <t>UPPSALA LÄN</t>
        </is>
      </c>
      <c r="G406" t="inlineStr">
        <is>
          <t>ÖSTHAMMAR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3668-2026</t>
        </is>
      </c>
      <c r="B407" t="inlineStr">
        <is>
          <t>avverkningsanmälan</t>
        </is>
      </c>
      <c r="C407" t="inlineStr">
        <is>
          <t>Föryngringsavverkning</t>
        </is>
      </c>
      <c r="D407" s="1" t="n">
        <v>46043</v>
      </c>
      <c r="E407" s="1" t="n">
        <v>46224</v>
      </c>
      <c r="F407" t="inlineStr">
        <is>
          <t>UPPSALA LÄN</t>
        </is>
      </c>
      <c r="G407" t="inlineStr">
        <is>
          <t>ÖSTHAMMAR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60603-2025</t>
        </is>
      </c>
      <c r="B408" t="inlineStr">
        <is>
          <t>avverkningsanmälan</t>
        </is>
      </c>
      <c r="C408" t="inlineStr">
        <is>
          <t>Föryngringsavverkning</t>
        </is>
      </c>
      <c r="D408" s="1" t="n">
        <v>45996</v>
      </c>
      <c r="E408" s="1" t="n">
        <v>46224</v>
      </c>
      <c r="F408" t="inlineStr">
        <is>
          <t>UPPSALA LÄN</t>
        </is>
      </c>
      <c r="G408" t="inlineStr">
        <is>
          <t>ÖSTHAMMAR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54368-2023</t>
        </is>
      </c>
      <c r="B409" t="inlineStr">
        <is>
          <t>avverkningsanmälan</t>
        </is>
      </c>
      <c r="C409" t="inlineStr">
        <is>
          <t>Föryngringsavverkning</t>
        </is>
      </c>
      <c r="D409" s="1" t="n">
        <v>45233</v>
      </c>
      <c r="E409" s="1" t="n">
        <v>46224</v>
      </c>
      <c r="F409" t="inlineStr">
        <is>
          <t>UPPSALA LÄN</t>
        </is>
      </c>
      <c r="G409" t="inlineStr">
        <is>
          <t>ÖSTHAMMAR</t>
        </is>
      </c>
      <c r="H409" t="inlineStr">
        <is>
          <t>Bergvik skog öst AB</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60910-2025</t>
        </is>
      </c>
      <c r="B410" t="inlineStr">
        <is>
          <t>avverkningsanmälan</t>
        </is>
      </c>
      <c r="C410" t="inlineStr">
        <is>
          <t>Föryngringsavverkning</t>
        </is>
      </c>
      <c r="D410" s="1" t="n">
        <v>45999</v>
      </c>
      <c r="E410" s="1" t="n">
        <v>46224</v>
      </c>
      <c r="F410" t="inlineStr">
        <is>
          <t>UPPSALA LÄN</t>
        </is>
      </c>
      <c r="G410" t="inlineStr">
        <is>
          <t>ÖSTHAMMAR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32815-2024</t>
        </is>
      </c>
      <c r="B411" t="inlineStr">
        <is>
          <t>avverkningsanmälan</t>
        </is>
      </c>
      <c r="C411" t="inlineStr">
        <is>
          <t>Föryngringsavverkning</t>
        </is>
      </c>
      <c r="D411" s="1" t="n">
        <v>45516</v>
      </c>
      <c r="E411" s="1" t="n">
        <v>46224</v>
      </c>
      <c r="F411" t="inlineStr">
        <is>
          <t>UPPSALA LÄN</t>
        </is>
      </c>
      <c r="G411" t="inlineStr">
        <is>
          <t>ÖSTHAMMAR</t>
        </is>
      </c>
      <c r="H411" t="inlineStr">
        <is>
          <t>Bergvik skog öst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5429-2023</t>
        </is>
      </c>
      <c r="B412" t="inlineStr">
        <is>
          <t>avverkningsanmälan</t>
        </is>
      </c>
      <c r="C412" t="inlineStr">
        <is>
          <t>Föryngringsavverkning</t>
        </is>
      </c>
      <c r="D412" s="1" t="n">
        <v>44959</v>
      </c>
      <c r="E412" s="1" t="n">
        <v>46224</v>
      </c>
      <c r="F412" t="inlineStr">
        <is>
          <t>UPPSALA LÄN</t>
        </is>
      </c>
      <c r="G412" t="inlineStr">
        <is>
          <t>ÖSTHAMMAR</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11008-2023</t>
        </is>
      </c>
      <c r="B413" t="inlineStr">
        <is>
          <t>avverkningsanmälan</t>
        </is>
      </c>
      <c r="C413" t="inlineStr">
        <is>
          <t>Föryngringsavverkning</t>
        </is>
      </c>
      <c r="D413" s="1" t="n">
        <v>44991</v>
      </c>
      <c r="E413" s="1" t="n">
        <v>46224</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60047-2021</t>
        </is>
      </c>
      <c r="B414" t="inlineStr">
        <is>
          <t>avverkningsanmälan</t>
        </is>
      </c>
      <c r="C414" t="inlineStr">
        <is>
          <t>Föryngringsavverkning</t>
        </is>
      </c>
      <c r="D414" s="1" t="n">
        <v>44495</v>
      </c>
      <c r="E414" s="1" t="n">
        <v>46224</v>
      </c>
      <c r="F414" t="inlineStr">
        <is>
          <t>UPPSALA LÄN</t>
        </is>
      </c>
      <c r="G414" t="inlineStr">
        <is>
          <t>ÖSTHAMMAR</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3926-2026</t>
        </is>
      </c>
      <c r="B415" t="inlineStr">
        <is>
          <t>avverkningsanmälan</t>
        </is>
      </c>
      <c r="C415" t="inlineStr">
        <is>
          <t>Föryngringsavverkning</t>
        </is>
      </c>
      <c r="D415" s="1" t="n">
        <v>46043</v>
      </c>
      <c r="E415" s="1" t="n">
        <v>46224</v>
      </c>
      <c r="F415" t="inlineStr">
        <is>
          <t>UPPSALA LÄN</t>
        </is>
      </c>
      <c r="G415" t="inlineStr">
        <is>
          <t>ÖSTHAMMAR</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3514-2023</t>
        </is>
      </c>
      <c r="B416" t="inlineStr">
        <is>
          <t>avverkningsanmälan</t>
        </is>
      </c>
      <c r="C416" t="inlineStr">
        <is>
          <t>Föryngringsavverkning</t>
        </is>
      </c>
      <c r="D416" s="1" t="n">
        <v>44950</v>
      </c>
      <c r="E416" s="1" t="n">
        <v>46224</v>
      </c>
      <c r="F416" t="inlineStr">
        <is>
          <t>UPPSALA LÄN</t>
        </is>
      </c>
      <c r="G416" t="inlineStr">
        <is>
          <t>ÖSTHAMMAR</t>
        </is>
      </c>
      <c r="H416" t="inlineStr">
        <is>
          <t>Övriga Aktiebolag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4570-2026</t>
        </is>
      </c>
      <c r="B417" t="inlineStr">
        <is>
          <t>avverkningsanmälan</t>
        </is>
      </c>
      <c r="C417" t="inlineStr">
        <is>
          <t>Föryngringsavverkning</t>
        </is>
      </c>
      <c r="D417" s="1" t="n">
        <v>46048</v>
      </c>
      <c r="E417" s="1" t="n">
        <v>46224</v>
      </c>
      <c r="F417" t="inlineStr">
        <is>
          <t>UPPSALA LÄN</t>
        </is>
      </c>
      <c r="G417" t="inlineStr">
        <is>
          <t>ÖSTHAMMAR</t>
        </is>
      </c>
      <c r="H417" t="inlineStr">
        <is>
          <t>Allmännings- och besparingsskogar</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24128-2023</t>
        </is>
      </c>
      <c r="B418" t="inlineStr">
        <is>
          <t>avverkningsanmälan</t>
        </is>
      </c>
      <c r="C418" t="inlineStr">
        <is>
          <t>Föryngringsavverkning</t>
        </is>
      </c>
      <c r="D418" s="1" t="n">
        <v>45079</v>
      </c>
      <c r="E418" s="1" t="n">
        <v>46224</v>
      </c>
      <c r="F418" t="inlineStr">
        <is>
          <t>UPPSALA LÄN</t>
        </is>
      </c>
      <c r="G418" t="inlineStr">
        <is>
          <t>ÖSTHAMMAR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33552-2024</t>
        </is>
      </c>
      <c r="B419" t="inlineStr">
        <is>
          <t>avverkningsanmälan</t>
        </is>
      </c>
      <c r="C419" t="inlineStr">
        <is>
          <t>Föryngringsavverkning</t>
        </is>
      </c>
      <c r="D419" s="1" t="n">
        <v>45519</v>
      </c>
      <c r="E419" s="1" t="n">
        <v>46224</v>
      </c>
      <c r="F419" t="inlineStr">
        <is>
          <t>UPPSALA LÄN</t>
        </is>
      </c>
      <c r="G419" t="inlineStr">
        <is>
          <t>ÖSTHAMMAR</t>
        </is>
      </c>
      <c r="H419" t="inlineStr">
        <is>
          <t>Bergvik skog öst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24181-2022</t>
        </is>
      </c>
      <c r="B420" t="inlineStr">
        <is>
          <t>avverkningsanmälan</t>
        </is>
      </c>
      <c r="C420" t="inlineStr">
        <is>
          <t>Föryngringsavverkning</t>
        </is>
      </c>
      <c r="D420" s="1" t="n">
        <v>44725</v>
      </c>
      <c r="E420" s="1" t="n">
        <v>46224</v>
      </c>
      <c r="F420" t="inlineStr">
        <is>
          <t>UPPSALA LÄN</t>
        </is>
      </c>
      <c r="G420" t="inlineStr">
        <is>
          <t>ÖSTHAMMAR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5469-2026</t>
        </is>
      </c>
      <c r="B421" t="inlineStr">
        <is>
          <t>avverkningsanmälan</t>
        </is>
      </c>
      <c r="C421" t="inlineStr">
        <is>
          <t>Avverkning för annat ändamål</t>
        </is>
      </c>
      <c r="D421" s="1" t="n">
        <v>46050</v>
      </c>
      <c r="E421" s="1" t="n">
        <v>46224</v>
      </c>
      <c r="F421" t="inlineStr">
        <is>
          <t>UPPSALA LÄN</t>
        </is>
      </c>
      <c r="G421" t="inlineStr">
        <is>
          <t>ÖSTHAMMAR</t>
        </is>
      </c>
      <c r="H421" t="inlineStr">
        <is>
          <t>Övriga Aktiebolag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19947-2024</t>
        </is>
      </c>
      <c r="B422" t="inlineStr">
        <is>
          <t>avverkningsanmälan</t>
        </is>
      </c>
      <c r="C422" t="inlineStr">
        <is>
          <t>Föryngringsavverkning</t>
        </is>
      </c>
      <c r="D422" s="1" t="n">
        <v>45433</v>
      </c>
      <c r="E422" s="1" t="n">
        <v>46224</v>
      </c>
      <c r="F422" t="inlineStr">
        <is>
          <t>UPPSALA LÄN</t>
        </is>
      </c>
      <c r="G422" t="inlineStr">
        <is>
          <t>ÖSTHAMMAR</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57-2023</t>
        </is>
      </c>
      <c r="B423" t="inlineStr">
        <is>
          <t>avverkningsanmälan</t>
        </is>
      </c>
      <c r="C423" t="inlineStr">
        <is>
          <t>Föryngringsavverkning</t>
        </is>
      </c>
      <c r="D423" s="1" t="n">
        <v>44928</v>
      </c>
      <c r="E423" s="1" t="n">
        <v>46224</v>
      </c>
      <c r="F423" t="inlineStr">
        <is>
          <t>UPPSALA LÄN</t>
        </is>
      </c>
      <c r="G423" t="inlineStr">
        <is>
          <t>ÖSTHAMMAR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59-2023</t>
        </is>
      </c>
      <c r="B424" t="inlineStr">
        <is>
          <t>avverkningsanmälan</t>
        </is>
      </c>
      <c r="C424" t="inlineStr">
        <is>
          <t>Föryngringsavverkning</t>
        </is>
      </c>
      <c r="D424" s="1" t="n">
        <v>44928</v>
      </c>
      <c r="E424" s="1" t="n">
        <v>46224</v>
      </c>
      <c r="F424" t="inlineStr">
        <is>
          <t>UPPSALA LÄN</t>
        </is>
      </c>
      <c r="G424" t="inlineStr">
        <is>
          <t>ÖSTHAMMAR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55079-2024</t>
        </is>
      </c>
      <c r="B425" t="inlineStr">
        <is>
          <t>avverkningsanmälan</t>
        </is>
      </c>
      <c r="C425" t="inlineStr">
        <is>
          <t>Föryngringsavverkning</t>
        </is>
      </c>
      <c r="D425" s="1" t="n">
        <v>45621</v>
      </c>
      <c r="E425" s="1" t="n">
        <v>46224</v>
      </c>
      <c r="F425" t="inlineStr">
        <is>
          <t>UPPSALA LÄN</t>
        </is>
      </c>
      <c r="G425" t="inlineStr">
        <is>
          <t>ÖSTHAMMAR</t>
        </is>
      </c>
      <c r="H425" t="inlineStr">
        <is>
          <t>Sveaskog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33680-2024</t>
        </is>
      </c>
      <c r="B426" t="inlineStr">
        <is>
          <t>avverkningsanmälan</t>
        </is>
      </c>
      <c r="C426" t="inlineStr">
        <is>
          <t>Föryngringsavverkning</t>
        </is>
      </c>
      <c r="D426" s="1" t="n">
        <v>45520</v>
      </c>
      <c r="E426" s="1" t="n">
        <v>46224</v>
      </c>
      <c r="F426" t="inlineStr">
        <is>
          <t>UPPSALA LÄN</t>
        </is>
      </c>
      <c r="G426" t="inlineStr">
        <is>
          <t>ÖSTHAMMAR</t>
        </is>
      </c>
      <c r="H426" t="inlineStr">
        <is>
          <t>Bergvik skog öst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6511-2026</t>
        </is>
      </c>
      <c r="B427" t="inlineStr">
        <is>
          <t>avverkningsanmälan</t>
        </is>
      </c>
      <c r="C427" t="inlineStr">
        <is>
          <t>Föryngringsavverkning</t>
        </is>
      </c>
      <c r="D427" s="1" t="n">
        <v>46056</v>
      </c>
      <c r="E427" s="1" t="n">
        <v>46224</v>
      </c>
      <c r="F427" t="inlineStr">
        <is>
          <t>UPPSALA LÄN</t>
        </is>
      </c>
      <c r="G427" t="inlineStr">
        <is>
          <t>ÖSTHAMMAR</t>
        </is>
      </c>
      <c r="H427" t="inlineStr">
        <is>
          <t>Bergvik skog öst AB</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30811-2023</t>
        </is>
      </c>
      <c r="B428" t="inlineStr">
        <is>
          <t>avverkningsanmälan</t>
        </is>
      </c>
      <c r="C428" t="inlineStr">
        <is>
          <t>Föryngringsavverkning</t>
        </is>
      </c>
      <c r="D428" s="1" t="n">
        <v>45112</v>
      </c>
      <c r="E428" s="1" t="n">
        <v>46224</v>
      </c>
      <c r="F428" t="inlineStr">
        <is>
          <t>UPPSALA LÄN</t>
        </is>
      </c>
      <c r="G428" t="inlineStr">
        <is>
          <t>ÖSTHAMMAR</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6517-2026</t>
        </is>
      </c>
      <c r="B429" t="inlineStr">
        <is>
          <t>avverkningsanmälan</t>
        </is>
      </c>
      <c r="C429" t="inlineStr">
        <is>
          <t>Föryngringsavverkning</t>
        </is>
      </c>
      <c r="D429" s="1" t="n">
        <v>46056</v>
      </c>
      <c r="E429" s="1" t="n">
        <v>46224</v>
      </c>
      <c r="F429" t="inlineStr">
        <is>
          <t>UPPSALA LÄN</t>
        </is>
      </c>
      <c r="G429" t="inlineStr">
        <is>
          <t>ÖSTHAMMAR</t>
        </is>
      </c>
      <c r="H429" t="inlineStr">
        <is>
          <t>Bergvik skog öst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6884-2026</t>
        </is>
      </c>
      <c r="B430" t="inlineStr">
        <is>
          <t>avverkningsanmälan</t>
        </is>
      </c>
      <c r="C430" t="inlineStr">
        <is>
          <t>Föryngringsavverkning</t>
        </is>
      </c>
      <c r="D430" s="1" t="n">
        <v>46057</v>
      </c>
      <c r="E430" s="1" t="n">
        <v>46224</v>
      </c>
      <c r="F430" t="inlineStr">
        <is>
          <t>UPPSALA LÄN</t>
        </is>
      </c>
      <c r="G430" t="inlineStr">
        <is>
          <t>ÖSTHAMMAR</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6635-2026</t>
        </is>
      </c>
      <c r="B431" t="inlineStr">
        <is>
          <t>avverkningsanmälan</t>
        </is>
      </c>
      <c r="C431" t="inlineStr">
        <is>
          <t>Föryngringsavverkning</t>
        </is>
      </c>
      <c r="D431" s="1" t="n">
        <v>46056</v>
      </c>
      <c r="E431" s="1" t="n">
        <v>46224</v>
      </c>
      <c r="F431" t="inlineStr">
        <is>
          <t>UPPSALA LÄN</t>
        </is>
      </c>
      <c r="G431" t="inlineStr">
        <is>
          <t>ÖSTHAMMAR</t>
        </is>
      </c>
      <c r="H431" t="inlineStr">
        <is>
          <t>Bergvik skog öst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6522-2026</t>
        </is>
      </c>
      <c r="B432" t="inlineStr">
        <is>
          <t>avverkningsanmälan</t>
        </is>
      </c>
      <c r="C432" t="inlineStr">
        <is>
          <t>Föryngringsavverkning</t>
        </is>
      </c>
      <c r="D432" s="1" t="n">
        <v>46056</v>
      </c>
      <c r="E432" s="1" t="n">
        <v>46224</v>
      </c>
      <c r="F432" t="inlineStr">
        <is>
          <t>UPPSALA LÄN</t>
        </is>
      </c>
      <c r="G432" t="inlineStr">
        <is>
          <t>ÖSTHAMMAR</t>
        </is>
      </c>
      <c r="H432" t="inlineStr">
        <is>
          <t>Bergvik skog öst AB</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55646-2021</t>
        </is>
      </c>
      <c r="B433" t="inlineStr">
        <is>
          <t>avverkningsanmälan</t>
        </is>
      </c>
      <c r="C433" t="inlineStr">
        <is>
          <t>Föryngringsavverkning</t>
        </is>
      </c>
      <c r="D433" s="1" t="n">
        <v>44476</v>
      </c>
      <c r="E433" s="1" t="n">
        <v>46224</v>
      </c>
      <c r="F433" t="inlineStr">
        <is>
          <t>UPPSALA LÄN</t>
        </is>
      </c>
      <c r="G433" t="inlineStr">
        <is>
          <t>ÖSTHAMMAR</t>
        </is>
      </c>
      <c r="H433" t="inlineStr">
        <is>
          <t>Bergvik skog öst AB</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61443-2024</t>
        </is>
      </c>
      <c r="B434" t="inlineStr">
        <is>
          <t>avverkningsanmälan</t>
        </is>
      </c>
      <c r="C434" t="inlineStr">
        <is>
          <t>Föryngringsavverkning</t>
        </is>
      </c>
      <c r="D434" s="1" t="n">
        <v>45646</v>
      </c>
      <c r="E434" s="1" t="n">
        <v>46224</v>
      </c>
      <c r="F434" t="inlineStr">
        <is>
          <t>UPPSALA LÄN</t>
        </is>
      </c>
      <c r="G434" t="inlineStr">
        <is>
          <t>ÖSTHAMMAR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7241-2026</t>
        </is>
      </c>
      <c r="B435" t="inlineStr">
        <is>
          <t>avverkningsanmälan</t>
        </is>
      </c>
      <c r="C435" t="inlineStr">
        <is>
          <t>Föryngringsavverkning</t>
        </is>
      </c>
      <c r="D435" s="1" t="n">
        <v>46058</v>
      </c>
      <c r="E435" s="1" t="n">
        <v>46224</v>
      </c>
      <c r="F435" t="inlineStr">
        <is>
          <t>UPPSALA LÄN</t>
        </is>
      </c>
      <c r="G435" t="inlineStr">
        <is>
          <t>ÖSTHAMMAR</t>
        </is>
      </c>
      <c r="H435" t="inlineStr">
        <is>
          <t>Övriga Aktiebolag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7262-2026</t>
        </is>
      </c>
      <c r="B436" t="inlineStr">
        <is>
          <t>avverkningsanmälan</t>
        </is>
      </c>
      <c r="C436" t="inlineStr">
        <is>
          <t>Föryngringsavverkning</t>
        </is>
      </c>
      <c r="D436" s="1" t="n">
        <v>46058</v>
      </c>
      <c r="E436" s="1" t="n">
        <v>46224</v>
      </c>
      <c r="F436" t="inlineStr">
        <is>
          <t>UPPSALA LÄN</t>
        </is>
      </c>
      <c r="G436" t="inlineStr">
        <is>
          <t>ÖSTHAMMAR</t>
        </is>
      </c>
      <c r="H436" t="inlineStr">
        <is>
          <t>Övriga Aktiebolag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8030-2026</t>
        </is>
      </c>
      <c r="B437" t="inlineStr">
        <is>
          <t>avverkningsanmälan</t>
        </is>
      </c>
      <c r="C437" t="inlineStr">
        <is>
          <t>Föryngringsavverkning</t>
        </is>
      </c>
      <c r="D437" s="1" t="n">
        <v>46063</v>
      </c>
      <c r="E437" s="1" t="n">
        <v>46224</v>
      </c>
      <c r="F437" t="inlineStr">
        <is>
          <t>UPPSALA LÄN</t>
        </is>
      </c>
      <c r="G437" t="inlineStr">
        <is>
          <t>ÖSTHAMMAR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18731-2022</t>
        </is>
      </c>
      <c r="B438" t="inlineStr">
        <is>
          <t>avverkningsanmälan</t>
        </is>
      </c>
      <c r="C438" t="inlineStr">
        <is>
          <t>Föryngringsavverkning</t>
        </is>
      </c>
      <c r="D438" s="1" t="n">
        <v>44687</v>
      </c>
      <c r="E438" s="1" t="n">
        <v>46224</v>
      </c>
      <c r="F438" t="inlineStr">
        <is>
          <t>UPPSALA LÄN</t>
        </is>
      </c>
      <c r="G438" t="inlineStr">
        <is>
          <t>ÖSTHAMMAR</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9642-2024</t>
        </is>
      </c>
      <c r="B439" t="inlineStr">
        <is>
          <t>avverkningsanmälan</t>
        </is>
      </c>
      <c r="C439" t="inlineStr">
        <is>
          <t>Föryngringsavverkning</t>
        </is>
      </c>
      <c r="D439" s="1" t="n">
        <v>45362</v>
      </c>
      <c r="E439" s="1" t="n">
        <v>46224</v>
      </c>
      <c r="F439" t="inlineStr">
        <is>
          <t>UPPSALA LÄN</t>
        </is>
      </c>
      <c r="G439" t="inlineStr">
        <is>
          <t>ÖSTHAMMAR</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8530-2026</t>
        </is>
      </c>
      <c r="B440" t="inlineStr">
        <is>
          <t>avverkningsanmälan</t>
        </is>
      </c>
      <c r="C440" t="inlineStr">
        <is>
          <t>Föryngringsavverkning</t>
        </is>
      </c>
      <c r="D440" s="1" t="n">
        <v>46065</v>
      </c>
      <c r="E440" s="1" t="n">
        <v>46224</v>
      </c>
      <c r="F440" t="inlineStr">
        <is>
          <t>UPPSALA LÄN</t>
        </is>
      </c>
      <c r="G440" t="inlineStr">
        <is>
          <t>ÖSTHAMMAR</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8269-2026</t>
        </is>
      </c>
      <c r="B441" t="inlineStr">
        <is>
          <t>avverkningsanmälan</t>
        </is>
      </c>
      <c r="C441" t="inlineStr">
        <is>
          <t>Föryngringsavverkning</t>
        </is>
      </c>
      <c r="D441" s="1" t="n">
        <v>46064</v>
      </c>
      <c r="E441" s="1" t="n">
        <v>46224</v>
      </c>
      <c r="F441" t="inlineStr">
        <is>
          <t>UPPSALA LÄN</t>
        </is>
      </c>
      <c r="G441" t="inlineStr">
        <is>
          <t>ÖSTHAMMAR</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8291-2026</t>
        </is>
      </c>
      <c r="B442" t="inlineStr">
        <is>
          <t>avverkningsanmälan</t>
        </is>
      </c>
      <c r="C442" t="inlineStr">
        <is>
          <t>Föryngringsavverkning</t>
        </is>
      </c>
      <c r="D442" s="1" t="n">
        <v>46064</v>
      </c>
      <c r="E442" s="1" t="n">
        <v>46224</v>
      </c>
      <c r="F442" t="inlineStr">
        <is>
          <t>UPPSALA LÄN</t>
        </is>
      </c>
      <c r="G442" t="inlineStr">
        <is>
          <t>ÖSTHAMMAR</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8525-2026</t>
        </is>
      </c>
      <c r="B443" t="inlineStr">
        <is>
          <t>avverkningsanmälan</t>
        </is>
      </c>
      <c r="C443" t="inlineStr">
        <is>
          <t>Föryngringsavverkning</t>
        </is>
      </c>
      <c r="D443" s="1" t="n">
        <v>46065</v>
      </c>
      <c r="E443" s="1" t="n">
        <v>46224</v>
      </c>
      <c r="F443" t="inlineStr">
        <is>
          <t>UPPSALA LÄN</t>
        </is>
      </c>
      <c r="G443" t="inlineStr">
        <is>
          <t>ÖSTHAMMAR</t>
        </is>
      </c>
      <c r="H443" t="inlineStr">
        <is>
          <t>Övriga Aktiebolag</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28429-2023</t>
        </is>
      </c>
      <c r="B444" t="inlineStr">
        <is>
          <t>avverkningsanmälan</t>
        </is>
      </c>
      <c r="C444" t="inlineStr">
        <is>
          <t>Föryngringsavverkning</t>
        </is>
      </c>
      <c r="D444" s="1" t="n">
        <v>45102</v>
      </c>
      <c r="E444" s="1" t="n">
        <v>46224</v>
      </c>
      <c r="F444" t="inlineStr">
        <is>
          <t>UPPSALA LÄN</t>
        </is>
      </c>
      <c r="G444" t="inlineStr">
        <is>
          <t>ÖSTHAMMAR</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30755-2024</t>
        </is>
      </c>
      <c r="B445" t="inlineStr">
        <is>
          <t>avverkningsanmälan</t>
        </is>
      </c>
      <c r="C445" t="inlineStr">
        <is>
          <t>Föryngringsavverkning</t>
        </is>
      </c>
      <c r="D445" s="1" t="n">
        <v>45496</v>
      </c>
      <c r="E445" s="1" t="n">
        <v>46224</v>
      </c>
      <c r="F445" t="inlineStr">
        <is>
          <t>UPPSALA LÄN</t>
        </is>
      </c>
      <c r="G445" t="inlineStr">
        <is>
          <t>ÖSTHAMMAR</t>
        </is>
      </c>
      <c r="H445" t="inlineStr">
        <is>
          <t>Bergvik skog öst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4562-2022</t>
        </is>
      </c>
      <c r="B446" t="inlineStr">
        <is>
          <t>avverkningsanmälan</t>
        </is>
      </c>
      <c r="C446" t="inlineStr">
        <is>
          <t>Föryngringsavverkning</t>
        </is>
      </c>
      <c r="D446" s="1" t="n">
        <v>44591</v>
      </c>
      <c r="E446" s="1" t="n">
        <v>46224</v>
      </c>
      <c r="F446" t="inlineStr">
        <is>
          <t>UPPSALA LÄN</t>
        </is>
      </c>
      <c r="G446" t="inlineStr">
        <is>
          <t>ÖSTHAMMAR</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53733-2023</t>
        </is>
      </c>
      <c r="B447" t="inlineStr">
        <is>
          <t>avverkningsanmälan</t>
        </is>
      </c>
      <c r="C447" t="inlineStr">
        <is>
          <t>Föryngringsavverkning</t>
        </is>
      </c>
      <c r="D447" s="1" t="n">
        <v>45230</v>
      </c>
      <c r="E447" s="1" t="n">
        <v>46224</v>
      </c>
      <c r="F447" t="inlineStr">
        <is>
          <t>UPPSALA LÄN</t>
        </is>
      </c>
      <c r="G447" t="inlineStr">
        <is>
          <t>ÖSTHAMMAR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41308-2023</t>
        </is>
      </c>
      <c r="B448" t="inlineStr">
        <is>
          <t>avverkningsanmälan</t>
        </is>
      </c>
      <c r="C448" t="inlineStr">
        <is>
          <t>Föryngringsavverkning</t>
        </is>
      </c>
      <c r="D448" s="1" t="n">
        <v>45174</v>
      </c>
      <c r="E448" s="1" t="n">
        <v>46224</v>
      </c>
      <c r="F448" t="inlineStr">
        <is>
          <t>UPPSALA LÄN</t>
        </is>
      </c>
      <c r="G448" t="inlineStr">
        <is>
          <t>ÖSTHAMMAR</t>
        </is>
      </c>
      <c r="H448" t="inlineStr">
        <is>
          <t>Övriga Aktiebolag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17969-2023</t>
        </is>
      </c>
      <c r="B449" t="inlineStr">
        <is>
          <t>avverkningsanmälan</t>
        </is>
      </c>
      <c r="C449" t="inlineStr">
        <is>
          <t>Föryngringsavverkning</t>
        </is>
      </c>
      <c r="D449" s="1" t="n">
        <v>45040</v>
      </c>
      <c r="E449" s="1" t="n">
        <v>46224</v>
      </c>
      <c r="F449" t="inlineStr">
        <is>
          <t>UPPSALA LÄN</t>
        </is>
      </c>
      <c r="G449" t="inlineStr">
        <is>
          <t>ÖSTHAMMAR</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9664-2026</t>
        </is>
      </c>
      <c r="B450" t="inlineStr">
        <is>
          <t>avverkningsanmälan</t>
        </is>
      </c>
      <c r="C450" t="inlineStr">
        <is>
          <t>Föryngringsavverkning</t>
        </is>
      </c>
      <c r="D450" s="1" t="n">
        <v>46072</v>
      </c>
      <c r="E450" s="1" t="n">
        <v>46224</v>
      </c>
      <c r="F450" t="inlineStr">
        <is>
          <t>UPPSALA LÄN</t>
        </is>
      </c>
      <c r="G450" t="inlineStr">
        <is>
          <t>ÖSTHAMMAR</t>
        </is>
      </c>
      <c r="H450" t="inlineStr">
        <is>
          <t>Bergvik skog öst AB</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25969-2023</t>
        </is>
      </c>
      <c r="B451" t="inlineStr">
        <is>
          <t>avverkningsanmälan</t>
        </is>
      </c>
      <c r="C451" t="inlineStr">
        <is>
          <t>Föryngringsavverkning</t>
        </is>
      </c>
      <c r="D451" s="1" t="n">
        <v>45090</v>
      </c>
      <c r="E451" s="1" t="n">
        <v>46224</v>
      </c>
      <c r="F451" t="inlineStr">
        <is>
          <t>UPPSALA LÄN</t>
        </is>
      </c>
      <c r="G451" t="inlineStr">
        <is>
          <t>ÖSTHAMMAR</t>
        </is>
      </c>
      <c r="H451" t="inlineStr">
        <is>
          <t>Sveaskog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50998-2023</t>
        </is>
      </c>
      <c r="B452" t="inlineStr">
        <is>
          <t>avverkningsanmälan</t>
        </is>
      </c>
      <c r="C452" t="inlineStr">
        <is>
          <t>Föryngringsavverkning</t>
        </is>
      </c>
      <c r="D452" s="1" t="n">
        <v>45218</v>
      </c>
      <c r="E452" s="1" t="n">
        <v>46224</v>
      </c>
      <c r="F452" t="inlineStr">
        <is>
          <t>UPPSALA LÄN</t>
        </is>
      </c>
      <c r="G452" t="inlineStr">
        <is>
          <t>ÖSTHAMMAR</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55837-2023</t>
        </is>
      </c>
      <c r="B453" t="inlineStr">
        <is>
          <t>avverkningsanmälan</t>
        </is>
      </c>
      <c r="C453" t="inlineStr">
        <is>
          <t>Föryngringsavverkning</t>
        </is>
      </c>
      <c r="D453" s="1" t="n">
        <v>45239</v>
      </c>
      <c r="E453" s="1" t="n">
        <v>46224</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18838-2023</t>
        </is>
      </c>
      <c r="B454" t="inlineStr">
        <is>
          <t>avverkningsanmälan</t>
        </is>
      </c>
      <c r="C454" t="inlineStr">
        <is>
          <t>Föryngringsavverkning</t>
        </is>
      </c>
      <c r="D454" s="1" t="n">
        <v>45044</v>
      </c>
      <c r="E454" s="1" t="n">
        <v>46224</v>
      </c>
      <c r="F454" t="inlineStr">
        <is>
          <t>UPPSALA LÄN</t>
        </is>
      </c>
      <c r="G454" t="inlineStr">
        <is>
          <t>ÖSTHAMMAR</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59382-2022</t>
        </is>
      </c>
      <c r="B455" t="inlineStr">
        <is>
          <t>avverkningsanmälan</t>
        </is>
      </c>
      <c r="C455" t="inlineStr">
        <is>
          <t>Föryngringsavverkning</t>
        </is>
      </c>
      <c r="D455" s="1" t="n">
        <v>44905</v>
      </c>
      <c r="E455" s="1" t="n">
        <v>46224</v>
      </c>
      <c r="F455" t="inlineStr">
        <is>
          <t>UPPSALA LÄN</t>
        </is>
      </c>
      <c r="G455" t="inlineStr">
        <is>
          <t>ÖSTHAMMAR</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17085-2025</t>
        </is>
      </c>
      <c r="B456" t="inlineStr">
        <is>
          <t>avverkningsanmälan</t>
        </is>
      </c>
      <c r="C456" t="inlineStr">
        <is>
          <t>Föryngringsavverkning</t>
        </is>
      </c>
      <c r="D456" s="1" t="n">
        <v>45755</v>
      </c>
      <c r="E456" s="1" t="n">
        <v>46224</v>
      </c>
      <c r="F456" t="inlineStr">
        <is>
          <t>UPPSALA LÄN</t>
        </is>
      </c>
      <c r="G456" t="inlineStr">
        <is>
          <t>ÖSTHAMMAR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29231-2024</t>
        </is>
      </c>
      <c r="B457" t="inlineStr">
        <is>
          <t>avverkningsanmälan</t>
        </is>
      </c>
      <c r="C457" t="inlineStr">
        <is>
          <t>Föryngringsavverkning</t>
        </is>
      </c>
      <c r="D457" s="1" t="n">
        <v>45482</v>
      </c>
      <c r="E457" s="1" t="n">
        <v>46224</v>
      </c>
      <c r="F457" t="inlineStr">
        <is>
          <t>UPPSALA LÄN</t>
        </is>
      </c>
      <c r="G457" t="inlineStr">
        <is>
          <t>ÖSTHAMMAR</t>
        </is>
      </c>
      <c r="H457" t="inlineStr">
        <is>
          <t>Bergvik skog öst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12150-2026</t>
        </is>
      </c>
      <c r="B458" t="inlineStr">
        <is>
          <t>avverkningsanmälan</t>
        </is>
      </c>
      <c r="C458" t="inlineStr">
        <is>
          <t>Föryngringsavverkning</t>
        </is>
      </c>
      <c r="D458" s="1" t="n">
        <v>46086</v>
      </c>
      <c r="E458" s="1" t="n">
        <v>46224</v>
      </c>
      <c r="F458" t="inlineStr">
        <is>
          <t>UPPSALA LÄN</t>
        </is>
      </c>
      <c r="G458" t="inlineStr">
        <is>
          <t>ÖSTHAMMAR</t>
        </is>
      </c>
      <c r="H458" t="inlineStr">
        <is>
          <t>Bergvik skog öst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9264-2024</t>
        </is>
      </c>
      <c r="B459" t="inlineStr">
        <is>
          <t>avverkningsanmälan</t>
        </is>
      </c>
      <c r="C459" t="inlineStr">
        <is>
          <t>Föryngringsavverkning</t>
        </is>
      </c>
      <c r="D459" s="1" t="n">
        <v>45358</v>
      </c>
      <c r="E459" s="1" t="n">
        <v>46224</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11643-2022</t>
        </is>
      </c>
      <c r="B460" t="inlineStr">
        <is>
          <t>avverkningsanmälan</t>
        </is>
      </c>
      <c r="C460" t="inlineStr">
        <is>
          <t>Föryngringsavverkning</t>
        </is>
      </c>
      <c r="D460" s="1" t="n">
        <v>44631</v>
      </c>
      <c r="E460" s="1" t="n">
        <v>46224</v>
      </c>
      <c r="F460" t="inlineStr">
        <is>
          <t>UPPSALA LÄN</t>
        </is>
      </c>
      <c r="G460" t="inlineStr">
        <is>
          <t>ÖSTHAMMAR</t>
        </is>
      </c>
      <c r="H460" t="inlineStr">
        <is>
          <t>Bergvik skog öst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12151-2026</t>
        </is>
      </c>
      <c r="B461" t="inlineStr">
        <is>
          <t>avverkningsanmälan</t>
        </is>
      </c>
      <c r="C461" t="inlineStr">
        <is>
          <t>Föryngringsavverkning</t>
        </is>
      </c>
      <c r="D461" s="1" t="n">
        <v>46086</v>
      </c>
      <c r="E461" s="1" t="n">
        <v>46224</v>
      </c>
      <c r="F461" t="inlineStr">
        <is>
          <t>UPPSALA LÄN</t>
        </is>
      </c>
      <c r="G461" t="inlineStr">
        <is>
          <t>ÖSTHAMMAR</t>
        </is>
      </c>
      <c r="H461" t="inlineStr">
        <is>
          <t>Bergvik skog öst AB</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34607-2023</t>
        </is>
      </c>
      <c r="B462" t="inlineStr">
        <is>
          <t>avverkningsanmälan</t>
        </is>
      </c>
      <c r="C462" t="inlineStr">
        <is>
          <t>Föryngringsavverkning</t>
        </is>
      </c>
      <c r="D462" s="1" t="n">
        <v>45138</v>
      </c>
      <c r="E462" s="1" t="n">
        <v>46224</v>
      </c>
      <c r="F462" t="inlineStr">
        <is>
          <t>UPPSALA LÄN</t>
        </is>
      </c>
      <c r="G462" t="inlineStr">
        <is>
          <t>ÖSTHAMMAR</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5215-2025</t>
        </is>
      </c>
      <c r="B463" t="inlineStr">
        <is>
          <t>avverkningsanmälan</t>
        </is>
      </c>
      <c r="C463" t="inlineStr">
        <is>
          <t>Föryngringsavverkning</t>
        </is>
      </c>
      <c r="D463" s="1" t="n">
        <v>45691</v>
      </c>
      <c r="E463" s="1" t="n">
        <v>46224</v>
      </c>
      <c r="F463" t="inlineStr">
        <is>
          <t>UPPSALA LÄN</t>
        </is>
      </c>
      <c r="G463" t="inlineStr">
        <is>
          <t>ÖSTHAMMAR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2733-2023</t>
        </is>
      </c>
      <c r="B464" t="inlineStr">
        <is>
          <t>avverkningsanmälan</t>
        </is>
      </c>
      <c r="C464" t="inlineStr">
        <is>
          <t>Avverkning för annat ändamål</t>
        </is>
      </c>
      <c r="D464" s="1" t="n">
        <v>44943</v>
      </c>
      <c r="E464" s="1" t="n">
        <v>46224</v>
      </c>
      <c r="F464" t="inlineStr">
        <is>
          <t>UPPSALA LÄN</t>
        </is>
      </c>
      <c r="G464" t="inlineStr">
        <is>
          <t>ÖSTHAMMAR</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12261-2026</t>
        </is>
      </c>
      <c r="B465" t="inlineStr">
        <is>
          <t>avverkningsanmälan</t>
        </is>
      </c>
      <c r="C465" t="inlineStr">
        <is>
          <t>Föryngringsavverkning</t>
        </is>
      </c>
      <c r="D465" s="1" t="n">
        <v>46087</v>
      </c>
      <c r="E465" s="1" t="n">
        <v>46224</v>
      </c>
      <c r="F465" t="inlineStr">
        <is>
          <t>UPPSALA LÄN</t>
        </is>
      </c>
      <c r="G465" t="inlineStr">
        <is>
          <t>ÖSTHAMMAR</t>
        </is>
      </c>
      <c r="H465" t="inlineStr">
        <is>
          <t>Övriga Aktiebolag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12262-2026</t>
        </is>
      </c>
      <c r="B466" t="inlineStr">
        <is>
          <t>avverkningsanmälan</t>
        </is>
      </c>
      <c r="C466" t="inlineStr">
        <is>
          <t>Föryngringsavverkning</t>
        </is>
      </c>
      <c r="D466" s="1" t="n">
        <v>46087</v>
      </c>
      <c r="E466" s="1" t="n">
        <v>46224</v>
      </c>
      <c r="F466" t="inlineStr">
        <is>
          <t>UPPSALA LÄN</t>
        </is>
      </c>
      <c r="G466" t="inlineStr">
        <is>
          <t>ÖSTHAMMAR</t>
        </is>
      </c>
      <c r="H466" t="inlineStr">
        <is>
          <t>Övriga Aktiebolag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12387-2026</t>
        </is>
      </c>
      <c r="B467" t="inlineStr">
        <is>
          <t>avverkningsanmälan</t>
        </is>
      </c>
      <c r="C467" t="inlineStr">
        <is>
          <t>Föryngringsavverkning</t>
        </is>
      </c>
      <c r="D467" s="1" t="n">
        <v>46090</v>
      </c>
      <c r="E467" s="1" t="n">
        <v>46224</v>
      </c>
      <c r="F467" t="inlineStr">
        <is>
          <t>UPPSALA LÄN</t>
        </is>
      </c>
      <c r="G467" t="inlineStr">
        <is>
          <t>ÖSTHAMMAR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34971-2022</t>
        </is>
      </c>
      <c r="B468" t="inlineStr">
        <is>
          <t>avverkningsanmälan</t>
        </is>
      </c>
      <c r="C468" t="inlineStr">
        <is>
          <t>Föryngringsavverkning</t>
        </is>
      </c>
      <c r="D468" s="1" t="n">
        <v>44796</v>
      </c>
      <c r="E468" s="1" t="n">
        <v>46224</v>
      </c>
      <c r="F468" t="inlineStr">
        <is>
          <t>UPPSALA LÄN</t>
        </is>
      </c>
      <c r="G468" t="inlineStr">
        <is>
          <t>ÖSTHAMMAR</t>
        </is>
      </c>
      <c r="H468" t="inlineStr">
        <is>
          <t>Bergvik skog öst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3725-2022</t>
        </is>
      </c>
      <c r="B469" t="inlineStr">
        <is>
          <t>avverkningsanmälan</t>
        </is>
      </c>
      <c r="C469" t="inlineStr">
        <is>
          <t>Avverkning för annat ändamål</t>
        </is>
      </c>
      <c r="D469" s="1" t="n">
        <v>44586</v>
      </c>
      <c r="E469" s="1" t="n">
        <v>46224</v>
      </c>
      <c r="F469" t="inlineStr">
        <is>
          <t>UPPSALA LÄN</t>
        </is>
      </c>
      <c r="G469" t="inlineStr">
        <is>
          <t>ÖSTHAMMAR</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12812-2024</t>
        </is>
      </c>
      <c r="B470" t="inlineStr">
        <is>
          <t>avverkningsanmälan</t>
        </is>
      </c>
      <c r="C470" t="inlineStr">
        <is>
          <t>Föryngringsavverkning</t>
        </is>
      </c>
      <c r="D470" s="1" t="n">
        <v>45384</v>
      </c>
      <c r="E470" s="1" t="n">
        <v>46224</v>
      </c>
      <c r="F470" t="inlineStr">
        <is>
          <t>UPPSALA LÄN</t>
        </is>
      </c>
      <c r="G470" t="inlineStr">
        <is>
          <t>ÖSTHAMMAR</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12263-2026</t>
        </is>
      </c>
      <c r="B471" t="inlineStr">
        <is>
          <t>avverkningsanmälan</t>
        </is>
      </c>
      <c r="C471" t="inlineStr">
        <is>
          <t>Föryngringsavverkning</t>
        </is>
      </c>
      <c r="D471" s="1" t="n">
        <v>46087</v>
      </c>
      <c r="E471" s="1" t="n">
        <v>46224</v>
      </c>
      <c r="F471" t="inlineStr">
        <is>
          <t>UPPSALA LÄN</t>
        </is>
      </c>
      <c r="G471" t="inlineStr">
        <is>
          <t>ÖSTHAMMAR</t>
        </is>
      </c>
      <c r="H471" t="inlineStr">
        <is>
          <t>Övriga Aktiebolag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28170-2023</t>
        </is>
      </c>
      <c r="B472" t="inlineStr">
        <is>
          <t>avverkningsanmälan</t>
        </is>
      </c>
      <c r="C472" t="inlineStr">
        <is>
          <t>Föryngringsavverkning</t>
        </is>
      </c>
      <c r="D472" s="1" t="n">
        <v>45093</v>
      </c>
      <c r="E472" s="1" t="n">
        <v>46224</v>
      </c>
      <c r="F472" t="inlineStr">
        <is>
          <t>UPPSALA LÄN</t>
        </is>
      </c>
      <c r="G472" t="inlineStr">
        <is>
          <t>ÖSTHAMMAR</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7876-2023</t>
        </is>
      </c>
      <c r="B473" t="inlineStr">
        <is>
          <t>avverkningsanmälan</t>
        </is>
      </c>
      <c r="C473" t="inlineStr">
        <is>
          <t>Föryngringsavverkning</t>
        </is>
      </c>
      <c r="D473" s="1" t="n">
        <v>44973</v>
      </c>
      <c r="E473" s="1" t="n">
        <v>46224</v>
      </c>
      <c r="F473" t="inlineStr">
        <is>
          <t>UPPSALA LÄN</t>
        </is>
      </c>
      <c r="G473" t="inlineStr">
        <is>
          <t>ÖSTHAMMAR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14433-2024</t>
        </is>
      </c>
      <c r="B474" t="inlineStr">
        <is>
          <t>avverkningsanmälan</t>
        </is>
      </c>
      <c r="C474" t="inlineStr">
        <is>
          <t>Föryngringsavverkning</t>
        </is>
      </c>
      <c r="D474" s="1" t="n">
        <v>45394</v>
      </c>
      <c r="E474" s="1" t="n">
        <v>46224</v>
      </c>
      <c r="F474" t="inlineStr">
        <is>
          <t>UPPSALA LÄN</t>
        </is>
      </c>
      <c r="G474" t="inlineStr">
        <is>
          <t>ÖSTHAMMAR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13472-2026</t>
        </is>
      </c>
      <c r="B475" t="inlineStr">
        <is>
          <t>avverkningsanmälan</t>
        </is>
      </c>
      <c r="C475" t="inlineStr">
        <is>
          <t>Föryngringsavverkning</t>
        </is>
      </c>
      <c r="D475" s="1" t="n">
        <v>46094</v>
      </c>
      <c r="E475" s="1" t="n">
        <v>46224</v>
      </c>
      <c r="F475" t="inlineStr">
        <is>
          <t>UPPSALA LÄN</t>
        </is>
      </c>
      <c r="G475" t="inlineStr">
        <is>
          <t>ÖSTHAMMAR</t>
        </is>
      </c>
      <c r="H475" t="inlineStr">
        <is>
          <t>Övriga Aktiebolag</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20038-2023</t>
        </is>
      </c>
      <c r="B476" t="inlineStr">
        <is>
          <t>avverkningsanmälan</t>
        </is>
      </c>
      <c r="C476" t="inlineStr">
        <is>
          <t>Föryngringsavverkning</t>
        </is>
      </c>
      <c r="D476" s="1" t="n">
        <v>45054</v>
      </c>
      <c r="E476" s="1" t="n">
        <v>46224</v>
      </c>
      <c r="F476" t="inlineStr">
        <is>
          <t>UPPSALA LÄN</t>
        </is>
      </c>
      <c r="G476" t="inlineStr">
        <is>
          <t>ÖSTHAMMAR</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13738-2023</t>
        </is>
      </c>
      <c r="B477" t="inlineStr">
        <is>
          <t>avverkningsanmälan</t>
        </is>
      </c>
      <c r="C477" t="inlineStr">
        <is>
          <t>Föryngringsavverkning</t>
        </is>
      </c>
      <c r="D477" s="1" t="n">
        <v>45007</v>
      </c>
      <c r="E477" s="1" t="n">
        <v>46224</v>
      </c>
      <c r="F477" t="inlineStr">
        <is>
          <t>UPPSALA LÄN</t>
        </is>
      </c>
      <c r="G477" t="inlineStr">
        <is>
          <t>ÖSTHAMMAR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14007-2026</t>
        </is>
      </c>
      <c r="B478" t="inlineStr">
        <is>
          <t>avverkningsanmälan</t>
        </is>
      </c>
      <c r="C478" t="inlineStr">
        <is>
          <t>Föryngringsavverkning</t>
        </is>
      </c>
      <c r="D478" s="1" t="n">
        <v>46098</v>
      </c>
      <c r="E478" s="1" t="n">
        <v>46224</v>
      </c>
      <c r="F478" t="inlineStr">
        <is>
          <t>UPPSALA LÄN</t>
        </is>
      </c>
      <c r="G478" t="inlineStr">
        <is>
          <t>ÖSTHAMMAR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43439-2024</t>
        </is>
      </c>
      <c r="B479" t="inlineStr">
        <is>
          <t>avverkningsanmälan</t>
        </is>
      </c>
      <c r="C479" t="inlineStr">
        <is>
          <t>Föryngringsavverkning</t>
        </is>
      </c>
      <c r="D479" s="1" t="n">
        <v>45568</v>
      </c>
      <c r="E479" s="1" t="n">
        <v>46224</v>
      </c>
      <c r="F479" t="inlineStr">
        <is>
          <t>UPPSALA LÄN</t>
        </is>
      </c>
      <c r="G479" t="inlineStr">
        <is>
          <t>ÖSTHAMMAR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14030-2026</t>
        </is>
      </c>
      <c r="B480" t="inlineStr">
        <is>
          <t>avverkningsanmälan</t>
        </is>
      </c>
      <c r="C480" t="inlineStr">
        <is>
          <t>Föryngringsavverkning</t>
        </is>
      </c>
      <c r="D480" s="1" t="n">
        <v>46098</v>
      </c>
      <c r="E480" s="1" t="n">
        <v>46224</v>
      </c>
      <c r="F480" t="inlineStr">
        <is>
          <t>UPPSALA LÄN</t>
        </is>
      </c>
      <c r="G480" t="inlineStr">
        <is>
          <t>ÖSTHAMMAR</t>
        </is>
      </c>
      <c r="H480" t="inlineStr">
        <is>
          <t>Bergvik skog öst AB</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14031-2026</t>
        </is>
      </c>
      <c r="B481" t="inlineStr">
        <is>
          <t>avverkningsanmälan</t>
        </is>
      </c>
      <c r="C481" t="inlineStr">
        <is>
          <t>Föryngringsavverkning</t>
        </is>
      </c>
      <c r="D481" s="1" t="n">
        <v>46098</v>
      </c>
      <c r="E481" s="1" t="n">
        <v>46224</v>
      </c>
      <c r="F481" t="inlineStr">
        <is>
          <t>UPPSALA LÄN</t>
        </is>
      </c>
      <c r="G481" t="inlineStr">
        <is>
          <t>ÖSTHAMMAR</t>
        </is>
      </c>
      <c r="H481" t="inlineStr">
        <is>
          <t>Bergvik skog öst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11469-2023</t>
        </is>
      </c>
      <c r="B482" t="inlineStr">
        <is>
          <t>avverkningsanmälan</t>
        </is>
      </c>
      <c r="C482" t="inlineStr">
        <is>
          <t>Föryngringsavverkning</t>
        </is>
      </c>
      <c r="D482" s="1" t="n">
        <v>44993</v>
      </c>
      <c r="E482" s="1" t="n">
        <v>46224</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15006-2026</t>
        </is>
      </c>
      <c r="B483" t="inlineStr">
        <is>
          <t>avverkningsanmälan</t>
        </is>
      </c>
      <c r="C483" t="inlineStr">
        <is>
          <t>Föryngringsavverkning</t>
        </is>
      </c>
      <c r="D483" s="1" t="n">
        <v>46104</v>
      </c>
      <c r="E483" s="1" t="n">
        <v>46224</v>
      </c>
      <c r="F483" t="inlineStr">
        <is>
          <t>UPPSALA LÄN</t>
        </is>
      </c>
      <c r="G483" t="inlineStr">
        <is>
          <t>ÖSTHAMMAR</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25418-2022</t>
        </is>
      </c>
      <c r="B484" t="inlineStr">
        <is>
          <t>avverkningsanmälan</t>
        </is>
      </c>
      <c r="C484" t="inlineStr">
        <is>
          <t>Föryngringsavverkning</t>
        </is>
      </c>
      <c r="D484" s="1" t="n">
        <v>44732</v>
      </c>
      <c r="E484" s="1" t="n">
        <v>46224</v>
      </c>
      <c r="F484" t="inlineStr">
        <is>
          <t>UPPSALA LÄN</t>
        </is>
      </c>
      <c r="G484" t="inlineStr">
        <is>
          <t>ÖSTHAMMAR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15475-2026</t>
        </is>
      </c>
      <c r="B485" t="inlineStr">
        <is>
          <t>avverkningsanmälan</t>
        </is>
      </c>
      <c r="C485" t="inlineStr">
        <is>
          <t>Föryngringsavverkning</t>
        </is>
      </c>
      <c r="D485" s="1" t="n">
        <v>46106</v>
      </c>
      <c r="E485" s="1" t="n">
        <v>46224</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15478-2026</t>
        </is>
      </c>
      <c r="B486" t="inlineStr">
        <is>
          <t>avverkningsanmälan</t>
        </is>
      </c>
      <c r="C486" t="inlineStr">
        <is>
          <t>Föryngringsavverkning</t>
        </is>
      </c>
      <c r="D486" s="1" t="n">
        <v>46106</v>
      </c>
      <c r="E486" s="1" t="n">
        <v>46224</v>
      </c>
      <c r="F486" t="inlineStr">
        <is>
          <t>UPPSALA LÄN</t>
        </is>
      </c>
      <c r="G486" t="inlineStr">
        <is>
          <t>ÖSTHAMMAR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15452-2026</t>
        </is>
      </c>
      <c r="B487" t="inlineStr">
        <is>
          <t>avverkningsanmälan</t>
        </is>
      </c>
      <c r="C487" t="inlineStr">
        <is>
          <t>Föryngringsavverkning</t>
        </is>
      </c>
      <c r="D487" s="1" t="n">
        <v>46106</v>
      </c>
      <c r="E487" s="1" t="n">
        <v>46224</v>
      </c>
      <c r="F487" t="inlineStr">
        <is>
          <t>UPPSALA LÄN</t>
        </is>
      </c>
      <c r="G487" t="inlineStr">
        <is>
          <t>ÖSTHAMMAR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16038-2026</t>
        </is>
      </c>
      <c r="B488" t="inlineStr">
        <is>
          <t>avverkningsanmälan</t>
        </is>
      </c>
      <c r="C488" t="inlineStr">
        <is>
          <t>Föryngringsavverkning</t>
        </is>
      </c>
      <c r="D488" s="1" t="n">
        <v>46108</v>
      </c>
      <c r="E488" s="1" t="n">
        <v>46224</v>
      </c>
      <c r="F488" t="inlineStr">
        <is>
          <t>UPPSALA LÄN</t>
        </is>
      </c>
      <c r="G488" t="inlineStr">
        <is>
          <t>ÖSTHAMMAR</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14671-2022</t>
        </is>
      </c>
      <c r="B489" t="inlineStr">
        <is>
          <t>avverkningsanmälan</t>
        </is>
      </c>
      <c r="C489" t="inlineStr">
        <is>
          <t>Föryngringsavverkning</t>
        </is>
      </c>
      <c r="D489" s="1" t="n">
        <v>44655</v>
      </c>
      <c r="E489" s="1" t="n">
        <v>46224</v>
      </c>
      <c r="F489" t="inlineStr">
        <is>
          <t>UPPSALA LÄN</t>
        </is>
      </c>
      <c r="G489" t="inlineStr">
        <is>
          <t>ÖSTHAMMAR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15744-2026</t>
        </is>
      </c>
      <c r="B490" t="inlineStr">
        <is>
          <t>avverkningsanmälan</t>
        </is>
      </c>
      <c r="C490" t="inlineStr">
        <is>
          <t>Föryngringsavverkning</t>
        </is>
      </c>
      <c r="D490" s="1" t="n">
        <v>46107</v>
      </c>
      <c r="E490" s="1" t="n">
        <v>46224</v>
      </c>
      <c r="F490" t="inlineStr">
        <is>
          <t>UPPSALA LÄN</t>
        </is>
      </c>
      <c r="G490" t="inlineStr">
        <is>
          <t>ÖSTHAMMAR</t>
        </is>
      </c>
      <c r="H490" t="inlineStr">
        <is>
          <t>Bergvik skog öst AB</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15748-2026</t>
        </is>
      </c>
      <c r="B491" t="inlineStr">
        <is>
          <t>avverkningsanmälan</t>
        </is>
      </c>
      <c r="C491" t="inlineStr">
        <is>
          <t>Föryngringsavverkning</t>
        </is>
      </c>
      <c r="D491" s="1" t="n">
        <v>46107</v>
      </c>
      <c r="E491" s="1" t="n">
        <v>46224</v>
      </c>
      <c r="F491" t="inlineStr">
        <is>
          <t>UPPSALA LÄN</t>
        </is>
      </c>
      <c r="G491" t="inlineStr">
        <is>
          <t>ÖSTHAMMAR</t>
        </is>
      </c>
      <c r="H491" t="inlineStr">
        <is>
          <t>Bergvik skog öst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46399-2023</t>
        </is>
      </c>
      <c r="B492" t="inlineStr">
        <is>
          <t>avverkningsanmälan</t>
        </is>
      </c>
      <c r="C492" t="inlineStr">
        <is>
          <t>Föryngringsavverkning</t>
        </is>
      </c>
      <c r="D492" s="1" t="n">
        <v>45197</v>
      </c>
      <c r="E492" s="1" t="n">
        <v>46224</v>
      </c>
      <c r="F492" t="inlineStr">
        <is>
          <t>UPPSALA LÄN</t>
        </is>
      </c>
      <c r="G492" t="inlineStr">
        <is>
          <t>ÖSTHAMMAR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16042-2026</t>
        </is>
      </c>
      <c r="B493" t="inlineStr">
        <is>
          <t>avverkningsanmälan</t>
        </is>
      </c>
      <c r="C493" t="inlineStr">
        <is>
          <t>Föryngringsavverkning</t>
        </is>
      </c>
      <c r="D493" s="1" t="n">
        <v>46108</v>
      </c>
      <c r="E493" s="1" t="n">
        <v>46224</v>
      </c>
      <c r="F493" t="inlineStr">
        <is>
          <t>UPPSALA LÄN</t>
        </is>
      </c>
      <c r="G493" t="inlineStr">
        <is>
          <t>ÖSTHAMMAR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16522-2026</t>
        </is>
      </c>
      <c r="B494" t="inlineStr">
        <is>
          <t>avverkningsanmälan</t>
        </is>
      </c>
      <c r="C494" t="inlineStr">
        <is>
          <t>Föryngringsavverkning</t>
        </is>
      </c>
      <c r="D494" s="1" t="n">
        <v>46112</v>
      </c>
      <c r="E494" s="1" t="n">
        <v>46224</v>
      </c>
      <c r="F494" t="inlineStr">
        <is>
          <t>UPPSALA LÄN</t>
        </is>
      </c>
      <c r="G494" t="inlineStr">
        <is>
          <t>ÖSTHAMMAR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45550-2023</t>
        </is>
      </c>
      <c r="B495" t="inlineStr">
        <is>
          <t>avverkningsanmälan</t>
        </is>
      </c>
      <c r="C495" t="inlineStr">
        <is>
          <t>Föryngringsavverkning</t>
        </is>
      </c>
      <c r="D495" s="1" t="n">
        <v>45194</v>
      </c>
      <c r="E495" s="1" t="n">
        <v>46224</v>
      </c>
      <c r="F495" t="inlineStr">
        <is>
          <t>UPPSALA LÄN</t>
        </is>
      </c>
      <c r="G495" t="inlineStr">
        <is>
          <t>ÖSTHAMMAR</t>
        </is>
      </c>
      <c r="H495" t="inlineStr">
        <is>
          <t>Bergvik skog öst AB</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15445-2022</t>
        </is>
      </c>
      <c r="B496" t="inlineStr">
        <is>
          <t>avverkningsanmälan</t>
        </is>
      </c>
      <c r="C496" t="inlineStr">
        <is>
          <t>Föryngringsavverkning</t>
        </is>
      </c>
      <c r="D496" s="1" t="n">
        <v>44660</v>
      </c>
      <c r="E496" s="1" t="n">
        <v>46224</v>
      </c>
      <c r="F496" t="inlineStr">
        <is>
          <t>UPPSALA LÄN</t>
        </is>
      </c>
      <c r="G496" t="inlineStr">
        <is>
          <t>ÖSTHAMMAR</t>
        </is>
      </c>
      <c r="H496" t="inlineStr">
        <is>
          <t>Bergvik skog öst AB</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16494-2026</t>
        </is>
      </c>
      <c r="B497" t="inlineStr">
        <is>
          <t>avverkningsanmälan</t>
        </is>
      </c>
      <c r="C497" t="inlineStr">
        <is>
          <t>Föryngringsavverkning</t>
        </is>
      </c>
      <c r="D497" s="1" t="n">
        <v>46112</v>
      </c>
      <c r="E497" s="1" t="n">
        <v>46224</v>
      </c>
      <c r="F497" t="inlineStr">
        <is>
          <t>UPPSALA LÄN</t>
        </is>
      </c>
      <c r="G497" t="inlineStr">
        <is>
          <t>ÖSTHAMMAR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16359-2026</t>
        </is>
      </c>
      <c r="B498" t="inlineStr">
        <is>
          <t>avverkningsanmälan</t>
        </is>
      </c>
      <c r="C498" t="inlineStr">
        <is>
          <t>Föryngringsavverkning</t>
        </is>
      </c>
      <c r="D498" s="1" t="n">
        <v>46111</v>
      </c>
      <c r="E498" s="1" t="n">
        <v>46224</v>
      </c>
      <c r="F498" t="inlineStr">
        <is>
          <t>UPPSALA LÄN</t>
        </is>
      </c>
      <c r="G498" t="inlineStr">
        <is>
          <t>ÖSTHAMMAR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16498-2026</t>
        </is>
      </c>
      <c r="B499" t="inlineStr">
        <is>
          <t>avverkningsanmälan</t>
        </is>
      </c>
      <c r="C499" t="inlineStr">
        <is>
          <t>Föryngringsavverkning</t>
        </is>
      </c>
      <c r="D499" s="1" t="n">
        <v>46112</v>
      </c>
      <c r="E499" s="1" t="n">
        <v>46224</v>
      </c>
      <c r="F499" t="inlineStr">
        <is>
          <t>UPPSALA LÄN</t>
        </is>
      </c>
      <c r="G499" t="inlineStr">
        <is>
          <t>ÖSTHAMMAR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16640-2026</t>
        </is>
      </c>
      <c r="B500" t="inlineStr">
        <is>
          <t>avverkningsanmälan</t>
        </is>
      </c>
      <c r="C500" t="inlineStr">
        <is>
          <t>Föryngringsavverkning</t>
        </is>
      </c>
      <c r="D500" s="1" t="n">
        <v>46112</v>
      </c>
      <c r="E500" s="1" t="n">
        <v>46224</v>
      </c>
      <c r="F500" t="inlineStr">
        <is>
          <t>UPPSALA LÄN</t>
        </is>
      </c>
      <c r="G500" t="inlineStr">
        <is>
          <t>ÖSTHAMMAR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16796-2026</t>
        </is>
      </c>
      <c r="B501" t="inlineStr">
        <is>
          <t>avverkningsanmälan</t>
        </is>
      </c>
      <c r="C501" t="inlineStr">
        <is>
          <t>Föryngringsavverkning</t>
        </is>
      </c>
      <c r="D501" s="1" t="n">
        <v>46113</v>
      </c>
      <c r="E501" s="1" t="n">
        <v>46224</v>
      </c>
      <c r="F501" t="inlineStr">
        <is>
          <t>UPPSALA LÄN</t>
        </is>
      </c>
      <c r="G501" t="inlineStr">
        <is>
          <t>ÖSTHAMMAR</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16788-2026</t>
        </is>
      </c>
      <c r="B502" t="inlineStr">
        <is>
          <t>avverkningsanmälan</t>
        </is>
      </c>
      <c r="C502" t="inlineStr">
        <is>
          <t>Föryngringsavverkning</t>
        </is>
      </c>
      <c r="D502" s="1" t="n">
        <v>46113</v>
      </c>
      <c r="E502" s="1" t="n">
        <v>46224</v>
      </c>
      <c r="F502" t="inlineStr">
        <is>
          <t>UPPSALA LÄN</t>
        </is>
      </c>
      <c r="G502" t="inlineStr">
        <is>
          <t>ÖSTHAMMAR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17198-2026</t>
        </is>
      </c>
      <c r="B503" t="inlineStr">
        <is>
          <t>avverkningsanmälan</t>
        </is>
      </c>
      <c r="C503" t="inlineStr">
        <is>
          <t>Föryngringsavverkning</t>
        </is>
      </c>
      <c r="D503" s="1" t="n">
        <v>46118</v>
      </c>
      <c r="E503" s="1" t="n">
        <v>46224</v>
      </c>
      <c r="F503" t="inlineStr">
        <is>
          <t>UPPSALA LÄN</t>
        </is>
      </c>
      <c r="G503" t="inlineStr">
        <is>
          <t>ÖSTHAMMAR</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17767-2026</t>
        </is>
      </c>
      <c r="B504" t="inlineStr">
        <is>
          <t>avverkningsanmälan</t>
        </is>
      </c>
      <c r="C504" t="inlineStr">
        <is>
          <t>Föryngringsavverkning</t>
        </is>
      </c>
      <c r="D504" s="1" t="n">
        <v>46122</v>
      </c>
      <c r="E504" s="1" t="n">
        <v>46224</v>
      </c>
      <c r="F504" t="inlineStr">
        <is>
          <t>UPPSALA LÄN</t>
        </is>
      </c>
      <c r="G504" t="inlineStr">
        <is>
          <t>ÖSTHAMMAR</t>
        </is>
      </c>
      <c r="H504" t="inlineStr">
        <is>
          <t>Bergvik skog öst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17760-2026</t>
        </is>
      </c>
      <c r="B505" t="inlineStr">
        <is>
          <t>avverkningsanmälan</t>
        </is>
      </c>
      <c r="C505" t="inlineStr">
        <is>
          <t>Föryngringsavverkning</t>
        </is>
      </c>
      <c r="D505" s="1" t="n">
        <v>46122</v>
      </c>
      <c r="E505" s="1" t="n">
        <v>46224</v>
      </c>
      <c r="F505" t="inlineStr">
        <is>
          <t>UPPSALA LÄN</t>
        </is>
      </c>
      <c r="G505" t="inlineStr">
        <is>
          <t>ÖSTHAMMAR</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17764-2026</t>
        </is>
      </c>
      <c r="B506" t="inlineStr">
        <is>
          <t>avverkningsanmälan</t>
        </is>
      </c>
      <c r="C506" t="inlineStr">
        <is>
          <t>Föryngringsavverkning</t>
        </is>
      </c>
      <c r="D506" s="1" t="n">
        <v>46122</v>
      </c>
      <c r="E506" s="1" t="n">
        <v>46224</v>
      </c>
      <c r="F506" t="inlineStr">
        <is>
          <t>UPPSALA LÄN</t>
        </is>
      </c>
      <c r="G506" t="inlineStr">
        <is>
          <t>ÖSTHAMMAR</t>
        </is>
      </c>
      <c r="H506" t="inlineStr">
        <is>
          <t>Bergvik skog öst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17926-2026</t>
        </is>
      </c>
      <c r="B507" t="inlineStr">
        <is>
          <t>avverkningsanmälan</t>
        </is>
      </c>
      <c r="C507" t="inlineStr">
        <is>
          <t>Föryngringsavverkning</t>
        </is>
      </c>
      <c r="D507" s="1" t="n">
        <v>46122</v>
      </c>
      <c r="E507" s="1" t="n">
        <v>46224</v>
      </c>
      <c r="F507" t="inlineStr">
        <is>
          <t>UPPSALA LÄN</t>
        </is>
      </c>
      <c r="G507" t="inlineStr">
        <is>
          <t>ÖSTHAMMAR</t>
        </is>
      </c>
      <c r="H507" t="inlineStr">
        <is>
          <t>Bergvik skog öst AB</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47614-2025</t>
        </is>
      </c>
      <c r="B508" t="inlineStr">
        <is>
          <t>avverkningsanmälan</t>
        </is>
      </c>
      <c r="C508" t="inlineStr">
        <is>
          <t>Föryngringsavverkning</t>
        </is>
      </c>
      <c r="D508" s="1" t="n">
        <v>45931</v>
      </c>
      <c r="E508" s="1" t="n">
        <v>46224</v>
      </c>
      <c r="F508" t="inlineStr">
        <is>
          <t>UPPSALA LÄN</t>
        </is>
      </c>
      <c r="G508" t="inlineStr">
        <is>
          <t>ÖSTHAMMAR</t>
        </is>
      </c>
      <c r="I508" t="n">
        <v>22.8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32778-2023</t>
        </is>
      </c>
      <c r="B509" t="inlineStr">
        <is>
          <t>avverkningsanmälan</t>
        </is>
      </c>
      <c r="C509" t="inlineStr">
        <is>
          <t>Föryngringsavverkning</t>
        </is>
      </c>
      <c r="D509" s="1" t="n">
        <v>45123</v>
      </c>
      <c r="E509" s="1" t="n">
        <v>46224</v>
      </c>
      <c r="F509" t="inlineStr">
        <is>
          <t>UPPSALA LÄN</t>
        </is>
      </c>
      <c r="G509" t="inlineStr">
        <is>
          <t>ÖSTHAMMAR</t>
        </is>
      </c>
      <c r="H509" t="inlineStr">
        <is>
          <t>Bergvik skog öst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18758-2026</t>
        </is>
      </c>
      <c r="B510" t="inlineStr">
        <is>
          <t>avverkningsanmälan</t>
        </is>
      </c>
      <c r="C510" t="inlineStr">
        <is>
          <t>Föryngringsavverkning</t>
        </is>
      </c>
      <c r="D510" s="1" t="n">
        <v>46128</v>
      </c>
      <c r="E510" s="1" t="n">
        <v>46224</v>
      </c>
      <c r="F510" t="inlineStr">
        <is>
          <t>UPPSALA LÄN</t>
        </is>
      </c>
      <c r="G510" t="inlineStr">
        <is>
          <t>ÖSTHAMMAR</t>
        </is>
      </c>
      <c r="H510" t="inlineStr">
        <is>
          <t>Bergvik skog öst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18761-2026</t>
        </is>
      </c>
      <c r="B511" t="inlineStr">
        <is>
          <t>avverkningsanmälan</t>
        </is>
      </c>
      <c r="C511" t="inlineStr">
        <is>
          <t>Föryngringsavverkning</t>
        </is>
      </c>
      <c r="D511" s="1" t="n">
        <v>46128</v>
      </c>
      <c r="E511" s="1" t="n">
        <v>46224</v>
      </c>
      <c r="F511" t="inlineStr">
        <is>
          <t>UPPSALA LÄN</t>
        </is>
      </c>
      <c r="G511" t="inlineStr">
        <is>
          <t>ÖSTHAMMAR</t>
        </is>
      </c>
      <c r="H511" t="inlineStr">
        <is>
          <t>Bergvik skog öst AB</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18760-2026</t>
        </is>
      </c>
      <c r="B512" t="inlineStr">
        <is>
          <t>avverkningsanmälan</t>
        </is>
      </c>
      <c r="C512" t="inlineStr">
        <is>
          <t>Föryngringsavverkning</t>
        </is>
      </c>
      <c r="D512" s="1" t="n">
        <v>46128</v>
      </c>
      <c r="E512" s="1" t="n">
        <v>46224</v>
      </c>
      <c r="F512" t="inlineStr">
        <is>
          <t>UPPSALA LÄN</t>
        </is>
      </c>
      <c r="G512" t="inlineStr">
        <is>
          <t>ÖSTHAMMAR</t>
        </is>
      </c>
      <c r="H512" t="inlineStr">
        <is>
          <t>Bergvik skog öst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24367-2022</t>
        </is>
      </c>
      <c r="B513" t="inlineStr">
        <is>
          <t>avverkningsanmälan</t>
        </is>
      </c>
      <c r="C513" t="inlineStr">
        <is>
          <t>Föryngringsavverkning</t>
        </is>
      </c>
      <c r="D513" s="1" t="n">
        <v>44726</v>
      </c>
      <c r="E513" s="1" t="n">
        <v>46224</v>
      </c>
      <c r="F513" t="inlineStr">
        <is>
          <t>UPPSALA LÄN</t>
        </is>
      </c>
      <c r="G513" t="inlineStr">
        <is>
          <t>ÖSTHAMMAR</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5933-2022</t>
        </is>
      </c>
      <c r="B514" t="inlineStr">
        <is>
          <t>avverkningsanmälan</t>
        </is>
      </c>
      <c r="C514" t="inlineStr">
        <is>
          <t>Föryngringsavverkning</t>
        </is>
      </c>
      <c r="D514" s="1" t="n">
        <v>44598</v>
      </c>
      <c r="E514" s="1" t="n">
        <v>46224</v>
      </c>
      <c r="F514" t="inlineStr">
        <is>
          <t>UPPSALA LÄN</t>
        </is>
      </c>
      <c r="G514" t="inlineStr">
        <is>
          <t>ÖSTHAMMAR</t>
        </is>
      </c>
      <c r="H514" t="inlineStr">
        <is>
          <t>Bergvik skog öst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64774-2023</t>
        </is>
      </c>
      <c r="B515" t="inlineStr">
        <is>
          <t>avverkningsanmälan</t>
        </is>
      </c>
      <c r="C515" t="inlineStr">
        <is>
          <t>Avverkning för annat ändamål</t>
        </is>
      </c>
      <c r="D515" s="1" t="n">
        <v>45282</v>
      </c>
      <c r="E515" s="1" t="n">
        <v>46224</v>
      </c>
      <c r="F515" t="inlineStr">
        <is>
          <t>UPPSALA LÄN</t>
        </is>
      </c>
      <c r="G515" t="inlineStr">
        <is>
          <t>ÖSTHAMMAR</t>
        </is>
      </c>
      <c r="H515" t="inlineStr">
        <is>
          <t>Övriga Aktiebolag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19258-2026</t>
        </is>
      </c>
      <c r="B516" t="inlineStr">
        <is>
          <t>avverkningsanmälan</t>
        </is>
      </c>
      <c r="C516" t="inlineStr">
        <is>
          <t>Föryngringsavverkning</t>
        </is>
      </c>
      <c r="D516" s="1" t="n">
        <v>46132</v>
      </c>
      <c r="E516" s="1" t="n">
        <v>46224</v>
      </c>
      <c r="F516" t="inlineStr">
        <is>
          <t>UPPSALA LÄN</t>
        </is>
      </c>
      <c r="G516" t="inlineStr">
        <is>
          <t>ÖSTHAMMAR</t>
        </is>
      </c>
      <c r="H516" t="inlineStr">
        <is>
          <t>Naturvårdsverket</t>
        </is>
      </c>
      <c r="I516" t="n">
        <v>18.6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29873-2023</t>
        </is>
      </c>
      <c r="B517" t="inlineStr">
        <is>
          <t>avverkningsanmälan</t>
        </is>
      </c>
      <c r="C517" t="inlineStr">
        <is>
          <t>Föryngringsavverkning</t>
        </is>
      </c>
      <c r="D517" s="1" t="n">
        <v>45107</v>
      </c>
      <c r="E517" s="1" t="n">
        <v>46224</v>
      </c>
      <c r="F517" t="inlineStr">
        <is>
          <t>UPPSALA LÄN</t>
        </is>
      </c>
      <c r="G517" t="inlineStr">
        <is>
          <t>ÖSTHAMMAR</t>
        </is>
      </c>
      <c r="H517" t="inlineStr">
        <is>
          <t>Naturvårdsverket</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61062-2023</t>
        </is>
      </c>
      <c r="B518" t="inlineStr">
        <is>
          <t>avverkningsanmälan</t>
        </is>
      </c>
      <c r="C518" t="inlineStr">
        <is>
          <t>Föryngringsavverkning</t>
        </is>
      </c>
      <c r="D518" s="1" t="n">
        <v>45259</v>
      </c>
      <c r="E518" s="1" t="n">
        <v>46224</v>
      </c>
      <c r="F518" t="inlineStr">
        <is>
          <t>UPPSALA LÄN</t>
        </is>
      </c>
      <c r="G518" t="inlineStr">
        <is>
          <t>ÖSTHAMMAR</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55100-2024</t>
        </is>
      </c>
      <c r="B519" t="inlineStr">
        <is>
          <t>avverkningsanmälan</t>
        </is>
      </c>
      <c r="C519" t="inlineStr">
        <is>
          <t>Föryngringsavverkning</t>
        </is>
      </c>
      <c r="D519" s="1" t="n">
        <v>45621</v>
      </c>
      <c r="E519" s="1" t="n">
        <v>46224</v>
      </c>
      <c r="F519" t="inlineStr">
        <is>
          <t>UPPSALA LÄN</t>
        </is>
      </c>
      <c r="G519" t="inlineStr">
        <is>
          <t>ÖSTHAMMAR</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19771-2026</t>
        </is>
      </c>
      <c r="B520" t="inlineStr">
        <is>
          <t>avverkningsanmälan</t>
        </is>
      </c>
      <c r="C520" t="inlineStr">
        <is>
          <t>Föryngringsavverkning</t>
        </is>
      </c>
      <c r="D520" s="1" t="n">
        <v>46135</v>
      </c>
      <c r="E520" s="1" t="n">
        <v>46224</v>
      </c>
      <c r="F520" t="inlineStr">
        <is>
          <t>UPPSALA LÄN</t>
        </is>
      </c>
      <c r="G520" t="inlineStr">
        <is>
          <t>ÖSTHAMMAR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19631-2026</t>
        </is>
      </c>
      <c r="B521" t="inlineStr">
        <is>
          <t>avverkningsanmälan</t>
        </is>
      </c>
      <c r="C521" t="inlineStr">
        <is>
          <t>Föryngringsavverkning</t>
        </is>
      </c>
      <c r="D521" s="1" t="n">
        <v>46134</v>
      </c>
      <c r="E521" s="1" t="n">
        <v>46224</v>
      </c>
      <c r="F521" t="inlineStr">
        <is>
          <t>UPPSALA LÄN</t>
        </is>
      </c>
      <c r="G521" t="inlineStr">
        <is>
          <t>ÖSTHAMMAR</t>
        </is>
      </c>
      <c r="H521" t="inlineStr">
        <is>
          <t>Övriga Aktiebolag</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19485-2026</t>
        </is>
      </c>
      <c r="B522" t="inlineStr">
        <is>
          <t>avverkningsanmälan</t>
        </is>
      </c>
      <c r="C522" t="inlineStr">
        <is>
          <t>Föryngringsavverkning</t>
        </is>
      </c>
      <c r="D522" s="1" t="n">
        <v>46134</v>
      </c>
      <c r="E522" s="1" t="n">
        <v>46224</v>
      </c>
      <c r="F522" t="inlineStr">
        <is>
          <t>UPPSALA LÄN</t>
        </is>
      </c>
      <c r="G522" t="inlineStr">
        <is>
          <t>ÖSTHAMMAR</t>
        </is>
      </c>
      <c r="H522" t="inlineStr">
        <is>
          <t>Övriga Aktiebolag</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31669-2022</t>
        </is>
      </c>
      <c r="B523" t="inlineStr">
        <is>
          <t>avverkningsanmälan</t>
        </is>
      </c>
      <c r="C523" t="inlineStr">
        <is>
          <t>Föryngringsavverkning</t>
        </is>
      </c>
      <c r="D523" s="1" t="n">
        <v>44775</v>
      </c>
      <c r="E523" s="1" t="n">
        <v>46224</v>
      </c>
      <c r="F523" t="inlineStr">
        <is>
          <t>UPPSALA LÄN</t>
        </is>
      </c>
      <c r="G523" t="inlineStr">
        <is>
          <t>ÖSTHAMMAR</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24174-2025</t>
        </is>
      </c>
      <c r="B524" t="inlineStr">
        <is>
          <t>avverkningsanmälan</t>
        </is>
      </c>
      <c r="C524" t="inlineStr">
        <is>
          <t>Föryngringsavverkning</t>
        </is>
      </c>
      <c r="D524" s="1" t="n">
        <v>45796</v>
      </c>
      <c r="E524" s="1" t="n">
        <v>46224</v>
      </c>
      <c r="F524" t="inlineStr">
        <is>
          <t>UPPSALA LÄN</t>
        </is>
      </c>
      <c r="G524" t="inlineStr">
        <is>
          <t>ÖSTHAMMAR</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67151-2021</t>
        </is>
      </c>
      <c r="B525" t="inlineStr">
        <is>
          <t>avverkningsanmälan</t>
        </is>
      </c>
      <c r="C525" t="inlineStr">
        <is>
          <t>Föryngringsavverkning</t>
        </is>
      </c>
      <c r="D525" s="1" t="n">
        <v>44523</v>
      </c>
      <c r="E525" s="1" t="n">
        <v>46224</v>
      </c>
      <c r="F525" t="inlineStr">
        <is>
          <t>UPPSALA LÄN</t>
        </is>
      </c>
      <c r="G525" t="inlineStr">
        <is>
          <t>ÖSTHAMMAR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28442-2025</t>
        </is>
      </c>
      <c r="B526" t="inlineStr">
        <is>
          <t>avverkningsanmälan</t>
        </is>
      </c>
      <c r="C526" t="inlineStr">
        <is>
          <t>Föryngringsavverkning</t>
        </is>
      </c>
      <c r="D526" s="1" t="n">
        <v>45819</v>
      </c>
      <c r="E526" s="1" t="n">
        <v>46224</v>
      </c>
      <c r="F526" t="inlineStr">
        <is>
          <t>UPPSALA LÄN</t>
        </is>
      </c>
      <c r="G526" t="inlineStr">
        <is>
          <t>ÖSTHAMMAR</t>
        </is>
      </c>
      <c r="H526" t="inlineStr">
        <is>
          <t>Övriga Aktiebolag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26159-2026</t>
        </is>
      </c>
      <c r="B527" t="inlineStr">
        <is>
          <t>avverkningsanmälan</t>
        </is>
      </c>
      <c r="C527" t="inlineStr">
        <is>
          <t>Föryngringsavverkning</t>
        </is>
      </c>
      <c r="D527" s="1" t="n">
        <v>46181</v>
      </c>
      <c r="E527" s="1" t="n">
        <v>46224</v>
      </c>
      <c r="F527" t="inlineStr">
        <is>
          <t>UPPSALA LÄN</t>
        </is>
      </c>
      <c r="G527" t="inlineStr">
        <is>
          <t>ÖSTHAMMAR</t>
        </is>
      </c>
      <c r="H527" t="inlineStr">
        <is>
          <t>Bergvik skog öst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26160-2026</t>
        </is>
      </c>
      <c r="B528" t="inlineStr">
        <is>
          <t>avverkningsanmälan</t>
        </is>
      </c>
      <c r="C528" t="inlineStr">
        <is>
          <t>Föryngringsavverkning</t>
        </is>
      </c>
      <c r="D528" s="1" t="n">
        <v>46181</v>
      </c>
      <c r="E528" s="1" t="n">
        <v>46224</v>
      </c>
      <c r="F528" t="inlineStr">
        <is>
          <t>UPPSALA LÄN</t>
        </is>
      </c>
      <c r="G528" t="inlineStr">
        <is>
          <t>ÖSTHAMMAR</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21133-2025</t>
        </is>
      </c>
      <c r="B529" t="inlineStr">
        <is>
          <t>avverkningsanmälan</t>
        </is>
      </c>
      <c r="C529" t="inlineStr">
        <is>
          <t>Föryngringsavverkning</t>
        </is>
      </c>
      <c r="D529" s="1" t="n">
        <v>45778</v>
      </c>
      <c r="E529" s="1" t="n">
        <v>46224</v>
      </c>
      <c r="F529" t="inlineStr">
        <is>
          <t>UPPSALA LÄN</t>
        </is>
      </c>
      <c r="G529" t="inlineStr">
        <is>
          <t>ÖSTHAMMAR</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9542-2023</t>
        </is>
      </c>
      <c r="B530" t="inlineStr">
        <is>
          <t>avverkningsanmälan</t>
        </is>
      </c>
      <c r="C530" t="inlineStr">
        <is>
          <t>Föryngringsavverkning</t>
        </is>
      </c>
      <c r="D530" s="1" t="n">
        <v>44981</v>
      </c>
      <c r="E530" s="1" t="n">
        <v>46224</v>
      </c>
      <c r="F530" t="inlineStr">
        <is>
          <t>UPPSALA LÄN</t>
        </is>
      </c>
      <c r="G530" t="inlineStr">
        <is>
          <t>ÖSTHAMMAR</t>
        </is>
      </c>
      <c r="H530" t="inlineStr">
        <is>
          <t>Bergvik skog öst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36343-2022</t>
        </is>
      </c>
      <c r="B531" t="inlineStr">
        <is>
          <t>avverkningsanmälan</t>
        </is>
      </c>
      <c r="C531" t="inlineStr">
        <is>
          <t>Föryngringsavverkning</t>
        </is>
      </c>
      <c r="D531" s="1" t="n">
        <v>44803</v>
      </c>
      <c r="E531" s="1" t="n">
        <v>46224</v>
      </c>
      <c r="F531" t="inlineStr">
        <is>
          <t>UPPSALA LÄN</t>
        </is>
      </c>
      <c r="G531" t="inlineStr">
        <is>
          <t>ÖSTHAMMAR</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16933-2022</t>
        </is>
      </c>
      <c r="B532" t="inlineStr">
        <is>
          <t>avverkningsanmälan</t>
        </is>
      </c>
      <c r="C532" t="inlineStr">
        <is>
          <t>Föryngringsavverkning</t>
        </is>
      </c>
      <c r="D532" s="1" t="n">
        <v>44676</v>
      </c>
      <c r="E532" s="1" t="n">
        <v>46224</v>
      </c>
      <c r="F532" t="inlineStr">
        <is>
          <t>UPPSALA LÄN</t>
        </is>
      </c>
      <c r="G532" t="inlineStr">
        <is>
          <t>ÖSTHAMMAR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31956-2025</t>
        </is>
      </c>
      <c r="B533" t="inlineStr">
        <is>
          <t>avverkningsanmälan</t>
        </is>
      </c>
      <c r="C533" t="inlineStr">
        <is>
          <t>Föryngringsavverkning</t>
        </is>
      </c>
      <c r="D533" s="1" t="n">
        <v>45835</v>
      </c>
      <c r="E533" s="1" t="n">
        <v>46224</v>
      </c>
      <c r="F533" t="inlineStr">
        <is>
          <t>UPPSALA LÄN</t>
        </is>
      </c>
      <c r="G533" t="inlineStr">
        <is>
          <t>ÖSTHAMMAR</t>
        </is>
      </c>
      <c r="H533" t="inlineStr">
        <is>
          <t>Övriga Aktiebolag</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27352-2025</t>
        </is>
      </c>
      <c r="B534" t="inlineStr">
        <is>
          <t>avverkningsanmälan</t>
        </is>
      </c>
      <c r="C534" t="inlineStr">
        <is>
          <t>Föryngringsavverkning</t>
        </is>
      </c>
      <c r="D534" s="1" t="n">
        <v>45812</v>
      </c>
      <c r="E534" s="1" t="n">
        <v>46224</v>
      </c>
      <c r="F534" t="inlineStr">
        <is>
          <t>UPPSALA LÄN</t>
        </is>
      </c>
      <c r="G534" t="inlineStr">
        <is>
          <t>ÖSTHAMMAR</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19901-2026</t>
        </is>
      </c>
      <c r="B535" t="inlineStr">
        <is>
          <t>avverkningsanmälan</t>
        </is>
      </c>
      <c r="C535" t="inlineStr">
        <is>
          <t>Föryngringsavverkning</t>
        </is>
      </c>
      <c r="D535" s="1" t="n">
        <v>46136</v>
      </c>
      <c r="E535" s="1" t="n">
        <v>46224</v>
      </c>
      <c r="F535" t="inlineStr">
        <is>
          <t>UPPSALA LÄN</t>
        </is>
      </c>
      <c r="G535" t="inlineStr">
        <is>
          <t>ÖSTHAMMAR</t>
        </is>
      </c>
      <c r="H535" t="inlineStr">
        <is>
          <t>Övriga Aktiebolag</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5855-2022</t>
        </is>
      </c>
      <c r="B536" t="inlineStr">
        <is>
          <t>avverkningsanmälan</t>
        </is>
      </c>
      <c r="C536" t="inlineStr">
        <is>
          <t>Föryngringsavverkning</t>
        </is>
      </c>
      <c r="D536" s="1" t="n">
        <v>44596</v>
      </c>
      <c r="E536" s="1" t="n">
        <v>46224</v>
      </c>
      <c r="F536" t="inlineStr">
        <is>
          <t>UPPSALA LÄN</t>
        </is>
      </c>
      <c r="G536" t="inlineStr">
        <is>
          <t>ÖSTHAMMAR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20393-2026</t>
        </is>
      </c>
      <c r="B537" t="inlineStr">
        <is>
          <t>avverkningsanmälan</t>
        </is>
      </c>
      <c r="C537" t="inlineStr">
        <is>
          <t>Föryngringsavverkning</t>
        </is>
      </c>
      <c r="D537" s="1" t="n">
        <v>46139</v>
      </c>
      <c r="E537" s="1" t="n">
        <v>46224</v>
      </c>
      <c r="F537" t="inlineStr">
        <is>
          <t>UPPSALA LÄN</t>
        </is>
      </c>
      <c r="G537" t="inlineStr">
        <is>
          <t>ÖSTHAMMAR</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26162-2026</t>
        </is>
      </c>
      <c r="B538" t="inlineStr">
        <is>
          <t>avverkningsanmälan</t>
        </is>
      </c>
      <c r="C538" t="inlineStr">
        <is>
          <t>Föryngringsavverkning</t>
        </is>
      </c>
      <c r="D538" s="1" t="n">
        <v>46181</v>
      </c>
      <c r="E538" s="1" t="n">
        <v>46224</v>
      </c>
      <c r="F538" t="inlineStr">
        <is>
          <t>UPPSALA LÄN</t>
        </is>
      </c>
      <c r="G538" t="inlineStr">
        <is>
          <t>ÖSTHAMMAR</t>
        </is>
      </c>
      <c r="H538" t="inlineStr">
        <is>
          <t>Bergvik skog öst AB</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6120-2024</t>
        </is>
      </c>
      <c r="B539" t="inlineStr">
        <is>
          <t>avverkningsanmälan</t>
        </is>
      </c>
      <c r="C539" t="inlineStr">
        <is>
          <t>Föryngringsavverkning</t>
        </is>
      </c>
      <c r="D539" s="1" t="n">
        <v>45337</v>
      </c>
      <c r="E539" s="1" t="n">
        <v>46224</v>
      </c>
      <c r="F539" t="inlineStr">
        <is>
          <t>UPPSALA LÄN</t>
        </is>
      </c>
      <c r="G539" t="inlineStr">
        <is>
          <t>ÖSTHAMMAR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20394-2026</t>
        </is>
      </c>
      <c r="B540" t="inlineStr">
        <is>
          <t>avverkningsanmälan</t>
        </is>
      </c>
      <c r="C540" t="inlineStr">
        <is>
          <t>Föryngringsavverkning</t>
        </is>
      </c>
      <c r="D540" s="1" t="n">
        <v>46139</v>
      </c>
      <c r="E540" s="1" t="n">
        <v>46224</v>
      </c>
      <c r="F540" t="inlineStr">
        <is>
          <t>UPPSALA LÄN</t>
        </is>
      </c>
      <c r="G540" t="inlineStr">
        <is>
          <t>ÖSTHAMMAR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56658-2025</t>
        </is>
      </c>
      <c r="B541" t="inlineStr">
        <is>
          <t>avverkningsanmälan</t>
        </is>
      </c>
      <c r="C541" t="inlineStr">
        <is>
          <t>Föryngringsavverkning</t>
        </is>
      </c>
      <c r="D541" s="1" t="n">
        <v>45975</v>
      </c>
      <c r="E541" s="1" t="n">
        <v>46224</v>
      </c>
      <c r="F541" t="inlineStr">
        <is>
          <t>UPPSALA LÄN</t>
        </is>
      </c>
      <c r="G541" t="inlineStr">
        <is>
          <t>ÖSTHAMMAR</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24493-2023</t>
        </is>
      </c>
      <c r="B542" t="inlineStr">
        <is>
          <t>avverkningsanmälan</t>
        </is>
      </c>
      <c r="C542" t="inlineStr">
        <is>
          <t>Föryngringsavverkning</t>
        </is>
      </c>
      <c r="D542" s="1" t="n">
        <v>45082</v>
      </c>
      <c r="E542" s="1" t="n">
        <v>46224</v>
      </c>
      <c r="F542" t="inlineStr">
        <is>
          <t>UPPSALA LÄN</t>
        </is>
      </c>
      <c r="G542" t="inlineStr">
        <is>
          <t>ÖSTHAMMAR</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7560-2023</t>
        </is>
      </c>
      <c r="B543" t="inlineStr">
        <is>
          <t>avverkningsanmälan</t>
        </is>
      </c>
      <c r="C543" t="inlineStr">
        <is>
          <t>Föryngringsavverkning</t>
        </is>
      </c>
      <c r="D543" s="1" t="n">
        <v>44972</v>
      </c>
      <c r="E543" s="1" t="n">
        <v>46224</v>
      </c>
      <c r="F543" t="inlineStr">
        <is>
          <t>UPPSALA LÄN</t>
        </is>
      </c>
      <c r="G543" t="inlineStr">
        <is>
          <t>ÖSTHAMMAR</t>
        </is>
      </c>
      <c r="H543" t="inlineStr">
        <is>
          <t>Bergvik skog öst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19040-2023</t>
        </is>
      </c>
      <c r="B544" t="inlineStr">
        <is>
          <t>avverkningsanmälan</t>
        </is>
      </c>
      <c r="C544" t="inlineStr">
        <is>
          <t>Föryngringsavverkning</t>
        </is>
      </c>
      <c r="D544" s="1" t="n">
        <v>45047</v>
      </c>
      <c r="E544" s="1" t="n">
        <v>46224</v>
      </c>
      <c r="F544" t="inlineStr">
        <is>
          <t>UPPSALA LÄN</t>
        </is>
      </c>
      <c r="G544" t="inlineStr">
        <is>
          <t>ÖSTHAMMAR</t>
        </is>
      </c>
      <c r="H544" t="inlineStr">
        <is>
          <t>Bergvik skog öst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4004-2023</t>
        </is>
      </c>
      <c r="B545" t="inlineStr">
        <is>
          <t>avverkningsanmälan</t>
        </is>
      </c>
      <c r="C545" t="inlineStr">
        <is>
          <t>Föryngringsavverkning</t>
        </is>
      </c>
      <c r="D545" s="1" t="n">
        <v>44952</v>
      </c>
      <c r="E545" s="1" t="n">
        <v>46224</v>
      </c>
      <c r="F545" t="inlineStr">
        <is>
          <t>UPPSALA LÄN</t>
        </is>
      </c>
      <c r="G545" t="inlineStr">
        <is>
          <t>ÖSTHAMMAR</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2352-2026</t>
        </is>
      </c>
      <c r="B546" t="inlineStr">
        <is>
          <t>avverkningsanmälan</t>
        </is>
      </c>
      <c r="C546" t="inlineStr">
        <is>
          <t>Föryngringsavverkning</t>
        </is>
      </c>
      <c r="D546" s="1" t="n">
        <v>46034</v>
      </c>
      <c r="E546" s="1" t="n">
        <v>46224</v>
      </c>
      <c r="F546" t="inlineStr">
        <is>
          <t>UPPSALA LÄN</t>
        </is>
      </c>
      <c r="G546" t="inlineStr">
        <is>
          <t>ÖSTHAMMAR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31549-2022</t>
        </is>
      </c>
      <c r="B547" t="inlineStr">
        <is>
          <t>avverkningsanmälan</t>
        </is>
      </c>
      <c r="C547" t="inlineStr">
        <is>
          <t>Föryngringsavverkning</t>
        </is>
      </c>
      <c r="D547" s="1" t="n">
        <v>44775</v>
      </c>
      <c r="E547" s="1" t="n">
        <v>46224</v>
      </c>
      <c r="F547" t="inlineStr">
        <is>
          <t>UPPSALA LÄN</t>
        </is>
      </c>
      <c r="G547" t="inlineStr">
        <is>
          <t>ÖSTHAMMAR</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2358-2026</t>
        </is>
      </c>
      <c r="B548" t="inlineStr">
        <is>
          <t>avverkningsanmälan</t>
        </is>
      </c>
      <c r="C548" t="inlineStr">
        <is>
          <t>Föryngringsavverkning</t>
        </is>
      </c>
      <c r="D548" s="1" t="n">
        <v>46034</v>
      </c>
      <c r="E548" s="1" t="n">
        <v>46224</v>
      </c>
      <c r="F548" t="inlineStr">
        <is>
          <t>UPPSALA LÄN</t>
        </is>
      </c>
      <c r="G548" t="inlineStr">
        <is>
          <t>ÖSTHAMMAR</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26161-2026</t>
        </is>
      </c>
      <c r="B549" t="inlineStr">
        <is>
          <t>avverkningsanmälan</t>
        </is>
      </c>
      <c r="C549" t="inlineStr">
        <is>
          <t>Föryngringsavverkning</t>
        </is>
      </c>
      <c r="D549" s="1" t="n">
        <v>46181</v>
      </c>
      <c r="E549" s="1" t="n">
        <v>46224</v>
      </c>
      <c r="F549" t="inlineStr">
        <is>
          <t>UPPSALA LÄN</t>
        </is>
      </c>
      <c r="G549" t="inlineStr">
        <is>
          <t>ÖSTHAMMAR</t>
        </is>
      </c>
      <c r="H549" t="inlineStr">
        <is>
          <t>Bergvik skog öst AB</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20058-2026</t>
        </is>
      </c>
      <c r="B550" t="inlineStr">
        <is>
          <t>avverkningsanmälan</t>
        </is>
      </c>
      <c r="C550" t="inlineStr">
        <is>
          <t>Föryngringsavverkning</t>
        </is>
      </c>
      <c r="D550" s="1" t="n">
        <v>46136</v>
      </c>
      <c r="E550" s="1" t="n">
        <v>46224</v>
      </c>
      <c r="F550" t="inlineStr">
        <is>
          <t>UPPSALA LÄN</t>
        </is>
      </c>
      <c r="G550" t="inlineStr">
        <is>
          <t>ÖSTHAMMAR</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26319-2025</t>
        </is>
      </c>
      <c r="B551" t="inlineStr">
        <is>
          <t>avverkningsanmälan</t>
        </is>
      </c>
      <c r="C551" t="inlineStr">
        <is>
          <t>Föryngringsavverkning</t>
        </is>
      </c>
      <c r="D551" s="1" t="n">
        <v>45805</v>
      </c>
      <c r="E551" s="1" t="n">
        <v>46224</v>
      </c>
      <c r="F551" t="inlineStr">
        <is>
          <t>UPPSALA LÄN</t>
        </is>
      </c>
      <c r="G551" t="inlineStr">
        <is>
          <t>ÖSTHAMMAR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17938-2025</t>
        </is>
      </c>
      <c r="B552" t="inlineStr">
        <is>
          <t>avverkningsanmälan</t>
        </is>
      </c>
      <c r="C552" t="inlineStr">
        <is>
          <t>Föryngringsavverkning</t>
        </is>
      </c>
      <c r="D552" s="1" t="n">
        <v>45760</v>
      </c>
      <c r="E552" s="1" t="n">
        <v>46224</v>
      </c>
      <c r="F552" t="inlineStr">
        <is>
          <t>UPPSALA LÄN</t>
        </is>
      </c>
      <c r="G552" t="inlineStr">
        <is>
          <t>ÖSTHAMMAR</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36857-2023</t>
        </is>
      </c>
      <c r="B553" t="inlineStr">
        <is>
          <t>avverkningsanmälan</t>
        </is>
      </c>
      <c r="C553" t="inlineStr">
        <is>
          <t>Föryngringsavverkning</t>
        </is>
      </c>
      <c r="D553" s="1" t="n">
        <v>45154</v>
      </c>
      <c r="E553" s="1" t="n">
        <v>46224</v>
      </c>
      <c r="F553" t="inlineStr">
        <is>
          <t>UPPSALA LÄN</t>
        </is>
      </c>
      <c r="G553" t="inlineStr">
        <is>
          <t>ÖSTHAMMAR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1800-2023</t>
        </is>
      </c>
      <c r="B554" t="inlineStr">
        <is>
          <t>avverkningsanmälan</t>
        </is>
      </c>
      <c r="C554" t="inlineStr">
        <is>
          <t>Föryngringsavverkning</t>
        </is>
      </c>
      <c r="D554" s="1" t="n">
        <v>44938</v>
      </c>
      <c r="E554" s="1" t="n">
        <v>46224</v>
      </c>
      <c r="F554" t="inlineStr">
        <is>
          <t>UPPSALA LÄN</t>
        </is>
      </c>
      <c r="G554" t="inlineStr">
        <is>
          <t>ÖSTHAMMAR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31485-2023</t>
        </is>
      </c>
      <c r="B555" t="inlineStr">
        <is>
          <t>avverkningsanmälan</t>
        </is>
      </c>
      <c r="C555" t="inlineStr">
        <is>
          <t>Föryngringsavverkning</t>
        </is>
      </c>
      <c r="D555" s="1" t="n">
        <v>45114</v>
      </c>
      <c r="E555" s="1" t="n">
        <v>46224</v>
      </c>
      <c r="F555" t="inlineStr">
        <is>
          <t>UPPSALA LÄN</t>
        </is>
      </c>
      <c r="G555" t="inlineStr">
        <is>
          <t>ÖSTHAMMAR</t>
        </is>
      </c>
      <c r="H555" t="inlineStr">
        <is>
          <t>Bergvik skog öst AB</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25897-2023</t>
        </is>
      </c>
      <c r="B556" t="inlineStr">
        <is>
          <t>avverkningsanmälan</t>
        </is>
      </c>
      <c r="C556" t="inlineStr">
        <is>
          <t>Föryngringsavverkning</t>
        </is>
      </c>
      <c r="D556" s="1" t="n">
        <v>45090</v>
      </c>
      <c r="E556" s="1" t="n">
        <v>46224</v>
      </c>
      <c r="F556" t="inlineStr">
        <is>
          <t>UPPSALA LÄN</t>
        </is>
      </c>
      <c r="G556" t="inlineStr">
        <is>
          <t>ÖSTHAMMAR</t>
        </is>
      </c>
      <c r="H556" t="inlineStr">
        <is>
          <t>Bergvik skog öst AB</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64885-2021</t>
        </is>
      </c>
      <c r="B557" t="inlineStr">
        <is>
          <t>avverkningsanmälan</t>
        </is>
      </c>
      <c r="C557" t="inlineStr">
        <is>
          <t>Föryngringsavverkning</t>
        </is>
      </c>
      <c r="D557" s="1" t="n">
        <v>44512</v>
      </c>
      <c r="E557" s="1" t="n">
        <v>46224</v>
      </c>
      <c r="F557" t="inlineStr">
        <is>
          <t>UPPSALA LÄN</t>
        </is>
      </c>
      <c r="G557" t="inlineStr">
        <is>
          <t>ÖSTHAMMAR</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12654-2025</t>
        </is>
      </c>
      <c r="B558" t="inlineStr">
        <is>
          <t>avverkningsanmälan</t>
        </is>
      </c>
      <c r="C558" t="inlineStr">
        <is>
          <t>Föryngringsavverkning</t>
        </is>
      </c>
      <c r="D558" s="1" t="n">
        <v>45733</v>
      </c>
      <c r="E558" s="1" t="n">
        <v>46224</v>
      </c>
      <c r="F558" t="inlineStr">
        <is>
          <t>UPPSALA LÄN</t>
        </is>
      </c>
      <c r="G558" t="inlineStr">
        <is>
          <t>ÖSTHAMMAR</t>
        </is>
      </c>
      <c r="I558" t="n">
        <v>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33271-2025</t>
        </is>
      </c>
      <c r="B559" t="inlineStr">
        <is>
          <t>avverkningsanmälan</t>
        </is>
      </c>
      <c r="C559" t="inlineStr">
        <is>
          <t>Föryngringsavverkning</t>
        </is>
      </c>
      <c r="D559" s="1" t="n">
        <v>45840</v>
      </c>
      <c r="E559" s="1" t="n">
        <v>46224</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67848-2021</t>
        </is>
      </c>
      <c r="B560" t="inlineStr">
        <is>
          <t>avverkningsanmälan</t>
        </is>
      </c>
      <c r="C560" t="inlineStr">
        <is>
          <t>Föryngringsavverkning</t>
        </is>
      </c>
      <c r="D560" s="1" t="n">
        <v>44525</v>
      </c>
      <c r="E560" s="1" t="n">
        <v>46224</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64811-2021</t>
        </is>
      </c>
      <c r="B561" t="inlineStr">
        <is>
          <t>avverkningsanmälan</t>
        </is>
      </c>
      <c r="C561" t="inlineStr">
        <is>
          <t>Föryngringsavverkning</t>
        </is>
      </c>
      <c r="D561" s="1" t="n">
        <v>44512</v>
      </c>
      <c r="E561" s="1" t="n">
        <v>46224</v>
      </c>
      <c r="F561" t="inlineStr">
        <is>
          <t>UPPSALA LÄN</t>
        </is>
      </c>
      <c r="G561" t="inlineStr">
        <is>
          <t>ÖSTHAMMAR</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56382-2022</t>
        </is>
      </c>
      <c r="B562" t="inlineStr">
        <is>
          <t>avverkningsanmälan</t>
        </is>
      </c>
      <c r="C562" t="inlineStr">
        <is>
          <t>Föryngringsavverkning</t>
        </is>
      </c>
      <c r="D562" s="1" t="n">
        <v>44890</v>
      </c>
      <c r="E562" s="1" t="n">
        <v>46224</v>
      </c>
      <c r="F562" t="inlineStr">
        <is>
          <t>UPPSALA LÄN</t>
        </is>
      </c>
      <c r="G562" t="inlineStr">
        <is>
          <t>ÖSTHAMMAR</t>
        </is>
      </c>
      <c r="H562" t="inlineStr">
        <is>
          <t>Allmännings- och besparingsskogar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57043-2022</t>
        </is>
      </c>
      <c r="B563" t="inlineStr">
        <is>
          <t>avverkningsanmälan</t>
        </is>
      </c>
      <c r="C563" t="inlineStr">
        <is>
          <t>Föryngringsavverkning</t>
        </is>
      </c>
      <c r="D563" s="1" t="n">
        <v>44895</v>
      </c>
      <c r="E563" s="1" t="n">
        <v>46224</v>
      </c>
      <c r="F563" t="inlineStr">
        <is>
          <t>UPPSALA LÄN</t>
        </is>
      </c>
      <c r="G563" t="inlineStr">
        <is>
          <t>ÖSTHAMMAR</t>
        </is>
      </c>
      <c r="H563" t="inlineStr">
        <is>
          <t>Bergvik skog öst AB</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59880-2022</t>
        </is>
      </c>
      <c r="B564" t="inlineStr">
        <is>
          <t>avverkningsanmälan</t>
        </is>
      </c>
      <c r="C564" t="inlineStr">
        <is>
          <t>Föryngringsavverkning</t>
        </is>
      </c>
      <c r="D564" s="1" t="n">
        <v>44908</v>
      </c>
      <c r="E564" s="1" t="n">
        <v>46224</v>
      </c>
      <c r="F564" t="inlineStr">
        <is>
          <t>UPPSALA LÄN</t>
        </is>
      </c>
      <c r="G564" t="inlineStr">
        <is>
          <t>ÖSTHAMMAR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20796-2026</t>
        </is>
      </c>
      <c r="B565" t="inlineStr">
        <is>
          <t>avverkningsanmälan</t>
        </is>
      </c>
      <c r="C565" t="inlineStr">
        <is>
          <t>Föryngringsavverkning</t>
        </is>
      </c>
      <c r="D565" s="1" t="n">
        <v>46141</v>
      </c>
      <c r="E565" s="1" t="n">
        <v>46224</v>
      </c>
      <c r="F565" t="inlineStr">
        <is>
          <t>UPPSALA LÄN</t>
        </is>
      </c>
      <c r="G565" t="inlineStr">
        <is>
          <t>ÖSTHAMMAR</t>
        </is>
      </c>
      <c r="H565" t="inlineStr">
        <is>
          <t>Bergvik skog öst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7944-2023</t>
        </is>
      </c>
      <c r="B566" t="inlineStr">
        <is>
          <t>avverkningsanmälan</t>
        </is>
      </c>
      <c r="C566" t="inlineStr">
        <is>
          <t>Föryngringsavverkning</t>
        </is>
      </c>
      <c r="D566" s="1" t="n">
        <v>44973</v>
      </c>
      <c r="E566" s="1" t="n">
        <v>46224</v>
      </c>
      <c r="F566" t="inlineStr">
        <is>
          <t>UPPSALA LÄN</t>
        </is>
      </c>
      <c r="G566" t="inlineStr">
        <is>
          <t>ÖSTHAMMAR</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52659-2021</t>
        </is>
      </c>
      <c r="B567" t="inlineStr">
        <is>
          <t>avverkningsanmälan</t>
        </is>
      </c>
      <c r="C567" t="inlineStr">
        <is>
          <t>Föryngringsavverkning</t>
        </is>
      </c>
      <c r="D567" s="1" t="n">
        <v>44466</v>
      </c>
      <c r="E567" s="1" t="n">
        <v>46224</v>
      </c>
      <c r="F567" t="inlineStr">
        <is>
          <t>UPPSALA LÄN</t>
        </is>
      </c>
      <c r="G567" t="inlineStr">
        <is>
          <t>ÖSTHAMMAR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7216-2025</t>
        </is>
      </c>
      <c r="B568" t="inlineStr">
        <is>
          <t>avverkningsanmälan</t>
        </is>
      </c>
      <c r="C568" t="inlineStr">
        <is>
          <t>Föryngringsavverkning</t>
        </is>
      </c>
      <c r="D568" s="1" t="n">
        <v>45702</v>
      </c>
      <c r="E568" s="1" t="n">
        <v>46224</v>
      </c>
      <c r="F568" t="inlineStr">
        <is>
          <t>UPPSALA LÄN</t>
        </is>
      </c>
      <c r="G568" t="inlineStr">
        <is>
          <t>ÖSTHAMMAR</t>
        </is>
      </c>
      <c r="H568" t="inlineStr">
        <is>
          <t>Övriga Aktiebolag</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26305-2026</t>
        </is>
      </c>
      <c r="B569" t="inlineStr">
        <is>
          <t>avverkningsanmälan</t>
        </is>
      </c>
      <c r="C569" t="inlineStr">
        <is>
          <t>Föryngringsavverkning</t>
        </is>
      </c>
      <c r="D569" s="1" t="n">
        <v>46182</v>
      </c>
      <c r="E569" s="1" t="n">
        <v>46224</v>
      </c>
      <c r="F569" t="inlineStr">
        <is>
          <t>UPPSALA LÄN</t>
        </is>
      </c>
      <c r="G569" t="inlineStr">
        <is>
          <t>ÖSTHAMMAR</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14989-2026</t>
        </is>
      </c>
      <c r="B570" t="inlineStr">
        <is>
          <t>avverkningsanmälan</t>
        </is>
      </c>
      <c r="C570" t="inlineStr">
        <is>
          <t>Föryngringsavverkning</t>
        </is>
      </c>
      <c r="D570" s="1" t="n">
        <v>46104</v>
      </c>
      <c r="E570" s="1" t="n">
        <v>46224</v>
      </c>
      <c r="F570" t="inlineStr">
        <is>
          <t>UPPSALA LÄN</t>
        </is>
      </c>
      <c r="G570" t="inlineStr">
        <is>
          <t>ÖSTHAMMAR</t>
        </is>
      </c>
      <c r="H570" t="inlineStr">
        <is>
          <t>Övriga Aktiebolag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26581-2026</t>
        </is>
      </c>
      <c r="B571" t="inlineStr">
        <is>
          <t>avverkningsanmälan</t>
        </is>
      </c>
      <c r="C571" t="inlineStr">
        <is>
          <t>Föryngringsavverkning</t>
        </is>
      </c>
      <c r="D571" s="1" t="n">
        <v>46183</v>
      </c>
      <c r="E571" s="1" t="n">
        <v>46224</v>
      </c>
      <c r="F571" t="inlineStr">
        <is>
          <t>UPPSALA LÄN</t>
        </is>
      </c>
      <c r="G571" t="inlineStr">
        <is>
          <t>ÖSTHAMMAR</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73965-2021</t>
        </is>
      </c>
      <c r="B572" t="inlineStr">
        <is>
          <t>avverkningsanmälan</t>
        </is>
      </c>
      <c r="C572" t="inlineStr">
        <is>
          <t>Föryngringsavverkning</t>
        </is>
      </c>
      <c r="D572" s="1" t="n">
        <v>44553</v>
      </c>
      <c r="E572" s="1" t="n">
        <v>46224</v>
      </c>
      <c r="F572" t="inlineStr">
        <is>
          <t>UPPSALA LÄN</t>
        </is>
      </c>
      <c r="G572" t="inlineStr">
        <is>
          <t>ÖSTHAMMAR</t>
        </is>
      </c>
      <c r="H572" t="inlineStr">
        <is>
          <t>Bergvik skog öst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3418-2025</t>
        </is>
      </c>
      <c r="B573" t="inlineStr">
        <is>
          <t>avverkningsanmälan</t>
        </is>
      </c>
      <c r="C573" t="inlineStr">
        <is>
          <t>Föryngringsavverkning</t>
        </is>
      </c>
      <c r="D573" s="1" t="n">
        <v>45680</v>
      </c>
      <c r="E573" s="1" t="n">
        <v>46224</v>
      </c>
      <c r="F573" t="inlineStr">
        <is>
          <t>UPPSALA LÄN</t>
        </is>
      </c>
      <c r="G573" t="inlineStr">
        <is>
          <t>ÖSTHAMMAR</t>
        </is>
      </c>
      <c r="H573" t="inlineStr">
        <is>
          <t>Bergvik skog väst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52661-2022</t>
        </is>
      </c>
      <c r="B574" t="inlineStr">
        <is>
          <t>avverkningsanmälan</t>
        </is>
      </c>
      <c r="C574" t="inlineStr">
        <is>
          <t>Föryngringsavverkning</t>
        </is>
      </c>
      <c r="D574" s="1" t="n">
        <v>44874</v>
      </c>
      <c r="E574" s="1" t="n">
        <v>46224</v>
      </c>
      <c r="F574" t="inlineStr">
        <is>
          <t>UPPSALA LÄN</t>
        </is>
      </c>
      <c r="G574" t="inlineStr">
        <is>
          <t>ÖSTHAMMAR</t>
        </is>
      </c>
      <c r="H574" t="inlineStr">
        <is>
          <t>Bergvik skog öst AB</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20776-2026</t>
        </is>
      </c>
      <c r="B575" t="inlineStr">
        <is>
          <t>avverkningsanmälan</t>
        </is>
      </c>
      <c r="C575" t="inlineStr">
        <is>
          <t>Föryngringsavverkning</t>
        </is>
      </c>
      <c r="D575" s="1" t="n">
        <v>46141</v>
      </c>
      <c r="E575" s="1" t="n">
        <v>46224</v>
      </c>
      <c r="F575" t="inlineStr">
        <is>
          <t>UPPSALA LÄN</t>
        </is>
      </c>
      <c r="G575" t="inlineStr">
        <is>
          <t>ÖSTHAMMAR</t>
        </is>
      </c>
      <c r="H575" t="inlineStr">
        <is>
          <t>Övriga Aktiebolag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26524-2026</t>
        </is>
      </c>
      <c r="B576" t="inlineStr">
        <is>
          <t>avverkningsanmälan</t>
        </is>
      </c>
      <c r="C576" t="inlineStr">
        <is>
          <t>Föryngringsavverkning</t>
        </is>
      </c>
      <c r="D576" s="1" t="n">
        <v>46183</v>
      </c>
      <c r="E576" s="1" t="n">
        <v>46224</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20779-2026</t>
        </is>
      </c>
      <c r="B577" t="inlineStr">
        <is>
          <t>avverkningsanmälan</t>
        </is>
      </c>
      <c r="C577" t="inlineStr">
        <is>
          <t>Föryngringsavverkning</t>
        </is>
      </c>
      <c r="D577" s="1" t="n">
        <v>46141</v>
      </c>
      <c r="E577" s="1" t="n">
        <v>46224</v>
      </c>
      <c r="F577" t="inlineStr">
        <is>
          <t>UPPSALA LÄN</t>
        </is>
      </c>
      <c r="G577" t="inlineStr">
        <is>
          <t>ÖSTHAMMAR</t>
        </is>
      </c>
      <c r="H577" t="inlineStr">
        <is>
          <t>Övriga Aktiebolag</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20786-2026</t>
        </is>
      </c>
      <c r="B578" t="inlineStr">
        <is>
          <t>avverkningsanmälan</t>
        </is>
      </c>
      <c r="C578" t="inlineStr">
        <is>
          <t>Föryngringsavverkning</t>
        </is>
      </c>
      <c r="D578" s="1" t="n">
        <v>46141</v>
      </c>
      <c r="E578" s="1" t="n">
        <v>46224</v>
      </c>
      <c r="F578" t="inlineStr">
        <is>
          <t>UPPSALA LÄN</t>
        </is>
      </c>
      <c r="G578" t="inlineStr">
        <is>
          <t>ÖSTHAMMAR</t>
        </is>
      </c>
      <c r="H578" t="inlineStr">
        <is>
          <t>Bergvik skog öst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65028-2021</t>
        </is>
      </c>
      <c r="B579" t="inlineStr">
        <is>
          <t>avverkningsanmälan</t>
        </is>
      </c>
      <c r="C579" t="inlineStr">
        <is>
          <t>Avverkning för att bevara och utveckla /försöksver</t>
        </is>
      </c>
      <c r="D579" s="1" t="n">
        <v>44515</v>
      </c>
      <c r="E579" s="1" t="n">
        <v>46224</v>
      </c>
      <c r="F579" t="inlineStr">
        <is>
          <t>UPPSALA LÄN</t>
        </is>
      </c>
      <c r="G579" t="inlineStr">
        <is>
          <t>ÖSTHAMMAR</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40547-2023</t>
        </is>
      </c>
      <c r="B580" t="inlineStr">
        <is>
          <t>avverkningsanmälan</t>
        </is>
      </c>
      <c r="C580" t="inlineStr">
        <is>
          <t>Föryngringsavverkning</t>
        </is>
      </c>
      <c r="D580" s="1" t="n">
        <v>45170</v>
      </c>
      <c r="E580" s="1" t="n">
        <v>46224</v>
      </c>
      <c r="F580" t="inlineStr">
        <is>
          <t>UPPSALA LÄN</t>
        </is>
      </c>
      <c r="G580" t="inlineStr">
        <is>
          <t>ÖSTHAMMAR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14878-2026</t>
        </is>
      </c>
      <c r="B581" t="inlineStr">
        <is>
          <t>avverkningsanmälan</t>
        </is>
      </c>
      <c r="C581" t="inlineStr">
        <is>
          <t>Föryngringsavverkning</t>
        </is>
      </c>
      <c r="D581" s="1" t="n">
        <v>46104</v>
      </c>
      <c r="E581" s="1" t="n">
        <v>46224</v>
      </c>
      <c r="F581" t="inlineStr">
        <is>
          <t>UPPSALA LÄN</t>
        </is>
      </c>
      <c r="G581" t="inlineStr">
        <is>
          <t>ÖSTHAMMAR</t>
        </is>
      </c>
      <c r="H581" t="inlineStr">
        <is>
          <t>Övriga Aktiebolag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14505-2023</t>
        </is>
      </c>
      <c r="B582" t="inlineStr">
        <is>
          <t>avverkningsanmälan</t>
        </is>
      </c>
      <c r="C582" t="inlineStr">
        <is>
          <t>Föryngringsavverkning</t>
        </is>
      </c>
      <c r="D582" s="1" t="n">
        <v>45012</v>
      </c>
      <c r="E582" s="1" t="n">
        <v>46224</v>
      </c>
      <c r="F582" t="inlineStr">
        <is>
          <t>UPPSALA LÄN</t>
        </is>
      </c>
      <c r="G582" t="inlineStr">
        <is>
          <t>ÖSTHAMMAR</t>
        </is>
      </c>
      <c r="H582" t="inlineStr">
        <is>
          <t>Bergvik skog öst AB</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47341-2023</t>
        </is>
      </c>
      <c r="B583" t="inlineStr">
        <is>
          <t>avverkningsanmälan</t>
        </is>
      </c>
      <c r="C583" t="inlineStr">
        <is>
          <t>Föryngringsavverkning</t>
        </is>
      </c>
      <c r="D583" s="1" t="n">
        <v>45202</v>
      </c>
      <c r="E583" s="1" t="n">
        <v>46224</v>
      </c>
      <c r="F583" t="inlineStr">
        <is>
          <t>UPPSALA LÄN</t>
        </is>
      </c>
      <c r="G583" t="inlineStr">
        <is>
          <t>ÖSTHAMMAR</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3732-2022</t>
        </is>
      </c>
      <c r="B584" t="inlineStr">
        <is>
          <t>avverkningsanmälan</t>
        </is>
      </c>
      <c r="C584" t="inlineStr">
        <is>
          <t>Föryngringsavverkning</t>
        </is>
      </c>
      <c r="D584" s="1" t="n">
        <v>44586</v>
      </c>
      <c r="E584" s="1" t="n">
        <v>46224</v>
      </c>
      <c r="F584" t="inlineStr">
        <is>
          <t>UPPSALA LÄN</t>
        </is>
      </c>
      <c r="G584" t="inlineStr">
        <is>
          <t>ÖSTHAMMAR</t>
        </is>
      </c>
      <c r="H584" t="inlineStr">
        <is>
          <t>Bergvik skog öst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26778-2026</t>
        </is>
      </c>
      <c r="B585" t="inlineStr">
        <is>
          <t>avverkningsanmälan</t>
        </is>
      </c>
      <c r="C585" t="inlineStr">
        <is>
          <t>Föryngringsavverkning</t>
        </is>
      </c>
      <c r="D585" s="1" t="n">
        <v>46184</v>
      </c>
      <c r="E585" s="1" t="n">
        <v>46224</v>
      </c>
      <c r="F585" t="inlineStr">
        <is>
          <t>UPPSALA LÄN</t>
        </is>
      </c>
      <c r="G585" t="inlineStr">
        <is>
          <t>ÖSTHAMMAR</t>
        </is>
      </c>
      <c r="I585" t="n">
        <v>12.5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25269-2024</t>
        </is>
      </c>
      <c r="B586" t="inlineStr">
        <is>
          <t>avverkningsanmälan</t>
        </is>
      </c>
      <c r="C586" t="inlineStr">
        <is>
          <t>Föryngringsavverkning</t>
        </is>
      </c>
      <c r="D586" s="1" t="n">
        <v>45462</v>
      </c>
      <c r="E586" s="1" t="n">
        <v>46224</v>
      </c>
      <c r="F586" t="inlineStr">
        <is>
          <t>UPPSALA LÄN</t>
        </is>
      </c>
      <c r="G586" t="inlineStr">
        <is>
          <t>ÖSTHAMMAR</t>
        </is>
      </c>
      <c r="H586" t="inlineStr">
        <is>
          <t>Bergvik skog öst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13352-2023</t>
        </is>
      </c>
      <c r="B587" t="inlineStr">
        <is>
          <t>avverkningsanmälan</t>
        </is>
      </c>
      <c r="C587" t="inlineStr">
        <is>
          <t>Föryngringsavverkning</t>
        </is>
      </c>
      <c r="D587" s="1" t="n">
        <v>45005</v>
      </c>
      <c r="E587" s="1" t="n">
        <v>46224</v>
      </c>
      <c r="F587" t="inlineStr">
        <is>
          <t>UPPSALA LÄN</t>
        </is>
      </c>
      <c r="G587" t="inlineStr">
        <is>
          <t>ÖSTHAMMAR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22804-2022</t>
        </is>
      </c>
      <c r="B588" t="inlineStr">
        <is>
          <t>avverkningsanmälan</t>
        </is>
      </c>
      <c r="C588" t="inlineStr">
        <is>
          <t>Föryngringsavverkning</t>
        </is>
      </c>
      <c r="D588" s="1" t="n">
        <v>44715</v>
      </c>
      <c r="E588" s="1" t="n">
        <v>46224</v>
      </c>
      <c r="F588" t="inlineStr">
        <is>
          <t>UPPSALA LÄN</t>
        </is>
      </c>
      <c r="G588" t="inlineStr">
        <is>
          <t>ÖSTHAMMAR</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45795-2023</t>
        </is>
      </c>
      <c r="B589" t="inlineStr">
        <is>
          <t>avverkningsanmälan</t>
        </is>
      </c>
      <c r="C589" t="inlineStr">
        <is>
          <t>Avverkning för annat ändamål</t>
        </is>
      </c>
      <c r="D589" s="1" t="n">
        <v>45195</v>
      </c>
      <c r="E589" s="1" t="n">
        <v>46224</v>
      </c>
      <c r="F589" t="inlineStr">
        <is>
          <t>UPPSALA LÄN</t>
        </is>
      </c>
      <c r="G589" t="inlineStr">
        <is>
          <t>ÖSTHAMMAR</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7997-2022</t>
        </is>
      </c>
      <c r="B590" t="inlineStr">
        <is>
          <t>avverkningsanmälan</t>
        </is>
      </c>
      <c r="C590" t="inlineStr">
        <is>
          <t>Föryngringsavverkning</t>
        </is>
      </c>
      <c r="D590" s="1" t="n">
        <v>44609</v>
      </c>
      <c r="E590" s="1" t="n">
        <v>46224</v>
      </c>
      <c r="F590" t="inlineStr">
        <is>
          <t>UPPSALA LÄN</t>
        </is>
      </c>
      <c r="G590" t="inlineStr">
        <is>
          <t>ÖSTHAMMAR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67199-2021</t>
        </is>
      </c>
      <c r="B591" t="inlineStr">
        <is>
          <t>avverkningsanmälan</t>
        </is>
      </c>
      <c r="C591" t="inlineStr">
        <is>
          <t>Föryngringsavverkning</t>
        </is>
      </c>
      <c r="D591" s="1" t="n">
        <v>44523</v>
      </c>
      <c r="E591" s="1" t="n">
        <v>46224</v>
      </c>
      <c r="F591" t="inlineStr">
        <is>
          <t>UPPSALA LÄN</t>
        </is>
      </c>
      <c r="G591" t="inlineStr">
        <is>
          <t>ÖSTHAMMAR</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15449-2022</t>
        </is>
      </c>
      <c r="B592" t="inlineStr">
        <is>
          <t>avverkningsanmälan</t>
        </is>
      </c>
      <c r="C592" t="inlineStr">
        <is>
          <t>Föryngringsavverkning</t>
        </is>
      </c>
      <c r="D592" s="1" t="n">
        <v>44660</v>
      </c>
      <c r="E592" s="1" t="n">
        <v>46224</v>
      </c>
      <c r="F592" t="inlineStr">
        <is>
          <t>UPPSALA LÄN</t>
        </is>
      </c>
      <c r="G592" t="inlineStr">
        <is>
          <t>ÖSTHAMMAR</t>
        </is>
      </c>
      <c r="H592" t="inlineStr">
        <is>
          <t>Bergvik skog öst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18183-2022</t>
        </is>
      </c>
      <c r="B593" t="inlineStr">
        <is>
          <t>avverkningsanmälan</t>
        </is>
      </c>
      <c r="C593" t="inlineStr">
        <is>
          <t>Föryngringsavverkning</t>
        </is>
      </c>
      <c r="D593" s="1" t="n">
        <v>44684</v>
      </c>
      <c r="E593" s="1" t="n">
        <v>46224</v>
      </c>
      <c r="F593" t="inlineStr">
        <is>
          <t>UPPSALA LÄN</t>
        </is>
      </c>
      <c r="G593" t="inlineStr">
        <is>
          <t>ÖSTHAMMAR</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21448-2026</t>
        </is>
      </c>
      <c r="B594" t="inlineStr">
        <is>
          <t>avverkningsanmälan</t>
        </is>
      </c>
      <c r="C594" t="inlineStr">
        <is>
          <t>Föryngringsavverkning</t>
        </is>
      </c>
      <c r="D594" s="1" t="n">
        <v>46146</v>
      </c>
      <c r="E594" s="1" t="n">
        <v>46224</v>
      </c>
      <c r="F594" t="inlineStr">
        <is>
          <t>UPPSALA LÄN</t>
        </is>
      </c>
      <c r="G594" t="inlineStr">
        <is>
          <t>ÖSTHAMMAR</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21389-2026</t>
        </is>
      </c>
      <c r="B595" t="inlineStr">
        <is>
          <t>avverkningsanmälan</t>
        </is>
      </c>
      <c r="C595" t="inlineStr">
        <is>
          <t>Föryngringsavverkning</t>
        </is>
      </c>
      <c r="D595" s="1" t="n">
        <v>46147</v>
      </c>
      <c r="E595" s="1" t="n">
        <v>46224</v>
      </c>
      <c r="F595" t="inlineStr">
        <is>
          <t>UPPSALA LÄN</t>
        </is>
      </c>
      <c r="G595" t="inlineStr">
        <is>
          <t>ÖSTHAMMAR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6892-2022</t>
        </is>
      </c>
      <c r="B596" t="inlineStr">
        <is>
          <t>avverkningsanmälan</t>
        </is>
      </c>
      <c r="C596" t="inlineStr">
        <is>
          <t>Föryngringsavverkning</t>
        </is>
      </c>
      <c r="D596" s="1" t="n">
        <v>44602</v>
      </c>
      <c r="E596" s="1" t="n">
        <v>46224</v>
      </c>
      <c r="F596" t="inlineStr">
        <is>
          <t>UPPSALA LÄN</t>
        </is>
      </c>
      <c r="G596" t="inlineStr">
        <is>
          <t>ÖSTHAMMAR</t>
        </is>
      </c>
      <c r="H596" t="inlineStr">
        <is>
          <t>Bergvik skog öst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62295-2022</t>
        </is>
      </c>
      <c r="B597" t="inlineStr">
        <is>
          <t>avverkningsanmälan</t>
        </is>
      </c>
      <c r="C597" t="inlineStr">
        <is>
          <t>Föryngringsavverkning</t>
        </is>
      </c>
      <c r="D597" s="1" t="n">
        <v>44916</v>
      </c>
      <c r="E597" s="1" t="n">
        <v>46224</v>
      </c>
      <c r="F597" t="inlineStr">
        <is>
          <t>UPPSALA LÄN</t>
        </is>
      </c>
      <c r="G597" t="inlineStr">
        <is>
          <t>ÖSTHAMMAR</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8830-2023</t>
        </is>
      </c>
      <c r="B598" t="inlineStr">
        <is>
          <t>avverkningsanmälan</t>
        </is>
      </c>
      <c r="C598" t="inlineStr">
        <is>
          <t>Föryngringsavverkning</t>
        </is>
      </c>
      <c r="D598" s="1" t="n">
        <v>44978</v>
      </c>
      <c r="E598" s="1" t="n">
        <v>46224</v>
      </c>
      <c r="F598" t="inlineStr">
        <is>
          <t>UPPSALA LÄN</t>
        </is>
      </c>
      <c r="G598" t="inlineStr">
        <is>
          <t>ÖSTHAMMAR</t>
        </is>
      </c>
      <c r="H598" t="inlineStr">
        <is>
          <t>Bergvik skog öst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21360-2026</t>
        </is>
      </c>
      <c r="B599" t="inlineStr">
        <is>
          <t>avverkningsanmälan</t>
        </is>
      </c>
      <c r="C599" t="inlineStr">
        <is>
          <t>Föryngringsavverkning</t>
        </is>
      </c>
      <c r="D599" s="1" t="n">
        <v>46147</v>
      </c>
      <c r="E599" s="1" t="n">
        <v>46224</v>
      </c>
      <c r="F599" t="inlineStr">
        <is>
          <t>UPPSALA LÄN</t>
        </is>
      </c>
      <c r="G599" t="inlineStr">
        <is>
          <t>ÖSTHAMMAR</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26557-2022</t>
        </is>
      </c>
      <c r="B600" t="inlineStr">
        <is>
          <t>avverkningsanmälan</t>
        </is>
      </c>
      <c r="C600" t="inlineStr">
        <is>
          <t>Föryngringsavverkning</t>
        </is>
      </c>
      <c r="D600" s="1" t="n">
        <v>44739</v>
      </c>
      <c r="E600" s="1" t="n">
        <v>46224</v>
      </c>
      <c r="F600" t="inlineStr">
        <is>
          <t>UPPSALA LÄN</t>
        </is>
      </c>
      <c r="G600" t="inlineStr">
        <is>
          <t>ÖSTHAMMAR</t>
        </is>
      </c>
      <c r="H600" t="inlineStr">
        <is>
          <t>Övriga statliga verk och myndigheter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18091-2023</t>
        </is>
      </c>
      <c r="B601" t="inlineStr">
        <is>
          <t>avverkningsanmälan</t>
        </is>
      </c>
      <c r="C601" t="inlineStr">
        <is>
          <t>Föryngringsavverkning</t>
        </is>
      </c>
      <c r="D601" s="1" t="n">
        <v>45040</v>
      </c>
      <c r="E601" s="1" t="n">
        <v>46224</v>
      </c>
      <c r="F601" t="inlineStr">
        <is>
          <t>UPPSALA LÄN</t>
        </is>
      </c>
      <c r="G601" t="inlineStr">
        <is>
          <t>ÖSTHAMMAR</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47522-2023</t>
        </is>
      </c>
      <c r="B602" t="inlineStr">
        <is>
          <t>avverkningsanmälan</t>
        </is>
      </c>
      <c r="C602" t="inlineStr">
        <is>
          <t>Föryngringsavverkning</t>
        </is>
      </c>
      <c r="D602" s="1" t="n">
        <v>45203</v>
      </c>
      <c r="E602" s="1" t="n">
        <v>46224</v>
      </c>
      <c r="F602" t="inlineStr">
        <is>
          <t>UPPSALA LÄN</t>
        </is>
      </c>
      <c r="G602" t="inlineStr">
        <is>
          <t>ÖSTHAMMAR</t>
        </is>
      </c>
      <c r="H602" t="inlineStr">
        <is>
          <t>Bergvik skog öst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54366-2023</t>
        </is>
      </c>
      <c r="B603" t="inlineStr">
        <is>
          <t>avverkningsanmälan</t>
        </is>
      </c>
      <c r="C603" t="inlineStr">
        <is>
          <t>Föryngringsavverkning</t>
        </is>
      </c>
      <c r="D603" s="1" t="n">
        <v>45233</v>
      </c>
      <c r="E603" s="1" t="n">
        <v>46224</v>
      </c>
      <c r="F603" t="inlineStr">
        <is>
          <t>UPPSALA LÄN</t>
        </is>
      </c>
      <c r="G603" t="inlineStr">
        <is>
          <t>ÖSTHAMMAR</t>
        </is>
      </c>
      <c r="H603" t="inlineStr">
        <is>
          <t>Bergvik skog öst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52694-2023</t>
        </is>
      </c>
      <c r="B604" t="inlineStr">
        <is>
          <t>avverkningsanmälan</t>
        </is>
      </c>
      <c r="C604" t="inlineStr">
        <is>
          <t>Föryngringsavverkning</t>
        </is>
      </c>
      <c r="D604" s="1" t="n">
        <v>45225</v>
      </c>
      <c r="E604" s="1" t="n">
        <v>46224</v>
      </c>
      <c r="F604" t="inlineStr">
        <is>
          <t>UPPSALA LÄN</t>
        </is>
      </c>
      <c r="G604" t="inlineStr">
        <is>
          <t>ÖSTHAMMAR</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36873-2022</t>
        </is>
      </c>
      <c r="B605" t="inlineStr">
        <is>
          <t>avverkningsanmälan</t>
        </is>
      </c>
      <c r="C605" t="inlineStr">
        <is>
          <t>Föryngringsavverkning</t>
        </is>
      </c>
      <c r="D605" s="1" t="n">
        <v>44805</v>
      </c>
      <c r="E605" s="1" t="n">
        <v>46224</v>
      </c>
      <c r="F605" t="inlineStr">
        <is>
          <t>UPPSALA LÄN</t>
        </is>
      </c>
      <c r="G605" t="inlineStr">
        <is>
          <t>ÖSTHAMMAR</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27958-2026</t>
        </is>
      </c>
      <c r="B606" t="inlineStr">
        <is>
          <t>avverkningsanmälan</t>
        </is>
      </c>
      <c r="C606" t="inlineStr">
        <is>
          <t>Föryngringsavverkning</t>
        </is>
      </c>
      <c r="D606" s="1" t="n">
        <v>46194</v>
      </c>
      <c r="E606" s="1" t="n">
        <v>46224</v>
      </c>
      <c r="F606" t="inlineStr">
        <is>
          <t>UPPSALA LÄN</t>
        </is>
      </c>
      <c r="G606" t="inlineStr">
        <is>
          <t>ÖSTHAMMAR</t>
        </is>
      </c>
      <c r="H606" t="inlineStr">
        <is>
          <t>Bergvik skog öst AB</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61817-2021</t>
        </is>
      </c>
      <c r="B607" t="inlineStr">
        <is>
          <t>avverkningsanmälan</t>
        </is>
      </c>
      <c r="C607" t="inlineStr">
        <is>
          <t>Föryngringsavverkning</t>
        </is>
      </c>
      <c r="D607" s="1" t="n">
        <v>44501</v>
      </c>
      <c r="E607" s="1" t="n">
        <v>46224</v>
      </c>
      <c r="F607" t="inlineStr">
        <is>
          <t>UPPSALA LÄN</t>
        </is>
      </c>
      <c r="G607" t="inlineStr">
        <is>
          <t>ÖSTHAMMAR</t>
        </is>
      </c>
      <c r="H607" t="inlineStr">
        <is>
          <t>Bergvik skog öst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21765-2026</t>
        </is>
      </c>
      <c r="B608" t="inlineStr">
        <is>
          <t>avverkningsanmälan</t>
        </is>
      </c>
      <c r="C608" t="inlineStr">
        <is>
          <t>Föryngringsavverkning</t>
        </is>
      </c>
      <c r="D608" s="1" t="n">
        <v>46150</v>
      </c>
      <c r="E608" s="1" t="n">
        <v>46224</v>
      </c>
      <c r="F608" t="inlineStr">
        <is>
          <t>UPPSALA LÄN</t>
        </is>
      </c>
      <c r="G608" t="inlineStr">
        <is>
          <t>ÖSTHAMMAR</t>
        </is>
      </c>
      <c r="H608" t="inlineStr">
        <is>
          <t>Övriga Aktiebolag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28021-2026</t>
        </is>
      </c>
      <c r="B609" t="inlineStr">
        <is>
          <t>avverkningsanmälan</t>
        </is>
      </c>
      <c r="C609" t="inlineStr">
        <is>
          <t>Föryngringsavverkning</t>
        </is>
      </c>
      <c r="D609" s="1" t="n">
        <v>46195</v>
      </c>
      <c r="E609" s="1" t="n">
        <v>46224</v>
      </c>
      <c r="F609" t="inlineStr">
        <is>
          <t>UPPSALA LÄN</t>
        </is>
      </c>
      <c r="G609" t="inlineStr">
        <is>
          <t>ÖSTHAMMAR</t>
        </is>
      </c>
      <c r="H609" t="inlineStr">
        <is>
          <t>Bergvik skog öst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54437-2024</t>
        </is>
      </c>
      <c r="B610" t="inlineStr">
        <is>
          <t>avverkningsanmälan</t>
        </is>
      </c>
      <c r="C610" t="inlineStr">
        <is>
          <t>Föryngringsavverkning</t>
        </is>
      </c>
      <c r="D610" s="1" t="n">
        <v>45617</v>
      </c>
      <c r="E610" s="1" t="n">
        <v>46224</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22059-2026</t>
        </is>
      </c>
      <c r="B611" t="inlineStr">
        <is>
          <t>avverkningsanmälan</t>
        </is>
      </c>
      <c r="C611" t="inlineStr">
        <is>
          <t>Föryngringsavverkning</t>
        </is>
      </c>
      <c r="D611" s="1" t="n">
        <v>46153</v>
      </c>
      <c r="E611" s="1" t="n">
        <v>46224</v>
      </c>
      <c r="F611" t="inlineStr">
        <is>
          <t>UPPSALA LÄN</t>
        </is>
      </c>
      <c r="G611" t="inlineStr">
        <is>
          <t>ÖSTHAMMAR</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28152-2024</t>
        </is>
      </c>
      <c r="B612" t="inlineStr">
        <is>
          <t>avverkningsanmälan</t>
        </is>
      </c>
      <c r="C612" t="inlineStr">
        <is>
          <t>Föryngringsavverkning</t>
        </is>
      </c>
      <c r="D612" s="1" t="n">
        <v>45476</v>
      </c>
      <c r="E612" s="1" t="n">
        <v>46224</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28385-2026</t>
        </is>
      </c>
      <c r="B613" t="inlineStr">
        <is>
          <t>avverkningsanmälan</t>
        </is>
      </c>
      <c r="C613" t="inlineStr">
        <is>
          <t>Föryngringsavverkning</t>
        </is>
      </c>
      <c r="D613" s="1" t="n">
        <v>46196</v>
      </c>
      <c r="E613" s="1" t="n">
        <v>46224</v>
      </c>
      <c r="F613" t="inlineStr">
        <is>
          <t>UPPSALA LÄN</t>
        </is>
      </c>
      <c r="G613" t="inlineStr">
        <is>
          <t>ÖSTHAMMAR</t>
        </is>
      </c>
      <c r="H613" t="inlineStr">
        <is>
          <t>Bergvik skog öst AB</t>
        </is>
      </c>
      <c r="I613" t="n">
        <v>18.6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41478-2024</t>
        </is>
      </c>
      <c r="B614" t="inlineStr">
        <is>
          <t>avverkningsanmälan</t>
        </is>
      </c>
      <c r="C614" t="inlineStr">
        <is>
          <t>Föryngringsavverkning</t>
        </is>
      </c>
      <c r="D614" s="1" t="n">
        <v>45560</v>
      </c>
      <c r="E614" s="1" t="n">
        <v>46224</v>
      </c>
      <c r="F614" t="inlineStr">
        <is>
          <t>UPPSALA LÄN</t>
        </is>
      </c>
      <c r="G614" t="inlineStr">
        <is>
          <t>ÖSTHAMMAR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22640-2026</t>
        </is>
      </c>
      <c r="B615" t="inlineStr">
        <is>
          <t>avverkningsanmälan</t>
        </is>
      </c>
      <c r="C615" t="inlineStr">
        <is>
          <t>Föryngringsavverkning</t>
        </is>
      </c>
      <c r="D615" s="1" t="n">
        <v>46155</v>
      </c>
      <c r="E615" s="1" t="n">
        <v>46224</v>
      </c>
      <c r="F615" t="inlineStr">
        <is>
          <t>UPPSALA LÄN</t>
        </is>
      </c>
      <c r="G615" t="inlineStr">
        <is>
          <t>ÖSTHAMMAR</t>
        </is>
      </c>
      <c r="H615" t="inlineStr">
        <is>
          <t>Bergvik skog öst AB</t>
        </is>
      </c>
      <c r="I615" t="n">
        <v>19.4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16141-2022</t>
        </is>
      </c>
      <c r="B616" t="inlineStr">
        <is>
          <t>avverkningsanmälan</t>
        </is>
      </c>
      <c r="C616" t="inlineStr">
        <is>
          <t>Föryngringsavverkning</t>
        </is>
      </c>
      <c r="D616" s="1" t="n">
        <v>44665</v>
      </c>
      <c r="E616" s="1" t="n">
        <v>46224</v>
      </c>
      <c r="F616" t="inlineStr">
        <is>
          <t>UPPSALA LÄN</t>
        </is>
      </c>
      <c r="G616" t="inlineStr">
        <is>
          <t>ÖSTHAMMAR</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34922-2023</t>
        </is>
      </c>
      <c r="B617" t="inlineStr">
        <is>
          <t>avverkningsanmälan</t>
        </is>
      </c>
      <c r="C617" t="inlineStr">
        <is>
          <t>Föryngringsavverkning</t>
        </is>
      </c>
      <c r="D617" s="1" t="n">
        <v>45142</v>
      </c>
      <c r="E617" s="1" t="n">
        <v>46224</v>
      </c>
      <c r="F617" t="inlineStr">
        <is>
          <t>UPPSALA LÄN</t>
        </is>
      </c>
      <c r="G617" t="inlineStr">
        <is>
          <t>ÖSTHAMMAR</t>
        </is>
      </c>
      <c r="H617" t="inlineStr">
        <is>
          <t>Bergvik skog öst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22641-2026</t>
        </is>
      </c>
      <c r="B618" t="inlineStr">
        <is>
          <t>avverkningsanmälan</t>
        </is>
      </c>
      <c r="C618" t="inlineStr">
        <is>
          <t>Föryngringsavverkning</t>
        </is>
      </c>
      <c r="D618" s="1" t="n">
        <v>46155</v>
      </c>
      <c r="E618" s="1" t="n">
        <v>46224</v>
      </c>
      <c r="F618" t="inlineStr">
        <is>
          <t>UPPSALA LÄN</t>
        </is>
      </c>
      <c r="G618" t="inlineStr">
        <is>
          <t>ÖSTHAMMAR</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22567-2026</t>
        </is>
      </c>
      <c r="B619" t="inlineStr">
        <is>
          <t>avverkningsanmälan</t>
        </is>
      </c>
      <c r="C619" t="inlineStr">
        <is>
          <t>Föryngringsavverkning</t>
        </is>
      </c>
      <c r="D619" s="1" t="n">
        <v>46155</v>
      </c>
      <c r="E619" s="1" t="n">
        <v>46224</v>
      </c>
      <c r="F619" t="inlineStr">
        <is>
          <t>UPPSALA LÄN</t>
        </is>
      </c>
      <c r="G619" t="inlineStr">
        <is>
          <t>ÖSTHAMMAR</t>
        </is>
      </c>
      <c r="H619" t="inlineStr">
        <is>
          <t>Bergvik skog öst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23495-2023</t>
        </is>
      </c>
      <c r="B620" t="inlineStr">
        <is>
          <t>avverkningsanmälan</t>
        </is>
      </c>
      <c r="C620" t="inlineStr">
        <is>
          <t>Föryngringsavverkning</t>
        </is>
      </c>
      <c r="D620" s="1" t="n">
        <v>45076</v>
      </c>
      <c r="E620" s="1" t="n">
        <v>46224</v>
      </c>
      <c r="F620" t="inlineStr">
        <is>
          <t>UPPSALA LÄN</t>
        </is>
      </c>
      <c r="G620" t="inlineStr">
        <is>
          <t>ÖSTHAMMAR</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22241-2026</t>
        </is>
      </c>
      <c r="B621" t="inlineStr">
        <is>
          <t>avverkningsanmälan</t>
        </is>
      </c>
      <c r="C621" t="inlineStr">
        <is>
          <t>Föryngringsavverkning</t>
        </is>
      </c>
      <c r="D621" s="1" t="n">
        <v>46154</v>
      </c>
      <c r="E621" s="1" t="n">
        <v>46224</v>
      </c>
      <c r="F621" t="inlineStr">
        <is>
          <t>UPPSALA LÄN</t>
        </is>
      </c>
      <c r="G621" t="inlineStr">
        <is>
          <t>ÖSTHAMMAR</t>
        </is>
      </c>
      <c r="H621" t="inlineStr">
        <is>
          <t>Övriga Aktiebolag</t>
        </is>
      </c>
      <c r="I621" t="n">
        <v>14.6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22642-2026</t>
        </is>
      </c>
      <c r="B622" t="inlineStr">
        <is>
          <t>avverkningsanmälan</t>
        </is>
      </c>
      <c r="C622" t="inlineStr">
        <is>
          <t>Föryngringsavverkning</t>
        </is>
      </c>
      <c r="D622" s="1" t="n">
        <v>46155</v>
      </c>
      <c r="E622" s="1" t="n">
        <v>46224</v>
      </c>
      <c r="F622" t="inlineStr">
        <is>
          <t>UPPSALA LÄN</t>
        </is>
      </c>
      <c r="G622" t="inlineStr">
        <is>
          <t>ÖSTHAMMAR</t>
        </is>
      </c>
      <c r="H622" t="inlineStr">
        <is>
          <t>Bergvik skog öst AB</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28949-2026</t>
        </is>
      </c>
      <c r="B623" t="inlineStr">
        <is>
          <t>avverkningsanmälan</t>
        </is>
      </c>
      <c r="C623" t="inlineStr">
        <is>
          <t>Föryngringsavverkning</t>
        </is>
      </c>
      <c r="D623" s="1" t="n">
        <v>46199</v>
      </c>
      <c r="E623" s="1" t="n">
        <v>46224</v>
      </c>
      <c r="F623" t="inlineStr">
        <is>
          <t>UPPSALA LÄN</t>
        </is>
      </c>
      <c r="G623" t="inlineStr">
        <is>
          <t>ÖSTHAMMAR</t>
        </is>
      </c>
      <c r="H623" t="inlineStr">
        <is>
          <t>Naturvårdsverket</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22798-2023</t>
        </is>
      </c>
      <c r="B624" t="inlineStr">
        <is>
          <t>avverkningsanmälan</t>
        </is>
      </c>
      <c r="C624" t="inlineStr">
        <is>
          <t>Avverkning för annat ändamål</t>
        </is>
      </c>
      <c r="D624" s="1" t="n">
        <v>45072</v>
      </c>
      <c r="E624" s="1" t="n">
        <v>46224</v>
      </c>
      <c r="F624" t="inlineStr">
        <is>
          <t>UPPSALA LÄN</t>
        </is>
      </c>
      <c r="G624" t="inlineStr">
        <is>
          <t>ÖSTHAMMAR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4561-2022</t>
        </is>
      </c>
      <c r="B625" t="inlineStr">
        <is>
          <t>avverkningsanmälan</t>
        </is>
      </c>
      <c r="C625" t="inlineStr">
        <is>
          <t>Föryngringsavverkning</t>
        </is>
      </c>
      <c r="D625" s="1" t="n">
        <v>44591</v>
      </c>
      <c r="E625" s="1" t="n">
        <v>46224</v>
      </c>
      <c r="F625" t="inlineStr">
        <is>
          <t>UPPSALA LÄN</t>
        </is>
      </c>
      <c r="G625" t="inlineStr">
        <is>
          <t>ÖSTHAMMAR</t>
        </is>
      </c>
      <c r="H625" t="inlineStr">
        <is>
          <t>Bergvik skog öst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28938-2026</t>
        </is>
      </c>
      <c r="B626" t="inlineStr">
        <is>
          <t>avverkningsanmälan</t>
        </is>
      </c>
      <c r="C626" t="inlineStr">
        <is>
          <t>Föryngringsavverkning</t>
        </is>
      </c>
      <c r="D626" s="1" t="n">
        <v>46199</v>
      </c>
      <c r="E626" s="1" t="n">
        <v>46224</v>
      </c>
      <c r="F626" t="inlineStr">
        <is>
          <t>UPPSALA LÄN</t>
        </is>
      </c>
      <c r="G626" t="inlineStr">
        <is>
          <t>ÖSTHAMMAR</t>
        </is>
      </c>
      <c r="H626" t="inlineStr">
        <is>
          <t>Övriga Aktiebolag</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23741-2024</t>
        </is>
      </c>
      <c r="B627" t="inlineStr">
        <is>
          <t>avverkningsanmälan</t>
        </is>
      </c>
      <c r="C627" t="inlineStr">
        <is>
          <t>Föryngringsavverkning</t>
        </is>
      </c>
      <c r="D627" s="1" t="n">
        <v>45455</v>
      </c>
      <c r="E627" s="1" t="n">
        <v>46224</v>
      </c>
      <c r="F627" t="inlineStr">
        <is>
          <t>UPPSALA LÄN</t>
        </is>
      </c>
      <c r="G627" t="inlineStr">
        <is>
          <t>ÖSTHAMMAR</t>
        </is>
      </c>
      <c r="H627" t="inlineStr">
        <is>
          <t>Bergvik skog öst AB</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22709-2026</t>
        </is>
      </c>
      <c r="B628" t="inlineStr">
        <is>
          <t>avverkningsanmälan</t>
        </is>
      </c>
      <c r="C628" t="inlineStr">
        <is>
          <t>Föryngringsavverkning</t>
        </is>
      </c>
      <c r="D628" s="1" t="n">
        <v>46156</v>
      </c>
      <c r="E628" s="1" t="n">
        <v>46224</v>
      </c>
      <c r="F628" t="inlineStr">
        <is>
          <t>UPPSALA LÄN</t>
        </is>
      </c>
      <c r="G628" t="inlineStr">
        <is>
          <t>ÖSTHAMMAR</t>
        </is>
      </c>
      <c r="H628" t="inlineStr">
        <is>
          <t>Övriga Aktiebolag</t>
        </is>
      </c>
      <c r="I628" t="n">
        <v>15.5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26612-2023</t>
        </is>
      </c>
      <c r="B629" t="inlineStr">
        <is>
          <t>avverkningsanmälan</t>
        </is>
      </c>
      <c r="C629" t="inlineStr">
        <is>
          <t>Föryngringsavverkning</t>
        </is>
      </c>
      <c r="D629" s="1" t="n">
        <v>45089</v>
      </c>
      <c r="E629" s="1" t="n">
        <v>46224</v>
      </c>
      <c r="F629" t="inlineStr">
        <is>
          <t>UPPSALA LÄN</t>
        </is>
      </c>
      <c r="G629" t="inlineStr">
        <is>
          <t>ÖSTHAMMAR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28973-2026</t>
        </is>
      </c>
      <c r="B630" t="inlineStr">
        <is>
          <t>avverkningsanmälan</t>
        </is>
      </c>
      <c r="C630" t="inlineStr">
        <is>
          <t>Föryngringsavverkning</t>
        </is>
      </c>
      <c r="D630" s="1" t="n">
        <v>46199</v>
      </c>
      <c r="E630" s="1" t="n">
        <v>46224</v>
      </c>
      <c r="F630" t="inlineStr">
        <is>
          <t>UPPSALA LÄN</t>
        </is>
      </c>
      <c r="G630" t="inlineStr">
        <is>
          <t>ÖSTHAMMAR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29101-2026</t>
        </is>
      </c>
      <c r="B631" t="inlineStr">
        <is>
          <t>avverkningsanmälan</t>
        </is>
      </c>
      <c r="C631" t="inlineStr">
        <is>
          <t>Föryngringsavverkning</t>
        </is>
      </c>
      <c r="D631" s="1" t="n">
        <v>46200</v>
      </c>
      <c r="E631" s="1" t="n">
        <v>46224</v>
      </c>
      <c r="F631" t="inlineStr">
        <is>
          <t>UPPSALA LÄN</t>
        </is>
      </c>
      <c r="G631" t="inlineStr">
        <is>
          <t>ÖSTHAMMAR</t>
        </is>
      </c>
      <c r="H631" t="inlineStr">
        <is>
          <t>Bergvik skog öst AB</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60079-2022</t>
        </is>
      </c>
      <c r="B632" t="inlineStr">
        <is>
          <t>avverkningsanmälan</t>
        </is>
      </c>
      <c r="C632" t="inlineStr">
        <is>
          <t>Föryngringsavverkning</t>
        </is>
      </c>
      <c r="D632" s="1" t="n">
        <v>44909</v>
      </c>
      <c r="E632" s="1" t="n">
        <v>46224</v>
      </c>
      <c r="F632" t="inlineStr">
        <is>
          <t>UPPSALA LÄN</t>
        </is>
      </c>
      <c r="G632" t="inlineStr">
        <is>
          <t>ÖSTHAMMAR</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40637-2022</t>
        </is>
      </c>
      <c r="B633" t="inlineStr">
        <is>
          <t>avverkningsanmälan</t>
        </is>
      </c>
      <c r="C633" t="inlineStr">
        <is>
          <t>Avverkning för annat ändamål</t>
        </is>
      </c>
      <c r="D633" s="1" t="n">
        <v>44824</v>
      </c>
      <c r="E633" s="1" t="n">
        <v>46224</v>
      </c>
      <c r="F633" t="inlineStr">
        <is>
          <t>UPPSALA LÄN</t>
        </is>
      </c>
      <c r="G633" t="inlineStr">
        <is>
          <t>ÖSTHAMMAR</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56260-2022</t>
        </is>
      </c>
      <c r="B634" t="inlineStr">
        <is>
          <t>avverkningsanmälan</t>
        </is>
      </c>
      <c r="C634" t="inlineStr">
        <is>
          <t>Avverkning för annat ändamål</t>
        </is>
      </c>
      <c r="D634" s="1" t="n">
        <v>44890</v>
      </c>
      <c r="E634" s="1" t="n">
        <v>46224</v>
      </c>
      <c r="F634" t="inlineStr">
        <is>
          <t>UPPSALA LÄN</t>
        </is>
      </c>
      <c r="G634" t="inlineStr">
        <is>
          <t>ÖSTHAMMAR</t>
        </is>
      </c>
      <c r="H634" t="inlineStr">
        <is>
          <t>Bergvik skog öst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62394-2022</t>
        </is>
      </c>
      <c r="B635" t="inlineStr">
        <is>
          <t>avverkningsanmälan</t>
        </is>
      </c>
      <c r="C635" t="inlineStr">
        <is>
          <t>Föryngringsavverkning</t>
        </is>
      </c>
      <c r="D635" s="1" t="n">
        <v>44923</v>
      </c>
      <c r="E635" s="1" t="n">
        <v>46224</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29106-2026</t>
        </is>
      </c>
      <c r="B636" t="inlineStr">
        <is>
          <t>avverkningsanmälan</t>
        </is>
      </c>
      <c r="C636" t="inlineStr">
        <is>
          <t>Föryngringsavverkning</t>
        </is>
      </c>
      <c r="D636" s="1" t="n">
        <v>46200</v>
      </c>
      <c r="E636" s="1" t="n">
        <v>46224</v>
      </c>
      <c r="F636" t="inlineStr">
        <is>
          <t>UPPSALA LÄN</t>
        </is>
      </c>
      <c r="G636" t="inlineStr">
        <is>
          <t>ÖSTHAMMAR</t>
        </is>
      </c>
      <c r="H636" t="inlineStr">
        <is>
          <t>Bergvik skog öst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29100-2026</t>
        </is>
      </c>
      <c r="B637" t="inlineStr">
        <is>
          <t>avverkningsanmälan</t>
        </is>
      </c>
      <c r="C637" t="inlineStr">
        <is>
          <t>Föryngringsavverkning</t>
        </is>
      </c>
      <c r="D637" s="1" t="n">
        <v>46200</v>
      </c>
      <c r="E637" s="1" t="n">
        <v>46224</v>
      </c>
      <c r="F637" t="inlineStr">
        <is>
          <t>UPPSALA LÄN</t>
        </is>
      </c>
      <c r="G637" t="inlineStr">
        <is>
          <t>ÖSTHAMMAR</t>
        </is>
      </c>
      <c r="H637" t="inlineStr">
        <is>
          <t>Bergvik skog öst AB</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8616-2023</t>
        </is>
      </c>
      <c r="B638" t="inlineStr">
        <is>
          <t>avverkningsanmälan</t>
        </is>
      </c>
      <c r="C638" t="inlineStr">
        <is>
          <t>Föryngringsavverkning</t>
        </is>
      </c>
      <c r="D638" s="1" t="n">
        <v>44977</v>
      </c>
      <c r="E638" s="1" t="n">
        <v>46224</v>
      </c>
      <c r="F638" t="inlineStr">
        <is>
          <t>UPPSALA LÄN</t>
        </is>
      </c>
      <c r="G638" t="inlineStr">
        <is>
          <t>ÖSTHAMMAR</t>
        </is>
      </c>
      <c r="H638" t="inlineStr">
        <is>
          <t>Bergvik skog öst AB</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23415-2026</t>
        </is>
      </c>
      <c r="B639" t="inlineStr">
        <is>
          <t>avverkningsanmälan</t>
        </is>
      </c>
      <c r="C639" t="inlineStr">
        <is>
          <t>Föryngringsavverkning</t>
        </is>
      </c>
      <c r="D639" s="1" t="n">
        <v>46163</v>
      </c>
      <c r="E639" s="1" t="n">
        <v>46224</v>
      </c>
      <c r="F639" t="inlineStr">
        <is>
          <t>UPPSALA LÄN</t>
        </is>
      </c>
      <c r="G639" t="inlineStr">
        <is>
          <t>ÖSTHAMMAR</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23416-2026</t>
        </is>
      </c>
      <c r="B640" t="inlineStr">
        <is>
          <t>avverkningsanmälan</t>
        </is>
      </c>
      <c r="C640" t="inlineStr">
        <is>
          <t>Föryngringsavverkning</t>
        </is>
      </c>
      <c r="D640" s="1" t="n">
        <v>46163</v>
      </c>
      <c r="E640" s="1" t="n">
        <v>46224</v>
      </c>
      <c r="F640" t="inlineStr">
        <is>
          <t>UPPSALA LÄN</t>
        </is>
      </c>
      <c r="G640" t="inlineStr">
        <is>
          <t>ÖSTHAMMAR</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41538-2021</t>
        </is>
      </c>
      <c r="B641" t="inlineStr">
        <is>
          <t>avverkningsanmälan</t>
        </is>
      </c>
      <c r="C641" t="inlineStr">
        <is>
          <t>Föryngringsavverkning</t>
        </is>
      </c>
      <c r="D641" s="1" t="n">
        <v>44425</v>
      </c>
      <c r="E641" s="1" t="n">
        <v>46224</v>
      </c>
      <c r="F641" t="inlineStr">
        <is>
          <t>UPPSALA LÄN</t>
        </is>
      </c>
      <c r="G641" t="inlineStr">
        <is>
          <t>ÖSTHAMMAR</t>
        </is>
      </c>
      <c r="H641" t="inlineStr">
        <is>
          <t>Bergvik skog öst AB</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34742-2022</t>
        </is>
      </c>
      <c r="B642" t="inlineStr">
        <is>
          <t>avverkningsanmälan</t>
        </is>
      </c>
      <c r="C642" t="inlineStr">
        <is>
          <t>Föryngringsavverkning</t>
        </is>
      </c>
      <c r="D642" s="1" t="n">
        <v>44795</v>
      </c>
      <c r="E642" s="1" t="n">
        <v>46224</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31896-2025</t>
        </is>
      </c>
      <c r="B643" t="inlineStr">
        <is>
          <t>avverkningsanmälan</t>
        </is>
      </c>
      <c r="C643" t="inlineStr">
        <is>
          <t>Föryngringsavverkning</t>
        </is>
      </c>
      <c r="D643" s="1" t="n">
        <v>45834</v>
      </c>
      <c r="E643" s="1" t="n">
        <v>46224</v>
      </c>
      <c r="F643" t="inlineStr">
        <is>
          <t>UPPSALA LÄN</t>
        </is>
      </c>
      <c r="G643" t="inlineStr">
        <is>
          <t>ÖSTHAMMAR</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23363-2023</t>
        </is>
      </c>
      <c r="B644" t="inlineStr">
        <is>
          <t>avverkningsanmälan</t>
        </is>
      </c>
      <c r="C644" t="inlineStr">
        <is>
          <t>Föryngringsavverkning</t>
        </is>
      </c>
      <c r="D644" s="1" t="n">
        <v>45076</v>
      </c>
      <c r="E644" s="1" t="n">
        <v>46224</v>
      </c>
      <c r="F644" t="inlineStr">
        <is>
          <t>UPPSALA LÄN</t>
        </is>
      </c>
      <c r="G644" t="inlineStr">
        <is>
          <t>ÖSTHAMMAR</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27308-2023</t>
        </is>
      </c>
      <c r="B645" t="inlineStr">
        <is>
          <t>avverkningsanmälan</t>
        </is>
      </c>
      <c r="C645" t="inlineStr">
        <is>
          <t>Föryngringsavverkning</t>
        </is>
      </c>
      <c r="D645" s="1" t="n">
        <v>45096</v>
      </c>
      <c r="E645" s="1" t="n">
        <v>46224</v>
      </c>
      <c r="F645" t="inlineStr">
        <is>
          <t>UPPSALA LÄN</t>
        </is>
      </c>
      <c r="G645" t="inlineStr">
        <is>
          <t>ÖSTHAMMAR</t>
        </is>
      </c>
      <c r="H645" t="inlineStr">
        <is>
          <t>Bergvik skog öst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55090-2024</t>
        </is>
      </c>
      <c r="B646" t="inlineStr">
        <is>
          <t>avverkningsanmälan</t>
        </is>
      </c>
      <c r="C646" t="inlineStr">
        <is>
          <t>Föryngringsavverkning</t>
        </is>
      </c>
      <c r="D646" s="1" t="n">
        <v>45621</v>
      </c>
      <c r="E646" s="1" t="n">
        <v>46224</v>
      </c>
      <c r="F646" t="inlineStr">
        <is>
          <t>UPPSALA LÄN</t>
        </is>
      </c>
      <c r="G646" t="inlineStr">
        <is>
          <t>ÖSTHAMMAR</t>
        </is>
      </c>
      <c r="H646" t="inlineStr">
        <is>
          <t>Sveaskog</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55093-2024</t>
        </is>
      </c>
      <c r="B647" t="inlineStr">
        <is>
          <t>avverkningsanmälan</t>
        </is>
      </c>
      <c r="C647" t="inlineStr">
        <is>
          <t>Föryngringsavverkning</t>
        </is>
      </c>
      <c r="D647" s="1" t="n">
        <v>45621</v>
      </c>
      <c r="E647" s="1" t="n">
        <v>46224</v>
      </c>
      <c r="F647" t="inlineStr">
        <is>
          <t>UPPSALA LÄN</t>
        </is>
      </c>
      <c r="G647" t="inlineStr">
        <is>
          <t>ÖSTHAMMAR</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55097-2024</t>
        </is>
      </c>
      <c r="B648" t="inlineStr">
        <is>
          <t>avverkningsanmälan</t>
        </is>
      </c>
      <c r="C648" t="inlineStr">
        <is>
          <t>Föryngringsavverkning</t>
        </is>
      </c>
      <c r="D648" s="1" t="n">
        <v>45621</v>
      </c>
      <c r="E648" s="1" t="n">
        <v>46224</v>
      </c>
      <c r="F648" t="inlineStr">
        <is>
          <t>UPPSALA LÄN</t>
        </is>
      </c>
      <c r="G648" t="inlineStr">
        <is>
          <t>ÖSTHAMMAR</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23619-2026</t>
        </is>
      </c>
      <c r="B649" t="inlineStr">
        <is>
          <t>avverkningsanmälan</t>
        </is>
      </c>
      <c r="C649" t="inlineStr">
        <is>
          <t>Föryngringsavverkning</t>
        </is>
      </c>
      <c r="D649" s="1" t="n">
        <v>46163</v>
      </c>
      <c r="E649" s="1" t="n">
        <v>46224</v>
      </c>
      <c r="F649" t="inlineStr">
        <is>
          <t>UPPSALA LÄN</t>
        </is>
      </c>
      <c r="G649" t="inlineStr">
        <is>
          <t>ÖSTHAMMAR</t>
        </is>
      </c>
      <c r="H649" t="inlineStr">
        <is>
          <t>Bergvik skog öst AB</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23414-2026</t>
        </is>
      </c>
      <c r="B650" t="inlineStr">
        <is>
          <t>avverkningsanmälan</t>
        </is>
      </c>
      <c r="C650" t="inlineStr">
        <is>
          <t>Föryngringsavverkning</t>
        </is>
      </c>
      <c r="D650" s="1" t="n">
        <v>46163</v>
      </c>
      <c r="E650" s="1" t="n">
        <v>46224</v>
      </c>
      <c r="F650" t="inlineStr">
        <is>
          <t>UPPSALA LÄN</t>
        </is>
      </c>
      <c r="G650" t="inlineStr">
        <is>
          <t>ÖSTHAMMAR</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23795-2026</t>
        </is>
      </c>
      <c r="B651" t="inlineStr">
        <is>
          <t>avverkningsanmälan</t>
        </is>
      </c>
      <c r="C651" t="inlineStr">
        <is>
          <t>Föryngringsavverkning</t>
        </is>
      </c>
      <c r="D651" s="1" t="n">
        <v>46164</v>
      </c>
      <c r="E651" s="1" t="n">
        <v>46224</v>
      </c>
      <c r="F651" t="inlineStr">
        <is>
          <t>UPPSALA LÄN</t>
        </is>
      </c>
      <c r="G651" t="inlineStr">
        <is>
          <t>ÖSTHAMMAR</t>
        </is>
      </c>
      <c r="H651" t="inlineStr">
        <is>
          <t>Bergvik skog öst AB</t>
        </is>
      </c>
      <c r="I651" t="n">
        <v>8.199999999999999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30421-2026</t>
        </is>
      </c>
      <c r="B652" t="inlineStr">
        <is>
          <t>avverkningsanmälan</t>
        </is>
      </c>
      <c r="C652" t="inlineStr">
        <is>
          <t>Föryngringsavverkning</t>
        </is>
      </c>
      <c r="D652" s="1" t="n">
        <v>46209</v>
      </c>
      <c r="E652" s="1" t="n">
        <v>46224</v>
      </c>
      <c r="F652" t="inlineStr">
        <is>
          <t>UPPSALA LÄN</t>
        </is>
      </c>
      <c r="G652" t="inlineStr">
        <is>
          <t>ÖSTHAMMAR</t>
        </is>
      </c>
      <c r="H652" t="inlineStr">
        <is>
          <t>Bergvik skog öst AB</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3327-2023</t>
        </is>
      </c>
      <c r="B653" t="inlineStr">
        <is>
          <t>avverkningsanmälan</t>
        </is>
      </c>
      <c r="C653" t="inlineStr">
        <is>
          <t>Föryngringsavverkning</t>
        </is>
      </c>
      <c r="D653" s="1" t="n">
        <v>44949</v>
      </c>
      <c r="E653" s="1" t="n">
        <v>46224</v>
      </c>
      <c r="F653" t="inlineStr">
        <is>
          <t>UPPSALA LÄN</t>
        </is>
      </c>
      <c r="G653" t="inlineStr">
        <is>
          <t>ÖSTHAMMAR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41821-2023</t>
        </is>
      </c>
      <c r="B654" t="inlineStr">
        <is>
          <t>avverkningsanmälan</t>
        </is>
      </c>
      <c r="C654" t="inlineStr">
        <is>
          <t>Föryngringsavverkning</t>
        </is>
      </c>
      <c r="D654" s="1" t="n">
        <v>45176</v>
      </c>
      <c r="E654" s="1" t="n">
        <v>46224</v>
      </c>
      <c r="F654" t="inlineStr">
        <is>
          <t>UPPSALA LÄN</t>
        </is>
      </c>
      <c r="G654" t="inlineStr">
        <is>
          <t>ÖSTHAMMAR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30427-2026</t>
        </is>
      </c>
      <c r="B655" t="inlineStr">
        <is>
          <t>avverkningsanmälan</t>
        </is>
      </c>
      <c r="C655" t="inlineStr">
        <is>
          <t>Föryngringsavverkning</t>
        </is>
      </c>
      <c r="D655" s="1" t="n">
        <v>46209</v>
      </c>
      <c r="E655" s="1" t="n">
        <v>46224</v>
      </c>
      <c r="F655" t="inlineStr">
        <is>
          <t>UPPSALA LÄN</t>
        </is>
      </c>
      <c r="G655" t="inlineStr">
        <is>
          <t>ÖSTHAMMAR</t>
        </is>
      </c>
      <c r="H655" t="inlineStr">
        <is>
          <t>Bergvik skog öst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30429-2026</t>
        </is>
      </c>
      <c r="B656" t="inlineStr">
        <is>
          <t>avverkningsanmälan</t>
        </is>
      </c>
      <c r="C656" t="inlineStr">
        <is>
          <t>Föryngringsavverkning</t>
        </is>
      </c>
      <c r="D656" s="1" t="n">
        <v>46209</v>
      </c>
      <c r="E656" s="1" t="n">
        <v>46224</v>
      </c>
      <c r="F656" t="inlineStr">
        <is>
          <t>UPPSALA LÄN</t>
        </is>
      </c>
      <c r="G656" t="inlineStr">
        <is>
          <t>ÖSTHAMMAR</t>
        </is>
      </c>
      <c r="H656" t="inlineStr">
        <is>
          <t>Bergvik skog öst AB</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30338-2026</t>
        </is>
      </c>
      <c r="B657" t="inlineStr">
        <is>
          <t>avverkningsanmälan</t>
        </is>
      </c>
      <c r="C657" t="inlineStr">
        <is>
          <t>Föryngringsavverkning</t>
        </is>
      </c>
      <c r="D657" s="1" t="n">
        <v>46209</v>
      </c>
      <c r="E657" s="1" t="n">
        <v>46224</v>
      </c>
      <c r="F657" t="inlineStr">
        <is>
          <t>UPPSALA LÄN</t>
        </is>
      </c>
      <c r="G657" t="inlineStr">
        <is>
          <t>ÖSTHAMMAR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30242-2026</t>
        </is>
      </c>
      <c r="B658" t="inlineStr">
        <is>
          <t>avverkningsanmälan</t>
        </is>
      </c>
      <c r="C658" t="inlineStr">
        <is>
          <t>Föryngringsavverkning</t>
        </is>
      </c>
      <c r="D658" s="1" t="n">
        <v>46206</v>
      </c>
      <c r="E658" s="1" t="n">
        <v>46224</v>
      </c>
      <c r="F658" t="inlineStr">
        <is>
          <t>UPPSALA LÄN</t>
        </is>
      </c>
      <c r="G658" t="inlineStr">
        <is>
          <t>ÖSTHAMMAR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14272-2025</t>
        </is>
      </c>
      <c r="B659" t="inlineStr">
        <is>
          <t>avverkningsanmälan</t>
        </is>
      </c>
      <c r="C659" t="inlineStr">
        <is>
          <t>Föryngringsavverkning</t>
        </is>
      </c>
      <c r="D659" s="1" t="n">
        <v>45740</v>
      </c>
      <c r="E659" s="1" t="n">
        <v>46224</v>
      </c>
      <c r="F659" t="inlineStr">
        <is>
          <t>UPPSALA LÄN</t>
        </is>
      </c>
      <c r="G659" t="inlineStr">
        <is>
          <t>ÖSTHAMMAR</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12215-2023</t>
        </is>
      </c>
      <c r="B660" t="inlineStr">
        <is>
          <t>avverkningsanmälan</t>
        </is>
      </c>
      <c r="C660" t="inlineStr">
        <is>
          <t>Föryngringsavverkning</t>
        </is>
      </c>
      <c r="D660" s="1" t="n">
        <v>44998</v>
      </c>
      <c r="E660" s="1" t="n">
        <v>46224</v>
      </c>
      <c r="F660" t="inlineStr">
        <is>
          <t>UPPSALA LÄN</t>
        </is>
      </c>
      <c r="G660" t="inlineStr">
        <is>
          <t>ÖSTHAMMAR</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30424-2026</t>
        </is>
      </c>
      <c r="B661" t="inlineStr">
        <is>
          <t>avverkningsanmälan</t>
        </is>
      </c>
      <c r="C661" t="inlineStr">
        <is>
          <t>Föryngringsavverkning</t>
        </is>
      </c>
      <c r="D661" s="1" t="n">
        <v>46209</v>
      </c>
      <c r="E661" s="1" t="n">
        <v>46224</v>
      </c>
      <c r="F661" t="inlineStr">
        <is>
          <t>UPPSALA LÄN</t>
        </is>
      </c>
      <c r="G661" t="inlineStr">
        <is>
          <t>ÖSTHAMMAR</t>
        </is>
      </c>
      <c r="H661" t="inlineStr">
        <is>
          <t>Bergvik skog öst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30420-2026</t>
        </is>
      </c>
      <c r="B662" t="inlineStr">
        <is>
          <t>avverkningsanmälan</t>
        </is>
      </c>
      <c r="C662" t="inlineStr">
        <is>
          <t>Föryngringsavverkning</t>
        </is>
      </c>
      <c r="D662" s="1" t="n">
        <v>46209</v>
      </c>
      <c r="E662" s="1" t="n">
        <v>46224</v>
      </c>
      <c r="F662" t="inlineStr">
        <is>
          <t>UPPSALA LÄN</t>
        </is>
      </c>
      <c r="G662" t="inlineStr">
        <is>
          <t>ÖSTHAMMAR</t>
        </is>
      </c>
      <c r="H662" t="inlineStr">
        <is>
          <t>Bergvik skog öst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30189-2026</t>
        </is>
      </c>
      <c r="B663" t="inlineStr">
        <is>
          <t>avverkningsanmälan</t>
        </is>
      </c>
      <c r="C663" t="inlineStr">
        <is>
          <t>Föryngringsavverkning</t>
        </is>
      </c>
      <c r="D663" s="1" t="n">
        <v>46206</v>
      </c>
      <c r="E663" s="1" t="n">
        <v>46224</v>
      </c>
      <c r="F663" t="inlineStr">
        <is>
          <t>UPPSALA LÄN</t>
        </is>
      </c>
      <c r="G663" t="inlineStr">
        <is>
          <t>ÖSTHAMMAR</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66779-2021</t>
        </is>
      </c>
      <c r="B664" t="inlineStr">
        <is>
          <t>avverkningsanmälan</t>
        </is>
      </c>
      <c r="C664" t="inlineStr">
        <is>
          <t>Föryngringsavverkning</t>
        </is>
      </c>
      <c r="D664" s="1" t="n">
        <v>44522</v>
      </c>
      <c r="E664" s="1" t="n">
        <v>46224</v>
      </c>
      <c r="F664" t="inlineStr">
        <is>
          <t>UPPSALA LÄN</t>
        </is>
      </c>
      <c r="G664" t="inlineStr">
        <is>
          <t>ÖSTHAMMAR</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30207-2026</t>
        </is>
      </c>
      <c r="B665" t="inlineStr">
        <is>
          <t>avverkningsanmälan</t>
        </is>
      </c>
      <c r="C665" t="inlineStr">
        <is>
          <t>Föryngringsavverkning</t>
        </is>
      </c>
      <c r="D665" s="1" t="n">
        <v>46206</v>
      </c>
      <c r="E665" s="1" t="n">
        <v>46224</v>
      </c>
      <c r="F665" t="inlineStr">
        <is>
          <t>UPPSALA LÄN</t>
        </is>
      </c>
      <c r="G665" t="inlineStr">
        <is>
          <t>ÖSTHAMMAR</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70495-2021</t>
        </is>
      </c>
      <c r="B666" t="inlineStr">
        <is>
          <t>avverkningsanmälan</t>
        </is>
      </c>
      <c r="C666" t="inlineStr">
        <is>
          <t>Föryngringsavverkning</t>
        </is>
      </c>
      <c r="D666" s="1" t="n">
        <v>44536</v>
      </c>
      <c r="E666" s="1" t="n">
        <v>46224</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30728-2026</t>
        </is>
      </c>
      <c r="B667" t="inlineStr">
        <is>
          <t>avverkningsanmälan</t>
        </is>
      </c>
      <c r="C667" t="inlineStr">
        <is>
          <t>Föryngringsavverkning</t>
        </is>
      </c>
      <c r="D667" s="1" t="n">
        <v>46211</v>
      </c>
      <c r="E667" s="1" t="n">
        <v>46224</v>
      </c>
      <c r="F667" t="inlineStr">
        <is>
          <t>UPPSALA LÄN</t>
        </is>
      </c>
      <c r="G667" t="inlineStr">
        <is>
          <t>ÖSTHAMMAR</t>
        </is>
      </c>
      <c r="H667" t="inlineStr">
        <is>
          <t>Övriga Aktiebolag</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3638-2022</t>
        </is>
      </c>
      <c r="B668" t="inlineStr">
        <is>
          <t>avverkningsanmälan</t>
        </is>
      </c>
      <c r="C668" t="inlineStr">
        <is>
          <t>Föryngringsavverkning</t>
        </is>
      </c>
      <c r="D668" s="1" t="n">
        <v>44578</v>
      </c>
      <c r="E668" s="1" t="n">
        <v>46224</v>
      </c>
      <c r="F668" t="inlineStr">
        <is>
          <t>UPPSALA LÄN</t>
        </is>
      </c>
      <c r="G668" t="inlineStr">
        <is>
          <t>ÖSTHAMMAR</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30680-2026</t>
        </is>
      </c>
      <c r="B669" t="inlineStr">
        <is>
          <t>avverkningsanmälan</t>
        </is>
      </c>
      <c r="C669" t="inlineStr">
        <is>
          <t>Föryngringsavverkning</t>
        </is>
      </c>
      <c r="D669" s="1" t="n">
        <v>46211</v>
      </c>
      <c r="E669" s="1" t="n">
        <v>46224</v>
      </c>
      <c r="F669" t="inlineStr">
        <is>
          <t>UPPSALA LÄN</t>
        </is>
      </c>
      <c r="G669" t="inlineStr">
        <is>
          <t>ÖSTHAMMAR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49897-2023</t>
        </is>
      </c>
      <c r="B670" t="inlineStr">
        <is>
          <t>avverkningsanmälan</t>
        </is>
      </c>
      <c r="C670" t="inlineStr">
        <is>
          <t>Avverkning för att bevara och utveckla /försöksver</t>
        </is>
      </c>
      <c r="D670" s="1" t="n">
        <v>45213</v>
      </c>
      <c r="E670" s="1" t="n">
        <v>46224</v>
      </c>
      <c r="F670" t="inlineStr">
        <is>
          <t>UPPSALA LÄN</t>
        </is>
      </c>
      <c r="G670" t="inlineStr">
        <is>
          <t>ÖSTHAMMAR</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30702-2026</t>
        </is>
      </c>
      <c r="B671" t="inlineStr">
        <is>
          <t>avverkningsanmälan</t>
        </is>
      </c>
      <c r="C671" t="inlineStr">
        <is>
          <t>Föryngringsavverkning</t>
        </is>
      </c>
      <c r="D671" s="1" t="n">
        <v>46211</v>
      </c>
      <c r="E671" s="1" t="n">
        <v>46224</v>
      </c>
      <c r="F671" t="inlineStr">
        <is>
          <t>UPPSALA LÄN</t>
        </is>
      </c>
      <c r="G671" t="inlineStr">
        <is>
          <t>ÖSTHAMMAR</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37812-2022</t>
        </is>
      </c>
      <c r="B672" t="inlineStr">
        <is>
          <t>avverkningsanmälan</t>
        </is>
      </c>
      <c r="C672" t="inlineStr">
        <is>
          <t>Föryngringsavverkning</t>
        </is>
      </c>
      <c r="D672" s="1" t="n">
        <v>44810</v>
      </c>
      <c r="E672" s="1" t="n">
        <v>46224</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60555-2023</t>
        </is>
      </c>
      <c r="B673" t="inlineStr">
        <is>
          <t>avverkningsanmälan</t>
        </is>
      </c>
      <c r="C673" t="inlineStr">
        <is>
          <t>Föryngringsavverkning</t>
        </is>
      </c>
      <c r="D673" s="1" t="n">
        <v>45259</v>
      </c>
      <c r="E673" s="1" t="n">
        <v>46224</v>
      </c>
      <c r="F673" t="inlineStr">
        <is>
          <t>UPPSALA LÄN</t>
        </is>
      </c>
      <c r="G673" t="inlineStr">
        <is>
          <t>ÖSTHAMMAR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44815-2022</t>
        </is>
      </c>
      <c r="B674" t="inlineStr">
        <is>
          <t>avverkningsanmälan</t>
        </is>
      </c>
      <c r="C674" t="inlineStr">
        <is>
          <t>Föryngringsavverkning</t>
        </is>
      </c>
      <c r="D674" s="1" t="n">
        <v>44841</v>
      </c>
      <c r="E674" s="1" t="n">
        <v>46224</v>
      </c>
      <c r="F674" t="inlineStr">
        <is>
          <t>UPPSALA LÄN</t>
        </is>
      </c>
      <c r="G674" t="inlineStr">
        <is>
          <t>ÖSTHAMMAR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33973-2025</t>
        </is>
      </c>
      <c r="B675" t="inlineStr">
        <is>
          <t>avverkningsanmälan</t>
        </is>
      </c>
      <c r="C675" t="inlineStr">
        <is>
          <t>Föryngringsavverkning</t>
        </is>
      </c>
      <c r="D675" s="1" t="n">
        <v>45842</v>
      </c>
      <c r="E675" s="1" t="n">
        <v>46224</v>
      </c>
      <c r="F675" t="inlineStr">
        <is>
          <t>UPPSALA LÄN</t>
        </is>
      </c>
      <c r="G675" t="inlineStr">
        <is>
          <t>ÖSTHAMMAR</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73483-2021</t>
        </is>
      </c>
      <c r="B676" t="inlineStr">
        <is>
          <t>avverkningsanmälan</t>
        </is>
      </c>
      <c r="C676" t="inlineStr">
        <is>
          <t>Föryngringsavverkning</t>
        </is>
      </c>
      <c r="D676" s="1" t="n">
        <v>44550</v>
      </c>
      <c r="E676" s="1" t="n">
        <v>46224</v>
      </c>
      <c r="F676" t="inlineStr">
        <is>
          <t>UPPSALA LÄN</t>
        </is>
      </c>
      <c r="G676" t="inlineStr">
        <is>
          <t>ÖSTHAMMAR</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31240-2026</t>
        </is>
      </c>
      <c r="B677" t="inlineStr">
        <is>
          <t>avverkningsanmälan</t>
        </is>
      </c>
      <c r="C677" t="inlineStr">
        <is>
          <t>Föryngringsavverkning</t>
        </is>
      </c>
      <c r="D677" s="1" t="n">
        <v>46217</v>
      </c>
      <c r="E677" s="1" t="n">
        <v>46224</v>
      </c>
      <c r="F677" t="inlineStr">
        <is>
          <t>UPPSALA LÄN</t>
        </is>
      </c>
      <c r="G677" t="inlineStr">
        <is>
          <t>ÖSTHAMMAR</t>
        </is>
      </c>
      <c r="H677" t="inlineStr">
        <is>
          <t>Bergvik skog öst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31241-2026</t>
        </is>
      </c>
      <c r="B678" t="inlineStr">
        <is>
          <t>avverkningsanmälan</t>
        </is>
      </c>
      <c r="C678" t="inlineStr">
        <is>
          <t>Föryngringsavverkning</t>
        </is>
      </c>
      <c r="D678" s="1" t="n">
        <v>46217</v>
      </c>
      <c r="E678" s="1" t="n">
        <v>46224</v>
      </c>
      <c r="F678" t="inlineStr">
        <is>
          <t>UPPSALA LÄN</t>
        </is>
      </c>
      <c r="G678" t="inlineStr">
        <is>
          <t>ÖSTHAMMAR</t>
        </is>
      </c>
      <c r="H678" t="inlineStr">
        <is>
          <t>Bergvik skog öst AB</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6121-2024</t>
        </is>
      </c>
      <c r="B679" t="inlineStr">
        <is>
          <t>avverkningsanmälan</t>
        </is>
      </c>
      <c r="C679" t="inlineStr">
        <is>
          <t>Föryngringsavverkning</t>
        </is>
      </c>
      <c r="D679" s="1" t="n">
        <v>45337</v>
      </c>
      <c r="E679" s="1" t="n">
        <v>46224</v>
      </c>
      <c r="F679" t="inlineStr">
        <is>
          <t>UPPSALA LÄN</t>
        </is>
      </c>
      <c r="G679" t="inlineStr">
        <is>
          <t>ÖSTHAMMAR</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62391-2022</t>
        </is>
      </c>
      <c r="B680" t="inlineStr">
        <is>
          <t>avverkningsanmälan</t>
        </is>
      </c>
      <c r="C680" t="inlineStr">
        <is>
          <t>Föryngringsavverkning</t>
        </is>
      </c>
      <c r="D680" s="1" t="n">
        <v>44923</v>
      </c>
      <c r="E680" s="1" t="n">
        <v>46224</v>
      </c>
      <c r="F680" t="inlineStr">
        <is>
          <t>UPPSALA LÄN</t>
        </is>
      </c>
      <c r="G680" t="inlineStr">
        <is>
          <t>ÖSTHAMMAR</t>
        </is>
      </c>
      <c r="H680" t="inlineStr">
        <is>
          <t>Bergvik skog öst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54314-2023</t>
        </is>
      </c>
      <c r="B681" t="inlineStr">
        <is>
          <t>avverkningsanmälan</t>
        </is>
      </c>
      <c r="C681" t="inlineStr">
        <is>
          <t>Föryngringsavverkning</t>
        </is>
      </c>
      <c r="D681" s="1" t="n">
        <v>45225</v>
      </c>
      <c r="E681" s="1" t="n">
        <v>46224</v>
      </c>
      <c r="F681" t="inlineStr">
        <is>
          <t>UPPSALA LÄN</t>
        </is>
      </c>
      <c r="G681" t="inlineStr">
        <is>
          <t>ÖSTHAMMAR</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16531-2025</t>
        </is>
      </c>
      <c r="B682" t="inlineStr">
        <is>
          <t>avverkningsanmälan</t>
        </is>
      </c>
      <c r="C682" t="inlineStr">
        <is>
          <t>Avverkning för annat ändamål</t>
        </is>
      </c>
      <c r="D682" s="1" t="n">
        <v>45751</v>
      </c>
      <c r="E682" s="1" t="n">
        <v>46224</v>
      </c>
      <c r="F682" t="inlineStr">
        <is>
          <t>UPPSALA LÄN</t>
        </is>
      </c>
      <c r="G682" t="inlineStr">
        <is>
          <t>ÖSTHAMMAR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4233-2023</t>
        </is>
      </c>
      <c r="B683" t="inlineStr">
        <is>
          <t>avverkningsanmälan</t>
        </is>
      </c>
      <c r="C683" t="inlineStr">
        <is>
          <t>Föryngringsavverkning</t>
        </is>
      </c>
      <c r="D683" s="1" t="n">
        <v>44953</v>
      </c>
      <c r="E683" s="1" t="n">
        <v>46224</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18401-2025</t>
        </is>
      </c>
      <c r="B684" t="inlineStr">
        <is>
          <t>avverkningsanmälan</t>
        </is>
      </c>
      <c r="C684" t="inlineStr">
        <is>
          <t>Föryngringsavverkning</t>
        </is>
      </c>
      <c r="D684" s="1" t="n">
        <v>45762</v>
      </c>
      <c r="E684" s="1" t="n">
        <v>46224</v>
      </c>
      <c r="F684" t="inlineStr">
        <is>
          <t>UPPSALA LÄN</t>
        </is>
      </c>
      <c r="G684" t="inlineStr">
        <is>
          <t>ÖSTHAMMAR</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73592-2021</t>
        </is>
      </c>
      <c r="B685" t="inlineStr">
        <is>
          <t>avverkningsanmälan</t>
        </is>
      </c>
      <c r="C685" t="inlineStr">
        <is>
          <t>Föryngringsavverkning</t>
        </is>
      </c>
      <c r="D685" s="1" t="n">
        <v>44552</v>
      </c>
      <c r="E685" s="1" t="n">
        <v>46224</v>
      </c>
      <c r="F685" t="inlineStr">
        <is>
          <t>UPPSALA LÄN</t>
        </is>
      </c>
      <c r="G685" t="inlineStr">
        <is>
          <t>ÖSTHAMMAR</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25377-2026</t>
        </is>
      </c>
      <c r="B686" t="inlineStr">
        <is>
          <t>avverkningsanmälan</t>
        </is>
      </c>
      <c r="C686" t="inlineStr">
        <is>
          <t>Föryngringsavverkning</t>
        </is>
      </c>
      <c r="D686" s="1" t="n">
        <v>46176</v>
      </c>
      <c r="E686" s="1" t="n">
        <v>46224</v>
      </c>
      <c r="F686" t="inlineStr">
        <is>
          <t>UPPSALA LÄN</t>
        </is>
      </c>
      <c r="G686" t="inlineStr">
        <is>
          <t>ÖSTHAMMAR</t>
        </is>
      </c>
      <c r="I686" t="n">
        <v>14.3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25394-2026</t>
        </is>
      </c>
      <c r="B687" t="inlineStr">
        <is>
          <t>avverkningsanmälan</t>
        </is>
      </c>
      <c r="C687" t="inlineStr">
        <is>
          <t>Föryngringsavverkning</t>
        </is>
      </c>
      <c r="D687" s="1" t="n">
        <v>46176</v>
      </c>
      <c r="E687" s="1" t="n">
        <v>46224</v>
      </c>
      <c r="F687" t="inlineStr">
        <is>
          <t>UPPSALA LÄN</t>
        </is>
      </c>
      <c r="G687" t="inlineStr">
        <is>
          <t>ÖSTHAMMAR</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25938-2024</t>
        </is>
      </c>
      <c r="B688" t="inlineStr">
        <is>
          <t>avverkningsanmälan</t>
        </is>
      </c>
      <c r="C688" t="inlineStr">
        <is>
          <t>Föryngringsavverkning</t>
        </is>
      </c>
      <c r="D688" s="1" t="n">
        <v>45467</v>
      </c>
      <c r="E688" s="1" t="n">
        <v>46224</v>
      </c>
      <c r="F688" t="inlineStr">
        <is>
          <t>UPPSALA LÄN</t>
        </is>
      </c>
      <c r="G688" t="inlineStr">
        <is>
          <t>ÖSTHAMMAR</t>
        </is>
      </c>
      <c r="H688" t="inlineStr">
        <is>
          <t>Bergvik skog öst AB</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35539-2023</t>
        </is>
      </c>
      <c r="B689" t="inlineStr">
        <is>
          <t>avverkningsanmälan</t>
        </is>
      </c>
      <c r="C689" t="inlineStr">
        <is>
          <t>Föryngringsavverkning</t>
        </is>
      </c>
      <c r="D689" s="1" t="n">
        <v>45147</v>
      </c>
      <c r="E689" s="1" t="n">
        <v>46224</v>
      </c>
      <c r="F689" t="inlineStr">
        <is>
          <t>UPPSALA LÄN</t>
        </is>
      </c>
      <c r="G689" t="inlineStr">
        <is>
          <t>ÖSTHAMMAR</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32744-2022</t>
        </is>
      </c>
      <c r="B690" t="inlineStr">
        <is>
          <t>avverkningsanmälan</t>
        </is>
      </c>
      <c r="C690" t="inlineStr">
        <is>
          <t>Föryngringsavverkning</t>
        </is>
      </c>
      <c r="D690" s="1" t="n">
        <v>44783</v>
      </c>
      <c r="E690" s="1" t="n">
        <v>46224</v>
      </c>
      <c r="F690" t="inlineStr">
        <is>
          <t>UPPSALA LÄN</t>
        </is>
      </c>
      <c r="G690" t="inlineStr">
        <is>
          <t>ÖSTHAMMAR</t>
        </is>
      </c>
      <c r="H690" t="inlineStr">
        <is>
          <t>Bergvik skog öst AB</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25366-2026</t>
        </is>
      </c>
      <c r="B691" t="inlineStr">
        <is>
          <t>avverkningsanmälan</t>
        </is>
      </c>
      <c r="C691" t="inlineStr">
        <is>
          <t>Föryngringsavverkning</t>
        </is>
      </c>
      <c r="D691" s="1" t="n">
        <v>46176</v>
      </c>
      <c r="E691" s="1" t="n">
        <v>46224</v>
      </c>
      <c r="F691" t="inlineStr">
        <is>
          <t>UPPSALA LÄN</t>
        </is>
      </c>
      <c r="G691" t="inlineStr">
        <is>
          <t>ÖSTHAMMAR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31372-2026</t>
        </is>
      </c>
      <c r="B692" t="inlineStr">
        <is>
          <t>avverkningsanmälan</t>
        </is>
      </c>
      <c r="C692" t="inlineStr">
        <is>
          <t>Föryngringsavverkning</t>
        </is>
      </c>
      <c r="D692" s="1" t="n">
        <v>46219</v>
      </c>
      <c r="E692" s="1" t="n">
        <v>46224</v>
      </c>
      <c r="F692" t="inlineStr">
        <is>
          <t>UPPSALA LÄN</t>
        </is>
      </c>
      <c r="G692" t="inlineStr">
        <is>
          <t>ÖSTHAMMAR</t>
        </is>
      </c>
      <c r="H692" t="inlineStr">
        <is>
          <t>Bergvik skog öst AB</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8006-2023</t>
        </is>
      </c>
      <c r="B693" t="inlineStr">
        <is>
          <t>avverkningsanmälan</t>
        </is>
      </c>
      <c r="C693" t="inlineStr">
        <is>
          <t>Föryngringsavverkning</t>
        </is>
      </c>
      <c r="D693" s="1" t="n">
        <v>44973</v>
      </c>
      <c r="E693" s="1" t="n">
        <v>46224</v>
      </c>
      <c r="F693" t="inlineStr">
        <is>
          <t>UPPSALA LÄN</t>
        </is>
      </c>
      <c r="G693" t="inlineStr">
        <is>
          <t>ÖSTHAMMAR</t>
        </is>
      </c>
      <c r="H693" t="inlineStr">
        <is>
          <t>Bergvik skog öst AB</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31330-2026</t>
        </is>
      </c>
      <c r="B694" t="inlineStr">
        <is>
          <t>avverkningsanmälan</t>
        </is>
      </c>
      <c r="C694" t="inlineStr">
        <is>
          <t>Föryngringsavverkning</t>
        </is>
      </c>
      <c r="D694" s="1" t="n">
        <v>46219</v>
      </c>
      <c r="E694" s="1" t="n">
        <v>46224</v>
      </c>
      <c r="F694" t="inlineStr">
        <is>
          <t>UPPSALA LÄN</t>
        </is>
      </c>
      <c r="G694" t="inlineStr">
        <is>
          <t>ÖSTHAMMAR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31333-2026</t>
        </is>
      </c>
      <c r="B695" t="inlineStr">
        <is>
          <t>avverkningsanmälan</t>
        </is>
      </c>
      <c r="C695" t="inlineStr">
        <is>
          <t>Föryngringsavverkning</t>
        </is>
      </c>
      <c r="D695" s="1" t="n">
        <v>46219</v>
      </c>
      <c r="E695" s="1" t="n">
        <v>46224</v>
      </c>
      <c r="F695" t="inlineStr">
        <is>
          <t>UPPSALA LÄN</t>
        </is>
      </c>
      <c r="G695" t="inlineStr">
        <is>
          <t>ÖSTHAMMAR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31336-2026</t>
        </is>
      </c>
      <c r="B696" t="inlineStr">
        <is>
          <t>avverkningsanmälan</t>
        </is>
      </c>
      <c r="C696" t="inlineStr">
        <is>
          <t>Föryngringsavverkning</t>
        </is>
      </c>
      <c r="D696" s="1" t="n">
        <v>46219</v>
      </c>
      <c r="E696" s="1" t="n">
        <v>46224</v>
      </c>
      <c r="F696" t="inlineStr">
        <is>
          <t>UPPSALA LÄN</t>
        </is>
      </c>
      <c r="G696" t="inlineStr">
        <is>
          <t>ÖSTHAMMAR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25398-2026</t>
        </is>
      </c>
      <c r="B697" t="inlineStr">
        <is>
          <t>avverkningsanmälan</t>
        </is>
      </c>
      <c r="C697" t="inlineStr">
        <is>
          <t>Föryngringsavverkning</t>
        </is>
      </c>
      <c r="D697" s="1" t="n">
        <v>46176</v>
      </c>
      <c r="E697" s="1" t="n">
        <v>46224</v>
      </c>
      <c r="F697" t="inlineStr">
        <is>
          <t>UPPSALA LÄN</t>
        </is>
      </c>
      <c r="G697" t="inlineStr">
        <is>
          <t>ÖSTHAMMAR</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25381-2026</t>
        </is>
      </c>
      <c r="B698" t="inlineStr">
        <is>
          <t>avverkningsanmälan</t>
        </is>
      </c>
      <c r="C698" t="inlineStr">
        <is>
          <t>Föryngringsavverkning</t>
        </is>
      </c>
      <c r="D698" s="1" t="n">
        <v>46176</v>
      </c>
      <c r="E698" s="1" t="n">
        <v>46224</v>
      </c>
      <c r="F698" t="inlineStr">
        <is>
          <t>UPPSALA LÄN</t>
        </is>
      </c>
      <c r="G698" t="inlineStr">
        <is>
          <t>ÖSTHAMMAR</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25396-2026</t>
        </is>
      </c>
      <c r="B699" t="inlineStr">
        <is>
          <t>avverkningsanmälan</t>
        </is>
      </c>
      <c r="C699" t="inlineStr">
        <is>
          <t>Föryngringsavverkning</t>
        </is>
      </c>
      <c r="D699" s="1" t="n">
        <v>46176</v>
      </c>
      <c r="E699" s="1" t="n">
        <v>46224</v>
      </c>
      <c r="F699" t="inlineStr">
        <is>
          <t>UPPSALA LÄN</t>
        </is>
      </c>
      <c r="G699" t="inlineStr">
        <is>
          <t>ÖSTHAMMAR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25399-2026</t>
        </is>
      </c>
      <c r="B700" t="inlineStr">
        <is>
          <t>avverkningsanmälan</t>
        </is>
      </c>
      <c r="C700" t="inlineStr">
        <is>
          <t>Föryngringsavverkning</t>
        </is>
      </c>
      <c r="D700" s="1" t="n">
        <v>46176</v>
      </c>
      <c r="E700" s="1" t="n">
        <v>46224</v>
      </c>
      <c r="F700" t="inlineStr">
        <is>
          <t>UPPSALA LÄN</t>
        </is>
      </c>
      <c r="G700" t="inlineStr">
        <is>
          <t>ÖSTHAMMAR</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25833-2026</t>
        </is>
      </c>
      <c r="B701" t="inlineStr">
        <is>
          <t>avverkningsanmälan</t>
        </is>
      </c>
      <c r="C701" t="inlineStr">
        <is>
          <t>Föryngringsavverkning</t>
        </is>
      </c>
      <c r="D701" s="1" t="n">
        <v>46178</v>
      </c>
      <c r="E701" s="1" t="n">
        <v>46224</v>
      </c>
      <c r="F701" t="inlineStr">
        <is>
          <t>UPPSALA LÄN</t>
        </is>
      </c>
      <c r="G701" t="inlineStr">
        <is>
          <t>ÖSTHAMMAR</t>
        </is>
      </c>
      <c r="H701" t="inlineStr">
        <is>
          <t>Bergvik skog öst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25856-2026</t>
        </is>
      </c>
      <c r="B702" t="inlineStr">
        <is>
          <t>avverkningsanmälan</t>
        </is>
      </c>
      <c r="C702" t="inlineStr">
        <is>
          <t>Föryngringsavverkning</t>
        </is>
      </c>
      <c r="D702" s="1" t="n">
        <v>46178</v>
      </c>
      <c r="E702" s="1" t="n">
        <v>46224</v>
      </c>
      <c r="F702" t="inlineStr">
        <is>
          <t>UPPSALA LÄN</t>
        </is>
      </c>
      <c r="G702" t="inlineStr">
        <is>
          <t>ÖSTHAMMAR</t>
        </is>
      </c>
      <c r="H702" t="inlineStr">
        <is>
          <t>Bergvik skog öst AB</t>
        </is>
      </c>
      <c r="I702" t="n">
        <v>6.7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14269-2025</t>
        </is>
      </c>
      <c r="B703" t="inlineStr">
        <is>
          <t>avverkningsanmälan</t>
        </is>
      </c>
      <c r="C703" t="inlineStr">
        <is>
          <t>Föryngringsavverkning</t>
        </is>
      </c>
      <c r="D703" s="1" t="n">
        <v>45740</v>
      </c>
      <c r="E703" s="1" t="n">
        <v>46224</v>
      </c>
      <c r="F703" t="inlineStr">
        <is>
          <t>UPPSALA LÄN</t>
        </is>
      </c>
      <c r="G703" t="inlineStr">
        <is>
          <t>ÖSTHAMMAR</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25843-2026</t>
        </is>
      </c>
      <c r="B704" t="inlineStr">
        <is>
          <t>avverkningsanmälan</t>
        </is>
      </c>
      <c r="C704" t="inlineStr">
        <is>
          <t>Föryngringsavverkning</t>
        </is>
      </c>
      <c r="D704" s="1" t="n">
        <v>46178</v>
      </c>
      <c r="E704" s="1" t="n">
        <v>46224</v>
      </c>
      <c r="F704" t="inlineStr">
        <is>
          <t>UPPSALA LÄN</t>
        </is>
      </c>
      <c r="G704" t="inlineStr">
        <is>
          <t>ÖSTHAMMAR</t>
        </is>
      </c>
      <c r="H704" t="inlineStr">
        <is>
          <t>Bergvik skog öst AB</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7543-2023</t>
        </is>
      </c>
      <c r="B705" t="inlineStr">
        <is>
          <t>avverkningsanmälan</t>
        </is>
      </c>
      <c r="C705" t="inlineStr">
        <is>
          <t>Föryngringsavverkning</t>
        </is>
      </c>
      <c r="D705" s="1" t="n">
        <v>44972</v>
      </c>
      <c r="E705" s="1" t="n">
        <v>46224</v>
      </c>
      <c r="F705" t="inlineStr">
        <is>
          <t>UPPSALA LÄN</t>
        </is>
      </c>
      <c r="G705" t="inlineStr">
        <is>
          <t>ÖSTHAMMAR</t>
        </is>
      </c>
      <c r="H705" t="inlineStr">
        <is>
          <t>Bergvik skog öst AB</t>
        </is>
      </c>
      <c r="I705" t="n">
        <v>13.3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25983-2026</t>
        </is>
      </c>
      <c r="B706" t="inlineStr">
        <is>
          <t>avverkningsanmälan</t>
        </is>
      </c>
      <c r="C706" t="inlineStr">
        <is>
          <t>Avverkning för annat ändamål</t>
        </is>
      </c>
      <c r="D706" s="1" t="n">
        <v>46181</v>
      </c>
      <c r="E706" s="1" t="n">
        <v>46224</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4676-2025</t>
        </is>
      </c>
      <c r="B707" t="inlineStr">
        <is>
          <t>avverkningsanmälan</t>
        </is>
      </c>
      <c r="C707" t="inlineStr">
        <is>
          <t>Föryngringsavverkning</t>
        </is>
      </c>
      <c r="D707" s="1" t="n">
        <v>45687</v>
      </c>
      <c r="E707" s="1" t="n">
        <v>46224</v>
      </c>
      <c r="F707" t="inlineStr">
        <is>
          <t>UPPSALA LÄN</t>
        </is>
      </c>
      <c r="G707" t="inlineStr">
        <is>
          <t>ÖSTHAMMAR</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24259-2022</t>
        </is>
      </c>
      <c r="B708" t="inlineStr">
        <is>
          <t>avverkningsanmälan</t>
        </is>
      </c>
      <c r="C708" t="inlineStr">
        <is>
          <t>Föryngringsavverkning</t>
        </is>
      </c>
      <c r="D708" s="1" t="n">
        <v>44725</v>
      </c>
      <c r="E708" s="1" t="n">
        <v>46224</v>
      </c>
      <c r="F708" t="inlineStr">
        <is>
          <t>UPPSALA LÄN</t>
        </is>
      </c>
      <c r="G708" t="inlineStr">
        <is>
          <t>ÖSTHAMMAR</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25846-2026</t>
        </is>
      </c>
      <c r="B709" t="inlineStr">
        <is>
          <t>avverkningsanmälan</t>
        </is>
      </c>
      <c r="C709" t="inlineStr">
        <is>
          <t>Föryngringsavverkning</t>
        </is>
      </c>
      <c r="D709" s="1" t="n">
        <v>46178</v>
      </c>
      <c r="E709" s="1" t="n">
        <v>46224</v>
      </c>
      <c r="F709" t="inlineStr">
        <is>
          <t>UPPSALA LÄN</t>
        </is>
      </c>
      <c r="G709" t="inlineStr">
        <is>
          <t>ÖSTHAMMAR</t>
        </is>
      </c>
      <c r="H709" t="inlineStr">
        <is>
          <t>Bergvik skog öst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18113-2023</t>
        </is>
      </c>
      <c r="B710" t="inlineStr">
        <is>
          <t>avverkningsanmälan</t>
        </is>
      </c>
      <c r="C710" t="inlineStr">
        <is>
          <t>Föryngringsavverkning</t>
        </is>
      </c>
      <c r="D710" s="1" t="n">
        <v>45040</v>
      </c>
      <c r="E710" s="1" t="n">
        <v>46224</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61216-2022</t>
        </is>
      </c>
      <c r="B711" t="inlineStr">
        <is>
          <t>avverkningsanmälan</t>
        </is>
      </c>
      <c r="C711" t="inlineStr">
        <is>
          <t>Föryngringsavverkning</t>
        </is>
      </c>
      <c r="D711" s="1" t="n">
        <v>44915</v>
      </c>
      <c r="E711" s="1" t="n">
        <v>46224</v>
      </c>
      <c r="F711" t="inlineStr">
        <is>
          <t>UPPSALA LÄN</t>
        </is>
      </c>
      <c r="G711" t="inlineStr">
        <is>
          <t>ÖSTHAMMAR</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27660-2023</t>
        </is>
      </c>
      <c r="B712" t="inlineStr">
        <is>
          <t>avverkningsanmälan</t>
        </is>
      </c>
      <c r="C712" t="inlineStr">
        <is>
          <t>Föryngringsavverkning</t>
        </is>
      </c>
      <c r="D712" s="1" t="n">
        <v>45097</v>
      </c>
      <c r="E712" s="1" t="n">
        <v>46224</v>
      </c>
      <c r="F712" t="inlineStr">
        <is>
          <t>UPPSALA LÄN</t>
        </is>
      </c>
      <c r="G712" t="inlineStr">
        <is>
          <t>ÖSTHAMMAR</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69411-2021</t>
        </is>
      </c>
      <c r="B713" t="inlineStr">
        <is>
          <t>avverkningsanmälan</t>
        </is>
      </c>
      <c r="C713" t="inlineStr">
        <is>
          <t>Föryngringsavverkning</t>
        </is>
      </c>
      <c r="D713" s="1" t="n">
        <v>44531</v>
      </c>
      <c r="E713" s="1" t="n">
        <v>46224</v>
      </c>
      <c r="F713" t="inlineStr">
        <is>
          <t>UPPSALA LÄN</t>
        </is>
      </c>
      <c r="G713" t="inlineStr">
        <is>
          <t>ÖSTHAMMAR</t>
        </is>
      </c>
      <c r="H713" t="inlineStr">
        <is>
          <t>Bergvik skog öst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26303-2024</t>
        </is>
      </c>
      <c r="B714" t="inlineStr">
        <is>
          <t>avverkningsanmälan</t>
        </is>
      </c>
      <c r="C714" t="inlineStr">
        <is>
          <t>Föryngringsavverkning</t>
        </is>
      </c>
      <c r="D714" s="1" t="n">
        <v>45468</v>
      </c>
      <c r="E714" s="1" t="n">
        <v>46224</v>
      </c>
      <c r="F714" t="inlineStr">
        <is>
          <t>UPPSALA LÄN</t>
        </is>
      </c>
      <c r="G714" t="inlineStr">
        <is>
          <t>ÖSTHAMMAR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60577-2021</t>
        </is>
      </c>
      <c r="B715" t="inlineStr">
        <is>
          <t>avverkningsanmälan</t>
        </is>
      </c>
      <c r="C715" t="inlineStr">
        <is>
          <t>Föryngringsavverkning</t>
        </is>
      </c>
      <c r="D715" s="1" t="n">
        <v>44496</v>
      </c>
      <c r="E715" s="1" t="n">
        <v>46224</v>
      </c>
      <c r="F715" t="inlineStr">
        <is>
          <t>UPPSALA LÄN</t>
        </is>
      </c>
      <c r="G715" t="inlineStr">
        <is>
          <t>ÖSTHAMMAR</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1791-2023</t>
        </is>
      </c>
      <c r="B716" t="inlineStr">
        <is>
          <t>avverkningsanmälan</t>
        </is>
      </c>
      <c r="C716" t="inlineStr">
        <is>
          <t>Föryngringsavverkning</t>
        </is>
      </c>
      <c r="D716" s="1" t="n">
        <v>44938</v>
      </c>
      <c r="E716" s="1" t="n">
        <v>46224</v>
      </c>
      <c r="F716" t="inlineStr">
        <is>
          <t>UPPSALA LÄN</t>
        </is>
      </c>
      <c r="G716" t="inlineStr">
        <is>
          <t>ÖSTHAMMAR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49796-2024</t>
        </is>
      </c>
      <c r="B717" t="inlineStr">
        <is>
          <t>avverkningsanmälan</t>
        </is>
      </c>
      <c r="C717" t="inlineStr">
        <is>
          <t>Föryngringsavverkning</t>
        </is>
      </c>
      <c r="D717" s="1" t="n">
        <v>45597</v>
      </c>
      <c r="E717" s="1" t="n">
        <v>46224</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42262-2024</t>
        </is>
      </c>
      <c r="B718" t="inlineStr">
        <is>
          <t>avverkningsanmälan</t>
        </is>
      </c>
      <c r="C718" t="inlineStr">
        <is>
          <t>Föryngringsavverkning</t>
        </is>
      </c>
      <c r="D718" s="1" t="n">
        <v>45562</v>
      </c>
      <c r="E718" s="1" t="n">
        <v>46224</v>
      </c>
      <c r="F718" t="inlineStr">
        <is>
          <t>UPPSALA LÄN</t>
        </is>
      </c>
      <c r="G718" t="inlineStr">
        <is>
          <t>ÖSTHAMMAR</t>
        </is>
      </c>
      <c r="H718" t="inlineStr">
        <is>
          <t>Bergvik skog öst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36954-2024</t>
        </is>
      </c>
      <c r="B719" t="inlineStr">
        <is>
          <t>avverkningsanmälan</t>
        </is>
      </c>
      <c r="C719" t="inlineStr">
        <is>
          <t>Föryngringsavverkning</t>
        </is>
      </c>
      <c r="D719" s="1" t="n">
        <v>45538</v>
      </c>
      <c r="E719" s="1" t="n">
        <v>46224</v>
      </c>
      <c r="F719" t="inlineStr">
        <is>
          <t>UPPSALA LÄN</t>
        </is>
      </c>
      <c r="G719" t="inlineStr">
        <is>
          <t>ÖSTHAMMAR</t>
        </is>
      </c>
      <c r="H719" t="inlineStr">
        <is>
          <t>Bergvik skog öst AB</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33685-2024</t>
        </is>
      </c>
      <c r="B720" t="inlineStr">
        <is>
          <t>avverkningsanmälan</t>
        </is>
      </c>
      <c r="C720" t="inlineStr">
        <is>
          <t>Föryngringsavverkning</t>
        </is>
      </c>
      <c r="D720" s="1" t="n">
        <v>45520</v>
      </c>
      <c r="E720" s="1" t="n">
        <v>46224</v>
      </c>
      <c r="F720" t="inlineStr">
        <is>
          <t>UPPSALA LÄN</t>
        </is>
      </c>
      <c r="G720" t="inlineStr">
        <is>
          <t>ÖSTHAMMAR</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43655-2024</t>
        </is>
      </c>
      <c r="B721" t="inlineStr">
        <is>
          <t>avverkningsanmälan</t>
        </is>
      </c>
      <c r="C721" t="inlineStr">
        <is>
          <t>Föryngringsavverkning</t>
        </is>
      </c>
      <c r="D721" s="1" t="n">
        <v>45569</v>
      </c>
      <c r="E721" s="1" t="n">
        <v>46224</v>
      </c>
      <c r="F721" t="inlineStr">
        <is>
          <t>UPPSALA LÄN</t>
        </is>
      </c>
      <c r="G721" t="inlineStr">
        <is>
          <t>ÖSTHAMMAR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14595-2023</t>
        </is>
      </c>
      <c r="B722" t="inlineStr">
        <is>
          <t>avverkningsanmälan</t>
        </is>
      </c>
      <c r="C722" t="inlineStr">
        <is>
          <t>Föryngringsavverkning</t>
        </is>
      </c>
      <c r="D722" s="1" t="n">
        <v>45013</v>
      </c>
      <c r="E722" s="1" t="n">
        <v>46224</v>
      </c>
      <c r="F722" t="inlineStr">
        <is>
          <t>UPPSALA LÄN</t>
        </is>
      </c>
      <c r="G722" t="inlineStr">
        <is>
          <t>ÖSTHAMMAR</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38575-2024</t>
        </is>
      </c>
      <c r="B723" t="inlineStr">
        <is>
          <t>avverkningsanmälan</t>
        </is>
      </c>
      <c r="C723" t="inlineStr">
        <is>
          <t>Föryngringsavverkning</t>
        </is>
      </c>
      <c r="D723" s="1" t="n">
        <v>45546</v>
      </c>
      <c r="E723" s="1" t="n">
        <v>46224</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46224</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46224</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46224</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46224</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46224</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46224</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46224</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46224</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46224</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46224</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46224</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46224</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2026-07-21T01:34:11Z</dcterms:created>
  <dcterms:modified xmlns:dcterms="http://purl.org/dc/terms/" xmlns:xsi="http://www.w3.org/2001/XMLSchema-instance" xsi:type="dcterms:W3CDTF">2026-07-21T01:34:12Z</dcterms:modified>
</cp:coreProperties>
</file>