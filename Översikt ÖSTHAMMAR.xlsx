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45916</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45916</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45916</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45916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45916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45916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45916</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45916</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45916</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45916</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45916</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45916</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45916</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45916</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45916</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45916</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45916</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45916</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48277-2023</t>
        </is>
      </c>
      <c r="B22" s="1" t="n">
        <v>45205</v>
      </c>
      <c r="C22" s="1" t="n">
        <v>45916</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45916</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45916</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45916</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45916</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45916</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15556-2022</t>
        </is>
      </c>
      <c r="B28" s="1" t="n">
        <v>44662</v>
      </c>
      <c r="C28" s="1" t="n">
        <v>45916</v>
      </c>
      <c r="D28" t="inlineStr">
        <is>
          <t>UPPSALA LÄN</t>
        </is>
      </c>
      <c r="E28" t="inlineStr">
        <is>
          <t>ÖSTHAMMAR</t>
        </is>
      </c>
      <c r="G28" t="n">
        <v>9.9</v>
      </c>
      <c r="H28" t="n">
        <v>1</v>
      </c>
      <c r="I28" t="n">
        <v>4</v>
      </c>
      <c r="J28" t="n">
        <v>1</v>
      </c>
      <c r="K28" t="n">
        <v>0</v>
      </c>
      <c r="L28" t="n">
        <v>0</v>
      </c>
      <c r="M28" t="n">
        <v>0</v>
      </c>
      <c r="N28" t="n">
        <v>0</v>
      </c>
      <c r="O28" t="n">
        <v>1</v>
      </c>
      <c r="P28" t="n">
        <v>0</v>
      </c>
      <c r="Q28" t="n">
        <v>5</v>
      </c>
      <c r="R28" s="2" t="inlineStr">
        <is>
          <t>Tallticka
Hasselticka
Skogsknipprot
Svart trolldruva
Tibast</t>
        </is>
      </c>
      <c r="S28">
        <f>HYPERLINK("https://klasma.github.io/Logging_0382/artfynd/A 15556-2022 artfynd.xlsx", "A 15556-2022")</f>
        <v/>
      </c>
      <c r="T28">
        <f>HYPERLINK("https://klasma.github.io/Logging_0382/kartor/A 15556-2022 karta.png", "A 15556-2022")</f>
        <v/>
      </c>
      <c r="V28">
        <f>HYPERLINK("https://klasma.github.io/Logging_0382/klagomål/A 15556-2022 FSC-klagomål.docx", "A 15556-2022")</f>
        <v/>
      </c>
      <c r="W28">
        <f>HYPERLINK("https://klasma.github.io/Logging_0382/klagomålsmail/A 15556-2022 FSC-klagomål mail.docx", "A 15556-2022")</f>
        <v/>
      </c>
      <c r="X28">
        <f>HYPERLINK("https://klasma.github.io/Logging_0382/tillsyn/A 15556-2022 tillsynsbegäran.docx", "A 15556-2022")</f>
        <v/>
      </c>
      <c r="Y28">
        <f>HYPERLINK("https://klasma.github.io/Logging_0382/tillsynsmail/A 15556-2022 tillsynsbegäran mail.docx", "A 15556-2022")</f>
        <v/>
      </c>
    </row>
    <row r="29" ht="15" customHeight="1">
      <c r="A29" t="inlineStr">
        <is>
          <t>A 26056-2025</t>
        </is>
      </c>
      <c r="B29" s="1" t="n">
        <v>45804.79280092593</v>
      </c>
      <c r="C29" s="1" t="n">
        <v>45916</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40395-2025</t>
        </is>
      </c>
      <c r="B30" s="1" t="n">
        <v>45895.55805555556</v>
      </c>
      <c r="C30" s="1" t="n">
        <v>45916</v>
      </c>
      <c r="D30" t="inlineStr">
        <is>
          <t>UPPSALA LÄN</t>
        </is>
      </c>
      <c r="E30" t="inlineStr">
        <is>
          <t>ÖSTHAMMAR</t>
        </is>
      </c>
      <c r="G30" t="n">
        <v>1.8</v>
      </c>
      <c r="H30" t="n">
        <v>3</v>
      </c>
      <c r="I30" t="n">
        <v>2</v>
      </c>
      <c r="J30" t="n">
        <v>3</v>
      </c>
      <c r="K30" t="n">
        <v>0</v>
      </c>
      <c r="L30" t="n">
        <v>0</v>
      </c>
      <c r="M30" t="n">
        <v>0</v>
      </c>
      <c r="N30" t="n">
        <v>0</v>
      </c>
      <c r="O30" t="n">
        <v>3</v>
      </c>
      <c r="P30" t="n">
        <v>0</v>
      </c>
      <c r="Q30" t="n">
        <v>5</v>
      </c>
      <c r="R30" s="2" t="inlineStr">
        <is>
          <t>Järpe
Spillkråka
Talltita
Brandticka
Stor aspticka</t>
        </is>
      </c>
      <c r="S30">
        <f>HYPERLINK("https://klasma.github.io/Logging_0382/artfynd/A 40395-2025 artfynd.xlsx", "A 40395-2025")</f>
        <v/>
      </c>
      <c r="T30">
        <f>HYPERLINK("https://klasma.github.io/Logging_0382/kartor/A 40395-2025 karta.png", "A 40395-2025")</f>
        <v/>
      </c>
      <c r="V30">
        <f>HYPERLINK("https://klasma.github.io/Logging_0382/klagomål/A 40395-2025 FSC-klagomål.docx", "A 40395-2025")</f>
        <v/>
      </c>
      <c r="W30">
        <f>HYPERLINK("https://klasma.github.io/Logging_0382/klagomålsmail/A 40395-2025 FSC-klagomål mail.docx", "A 40395-2025")</f>
        <v/>
      </c>
      <c r="X30">
        <f>HYPERLINK("https://klasma.github.io/Logging_0382/tillsyn/A 40395-2025 tillsynsbegäran.docx", "A 40395-2025")</f>
        <v/>
      </c>
      <c r="Y30">
        <f>HYPERLINK("https://klasma.github.io/Logging_0382/tillsynsmail/A 40395-2025 tillsynsbegäran mail.docx", "A 40395-2025")</f>
        <v/>
      </c>
      <c r="Z30">
        <f>HYPERLINK("https://klasma.github.io/Logging_0382/fåglar/A 40395-2025 prioriterade fågelarter.docx", "A 40395-2025")</f>
        <v/>
      </c>
    </row>
    <row r="31" ht="15" customHeight="1">
      <c r="A31" t="inlineStr">
        <is>
          <t>A 24563-2022</t>
        </is>
      </c>
      <c r="B31" s="1" t="n">
        <v>44727</v>
      </c>
      <c r="C31" s="1" t="n">
        <v>45916</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45916</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23498-2023</t>
        </is>
      </c>
      <c r="B33" s="1" t="n">
        <v>45076</v>
      </c>
      <c r="C33" s="1" t="n">
        <v>45916</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52808-2022</t>
        </is>
      </c>
      <c r="B34" s="1" t="n">
        <v>44875</v>
      </c>
      <c r="C34" s="1" t="n">
        <v>45916</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45916</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45916</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26279-2024</t>
        </is>
      </c>
      <c r="B37" s="1" t="n">
        <v>45468</v>
      </c>
      <c r="C37" s="1" t="n">
        <v>45916</v>
      </c>
      <c r="D37" t="inlineStr">
        <is>
          <t>UPPSALA LÄN</t>
        </is>
      </c>
      <c r="E37" t="inlineStr">
        <is>
          <t>ÖSTHAMMAR</t>
        </is>
      </c>
      <c r="G37" t="n">
        <v>2.8</v>
      </c>
      <c r="H37" t="n">
        <v>2</v>
      </c>
      <c r="I37" t="n">
        <v>4</v>
      </c>
      <c r="J37" t="n">
        <v>0</v>
      </c>
      <c r="K37" t="n">
        <v>0</v>
      </c>
      <c r="L37" t="n">
        <v>0</v>
      </c>
      <c r="M37" t="n">
        <v>0</v>
      </c>
      <c r="N37" t="n">
        <v>0</v>
      </c>
      <c r="O37" t="n">
        <v>0</v>
      </c>
      <c r="P37" t="n">
        <v>0</v>
      </c>
      <c r="Q37" t="n">
        <v>4</v>
      </c>
      <c r="R37" s="2" t="inlineStr">
        <is>
          <t>Nästrot
Skogsknipprot
Sårläka
Vårärt</t>
        </is>
      </c>
      <c r="S37">
        <f>HYPERLINK("https://klasma.github.io/Logging_0382/artfynd/A 26279-2024 artfynd.xlsx", "A 26279-2024")</f>
        <v/>
      </c>
      <c r="T37">
        <f>HYPERLINK("https://klasma.github.io/Logging_0382/kartor/A 26279-2024 karta.png", "A 26279-2024")</f>
        <v/>
      </c>
      <c r="V37">
        <f>HYPERLINK("https://klasma.github.io/Logging_0382/klagomål/A 26279-2024 FSC-klagomål.docx", "A 26279-2024")</f>
        <v/>
      </c>
      <c r="W37">
        <f>HYPERLINK("https://klasma.github.io/Logging_0382/klagomålsmail/A 26279-2024 FSC-klagomål mail.docx", "A 26279-2024")</f>
        <v/>
      </c>
      <c r="X37">
        <f>HYPERLINK("https://klasma.github.io/Logging_0382/tillsyn/A 26279-2024 tillsynsbegäran.docx", "A 26279-2024")</f>
        <v/>
      </c>
      <c r="Y37">
        <f>HYPERLINK("https://klasma.github.io/Logging_0382/tillsynsmail/A 26279-2024 tillsynsbegäran mail.docx", "A 26279-2024")</f>
        <v/>
      </c>
    </row>
    <row r="38" ht="15" customHeight="1">
      <c r="A38" t="inlineStr">
        <is>
          <t>A 48352-2022</t>
        </is>
      </c>
      <c r="B38" s="1" t="n">
        <v>44858</v>
      </c>
      <c r="C38" s="1" t="n">
        <v>45916</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54492-2024</t>
        </is>
      </c>
      <c r="B39" s="1" t="n">
        <v>45617</v>
      </c>
      <c r="C39" s="1" t="n">
        <v>45916</v>
      </c>
      <c r="D39" t="inlineStr">
        <is>
          <t>UPPSALA LÄN</t>
        </is>
      </c>
      <c r="E39" t="inlineStr">
        <is>
          <t>ÖSTHAMMAR</t>
        </is>
      </c>
      <c r="G39" t="n">
        <v>23.9</v>
      </c>
      <c r="H39" t="n">
        <v>1</v>
      </c>
      <c r="I39" t="n">
        <v>3</v>
      </c>
      <c r="J39" t="n">
        <v>0</v>
      </c>
      <c r="K39" t="n">
        <v>0</v>
      </c>
      <c r="L39" t="n">
        <v>0</v>
      </c>
      <c r="M39" t="n">
        <v>0</v>
      </c>
      <c r="N39" t="n">
        <v>0</v>
      </c>
      <c r="O39" t="n">
        <v>0</v>
      </c>
      <c r="P39" t="n">
        <v>0</v>
      </c>
      <c r="Q39" t="n">
        <v>4</v>
      </c>
      <c r="R39" s="2" t="inlineStr">
        <is>
          <t>Bårdlav
Hasselticka
Läderskål
Blåsippa</t>
        </is>
      </c>
      <c r="S39">
        <f>HYPERLINK("https://klasma.github.io/Logging_0382/artfynd/A 54492-2024 artfynd.xlsx", "A 54492-2024")</f>
        <v/>
      </c>
      <c r="T39">
        <f>HYPERLINK("https://klasma.github.io/Logging_0382/kartor/A 54492-2024 karta.png", "A 54492-2024")</f>
        <v/>
      </c>
      <c r="V39">
        <f>HYPERLINK("https://klasma.github.io/Logging_0382/klagomål/A 54492-2024 FSC-klagomål.docx", "A 54492-2024")</f>
        <v/>
      </c>
      <c r="W39">
        <f>HYPERLINK("https://klasma.github.io/Logging_0382/klagomålsmail/A 54492-2024 FSC-klagomål mail.docx", "A 54492-2024")</f>
        <v/>
      </c>
      <c r="X39">
        <f>HYPERLINK("https://klasma.github.io/Logging_0382/tillsyn/A 54492-2024 tillsynsbegäran.docx", "A 54492-2024")</f>
        <v/>
      </c>
      <c r="Y39">
        <f>HYPERLINK("https://klasma.github.io/Logging_0382/tillsynsmail/A 54492-2024 tillsynsbegäran mail.docx", "A 54492-2024")</f>
        <v/>
      </c>
    </row>
    <row r="40" ht="15" customHeight="1">
      <c r="A40" t="inlineStr">
        <is>
          <t>A 33051-2021</t>
        </is>
      </c>
      <c r="B40" s="1" t="n">
        <v>44376</v>
      </c>
      <c r="C40" s="1" t="n">
        <v>45916</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74364-2021</t>
        </is>
      </c>
      <c r="B41" s="1" t="n">
        <v>44559</v>
      </c>
      <c r="C41" s="1" t="n">
        <v>45916</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25044-2025</t>
        </is>
      </c>
      <c r="B42" s="1" t="n">
        <v>45799.66607638889</v>
      </c>
      <c r="C42" s="1" t="n">
        <v>45916</v>
      </c>
      <c r="D42" t="inlineStr">
        <is>
          <t>UPPSALA LÄN</t>
        </is>
      </c>
      <c r="E42" t="inlineStr">
        <is>
          <t>ÖSTHAMMAR</t>
        </is>
      </c>
      <c r="F42" t="inlineStr">
        <is>
          <t>Bergvik skog öst AB</t>
        </is>
      </c>
      <c r="G42" t="n">
        <v>8.199999999999999</v>
      </c>
      <c r="H42" t="n">
        <v>2</v>
      </c>
      <c r="I42" t="n">
        <v>2</v>
      </c>
      <c r="J42" t="n">
        <v>0</v>
      </c>
      <c r="K42" t="n">
        <v>0</v>
      </c>
      <c r="L42" t="n">
        <v>0</v>
      </c>
      <c r="M42" t="n">
        <v>0</v>
      </c>
      <c r="N42" t="n">
        <v>0</v>
      </c>
      <c r="O42" t="n">
        <v>0</v>
      </c>
      <c r="P42" t="n">
        <v>0</v>
      </c>
      <c r="Q42" t="n">
        <v>3</v>
      </c>
      <c r="R42" s="2" t="inlineStr">
        <is>
          <t>Tvåblad
Vårärt
Blåsippa</t>
        </is>
      </c>
      <c r="S42">
        <f>HYPERLINK("https://klasma.github.io/Logging_0382/artfynd/A 25044-2025 artfynd.xlsx", "A 25044-2025")</f>
        <v/>
      </c>
      <c r="T42">
        <f>HYPERLINK("https://klasma.github.io/Logging_0382/kartor/A 25044-2025 karta.png", "A 25044-2025")</f>
        <v/>
      </c>
      <c r="V42">
        <f>HYPERLINK("https://klasma.github.io/Logging_0382/klagomål/A 25044-2025 FSC-klagomål.docx", "A 25044-2025")</f>
        <v/>
      </c>
      <c r="W42">
        <f>HYPERLINK("https://klasma.github.io/Logging_0382/klagomålsmail/A 25044-2025 FSC-klagomål mail.docx", "A 25044-2025")</f>
        <v/>
      </c>
      <c r="X42">
        <f>HYPERLINK("https://klasma.github.io/Logging_0382/tillsyn/A 25044-2025 tillsynsbegäran.docx", "A 25044-2025")</f>
        <v/>
      </c>
      <c r="Y42">
        <f>HYPERLINK("https://klasma.github.io/Logging_0382/tillsynsmail/A 25044-2025 tillsynsbegäran mail.docx", "A 25044-2025")</f>
        <v/>
      </c>
    </row>
    <row r="43" ht="15" customHeight="1">
      <c r="A43" t="inlineStr">
        <is>
          <t>A 55051-2021</t>
        </is>
      </c>
      <c r="B43" s="1" t="n">
        <v>44474</v>
      </c>
      <c r="C43" s="1" t="n">
        <v>45916</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17004-2024</t>
        </is>
      </c>
      <c r="B44" s="1" t="n">
        <v>45412</v>
      </c>
      <c r="C44" s="1" t="n">
        <v>45916</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26557-2022</t>
        </is>
      </c>
      <c r="B45" s="1" t="n">
        <v>44739</v>
      </c>
      <c r="C45" s="1" t="n">
        <v>45916</v>
      </c>
      <c r="D45" t="inlineStr">
        <is>
          <t>UPPSALA LÄN</t>
        </is>
      </c>
      <c r="E45" t="inlineStr">
        <is>
          <t>ÖSTHAMMAR</t>
        </is>
      </c>
      <c r="F45" t="inlineStr">
        <is>
          <t>Övriga statliga verk och myndigheter</t>
        </is>
      </c>
      <c r="G45" t="n">
        <v>1.7</v>
      </c>
      <c r="H45" t="n">
        <v>3</v>
      </c>
      <c r="I45" t="n">
        <v>0</v>
      </c>
      <c r="J45" t="n">
        <v>3</v>
      </c>
      <c r="K45" t="n">
        <v>0</v>
      </c>
      <c r="L45" t="n">
        <v>0</v>
      </c>
      <c r="M45" t="n">
        <v>0</v>
      </c>
      <c r="N45" t="n">
        <v>0</v>
      </c>
      <c r="O45" t="n">
        <v>3</v>
      </c>
      <c r="P45" t="n">
        <v>0</v>
      </c>
      <c r="Q45" t="n">
        <v>3</v>
      </c>
      <c r="R45" s="2" t="inlineStr">
        <is>
          <t>Järpe
Mindre hackspett
Spillkråka</t>
        </is>
      </c>
      <c r="S45">
        <f>HYPERLINK("https://klasma.github.io/Logging_0382/artfynd/A 26557-2022 artfynd.xlsx", "A 26557-2022")</f>
        <v/>
      </c>
      <c r="T45">
        <f>HYPERLINK("https://klasma.github.io/Logging_0382/kartor/A 26557-2022 karta.png", "A 26557-2022")</f>
        <v/>
      </c>
      <c r="V45">
        <f>HYPERLINK("https://klasma.github.io/Logging_0382/klagomål/A 26557-2022 FSC-klagomål.docx", "A 26557-2022")</f>
        <v/>
      </c>
      <c r="W45">
        <f>HYPERLINK("https://klasma.github.io/Logging_0382/klagomålsmail/A 26557-2022 FSC-klagomål mail.docx", "A 26557-2022")</f>
        <v/>
      </c>
      <c r="X45">
        <f>HYPERLINK("https://klasma.github.io/Logging_0382/tillsyn/A 26557-2022 tillsynsbegäran.docx", "A 26557-2022")</f>
        <v/>
      </c>
      <c r="Y45">
        <f>HYPERLINK("https://klasma.github.io/Logging_0382/tillsynsmail/A 26557-2022 tillsynsbegäran mail.docx", "A 26557-2022")</f>
        <v/>
      </c>
      <c r="Z45">
        <f>HYPERLINK("https://klasma.github.io/Logging_0382/fåglar/A 26557-2022 prioriterade fågelarter.docx", "A 26557-2022")</f>
        <v/>
      </c>
    </row>
    <row r="46" ht="15" customHeight="1">
      <c r="A46" t="inlineStr">
        <is>
          <t>A 9683-2023</t>
        </is>
      </c>
      <c r="B46" s="1" t="n">
        <v>44984.43856481482</v>
      </c>
      <c r="C46" s="1" t="n">
        <v>45916</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45916</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45714-2020</t>
        </is>
      </c>
      <c r="B48" s="1" t="n">
        <v>44090</v>
      </c>
      <c r="C48" s="1" t="n">
        <v>45916</v>
      </c>
      <c r="D48" t="inlineStr">
        <is>
          <t>UPPSALA LÄN</t>
        </is>
      </c>
      <c r="E48" t="inlineStr">
        <is>
          <t>ÖSTHAMMAR</t>
        </is>
      </c>
      <c r="F48" t="inlineStr">
        <is>
          <t>Övriga Aktiebolag</t>
        </is>
      </c>
      <c r="G48" t="n">
        <v>10.8</v>
      </c>
      <c r="H48" t="n">
        <v>1</v>
      </c>
      <c r="I48" t="n">
        <v>1</v>
      </c>
      <c r="J48" t="n">
        <v>2</v>
      </c>
      <c r="K48" t="n">
        <v>0</v>
      </c>
      <c r="L48" t="n">
        <v>0</v>
      </c>
      <c r="M48" t="n">
        <v>0</v>
      </c>
      <c r="N48" t="n">
        <v>0</v>
      </c>
      <c r="O48" t="n">
        <v>2</v>
      </c>
      <c r="P48" t="n">
        <v>0</v>
      </c>
      <c r="Q48" t="n">
        <v>3</v>
      </c>
      <c r="R48" s="2" t="inlineStr">
        <is>
          <t>Slåtterfibbla
Solvända
Skogsknipprot</t>
        </is>
      </c>
      <c r="S48">
        <f>HYPERLINK("https://klasma.github.io/Logging_0382/artfynd/A 45714-2020 artfynd.xlsx", "A 45714-2020")</f>
        <v/>
      </c>
      <c r="T48">
        <f>HYPERLINK("https://klasma.github.io/Logging_0382/kartor/A 45714-2020 karta.png", "A 45714-2020")</f>
        <v/>
      </c>
      <c r="V48">
        <f>HYPERLINK("https://klasma.github.io/Logging_0382/klagomål/A 45714-2020 FSC-klagomål.docx", "A 45714-2020")</f>
        <v/>
      </c>
      <c r="W48">
        <f>HYPERLINK("https://klasma.github.io/Logging_0382/klagomålsmail/A 45714-2020 FSC-klagomål mail.docx", "A 45714-2020")</f>
        <v/>
      </c>
      <c r="X48">
        <f>HYPERLINK("https://klasma.github.io/Logging_0382/tillsyn/A 45714-2020 tillsynsbegäran.docx", "A 45714-2020")</f>
        <v/>
      </c>
      <c r="Y48">
        <f>HYPERLINK("https://klasma.github.io/Logging_0382/tillsynsmail/A 45714-2020 tillsynsbegäran mail.docx", "A 45714-2020")</f>
        <v/>
      </c>
    </row>
    <row r="49" ht="15" customHeight="1">
      <c r="A49" t="inlineStr">
        <is>
          <t>A 9715-2024</t>
        </is>
      </c>
      <c r="B49" s="1" t="n">
        <v>45362.53928240741</v>
      </c>
      <c r="C49" s="1" t="n">
        <v>45916</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46204-2023</t>
        </is>
      </c>
      <c r="B50" s="1" t="n">
        <v>45190</v>
      </c>
      <c r="C50" s="1" t="n">
        <v>45916</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60078-2021</t>
        </is>
      </c>
      <c r="B51" s="1" t="n">
        <v>44495</v>
      </c>
      <c r="C51" s="1" t="n">
        <v>45916</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45916</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45916</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18539-2024</t>
        </is>
      </c>
      <c r="B54" s="1" t="n">
        <v>45425.63697916667</v>
      </c>
      <c r="C54" s="1" t="n">
        <v>45916</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2916-2025</t>
        </is>
      </c>
      <c r="B55" s="1" t="n">
        <v>45677</v>
      </c>
      <c r="C55" s="1" t="n">
        <v>45916</v>
      </c>
      <c r="D55" t="inlineStr">
        <is>
          <t>UPPSALA LÄN</t>
        </is>
      </c>
      <c r="E55" t="inlineStr">
        <is>
          <t>ÖSTHAMMAR</t>
        </is>
      </c>
      <c r="F55" t="inlineStr">
        <is>
          <t>Allmännings- och besparingsskogar</t>
        </is>
      </c>
      <c r="G55" t="n">
        <v>10.5</v>
      </c>
      <c r="H55" t="n">
        <v>2</v>
      </c>
      <c r="I55" t="n">
        <v>0</v>
      </c>
      <c r="J55" t="n">
        <v>0</v>
      </c>
      <c r="K55" t="n">
        <v>0</v>
      </c>
      <c r="L55" t="n">
        <v>0</v>
      </c>
      <c r="M55" t="n">
        <v>0</v>
      </c>
      <c r="N55" t="n">
        <v>0</v>
      </c>
      <c r="O55" t="n">
        <v>0</v>
      </c>
      <c r="P55" t="n">
        <v>0</v>
      </c>
      <c r="Q55" t="n">
        <v>2</v>
      </c>
      <c r="R55" s="2" t="inlineStr">
        <is>
          <t>Grönvit nattviol
Ängsnycklar × fläcknycklar</t>
        </is>
      </c>
      <c r="S55">
        <f>HYPERLINK("https://klasma.github.io/Logging_0382/artfynd/A 2916-2025 artfynd.xlsx", "A 2916-2025")</f>
        <v/>
      </c>
      <c r="T55">
        <f>HYPERLINK("https://klasma.github.io/Logging_0382/kartor/A 2916-2025 karta.png", "A 2916-2025")</f>
        <v/>
      </c>
      <c r="V55">
        <f>HYPERLINK("https://klasma.github.io/Logging_0382/klagomål/A 2916-2025 FSC-klagomål.docx", "A 2916-2025")</f>
        <v/>
      </c>
      <c r="W55">
        <f>HYPERLINK("https://klasma.github.io/Logging_0382/klagomålsmail/A 2916-2025 FSC-klagomål mail.docx", "A 2916-2025")</f>
        <v/>
      </c>
      <c r="X55">
        <f>HYPERLINK("https://klasma.github.io/Logging_0382/tillsyn/A 2916-2025 tillsynsbegäran.docx", "A 2916-2025")</f>
        <v/>
      </c>
      <c r="Y55">
        <f>HYPERLINK("https://klasma.github.io/Logging_0382/tillsynsmail/A 2916-2025 tillsynsbegäran mail.docx", "A 2916-2025")</f>
        <v/>
      </c>
    </row>
    <row r="56" ht="15" customHeight="1">
      <c r="A56" t="inlineStr">
        <is>
          <t>A 26277-2024</t>
        </is>
      </c>
      <c r="B56" s="1" t="n">
        <v>45468</v>
      </c>
      <c r="C56" s="1" t="n">
        <v>45916</v>
      </c>
      <c r="D56" t="inlineStr">
        <is>
          <t>UPPSALA LÄN</t>
        </is>
      </c>
      <c r="E56" t="inlineStr">
        <is>
          <t>ÖSTHAMMAR</t>
        </is>
      </c>
      <c r="G56" t="n">
        <v>3.5</v>
      </c>
      <c r="H56" t="n">
        <v>1</v>
      </c>
      <c r="I56" t="n">
        <v>2</v>
      </c>
      <c r="J56" t="n">
        <v>0</v>
      </c>
      <c r="K56" t="n">
        <v>0</v>
      </c>
      <c r="L56" t="n">
        <v>0</v>
      </c>
      <c r="M56" t="n">
        <v>0</v>
      </c>
      <c r="N56" t="n">
        <v>0</v>
      </c>
      <c r="O56" t="n">
        <v>0</v>
      </c>
      <c r="P56" t="n">
        <v>0</v>
      </c>
      <c r="Q56" t="n">
        <v>2</v>
      </c>
      <c r="R56" s="2" t="inlineStr">
        <is>
          <t>Nästrot
Sårläka</t>
        </is>
      </c>
      <c r="S56">
        <f>HYPERLINK("https://klasma.github.io/Logging_0382/artfynd/A 26277-2024 artfynd.xlsx", "A 26277-2024")</f>
        <v/>
      </c>
      <c r="T56">
        <f>HYPERLINK("https://klasma.github.io/Logging_0382/kartor/A 26277-2024 karta.png", "A 26277-2024")</f>
        <v/>
      </c>
      <c r="V56">
        <f>HYPERLINK("https://klasma.github.io/Logging_0382/klagomål/A 26277-2024 FSC-klagomål.docx", "A 26277-2024")</f>
        <v/>
      </c>
      <c r="W56">
        <f>HYPERLINK("https://klasma.github.io/Logging_0382/klagomålsmail/A 26277-2024 FSC-klagomål mail.docx", "A 26277-2024")</f>
        <v/>
      </c>
      <c r="X56">
        <f>HYPERLINK("https://klasma.github.io/Logging_0382/tillsyn/A 26277-2024 tillsynsbegäran.docx", "A 26277-2024")</f>
        <v/>
      </c>
      <c r="Y56">
        <f>HYPERLINK("https://klasma.github.io/Logging_0382/tillsynsmail/A 26277-2024 tillsynsbegäran mail.docx", "A 26277-2024")</f>
        <v/>
      </c>
    </row>
    <row r="57" ht="15" customHeight="1">
      <c r="A57" t="inlineStr">
        <is>
          <t>A 67855-2021</t>
        </is>
      </c>
      <c r="B57" s="1" t="n">
        <v>44525</v>
      </c>
      <c r="C57" s="1" t="n">
        <v>45916</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21453-2023</t>
        </is>
      </c>
      <c r="B58" s="1" t="n">
        <v>45063</v>
      </c>
      <c r="C58" s="1" t="n">
        <v>45916</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73981-2021</t>
        </is>
      </c>
      <c r="B59" s="1" t="n">
        <v>44555</v>
      </c>
      <c r="C59" s="1" t="n">
        <v>45916</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45916</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33269-2025</t>
        </is>
      </c>
      <c r="B61" s="1" t="n">
        <v>45840.68208333333</v>
      </c>
      <c r="C61" s="1" t="n">
        <v>45916</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37768-2025</t>
        </is>
      </c>
      <c r="B62" s="1" t="n">
        <v>45880</v>
      </c>
      <c r="C62" s="1" t="n">
        <v>45916</v>
      </c>
      <c r="D62" t="inlineStr">
        <is>
          <t>UPPSALA LÄN</t>
        </is>
      </c>
      <c r="E62" t="inlineStr">
        <is>
          <t>ÖSTHAMMAR</t>
        </is>
      </c>
      <c r="G62" t="n">
        <v>4.8</v>
      </c>
      <c r="H62" t="n">
        <v>0</v>
      </c>
      <c r="I62" t="n">
        <v>1</v>
      </c>
      <c r="J62" t="n">
        <v>1</v>
      </c>
      <c r="K62" t="n">
        <v>0</v>
      </c>
      <c r="L62" t="n">
        <v>0</v>
      </c>
      <c r="M62" t="n">
        <v>0</v>
      </c>
      <c r="N62" t="n">
        <v>0</v>
      </c>
      <c r="O62" t="n">
        <v>1</v>
      </c>
      <c r="P62" t="n">
        <v>0</v>
      </c>
      <c r="Q62" t="n">
        <v>2</v>
      </c>
      <c r="R62" s="2" t="inlineStr">
        <is>
          <t>Äggspindling
Anisspindling</t>
        </is>
      </c>
      <c r="S62">
        <f>HYPERLINK("https://klasma.github.io/Logging_0382/artfynd/A 37768-2025 artfynd.xlsx", "A 37768-2025")</f>
        <v/>
      </c>
      <c r="T62">
        <f>HYPERLINK("https://klasma.github.io/Logging_0382/kartor/A 37768-2025 karta.png", "A 37768-2025")</f>
        <v/>
      </c>
      <c r="V62">
        <f>HYPERLINK("https://klasma.github.io/Logging_0382/klagomål/A 37768-2025 FSC-klagomål.docx", "A 37768-2025")</f>
        <v/>
      </c>
      <c r="W62">
        <f>HYPERLINK("https://klasma.github.io/Logging_0382/klagomålsmail/A 37768-2025 FSC-klagomål mail.docx", "A 37768-2025")</f>
        <v/>
      </c>
      <c r="X62">
        <f>HYPERLINK("https://klasma.github.io/Logging_0382/tillsyn/A 37768-2025 tillsynsbegäran.docx", "A 37768-2025")</f>
        <v/>
      </c>
      <c r="Y62">
        <f>HYPERLINK("https://klasma.github.io/Logging_0382/tillsynsmail/A 37768-2025 tillsynsbegäran mail.docx", "A 37768-2025")</f>
        <v/>
      </c>
    </row>
    <row r="63" ht="15" customHeight="1">
      <c r="A63" t="inlineStr">
        <is>
          <t>A 20553-2025</t>
        </is>
      </c>
      <c r="B63" s="1" t="n">
        <v>45775.63983796296</v>
      </c>
      <c r="C63" s="1" t="n">
        <v>45916</v>
      </c>
      <c r="D63" t="inlineStr">
        <is>
          <t>UPPSALA LÄN</t>
        </is>
      </c>
      <c r="E63" t="inlineStr">
        <is>
          <t>ÖSTHAMMAR</t>
        </is>
      </c>
      <c r="G63" t="n">
        <v>0.4</v>
      </c>
      <c r="H63" t="n">
        <v>0</v>
      </c>
      <c r="I63" t="n">
        <v>2</v>
      </c>
      <c r="J63" t="n">
        <v>0</v>
      </c>
      <c r="K63" t="n">
        <v>0</v>
      </c>
      <c r="L63" t="n">
        <v>0</v>
      </c>
      <c r="M63" t="n">
        <v>0</v>
      </c>
      <c r="N63" t="n">
        <v>0</v>
      </c>
      <c r="O63" t="n">
        <v>0</v>
      </c>
      <c r="P63" t="n">
        <v>0</v>
      </c>
      <c r="Q63" t="n">
        <v>2</v>
      </c>
      <c r="R63" s="2" t="inlineStr">
        <is>
          <t>Jättesvampmal
Robust tickgnagare</t>
        </is>
      </c>
      <c r="S63">
        <f>HYPERLINK("https://klasma.github.io/Logging_0382/artfynd/A 20553-2025 artfynd.xlsx", "A 20553-2025")</f>
        <v/>
      </c>
      <c r="T63">
        <f>HYPERLINK("https://klasma.github.io/Logging_0382/kartor/A 20553-2025 karta.png", "A 20553-2025")</f>
        <v/>
      </c>
      <c r="V63">
        <f>HYPERLINK("https://klasma.github.io/Logging_0382/klagomål/A 20553-2025 FSC-klagomål.docx", "A 20553-2025")</f>
        <v/>
      </c>
      <c r="W63">
        <f>HYPERLINK("https://klasma.github.io/Logging_0382/klagomålsmail/A 20553-2025 FSC-klagomål mail.docx", "A 20553-2025")</f>
        <v/>
      </c>
      <c r="X63">
        <f>HYPERLINK("https://klasma.github.io/Logging_0382/tillsyn/A 20553-2025 tillsynsbegäran.docx", "A 20553-2025")</f>
        <v/>
      </c>
      <c r="Y63">
        <f>HYPERLINK("https://klasma.github.io/Logging_0382/tillsynsmail/A 20553-2025 tillsynsbegäran mail.docx", "A 20553-2025")</f>
        <v/>
      </c>
    </row>
    <row r="64" ht="15" customHeight="1">
      <c r="A64" t="inlineStr">
        <is>
          <t>A 41303-2025</t>
        </is>
      </c>
      <c r="B64" s="1" t="n">
        <v>45898.69215277778</v>
      </c>
      <c r="C64" s="1" t="n">
        <v>45916</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25098-2022</t>
        </is>
      </c>
      <c r="B65" s="1" t="n">
        <v>44729.44149305556</v>
      </c>
      <c r="C65" s="1" t="n">
        <v>45916</v>
      </c>
      <c r="D65" t="inlineStr">
        <is>
          <t>UPPSALA LÄN</t>
        </is>
      </c>
      <c r="E65" t="inlineStr">
        <is>
          <t>ÖSTHAMMAR</t>
        </is>
      </c>
      <c r="G65" t="n">
        <v>2.9</v>
      </c>
      <c r="H65" t="n">
        <v>2</v>
      </c>
      <c r="I65" t="n">
        <v>0</v>
      </c>
      <c r="J65" t="n">
        <v>0</v>
      </c>
      <c r="K65" t="n">
        <v>0</v>
      </c>
      <c r="L65" t="n">
        <v>0</v>
      </c>
      <c r="M65" t="n">
        <v>0</v>
      </c>
      <c r="N65" t="n">
        <v>0</v>
      </c>
      <c r="O65" t="n">
        <v>0</v>
      </c>
      <c r="P65" t="n">
        <v>0</v>
      </c>
      <c r="Q65" t="n">
        <v>2</v>
      </c>
      <c r="R65" s="2" t="inlineStr">
        <is>
          <t>Blåsippa
Gullviva</t>
        </is>
      </c>
      <c r="S65">
        <f>HYPERLINK("https://klasma.github.io/Logging_0382/artfynd/A 25098-2022 artfynd.xlsx", "A 25098-2022")</f>
        <v/>
      </c>
      <c r="T65">
        <f>HYPERLINK("https://klasma.github.io/Logging_0382/kartor/A 25098-2022 karta.png", "A 25098-2022")</f>
        <v/>
      </c>
      <c r="V65">
        <f>HYPERLINK("https://klasma.github.io/Logging_0382/klagomål/A 25098-2022 FSC-klagomål.docx", "A 25098-2022")</f>
        <v/>
      </c>
      <c r="W65">
        <f>HYPERLINK("https://klasma.github.io/Logging_0382/klagomålsmail/A 25098-2022 FSC-klagomål mail.docx", "A 25098-2022")</f>
        <v/>
      </c>
      <c r="X65">
        <f>HYPERLINK("https://klasma.github.io/Logging_0382/tillsyn/A 25098-2022 tillsynsbegäran.docx", "A 25098-2022")</f>
        <v/>
      </c>
      <c r="Y65">
        <f>HYPERLINK("https://klasma.github.io/Logging_0382/tillsynsmail/A 25098-2022 tillsynsbegäran mail.docx", "A 25098-2022")</f>
        <v/>
      </c>
    </row>
    <row r="66" ht="15" customHeight="1">
      <c r="A66" t="inlineStr">
        <is>
          <t>A 13287-2022</t>
        </is>
      </c>
      <c r="B66" s="1" t="n">
        <v>44644</v>
      </c>
      <c r="C66" s="1" t="n">
        <v>45916</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30943-2024</t>
        </is>
      </c>
      <c r="B67" s="1" t="n">
        <v>45499</v>
      </c>
      <c r="C67" s="1" t="n">
        <v>45916</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6223-2021</t>
        </is>
      </c>
      <c r="B68" s="1" t="n">
        <v>44235</v>
      </c>
      <c r="C68" s="1" t="n">
        <v>45916</v>
      </c>
      <c r="D68" t="inlineStr">
        <is>
          <t>UPPSALA LÄN</t>
        </is>
      </c>
      <c r="E68" t="inlineStr">
        <is>
          <t>ÖSTHAMMAR</t>
        </is>
      </c>
      <c r="G68" t="n">
        <v>0.5</v>
      </c>
      <c r="H68" t="n">
        <v>2</v>
      </c>
      <c r="I68" t="n">
        <v>0</v>
      </c>
      <c r="J68" t="n">
        <v>0</v>
      </c>
      <c r="K68" t="n">
        <v>0</v>
      </c>
      <c r="L68" t="n">
        <v>0</v>
      </c>
      <c r="M68" t="n">
        <v>0</v>
      </c>
      <c r="N68" t="n">
        <v>0</v>
      </c>
      <c r="O68" t="n">
        <v>0</v>
      </c>
      <c r="P68" t="n">
        <v>0</v>
      </c>
      <c r="Q68" t="n">
        <v>2</v>
      </c>
      <c r="R68" s="2" t="inlineStr">
        <is>
          <t>Blåsippa
Gullviva</t>
        </is>
      </c>
      <c r="S68">
        <f>HYPERLINK("https://klasma.github.io/Logging_0382/artfynd/A 6223-2021 artfynd.xlsx", "A 6223-2021")</f>
        <v/>
      </c>
      <c r="T68">
        <f>HYPERLINK("https://klasma.github.io/Logging_0382/kartor/A 6223-2021 karta.png", "A 6223-2021")</f>
        <v/>
      </c>
      <c r="V68">
        <f>HYPERLINK("https://klasma.github.io/Logging_0382/klagomål/A 6223-2021 FSC-klagomål.docx", "A 6223-2021")</f>
        <v/>
      </c>
      <c r="W68">
        <f>HYPERLINK("https://klasma.github.io/Logging_0382/klagomålsmail/A 6223-2021 FSC-klagomål mail.docx", "A 6223-2021")</f>
        <v/>
      </c>
      <c r="X68">
        <f>HYPERLINK("https://klasma.github.io/Logging_0382/tillsyn/A 6223-2021 tillsynsbegäran.docx", "A 6223-2021")</f>
        <v/>
      </c>
      <c r="Y68">
        <f>HYPERLINK("https://klasma.github.io/Logging_0382/tillsynsmail/A 6223-2021 tillsynsbegäran mail.docx", "A 6223-2021")</f>
        <v/>
      </c>
    </row>
    <row r="69" ht="15" customHeight="1">
      <c r="A69" t="inlineStr">
        <is>
          <t>A 9646-2024</t>
        </is>
      </c>
      <c r="B69" s="1" t="n">
        <v>45362.37055555556</v>
      </c>
      <c r="C69" s="1" t="n">
        <v>45916</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45916</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45916</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45916</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45916</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14706-2023</t>
        </is>
      </c>
      <c r="B74" s="1" t="n">
        <v>45013</v>
      </c>
      <c r="C74" s="1" t="n">
        <v>45916</v>
      </c>
      <c r="D74" t="inlineStr">
        <is>
          <t>UPPSALA LÄN</t>
        </is>
      </c>
      <c r="E74" t="inlineStr">
        <is>
          <t>ÖSTHAMMAR</t>
        </is>
      </c>
      <c r="G74" t="n">
        <v>0.9</v>
      </c>
      <c r="H74" t="n">
        <v>0</v>
      </c>
      <c r="I74" t="n">
        <v>1</v>
      </c>
      <c r="J74" t="n">
        <v>0</v>
      </c>
      <c r="K74" t="n">
        <v>0</v>
      </c>
      <c r="L74" t="n">
        <v>0</v>
      </c>
      <c r="M74" t="n">
        <v>0</v>
      </c>
      <c r="N74" t="n">
        <v>0</v>
      </c>
      <c r="O74" t="n">
        <v>0</v>
      </c>
      <c r="P74" t="n">
        <v>0</v>
      </c>
      <c r="Q74" t="n">
        <v>1</v>
      </c>
      <c r="R74" s="2" t="inlineStr">
        <is>
          <t>Olivspindling</t>
        </is>
      </c>
      <c r="S74">
        <f>HYPERLINK("https://klasma.github.io/Logging_0382/artfynd/A 14706-2023 artfynd.xlsx", "A 14706-2023")</f>
        <v/>
      </c>
      <c r="T74">
        <f>HYPERLINK("https://klasma.github.io/Logging_0382/kartor/A 14706-2023 karta.png", "A 14706-2023")</f>
        <v/>
      </c>
      <c r="V74">
        <f>HYPERLINK("https://klasma.github.io/Logging_0382/klagomål/A 14706-2023 FSC-klagomål.docx", "A 14706-2023")</f>
        <v/>
      </c>
      <c r="W74">
        <f>HYPERLINK("https://klasma.github.io/Logging_0382/klagomålsmail/A 14706-2023 FSC-klagomål mail.docx", "A 14706-2023")</f>
        <v/>
      </c>
      <c r="X74">
        <f>HYPERLINK("https://klasma.github.io/Logging_0382/tillsyn/A 14706-2023 tillsynsbegäran.docx", "A 14706-2023")</f>
        <v/>
      </c>
      <c r="Y74">
        <f>HYPERLINK("https://klasma.github.io/Logging_0382/tillsynsmail/A 14706-2023 tillsynsbegäran mail.docx", "A 14706-2023")</f>
        <v/>
      </c>
    </row>
    <row r="75" ht="15" customHeight="1">
      <c r="A75" t="inlineStr">
        <is>
          <t>A 49839-2021</t>
        </is>
      </c>
      <c r="B75" s="1" t="n">
        <v>44455</v>
      </c>
      <c r="C75" s="1" t="n">
        <v>45916</v>
      </c>
      <c r="D75" t="inlineStr">
        <is>
          <t>UPPSALA LÄN</t>
        </is>
      </c>
      <c r="E75" t="inlineStr">
        <is>
          <t>ÖSTHAMMAR</t>
        </is>
      </c>
      <c r="G75" t="n">
        <v>3.6</v>
      </c>
      <c r="H75" t="n">
        <v>0</v>
      </c>
      <c r="I75" t="n">
        <v>0</v>
      </c>
      <c r="J75" t="n">
        <v>0</v>
      </c>
      <c r="K75" t="n">
        <v>1</v>
      </c>
      <c r="L75" t="n">
        <v>0</v>
      </c>
      <c r="M75" t="n">
        <v>0</v>
      </c>
      <c r="N75" t="n">
        <v>0</v>
      </c>
      <c r="O75" t="n">
        <v>1</v>
      </c>
      <c r="P75" t="n">
        <v>1</v>
      </c>
      <c r="Q75" t="n">
        <v>1</v>
      </c>
      <c r="R75" s="2" t="inlineStr">
        <is>
          <t>Violgubbe</t>
        </is>
      </c>
      <c r="S75">
        <f>HYPERLINK("https://klasma.github.io/Logging_0382/artfynd/A 49839-2021 artfynd.xlsx", "A 49839-2021")</f>
        <v/>
      </c>
      <c r="T75">
        <f>HYPERLINK("https://klasma.github.io/Logging_0382/kartor/A 49839-2021 karta.png", "A 49839-2021")</f>
        <v/>
      </c>
      <c r="V75">
        <f>HYPERLINK("https://klasma.github.io/Logging_0382/klagomål/A 49839-2021 FSC-klagomål.docx", "A 49839-2021")</f>
        <v/>
      </c>
      <c r="W75">
        <f>HYPERLINK("https://klasma.github.io/Logging_0382/klagomålsmail/A 49839-2021 FSC-klagomål mail.docx", "A 49839-2021")</f>
        <v/>
      </c>
      <c r="X75">
        <f>HYPERLINK("https://klasma.github.io/Logging_0382/tillsyn/A 49839-2021 tillsynsbegäran.docx", "A 49839-2021")</f>
        <v/>
      </c>
      <c r="Y75">
        <f>HYPERLINK("https://klasma.github.io/Logging_0382/tillsynsmail/A 49839-2021 tillsynsbegäran mail.docx", "A 49839-2021")</f>
        <v/>
      </c>
    </row>
    <row r="76" ht="15" customHeight="1">
      <c r="A76" t="inlineStr">
        <is>
          <t>A 1227-2022</t>
        </is>
      </c>
      <c r="B76" s="1" t="n">
        <v>44572.57641203704</v>
      </c>
      <c r="C76" s="1" t="n">
        <v>45916</v>
      </c>
      <c r="D76" t="inlineStr">
        <is>
          <t>UPPSALA LÄN</t>
        </is>
      </c>
      <c r="E76" t="inlineStr">
        <is>
          <t>ÖSTHAMMAR</t>
        </is>
      </c>
      <c r="G76" t="n">
        <v>1.7</v>
      </c>
      <c r="H76" t="n">
        <v>0</v>
      </c>
      <c r="I76" t="n">
        <v>1</v>
      </c>
      <c r="J76" t="n">
        <v>0</v>
      </c>
      <c r="K76" t="n">
        <v>0</v>
      </c>
      <c r="L76" t="n">
        <v>0</v>
      </c>
      <c r="M76" t="n">
        <v>0</v>
      </c>
      <c r="N76" t="n">
        <v>0</v>
      </c>
      <c r="O76" t="n">
        <v>0</v>
      </c>
      <c r="P76" t="n">
        <v>0</v>
      </c>
      <c r="Q76" t="n">
        <v>1</v>
      </c>
      <c r="R76" s="2" t="inlineStr">
        <is>
          <t>Guldkremla</t>
        </is>
      </c>
      <c r="S76">
        <f>HYPERLINK("https://klasma.github.io/Logging_0382/artfynd/A 1227-2022 artfynd.xlsx", "A 1227-2022")</f>
        <v/>
      </c>
      <c r="T76">
        <f>HYPERLINK("https://klasma.github.io/Logging_0382/kartor/A 1227-2022 karta.png", "A 1227-2022")</f>
        <v/>
      </c>
      <c r="V76">
        <f>HYPERLINK("https://klasma.github.io/Logging_0382/klagomål/A 1227-2022 FSC-klagomål.docx", "A 1227-2022")</f>
        <v/>
      </c>
      <c r="W76">
        <f>HYPERLINK("https://klasma.github.io/Logging_0382/klagomålsmail/A 1227-2022 FSC-klagomål mail.docx", "A 1227-2022")</f>
        <v/>
      </c>
      <c r="X76">
        <f>HYPERLINK("https://klasma.github.io/Logging_0382/tillsyn/A 1227-2022 tillsynsbegäran.docx", "A 1227-2022")</f>
        <v/>
      </c>
      <c r="Y76">
        <f>HYPERLINK("https://klasma.github.io/Logging_0382/tillsynsmail/A 1227-2022 tillsynsbegäran mail.docx", "A 1227-2022")</f>
        <v/>
      </c>
    </row>
    <row r="77" ht="15" customHeight="1">
      <c r="A77" t="inlineStr">
        <is>
          <t>A 34090-2023</t>
        </is>
      </c>
      <c r="B77" s="1" t="n">
        <v>45135</v>
      </c>
      <c r="C77" s="1" t="n">
        <v>45916</v>
      </c>
      <c r="D77" t="inlineStr">
        <is>
          <t>UPPSALA LÄN</t>
        </is>
      </c>
      <c r="E77" t="inlineStr">
        <is>
          <t>ÖSTHAMMAR</t>
        </is>
      </c>
      <c r="F77" t="inlineStr">
        <is>
          <t>Bergvik skog öst AB</t>
        </is>
      </c>
      <c r="G77" t="n">
        <v>5.7</v>
      </c>
      <c r="H77" t="n">
        <v>1</v>
      </c>
      <c r="I77" t="n">
        <v>0</v>
      </c>
      <c r="J77" t="n">
        <v>1</v>
      </c>
      <c r="K77" t="n">
        <v>0</v>
      </c>
      <c r="L77" t="n">
        <v>0</v>
      </c>
      <c r="M77" t="n">
        <v>0</v>
      </c>
      <c r="N77" t="n">
        <v>0</v>
      </c>
      <c r="O77" t="n">
        <v>1</v>
      </c>
      <c r="P77" t="n">
        <v>0</v>
      </c>
      <c r="Q77" t="n">
        <v>1</v>
      </c>
      <c r="R77" s="2" t="inlineStr">
        <is>
          <t>Spillkråka</t>
        </is>
      </c>
      <c r="S77">
        <f>HYPERLINK("https://klasma.github.io/Logging_0382/artfynd/A 34090-2023 artfynd.xlsx", "A 34090-2023")</f>
        <v/>
      </c>
      <c r="T77">
        <f>HYPERLINK("https://klasma.github.io/Logging_0382/kartor/A 34090-2023 karta.png", "A 34090-2023")</f>
        <v/>
      </c>
      <c r="V77">
        <f>HYPERLINK("https://klasma.github.io/Logging_0382/klagomål/A 34090-2023 FSC-klagomål.docx", "A 34090-2023")</f>
        <v/>
      </c>
      <c r="W77">
        <f>HYPERLINK("https://klasma.github.io/Logging_0382/klagomålsmail/A 34090-2023 FSC-klagomål mail.docx", "A 34090-2023")</f>
        <v/>
      </c>
      <c r="X77">
        <f>HYPERLINK("https://klasma.github.io/Logging_0382/tillsyn/A 34090-2023 tillsynsbegäran.docx", "A 34090-2023")</f>
        <v/>
      </c>
      <c r="Y77">
        <f>HYPERLINK("https://klasma.github.io/Logging_0382/tillsynsmail/A 34090-2023 tillsynsbegäran mail.docx", "A 34090-2023")</f>
        <v/>
      </c>
      <c r="Z77">
        <f>HYPERLINK("https://klasma.github.io/Logging_0382/fåglar/A 34090-2023 prioriterade fågelarter.docx", "A 34090-2023")</f>
        <v/>
      </c>
    </row>
    <row r="78" ht="15" customHeight="1">
      <c r="A78" t="inlineStr">
        <is>
          <t>A 11017-2023</t>
        </is>
      </c>
      <c r="B78" s="1" t="n">
        <v>44991</v>
      </c>
      <c r="C78" s="1" t="n">
        <v>45916</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52818-2022</t>
        </is>
      </c>
      <c r="B79" s="1" t="n">
        <v>44875</v>
      </c>
      <c r="C79" s="1" t="n">
        <v>45916</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29564-2023</t>
        </is>
      </c>
      <c r="B80" s="1" t="n">
        <v>45106</v>
      </c>
      <c r="C80" s="1" t="n">
        <v>45916</v>
      </c>
      <c r="D80" t="inlineStr">
        <is>
          <t>UPPSALA LÄN</t>
        </is>
      </c>
      <c r="E80" t="inlineStr">
        <is>
          <t>ÖSTHAMMAR</t>
        </is>
      </c>
      <c r="F80" t="inlineStr">
        <is>
          <t>Naturvårdsverket</t>
        </is>
      </c>
      <c r="G80" t="n">
        <v>1.2</v>
      </c>
      <c r="H80" t="n">
        <v>1</v>
      </c>
      <c r="I80" t="n">
        <v>0</v>
      </c>
      <c r="J80" t="n">
        <v>0</v>
      </c>
      <c r="K80" t="n">
        <v>0</v>
      </c>
      <c r="L80" t="n">
        <v>0</v>
      </c>
      <c r="M80" t="n">
        <v>0</v>
      </c>
      <c r="N80" t="n">
        <v>0</v>
      </c>
      <c r="O80" t="n">
        <v>0</v>
      </c>
      <c r="P80" t="n">
        <v>0</v>
      </c>
      <c r="Q80" t="n">
        <v>1</v>
      </c>
      <c r="R80" s="2" t="inlineStr">
        <is>
          <t>Blåsippa</t>
        </is>
      </c>
      <c r="S80">
        <f>HYPERLINK("https://klasma.github.io/Logging_0382/artfynd/A 29564-2023 artfynd.xlsx", "A 29564-2023")</f>
        <v/>
      </c>
      <c r="T80">
        <f>HYPERLINK("https://klasma.github.io/Logging_0382/kartor/A 29564-2023 karta.png", "A 29564-2023")</f>
        <v/>
      </c>
      <c r="V80">
        <f>HYPERLINK("https://klasma.github.io/Logging_0382/klagomål/A 29564-2023 FSC-klagomål.docx", "A 29564-2023")</f>
        <v/>
      </c>
      <c r="W80">
        <f>HYPERLINK("https://klasma.github.io/Logging_0382/klagomålsmail/A 29564-2023 FSC-klagomål mail.docx", "A 29564-2023")</f>
        <v/>
      </c>
      <c r="X80">
        <f>HYPERLINK("https://klasma.github.io/Logging_0382/tillsyn/A 29564-2023 tillsynsbegäran.docx", "A 29564-2023")</f>
        <v/>
      </c>
      <c r="Y80">
        <f>HYPERLINK("https://klasma.github.io/Logging_0382/tillsynsmail/A 29564-2023 tillsynsbegäran mail.docx", "A 29564-2023")</f>
        <v/>
      </c>
    </row>
    <row r="81" ht="15" customHeight="1">
      <c r="A81" t="inlineStr">
        <is>
          <t>A 22287-2023</t>
        </is>
      </c>
      <c r="B81" s="1" t="n">
        <v>45070</v>
      </c>
      <c r="C81" s="1" t="n">
        <v>45916</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6143-2025</t>
        </is>
      </c>
      <c r="B82" s="1" t="n">
        <v>45698.38697916667</v>
      </c>
      <c r="C82" s="1" t="n">
        <v>45916</v>
      </c>
      <c r="D82" t="inlineStr">
        <is>
          <t>UPPSALA LÄN</t>
        </is>
      </c>
      <c r="E82" t="inlineStr">
        <is>
          <t>ÖSTHAMMAR</t>
        </is>
      </c>
      <c r="F82" t="inlineStr">
        <is>
          <t>Bergvik skog öst AB</t>
        </is>
      </c>
      <c r="G82" t="n">
        <v>3.6</v>
      </c>
      <c r="H82" t="n">
        <v>0</v>
      </c>
      <c r="I82" t="n">
        <v>1</v>
      </c>
      <c r="J82" t="n">
        <v>0</v>
      </c>
      <c r="K82" t="n">
        <v>0</v>
      </c>
      <c r="L82" t="n">
        <v>0</v>
      </c>
      <c r="M82" t="n">
        <v>0</v>
      </c>
      <c r="N82" t="n">
        <v>0</v>
      </c>
      <c r="O82" t="n">
        <v>0</v>
      </c>
      <c r="P82" t="n">
        <v>0</v>
      </c>
      <c r="Q82" t="n">
        <v>1</v>
      </c>
      <c r="R82" s="2" t="inlineStr">
        <is>
          <t>Svavelriska</t>
        </is>
      </c>
      <c r="S82">
        <f>HYPERLINK("https://klasma.github.io/Logging_0382/artfynd/A 6143-2025 artfynd.xlsx", "A 6143-2025")</f>
        <v/>
      </c>
      <c r="T82">
        <f>HYPERLINK("https://klasma.github.io/Logging_0382/kartor/A 6143-2025 karta.png", "A 6143-2025")</f>
        <v/>
      </c>
      <c r="V82">
        <f>HYPERLINK("https://klasma.github.io/Logging_0382/klagomål/A 6143-2025 FSC-klagomål.docx", "A 6143-2025")</f>
        <v/>
      </c>
      <c r="W82">
        <f>HYPERLINK("https://klasma.github.io/Logging_0382/klagomålsmail/A 6143-2025 FSC-klagomål mail.docx", "A 6143-2025")</f>
        <v/>
      </c>
      <c r="X82">
        <f>HYPERLINK("https://klasma.github.io/Logging_0382/tillsyn/A 6143-2025 tillsynsbegäran.docx", "A 6143-2025")</f>
        <v/>
      </c>
      <c r="Y82">
        <f>HYPERLINK("https://klasma.github.io/Logging_0382/tillsynsmail/A 6143-2025 tillsynsbegäran mail.docx", "A 6143-2025")</f>
        <v/>
      </c>
    </row>
    <row r="83" ht="15" customHeight="1">
      <c r="A83" t="inlineStr">
        <is>
          <t>A 7446-2022</t>
        </is>
      </c>
      <c r="B83" s="1" t="n">
        <v>44606</v>
      </c>
      <c r="C83" s="1" t="n">
        <v>45916</v>
      </c>
      <c r="D83" t="inlineStr">
        <is>
          <t>UPPSALA LÄN</t>
        </is>
      </c>
      <c r="E83" t="inlineStr">
        <is>
          <t>ÖSTHAMMAR</t>
        </is>
      </c>
      <c r="G83" t="n">
        <v>5</v>
      </c>
      <c r="H83" t="n">
        <v>1</v>
      </c>
      <c r="I83" t="n">
        <v>0</v>
      </c>
      <c r="J83" t="n">
        <v>0</v>
      </c>
      <c r="K83" t="n">
        <v>0</v>
      </c>
      <c r="L83" t="n">
        <v>0</v>
      </c>
      <c r="M83" t="n">
        <v>0</v>
      </c>
      <c r="N83" t="n">
        <v>0</v>
      </c>
      <c r="O83" t="n">
        <v>0</v>
      </c>
      <c r="P83" t="n">
        <v>0</v>
      </c>
      <c r="Q83" t="n">
        <v>1</v>
      </c>
      <c r="R83" s="2" t="inlineStr">
        <is>
          <t>Mattlummer</t>
        </is>
      </c>
      <c r="S83">
        <f>HYPERLINK("https://klasma.github.io/Logging_0382/artfynd/A 7446-2022 artfynd.xlsx", "A 7446-2022")</f>
        <v/>
      </c>
      <c r="T83">
        <f>HYPERLINK("https://klasma.github.io/Logging_0382/kartor/A 7446-2022 karta.png", "A 7446-2022")</f>
        <v/>
      </c>
      <c r="V83">
        <f>HYPERLINK("https://klasma.github.io/Logging_0382/klagomål/A 7446-2022 FSC-klagomål.docx", "A 7446-2022")</f>
        <v/>
      </c>
      <c r="W83">
        <f>HYPERLINK("https://klasma.github.io/Logging_0382/klagomålsmail/A 7446-2022 FSC-klagomål mail.docx", "A 7446-2022")</f>
        <v/>
      </c>
      <c r="X83">
        <f>HYPERLINK("https://klasma.github.io/Logging_0382/tillsyn/A 7446-2022 tillsynsbegäran.docx", "A 7446-2022")</f>
        <v/>
      </c>
      <c r="Y83">
        <f>HYPERLINK("https://klasma.github.io/Logging_0382/tillsynsmail/A 7446-2022 tillsynsbegäran mail.docx", "A 7446-2022")</f>
        <v/>
      </c>
    </row>
    <row r="84" ht="15" customHeight="1">
      <c r="A84" t="inlineStr">
        <is>
          <t>A 37296-2023</t>
        </is>
      </c>
      <c r="B84" s="1" t="n">
        <v>45156</v>
      </c>
      <c r="C84" s="1" t="n">
        <v>45916</v>
      </c>
      <c r="D84" t="inlineStr">
        <is>
          <t>UPPSALA LÄN</t>
        </is>
      </c>
      <c r="E84" t="inlineStr">
        <is>
          <t>ÖSTHAMMAR</t>
        </is>
      </c>
      <c r="G84" t="n">
        <v>4.7</v>
      </c>
      <c r="H84" t="n">
        <v>1</v>
      </c>
      <c r="I84" t="n">
        <v>0</v>
      </c>
      <c r="J84" t="n">
        <v>0</v>
      </c>
      <c r="K84" t="n">
        <v>1</v>
      </c>
      <c r="L84" t="n">
        <v>0</v>
      </c>
      <c r="M84" t="n">
        <v>0</v>
      </c>
      <c r="N84" t="n">
        <v>0</v>
      </c>
      <c r="O84" t="n">
        <v>1</v>
      </c>
      <c r="P84" t="n">
        <v>1</v>
      </c>
      <c r="Q84" t="n">
        <v>1</v>
      </c>
      <c r="R84" s="2" t="inlineStr">
        <is>
          <t>Backsippa</t>
        </is>
      </c>
      <c r="S84">
        <f>HYPERLINK("https://klasma.github.io/Logging_0382/artfynd/A 37296-2023 artfynd.xlsx", "A 37296-2023")</f>
        <v/>
      </c>
      <c r="T84">
        <f>HYPERLINK("https://klasma.github.io/Logging_0382/kartor/A 37296-2023 karta.png", "A 37296-2023")</f>
        <v/>
      </c>
      <c r="V84">
        <f>HYPERLINK("https://klasma.github.io/Logging_0382/klagomål/A 37296-2023 FSC-klagomål.docx", "A 37296-2023")</f>
        <v/>
      </c>
      <c r="W84">
        <f>HYPERLINK("https://klasma.github.io/Logging_0382/klagomålsmail/A 37296-2023 FSC-klagomål mail.docx", "A 37296-2023")</f>
        <v/>
      </c>
      <c r="X84">
        <f>HYPERLINK("https://klasma.github.io/Logging_0382/tillsyn/A 37296-2023 tillsynsbegäran.docx", "A 37296-2023")</f>
        <v/>
      </c>
      <c r="Y84">
        <f>HYPERLINK("https://klasma.github.io/Logging_0382/tillsynsmail/A 37296-2023 tillsynsbegäran mail.docx", "A 37296-2023")</f>
        <v/>
      </c>
    </row>
    <row r="85" ht="15" customHeight="1">
      <c r="A85" t="inlineStr">
        <is>
          <t>A 30605-2025</t>
        </is>
      </c>
      <c r="B85" s="1" t="n">
        <v>45831.45510416666</v>
      </c>
      <c r="C85" s="1" t="n">
        <v>45916</v>
      </c>
      <c r="D85" t="inlineStr">
        <is>
          <t>UPPSALA LÄN</t>
        </is>
      </c>
      <c r="E85" t="inlineStr">
        <is>
          <t>ÖSTHAMMAR</t>
        </is>
      </c>
      <c r="G85" t="n">
        <v>1.7</v>
      </c>
      <c r="H85" t="n">
        <v>0</v>
      </c>
      <c r="I85" t="n">
        <v>0</v>
      </c>
      <c r="J85" t="n">
        <v>0</v>
      </c>
      <c r="K85" t="n">
        <v>1</v>
      </c>
      <c r="L85" t="n">
        <v>0</v>
      </c>
      <c r="M85" t="n">
        <v>0</v>
      </c>
      <c r="N85" t="n">
        <v>0</v>
      </c>
      <c r="O85" t="n">
        <v>1</v>
      </c>
      <c r="P85" t="n">
        <v>1</v>
      </c>
      <c r="Q85" t="n">
        <v>1</v>
      </c>
      <c r="R85" s="2" t="inlineStr">
        <is>
          <t>Plattsäv</t>
        </is>
      </c>
      <c r="S85">
        <f>HYPERLINK("https://klasma.github.io/Logging_0382/artfynd/A 30605-2025 artfynd.xlsx", "A 30605-2025")</f>
        <v/>
      </c>
      <c r="T85">
        <f>HYPERLINK("https://klasma.github.io/Logging_0382/kartor/A 30605-2025 karta.png", "A 30605-2025")</f>
        <v/>
      </c>
      <c r="V85">
        <f>HYPERLINK("https://klasma.github.io/Logging_0382/klagomål/A 30605-2025 FSC-klagomål.docx", "A 30605-2025")</f>
        <v/>
      </c>
      <c r="W85">
        <f>HYPERLINK("https://klasma.github.io/Logging_0382/klagomålsmail/A 30605-2025 FSC-klagomål mail.docx", "A 30605-2025")</f>
        <v/>
      </c>
      <c r="X85">
        <f>HYPERLINK("https://klasma.github.io/Logging_0382/tillsyn/A 30605-2025 tillsynsbegäran.docx", "A 30605-2025")</f>
        <v/>
      </c>
      <c r="Y85">
        <f>HYPERLINK("https://klasma.github.io/Logging_0382/tillsynsmail/A 30605-2025 tillsynsbegäran mail.docx", "A 30605-2025")</f>
        <v/>
      </c>
    </row>
    <row r="86" ht="15" customHeight="1">
      <c r="A86" t="inlineStr">
        <is>
          <t>A 65989-2021</t>
        </is>
      </c>
      <c r="B86" s="1" t="n">
        <v>44517</v>
      </c>
      <c r="C86" s="1" t="n">
        <v>45916</v>
      </c>
      <c r="D86" t="inlineStr">
        <is>
          <t>UPPSALA LÄN</t>
        </is>
      </c>
      <c r="E86" t="inlineStr">
        <is>
          <t>ÖSTHAMMAR</t>
        </is>
      </c>
      <c r="G86" t="n">
        <v>6.9</v>
      </c>
      <c r="H86" t="n">
        <v>1</v>
      </c>
      <c r="I86" t="n">
        <v>1</v>
      </c>
      <c r="J86" t="n">
        <v>0</v>
      </c>
      <c r="K86" t="n">
        <v>0</v>
      </c>
      <c r="L86" t="n">
        <v>0</v>
      </c>
      <c r="M86" t="n">
        <v>0</v>
      </c>
      <c r="N86" t="n">
        <v>0</v>
      </c>
      <c r="O86" t="n">
        <v>0</v>
      </c>
      <c r="P86" t="n">
        <v>0</v>
      </c>
      <c r="Q86" t="n">
        <v>1</v>
      </c>
      <c r="R86" s="2" t="inlineStr">
        <is>
          <t>Skogsknipprot</t>
        </is>
      </c>
      <c r="S86">
        <f>HYPERLINK("https://klasma.github.io/Logging_0382/artfynd/A 65989-2021 artfynd.xlsx", "A 65989-2021")</f>
        <v/>
      </c>
      <c r="T86">
        <f>HYPERLINK("https://klasma.github.io/Logging_0382/kartor/A 65989-2021 karta.png", "A 65989-2021")</f>
        <v/>
      </c>
      <c r="V86">
        <f>HYPERLINK("https://klasma.github.io/Logging_0382/klagomål/A 65989-2021 FSC-klagomål.docx", "A 65989-2021")</f>
        <v/>
      </c>
      <c r="W86">
        <f>HYPERLINK("https://klasma.github.io/Logging_0382/klagomålsmail/A 65989-2021 FSC-klagomål mail.docx", "A 65989-2021")</f>
        <v/>
      </c>
      <c r="X86">
        <f>HYPERLINK("https://klasma.github.io/Logging_0382/tillsyn/A 65989-2021 tillsynsbegäran.docx", "A 65989-2021")</f>
        <v/>
      </c>
      <c r="Y86">
        <f>HYPERLINK("https://klasma.github.io/Logging_0382/tillsynsmail/A 65989-2021 tillsynsbegäran mail.docx", "A 65989-2021")</f>
        <v/>
      </c>
    </row>
    <row r="87" ht="15" customHeight="1">
      <c r="A87" t="inlineStr">
        <is>
          <t>A 46629-2024</t>
        </is>
      </c>
      <c r="B87" s="1" t="n">
        <v>45583.33221064815</v>
      </c>
      <c r="C87" s="1" t="n">
        <v>45916</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41220-2025</t>
        </is>
      </c>
      <c r="B88" s="1" t="n">
        <v>45898.58630787037</v>
      </c>
      <c r="C88" s="1" t="n">
        <v>45916</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10034-2023</t>
        </is>
      </c>
      <c r="B89" s="1" t="n">
        <v>44985</v>
      </c>
      <c r="C89" s="1" t="n">
        <v>45916</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22375-2024</t>
        </is>
      </c>
      <c r="B90" s="1" t="n">
        <v>45446</v>
      </c>
      <c r="C90" s="1" t="n">
        <v>45916</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70495-2021</t>
        </is>
      </c>
      <c r="B91" s="1" t="n">
        <v>44536</v>
      </c>
      <c r="C91" s="1" t="n">
        <v>45916</v>
      </c>
      <c r="D91" t="inlineStr">
        <is>
          <t>UPPSALA LÄN</t>
        </is>
      </c>
      <c r="E91" t="inlineStr">
        <is>
          <t>ÖSTHAMMAR</t>
        </is>
      </c>
      <c r="G91" t="n">
        <v>1</v>
      </c>
      <c r="H91" t="n">
        <v>1</v>
      </c>
      <c r="I91" t="n">
        <v>0</v>
      </c>
      <c r="J91" t="n">
        <v>1</v>
      </c>
      <c r="K91" t="n">
        <v>0</v>
      </c>
      <c r="L91" t="n">
        <v>0</v>
      </c>
      <c r="M91" t="n">
        <v>0</v>
      </c>
      <c r="N91" t="n">
        <v>0</v>
      </c>
      <c r="O91" t="n">
        <v>1</v>
      </c>
      <c r="P91" t="n">
        <v>0</v>
      </c>
      <c r="Q91" t="n">
        <v>1</v>
      </c>
      <c r="R91" s="2" t="inlineStr">
        <is>
          <t>Slaguggla</t>
        </is>
      </c>
      <c r="S91">
        <f>HYPERLINK("https://klasma.github.io/Logging_0382/artfynd/A 70495-2021 artfynd.xlsx", "A 70495-2021")</f>
        <v/>
      </c>
      <c r="T91">
        <f>HYPERLINK("https://klasma.github.io/Logging_0382/kartor/A 70495-2021 karta.png", "A 70495-2021")</f>
        <v/>
      </c>
      <c r="V91">
        <f>HYPERLINK("https://klasma.github.io/Logging_0382/klagomål/A 70495-2021 FSC-klagomål.docx", "A 70495-2021")</f>
        <v/>
      </c>
      <c r="W91">
        <f>HYPERLINK("https://klasma.github.io/Logging_0382/klagomålsmail/A 70495-2021 FSC-klagomål mail.docx", "A 70495-2021")</f>
        <v/>
      </c>
      <c r="X91">
        <f>HYPERLINK("https://klasma.github.io/Logging_0382/tillsyn/A 70495-2021 tillsynsbegäran.docx", "A 70495-2021")</f>
        <v/>
      </c>
      <c r="Y91">
        <f>HYPERLINK("https://klasma.github.io/Logging_0382/tillsynsmail/A 70495-2021 tillsynsbegäran mail.docx", "A 70495-2021")</f>
        <v/>
      </c>
      <c r="Z91">
        <f>HYPERLINK("https://klasma.github.io/Logging_0382/fåglar/A 70495-2021 prioriterade fågelarter.docx", "A 70495-2021")</f>
        <v/>
      </c>
    </row>
    <row r="92" ht="15" customHeight="1">
      <c r="A92" t="inlineStr">
        <is>
          <t>A 7470-2022</t>
        </is>
      </c>
      <c r="B92" s="1" t="n">
        <v>44607</v>
      </c>
      <c r="C92" s="1" t="n">
        <v>45916</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61479-2020</t>
        </is>
      </c>
      <c r="B93" s="1" t="n">
        <v>44154</v>
      </c>
      <c r="C93" s="1" t="n">
        <v>45916</v>
      </c>
      <c r="D93" t="inlineStr">
        <is>
          <t>UPPSALA LÄN</t>
        </is>
      </c>
      <c r="E93" t="inlineStr">
        <is>
          <t>ÖSTHAMMAR</t>
        </is>
      </c>
      <c r="G93" t="n">
        <v>2.5</v>
      </c>
      <c r="H93" t="n">
        <v>0</v>
      </c>
      <c r="I93" t="n">
        <v>1</v>
      </c>
      <c r="J93" t="n">
        <v>0</v>
      </c>
      <c r="K93" t="n">
        <v>0</v>
      </c>
      <c r="L93" t="n">
        <v>0</v>
      </c>
      <c r="M93" t="n">
        <v>0</v>
      </c>
      <c r="N93" t="n">
        <v>0</v>
      </c>
      <c r="O93" t="n">
        <v>0</v>
      </c>
      <c r="P93" t="n">
        <v>0</v>
      </c>
      <c r="Q93" t="n">
        <v>1</v>
      </c>
      <c r="R93" s="2" t="inlineStr">
        <is>
          <t>Olivspindling</t>
        </is>
      </c>
      <c r="S93">
        <f>HYPERLINK("https://klasma.github.io/Logging_0382/artfynd/A 61479-2020 artfynd.xlsx", "A 61479-2020")</f>
        <v/>
      </c>
      <c r="T93">
        <f>HYPERLINK("https://klasma.github.io/Logging_0382/kartor/A 61479-2020 karta.png", "A 61479-2020")</f>
        <v/>
      </c>
      <c r="V93">
        <f>HYPERLINK("https://klasma.github.io/Logging_0382/klagomål/A 61479-2020 FSC-klagomål.docx", "A 61479-2020")</f>
        <v/>
      </c>
      <c r="W93">
        <f>HYPERLINK("https://klasma.github.io/Logging_0382/klagomålsmail/A 61479-2020 FSC-klagomål mail.docx", "A 61479-2020")</f>
        <v/>
      </c>
      <c r="X93">
        <f>HYPERLINK("https://klasma.github.io/Logging_0382/tillsyn/A 61479-2020 tillsynsbegäran.docx", "A 61479-2020")</f>
        <v/>
      </c>
      <c r="Y93">
        <f>HYPERLINK("https://klasma.github.io/Logging_0382/tillsynsmail/A 61479-2020 tillsynsbegäran mail.docx", "A 61479-2020")</f>
        <v/>
      </c>
    </row>
    <row r="94" ht="15" customHeight="1">
      <c r="A94" t="inlineStr">
        <is>
          <t>A 22209-2022</t>
        </is>
      </c>
      <c r="B94" s="1" t="n">
        <v>44712</v>
      </c>
      <c r="C94" s="1" t="n">
        <v>45916</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45916</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45916</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29679-2023</t>
        </is>
      </c>
      <c r="B97" s="1" t="n">
        <v>45107</v>
      </c>
      <c r="C97" s="1" t="n">
        <v>45916</v>
      </c>
      <c r="D97" t="inlineStr">
        <is>
          <t>UPPSALA LÄN</t>
        </is>
      </c>
      <c r="E97" t="inlineStr">
        <is>
          <t>ÖSTHAMMAR</t>
        </is>
      </c>
      <c r="F97" t="inlineStr">
        <is>
          <t>Övriga Aktiebolag</t>
        </is>
      </c>
      <c r="G97" t="n">
        <v>7.3</v>
      </c>
      <c r="H97" t="n">
        <v>0</v>
      </c>
      <c r="I97" t="n">
        <v>0</v>
      </c>
      <c r="J97" t="n">
        <v>1</v>
      </c>
      <c r="K97" t="n">
        <v>0</v>
      </c>
      <c r="L97" t="n">
        <v>0</v>
      </c>
      <c r="M97" t="n">
        <v>0</v>
      </c>
      <c r="N97" t="n">
        <v>0</v>
      </c>
      <c r="O97" t="n">
        <v>1</v>
      </c>
      <c r="P97" t="n">
        <v>0</v>
      </c>
      <c r="Q97" t="n">
        <v>1</v>
      </c>
      <c r="R97" s="2" t="inlineStr">
        <is>
          <t>Vintertagging</t>
        </is>
      </c>
      <c r="S97">
        <f>HYPERLINK("https://klasma.github.io/Logging_0382/artfynd/A 29679-2023 artfynd.xlsx", "A 29679-2023")</f>
        <v/>
      </c>
      <c r="T97">
        <f>HYPERLINK("https://klasma.github.io/Logging_0382/kartor/A 29679-2023 karta.png", "A 29679-2023")</f>
        <v/>
      </c>
      <c r="V97">
        <f>HYPERLINK("https://klasma.github.io/Logging_0382/klagomål/A 29679-2023 FSC-klagomål.docx", "A 29679-2023")</f>
        <v/>
      </c>
      <c r="W97">
        <f>HYPERLINK("https://klasma.github.io/Logging_0382/klagomålsmail/A 29679-2023 FSC-klagomål mail.docx", "A 29679-2023")</f>
        <v/>
      </c>
      <c r="X97">
        <f>HYPERLINK("https://klasma.github.io/Logging_0382/tillsyn/A 29679-2023 tillsynsbegäran.docx", "A 29679-2023")</f>
        <v/>
      </c>
      <c r="Y97">
        <f>HYPERLINK("https://klasma.github.io/Logging_0382/tillsynsmail/A 29679-2023 tillsynsbegäran mail.docx", "A 29679-2023")</f>
        <v/>
      </c>
    </row>
    <row r="98" ht="15" customHeight="1">
      <c r="A98" t="inlineStr">
        <is>
          <t>A 25179-2023</t>
        </is>
      </c>
      <c r="B98" s="1" t="n">
        <v>45078</v>
      </c>
      <c r="C98" s="1" t="n">
        <v>45916</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63615-2021</t>
        </is>
      </c>
      <c r="B99" s="1" t="n">
        <v>44509</v>
      </c>
      <c r="C99" s="1" t="n">
        <v>45916</v>
      </c>
      <c r="D99" t="inlineStr">
        <is>
          <t>UPPSALA LÄN</t>
        </is>
      </c>
      <c r="E99" t="inlineStr">
        <is>
          <t>ÖSTHAMMAR</t>
        </is>
      </c>
      <c r="G99" t="n">
        <v>1.9</v>
      </c>
      <c r="H99" t="n">
        <v>0</v>
      </c>
      <c r="I99" t="n">
        <v>0</v>
      </c>
      <c r="J99" t="n">
        <v>1</v>
      </c>
      <c r="K99" t="n">
        <v>0</v>
      </c>
      <c r="L99" t="n">
        <v>0</v>
      </c>
      <c r="M99" t="n">
        <v>0</v>
      </c>
      <c r="N99" t="n">
        <v>0</v>
      </c>
      <c r="O99" t="n">
        <v>1</v>
      </c>
      <c r="P99" t="n">
        <v>0</v>
      </c>
      <c r="Q99" t="n">
        <v>1</v>
      </c>
      <c r="R99" s="2" t="inlineStr">
        <is>
          <t>Gul taggsvamp</t>
        </is>
      </c>
      <c r="S99">
        <f>HYPERLINK("https://klasma.github.io/Logging_0382/artfynd/A 63615-2021 artfynd.xlsx", "A 63615-2021")</f>
        <v/>
      </c>
      <c r="T99">
        <f>HYPERLINK("https://klasma.github.io/Logging_0382/kartor/A 63615-2021 karta.png", "A 63615-2021")</f>
        <v/>
      </c>
      <c r="V99">
        <f>HYPERLINK("https://klasma.github.io/Logging_0382/klagomål/A 63615-2021 FSC-klagomål.docx", "A 63615-2021")</f>
        <v/>
      </c>
      <c r="W99">
        <f>HYPERLINK("https://klasma.github.io/Logging_0382/klagomålsmail/A 63615-2021 FSC-klagomål mail.docx", "A 63615-2021")</f>
        <v/>
      </c>
      <c r="X99">
        <f>HYPERLINK("https://klasma.github.io/Logging_0382/tillsyn/A 63615-2021 tillsynsbegäran.docx", "A 63615-2021")</f>
        <v/>
      </c>
      <c r="Y99">
        <f>HYPERLINK("https://klasma.github.io/Logging_0382/tillsynsmail/A 63615-2021 tillsynsbegäran mail.docx", "A 63615-2021")</f>
        <v/>
      </c>
    </row>
    <row r="100" ht="15" customHeight="1">
      <c r="A100" t="inlineStr">
        <is>
          <t>A 14203-2024</t>
        </is>
      </c>
      <c r="B100" s="1" t="n">
        <v>45393</v>
      </c>
      <c r="C100" s="1" t="n">
        <v>45916</v>
      </c>
      <c r="D100" t="inlineStr">
        <is>
          <t>UPPSALA LÄN</t>
        </is>
      </c>
      <c r="E100" t="inlineStr">
        <is>
          <t>ÖSTHAMMAR</t>
        </is>
      </c>
      <c r="G100" t="n">
        <v>1.4</v>
      </c>
      <c r="H100" t="n">
        <v>0</v>
      </c>
      <c r="I100" t="n">
        <v>0</v>
      </c>
      <c r="J100" t="n">
        <v>1</v>
      </c>
      <c r="K100" t="n">
        <v>0</v>
      </c>
      <c r="L100" t="n">
        <v>0</v>
      </c>
      <c r="M100" t="n">
        <v>0</v>
      </c>
      <c r="N100" t="n">
        <v>0</v>
      </c>
      <c r="O100" t="n">
        <v>1</v>
      </c>
      <c r="P100" t="n">
        <v>0</v>
      </c>
      <c r="Q100" t="n">
        <v>1</v>
      </c>
      <c r="R100" s="2" t="inlineStr">
        <is>
          <t>Scharlakansvaxing</t>
        </is>
      </c>
      <c r="S100">
        <f>HYPERLINK("https://klasma.github.io/Logging_0382/artfynd/A 14203-2024 artfynd.xlsx", "A 14203-2024")</f>
        <v/>
      </c>
      <c r="T100">
        <f>HYPERLINK("https://klasma.github.io/Logging_0382/kartor/A 14203-2024 karta.png", "A 14203-2024")</f>
        <v/>
      </c>
      <c r="V100">
        <f>HYPERLINK("https://klasma.github.io/Logging_0382/klagomål/A 14203-2024 FSC-klagomål.docx", "A 14203-2024")</f>
        <v/>
      </c>
      <c r="W100">
        <f>HYPERLINK("https://klasma.github.io/Logging_0382/klagomålsmail/A 14203-2024 FSC-klagomål mail.docx", "A 14203-2024")</f>
        <v/>
      </c>
      <c r="X100">
        <f>HYPERLINK("https://klasma.github.io/Logging_0382/tillsyn/A 14203-2024 tillsynsbegäran.docx", "A 14203-2024")</f>
        <v/>
      </c>
      <c r="Y100">
        <f>HYPERLINK("https://klasma.github.io/Logging_0382/tillsynsmail/A 14203-2024 tillsynsbegäran mail.docx", "A 14203-2024")</f>
        <v/>
      </c>
    </row>
    <row r="101" ht="15" customHeight="1">
      <c r="A101" t="inlineStr">
        <is>
          <t>A 33800-2024</t>
        </is>
      </c>
      <c r="B101" s="1" t="n">
        <v>45520</v>
      </c>
      <c r="C101" s="1" t="n">
        <v>45916</v>
      </c>
      <c r="D101" t="inlineStr">
        <is>
          <t>UPPSALA LÄN</t>
        </is>
      </c>
      <c r="E101" t="inlineStr">
        <is>
          <t>ÖSTHAMMAR</t>
        </is>
      </c>
      <c r="F101" t="inlineStr">
        <is>
          <t>Naturvårdsverket</t>
        </is>
      </c>
      <c r="G101" t="n">
        <v>1.5</v>
      </c>
      <c r="H101" t="n">
        <v>1</v>
      </c>
      <c r="I101" t="n">
        <v>0</v>
      </c>
      <c r="J101" t="n">
        <v>0</v>
      </c>
      <c r="K101" t="n">
        <v>0</v>
      </c>
      <c r="L101" t="n">
        <v>0</v>
      </c>
      <c r="M101" t="n">
        <v>0</v>
      </c>
      <c r="N101" t="n">
        <v>0</v>
      </c>
      <c r="O101" t="n">
        <v>0</v>
      </c>
      <c r="P101" t="n">
        <v>0</v>
      </c>
      <c r="Q101" t="n">
        <v>1</v>
      </c>
      <c r="R101" s="2" t="inlineStr">
        <is>
          <t>Fläcknycklar</t>
        </is>
      </c>
      <c r="S101">
        <f>HYPERLINK("https://klasma.github.io/Logging_0382/artfynd/A 33800-2024 artfynd.xlsx", "A 33800-2024")</f>
        <v/>
      </c>
      <c r="T101">
        <f>HYPERLINK("https://klasma.github.io/Logging_0382/kartor/A 33800-2024 karta.png", "A 33800-2024")</f>
        <v/>
      </c>
      <c r="V101">
        <f>HYPERLINK("https://klasma.github.io/Logging_0382/klagomål/A 33800-2024 FSC-klagomål.docx", "A 33800-2024")</f>
        <v/>
      </c>
      <c r="W101">
        <f>HYPERLINK("https://klasma.github.io/Logging_0382/klagomålsmail/A 33800-2024 FSC-klagomål mail.docx", "A 33800-2024")</f>
        <v/>
      </c>
      <c r="X101">
        <f>HYPERLINK("https://klasma.github.io/Logging_0382/tillsyn/A 33800-2024 tillsynsbegäran.docx", "A 33800-2024")</f>
        <v/>
      </c>
      <c r="Y101">
        <f>HYPERLINK("https://klasma.github.io/Logging_0382/tillsynsmail/A 33800-2024 tillsynsbegäran mail.docx", "A 33800-2024")</f>
        <v/>
      </c>
    </row>
    <row r="102" ht="15" customHeight="1">
      <c r="A102" t="inlineStr">
        <is>
          <t>A 3693-2021</t>
        </is>
      </c>
      <c r="B102" s="1" t="n">
        <v>44221</v>
      </c>
      <c r="C102" s="1" t="n">
        <v>45916</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45916</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45916</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70408-2021</t>
        </is>
      </c>
      <c r="B105" s="1" t="n">
        <v>44536</v>
      </c>
      <c r="C105" s="1" t="n">
        <v>45916</v>
      </c>
      <c r="D105" t="inlineStr">
        <is>
          <t>UPPSALA LÄN</t>
        </is>
      </c>
      <c r="E105" t="inlineStr">
        <is>
          <t>ÖSTHAMMAR</t>
        </is>
      </c>
      <c r="G105" t="n">
        <v>1</v>
      </c>
      <c r="H105" t="n">
        <v>0</v>
      </c>
      <c r="I105" t="n">
        <v>0</v>
      </c>
      <c r="J105" t="n">
        <v>0</v>
      </c>
      <c r="K105" t="n">
        <v>0</v>
      </c>
      <c r="L105" t="n">
        <v>0</v>
      </c>
      <c r="M105" t="n">
        <v>0</v>
      </c>
      <c r="N105" t="n">
        <v>0</v>
      </c>
      <c r="O105" t="n">
        <v>0</v>
      </c>
      <c r="P105" t="n">
        <v>0</v>
      </c>
      <c r="Q105" t="n">
        <v>0</v>
      </c>
      <c r="R105" s="2" t="inlineStr"/>
    </row>
    <row r="106" ht="15" customHeight="1">
      <c r="A106" t="inlineStr">
        <is>
          <t>A 25434-2022</t>
        </is>
      </c>
      <c r="B106" s="1" t="n">
        <v>44732.48165509259</v>
      </c>
      <c r="C106" s="1" t="n">
        <v>45916</v>
      </c>
      <c r="D106" t="inlineStr">
        <is>
          <t>UPPSALA LÄN</t>
        </is>
      </c>
      <c r="E106" t="inlineStr">
        <is>
          <t>ÖSTHAMMAR</t>
        </is>
      </c>
      <c r="G106" t="n">
        <v>0.8</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45916</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45916</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45916</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45916</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45916</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45916</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45916</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45916</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45916</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45916</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45916</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45916</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45916</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45916</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45916</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45916</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45916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45916</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45916</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45916</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45916</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45916</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45916</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45916</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45916</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45916</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45916</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45916</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45916</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45916</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45916</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45916</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45916</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45916</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45916</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45916</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45916</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45916</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45916</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45916</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45916</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45916</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45916</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45916</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45916</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45916</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45916</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45916</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45916</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45916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45916</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45916</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16184-2022</t>
        </is>
      </c>
      <c r="B159" s="1" t="n">
        <v>44669.36354166667</v>
      </c>
      <c r="C159" s="1" t="n">
        <v>45916</v>
      </c>
      <c r="D159" t="inlineStr">
        <is>
          <t>UPPSALA LÄN</t>
        </is>
      </c>
      <c r="E159" t="inlineStr">
        <is>
          <t>ÖSTHAMMAR</t>
        </is>
      </c>
      <c r="F159" t="inlineStr">
        <is>
          <t>Bergvik skog öst AB</t>
        </is>
      </c>
      <c r="G159" t="n">
        <v>0.8</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45916</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45916</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59432-2020</t>
        </is>
      </c>
      <c r="B162" s="1" t="n">
        <v>44148</v>
      </c>
      <c r="C162" s="1" t="n">
        <v>45916</v>
      </c>
      <c r="D162" t="inlineStr">
        <is>
          <t>UPPSALA LÄN</t>
        </is>
      </c>
      <c r="E162" t="inlineStr">
        <is>
          <t>ÖSTHAMMAR</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52432-2020</t>
        </is>
      </c>
      <c r="B163" s="1" t="n">
        <v>44118</v>
      </c>
      <c r="C163" s="1" t="n">
        <v>45916</v>
      </c>
      <c r="D163" t="inlineStr">
        <is>
          <t>UPPSALA LÄN</t>
        </is>
      </c>
      <c r="E163" t="inlineStr">
        <is>
          <t>ÖSTHAMMAR</t>
        </is>
      </c>
      <c r="G163" t="n">
        <v>2.7</v>
      </c>
      <c r="H163" t="n">
        <v>0</v>
      </c>
      <c r="I163" t="n">
        <v>0</v>
      </c>
      <c r="J163" t="n">
        <v>0</v>
      </c>
      <c r="K163" t="n">
        <v>0</v>
      </c>
      <c r="L163" t="n">
        <v>0</v>
      </c>
      <c r="M163" t="n">
        <v>0</v>
      </c>
      <c r="N163" t="n">
        <v>0</v>
      </c>
      <c r="O163" t="n">
        <v>0</v>
      </c>
      <c r="P163" t="n">
        <v>0</v>
      </c>
      <c r="Q163" t="n">
        <v>0</v>
      </c>
      <c r="R163" s="2" t="inlineStr"/>
    </row>
    <row r="164" ht="15" customHeight="1">
      <c r="A164" t="inlineStr">
        <is>
          <t>A 52434-2020</t>
        </is>
      </c>
      <c r="B164" s="1" t="n">
        <v>44118</v>
      </c>
      <c r="C164" s="1" t="n">
        <v>45916</v>
      </c>
      <c r="D164" t="inlineStr">
        <is>
          <t>UPPSALA LÄN</t>
        </is>
      </c>
      <c r="E164" t="inlineStr">
        <is>
          <t>ÖSTHAMMAR</t>
        </is>
      </c>
      <c r="G164" t="n">
        <v>2.8</v>
      </c>
      <c r="H164" t="n">
        <v>0</v>
      </c>
      <c r="I164" t="n">
        <v>0</v>
      </c>
      <c r="J164" t="n">
        <v>0</v>
      </c>
      <c r="K164" t="n">
        <v>0</v>
      </c>
      <c r="L164" t="n">
        <v>0</v>
      </c>
      <c r="M164" t="n">
        <v>0</v>
      </c>
      <c r="N164" t="n">
        <v>0</v>
      </c>
      <c r="O164" t="n">
        <v>0</v>
      </c>
      <c r="P164" t="n">
        <v>0</v>
      </c>
      <c r="Q164" t="n">
        <v>0</v>
      </c>
      <c r="R164" s="2" t="inlineStr"/>
    </row>
    <row r="165" ht="15" customHeight="1">
      <c r="A165" t="inlineStr">
        <is>
          <t>A 52898-2021</t>
        </is>
      </c>
      <c r="B165" s="1" t="n">
        <v>44467</v>
      </c>
      <c r="C165" s="1" t="n">
        <v>45916</v>
      </c>
      <c r="D165" t="inlineStr">
        <is>
          <t>UPPSALA LÄN</t>
        </is>
      </c>
      <c r="E165" t="inlineStr">
        <is>
          <t>ÖSTHAMMAR</t>
        </is>
      </c>
      <c r="G165" t="n">
        <v>2.3</v>
      </c>
      <c r="H165" t="n">
        <v>0</v>
      </c>
      <c r="I165" t="n">
        <v>0</v>
      </c>
      <c r="J165" t="n">
        <v>0</v>
      </c>
      <c r="K165" t="n">
        <v>0</v>
      </c>
      <c r="L165" t="n">
        <v>0</v>
      </c>
      <c r="M165" t="n">
        <v>0</v>
      </c>
      <c r="N165" t="n">
        <v>0</v>
      </c>
      <c r="O165" t="n">
        <v>0</v>
      </c>
      <c r="P165" t="n">
        <v>0</v>
      </c>
      <c r="Q165" t="n">
        <v>0</v>
      </c>
      <c r="R165" s="2" t="inlineStr"/>
    </row>
    <row r="166" ht="15" customHeight="1">
      <c r="A166" t="inlineStr">
        <is>
          <t>A 18736-2022</t>
        </is>
      </c>
      <c r="B166" s="1" t="n">
        <v>44687.87017361111</v>
      </c>
      <c r="C166" s="1" t="n">
        <v>45916</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16185-2022</t>
        </is>
      </c>
      <c r="B167" s="1" t="n">
        <v>44669</v>
      </c>
      <c r="C167" s="1" t="n">
        <v>45916</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24316-2021</t>
        </is>
      </c>
      <c r="B168" s="1" t="n">
        <v>44337</v>
      </c>
      <c r="C168" s="1" t="n">
        <v>45916</v>
      </c>
      <c r="D168" t="inlineStr">
        <is>
          <t>UPPSALA LÄN</t>
        </is>
      </c>
      <c r="E168" t="inlineStr">
        <is>
          <t>ÖSTHAMMAR</t>
        </is>
      </c>
      <c r="G168" t="n">
        <v>1.2</v>
      </c>
      <c r="H168" t="n">
        <v>0</v>
      </c>
      <c r="I168" t="n">
        <v>0</v>
      </c>
      <c r="J168" t="n">
        <v>0</v>
      </c>
      <c r="K168" t="n">
        <v>0</v>
      </c>
      <c r="L168" t="n">
        <v>0</v>
      </c>
      <c r="M168" t="n">
        <v>0</v>
      </c>
      <c r="N168" t="n">
        <v>0</v>
      </c>
      <c r="O168" t="n">
        <v>0</v>
      </c>
      <c r="P168" t="n">
        <v>0</v>
      </c>
      <c r="Q168" t="n">
        <v>0</v>
      </c>
      <c r="R168" s="2" t="inlineStr"/>
    </row>
    <row r="169" ht="15" customHeight="1">
      <c r="A169" t="inlineStr">
        <is>
          <t>A 61193-2020</t>
        </is>
      </c>
      <c r="B169" s="1" t="n">
        <v>44155</v>
      </c>
      <c r="C169" s="1" t="n">
        <v>45916</v>
      </c>
      <c r="D169" t="inlineStr">
        <is>
          <t>UPPSALA LÄN</t>
        </is>
      </c>
      <c r="E169" t="inlineStr">
        <is>
          <t>ÖSTHAMMAR</t>
        </is>
      </c>
      <c r="F169" t="inlineStr">
        <is>
          <t>Övriga Aktiebolag</t>
        </is>
      </c>
      <c r="G169" t="n">
        <v>2.1</v>
      </c>
      <c r="H169" t="n">
        <v>0</v>
      </c>
      <c r="I169" t="n">
        <v>0</v>
      </c>
      <c r="J169" t="n">
        <v>0</v>
      </c>
      <c r="K169" t="n">
        <v>0</v>
      </c>
      <c r="L169" t="n">
        <v>0</v>
      </c>
      <c r="M169" t="n">
        <v>0</v>
      </c>
      <c r="N169" t="n">
        <v>0</v>
      </c>
      <c r="O169" t="n">
        <v>0</v>
      </c>
      <c r="P169" t="n">
        <v>0</v>
      </c>
      <c r="Q169" t="n">
        <v>0</v>
      </c>
      <c r="R169" s="2" t="inlineStr"/>
    </row>
    <row r="170" ht="15" customHeight="1">
      <c r="A170" t="inlineStr">
        <is>
          <t>A 9789-2022</t>
        </is>
      </c>
      <c r="B170" s="1" t="n">
        <v>44620.35590277778</v>
      </c>
      <c r="C170" s="1" t="n">
        <v>45916</v>
      </c>
      <c r="D170" t="inlineStr">
        <is>
          <t>UPPSALA LÄN</t>
        </is>
      </c>
      <c r="E170" t="inlineStr">
        <is>
          <t>ÖSTHAMMAR</t>
        </is>
      </c>
      <c r="G170" t="n">
        <v>1.2</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45916</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45916</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22887-2022</t>
        </is>
      </c>
      <c r="B173" s="1" t="n">
        <v>44715</v>
      </c>
      <c r="C173" s="1" t="n">
        <v>45916</v>
      </c>
      <c r="D173" t="inlineStr">
        <is>
          <t>UPPSALA LÄN</t>
        </is>
      </c>
      <c r="E173" t="inlineStr">
        <is>
          <t>ÖSTHAMMAR</t>
        </is>
      </c>
      <c r="G173" t="n">
        <v>0.2</v>
      </c>
      <c r="H173" t="n">
        <v>0</v>
      </c>
      <c r="I173" t="n">
        <v>0</v>
      </c>
      <c r="J173" t="n">
        <v>0</v>
      </c>
      <c r="K173" t="n">
        <v>0</v>
      </c>
      <c r="L173" t="n">
        <v>0</v>
      </c>
      <c r="M173" t="n">
        <v>0</v>
      </c>
      <c r="N173" t="n">
        <v>0</v>
      </c>
      <c r="O173" t="n">
        <v>0</v>
      </c>
      <c r="P173" t="n">
        <v>0</v>
      </c>
      <c r="Q173" t="n">
        <v>0</v>
      </c>
      <c r="R173" s="2" t="inlineStr"/>
    </row>
    <row r="174" ht="15" customHeight="1">
      <c r="A174" t="inlineStr">
        <is>
          <t>A 52544-2021</t>
        </is>
      </c>
      <c r="B174" s="1" t="n">
        <v>44466</v>
      </c>
      <c r="C174" s="1" t="n">
        <v>45916</v>
      </c>
      <c r="D174" t="inlineStr">
        <is>
          <t>UPPSALA LÄN</t>
        </is>
      </c>
      <c r="E174" t="inlineStr">
        <is>
          <t>ÖSTHAMMAR</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7871-2022</t>
        </is>
      </c>
      <c r="B175" s="1" t="n">
        <v>44608</v>
      </c>
      <c r="C175" s="1" t="n">
        <v>45916</v>
      </c>
      <c r="D175" t="inlineStr">
        <is>
          <t>UPPSALA LÄN</t>
        </is>
      </c>
      <c r="E175" t="inlineStr">
        <is>
          <t>ÖSTHAMMAR</t>
        </is>
      </c>
      <c r="G175" t="n">
        <v>1.1</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45916</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2168-2022</t>
        </is>
      </c>
      <c r="B177" s="1" t="n">
        <v>44578</v>
      </c>
      <c r="C177" s="1" t="n">
        <v>45916</v>
      </c>
      <c r="D177" t="inlineStr">
        <is>
          <t>UPPSALA LÄN</t>
        </is>
      </c>
      <c r="E177" t="inlineStr">
        <is>
          <t>ÖSTHAMMAR</t>
        </is>
      </c>
      <c r="G177" t="n">
        <v>2.9</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45916</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34418-2022</t>
        </is>
      </c>
      <c r="B179" s="1" t="n">
        <v>44792</v>
      </c>
      <c r="C179" s="1" t="n">
        <v>45916</v>
      </c>
      <c r="D179" t="inlineStr">
        <is>
          <t>UPPSALA LÄN</t>
        </is>
      </c>
      <c r="E179" t="inlineStr">
        <is>
          <t>ÖSTHAMMAR</t>
        </is>
      </c>
      <c r="G179" t="n">
        <v>0.3</v>
      </c>
      <c r="H179" t="n">
        <v>0</v>
      </c>
      <c r="I179" t="n">
        <v>0</v>
      </c>
      <c r="J179" t="n">
        <v>0</v>
      </c>
      <c r="K179" t="n">
        <v>0</v>
      </c>
      <c r="L179" t="n">
        <v>0</v>
      </c>
      <c r="M179" t="n">
        <v>0</v>
      </c>
      <c r="N179" t="n">
        <v>0</v>
      </c>
      <c r="O179" t="n">
        <v>0</v>
      </c>
      <c r="P179" t="n">
        <v>0</v>
      </c>
      <c r="Q179" t="n">
        <v>0</v>
      </c>
      <c r="R179" s="2" t="inlineStr"/>
    </row>
    <row r="180" ht="15" customHeight="1">
      <c r="A180" t="inlineStr">
        <is>
          <t>A 11884-2022</t>
        </is>
      </c>
      <c r="B180" s="1" t="n">
        <v>44635.39946759259</v>
      </c>
      <c r="C180" s="1" t="n">
        <v>45916</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15457-2022</t>
        </is>
      </c>
      <c r="B181" s="1" t="n">
        <v>44661.74027777778</v>
      </c>
      <c r="C181" s="1" t="n">
        <v>45916</v>
      </c>
      <c r="D181" t="inlineStr">
        <is>
          <t>UPPSALA LÄN</t>
        </is>
      </c>
      <c r="E181" t="inlineStr">
        <is>
          <t>ÖSTHAMMAR</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18734-2022</t>
        </is>
      </c>
      <c r="B182" s="1" t="n">
        <v>44687.86751157408</v>
      </c>
      <c r="C182" s="1" t="n">
        <v>45916</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25987-2022</t>
        </is>
      </c>
      <c r="B183" s="1" t="n">
        <v>44734.49601851852</v>
      </c>
      <c r="C183" s="1" t="n">
        <v>45916</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45916</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57003-2021</t>
        </is>
      </c>
      <c r="B185" s="1" t="n">
        <v>44482.47577546296</v>
      </c>
      <c r="C185" s="1" t="n">
        <v>45916</v>
      </c>
      <c r="D185" t="inlineStr">
        <is>
          <t>UPPSALA LÄN</t>
        </is>
      </c>
      <c r="E185" t="inlineStr">
        <is>
          <t>ÖSTHAMMAR</t>
        </is>
      </c>
      <c r="G185" t="n">
        <v>1.9</v>
      </c>
      <c r="H185" t="n">
        <v>0</v>
      </c>
      <c r="I185" t="n">
        <v>0</v>
      </c>
      <c r="J185" t="n">
        <v>0</v>
      </c>
      <c r="K185" t="n">
        <v>0</v>
      </c>
      <c r="L185" t="n">
        <v>0</v>
      </c>
      <c r="M185" t="n">
        <v>0</v>
      </c>
      <c r="N185" t="n">
        <v>0</v>
      </c>
      <c r="O185" t="n">
        <v>0</v>
      </c>
      <c r="P185" t="n">
        <v>0</v>
      </c>
      <c r="Q185" t="n">
        <v>0</v>
      </c>
      <c r="R185" s="2" t="inlineStr"/>
    </row>
    <row r="186" ht="15" customHeight="1">
      <c r="A186" t="inlineStr">
        <is>
          <t>A 61560-2021</t>
        </is>
      </c>
      <c r="B186" s="1" t="n">
        <v>44501.42905092592</v>
      </c>
      <c r="C186" s="1" t="n">
        <v>45916</v>
      </c>
      <c r="D186" t="inlineStr">
        <is>
          <t>UPPSALA LÄN</t>
        </is>
      </c>
      <c r="E186" t="inlineStr">
        <is>
          <t>ÖSTHAMMAR</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37570-2022</t>
        </is>
      </c>
      <c r="B187" s="1" t="n">
        <v>44809</v>
      </c>
      <c r="C187" s="1" t="n">
        <v>45916</v>
      </c>
      <c r="D187" t="inlineStr">
        <is>
          <t>UPPSALA LÄN</t>
        </is>
      </c>
      <c r="E187" t="inlineStr">
        <is>
          <t>ÖSTHAMMAR</t>
        </is>
      </c>
      <c r="G187" t="n">
        <v>0.6</v>
      </c>
      <c r="H187" t="n">
        <v>0</v>
      </c>
      <c r="I187" t="n">
        <v>0</v>
      </c>
      <c r="J187" t="n">
        <v>0</v>
      </c>
      <c r="K187" t="n">
        <v>0</v>
      </c>
      <c r="L187" t="n">
        <v>0</v>
      </c>
      <c r="M187" t="n">
        <v>0</v>
      </c>
      <c r="N187" t="n">
        <v>0</v>
      </c>
      <c r="O187" t="n">
        <v>0</v>
      </c>
      <c r="P187" t="n">
        <v>0</v>
      </c>
      <c r="Q187" t="n">
        <v>0</v>
      </c>
      <c r="R187" s="2" t="inlineStr"/>
    </row>
    <row r="188" ht="15" customHeight="1">
      <c r="A188" t="inlineStr">
        <is>
          <t>A 6221-2021</t>
        </is>
      </c>
      <c r="B188" s="1" t="n">
        <v>44235</v>
      </c>
      <c r="C188" s="1" t="n">
        <v>45916</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19214-2021</t>
        </is>
      </c>
      <c r="B189" s="1" t="n">
        <v>44309.28576388889</v>
      </c>
      <c r="C189" s="1" t="n">
        <v>45916</v>
      </c>
      <c r="D189" t="inlineStr">
        <is>
          <t>UPPSALA LÄN</t>
        </is>
      </c>
      <c r="E189" t="inlineStr">
        <is>
          <t>ÖSTHAMMAR</t>
        </is>
      </c>
      <c r="F189" t="inlineStr">
        <is>
          <t>Bergvik skog öst AB</t>
        </is>
      </c>
      <c r="G189" t="n">
        <v>6</v>
      </c>
      <c r="H189" t="n">
        <v>0</v>
      </c>
      <c r="I189" t="n">
        <v>0</v>
      </c>
      <c r="J189" t="n">
        <v>0</v>
      </c>
      <c r="K189" t="n">
        <v>0</v>
      </c>
      <c r="L189" t="n">
        <v>0</v>
      </c>
      <c r="M189" t="n">
        <v>0</v>
      </c>
      <c r="N189" t="n">
        <v>0</v>
      </c>
      <c r="O189" t="n">
        <v>0</v>
      </c>
      <c r="P189" t="n">
        <v>0</v>
      </c>
      <c r="Q189" t="n">
        <v>0</v>
      </c>
      <c r="R189" s="2" t="inlineStr"/>
    </row>
    <row r="190" ht="15" customHeight="1">
      <c r="A190" t="inlineStr">
        <is>
          <t>A 17013-2022</t>
        </is>
      </c>
      <c r="B190" s="1" t="n">
        <v>44676</v>
      </c>
      <c r="C190" s="1" t="n">
        <v>45916</v>
      </c>
      <c r="D190" t="inlineStr">
        <is>
          <t>UPPSALA LÄN</t>
        </is>
      </c>
      <c r="E190" t="inlineStr">
        <is>
          <t>ÖSTHAMMAR</t>
        </is>
      </c>
      <c r="F190" t="inlineStr">
        <is>
          <t>Bergvik skog öst AB</t>
        </is>
      </c>
      <c r="G190" t="n">
        <v>0.2</v>
      </c>
      <c r="H190" t="n">
        <v>0</v>
      </c>
      <c r="I190" t="n">
        <v>0</v>
      </c>
      <c r="J190" t="n">
        <v>0</v>
      </c>
      <c r="K190" t="n">
        <v>0</v>
      </c>
      <c r="L190" t="n">
        <v>0</v>
      </c>
      <c r="M190" t="n">
        <v>0</v>
      </c>
      <c r="N190" t="n">
        <v>0</v>
      </c>
      <c r="O190" t="n">
        <v>0</v>
      </c>
      <c r="P190" t="n">
        <v>0</v>
      </c>
      <c r="Q190" t="n">
        <v>0</v>
      </c>
      <c r="R190" s="2" t="inlineStr"/>
    </row>
    <row r="191" ht="15" customHeight="1">
      <c r="A191" t="inlineStr">
        <is>
          <t>A 37568-2022</t>
        </is>
      </c>
      <c r="B191" s="1" t="n">
        <v>44809</v>
      </c>
      <c r="C191" s="1" t="n">
        <v>45916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44809.63373842592</v>
      </c>
      <c r="C192" s="1" t="n">
        <v>45916</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31182-2022</t>
        </is>
      </c>
      <c r="B193" s="1" t="n">
        <v>44770</v>
      </c>
      <c r="C193" s="1" t="n">
        <v>45916</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26534-2022</t>
        </is>
      </c>
      <c r="B194" s="1" t="n">
        <v>44739</v>
      </c>
      <c r="C194" s="1" t="n">
        <v>45916</v>
      </c>
      <c r="D194" t="inlineStr">
        <is>
          <t>UPPSALA LÄN</t>
        </is>
      </c>
      <c r="E194" t="inlineStr">
        <is>
          <t>ÖSTHAMMAR</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2085-2022</t>
        </is>
      </c>
      <c r="B195" s="1" t="n">
        <v>44576.78626157407</v>
      </c>
      <c r="C195" s="1" t="n">
        <v>45916</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45916</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835-2025</t>
        </is>
      </c>
      <c r="B197" s="1" t="n">
        <v>45665.58465277778</v>
      </c>
      <c r="C197" s="1" t="n">
        <v>45916</v>
      </c>
      <c r="D197" t="inlineStr">
        <is>
          <t>UPPSALA LÄN</t>
        </is>
      </c>
      <c r="E197" t="inlineStr">
        <is>
          <t>ÖSTHAMMAR</t>
        </is>
      </c>
      <c r="F197" t="inlineStr">
        <is>
          <t>Övriga Aktiebolag</t>
        </is>
      </c>
      <c r="G197" t="n">
        <v>4.8</v>
      </c>
      <c r="H197" t="n">
        <v>0</v>
      </c>
      <c r="I197" t="n">
        <v>0</v>
      </c>
      <c r="J197" t="n">
        <v>0</v>
      </c>
      <c r="K197" t="n">
        <v>0</v>
      </c>
      <c r="L197" t="n">
        <v>0</v>
      </c>
      <c r="M197" t="n">
        <v>0</v>
      </c>
      <c r="N197" t="n">
        <v>0</v>
      </c>
      <c r="O197" t="n">
        <v>0</v>
      </c>
      <c r="P197" t="n">
        <v>0</v>
      </c>
      <c r="Q197" t="n">
        <v>0</v>
      </c>
      <c r="R197" s="2" t="inlineStr"/>
    </row>
    <row r="198" ht="15" customHeight="1">
      <c r="A198" t="inlineStr">
        <is>
          <t>A 31479-2023</t>
        </is>
      </c>
      <c r="B198" s="1" t="n">
        <v>45114.79793981482</v>
      </c>
      <c r="C198" s="1" t="n">
        <v>45916</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37813-2022</t>
        </is>
      </c>
      <c r="B199" s="1" t="n">
        <v>44810</v>
      </c>
      <c r="C199" s="1" t="n">
        <v>45916</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74436-2021</t>
        </is>
      </c>
      <c r="B200" s="1" t="n">
        <v>44560.4502199074</v>
      </c>
      <c r="C200" s="1" t="n">
        <v>45916</v>
      </c>
      <c r="D200" t="inlineStr">
        <is>
          <t>UPPSALA LÄN</t>
        </is>
      </c>
      <c r="E200" t="inlineStr">
        <is>
          <t>ÖSTHAMMAR</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53137-2020</t>
        </is>
      </c>
      <c r="B201" s="1" t="n">
        <v>44120</v>
      </c>
      <c r="C201" s="1" t="n">
        <v>45916</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36904-2023</t>
        </is>
      </c>
      <c r="B202" s="1" t="n">
        <v>45154</v>
      </c>
      <c r="C202" s="1" t="n">
        <v>45916</v>
      </c>
      <c r="D202" t="inlineStr">
        <is>
          <t>UPPSALA LÄN</t>
        </is>
      </c>
      <c r="E202" t="inlineStr">
        <is>
          <t>ÖSTHAMMAR</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13248-2025</t>
        </is>
      </c>
      <c r="B203" s="1" t="n">
        <v>45735</v>
      </c>
      <c r="C203" s="1" t="n">
        <v>45916</v>
      </c>
      <c r="D203" t="inlineStr">
        <is>
          <t>UPPSALA LÄN</t>
        </is>
      </c>
      <c r="E203" t="inlineStr">
        <is>
          <t>ÖSTHAMMAR</t>
        </is>
      </c>
      <c r="F203" t="inlineStr">
        <is>
          <t>Kyrkan</t>
        </is>
      </c>
      <c r="G203" t="n">
        <v>12.2</v>
      </c>
      <c r="H203" t="n">
        <v>0</v>
      </c>
      <c r="I203" t="n">
        <v>0</v>
      </c>
      <c r="J203" t="n">
        <v>0</v>
      </c>
      <c r="K203" t="n">
        <v>0</v>
      </c>
      <c r="L203" t="n">
        <v>0</v>
      </c>
      <c r="M203" t="n">
        <v>0</v>
      </c>
      <c r="N203" t="n">
        <v>0</v>
      </c>
      <c r="O203" t="n">
        <v>0</v>
      </c>
      <c r="P203" t="n">
        <v>0</v>
      </c>
      <c r="Q203" t="n">
        <v>0</v>
      </c>
      <c r="R203" s="2" t="inlineStr"/>
    </row>
    <row r="204" ht="15" customHeight="1">
      <c r="A204" t="inlineStr">
        <is>
          <t>A 56759-2024</t>
        </is>
      </c>
      <c r="B204" s="1" t="n">
        <v>45628.39877314815</v>
      </c>
      <c r="C204" s="1" t="n">
        <v>45916</v>
      </c>
      <c r="D204" t="inlineStr">
        <is>
          <t>UPPSALA LÄN</t>
        </is>
      </c>
      <c r="E204" t="inlineStr">
        <is>
          <t>ÖSTHAMMAR</t>
        </is>
      </c>
      <c r="G204" t="n">
        <v>4.7</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45916</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5188-2025</t>
        </is>
      </c>
      <c r="B206" s="1" t="n">
        <v>45691</v>
      </c>
      <c r="C206" s="1" t="n">
        <v>45916</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48719-2023</t>
        </is>
      </c>
      <c r="B207" s="1" t="n">
        <v>45208.70452546296</v>
      </c>
      <c r="C207" s="1" t="n">
        <v>45916</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45916</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1527-2025</t>
        </is>
      </c>
      <c r="B209" s="1" t="n">
        <v>45670</v>
      </c>
      <c r="C209" s="1" t="n">
        <v>45916</v>
      </c>
      <c r="D209" t="inlineStr">
        <is>
          <t>UPPSALA LÄN</t>
        </is>
      </c>
      <c r="E209" t="inlineStr">
        <is>
          <t>ÖSTHAMMAR</t>
        </is>
      </c>
      <c r="F209" t="inlineStr">
        <is>
          <t>Bergvik skog öst AB</t>
        </is>
      </c>
      <c r="G209" t="n">
        <v>7.7</v>
      </c>
      <c r="H209" t="n">
        <v>0</v>
      </c>
      <c r="I209" t="n">
        <v>0</v>
      </c>
      <c r="J209" t="n">
        <v>0</v>
      </c>
      <c r="K209" t="n">
        <v>0</v>
      </c>
      <c r="L209" t="n">
        <v>0</v>
      </c>
      <c r="M209" t="n">
        <v>0</v>
      </c>
      <c r="N209" t="n">
        <v>0</v>
      </c>
      <c r="O209" t="n">
        <v>0</v>
      </c>
      <c r="P209" t="n">
        <v>0</v>
      </c>
      <c r="Q209" t="n">
        <v>0</v>
      </c>
      <c r="R209" s="2" t="inlineStr"/>
    </row>
    <row r="210" ht="15" customHeight="1">
      <c r="A210" t="inlineStr">
        <is>
          <t>A 10275-2025</t>
        </is>
      </c>
      <c r="B210" s="1" t="n">
        <v>45720.39715277778</v>
      </c>
      <c r="C210" s="1" t="n">
        <v>45916</v>
      </c>
      <c r="D210" t="inlineStr">
        <is>
          <t>UPPSALA LÄN</t>
        </is>
      </c>
      <c r="E210" t="inlineStr">
        <is>
          <t>ÖSTHAMMAR</t>
        </is>
      </c>
      <c r="G210" t="n">
        <v>6.2</v>
      </c>
      <c r="H210" t="n">
        <v>0</v>
      </c>
      <c r="I210" t="n">
        <v>0</v>
      </c>
      <c r="J210" t="n">
        <v>0</v>
      </c>
      <c r="K210" t="n">
        <v>0</v>
      </c>
      <c r="L210" t="n">
        <v>0</v>
      </c>
      <c r="M210" t="n">
        <v>0</v>
      </c>
      <c r="N210" t="n">
        <v>0</v>
      </c>
      <c r="O210" t="n">
        <v>0</v>
      </c>
      <c r="P210" t="n">
        <v>0</v>
      </c>
      <c r="Q210" t="n">
        <v>0</v>
      </c>
      <c r="R210" s="2" t="inlineStr"/>
    </row>
    <row r="211" ht="15" customHeight="1">
      <c r="A211" t="inlineStr">
        <is>
          <t>A 4304-2025</t>
        </is>
      </c>
      <c r="B211" s="1" t="n">
        <v>45685.68193287037</v>
      </c>
      <c r="C211" s="1" t="n">
        <v>45916</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21862-2023</t>
        </is>
      </c>
      <c r="B212" s="1" t="n">
        <v>45068</v>
      </c>
      <c r="C212" s="1" t="n">
        <v>45916</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55086-2024</t>
        </is>
      </c>
      <c r="B213" s="1" t="n">
        <v>45621.43098379629</v>
      </c>
      <c r="C213" s="1" t="n">
        <v>45916</v>
      </c>
      <c r="D213" t="inlineStr">
        <is>
          <t>UPPSALA LÄN</t>
        </is>
      </c>
      <c r="E213" t="inlineStr">
        <is>
          <t>ÖSTHAMMAR</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62695-2023</t>
        </is>
      </c>
      <c r="B214" s="1" t="n">
        <v>45271</v>
      </c>
      <c r="C214" s="1" t="n">
        <v>45916</v>
      </c>
      <c r="D214" t="inlineStr">
        <is>
          <t>UPPSALA LÄN</t>
        </is>
      </c>
      <c r="E214" t="inlineStr">
        <is>
          <t>ÖSTHAMMAR</t>
        </is>
      </c>
      <c r="G214" t="n">
        <v>5.3</v>
      </c>
      <c r="H214" t="n">
        <v>0</v>
      </c>
      <c r="I214" t="n">
        <v>0</v>
      </c>
      <c r="J214" t="n">
        <v>0</v>
      </c>
      <c r="K214" t="n">
        <v>0</v>
      </c>
      <c r="L214" t="n">
        <v>0</v>
      </c>
      <c r="M214" t="n">
        <v>0</v>
      </c>
      <c r="N214" t="n">
        <v>0</v>
      </c>
      <c r="O214" t="n">
        <v>0</v>
      </c>
      <c r="P214" t="n">
        <v>0</v>
      </c>
      <c r="Q214" t="n">
        <v>0</v>
      </c>
      <c r="R214" s="2" t="inlineStr"/>
    </row>
    <row r="215" ht="15" customHeight="1">
      <c r="A215" t="inlineStr">
        <is>
          <t>A 4559-2022</t>
        </is>
      </c>
      <c r="B215" s="1" t="n">
        <v>44591.51854166666</v>
      </c>
      <c r="C215" s="1" t="n">
        <v>45916</v>
      </c>
      <c r="D215" t="inlineStr">
        <is>
          <t>UPPSALA LÄN</t>
        </is>
      </c>
      <c r="E215" t="inlineStr">
        <is>
          <t>ÖSTHAMMAR</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7118-2023</t>
        </is>
      </c>
      <c r="B216" s="1" t="n">
        <v>44970.39591435185</v>
      </c>
      <c r="C216" s="1" t="n">
        <v>45916</v>
      </c>
      <c r="D216" t="inlineStr">
        <is>
          <t>UPPSALA LÄN</t>
        </is>
      </c>
      <c r="E216" t="inlineStr">
        <is>
          <t>ÖSTHAMMAR</t>
        </is>
      </c>
      <c r="G216" t="n">
        <v>2.1</v>
      </c>
      <c r="H216" t="n">
        <v>0</v>
      </c>
      <c r="I216" t="n">
        <v>0</v>
      </c>
      <c r="J216" t="n">
        <v>0</v>
      </c>
      <c r="K216" t="n">
        <v>0</v>
      </c>
      <c r="L216" t="n">
        <v>0</v>
      </c>
      <c r="M216" t="n">
        <v>0</v>
      </c>
      <c r="N216" t="n">
        <v>0</v>
      </c>
      <c r="O216" t="n">
        <v>0</v>
      </c>
      <c r="P216" t="n">
        <v>0</v>
      </c>
      <c r="Q216" t="n">
        <v>0</v>
      </c>
      <c r="R216" s="2" t="inlineStr"/>
    </row>
    <row r="217" ht="15" customHeight="1">
      <c r="A217" t="inlineStr">
        <is>
          <t>A 53735-2023</t>
        </is>
      </c>
      <c r="B217" s="1" t="n">
        <v>45230.77258101852</v>
      </c>
      <c r="C217" s="1" t="n">
        <v>45916</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24493-2023</t>
        </is>
      </c>
      <c r="B218" s="1" t="n">
        <v>45082.62603009259</v>
      </c>
      <c r="C218" s="1" t="n">
        <v>45916</v>
      </c>
      <c r="D218" t="inlineStr">
        <is>
          <t>UPPSALA LÄN</t>
        </is>
      </c>
      <c r="E218" t="inlineStr">
        <is>
          <t>ÖSTHAMMAR</t>
        </is>
      </c>
      <c r="G218" t="n">
        <v>1.9</v>
      </c>
      <c r="H218" t="n">
        <v>0</v>
      </c>
      <c r="I218" t="n">
        <v>0</v>
      </c>
      <c r="J218" t="n">
        <v>0</v>
      </c>
      <c r="K218" t="n">
        <v>0</v>
      </c>
      <c r="L218" t="n">
        <v>0</v>
      </c>
      <c r="M218" t="n">
        <v>0</v>
      </c>
      <c r="N218" t="n">
        <v>0</v>
      </c>
      <c r="O218" t="n">
        <v>0</v>
      </c>
      <c r="P218" t="n">
        <v>0</v>
      </c>
      <c r="Q218" t="n">
        <v>0</v>
      </c>
      <c r="R218" s="2" t="inlineStr"/>
    </row>
    <row r="219" ht="15" customHeight="1">
      <c r="A219" t="inlineStr">
        <is>
          <t>A 38702-2022</t>
        </is>
      </c>
      <c r="B219" s="1" t="n">
        <v>44814.5991087963</v>
      </c>
      <c r="C219" s="1" t="n">
        <v>45916</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29824-2023</t>
        </is>
      </c>
      <c r="B220" s="1" t="n">
        <v>45107</v>
      </c>
      <c r="C220" s="1" t="n">
        <v>45916</v>
      </c>
      <c r="D220" t="inlineStr">
        <is>
          <t>UPPSALA LÄN</t>
        </is>
      </c>
      <c r="E220" t="inlineStr">
        <is>
          <t>ÖSTHAMMAR</t>
        </is>
      </c>
      <c r="F220" t="inlineStr">
        <is>
          <t>Naturvårdsverket</t>
        </is>
      </c>
      <c r="G220" t="n">
        <v>1.6</v>
      </c>
      <c r="H220" t="n">
        <v>0</v>
      </c>
      <c r="I220" t="n">
        <v>0</v>
      </c>
      <c r="J220" t="n">
        <v>0</v>
      </c>
      <c r="K220" t="n">
        <v>0</v>
      </c>
      <c r="L220" t="n">
        <v>0</v>
      </c>
      <c r="M220" t="n">
        <v>0</v>
      </c>
      <c r="N220" t="n">
        <v>0</v>
      </c>
      <c r="O220" t="n">
        <v>0</v>
      </c>
      <c r="P220" t="n">
        <v>0</v>
      </c>
      <c r="Q220" t="n">
        <v>0</v>
      </c>
      <c r="R220" s="2" t="inlineStr"/>
    </row>
    <row r="221" ht="15" customHeight="1">
      <c r="A221" t="inlineStr">
        <is>
          <t>A 11987-2022</t>
        </is>
      </c>
      <c r="B221" s="1" t="n">
        <v>44635.68695601852</v>
      </c>
      <c r="C221" s="1" t="n">
        <v>45916</v>
      </c>
      <c r="D221" t="inlineStr">
        <is>
          <t>UPPSALA LÄN</t>
        </is>
      </c>
      <c r="E221" t="inlineStr">
        <is>
          <t>ÖSTHAMMAR</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10982-2023</t>
        </is>
      </c>
      <c r="B222" s="1" t="n">
        <v>44991.62203703704</v>
      </c>
      <c r="C222" s="1" t="n">
        <v>45916</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7560-2023</t>
        </is>
      </c>
      <c r="B223" s="1" t="n">
        <v>44972.34811342593</v>
      </c>
      <c r="C223" s="1" t="n">
        <v>45916</v>
      </c>
      <c r="D223" t="inlineStr">
        <is>
          <t>UPPSALA LÄN</t>
        </is>
      </c>
      <c r="E223" t="inlineStr">
        <is>
          <t>ÖSTHAMMAR</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1439-2025</t>
        </is>
      </c>
      <c r="B224" s="1" t="n">
        <v>45669.69075231482</v>
      </c>
      <c r="C224" s="1" t="n">
        <v>45916</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1575-2025</t>
        </is>
      </c>
      <c r="B225" s="1" t="n">
        <v>45670</v>
      </c>
      <c r="C225" s="1" t="n">
        <v>45916</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22207-2022</t>
        </is>
      </c>
      <c r="B226" s="1" t="n">
        <v>44712.51509259259</v>
      </c>
      <c r="C226" s="1" t="n">
        <v>45916</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20046-2023</t>
        </is>
      </c>
      <c r="B227" s="1" t="n">
        <v>45054</v>
      </c>
      <c r="C227" s="1" t="n">
        <v>45916</v>
      </c>
      <c r="D227" t="inlineStr">
        <is>
          <t>UPPSALA LÄN</t>
        </is>
      </c>
      <c r="E227" t="inlineStr">
        <is>
          <t>ÖSTHAMMAR</t>
        </is>
      </c>
      <c r="G227" t="n">
        <v>0.4</v>
      </c>
      <c r="H227" t="n">
        <v>0</v>
      </c>
      <c r="I227" t="n">
        <v>0</v>
      </c>
      <c r="J227" t="n">
        <v>0</v>
      </c>
      <c r="K227" t="n">
        <v>0</v>
      </c>
      <c r="L227" t="n">
        <v>0</v>
      </c>
      <c r="M227" t="n">
        <v>0</v>
      </c>
      <c r="N227" t="n">
        <v>0</v>
      </c>
      <c r="O227" t="n">
        <v>0</v>
      </c>
      <c r="P227" t="n">
        <v>0</v>
      </c>
      <c r="Q227" t="n">
        <v>0</v>
      </c>
      <c r="R227" s="2" t="inlineStr"/>
    </row>
    <row r="228" ht="15" customHeight="1">
      <c r="A228" t="inlineStr">
        <is>
          <t>A 19040-2023</t>
        </is>
      </c>
      <c r="B228" s="1" t="n">
        <v>45047</v>
      </c>
      <c r="C228" s="1" t="n">
        <v>45916</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4004-2023</t>
        </is>
      </c>
      <c r="B229" s="1" t="n">
        <v>44952</v>
      </c>
      <c r="C229" s="1" t="n">
        <v>45916</v>
      </c>
      <c r="D229" t="inlineStr">
        <is>
          <t>UPPSALA LÄN</t>
        </is>
      </c>
      <c r="E229" t="inlineStr">
        <is>
          <t>ÖSTHAMMAR</t>
        </is>
      </c>
      <c r="G229" t="n">
        <v>4.1</v>
      </c>
      <c r="H229" t="n">
        <v>0</v>
      </c>
      <c r="I229" t="n">
        <v>0</v>
      </c>
      <c r="J229" t="n">
        <v>0</v>
      </c>
      <c r="K229" t="n">
        <v>0</v>
      </c>
      <c r="L229" t="n">
        <v>0</v>
      </c>
      <c r="M229" t="n">
        <v>0</v>
      </c>
      <c r="N229" t="n">
        <v>0</v>
      </c>
      <c r="O229" t="n">
        <v>0</v>
      </c>
      <c r="P229" t="n">
        <v>0</v>
      </c>
      <c r="Q229" t="n">
        <v>0</v>
      </c>
      <c r="R229" s="2" t="inlineStr"/>
    </row>
    <row r="230" ht="15" customHeight="1">
      <c r="A230" t="inlineStr">
        <is>
          <t>A 30086-2023</t>
        </is>
      </c>
      <c r="B230" s="1" t="n">
        <v>45110.43907407407</v>
      </c>
      <c r="C230" s="1" t="n">
        <v>45916</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22884-2024</t>
        </is>
      </c>
      <c r="B231" s="1" t="n">
        <v>45448</v>
      </c>
      <c r="C231" s="1" t="n">
        <v>45916</v>
      </c>
      <c r="D231" t="inlineStr">
        <is>
          <t>UPPSALA LÄN</t>
        </is>
      </c>
      <c r="E231" t="inlineStr">
        <is>
          <t>ÖSTHAMMAR</t>
        </is>
      </c>
      <c r="G231" t="n">
        <v>3.3</v>
      </c>
      <c r="H231" t="n">
        <v>0</v>
      </c>
      <c r="I231" t="n">
        <v>0</v>
      </c>
      <c r="J231" t="n">
        <v>0</v>
      </c>
      <c r="K231" t="n">
        <v>0</v>
      </c>
      <c r="L231" t="n">
        <v>0</v>
      </c>
      <c r="M231" t="n">
        <v>0</v>
      </c>
      <c r="N231" t="n">
        <v>0</v>
      </c>
      <c r="O231" t="n">
        <v>0</v>
      </c>
      <c r="P231" t="n">
        <v>0</v>
      </c>
      <c r="Q231" t="n">
        <v>0</v>
      </c>
      <c r="R231" s="2" t="inlineStr"/>
    </row>
    <row r="232" ht="15" customHeight="1">
      <c r="A232" t="inlineStr">
        <is>
          <t>A 20385-2025</t>
        </is>
      </c>
      <c r="B232" s="1" t="n">
        <v>45775.44483796296</v>
      </c>
      <c r="C232" s="1" t="n">
        <v>45916</v>
      </c>
      <c r="D232" t="inlineStr">
        <is>
          <t>UPPSALA LÄN</t>
        </is>
      </c>
      <c r="E232" t="inlineStr">
        <is>
          <t>ÖSTHAMMAR</t>
        </is>
      </c>
      <c r="G232" t="n">
        <v>1.9</v>
      </c>
      <c r="H232" t="n">
        <v>0</v>
      </c>
      <c r="I232" t="n">
        <v>0</v>
      </c>
      <c r="J232" t="n">
        <v>0</v>
      </c>
      <c r="K232" t="n">
        <v>0</v>
      </c>
      <c r="L232" t="n">
        <v>0</v>
      </c>
      <c r="M232" t="n">
        <v>0</v>
      </c>
      <c r="N232" t="n">
        <v>0</v>
      </c>
      <c r="O232" t="n">
        <v>0</v>
      </c>
      <c r="P232" t="n">
        <v>0</v>
      </c>
      <c r="Q232" t="n">
        <v>0</v>
      </c>
      <c r="R232" s="2" t="inlineStr"/>
    </row>
    <row r="233" ht="15" customHeight="1">
      <c r="A233" t="inlineStr">
        <is>
          <t>A 26552-2022</t>
        </is>
      </c>
      <c r="B233" s="1" t="n">
        <v>44739</v>
      </c>
      <c r="C233" s="1" t="n">
        <v>45916</v>
      </c>
      <c r="D233" t="inlineStr">
        <is>
          <t>UPPSALA LÄN</t>
        </is>
      </c>
      <c r="E233" t="inlineStr">
        <is>
          <t>ÖSTHAMMAR</t>
        </is>
      </c>
      <c r="G233" t="n">
        <v>2.2</v>
      </c>
      <c r="H233" t="n">
        <v>0</v>
      </c>
      <c r="I233" t="n">
        <v>0</v>
      </c>
      <c r="J233" t="n">
        <v>0</v>
      </c>
      <c r="K233" t="n">
        <v>0</v>
      </c>
      <c r="L233" t="n">
        <v>0</v>
      </c>
      <c r="M233" t="n">
        <v>0</v>
      </c>
      <c r="N233" t="n">
        <v>0</v>
      </c>
      <c r="O233" t="n">
        <v>0</v>
      </c>
      <c r="P233" t="n">
        <v>0</v>
      </c>
      <c r="Q233" t="n">
        <v>0</v>
      </c>
      <c r="R233" s="2" t="inlineStr"/>
    </row>
    <row r="234" ht="15" customHeight="1">
      <c r="A234" t="inlineStr">
        <is>
          <t>A 29753-2022</t>
        </is>
      </c>
      <c r="B234" s="1" t="n">
        <v>44755</v>
      </c>
      <c r="C234" s="1" t="n">
        <v>45916</v>
      </c>
      <c r="D234" t="inlineStr">
        <is>
          <t>UPPSALA LÄN</t>
        </is>
      </c>
      <c r="E234" t="inlineStr">
        <is>
          <t>ÖSTHAMMAR</t>
        </is>
      </c>
      <c r="G234" t="n">
        <v>9.4</v>
      </c>
      <c r="H234" t="n">
        <v>0</v>
      </c>
      <c r="I234" t="n">
        <v>0</v>
      </c>
      <c r="J234" t="n">
        <v>0</v>
      </c>
      <c r="K234" t="n">
        <v>0</v>
      </c>
      <c r="L234" t="n">
        <v>0</v>
      </c>
      <c r="M234" t="n">
        <v>0</v>
      </c>
      <c r="N234" t="n">
        <v>0</v>
      </c>
      <c r="O234" t="n">
        <v>0</v>
      </c>
      <c r="P234" t="n">
        <v>0</v>
      </c>
      <c r="Q234" t="n">
        <v>0</v>
      </c>
      <c r="R234" s="2" t="inlineStr"/>
    </row>
    <row r="235" ht="15" customHeight="1">
      <c r="A235" t="inlineStr">
        <is>
          <t>A 65361-2020</t>
        </is>
      </c>
      <c r="B235" s="1" t="n">
        <v>44173</v>
      </c>
      <c r="C235" s="1" t="n">
        <v>45916</v>
      </c>
      <c r="D235" t="inlineStr">
        <is>
          <t>UPPSALA LÄN</t>
        </is>
      </c>
      <c r="E235" t="inlineStr">
        <is>
          <t>ÖSTHAMMAR</t>
        </is>
      </c>
      <c r="G235" t="n">
        <v>3.6</v>
      </c>
      <c r="H235" t="n">
        <v>0</v>
      </c>
      <c r="I235" t="n">
        <v>0</v>
      </c>
      <c r="J235" t="n">
        <v>0</v>
      </c>
      <c r="K235" t="n">
        <v>0</v>
      </c>
      <c r="L235" t="n">
        <v>0</v>
      </c>
      <c r="M235" t="n">
        <v>0</v>
      </c>
      <c r="N235" t="n">
        <v>0</v>
      </c>
      <c r="O235" t="n">
        <v>0</v>
      </c>
      <c r="P235" t="n">
        <v>0</v>
      </c>
      <c r="Q235" t="n">
        <v>0</v>
      </c>
      <c r="R235" s="2" t="inlineStr"/>
    </row>
    <row r="236" ht="15" customHeight="1">
      <c r="A236" t="inlineStr">
        <is>
          <t>A 31549-2022</t>
        </is>
      </c>
      <c r="B236" s="1" t="n">
        <v>44775.400625</v>
      </c>
      <c r="C236" s="1" t="n">
        <v>45916</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1584-2025</t>
        </is>
      </c>
      <c r="B237" s="1" t="n">
        <v>45670</v>
      </c>
      <c r="C237" s="1" t="n">
        <v>45916</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30972-2024</t>
        </is>
      </c>
      <c r="B238" s="1" t="n">
        <v>45499.47106481482</v>
      </c>
      <c r="C238" s="1" t="n">
        <v>45916</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24160-2024</t>
        </is>
      </c>
      <c r="B239" s="1" t="n">
        <v>45456</v>
      </c>
      <c r="C239" s="1" t="n">
        <v>45916</v>
      </c>
      <c r="D239" t="inlineStr">
        <is>
          <t>UPPSALA LÄN</t>
        </is>
      </c>
      <c r="E239" t="inlineStr">
        <is>
          <t>ÖSTHAMMAR</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24415-2025</t>
        </is>
      </c>
      <c r="B240" s="1" t="n">
        <v>45797.67381944445</v>
      </c>
      <c r="C240" s="1" t="n">
        <v>45916</v>
      </c>
      <c r="D240" t="inlineStr">
        <is>
          <t>UPPSALA LÄN</t>
        </is>
      </c>
      <c r="E240" t="inlineStr">
        <is>
          <t>ÖSTHAMMAR</t>
        </is>
      </c>
      <c r="G240" t="n">
        <v>0.8</v>
      </c>
      <c r="H240" t="n">
        <v>0</v>
      </c>
      <c r="I240" t="n">
        <v>0</v>
      </c>
      <c r="J240" t="n">
        <v>0</v>
      </c>
      <c r="K240" t="n">
        <v>0</v>
      </c>
      <c r="L240" t="n">
        <v>0</v>
      </c>
      <c r="M240" t="n">
        <v>0</v>
      </c>
      <c r="N240" t="n">
        <v>0</v>
      </c>
      <c r="O240" t="n">
        <v>0</v>
      </c>
      <c r="P240" t="n">
        <v>0</v>
      </c>
      <c r="Q240" t="n">
        <v>0</v>
      </c>
      <c r="R240" s="2" t="inlineStr"/>
    </row>
    <row r="241" ht="15" customHeight="1">
      <c r="A241" t="inlineStr">
        <is>
          <t>A 38571-2023</t>
        </is>
      </c>
      <c r="B241" s="1" t="n">
        <v>45162.6177662037</v>
      </c>
      <c r="C241" s="1" t="n">
        <v>45916</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32742-2022</t>
        </is>
      </c>
      <c r="B242" s="1" t="n">
        <v>44783.69886574074</v>
      </c>
      <c r="C242" s="1" t="n">
        <v>45916</v>
      </c>
      <c r="D242" t="inlineStr">
        <is>
          <t>UPPSALA LÄN</t>
        </is>
      </c>
      <c r="E242" t="inlineStr">
        <is>
          <t>ÖSTHAMMAR</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49833-2023</t>
        </is>
      </c>
      <c r="B243" s="1" t="n">
        <v>45212.71481481481</v>
      </c>
      <c r="C243" s="1" t="n">
        <v>45916</v>
      </c>
      <c r="D243" t="inlineStr">
        <is>
          <t>UPPSALA LÄN</t>
        </is>
      </c>
      <c r="E243" t="inlineStr">
        <is>
          <t>ÖSTHAMMAR</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5884-2023</t>
        </is>
      </c>
      <c r="B244" s="1" t="n">
        <v>44963</v>
      </c>
      <c r="C244" s="1" t="n">
        <v>45916</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45307-2023</t>
        </is>
      </c>
      <c r="B245" s="1" t="n">
        <v>45191</v>
      </c>
      <c r="C245" s="1" t="n">
        <v>45916</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12654-2025</t>
        </is>
      </c>
      <c r="B246" s="1" t="n">
        <v>45733.41601851852</v>
      </c>
      <c r="C246" s="1" t="n">
        <v>45916</v>
      </c>
      <c r="D246" t="inlineStr">
        <is>
          <t>UPPSALA LÄN</t>
        </is>
      </c>
      <c r="E246" t="inlineStr">
        <is>
          <t>ÖSTHAMMAR</t>
        </is>
      </c>
      <c r="G246" t="n">
        <v>9.9</v>
      </c>
      <c r="H246" t="n">
        <v>0</v>
      </c>
      <c r="I246" t="n">
        <v>0</v>
      </c>
      <c r="J246" t="n">
        <v>0</v>
      </c>
      <c r="K246" t="n">
        <v>0</v>
      </c>
      <c r="L246" t="n">
        <v>0</v>
      </c>
      <c r="M246" t="n">
        <v>0</v>
      </c>
      <c r="N246" t="n">
        <v>0</v>
      </c>
      <c r="O246" t="n">
        <v>0</v>
      </c>
      <c r="P246" t="n">
        <v>0</v>
      </c>
      <c r="Q246" t="n">
        <v>0</v>
      </c>
      <c r="R246" s="2" t="inlineStr"/>
    </row>
    <row r="247" ht="15" customHeight="1">
      <c r="A247" t="inlineStr">
        <is>
          <t>A 24389-2025</t>
        </is>
      </c>
      <c r="B247" s="1" t="n">
        <v>45797.63553240741</v>
      </c>
      <c r="C247" s="1" t="n">
        <v>45916</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24401-2025</t>
        </is>
      </c>
      <c r="B248" s="1" t="n">
        <v>45797.64908564815</v>
      </c>
      <c r="C248" s="1" t="n">
        <v>45916</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23968-2025</t>
        </is>
      </c>
      <c r="B249" s="1" t="n">
        <v>45796</v>
      </c>
      <c r="C249" s="1" t="n">
        <v>45916</v>
      </c>
      <c r="D249" t="inlineStr">
        <is>
          <t>UPPSALA LÄN</t>
        </is>
      </c>
      <c r="E249" t="inlineStr">
        <is>
          <t>ÖSTHAMMAR</t>
        </is>
      </c>
      <c r="F249" t="inlineStr">
        <is>
          <t>Bergvik skog öst AB</t>
        </is>
      </c>
      <c r="G249" t="n">
        <v>7.5</v>
      </c>
      <c r="H249" t="n">
        <v>0</v>
      </c>
      <c r="I249" t="n">
        <v>0</v>
      </c>
      <c r="J249" t="n">
        <v>0</v>
      </c>
      <c r="K249" t="n">
        <v>0</v>
      </c>
      <c r="L249" t="n">
        <v>0</v>
      </c>
      <c r="M249" t="n">
        <v>0</v>
      </c>
      <c r="N249" t="n">
        <v>0</v>
      </c>
      <c r="O249" t="n">
        <v>0</v>
      </c>
      <c r="P249" t="n">
        <v>0</v>
      </c>
      <c r="Q249" t="n">
        <v>0</v>
      </c>
      <c r="R249" s="2" t="inlineStr"/>
    </row>
    <row r="250" ht="15" customHeight="1">
      <c r="A250" t="inlineStr">
        <is>
          <t>A 36857-2023</t>
        </is>
      </c>
      <c r="B250" s="1" t="n">
        <v>45154.55175925926</v>
      </c>
      <c r="C250" s="1" t="n">
        <v>45916</v>
      </c>
      <c r="D250" t="inlineStr">
        <is>
          <t>UPPSALA LÄN</t>
        </is>
      </c>
      <c r="E250" t="inlineStr">
        <is>
          <t>ÖSTHAMMAR</t>
        </is>
      </c>
      <c r="G250" t="n">
        <v>0.5</v>
      </c>
      <c r="H250" t="n">
        <v>0</v>
      </c>
      <c r="I250" t="n">
        <v>0</v>
      </c>
      <c r="J250" t="n">
        <v>0</v>
      </c>
      <c r="K250" t="n">
        <v>0</v>
      </c>
      <c r="L250" t="n">
        <v>0</v>
      </c>
      <c r="M250" t="n">
        <v>0</v>
      </c>
      <c r="N250" t="n">
        <v>0</v>
      </c>
      <c r="O250" t="n">
        <v>0</v>
      </c>
      <c r="P250" t="n">
        <v>0</v>
      </c>
      <c r="Q250" t="n">
        <v>0</v>
      </c>
      <c r="R250" s="2" t="inlineStr"/>
    </row>
    <row r="251" ht="15" customHeight="1">
      <c r="A251" t="inlineStr">
        <is>
          <t>A 52650-2022</t>
        </is>
      </c>
      <c r="B251" s="1" t="n">
        <v>44874</v>
      </c>
      <c r="C251" s="1" t="n">
        <v>45916</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1800-2023</t>
        </is>
      </c>
      <c r="B252" s="1" t="n">
        <v>44938</v>
      </c>
      <c r="C252" s="1" t="n">
        <v>45916</v>
      </c>
      <c r="D252" t="inlineStr">
        <is>
          <t>UPPSALA LÄN</t>
        </is>
      </c>
      <c r="E252" t="inlineStr">
        <is>
          <t>ÖSTHAMMAR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8699-2025</t>
        </is>
      </c>
      <c r="B253" s="1" t="n">
        <v>45712.47983796296</v>
      </c>
      <c r="C253" s="1" t="n">
        <v>45916</v>
      </c>
      <c r="D253" t="inlineStr">
        <is>
          <t>UPPSALA LÄN</t>
        </is>
      </c>
      <c r="E253" t="inlineStr">
        <is>
          <t>ÖSTHAMMAR</t>
        </is>
      </c>
      <c r="G253" t="n">
        <v>5.6</v>
      </c>
      <c r="H253" t="n">
        <v>0</v>
      </c>
      <c r="I253" t="n">
        <v>0</v>
      </c>
      <c r="J253" t="n">
        <v>0</v>
      </c>
      <c r="K253" t="n">
        <v>0</v>
      </c>
      <c r="L253" t="n">
        <v>0</v>
      </c>
      <c r="M253" t="n">
        <v>0</v>
      </c>
      <c r="N253" t="n">
        <v>0</v>
      </c>
      <c r="O253" t="n">
        <v>0</v>
      </c>
      <c r="P253" t="n">
        <v>0</v>
      </c>
      <c r="Q253" t="n">
        <v>0</v>
      </c>
      <c r="R253" s="2" t="inlineStr"/>
    </row>
    <row r="254" ht="15" customHeight="1">
      <c r="A254" t="inlineStr">
        <is>
          <t>A 8791-2025</t>
        </is>
      </c>
      <c r="B254" s="1" t="n">
        <v>45712</v>
      </c>
      <c r="C254" s="1" t="n">
        <v>45916</v>
      </c>
      <c r="D254" t="inlineStr">
        <is>
          <t>UPPSALA LÄN</t>
        </is>
      </c>
      <c r="E254" t="inlineStr">
        <is>
          <t>ÖSTHAMMAR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31485-2023</t>
        </is>
      </c>
      <c r="B255" s="1" t="n">
        <v>45114</v>
      </c>
      <c r="C255" s="1" t="n">
        <v>45916</v>
      </c>
      <c r="D255" t="inlineStr">
        <is>
          <t>UPPSALA LÄN</t>
        </is>
      </c>
      <c r="E255" t="inlineStr">
        <is>
          <t>ÖSTHAMMAR</t>
        </is>
      </c>
      <c r="F255" t="inlineStr">
        <is>
          <t>Bergvik skog öst AB</t>
        </is>
      </c>
      <c r="G255" t="n">
        <v>1</v>
      </c>
      <c r="H255" t="n">
        <v>0</v>
      </c>
      <c r="I255" t="n">
        <v>0</v>
      </c>
      <c r="J255" t="n">
        <v>0</v>
      </c>
      <c r="K255" t="n">
        <v>0</v>
      </c>
      <c r="L255" t="n">
        <v>0</v>
      </c>
      <c r="M255" t="n">
        <v>0</v>
      </c>
      <c r="N255" t="n">
        <v>0</v>
      </c>
      <c r="O255" t="n">
        <v>0</v>
      </c>
      <c r="P255" t="n">
        <v>0</v>
      </c>
      <c r="Q255" t="n">
        <v>0</v>
      </c>
      <c r="R255" s="2" t="inlineStr"/>
    </row>
    <row r="256" ht="15" customHeight="1">
      <c r="A256" t="inlineStr">
        <is>
          <t>A 24174-2025</t>
        </is>
      </c>
      <c r="B256" s="1" t="n">
        <v>45796.69207175926</v>
      </c>
      <c r="C256" s="1" t="n">
        <v>45916</v>
      </c>
      <c r="D256" t="inlineStr">
        <is>
          <t>UPPSALA LÄN</t>
        </is>
      </c>
      <c r="E256" t="inlineStr">
        <is>
          <t>ÖSTHAMMAR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61261-2022</t>
        </is>
      </c>
      <c r="B257" s="1" t="n">
        <v>44915.59645833333</v>
      </c>
      <c r="C257" s="1" t="n">
        <v>45916</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24408-2025</t>
        </is>
      </c>
      <c r="B258" s="1" t="n">
        <v>45797.65774305556</v>
      </c>
      <c r="C258" s="1" t="n">
        <v>45916</v>
      </c>
      <c r="D258" t="inlineStr">
        <is>
          <t>UPPSALA LÄN</t>
        </is>
      </c>
      <c r="E258" t="inlineStr">
        <is>
          <t>ÖSTHAMMAR</t>
        </is>
      </c>
      <c r="G258" t="n">
        <v>1.6</v>
      </c>
      <c r="H258" t="n">
        <v>0</v>
      </c>
      <c r="I258" t="n">
        <v>0</v>
      </c>
      <c r="J258" t="n">
        <v>0</v>
      </c>
      <c r="K258" t="n">
        <v>0</v>
      </c>
      <c r="L258" t="n">
        <v>0</v>
      </c>
      <c r="M258" t="n">
        <v>0</v>
      </c>
      <c r="N258" t="n">
        <v>0</v>
      </c>
      <c r="O258" t="n">
        <v>0</v>
      </c>
      <c r="P258" t="n">
        <v>0</v>
      </c>
      <c r="Q258" t="n">
        <v>0</v>
      </c>
      <c r="R258" s="2" t="inlineStr"/>
    </row>
    <row r="259" ht="15" customHeight="1">
      <c r="A259" t="inlineStr">
        <is>
          <t>A 25897-2023</t>
        </is>
      </c>
      <c r="B259" s="1" t="n">
        <v>45090.63300925926</v>
      </c>
      <c r="C259" s="1" t="n">
        <v>45916</v>
      </c>
      <c r="D259" t="inlineStr">
        <is>
          <t>UPPSALA LÄN</t>
        </is>
      </c>
      <c r="E259" t="inlineStr">
        <is>
          <t>ÖSTHAMMAR</t>
        </is>
      </c>
      <c r="F259" t="inlineStr">
        <is>
          <t>Bergvik skog öst AB</t>
        </is>
      </c>
      <c r="G259" t="n">
        <v>1.6</v>
      </c>
      <c r="H259" t="n">
        <v>0</v>
      </c>
      <c r="I259" t="n">
        <v>0</v>
      </c>
      <c r="J259" t="n">
        <v>0</v>
      </c>
      <c r="K259" t="n">
        <v>0</v>
      </c>
      <c r="L259" t="n">
        <v>0</v>
      </c>
      <c r="M259" t="n">
        <v>0</v>
      </c>
      <c r="N259" t="n">
        <v>0</v>
      </c>
      <c r="O259" t="n">
        <v>0</v>
      </c>
      <c r="P259" t="n">
        <v>0</v>
      </c>
      <c r="Q259" t="n">
        <v>0</v>
      </c>
      <c r="R259" s="2" t="inlineStr"/>
    </row>
    <row r="260" ht="15" customHeight="1">
      <c r="A260" t="inlineStr">
        <is>
          <t>A 49206-2020</t>
        </is>
      </c>
      <c r="B260" s="1" t="n">
        <v>44105</v>
      </c>
      <c r="C260" s="1" t="n">
        <v>45916</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14187-2022</t>
        </is>
      </c>
      <c r="B261" s="1" t="n">
        <v>44651.5625</v>
      </c>
      <c r="C261" s="1" t="n">
        <v>45916</v>
      </c>
      <c r="D261" t="inlineStr">
        <is>
          <t>UPPSALA LÄN</t>
        </is>
      </c>
      <c r="E261" t="inlineStr">
        <is>
          <t>ÖSTHAMMAR</t>
        </is>
      </c>
      <c r="F261" t="inlineStr">
        <is>
          <t>Övriga Aktiebolag</t>
        </is>
      </c>
      <c r="G261" t="n">
        <v>14.1</v>
      </c>
      <c r="H261" t="n">
        <v>0</v>
      </c>
      <c r="I261" t="n">
        <v>0</v>
      </c>
      <c r="J261" t="n">
        <v>0</v>
      </c>
      <c r="K261" t="n">
        <v>0</v>
      </c>
      <c r="L261" t="n">
        <v>0</v>
      </c>
      <c r="M261" t="n">
        <v>0</v>
      </c>
      <c r="N261" t="n">
        <v>0</v>
      </c>
      <c r="O261" t="n">
        <v>0</v>
      </c>
      <c r="P261" t="n">
        <v>0</v>
      </c>
      <c r="Q261" t="n">
        <v>0</v>
      </c>
      <c r="R261" s="2" t="inlineStr"/>
    </row>
    <row r="262" ht="15" customHeight="1">
      <c r="A262" t="inlineStr">
        <is>
          <t>A 24606-2024</t>
        </is>
      </c>
      <c r="B262" s="1" t="n">
        <v>45460</v>
      </c>
      <c r="C262" s="1" t="n">
        <v>45916</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24412-2025</t>
        </is>
      </c>
      <c r="B263" s="1" t="n">
        <v>45797.6671412037</v>
      </c>
      <c r="C263" s="1" t="n">
        <v>45916</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44807-2024</t>
        </is>
      </c>
      <c r="B264" s="1" t="n">
        <v>45574.65427083334</v>
      </c>
      <c r="C264" s="1" t="n">
        <v>45916</v>
      </c>
      <c r="D264" t="inlineStr">
        <is>
          <t>UPPSALA LÄN</t>
        </is>
      </c>
      <c r="E264" t="inlineStr">
        <is>
          <t>ÖSTHAMMAR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13093-2022</t>
        </is>
      </c>
      <c r="B265" s="1" t="n">
        <v>44643.93269675926</v>
      </c>
      <c r="C265" s="1" t="n">
        <v>45916</v>
      </c>
      <c r="D265" t="inlineStr">
        <is>
          <t>UPPSALA LÄN</t>
        </is>
      </c>
      <c r="E265" t="inlineStr">
        <is>
          <t>ÖSTHAMMAR</t>
        </is>
      </c>
      <c r="F265" t="inlineStr">
        <is>
          <t>Bergvik skog öst AB</t>
        </is>
      </c>
      <c r="G265" t="n">
        <v>3.2</v>
      </c>
      <c r="H265" t="n">
        <v>0</v>
      </c>
      <c r="I265" t="n">
        <v>0</v>
      </c>
      <c r="J265" t="n">
        <v>0</v>
      </c>
      <c r="K265" t="n">
        <v>0</v>
      </c>
      <c r="L265" t="n">
        <v>0</v>
      </c>
      <c r="M265" t="n">
        <v>0</v>
      </c>
      <c r="N265" t="n">
        <v>0</v>
      </c>
      <c r="O265" t="n">
        <v>0</v>
      </c>
      <c r="P265" t="n">
        <v>0</v>
      </c>
      <c r="Q265" t="n">
        <v>0</v>
      </c>
      <c r="R265" s="2" t="inlineStr"/>
    </row>
    <row r="266" ht="15" customHeight="1">
      <c r="A266" t="inlineStr">
        <is>
          <t>A 8624-2025</t>
        </is>
      </c>
      <c r="B266" s="1" t="n">
        <v>45711.52333333333</v>
      </c>
      <c r="C266" s="1" t="n">
        <v>45916</v>
      </c>
      <c r="D266" t="inlineStr">
        <is>
          <t>UPPSALA LÄN</t>
        </is>
      </c>
      <c r="E266" t="inlineStr">
        <is>
          <t>ÖSTHAMMAR</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4101-2022</t>
        </is>
      </c>
      <c r="B267" s="1" t="n">
        <v>44588</v>
      </c>
      <c r="C267" s="1" t="n">
        <v>45916</v>
      </c>
      <c r="D267" t="inlineStr">
        <is>
          <t>UPPSALA LÄN</t>
        </is>
      </c>
      <c r="E267" t="inlineStr">
        <is>
          <t>ÖSTHAMMAR</t>
        </is>
      </c>
      <c r="G267" t="n">
        <v>4.4</v>
      </c>
      <c r="H267" t="n">
        <v>0</v>
      </c>
      <c r="I267" t="n">
        <v>0</v>
      </c>
      <c r="J267" t="n">
        <v>0</v>
      </c>
      <c r="K267" t="n">
        <v>0</v>
      </c>
      <c r="L267" t="n">
        <v>0</v>
      </c>
      <c r="M267" t="n">
        <v>0</v>
      </c>
      <c r="N267" t="n">
        <v>0</v>
      </c>
      <c r="O267" t="n">
        <v>0</v>
      </c>
      <c r="P267" t="n">
        <v>0</v>
      </c>
      <c r="Q267" t="n">
        <v>0</v>
      </c>
      <c r="R267" s="2" t="inlineStr"/>
    </row>
    <row r="268" ht="15" customHeight="1">
      <c r="A268" t="inlineStr">
        <is>
          <t>A 25049-2025</t>
        </is>
      </c>
      <c r="B268" s="1" t="n">
        <v>45799.66876157407</v>
      </c>
      <c r="C268" s="1" t="n">
        <v>45916</v>
      </c>
      <c r="D268" t="inlineStr">
        <is>
          <t>UPPSALA LÄN</t>
        </is>
      </c>
      <c r="E268" t="inlineStr">
        <is>
          <t>ÖSTHAMMAR</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2839-2025</t>
        </is>
      </c>
      <c r="B269" s="1" t="n">
        <v>45677</v>
      </c>
      <c r="C269" s="1" t="n">
        <v>45916</v>
      </c>
      <c r="D269" t="inlineStr">
        <is>
          <t>UPPSALA LÄN</t>
        </is>
      </c>
      <c r="E269" t="inlineStr">
        <is>
          <t>ÖSTHAMMAR</t>
        </is>
      </c>
      <c r="F269" t="inlineStr">
        <is>
          <t>Övriga Aktiebolag</t>
        </is>
      </c>
      <c r="G269" t="n">
        <v>4</v>
      </c>
      <c r="H269" t="n">
        <v>0</v>
      </c>
      <c r="I269" t="n">
        <v>0</v>
      </c>
      <c r="J269" t="n">
        <v>0</v>
      </c>
      <c r="K269" t="n">
        <v>0</v>
      </c>
      <c r="L269" t="n">
        <v>0</v>
      </c>
      <c r="M269" t="n">
        <v>0</v>
      </c>
      <c r="N269" t="n">
        <v>0</v>
      </c>
      <c r="O269" t="n">
        <v>0</v>
      </c>
      <c r="P269" t="n">
        <v>0</v>
      </c>
      <c r="Q269" t="n">
        <v>0</v>
      </c>
      <c r="R269" s="2" t="inlineStr"/>
    </row>
    <row r="270" ht="15" customHeight="1">
      <c r="A270" t="inlineStr">
        <is>
          <t>A 67848-2021</t>
        </is>
      </c>
      <c r="B270" s="1" t="n">
        <v>44525</v>
      </c>
      <c r="C270" s="1" t="n">
        <v>45916</v>
      </c>
      <c r="D270" t="inlineStr">
        <is>
          <t>UPPSALA LÄN</t>
        </is>
      </c>
      <c r="E270" t="inlineStr">
        <is>
          <t>ÖSTHAMMAR</t>
        </is>
      </c>
      <c r="G270" t="n">
        <v>1</v>
      </c>
      <c r="H270" t="n">
        <v>0</v>
      </c>
      <c r="I270" t="n">
        <v>0</v>
      </c>
      <c r="J270" t="n">
        <v>0</v>
      </c>
      <c r="K270" t="n">
        <v>0</v>
      </c>
      <c r="L270" t="n">
        <v>0</v>
      </c>
      <c r="M270" t="n">
        <v>0</v>
      </c>
      <c r="N270" t="n">
        <v>0</v>
      </c>
      <c r="O270" t="n">
        <v>0</v>
      </c>
      <c r="P270" t="n">
        <v>0</v>
      </c>
      <c r="Q270" t="n">
        <v>0</v>
      </c>
      <c r="R270" s="2" t="inlineStr"/>
    </row>
    <row r="271" ht="15" customHeight="1">
      <c r="A271" t="inlineStr">
        <is>
          <t>A 59731-2023</t>
        </is>
      </c>
      <c r="B271" s="1" t="n">
        <v>45257</v>
      </c>
      <c r="C271" s="1" t="n">
        <v>45916</v>
      </c>
      <c r="D271" t="inlineStr">
        <is>
          <t>UPPSALA LÄN</t>
        </is>
      </c>
      <c r="E271" t="inlineStr">
        <is>
          <t>ÖSTHAMMAR</t>
        </is>
      </c>
      <c r="G271" t="n">
        <v>0.7</v>
      </c>
      <c r="H271" t="n">
        <v>0</v>
      </c>
      <c r="I271" t="n">
        <v>0</v>
      </c>
      <c r="J271" t="n">
        <v>0</v>
      </c>
      <c r="K271" t="n">
        <v>0</v>
      </c>
      <c r="L271" t="n">
        <v>0</v>
      </c>
      <c r="M271" t="n">
        <v>0</v>
      </c>
      <c r="N271" t="n">
        <v>0</v>
      </c>
      <c r="O271" t="n">
        <v>0</v>
      </c>
      <c r="P271" t="n">
        <v>0</v>
      </c>
      <c r="Q271" t="n">
        <v>0</v>
      </c>
      <c r="R271" s="2" t="inlineStr"/>
    </row>
    <row r="272" ht="15" customHeight="1">
      <c r="A272" t="inlineStr">
        <is>
          <t>A 8904-2025</t>
        </is>
      </c>
      <c r="B272" s="1" t="n">
        <v>45713.41577546296</v>
      </c>
      <c r="C272" s="1" t="n">
        <v>45916</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24944-2025</t>
        </is>
      </c>
      <c r="B273" s="1" t="n">
        <v>45799.56347222222</v>
      </c>
      <c r="C273" s="1" t="n">
        <v>45916</v>
      </c>
      <c r="D273" t="inlineStr">
        <is>
          <t>UPPSALA LÄN</t>
        </is>
      </c>
      <c r="E273" t="inlineStr">
        <is>
          <t>ÖSTHAMMAR</t>
        </is>
      </c>
      <c r="G273" t="n">
        <v>7.3</v>
      </c>
      <c r="H273" t="n">
        <v>0</v>
      </c>
      <c r="I273" t="n">
        <v>0</v>
      </c>
      <c r="J273" t="n">
        <v>0</v>
      </c>
      <c r="K273" t="n">
        <v>0</v>
      </c>
      <c r="L273" t="n">
        <v>0</v>
      </c>
      <c r="M273" t="n">
        <v>0</v>
      </c>
      <c r="N273" t="n">
        <v>0</v>
      </c>
      <c r="O273" t="n">
        <v>0</v>
      </c>
      <c r="P273" t="n">
        <v>0</v>
      </c>
      <c r="Q273" t="n">
        <v>0</v>
      </c>
      <c r="R273" s="2" t="inlineStr"/>
    </row>
    <row r="274" ht="15" customHeight="1">
      <c r="A274" t="inlineStr">
        <is>
          <t>A 38600-2023</t>
        </is>
      </c>
      <c r="B274" s="1" t="n">
        <v>45162</v>
      </c>
      <c r="C274" s="1" t="n">
        <v>45916</v>
      </c>
      <c r="D274" t="inlineStr">
        <is>
          <t>UPPSALA LÄN</t>
        </is>
      </c>
      <c r="E274" t="inlineStr">
        <is>
          <t>ÖSTHAMMAR</t>
        </is>
      </c>
      <c r="F274" t="inlineStr">
        <is>
          <t>Bergvik skog väst AB</t>
        </is>
      </c>
      <c r="G274" t="n">
        <v>0.1</v>
      </c>
      <c r="H274" t="n">
        <v>0</v>
      </c>
      <c r="I274" t="n">
        <v>0</v>
      </c>
      <c r="J274" t="n">
        <v>0</v>
      </c>
      <c r="K274" t="n">
        <v>0</v>
      </c>
      <c r="L274" t="n">
        <v>0</v>
      </c>
      <c r="M274" t="n">
        <v>0</v>
      </c>
      <c r="N274" t="n">
        <v>0</v>
      </c>
      <c r="O274" t="n">
        <v>0</v>
      </c>
      <c r="P274" t="n">
        <v>0</v>
      </c>
      <c r="Q274" t="n">
        <v>0</v>
      </c>
      <c r="R274" s="2" t="inlineStr"/>
    </row>
    <row r="275" ht="15" customHeight="1">
      <c r="A275" t="inlineStr">
        <is>
          <t>A 38610-2023</t>
        </is>
      </c>
      <c r="B275" s="1" t="n">
        <v>45162.65466435185</v>
      </c>
      <c r="C275" s="1" t="n">
        <v>45916</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45916</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28228-2022</t>
        </is>
      </c>
      <c r="B277" s="1" t="n">
        <v>44746.65873842593</v>
      </c>
      <c r="C277" s="1" t="n">
        <v>45916</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49831-2023</t>
        </is>
      </c>
      <c r="B278" s="1" t="n">
        <v>45212.71241898148</v>
      </c>
      <c r="C278" s="1" t="n">
        <v>45916</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35316-2024</t>
        </is>
      </c>
      <c r="B279" s="1" t="n">
        <v>45530.68873842592</v>
      </c>
      <c r="C279" s="1" t="n">
        <v>45916</v>
      </c>
      <c r="D279" t="inlineStr">
        <is>
          <t>UPPSALA LÄN</t>
        </is>
      </c>
      <c r="E279" t="inlineStr">
        <is>
          <t>ÖSTHAMMAR</t>
        </is>
      </c>
      <c r="F279" t="inlineStr">
        <is>
          <t>Bergvik skog öst AB</t>
        </is>
      </c>
      <c r="G279" t="n">
        <v>2.1</v>
      </c>
      <c r="H279" t="n">
        <v>0</v>
      </c>
      <c r="I279" t="n">
        <v>0</v>
      </c>
      <c r="J279" t="n">
        <v>0</v>
      </c>
      <c r="K279" t="n">
        <v>0</v>
      </c>
      <c r="L279" t="n">
        <v>0</v>
      </c>
      <c r="M279" t="n">
        <v>0</v>
      </c>
      <c r="N279" t="n">
        <v>0</v>
      </c>
      <c r="O279" t="n">
        <v>0</v>
      </c>
      <c r="P279" t="n">
        <v>0</v>
      </c>
      <c r="Q279" t="n">
        <v>0</v>
      </c>
      <c r="R279" s="2" t="inlineStr"/>
    </row>
    <row r="280" ht="15" customHeight="1">
      <c r="A280" t="inlineStr">
        <is>
          <t>A 20072-2025</t>
        </is>
      </c>
      <c r="B280" s="1" t="n">
        <v>45772</v>
      </c>
      <c r="C280" s="1" t="n">
        <v>45916</v>
      </c>
      <c r="D280" t="inlineStr">
        <is>
          <t>UPPSALA LÄN</t>
        </is>
      </c>
      <c r="E280" t="inlineStr">
        <is>
          <t>ÖSTHAMMAR</t>
        </is>
      </c>
      <c r="G280" t="n">
        <v>3.1</v>
      </c>
      <c r="H280" t="n">
        <v>0</v>
      </c>
      <c r="I280" t="n">
        <v>0</v>
      </c>
      <c r="J280" t="n">
        <v>0</v>
      </c>
      <c r="K280" t="n">
        <v>0</v>
      </c>
      <c r="L280" t="n">
        <v>0</v>
      </c>
      <c r="M280" t="n">
        <v>0</v>
      </c>
      <c r="N280" t="n">
        <v>0</v>
      </c>
      <c r="O280" t="n">
        <v>0</v>
      </c>
      <c r="P280" t="n">
        <v>0</v>
      </c>
      <c r="Q280" t="n">
        <v>0</v>
      </c>
      <c r="R280" s="2" t="inlineStr"/>
    </row>
    <row r="281" ht="15" customHeight="1">
      <c r="A281" t="inlineStr">
        <is>
          <t>A 19009-2023</t>
        </is>
      </c>
      <c r="B281" s="1" t="n">
        <v>45045</v>
      </c>
      <c r="C281" s="1" t="n">
        <v>45916</v>
      </c>
      <c r="D281" t="inlineStr">
        <is>
          <t>UPPSALA LÄN</t>
        </is>
      </c>
      <c r="E281" t="inlineStr">
        <is>
          <t>ÖSTHAMMAR</t>
        </is>
      </c>
      <c r="F281" t="inlineStr">
        <is>
          <t>Bergvik skog öst AB</t>
        </is>
      </c>
      <c r="G281" t="n">
        <v>0.2</v>
      </c>
      <c r="H281" t="n">
        <v>0</v>
      </c>
      <c r="I281" t="n">
        <v>0</v>
      </c>
      <c r="J281" t="n">
        <v>0</v>
      </c>
      <c r="K281" t="n">
        <v>0</v>
      </c>
      <c r="L281" t="n">
        <v>0</v>
      </c>
      <c r="M281" t="n">
        <v>0</v>
      </c>
      <c r="N281" t="n">
        <v>0</v>
      </c>
      <c r="O281" t="n">
        <v>0</v>
      </c>
      <c r="P281" t="n">
        <v>0</v>
      </c>
      <c r="Q281" t="n">
        <v>0</v>
      </c>
      <c r="R281" s="2" t="inlineStr"/>
    </row>
    <row r="282" ht="15" customHeight="1">
      <c r="A282" t="inlineStr">
        <is>
          <t>A 45561-2023</t>
        </is>
      </c>
      <c r="B282" s="1" t="n">
        <v>45194.59335648148</v>
      </c>
      <c r="C282" s="1" t="n">
        <v>45916</v>
      </c>
      <c r="D282" t="inlineStr">
        <is>
          <t>UPPSALA LÄN</t>
        </is>
      </c>
      <c r="E282" t="inlineStr">
        <is>
          <t>ÖSTHAMMAR</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12945-2025</t>
        </is>
      </c>
      <c r="B283" s="1" t="n">
        <v>45734.38159722222</v>
      </c>
      <c r="C283" s="1" t="n">
        <v>45916</v>
      </c>
      <c r="D283" t="inlineStr">
        <is>
          <t>UPPSALA LÄN</t>
        </is>
      </c>
      <c r="E283" t="inlineStr">
        <is>
          <t>ÖSTHAMMAR</t>
        </is>
      </c>
      <c r="G283" t="n">
        <v>2.1</v>
      </c>
      <c r="H283" t="n">
        <v>0</v>
      </c>
      <c r="I283" t="n">
        <v>0</v>
      </c>
      <c r="J283" t="n">
        <v>0</v>
      </c>
      <c r="K283" t="n">
        <v>0</v>
      </c>
      <c r="L283" t="n">
        <v>0</v>
      </c>
      <c r="M283" t="n">
        <v>0</v>
      </c>
      <c r="N283" t="n">
        <v>0</v>
      </c>
      <c r="O283" t="n">
        <v>0</v>
      </c>
      <c r="P283" t="n">
        <v>0</v>
      </c>
      <c r="Q283" t="n">
        <v>0</v>
      </c>
      <c r="R283" s="2" t="inlineStr"/>
    </row>
    <row r="284" ht="15" customHeight="1">
      <c r="A284" t="inlineStr">
        <is>
          <t>A 34185-2024</t>
        </is>
      </c>
      <c r="B284" s="1" t="n">
        <v>45524</v>
      </c>
      <c r="C284" s="1" t="n">
        <v>45916</v>
      </c>
      <c r="D284" t="inlineStr">
        <is>
          <t>UPPSALA LÄN</t>
        </is>
      </c>
      <c r="E284" t="inlineStr">
        <is>
          <t>ÖSTHAMMAR</t>
        </is>
      </c>
      <c r="G284" t="n">
        <v>2.5</v>
      </c>
      <c r="H284" t="n">
        <v>0</v>
      </c>
      <c r="I284" t="n">
        <v>0</v>
      </c>
      <c r="J284" t="n">
        <v>0</v>
      </c>
      <c r="K284" t="n">
        <v>0</v>
      </c>
      <c r="L284" t="n">
        <v>0</v>
      </c>
      <c r="M284" t="n">
        <v>0</v>
      </c>
      <c r="N284" t="n">
        <v>0</v>
      </c>
      <c r="O284" t="n">
        <v>0</v>
      </c>
      <c r="P284" t="n">
        <v>0</v>
      </c>
      <c r="Q284" t="n">
        <v>0</v>
      </c>
      <c r="R284" s="2" t="inlineStr"/>
    </row>
    <row r="285" ht="15" customHeight="1">
      <c r="A285" t="inlineStr">
        <is>
          <t>A 6143-2022</t>
        </is>
      </c>
      <c r="B285" s="1" t="n">
        <v>44599.72306712963</v>
      </c>
      <c r="C285" s="1" t="n">
        <v>45916</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64811-2021</t>
        </is>
      </c>
      <c r="B286" s="1" t="n">
        <v>44512</v>
      </c>
      <c r="C286" s="1" t="n">
        <v>45916</v>
      </c>
      <c r="D286" t="inlineStr">
        <is>
          <t>UPPSALA LÄN</t>
        </is>
      </c>
      <c r="E286" t="inlineStr">
        <is>
          <t>ÖSTHAMMAR</t>
        </is>
      </c>
      <c r="G286" t="n">
        <v>4.2</v>
      </c>
      <c r="H286" t="n">
        <v>0</v>
      </c>
      <c r="I286" t="n">
        <v>0</v>
      </c>
      <c r="J286" t="n">
        <v>0</v>
      </c>
      <c r="K286" t="n">
        <v>0</v>
      </c>
      <c r="L286" t="n">
        <v>0</v>
      </c>
      <c r="M286" t="n">
        <v>0</v>
      </c>
      <c r="N286" t="n">
        <v>0</v>
      </c>
      <c r="O286" t="n">
        <v>0</v>
      </c>
      <c r="P286" t="n">
        <v>0</v>
      </c>
      <c r="Q286" t="n">
        <v>0</v>
      </c>
      <c r="R286" s="2" t="inlineStr"/>
    </row>
    <row r="287" ht="15" customHeight="1">
      <c r="A287" t="inlineStr">
        <is>
          <t>A 16089-2025</t>
        </is>
      </c>
      <c r="B287" s="1" t="n">
        <v>45749.84232638889</v>
      </c>
      <c r="C287" s="1" t="n">
        <v>45916</v>
      </c>
      <c r="D287" t="inlineStr">
        <is>
          <t>UPPSALA LÄN</t>
        </is>
      </c>
      <c r="E287" t="inlineStr">
        <is>
          <t>ÖSTHAMMAR</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6153-2022</t>
        </is>
      </c>
      <c r="B288" s="1" t="n">
        <v>44599</v>
      </c>
      <c r="C288" s="1" t="n">
        <v>45916</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45916</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56382-2022</t>
        </is>
      </c>
      <c r="B290" s="1" t="n">
        <v>44890.75795138889</v>
      </c>
      <c r="C290" s="1" t="n">
        <v>45916</v>
      </c>
      <c r="D290" t="inlineStr">
        <is>
          <t>UPPSALA LÄN</t>
        </is>
      </c>
      <c r="E290" t="inlineStr">
        <is>
          <t>ÖSTHAMMAR</t>
        </is>
      </c>
      <c r="F290" t="inlineStr">
        <is>
          <t>Allmännings- och besparingsskogar</t>
        </is>
      </c>
      <c r="G290" t="n">
        <v>1.1</v>
      </c>
      <c r="H290" t="n">
        <v>0</v>
      </c>
      <c r="I290" t="n">
        <v>0</v>
      </c>
      <c r="J290" t="n">
        <v>0</v>
      </c>
      <c r="K290" t="n">
        <v>0</v>
      </c>
      <c r="L290" t="n">
        <v>0</v>
      </c>
      <c r="M290" t="n">
        <v>0</v>
      </c>
      <c r="N290" t="n">
        <v>0</v>
      </c>
      <c r="O290" t="n">
        <v>0</v>
      </c>
      <c r="P290" t="n">
        <v>0</v>
      </c>
      <c r="Q290" t="n">
        <v>0</v>
      </c>
      <c r="R290" s="2" t="inlineStr"/>
    </row>
    <row r="291" ht="15" customHeight="1">
      <c r="A291" t="inlineStr">
        <is>
          <t>A 57043-2022</t>
        </is>
      </c>
      <c r="B291" s="1" t="n">
        <v>44895.36748842592</v>
      </c>
      <c r="C291" s="1" t="n">
        <v>45916</v>
      </c>
      <c r="D291" t="inlineStr">
        <is>
          <t>UPPSALA LÄN</t>
        </is>
      </c>
      <c r="E291" t="inlineStr">
        <is>
          <t>ÖSTHAMMAR</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59880-2022</t>
        </is>
      </c>
      <c r="B292" s="1" t="n">
        <v>44908.69575231482</v>
      </c>
      <c r="C292" s="1" t="n">
        <v>45916</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14170-2025</t>
        </is>
      </c>
      <c r="B293" s="1" t="n">
        <v>45740.51895833333</v>
      </c>
      <c r="C293" s="1" t="n">
        <v>45916</v>
      </c>
      <c r="D293" t="inlineStr">
        <is>
          <t>UPPSALA LÄN</t>
        </is>
      </c>
      <c r="E293" t="inlineStr">
        <is>
          <t>ÖSTHAMMAR</t>
        </is>
      </c>
      <c r="G293" t="n">
        <v>1.2</v>
      </c>
      <c r="H293" t="n">
        <v>0</v>
      </c>
      <c r="I293" t="n">
        <v>0</v>
      </c>
      <c r="J293" t="n">
        <v>0</v>
      </c>
      <c r="K293" t="n">
        <v>0</v>
      </c>
      <c r="L293" t="n">
        <v>0</v>
      </c>
      <c r="M293" t="n">
        <v>0</v>
      </c>
      <c r="N293" t="n">
        <v>0</v>
      </c>
      <c r="O293" t="n">
        <v>0</v>
      </c>
      <c r="P293" t="n">
        <v>0</v>
      </c>
      <c r="Q293" t="n">
        <v>0</v>
      </c>
      <c r="R293" s="2" t="inlineStr"/>
    </row>
    <row r="294" ht="15" customHeight="1">
      <c r="A294" t="inlineStr">
        <is>
          <t>A 58297-2024</t>
        </is>
      </c>
      <c r="B294" s="1" t="n">
        <v>45632.59780092593</v>
      </c>
      <c r="C294" s="1" t="n">
        <v>45916</v>
      </c>
      <c r="D294" t="inlineStr">
        <is>
          <t>UPPSALA LÄN</t>
        </is>
      </c>
      <c r="E294" t="inlineStr">
        <is>
          <t>ÖSTHAMMAR</t>
        </is>
      </c>
      <c r="G294" t="n">
        <v>5.1</v>
      </c>
      <c r="H294" t="n">
        <v>0</v>
      </c>
      <c r="I294" t="n">
        <v>0</v>
      </c>
      <c r="J294" t="n">
        <v>0</v>
      </c>
      <c r="K294" t="n">
        <v>0</v>
      </c>
      <c r="L294" t="n">
        <v>0</v>
      </c>
      <c r="M294" t="n">
        <v>0</v>
      </c>
      <c r="N294" t="n">
        <v>0</v>
      </c>
      <c r="O294" t="n">
        <v>0</v>
      </c>
      <c r="P294" t="n">
        <v>0</v>
      </c>
      <c r="Q294" t="n">
        <v>0</v>
      </c>
      <c r="R294" s="2" t="inlineStr"/>
    </row>
    <row r="295" ht="15" customHeight="1">
      <c r="A295" t="inlineStr">
        <is>
          <t>A 7944-2023</t>
        </is>
      </c>
      <c r="B295" s="1" t="n">
        <v>44973.66458333333</v>
      </c>
      <c r="C295" s="1" t="n">
        <v>45916</v>
      </c>
      <c r="D295" t="inlineStr">
        <is>
          <t>UPPSALA LÄN</t>
        </is>
      </c>
      <c r="E295" t="inlineStr">
        <is>
          <t>ÖSTHAMMAR</t>
        </is>
      </c>
      <c r="G295" t="n">
        <v>4.6</v>
      </c>
      <c r="H295" t="n">
        <v>0</v>
      </c>
      <c r="I295" t="n">
        <v>0</v>
      </c>
      <c r="J295" t="n">
        <v>0</v>
      </c>
      <c r="K295" t="n">
        <v>0</v>
      </c>
      <c r="L295" t="n">
        <v>0</v>
      </c>
      <c r="M295" t="n">
        <v>0</v>
      </c>
      <c r="N295" t="n">
        <v>0</v>
      </c>
      <c r="O295" t="n">
        <v>0</v>
      </c>
      <c r="P295" t="n">
        <v>0</v>
      </c>
      <c r="Q295" t="n">
        <v>0</v>
      </c>
      <c r="R295" s="2" t="inlineStr"/>
    </row>
    <row r="296" ht="15" customHeight="1">
      <c r="A296" t="inlineStr">
        <is>
          <t>A 26330-2025</t>
        </is>
      </c>
      <c r="B296" s="1" t="n">
        <v>45805.68263888889</v>
      </c>
      <c r="C296" s="1" t="n">
        <v>45916</v>
      </c>
      <c r="D296" t="inlineStr">
        <is>
          <t>UPPSALA LÄN</t>
        </is>
      </c>
      <c r="E296" t="inlineStr">
        <is>
          <t>ÖSTHAMMAR</t>
        </is>
      </c>
      <c r="G296" t="n">
        <v>0.5</v>
      </c>
      <c r="H296" t="n">
        <v>0</v>
      </c>
      <c r="I296" t="n">
        <v>0</v>
      </c>
      <c r="J296" t="n">
        <v>0</v>
      </c>
      <c r="K296" t="n">
        <v>0</v>
      </c>
      <c r="L296" t="n">
        <v>0</v>
      </c>
      <c r="M296" t="n">
        <v>0</v>
      </c>
      <c r="N296" t="n">
        <v>0</v>
      </c>
      <c r="O296" t="n">
        <v>0</v>
      </c>
      <c r="P296" t="n">
        <v>0</v>
      </c>
      <c r="Q296" t="n">
        <v>0</v>
      </c>
      <c r="R296" s="2" t="inlineStr"/>
    </row>
    <row r="297" ht="15" customHeight="1">
      <c r="A297" t="inlineStr">
        <is>
          <t>A 52659-2021</t>
        </is>
      </c>
      <c r="B297" s="1" t="n">
        <v>44466</v>
      </c>
      <c r="C297" s="1" t="n">
        <v>45916</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11036-2023</t>
        </is>
      </c>
      <c r="B298" s="1" t="n">
        <v>44991.9321412037</v>
      </c>
      <c r="C298" s="1" t="n">
        <v>45916</v>
      </c>
      <c r="D298" t="inlineStr">
        <is>
          <t>UPPSALA LÄN</t>
        </is>
      </c>
      <c r="E298" t="inlineStr">
        <is>
          <t>ÖSTHAMMAR</t>
        </is>
      </c>
      <c r="F298" t="inlineStr">
        <is>
          <t>Bergvik skog öst AB</t>
        </is>
      </c>
      <c r="G298" t="n">
        <v>3</v>
      </c>
      <c r="H298" t="n">
        <v>0</v>
      </c>
      <c r="I298" t="n">
        <v>0</v>
      </c>
      <c r="J298" t="n">
        <v>0</v>
      </c>
      <c r="K298" t="n">
        <v>0</v>
      </c>
      <c r="L298" t="n">
        <v>0</v>
      </c>
      <c r="M298" t="n">
        <v>0</v>
      </c>
      <c r="N298" t="n">
        <v>0</v>
      </c>
      <c r="O298" t="n">
        <v>0</v>
      </c>
      <c r="P298" t="n">
        <v>0</v>
      </c>
      <c r="Q298" t="n">
        <v>0</v>
      </c>
      <c r="R298" s="2" t="inlineStr"/>
    </row>
    <row r="299" ht="15" customHeight="1">
      <c r="A299" t="inlineStr">
        <is>
          <t>A 26319-2025</t>
        </is>
      </c>
      <c r="B299" s="1" t="n">
        <v>45805.65960648148</v>
      </c>
      <c r="C299" s="1" t="n">
        <v>45916</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7216-2025</t>
        </is>
      </c>
      <c r="B300" s="1" t="n">
        <v>45702.47630787037</v>
      </c>
      <c r="C300" s="1" t="n">
        <v>45916</v>
      </c>
      <c r="D300" t="inlineStr">
        <is>
          <t>UPPSALA LÄN</t>
        </is>
      </c>
      <c r="E300" t="inlineStr">
        <is>
          <t>ÖSTHAMMAR</t>
        </is>
      </c>
      <c r="F300" t="inlineStr">
        <is>
          <t>Övriga Aktiebolag</t>
        </is>
      </c>
      <c r="G300" t="n">
        <v>12.5</v>
      </c>
      <c r="H300" t="n">
        <v>0</v>
      </c>
      <c r="I300" t="n">
        <v>0</v>
      </c>
      <c r="J300" t="n">
        <v>0</v>
      </c>
      <c r="K300" t="n">
        <v>0</v>
      </c>
      <c r="L300" t="n">
        <v>0</v>
      </c>
      <c r="M300" t="n">
        <v>0</v>
      </c>
      <c r="N300" t="n">
        <v>0</v>
      </c>
      <c r="O300" t="n">
        <v>0</v>
      </c>
      <c r="P300" t="n">
        <v>0</v>
      </c>
      <c r="Q300" t="n">
        <v>0</v>
      </c>
      <c r="R300" s="2" t="inlineStr"/>
    </row>
    <row r="301" ht="15" customHeight="1">
      <c r="A301" t="inlineStr">
        <is>
          <t>A 26328-2025</t>
        </is>
      </c>
      <c r="B301" s="1" t="n">
        <v>45805.67305555556</v>
      </c>
      <c r="C301" s="1" t="n">
        <v>45916</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8908-2025</t>
        </is>
      </c>
      <c r="B302" s="1" t="n">
        <v>45713.4196875</v>
      </c>
      <c r="C302" s="1" t="n">
        <v>45916</v>
      </c>
      <c r="D302" t="inlineStr">
        <is>
          <t>UPPSALA LÄN</t>
        </is>
      </c>
      <c r="E302" t="inlineStr">
        <is>
          <t>ÖSTHAMMAR</t>
        </is>
      </c>
      <c r="F302" t="inlineStr">
        <is>
          <t>Bergvik skog öst AB</t>
        </is>
      </c>
      <c r="G302" t="n">
        <v>3.3</v>
      </c>
      <c r="H302" t="n">
        <v>0</v>
      </c>
      <c r="I302" t="n">
        <v>0</v>
      </c>
      <c r="J302" t="n">
        <v>0</v>
      </c>
      <c r="K302" t="n">
        <v>0</v>
      </c>
      <c r="L302" t="n">
        <v>0</v>
      </c>
      <c r="M302" t="n">
        <v>0</v>
      </c>
      <c r="N302" t="n">
        <v>0</v>
      </c>
      <c r="O302" t="n">
        <v>0</v>
      </c>
      <c r="P302" t="n">
        <v>0</v>
      </c>
      <c r="Q302" t="n">
        <v>0</v>
      </c>
      <c r="R302" s="2" t="inlineStr"/>
    </row>
    <row r="303" ht="15" customHeight="1">
      <c r="A303" t="inlineStr">
        <is>
          <t>A 26055-2025</t>
        </is>
      </c>
      <c r="B303" s="1" t="n">
        <v>45804.77559027778</v>
      </c>
      <c r="C303" s="1" t="n">
        <v>45916</v>
      </c>
      <c r="D303" t="inlineStr">
        <is>
          <t>UPPSALA LÄN</t>
        </is>
      </c>
      <c r="E303" t="inlineStr">
        <is>
          <t>ÖSTHAMMAR</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73965-2021</t>
        </is>
      </c>
      <c r="B304" s="1" t="n">
        <v>44553.80824074074</v>
      </c>
      <c r="C304" s="1" t="n">
        <v>45916</v>
      </c>
      <c r="D304" t="inlineStr">
        <is>
          <t>UPPSALA LÄN</t>
        </is>
      </c>
      <c r="E304" t="inlineStr">
        <is>
          <t>ÖSTHAMMAR</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3418-2025</t>
        </is>
      </c>
      <c r="B305" s="1" t="n">
        <v>45680</v>
      </c>
      <c r="C305" s="1" t="n">
        <v>45916</v>
      </c>
      <c r="D305" t="inlineStr">
        <is>
          <t>UPPSALA LÄN</t>
        </is>
      </c>
      <c r="E305" t="inlineStr">
        <is>
          <t>ÖSTHAMMAR</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3420-2025</t>
        </is>
      </c>
      <c r="B306" s="1" t="n">
        <v>45680</v>
      </c>
      <c r="C306" s="1" t="n">
        <v>45916</v>
      </c>
      <c r="D306" t="inlineStr">
        <is>
          <t>UPPSALA LÄN</t>
        </is>
      </c>
      <c r="E306" t="inlineStr">
        <is>
          <t>ÖSTHAMMAR</t>
        </is>
      </c>
      <c r="F306" t="inlineStr">
        <is>
          <t>Bergvik skog väst AB</t>
        </is>
      </c>
      <c r="G306" t="n">
        <v>3.6</v>
      </c>
      <c r="H306" t="n">
        <v>0</v>
      </c>
      <c r="I306" t="n">
        <v>0</v>
      </c>
      <c r="J306" t="n">
        <v>0</v>
      </c>
      <c r="K306" t="n">
        <v>0</v>
      </c>
      <c r="L306" t="n">
        <v>0</v>
      </c>
      <c r="M306" t="n">
        <v>0</v>
      </c>
      <c r="N306" t="n">
        <v>0</v>
      </c>
      <c r="O306" t="n">
        <v>0</v>
      </c>
      <c r="P306" t="n">
        <v>0</v>
      </c>
      <c r="Q306" t="n">
        <v>0</v>
      </c>
      <c r="R306" s="2" t="inlineStr"/>
    </row>
    <row r="307" ht="15" customHeight="1">
      <c r="A307" t="inlineStr">
        <is>
          <t>A 32884-2024</t>
        </is>
      </c>
      <c r="B307" s="1" t="n">
        <v>45516.72097222223</v>
      </c>
      <c r="C307" s="1" t="n">
        <v>45916</v>
      </c>
      <c r="D307" t="inlineStr">
        <is>
          <t>UPPSALA LÄN</t>
        </is>
      </c>
      <c r="E307" t="inlineStr">
        <is>
          <t>ÖSTHAMMAR</t>
        </is>
      </c>
      <c r="G307" t="n">
        <v>0.6</v>
      </c>
      <c r="H307" t="n">
        <v>0</v>
      </c>
      <c r="I307" t="n">
        <v>0</v>
      </c>
      <c r="J307" t="n">
        <v>0</v>
      </c>
      <c r="K307" t="n">
        <v>0</v>
      </c>
      <c r="L307" t="n">
        <v>0</v>
      </c>
      <c r="M307" t="n">
        <v>0</v>
      </c>
      <c r="N307" t="n">
        <v>0</v>
      </c>
      <c r="O307" t="n">
        <v>0</v>
      </c>
      <c r="P307" t="n">
        <v>0</v>
      </c>
      <c r="Q307" t="n">
        <v>0</v>
      </c>
      <c r="R307" s="2" t="inlineStr"/>
    </row>
    <row r="308" ht="15" customHeight="1">
      <c r="A308" t="inlineStr">
        <is>
          <t>A 64586-2021</t>
        </is>
      </c>
      <c r="B308" s="1" t="n">
        <v>44511</v>
      </c>
      <c r="C308" s="1" t="n">
        <v>45916</v>
      </c>
      <c r="D308" t="inlineStr">
        <is>
          <t>UPPSALA LÄN</t>
        </is>
      </c>
      <c r="E308" t="inlineStr">
        <is>
          <t>ÖSTHAMMAR</t>
        </is>
      </c>
      <c r="G308" t="n">
        <v>2</v>
      </c>
      <c r="H308" t="n">
        <v>0</v>
      </c>
      <c r="I308" t="n">
        <v>0</v>
      </c>
      <c r="J308" t="n">
        <v>0</v>
      </c>
      <c r="K308" t="n">
        <v>0</v>
      </c>
      <c r="L308" t="n">
        <v>0</v>
      </c>
      <c r="M308" t="n">
        <v>0</v>
      </c>
      <c r="N308" t="n">
        <v>0</v>
      </c>
      <c r="O308" t="n">
        <v>0</v>
      </c>
      <c r="P308" t="n">
        <v>0</v>
      </c>
      <c r="Q308" t="n">
        <v>0</v>
      </c>
      <c r="R308" s="2" t="inlineStr"/>
    </row>
    <row r="309" ht="15" customHeight="1">
      <c r="A309" t="inlineStr">
        <is>
          <t>A 21522-2022</t>
        </is>
      </c>
      <c r="B309" s="1" t="n">
        <v>44706</v>
      </c>
      <c r="C309" s="1" t="n">
        <v>45916</v>
      </c>
      <c r="D309" t="inlineStr">
        <is>
          <t>UPPSALA LÄN</t>
        </is>
      </c>
      <c r="E309" t="inlineStr">
        <is>
          <t>ÖSTHAMMAR</t>
        </is>
      </c>
      <c r="G309" t="n">
        <v>1.8</v>
      </c>
      <c r="H309" t="n">
        <v>0</v>
      </c>
      <c r="I309" t="n">
        <v>0</v>
      </c>
      <c r="J309" t="n">
        <v>0</v>
      </c>
      <c r="K309" t="n">
        <v>0</v>
      </c>
      <c r="L309" t="n">
        <v>0</v>
      </c>
      <c r="M309" t="n">
        <v>0</v>
      </c>
      <c r="N309" t="n">
        <v>0</v>
      </c>
      <c r="O309" t="n">
        <v>0</v>
      </c>
      <c r="P309" t="n">
        <v>0</v>
      </c>
      <c r="Q309" t="n">
        <v>0</v>
      </c>
      <c r="R309" s="2" t="inlineStr"/>
    </row>
    <row r="310" ht="15" customHeight="1">
      <c r="A310" t="inlineStr">
        <is>
          <t>A 5303-2025</t>
        </is>
      </c>
      <c r="B310" s="1" t="n">
        <v>45692</v>
      </c>
      <c r="C310" s="1" t="n">
        <v>45916</v>
      </c>
      <c r="D310" t="inlineStr">
        <is>
          <t>UPPSALA LÄN</t>
        </is>
      </c>
      <c r="E310" t="inlineStr">
        <is>
          <t>ÖSTHAMMAR</t>
        </is>
      </c>
      <c r="G310" t="n">
        <v>5</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45916</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52661-2022</t>
        </is>
      </c>
      <c r="B312" s="1" t="n">
        <v>44874</v>
      </c>
      <c r="C312" s="1" t="n">
        <v>45916</v>
      </c>
      <c r="D312" t="inlineStr">
        <is>
          <t>UPPSALA LÄN</t>
        </is>
      </c>
      <c r="E312" t="inlineStr">
        <is>
          <t>ÖSTHAMMAR</t>
        </is>
      </c>
      <c r="F312" t="inlineStr">
        <is>
          <t>Bergvik skog öst AB</t>
        </is>
      </c>
      <c r="G312" t="n">
        <v>0.2</v>
      </c>
      <c r="H312" t="n">
        <v>0</v>
      </c>
      <c r="I312" t="n">
        <v>0</v>
      </c>
      <c r="J312" t="n">
        <v>0</v>
      </c>
      <c r="K312" t="n">
        <v>0</v>
      </c>
      <c r="L312" t="n">
        <v>0</v>
      </c>
      <c r="M312" t="n">
        <v>0</v>
      </c>
      <c r="N312" t="n">
        <v>0</v>
      </c>
      <c r="O312" t="n">
        <v>0</v>
      </c>
      <c r="P312" t="n">
        <v>0</v>
      </c>
      <c r="Q312" t="n">
        <v>0</v>
      </c>
      <c r="R312" s="2" t="inlineStr"/>
    </row>
    <row r="313" ht="15" customHeight="1">
      <c r="A313" t="inlineStr">
        <is>
          <t>A 1567-2025</t>
        </is>
      </c>
      <c r="B313" s="1" t="n">
        <v>45670</v>
      </c>
      <c r="C313" s="1" t="n">
        <v>45916</v>
      </c>
      <c r="D313" t="inlineStr">
        <is>
          <t>UPPSALA LÄN</t>
        </is>
      </c>
      <c r="E313" t="inlineStr">
        <is>
          <t>ÖSTHAMMAR</t>
        </is>
      </c>
      <c r="G313" t="n">
        <v>2.8</v>
      </c>
      <c r="H313" t="n">
        <v>0</v>
      </c>
      <c r="I313" t="n">
        <v>0</v>
      </c>
      <c r="J313" t="n">
        <v>0</v>
      </c>
      <c r="K313" t="n">
        <v>0</v>
      </c>
      <c r="L313" t="n">
        <v>0</v>
      </c>
      <c r="M313" t="n">
        <v>0</v>
      </c>
      <c r="N313" t="n">
        <v>0</v>
      </c>
      <c r="O313" t="n">
        <v>0</v>
      </c>
      <c r="P313" t="n">
        <v>0</v>
      </c>
      <c r="Q313" t="n">
        <v>0</v>
      </c>
      <c r="R313" s="2" t="inlineStr"/>
    </row>
    <row r="314" ht="15" customHeight="1">
      <c r="A314" t="inlineStr">
        <is>
          <t>A 26521-2025</t>
        </is>
      </c>
      <c r="B314" s="1" t="n">
        <v>45807.56275462963</v>
      </c>
      <c r="C314" s="1" t="n">
        <v>45916</v>
      </c>
      <c r="D314" t="inlineStr">
        <is>
          <t>UPPSALA LÄN</t>
        </is>
      </c>
      <c r="E314" t="inlineStr">
        <is>
          <t>ÖSTHAMMAR</t>
        </is>
      </c>
      <c r="G314" t="n">
        <v>1.1</v>
      </c>
      <c r="H314" t="n">
        <v>0</v>
      </c>
      <c r="I314" t="n">
        <v>0</v>
      </c>
      <c r="J314" t="n">
        <v>0</v>
      </c>
      <c r="K314" t="n">
        <v>0</v>
      </c>
      <c r="L314" t="n">
        <v>0</v>
      </c>
      <c r="M314" t="n">
        <v>0</v>
      </c>
      <c r="N314" t="n">
        <v>0</v>
      </c>
      <c r="O314" t="n">
        <v>0</v>
      </c>
      <c r="P314" t="n">
        <v>0</v>
      </c>
      <c r="Q314" t="n">
        <v>0</v>
      </c>
      <c r="R314" s="2" t="inlineStr"/>
    </row>
    <row r="315" ht="15" customHeight="1">
      <c r="A315" t="inlineStr">
        <is>
          <t>A 26526-2025</t>
        </is>
      </c>
      <c r="B315" s="1" t="n">
        <v>45807.56612268519</v>
      </c>
      <c r="C315" s="1" t="n">
        <v>45916</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6206-2022</t>
        </is>
      </c>
      <c r="B316" s="1" t="n">
        <v>44600.35755787037</v>
      </c>
      <c r="C316" s="1" t="n">
        <v>45916</v>
      </c>
      <c r="D316" t="inlineStr">
        <is>
          <t>UPPSALA LÄN</t>
        </is>
      </c>
      <c r="E316" t="inlineStr">
        <is>
          <t>ÖSTHAMMAR</t>
        </is>
      </c>
      <c r="G316" t="n">
        <v>7.4</v>
      </c>
      <c r="H316" t="n">
        <v>0</v>
      </c>
      <c r="I316" t="n">
        <v>0</v>
      </c>
      <c r="J316" t="n">
        <v>0</v>
      </c>
      <c r="K316" t="n">
        <v>0</v>
      </c>
      <c r="L316" t="n">
        <v>0</v>
      </c>
      <c r="M316" t="n">
        <v>0</v>
      </c>
      <c r="N316" t="n">
        <v>0</v>
      </c>
      <c r="O316" t="n">
        <v>0</v>
      </c>
      <c r="P316" t="n">
        <v>0</v>
      </c>
      <c r="Q316" t="n">
        <v>0</v>
      </c>
      <c r="R316" s="2" t="inlineStr"/>
    </row>
    <row r="317" ht="15" customHeight="1">
      <c r="A317" t="inlineStr">
        <is>
          <t>A 70008-2021</t>
        </is>
      </c>
      <c r="B317" s="1" t="n">
        <v>44533.44887731481</v>
      </c>
      <c r="C317" s="1" t="n">
        <v>45916</v>
      </c>
      <c r="D317" t="inlineStr">
        <is>
          <t>UPPSALA LÄN</t>
        </is>
      </c>
      <c r="E317" t="inlineStr">
        <is>
          <t>ÖSTHAMMAR</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73982-2021</t>
        </is>
      </c>
      <c r="B318" s="1" t="n">
        <v>44555.80339120371</v>
      </c>
      <c r="C318" s="1" t="n">
        <v>45916</v>
      </c>
      <c r="D318" t="inlineStr">
        <is>
          <t>UPPSALA LÄN</t>
        </is>
      </c>
      <c r="E318" t="inlineStr">
        <is>
          <t>ÖSTHAMMAR</t>
        </is>
      </c>
      <c r="G318" t="n">
        <v>0.9</v>
      </c>
      <c r="H318" t="n">
        <v>0</v>
      </c>
      <c r="I318" t="n">
        <v>0</v>
      </c>
      <c r="J318" t="n">
        <v>0</v>
      </c>
      <c r="K318" t="n">
        <v>0</v>
      </c>
      <c r="L318" t="n">
        <v>0</v>
      </c>
      <c r="M318" t="n">
        <v>0</v>
      </c>
      <c r="N318" t="n">
        <v>0</v>
      </c>
      <c r="O318" t="n">
        <v>0</v>
      </c>
      <c r="P318" t="n">
        <v>0</v>
      </c>
      <c r="Q318" t="n">
        <v>0</v>
      </c>
      <c r="R318" s="2" t="inlineStr"/>
    </row>
    <row r="319" ht="15" customHeight="1">
      <c r="A319" t="inlineStr">
        <is>
          <t>A 35474-2023</t>
        </is>
      </c>
      <c r="B319" s="1" t="n">
        <v>45146.68921296296</v>
      </c>
      <c r="C319" s="1" t="n">
        <v>45916</v>
      </c>
      <c r="D319" t="inlineStr">
        <is>
          <t>UPPSALA LÄN</t>
        </is>
      </c>
      <c r="E319" t="inlineStr">
        <is>
          <t>ÖSTHAMMAR</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65028-2021</t>
        </is>
      </c>
      <c r="B320" s="1" t="n">
        <v>44515</v>
      </c>
      <c r="C320" s="1" t="n">
        <v>45916</v>
      </c>
      <c r="D320" t="inlineStr">
        <is>
          <t>UPPSALA LÄN</t>
        </is>
      </c>
      <c r="E320" t="inlineStr">
        <is>
          <t>ÖSTHAMMAR</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40547-2023</t>
        </is>
      </c>
      <c r="B321" s="1" t="n">
        <v>45170.45050925926</v>
      </c>
      <c r="C321" s="1" t="n">
        <v>45916</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8874-2025</t>
        </is>
      </c>
      <c r="B322" s="1" t="n">
        <v>45713</v>
      </c>
      <c r="C322" s="1" t="n">
        <v>45916</v>
      </c>
      <c r="D322" t="inlineStr">
        <is>
          <t>UPPSALA LÄN</t>
        </is>
      </c>
      <c r="E322" t="inlineStr">
        <is>
          <t>ÖSTHAMMAR</t>
        </is>
      </c>
      <c r="G322" t="n">
        <v>6.3</v>
      </c>
      <c r="H322" t="n">
        <v>0</v>
      </c>
      <c r="I322" t="n">
        <v>0</v>
      </c>
      <c r="J322" t="n">
        <v>0</v>
      </c>
      <c r="K322" t="n">
        <v>0</v>
      </c>
      <c r="L322" t="n">
        <v>0</v>
      </c>
      <c r="M322" t="n">
        <v>0</v>
      </c>
      <c r="N322" t="n">
        <v>0</v>
      </c>
      <c r="O322" t="n">
        <v>0</v>
      </c>
      <c r="P322" t="n">
        <v>0</v>
      </c>
      <c r="Q322" t="n">
        <v>0</v>
      </c>
      <c r="R322" s="2" t="inlineStr"/>
    </row>
    <row r="323" ht="15" customHeight="1">
      <c r="A323" t="inlineStr">
        <is>
          <t>A 27131-2025</t>
        </is>
      </c>
      <c r="B323" s="1" t="n">
        <v>45811</v>
      </c>
      <c r="C323" s="1" t="n">
        <v>45916</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4984-2024</t>
        </is>
      </c>
      <c r="B324" s="1" t="n">
        <v>45329</v>
      </c>
      <c r="C324" s="1" t="n">
        <v>45916</v>
      </c>
      <c r="D324" t="inlineStr">
        <is>
          <t>UPPSALA LÄN</t>
        </is>
      </c>
      <c r="E324" t="inlineStr">
        <is>
          <t>ÖSTHAMMAR</t>
        </is>
      </c>
      <c r="G324" t="n">
        <v>2.2</v>
      </c>
      <c r="H324" t="n">
        <v>0</v>
      </c>
      <c r="I324" t="n">
        <v>0</v>
      </c>
      <c r="J324" t="n">
        <v>0</v>
      </c>
      <c r="K324" t="n">
        <v>0</v>
      </c>
      <c r="L324" t="n">
        <v>0</v>
      </c>
      <c r="M324" t="n">
        <v>0</v>
      </c>
      <c r="N324" t="n">
        <v>0</v>
      </c>
      <c r="O324" t="n">
        <v>0</v>
      </c>
      <c r="P324" t="n">
        <v>0</v>
      </c>
      <c r="Q324" t="n">
        <v>0</v>
      </c>
      <c r="R324" s="2" t="inlineStr"/>
    </row>
    <row r="325" ht="15" customHeight="1">
      <c r="A325" t="inlineStr">
        <is>
          <t>A 21624-2023</t>
        </is>
      </c>
      <c r="B325" s="1" t="n">
        <v>45063.65543981481</v>
      </c>
      <c r="C325" s="1" t="n">
        <v>45916</v>
      </c>
      <c r="D325" t="inlineStr">
        <is>
          <t>UPPSALA LÄN</t>
        </is>
      </c>
      <c r="E325" t="inlineStr">
        <is>
          <t>ÖSTHAMMAR</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41996-2024</t>
        </is>
      </c>
      <c r="B326" s="1" t="n">
        <v>45561</v>
      </c>
      <c r="C326" s="1" t="n">
        <v>45916</v>
      </c>
      <c r="D326" t="inlineStr">
        <is>
          <t>UPPSALA LÄN</t>
        </is>
      </c>
      <c r="E326" t="inlineStr">
        <is>
          <t>ÖSTHAMMAR</t>
        </is>
      </c>
      <c r="F326" t="inlineStr">
        <is>
          <t>Bergvik skog öst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45916</v>
      </c>
      <c r="D327" t="inlineStr">
        <is>
          <t>UPPSALA LÄN</t>
        </is>
      </c>
      <c r="E327" t="inlineStr">
        <is>
          <t>ÖSTHAMMAR</t>
        </is>
      </c>
      <c r="G327" t="n">
        <v>7</v>
      </c>
      <c r="H327" t="n">
        <v>0</v>
      </c>
      <c r="I327" t="n">
        <v>0</v>
      </c>
      <c r="J327" t="n">
        <v>0</v>
      </c>
      <c r="K327" t="n">
        <v>0</v>
      </c>
      <c r="L327" t="n">
        <v>0</v>
      </c>
      <c r="M327" t="n">
        <v>0</v>
      </c>
      <c r="N327" t="n">
        <v>0</v>
      </c>
      <c r="O327" t="n">
        <v>0</v>
      </c>
      <c r="P327" t="n">
        <v>0</v>
      </c>
      <c r="Q327" t="n">
        <v>0</v>
      </c>
      <c r="R327" s="2" t="inlineStr"/>
    </row>
    <row r="328" ht="15" customHeight="1">
      <c r="A328" t="inlineStr">
        <is>
          <t>A 23742-2024</t>
        </is>
      </c>
      <c r="B328" s="1" t="n">
        <v>45455</v>
      </c>
      <c r="C328" s="1" t="n">
        <v>45916</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14505-2023</t>
        </is>
      </c>
      <c r="B329" s="1" t="n">
        <v>45012.7975</v>
      </c>
      <c r="C329" s="1" t="n">
        <v>45916</v>
      </c>
      <c r="D329" t="inlineStr">
        <is>
          <t>UPPSALA LÄN</t>
        </is>
      </c>
      <c r="E329" t="inlineStr">
        <is>
          <t>ÖSTHAMMAR</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31035-2022</t>
        </is>
      </c>
      <c r="B330" s="1" t="n">
        <v>44768.88685185185</v>
      </c>
      <c r="C330" s="1" t="n">
        <v>45916</v>
      </c>
      <c r="D330" t="inlineStr">
        <is>
          <t>UPPSALA LÄN</t>
        </is>
      </c>
      <c r="E330" t="inlineStr">
        <is>
          <t>ÖSTHAMMAR</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27132-2025</t>
        </is>
      </c>
      <c r="B331" s="1" t="n">
        <v>45811</v>
      </c>
      <c r="C331" s="1" t="n">
        <v>45916</v>
      </c>
      <c r="D331" t="inlineStr">
        <is>
          <t>UPPSALA LÄN</t>
        </is>
      </c>
      <c r="E331" t="inlineStr">
        <is>
          <t>ÖSTHAMMAR</t>
        </is>
      </c>
      <c r="G331" t="n">
        <v>2.3</v>
      </c>
      <c r="H331" t="n">
        <v>0</v>
      </c>
      <c r="I331" t="n">
        <v>0</v>
      </c>
      <c r="J331" t="n">
        <v>0</v>
      </c>
      <c r="K331" t="n">
        <v>0</v>
      </c>
      <c r="L331" t="n">
        <v>0</v>
      </c>
      <c r="M331" t="n">
        <v>0</v>
      </c>
      <c r="N331" t="n">
        <v>0</v>
      </c>
      <c r="O331" t="n">
        <v>0</v>
      </c>
      <c r="P331" t="n">
        <v>0</v>
      </c>
      <c r="Q331" t="n">
        <v>0</v>
      </c>
      <c r="R331" s="2" t="inlineStr"/>
    </row>
    <row r="332" ht="15" customHeight="1">
      <c r="A332" t="inlineStr">
        <is>
          <t>A 14124-2022</t>
        </is>
      </c>
      <c r="B332" s="1" t="n">
        <v>44651.40924768519</v>
      </c>
      <c r="C332" s="1" t="n">
        <v>45916</v>
      </c>
      <c r="D332" t="inlineStr">
        <is>
          <t>UPPSALA LÄN</t>
        </is>
      </c>
      <c r="E332" t="inlineStr">
        <is>
          <t>ÖSTHAMMAR</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58324-2023</t>
        </is>
      </c>
      <c r="B333" s="1" t="n">
        <v>45250.58635416667</v>
      </c>
      <c r="C333" s="1" t="n">
        <v>45916</v>
      </c>
      <c r="D333" t="inlineStr">
        <is>
          <t>UPPSALA LÄN</t>
        </is>
      </c>
      <c r="E333" t="inlineStr">
        <is>
          <t>ÖSTHAMMAR</t>
        </is>
      </c>
      <c r="G333" t="n">
        <v>5.1</v>
      </c>
      <c r="H333" t="n">
        <v>0</v>
      </c>
      <c r="I333" t="n">
        <v>0</v>
      </c>
      <c r="J333" t="n">
        <v>0</v>
      </c>
      <c r="K333" t="n">
        <v>0</v>
      </c>
      <c r="L333" t="n">
        <v>0</v>
      </c>
      <c r="M333" t="n">
        <v>0</v>
      </c>
      <c r="N333" t="n">
        <v>0</v>
      </c>
      <c r="O333" t="n">
        <v>0</v>
      </c>
      <c r="P333" t="n">
        <v>0</v>
      </c>
      <c r="Q333" t="n">
        <v>0</v>
      </c>
      <c r="R333" s="2" t="inlineStr"/>
    </row>
    <row r="334" ht="15" customHeight="1">
      <c r="A334" t="inlineStr">
        <is>
          <t>A 27058-2025</t>
        </is>
      </c>
      <c r="B334" s="1" t="n">
        <v>45811.63436342592</v>
      </c>
      <c r="C334" s="1" t="n">
        <v>45916</v>
      </c>
      <c r="D334" t="inlineStr">
        <is>
          <t>UPPSALA LÄN</t>
        </is>
      </c>
      <c r="E334" t="inlineStr">
        <is>
          <t>ÖSTHAMMAR</t>
        </is>
      </c>
      <c r="F334" t="inlineStr">
        <is>
          <t>Bergvik skog öst AB</t>
        </is>
      </c>
      <c r="G334" t="n">
        <v>5.7</v>
      </c>
      <c r="H334" t="n">
        <v>0</v>
      </c>
      <c r="I334" t="n">
        <v>0</v>
      </c>
      <c r="J334" t="n">
        <v>0</v>
      </c>
      <c r="K334" t="n">
        <v>0</v>
      </c>
      <c r="L334" t="n">
        <v>0</v>
      </c>
      <c r="M334" t="n">
        <v>0</v>
      </c>
      <c r="N334" t="n">
        <v>0</v>
      </c>
      <c r="O334" t="n">
        <v>0</v>
      </c>
      <c r="P334" t="n">
        <v>0</v>
      </c>
      <c r="Q334" t="n">
        <v>0</v>
      </c>
      <c r="R334" s="2" t="inlineStr"/>
    </row>
    <row r="335" ht="15" customHeight="1">
      <c r="A335" t="inlineStr">
        <is>
          <t>A 47341-2023</t>
        </is>
      </c>
      <c r="B335" s="1" t="n">
        <v>45202.55721064815</v>
      </c>
      <c r="C335" s="1" t="n">
        <v>45916</v>
      </c>
      <c r="D335" t="inlineStr">
        <is>
          <t>UPPSALA LÄN</t>
        </is>
      </c>
      <c r="E335" t="inlineStr">
        <is>
          <t>ÖSTHAMMAR</t>
        </is>
      </c>
      <c r="G335" t="n">
        <v>4.9</v>
      </c>
      <c r="H335" t="n">
        <v>0</v>
      </c>
      <c r="I335" t="n">
        <v>0</v>
      </c>
      <c r="J335" t="n">
        <v>0</v>
      </c>
      <c r="K335" t="n">
        <v>0</v>
      </c>
      <c r="L335" t="n">
        <v>0</v>
      </c>
      <c r="M335" t="n">
        <v>0</v>
      </c>
      <c r="N335" t="n">
        <v>0</v>
      </c>
      <c r="O335" t="n">
        <v>0</v>
      </c>
      <c r="P335" t="n">
        <v>0</v>
      </c>
      <c r="Q335" t="n">
        <v>0</v>
      </c>
      <c r="R335" s="2" t="inlineStr"/>
    </row>
    <row r="336" ht="15" customHeight="1">
      <c r="A336" t="inlineStr">
        <is>
          <t>A 4099-2025</t>
        </is>
      </c>
      <c r="B336" s="1" t="n">
        <v>45684</v>
      </c>
      <c r="C336" s="1" t="n">
        <v>45916</v>
      </c>
      <c r="D336" t="inlineStr">
        <is>
          <t>UPPSALA LÄN</t>
        </is>
      </c>
      <c r="E336" t="inlineStr">
        <is>
          <t>ÖSTHAMMAR</t>
        </is>
      </c>
      <c r="G336" t="n">
        <v>0.7</v>
      </c>
      <c r="H336" t="n">
        <v>0</v>
      </c>
      <c r="I336" t="n">
        <v>0</v>
      </c>
      <c r="J336" t="n">
        <v>0</v>
      </c>
      <c r="K336" t="n">
        <v>0</v>
      </c>
      <c r="L336" t="n">
        <v>0</v>
      </c>
      <c r="M336" t="n">
        <v>0</v>
      </c>
      <c r="N336" t="n">
        <v>0</v>
      </c>
      <c r="O336" t="n">
        <v>0</v>
      </c>
      <c r="P336" t="n">
        <v>0</v>
      </c>
      <c r="Q336" t="n">
        <v>0</v>
      </c>
      <c r="R336" s="2" t="inlineStr"/>
    </row>
    <row r="337" ht="15" customHeight="1">
      <c r="A337" t="inlineStr">
        <is>
          <t>A 6106-2024</t>
        </is>
      </c>
      <c r="B337" s="1" t="n">
        <v>45337.36831018519</v>
      </c>
      <c r="C337" s="1" t="n">
        <v>45916</v>
      </c>
      <c r="D337" t="inlineStr">
        <is>
          <t>UPPSALA LÄN</t>
        </is>
      </c>
      <c r="E337" t="inlineStr">
        <is>
          <t>ÖSTHAMMAR</t>
        </is>
      </c>
      <c r="G337" t="n">
        <v>0.6</v>
      </c>
      <c r="H337" t="n">
        <v>0</v>
      </c>
      <c r="I337" t="n">
        <v>0</v>
      </c>
      <c r="J337" t="n">
        <v>0</v>
      </c>
      <c r="K337" t="n">
        <v>0</v>
      </c>
      <c r="L337" t="n">
        <v>0</v>
      </c>
      <c r="M337" t="n">
        <v>0</v>
      </c>
      <c r="N337" t="n">
        <v>0</v>
      </c>
      <c r="O337" t="n">
        <v>0</v>
      </c>
      <c r="P337" t="n">
        <v>0</v>
      </c>
      <c r="Q337" t="n">
        <v>0</v>
      </c>
      <c r="R337" s="2" t="inlineStr"/>
    </row>
    <row r="338" ht="15" customHeight="1">
      <c r="A338" t="inlineStr">
        <is>
          <t>A 3732-2022</t>
        </is>
      </c>
      <c r="B338" s="1" t="n">
        <v>44586.64851851852</v>
      </c>
      <c r="C338" s="1" t="n">
        <v>45916</v>
      </c>
      <c r="D338" t="inlineStr">
        <is>
          <t>UPPSALA LÄN</t>
        </is>
      </c>
      <c r="E338" t="inlineStr">
        <is>
          <t>ÖSTHAMMAR</t>
        </is>
      </c>
      <c r="F338" t="inlineStr">
        <is>
          <t>Bergvik skog öst AB</t>
        </is>
      </c>
      <c r="G338" t="n">
        <v>3.6</v>
      </c>
      <c r="H338" t="n">
        <v>0</v>
      </c>
      <c r="I338" t="n">
        <v>0</v>
      </c>
      <c r="J338" t="n">
        <v>0</v>
      </c>
      <c r="K338" t="n">
        <v>0</v>
      </c>
      <c r="L338" t="n">
        <v>0</v>
      </c>
      <c r="M338" t="n">
        <v>0</v>
      </c>
      <c r="N338" t="n">
        <v>0</v>
      </c>
      <c r="O338" t="n">
        <v>0</v>
      </c>
      <c r="P338" t="n">
        <v>0</v>
      </c>
      <c r="Q338" t="n">
        <v>0</v>
      </c>
      <c r="R338" s="2" t="inlineStr"/>
    </row>
    <row r="339" ht="15" customHeight="1">
      <c r="A339" t="inlineStr">
        <is>
          <t>A 27347-2025</t>
        </is>
      </c>
      <c r="B339" s="1" t="n">
        <v>45812.62390046296</v>
      </c>
      <c r="C339" s="1" t="n">
        <v>45916</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27392-2025</t>
        </is>
      </c>
      <c r="B340" s="1" t="n">
        <v>45812.68268518519</v>
      </c>
      <c r="C340" s="1" t="n">
        <v>45916</v>
      </c>
      <c r="D340" t="inlineStr">
        <is>
          <t>UPPSALA LÄN</t>
        </is>
      </c>
      <c r="E340" t="inlineStr">
        <is>
          <t>ÖSTHAMMAR</t>
        </is>
      </c>
      <c r="F340" t="inlineStr">
        <is>
          <t>Bergvik skog öst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65020-2021</t>
        </is>
      </c>
      <c r="B341" s="1" t="n">
        <v>44515</v>
      </c>
      <c r="C341" s="1" t="n">
        <v>45916</v>
      </c>
      <c r="D341" t="inlineStr">
        <is>
          <t>UPPSALA LÄN</t>
        </is>
      </c>
      <c r="E341" t="inlineStr">
        <is>
          <t>ÖSTHAMMAR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27352-2025</t>
        </is>
      </c>
      <c r="B342" s="1" t="n">
        <v>45812.62694444445</v>
      </c>
      <c r="C342" s="1" t="n">
        <v>45916</v>
      </c>
      <c r="D342" t="inlineStr">
        <is>
          <t>UPPSALA LÄN</t>
        </is>
      </c>
      <c r="E342" t="inlineStr">
        <is>
          <t>ÖSTHAMMAR</t>
        </is>
      </c>
      <c r="G342" t="n">
        <v>2.5</v>
      </c>
      <c r="H342" t="n">
        <v>0</v>
      </c>
      <c r="I342" t="n">
        <v>0</v>
      </c>
      <c r="J342" t="n">
        <v>0</v>
      </c>
      <c r="K342" t="n">
        <v>0</v>
      </c>
      <c r="L342" t="n">
        <v>0</v>
      </c>
      <c r="M342" t="n">
        <v>0</v>
      </c>
      <c r="N342" t="n">
        <v>0</v>
      </c>
      <c r="O342" t="n">
        <v>0</v>
      </c>
      <c r="P342" t="n">
        <v>0</v>
      </c>
      <c r="Q342" t="n">
        <v>0</v>
      </c>
      <c r="R342" s="2" t="inlineStr"/>
    </row>
    <row r="343" ht="15" customHeight="1">
      <c r="A343" t="inlineStr">
        <is>
          <t>A 27350-2025</t>
        </is>
      </c>
      <c r="B343" s="1" t="n">
        <v>45812.62571759259</v>
      </c>
      <c r="C343" s="1" t="n">
        <v>45916</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27384-2025</t>
        </is>
      </c>
      <c r="B344" s="1" t="n">
        <v>45812.6672337963</v>
      </c>
      <c r="C344" s="1" t="n">
        <v>45916</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27383-2025</t>
        </is>
      </c>
      <c r="B345" s="1" t="n">
        <v>45812.66628472223</v>
      </c>
      <c r="C345" s="1" t="n">
        <v>45916</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27385-2025</t>
        </is>
      </c>
      <c r="B346" s="1" t="n">
        <v>45812.66829861111</v>
      </c>
      <c r="C346" s="1" t="n">
        <v>45916</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27395-2025</t>
        </is>
      </c>
      <c r="B347" s="1" t="n">
        <v>45812.6850462963</v>
      </c>
      <c r="C347" s="1" t="n">
        <v>45916</v>
      </c>
      <c r="D347" t="inlineStr">
        <is>
          <t>UPPSALA LÄN</t>
        </is>
      </c>
      <c r="E347" t="inlineStr">
        <is>
          <t>ÖSTHAMMAR</t>
        </is>
      </c>
      <c r="F347" t="inlineStr">
        <is>
          <t>Bergvik skog öst AB</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27563-2025</t>
        </is>
      </c>
      <c r="B348" s="1" t="n">
        <v>45813.48471064815</v>
      </c>
      <c r="C348" s="1" t="n">
        <v>45916</v>
      </c>
      <c r="D348" t="inlineStr">
        <is>
          <t>UPPSALA LÄN</t>
        </is>
      </c>
      <c r="E348" t="inlineStr">
        <is>
          <t>ÖSTHAMMAR</t>
        </is>
      </c>
      <c r="F348" t="inlineStr">
        <is>
          <t>Bergvik skog öst AB</t>
        </is>
      </c>
      <c r="G348" t="n">
        <v>4</v>
      </c>
      <c r="H348" t="n">
        <v>0</v>
      </c>
      <c r="I348" t="n">
        <v>0</v>
      </c>
      <c r="J348" t="n">
        <v>0</v>
      </c>
      <c r="K348" t="n">
        <v>0</v>
      </c>
      <c r="L348" t="n">
        <v>0</v>
      </c>
      <c r="M348" t="n">
        <v>0</v>
      </c>
      <c r="N348" t="n">
        <v>0</v>
      </c>
      <c r="O348" t="n">
        <v>0</v>
      </c>
      <c r="P348" t="n">
        <v>0</v>
      </c>
      <c r="Q348" t="n">
        <v>0</v>
      </c>
      <c r="R348" s="2" t="inlineStr"/>
    </row>
    <row r="349" ht="15" customHeight="1">
      <c r="A349" t="inlineStr">
        <is>
          <t>A 33056-2021</t>
        </is>
      </c>
      <c r="B349" s="1" t="n">
        <v>44376.52438657408</v>
      </c>
      <c r="C349" s="1" t="n">
        <v>45916</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49097-2022</t>
        </is>
      </c>
      <c r="B350" s="1" t="n">
        <v>44860</v>
      </c>
      <c r="C350" s="1" t="n">
        <v>45916</v>
      </c>
      <c r="D350" t="inlineStr">
        <is>
          <t>UPPSALA LÄN</t>
        </is>
      </c>
      <c r="E350" t="inlineStr">
        <is>
          <t>ÖSTHAMMAR</t>
        </is>
      </c>
      <c r="G350" t="n">
        <v>6.9</v>
      </c>
      <c r="H350" t="n">
        <v>0</v>
      </c>
      <c r="I350" t="n">
        <v>0</v>
      </c>
      <c r="J350" t="n">
        <v>0</v>
      </c>
      <c r="K350" t="n">
        <v>0</v>
      </c>
      <c r="L350" t="n">
        <v>0</v>
      </c>
      <c r="M350" t="n">
        <v>0</v>
      </c>
      <c r="N350" t="n">
        <v>0</v>
      </c>
      <c r="O350" t="n">
        <v>0</v>
      </c>
      <c r="P350" t="n">
        <v>0</v>
      </c>
      <c r="Q350" t="n">
        <v>0</v>
      </c>
      <c r="R350" s="2" t="inlineStr"/>
    </row>
    <row r="351" ht="15" customHeight="1">
      <c r="A351" t="inlineStr">
        <is>
          <t>A 27919-2025</t>
        </is>
      </c>
      <c r="B351" s="1" t="n">
        <v>45817.48384259259</v>
      </c>
      <c r="C351" s="1" t="n">
        <v>45916</v>
      </c>
      <c r="D351" t="inlineStr">
        <is>
          <t>UPPSALA LÄN</t>
        </is>
      </c>
      <c r="E351" t="inlineStr">
        <is>
          <t>ÖSTHAMMAR</t>
        </is>
      </c>
      <c r="F351" t="inlineStr">
        <is>
          <t>Bergvik skog öst AB</t>
        </is>
      </c>
      <c r="G351" t="n">
        <v>3.5</v>
      </c>
      <c r="H351" t="n">
        <v>0</v>
      </c>
      <c r="I351" t="n">
        <v>0</v>
      </c>
      <c r="J351" t="n">
        <v>0</v>
      </c>
      <c r="K351" t="n">
        <v>0</v>
      </c>
      <c r="L351" t="n">
        <v>0</v>
      </c>
      <c r="M351" t="n">
        <v>0</v>
      </c>
      <c r="N351" t="n">
        <v>0</v>
      </c>
      <c r="O351" t="n">
        <v>0</v>
      </c>
      <c r="P351" t="n">
        <v>0</v>
      </c>
      <c r="Q351" t="n">
        <v>0</v>
      </c>
      <c r="R351" s="2" t="inlineStr"/>
    </row>
    <row r="352" ht="15" customHeight="1">
      <c r="A352" t="inlineStr">
        <is>
          <t>A 10449-2023</t>
        </is>
      </c>
      <c r="B352" s="1" t="n">
        <v>44987</v>
      </c>
      <c r="C352" s="1" t="n">
        <v>45916</v>
      </c>
      <c r="D352" t="inlineStr">
        <is>
          <t>UPPSALA LÄN</t>
        </is>
      </c>
      <c r="E352" t="inlineStr">
        <is>
          <t>ÖSTHAMMAR</t>
        </is>
      </c>
      <c r="G352" t="n">
        <v>3.1</v>
      </c>
      <c r="H352" t="n">
        <v>0</v>
      </c>
      <c r="I352" t="n">
        <v>0</v>
      </c>
      <c r="J352" t="n">
        <v>0</v>
      </c>
      <c r="K352" t="n">
        <v>0</v>
      </c>
      <c r="L352" t="n">
        <v>0</v>
      </c>
      <c r="M352" t="n">
        <v>0</v>
      </c>
      <c r="N352" t="n">
        <v>0</v>
      </c>
      <c r="O352" t="n">
        <v>0</v>
      </c>
      <c r="P352" t="n">
        <v>0</v>
      </c>
      <c r="Q352" t="n">
        <v>0</v>
      </c>
      <c r="R352" s="2" t="inlineStr"/>
    </row>
    <row r="353" ht="15" customHeight="1">
      <c r="A353" t="inlineStr">
        <is>
          <t>A 27853-2025</t>
        </is>
      </c>
      <c r="B353" s="1" t="n">
        <v>45817.40178240741</v>
      </c>
      <c r="C353" s="1" t="n">
        <v>45916</v>
      </c>
      <c r="D353" t="inlineStr">
        <is>
          <t>UPPSALA LÄN</t>
        </is>
      </c>
      <c r="E353" t="inlineStr">
        <is>
          <t>ÖSTHAMMAR</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27812-2025</t>
        </is>
      </c>
      <c r="B354" s="1" t="n">
        <v>45817.32150462963</v>
      </c>
      <c r="C354" s="1" t="n">
        <v>45916</v>
      </c>
      <c r="D354" t="inlineStr">
        <is>
          <t>UPPSALA LÄN</t>
        </is>
      </c>
      <c r="E354" t="inlineStr">
        <is>
          <t>ÖSTHAMMAR</t>
        </is>
      </c>
      <c r="F354" t="inlineStr">
        <is>
          <t>Bergvik skog öst AB</t>
        </is>
      </c>
      <c r="G354" t="n">
        <v>1.8</v>
      </c>
      <c r="H354" t="n">
        <v>0</v>
      </c>
      <c r="I354" t="n">
        <v>0</v>
      </c>
      <c r="J354" t="n">
        <v>0</v>
      </c>
      <c r="K354" t="n">
        <v>0</v>
      </c>
      <c r="L354" t="n">
        <v>0</v>
      </c>
      <c r="M354" t="n">
        <v>0</v>
      </c>
      <c r="N354" t="n">
        <v>0</v>
      </c>
      <c r="O354" t="n">
        <v>0</v>
      </c>
      <c r="P354" t="n">
        <v>0</v>
      </c>
      <c r="Q354" t="n">
        <v>0</v>
      </c>
      <c r="R354" s="2" t="inlineStr"/>
    </row>
    <row r="355" ht="15" customHeight="1">
      <c r="A355" t="inlineStr">
        <is>
          <t>A 27920-2025</t>
        </is>
      </c>
      <c r="B355" s="1" t="n">
        <v>45817.48454861111</v>
      </c>
      <c r="C355" s="1" t="n">
        <v>45916</v>
      </c>
      <c r="D355" t="inlineStr">
        <is>
          <t>UPPSALA LÄN</t>
        </is>
      </c>
      <c r="E355" t="inlineStr">
        <is>
          <t>ÖSTHAMMAR</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8330-2025</t>
        </is>
      </c>
      <c r="B356" s="1" t="n">
        <v>45708</v>
      </c>
      <c r="C356" s="1" t="n">
        <v>45916</v>
      </c>
      <c r="D356" t="inlineStr">
        <is>
          <t>UPPSALA LÄN</t>
        </is>
      </c>
      <c r="E356" t="inlineStr">
        <is>
          <t>ÖSTHAMMAR</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27509-2025</t>
        </is>
      </c>
      <c r="B357" s="1" t="n">
        <v>45813.4278125</v>
      </c>
      <c r="C357" s="1" t="n">
        <v>45916</v>
      </c>
      <c r="D357" t="inlineStr">
        <is>
          <t>UPPSALA LÄN</t>
        </is>
      </c>
      <c r="E357" t="inlineStr">
        <is>
          <t>ÖSTHAMMAR</t>
        </is>
      </c>
      <c r="F357" t="inlineStr">
        <is>
          <t>Bergvik skog öst AB</t>
        </is>
      </c>
      <c r="G357" t="n">
        <v>3.3</v>
      </c>
      <c r="H357" t="n">
        <v>0</v>
      </c>
      <c r="I357" t="n">
        <v>0</v>
      </c>
      <c r="J357" t="n">
        <v>0</v>
      </c>
      <c r="K357" t="n">
        <v>0</v>
      </c>
      <c r="L357" t="n">
        <v>0</v>
      </c>
      <c r="M357" t="n">
        <v>0</v>
      </c>
      <c r="N357" t="n">
        <v>0</v>
      </c>
      <c r="O357" t="n">
        <v>0</v>
      </c>
      <c r="P357" t="n">
        <v>0</v>
      </c>
      <c r="Q357" t="n">
        <v>0</v>
      </c>
      <c r="R357" s="2" t="inlineStr"/>
    </row>
    <row r="358" ht="15" customHeight="1">
      <c r="A358" t="inlineStr">
        <is>
          <t>A 1238-2022</t>
        </is>
      </c>
      <c r="B358" s="1" t="n">
        <v>44572.5827662037</v>
      </c>
      <c r="C358" s="1" t="n">
        <v>45916</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28442-2025</t>
        </is>
      </c>
      <c r="B359" s="1" t="n">
        <v>45819</v>
      </c>
      <c r="C359" s="1" t="n">
        <v>45916</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25269-2024</t>
        </is>
      </c>
      <c r="B360" s="1" t="n">
        <v>45462</v>
      </c>
      <c r="C360" s="1" t="n">
        <v>45916</v>
      </c>
      <c r="D360" t="inlineStr">
        <is>
          <t>UPPSALA LÄN</t>
        </is>
      </c>
      <c r="E360" t="inlineStr">
        <is>
          <t>ÖSTHAMMAR</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28101-2025</t>
        </is>
      </c>
      <c r="B361" s="1" t="n">
        <v>45817.83736111111</v>
      </c>
      <c r="C361" s="1" t="n">
        <v>45916</v>
      </c>
      <c r="D361" t="inlineStr">
        <is>
          <t>UPPSALA LÄN</t>
        </is>
      </c>
      <c r="E361" t="inlineStr">
        <is>
          <t>ÖSTHAMMAR</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13352-2023</t>
        </is>
      </c>
      <c r="B362" s="1" t="n">
        <v>45005</v>
      </c>
      <c r="C362" s="1" t="n">
        <v>45916</v>
      </c>
      <c r="D362" t="inlineStr">
        <is>
          <t>UPPSALA LÄN</t>
        </is>
      </c>
      <c r="E362" t="inlineStr">
        <is>
          <t>ÖSTHAMMAR</t>
        </is>
      </c>
      <c r="G362" t="n">
        <v>1.8</v>
      </c>
      <c r="H362" t="n">
        <v>0</v>
      </c>
      <c r="I362" t="n">
        <v>0</v>
      </c>
      <c r="J362" t="n">
        <v>0</v>
      </c>
      <c r="K362" t="n">
        <v>0</v>
      </c>
      <c r="L362" t="n">
        <v>0</v>
      </c>
      <c r="M362" t="n">
        <v>0</v>
      </c>
      <c r="N362" t="n">
        <v>0</v>
      </c>
      <c r="O362" t="n">
        <v>0</v>
      </c>
      <c r="P362" t="n">
        <v>0</v>
      </c>
      <c r="Q362" t="n">
        <v>0</v>
      </c>
      <c r="R362" s="2" t="inlineStr"/>
    </row>
    <row r="363" ht="15" customHeight="1">
      <c r="A363" t="inlineStr">
        <is>
          <t>A 28100-2025</t>
        </is>
      </c>
      <c r="B363" s="1" t="n">
        <v>45817.83487268518</v>
      </c>
      <c r="C363" s="1" t="n">
        <v>45916</v>
      </c>
      <c r="D363" t="inlineStr">
        <is>
          <t>UPPSALA LÄN</t>
        </is>
      </c>
      <c r="E363" t="inlineStr">
        <is>
          <t>ÖSTHAMMAR</t>
        </is>
      </c>
      <c r="F363" t="inlineStr">
        <is>
          <t>Bergvik skog öst AB</t>
        </is>
      </c>
      <c r="G363" t="n">
        <v>3.2</v>
      </c>
      <c r="H363" t="n">
        <v>0</v>
      </c>
      <c r="I363" t="n">
        <v>0</v>
      </c>
      <c r="J363" t="n">
        <v>0</v>
      </c>
      <c r="K363" t="n">
        <v>0</v>
      </c>
      <c r="L363" t="n">
        <v>0</v>
      </c>
      <c r="M363" t="n">
        <v>0</v>
      </c>
      <c r="N363" t="n">
        <v>0</v>
      </c>
      <c r="O363" t="n">
        <v>0</v>
      </c>
      <c r="P363" t="n">
        <v>0</v>
      </c>
      <c r="Q363" t="n">
        <v>0</v>
      </c>
      <c r="R363" s="2" t="inlineStr"/>
    </row>
    <row r="364" ht="15" customHeight="1">
      <c r="A364" t="inlineStr">
        <is>
          <t>A 22804-2022</t>
        </is>
      </c>
      <c r="B364" s="1" t="n">
        <v>44715</v>
      </c>
      <c r="C364" s="1" t="n">
        <v>45916</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45795-2023</t>
        </is>
      </c>
      <c r="B365" s="1" t="n">
        <v>45195</v>
      </c>
      <c r="C365" s="1" t="n">
        <v>45916</v>
      </c>
      <c r="D365" t="inlineStr">
        <is>
          <t>UPPSALA LÄN</t>
        </is>
      </c>
      <c r="E365" t="inlineStr">
        <is>
          <t>ÖSTHAMMAR</t>
        </is>
      </c>
      <c r="G365" t="n">
        <v>4</v>
      </c>
      <c r="H365" t="n">
        <v>0</v>
      </c>
      <c r="I365" t="n">
        <v>0</v>
      </c>
      <c r="J365" t="n">
        <v>0</v>
      </c>
      <c r="K365" t="n">
        <v>0</v>
      </c>
      <c r="L365" t="n">
        <v>0</v>
      </c>
      <c r="M365" t="n">
        <v>0</v>
      </c>
      <c r="N365" t="n">
        <v>0</v>
      </c>
      <c r="O365" t="n">
        <v>0</v>
      </c>
      <c r="P365" t="n">
        <v>0</v>
      </c>
      <c r="Q365" t="n">
        <v>0</v>
      </c>
      <c r="R365" s="2" t="inlineStr"/>
    </row>
    <row r="366" ht="15" customHeight="1">
      <c r="A366" t="inlineStr">
        <is>
          <t>A 38003-2024</t>
        </is>
      </c>
      <c r="B366" s="1" t="n">
        <v>45544</v>
      </c>
      <c r="C366" s="1" t="n">
        <v>45916</v>
      </c>
      <c r="D366" t="inlineStr">
        <is>
          <t>UPPSALA LÄN</t>
        </is>
      </c>
      <c r="E366" t="inlineStr">
        <is>
          <t>ÖSTHAMMAR</t>
        </is>
      </c>
      <c r="F366" t="inlineStr">
        <is>
          <t>Naturvårdsverket</t>
        </is>
      </c>
      <c r="G366" t="n">
        <v>4.2</v>
      </c>
      <c r="H366" t="n">
        <v>0</v>
      </c>
      <c r="I366" t="n">
        <v>0</v>
      </c>
      <c r="J366" t="n">
        <v>0</v>
      </c>
      <c r="K366" t="n">
        <v>0</v>
      </c>
      <c r="L366" t="n">
        <v>0</v>
      </c>
      <c r="M366" t="n">
        <v>0</v>
      </c>
      <c r="N366" t="n">
        <v>0</v>
      </c>
      <c r="O366" t="n">
        <v>0</v>
      </c>
      <c r="P366" t="n">
        <v>0</v>
      </c>
      <c r="Q366" t="n">
        <v>0</v>
      </c>
      <c r="R366" s="2" t="inlineStr"/>
    </row>
    <row r="367" ht="15" customHeight="1">
      <c r="A367" t="inlineStr">
        <is>
          <t>A 28099-2025</t>
        </is>
      </c>
      <c r="B367" s="1" t="n">
        <v>45817.82967592592</v>
      </c>
      <c r="C367" s="1" t="n">
        <v>45916</v>
      </c>
      <c r="D367" t="inlineStr">
        <is>
          <t>UPPSALA LÄN</t>
        </is>
      </c>
      <c r="E367" t="inlineStr">
        <is>
          <t>ÖSTHAMMAR</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23728-2025</t>
        </is>
      </c>
      <c r="B368" s="1" t="n">
        <v>45793.41719907407</v>
      </c>
      <c r="C368" s="1" t="n">
        <v>45916</v>
      </c>
      <c r="D368" t="inlineStr">
        <is>
          <t>UPPSALA LÄN</t>
        </is>
      </c>
      <c r="E368" t="inlineStr">
        <is>
          <t>ÖSTHAMMAR</t>
        </is>
      </c>
      <c r="G368" t="n">
        <v>1.1</v>
      </c>
      <c r="H368" t="n">
        <v>0</v>
      </c>
      <c r="I368" t="n">
        <v>0</v>
      </c>
      <c r="J368" t="n">
        <v>0</v>
      </c>
      <c r="K368" t="n">
        <v>0</v>
      </c>
      <c r="L368" t="n">
        <v>0</v>
      </c>
      <c r="M368" t="n">
        <v>0</v>
      </c>
      <c r="N368" t="n">
        <v>0</v>
      </c>
      <c r="O368" t="n">
        <v>0</v>
      </c>
      <c r="P368" t="n">
        <v>0</v>
      </c>
      <c r="Q368" t="n">
        <v>0</v>
      </c>
      <c r="R368" s="2" t="inlineStr"/>
    </row>
    <row r="369" ht="15" customHeight="1">
      <c r="A369" t="inlineStr">
        <is>
          <t>A 28745-2025</t>
        </is>
      </c>
      <c r="B369" s="1" t="n">
        <v>45820.39076388889</v>
      </c>
      <c r="C369" s="1" t="n">
        <v>45916</v>
      </c>
      <c r="D369" t="inlineStr">
        <is>
          <t>UPPSALA LÄN</t>
        </is>
      </c>
      <c r="E369" t="inlineStr">
        <is>
          <t>ÖSTHAMMAR</t>
        </is>
      </c>
      <c r="G369" t="n">
        <v>1.7</v>
      </c>
      <c r="H369" t="n">
        <v>0</v>
      </c>
      <c r="I369" t="n">
        <v>0</v>
      </c>
      <c r="J369" t="n">
        <v>0</v>
      </c>
      <c r="K369" t="n">
        <v>0</v>
      </c>
      <c r="L369" t="n">
        <v>0</v>
      </c>
      <c r="M369" t="n">
        <v>0</v>
      </c>
      <c r="N369" t="n">
        <v>0</v>
      </c>
      <c r="O369" t="n">
        <v>0</v>
      </c>
      <c r="P369" t="n">
        <v>0</v>
      </c>
      <c r="Q369" t="n">
        <v>0</v>
      </c>
      <c r="R369" s="2" t="inlineStr"/>
    </row>
    <row r="370" ht="15" customHeight="1">
      <c r="A370" t="inlineStr">
        <is>
          <t>A 28748-2025</t>
        </is>
      </c>
      <c r="B370" s="1" t="n">
        <v>45820.39540509259</v>
      </c>
      <c r="C370" s="1" t="n">
        <v>45916</v>
      </c>
      <c r="D370" t="inlineStr">
        <is>
          <t>UPPSALA LÄN</t>
        </is>
      </c>
      <c r="E370" t="inlineStr">
        <is>
          <t>ÖSTHAMMAR</t>
        </is>
      </c>
      <c r="G370" t="n">
        <v>2</v>
      </c>
      <c r="H370" t="n">
        <v>0</v>
      </c>
      <c r="I370" t="n">
        <v>0</v>
      </c>
      <c r="J370" t="n">
        <v>0</v>
      </c>
      <c r="K370" t="n">
        <v>0</v>
      </c>
      <c r="L370" t="n">
        <v>0</v>
      </c>
      <c r="M370" t="n">
        <v>0</v>
      </c>
      <c r="N370" t="n">
        <v>0</v>
      </c>
      <c r="O370" t="n">
        <v>0</v>
      </c>
      <c r="P370" t="n">
        <v>0</v>
      </c>
      <c r="Q370" t="n">
        <v>0</v>
      </c>
      <c r="R370" s="2" t="inlineStr"/>
    </row>
    <row r="371" ht="15" customHeight="1">
      <c r="A371" t="inlineStr">
        <is>
          <t>A 25252-2024</t>
        </is>
      </c>
      <c r="B371" s="1" t="n">
        <v>45462</v>
      </c>
      <c r="C371" s="1" t="n">
        <v>45916</v>
      </c>
      <c r="D371" t="inlineStr">
        <is>
          <t>UPPSALA LÄN</t>
        </is>
      </c>
      <c r="E371" t="inlineStr">
        <is>
          <t>ÖSTHAMMAR</t>
        </is>
      </c>
      <c r="G371" t="n">
        <v>4.3</v>
      </c>
      <c r="H371" t="n">
        <v>0</v>
      </c>
      <c r="I371" t="n">
        <v>0</v>
      </c>
      <c r="J371" t="n">
        <v>0</v>
      </c>
      <c r="K371" t="n">
        <v>0</v>
      </c>
      <c r="L371" t="n">
        <v>0</v>
      </c>
      <c r="M371" t="n">
        <v>0</v>
      </c>
      <c r="N371" t="n">
        <v>0</v>
      </c>
      <c r="O371" t="n">
        <v>0</v>
      </c>
      <c r="P371" t="n">
        <v>0</v>
      </c>
      <c r="Q371" t="n">
        <v>0</v>
      </c>
      <c r="R371" s="2" t="inlineStr"/>
    </row>
    <row r="372" ht="15" customHeight="1">
      <c r="A372" t="inlineStr">
        <is>
          <t>A 16531-2025</t>
        </is>
      </c>
      <c r="B372" s="1" t="n">
        <v>45751</v>
      </c>
      <c r="C372" s="1" t="n">
        <v>45916</v>
      </c>
      <c r="D372" t="inlineStr">
        <is>
          <t>UPPSALA LÄN</t>
        </is>
      </c>
      <c r="E372" t="inlineStr">
        <is>
          <t>ÖSTHAMMAR</t>
        </is>
      </c>
      <c r="G372" t="n">
        <v>3.3</v>
      </c>
      <c r="H372" t="n">
        <v>0</v>
      </c>
      <c r="I372" t="n">
        <v>0</v>
      </c>
      <c r="J372" t="n">
        <v>0</v>
      </c>
      <c r="K372" t="n">
        <v>0</v>
      </c>
      <c r="L372" t="n">
        <v>0</v>
      </c>
      <c r="M372" t="n">
        <v>0</v>
      </c>
      <c r="N372" t="n">
        <v>0</v>
      </c>
      <c r="O372" t="n">
        <v>0</v>
      </c>
      <c r="P372" t="n">
        <v>0</v>
      </c>
      <c r="Q372" t="n">
        <v>0</v>
      </c>
      <c r="R372" s="2" t="inlineStr"/>
    </row>
    <row r="373" ht="15" customHeight="1">
      <c r="A373" t="inlineStr">
        <is>
          <t>A 29024-2025</t>
        </is>
      </c>
      <c r="B373" s="1" t="n">
        <v>45821.43233796296</v>
      </c>
      <c r="C373" s="1" t="n">
        <v>45916</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29031-2025</t>
        </is>
      </c>
      <c r="B374" s="1" t="n">
        <v>45821.44159722222</v>
      </c>
      <c r="C374" s="1" t="n">
        <v>45916</v>
      </c>
      <c r="D374" t="inlineStr">
        <is>
          <t>UPPSALA LÄN</t>
        </is>
      </c>
      <c r="E374" t="inlineStr">
        <is>
          <t>ÖSTHAMMAR</t>
        </is>
      </c>
      <c r="F374" t="inlineStr">
        <is>
          <t>Bergvik skog öst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28739-2025</t>
        </is>
      </c>
      <c r="B375" s="1" t="n">
        <v>45820</v>
      </c>
      <c r="C375" s="1" t="n">
        <v>45916</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29028-2025</t>
        </is>
      </c>
      <c r="B376" s="1" t="n">
        <v>45821.4384375</v>
      </c>
      <c r="C376" s="1" t="n">
        <v>45916</v>
      </c>
      <c r="D376" t="inlineStr">
        <is>
          <t>UPPSALA LÄN</t>
        </is>
      </c>
      <c r="E376" t="inlineStr">
        <is>
          <t>ÖSTHAMMAR</t>
        </is>
      </c>
      <c r="F376" t="inlineStr">
        <is>
          <t>Bergvik skog öst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29029-2025</t>
        </is>
      </c>
      <c r="B377" s="1" t="n">
        <v>45821.43973379629</v>
      </c>
      <c r="C377" s="1" t="n">
        <v>45916</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5189-2025</t>
        </is>
      </c>
      <c r="B378" s="1" t="n">
        <v>45691</v>
      </c>
      <c r="C378" s="1" t="n">
        <v>45916</v>
      </c>
      <c r="D378" t="inlineStr">
        <is>
          <t>UPPSALA LÄN</t>
        </is>
      </c>
      <c r="E378" t="inlineStr">
        <is>
          <t>ÖSTHAMMAR</t>
        </is>
      </c>
      <c r="F378" t="inlineStr">
        <is>
          <t>Bergvik skog öst AB</t>
        </is>
      </c>
      <c r="G378" t="n">
        <v>24.4</v>
      </c>
      <c r="H378" t="n">
        <v>0</v>
      </c>
      <c r="I378" t="n">
        <v>0</v>
      </c>
      <c r="J378" t="n">
        <v>0</v>
      </c>
      <c r="K378" t="n">
        <v>0</v>
      </c>
      <c r="L378" t="n">
        <v>0</v>
      </c>
      <c r="M378" t="n">
        <v>0</v>
      </c>
      <c r="N378" t="n">
        <v>0</v>
      </c>
      <c r="O378" t="n">
        <v>0</v>
      </c>
      <c r="P378" t="n">
        <v>0</v>
      </c>
      <c r="Q378" t="n">
        <v>0</v>
      </c>
      <c r="R378" s="2" t="inlineStr"/>
    </row>
    <row r="379" ht="15" customHeight="1">
      <c r="A379" t="inlineStr">
        <is>
          <t>A 7997-2022</t>
        </is>
      </c>
      <c r="B379" s="1" t="n">
        <v>44609</v>
      </c>
      <c r="C379" s="1" t="n">
        <v>45916</v>
      </c>
      <c r="D379" t="inlineStr">
        <is>
          <t>UPPSALA LÄN</t>
        </is>
      </c>
      <c r="E379" t="inlineStr">
        <is>
          <t>ÖSTHAMMAR</t>
        </is>
      </c>
      <c r="G379" t="n">
        <v>1.8</v>
      </c>
      <c r="H379" t="n">
        <v>0</v>
      </c>
      <c r="I379" t="n">
        <v>0</v>
      </c>
      <c r="J379" t="n">
        <v>0</v>
      </c>
      <c r="K379" t="n">
        <v>0</v>
      </c>
      <c r="L379" t="n">
        <v>0</v>
      </c>
      <c r="M379" t="n">
        <v>0</v>
      </c>
      <c r="N379" t="n">
        <v>0</v>
      </c>
      <c r="O379" t="n">
        <v>0</v>
      </c>
      <c r="P379" t="n">
        <v>0</v>
      </c>
      <c r="Q379" t="n">
        <v>0</v>
      </c>
      <c r="R379" s="2" t="inlineStr"/>
    </row>
    <row r="380" ht="15" customHeight="1">
      <c r="A380" t="inlineStr">
        <is>
          <t>A 21478-2023</t>
        </is>
      </c>
      <c r="B380" s="1" t="n">
        <v>45063.47773148148</v>
      </c>
      <c r="C380" s="1" t="n">
        <v>45916</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27494-2025</t>
        </is>
      </c>
      <c r="B381" s="1" t="n">
        <v>45813.39756944445</v>
      </c>
      <c r="C381" s="1" t="n">
        <v>45916</v>
      </c>
      <c r="D381" t="inlineStr">
        <is>
          <t>UPPSALA LÄN</t>
        </is>
      </c>
      <c r="E381" t="inlineStr">
        <is>
          <t>ÖSTHAMMAR</t>
        </is>
      </c>
      <c r="F381" t="inlineStr">
        <is>
          <t>Bergvik skog öst AB</t>
        </is>
      </c>
      <c r="G381" t="n">
        <v>23.4</v>
      </c>
      <c r="H381" t="n">
        <v>0</v>
      </c>
      <c r="I381" t="n">
        <v>0</v>
      </c>
      <c r="J381" t="n">
        <v>0</v>
      </c>
      <c r="K381" t="n">
        <v>0</v>
      </c>
      <c r="L381" t="n">
        <v>0</v>
      </c>
      <c r="M381" t="n">
        <v>0</v>
      </c>
      <c r="N381" t="n">
        <v>0</v>
      </c>
      <c r="O381" t="n">
        <v>0</v>
      </c>
      <c r="P381" t="n">
        <v>0</v>
      </c>
      <c r="Q381" t="n">
        <v>0</v>
      </c>
      <c r="R381" s="2" t="inlineStr"/>
    </row>
    <row r="382" ht="15" customHeight="1">
      <c r="A382" t="inlineStr">
        <is>
          <t>A 29384-2025</t>
        </is>
      </c>
      <c r="B382" s="1" t="n">
        <v>45824</v>
      </c>
      <c r="C382" s="1" t="n">
        <v>45916</v>
      </c>
      <c r="D382" t="inlineStr">
        <is>
          <t>UPPSALA LÄN</t>
        </is>
      </c>
      <c r="E382" t="inlineStr">
        <is>
          <t>ÖSTHAMMAR</t>
        </is>
      </c>
      <c r="G382" t="n">
        <v>3.1</v>
      </c>
      <c r="H382" t="n">
        <v>0</v>
      </c>
      <c r="I382" t="n">
        <v>0</v>
      </c>
      <c r="J382" t="n">
        <v>0</v>
      </c>
      <c r="K382" t="n">
        <v>0</v>
      </c>
      <c r="L382" t="n">
        <v>0</v>
      </c>
      <c r="M382" t="n">
        <v>0</v>
      </c>
      <c r="N382" t="n">
        <v>0</v>
      </c>
      <c r="O382" t="n">
        <v>0</v>
      </c>
      <c r="P382" t="n">
        <v>0</v>
      </c>
      <c r="Q382" t="n">
        <v>0</v>
      </c>
      <c r="R382" s="2" t="inlineStr"/>
    </row>
    <row r="383" ht="15" customHeight="1">
      <c r="A383" t="inlineStr">
        <is>
          <t>A 67199-2021</t>
        </is>
      </c>
      <c r="B383" s="1" t="n">
        <v>44523.46197916667</v>
      </c>
      <c r="C383" s="1" t="n">
        <v>45916</v>
      </c>
      <c r="D383" t="inlineStr">
        <is>
          <t>UPPSALA LÄN</t>
        </is>
      </c>
      <c r="E383" t="inlineStr">
        <is>
          <t>ÖSTHAMMAR</t>
        </is>
      </c>
      <c r="G383" t="n">
        <v>2.3</v>
      </c>
      <c r="H383" t="n">
        <v>0</v>
      </c>
      <c r="I383" t="n">
        <v>0</v>
      </c>
      <c r="J383" t="n">
        <v>0</v>
      </c>
      <c r="K383" t="n">
        <v>0</v>
      </c>
      <c r="L383" t="n">
        <v>0</v>
      </c>
      <c r="M383" t="n">
        <v>0</v>
      </c>
      <c r="N383" t="n">
        <v>0</v>
      </c>
      <c r="O383" t="n">
        <v>0</v>
      </c>
      <c r="P383" t="n">
        <v>0</v>
      </c>
      <c r="Q383" t="n">
        <v>0</v>
      </c>
      <c r="R383" s="2" t="inlineStr"/>
    </row>
    <row r="384" ht="15" customHeight="1">
      <c r="A384" t="inlineStr">
        <is>
          <t>A 27490-2025</t>
        </is>
      </c>
      <c r="B384" s="1" t="n">
        <v>45813.39273148148</v>
      </c>
      <c r="C384" s="1" t="n">
        <v>45916</v>
      </c>
      <c r="D384" t="inlineStr">
        <is>
          <t>UPPSALA LÄN</t>
        </is>
      </c>
      <c r="E384" t="inlineStr">
        <is>
          <t>ÖSTHAMMAR</t>
        </is>
      </c>
      <c r="F384" t="inlineStr">
        <is>
          <t>Bergvik skog öst AB</t>
        </is>
      </c>
      <c r="G384" t="n">
        <v>6.1</v>
      </c>
      <c r="H384" t="n">
        <v>0</v>
      </c>
      <c r="I384" t="n">
        <v>0</v>
      </c>
      <c r="J384" t="n">
        <v>0</v>
      </c>
      <c r="K384" t="n">
        <v>0</v>
      </c>
      <c r="L384" t="n">
        <v>0</v>
      </c>
      <c r="M384" t="n">
        <v>0</v>
      </c>
      <c r="N384" t="n">
        <v>0</v>
      </c>
      <c r="O384" t="n">
        <v>0</v>
      </c>
      <c r="P384" t="n">
        <v>0</v>
      </c>
      <c r="Q384" t="n">
        <v>0</v>
      </c>
      <c r="R384" s="2" t="inlineStr"/>
    </row>
    <row r="385" ht="15" customHeight="1">
      <c r="A385" t="inlineStr">
        <is>
          <t>A 29775-2025</t>
        </is>
      </c>
      <c r="B385" s="1" t="n">
        <v>45825.63803240741</v>
      </c>
      <c r="C385" s="1" t="n">
        <v>45916</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15449-2022</t>
        </is>
      </c>
      <c r="B386" s="1" t="n">
        <v>44660.91659722223</v>
      </c>
      <c r="C386" s="1" t="n">
        <v>45916</v>
      </c>
      <c r="D386" t="inlineStr">
        <is>
          <t>UPPSALA LÄN</t>
        </is>
      </c>
      <c r="E386" t="inlineStr">
        <is>
          <t>ÖSTHAMMAR</t>
        </is>
      </c>
      <c r="F386" t="inlineStr">
        <is>
          <t>Bergvik skog öst AB</t>
        </is>
      </c>
      <c r="G386" t="n">
        <v>2</v>
      </c>
      <c r="H386" t="n">
        <v>0</v>
      </c>
      <c r="I386" t="n">
        <v>0</v>
      </c>
      <c r="J386" t="n">
        <v>0</v>
      </c>
      <c r="K386" t="n">
        <v>0</v>
      </c>
      <c r="L386" t="n">
        <v>0</v>
      </c>
      <c r="M386" t="n">
        <v>0</v>
      </c>
      <c r="N386" t="n">
        <v>0</v>
      </c>
      <c r="O386" t="n">
        <v>0</v>
      </c>
      <c r="P386" t="n">
        <v>0</v>
      </c>
      <c r="Q386" t="n">
        <v>0</v>
      </c>
      <c r="R386" s="2" t="inlineStr"/>
    </row>
    <row r="387" ht="15" customHeight="1">
      <c r="A387" t="inlineStr">
        <is>
          <t>A 27486-2025</t>
        </is>
      </c>
      <c r="B387" s="1" t="n">
        <v>45813.38521990741</v>
      </c>
      <c r="C387" s="1" t="n">
        <v>45916</v>
      </c>
      <c r="D387" t="inlineStr">
        <is>
          <t>UPPSALA LÄN</t>
        </is>
      </c>
      <c r="E387" t="inlineStr">
        <is>
          <t>ÖSTHAMMAR</t>
        </is>
      </c>
      <c r="F387" t="inlineStr">
        <is>
          <t>Bergvik skog öst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30244-2025</t>
        </is>
      </c>
      <c r="B388" s="1" t="n">
        <v>45827.40902777778</v>
      </c>
      <c r="C388" s="1" t="n">
        <v>45916</v>
      </c>
      <c r="D388" t="inlineStr">
        <is>
          <t>UPPSALA LÄN</t>
        </is>
      </c>
      <c r="E388" t="inlineStr">
        <is>
          <t>ÖSTHAMMAR</t>
        </is>
      </c>
      <c r="G388" t="n">
        <v>1.4</v>
      </c>
      <c r="H388" t="n">
        <v>0</v>
      </c>
      <c r="I388" t="n">
        <v>0</v>
      </c>
      <c r="J388" t="n">
        <v>0</v>
      </c>
      <c r="K388" t="n">
        <v>0</v>
      </c>
      <c r="L388" t="n">
        <v>0</v>
      </c>
      <c r="M388" t="n">
        <v>0</v>
      </c>
      <c r="N388" t="n">
        <v>0</v>
      </c>
      <c r="O388" t="n">
        <v>0</v>
      </c>
      <c r="P388" t="n">
        <v>0</v>
      </c>
      <c r="Q388" t="n">
        <v>0</v>
      </c>
      <c r="R388" s="2" t="inlineStr"/>
    </row>
    <row r="389" ht="15" customHeight="1">
      <c r="A389" t="inlineStr">
        <is>
          <t>A 18183-2022</t>
        </is>
      </c>
      <c r="B389" s="1" t="n">
        <v>44684</v>
      </c>
      <c r="C389" s="1" t="n">
        <v>45916</v>
      </c>
      <c r="D389" t="inlineStr">
        <is>
          <t>UPPSALA LÄN</t>
        </is>
      </c>
      <c r="E389" t="inlineStr">
        <is>
          <t>ÖSTHAMMAR</t>
        </is>
      </c>
      <c r="G389" t="n">
        <v>0.2</v>
      </c>
      <c r="H389" t="n">
        <v>0</v>
      </c>
      <c r="I389" t="n">
        <v>0</v>
      </c>
      <c r="J389" t="n">
        <v>0</v>
      </c>
      <c r="K389" t="n">
        <v>0</v>
      </c>
      <c r="L389" t="n">
        <v>0</v>
      </c>
      <c r="M389" t="n">
        <v>0</v>
      </c>
      <c r="N389" t="n">
        <v>0</v>
      </c>
      <c r="O389" t="n">
        <v>0</v>
      </c>
      <c r="P389" t="n">
        <v>0</v>
      </c>
      <c r="Q389" t="n">
        <v>0</v>
      </c>
      <c r="R389" s="2" t="inlineStr"/>
    </row>
    <row r="390" ht="15" customHeight="1">
      <c r="A390" t="inlineStr">
        <is>
          <t>A 31137-2022</t>
        </is>
      </c>
      <c r="B390" s="1" t="n">
        <v>44770.42166666667</v>
      </c>
      <c r="C390" s="1" t="n">
        <v>45916</v>
      </c>
      <c r="D390" t="inlineStr">
        <is>
          <t>UPPSALA LÄN</t>
        </is>
      </c>
      <c r="E390" t="inlineStr">
        <is>
          <t>ÖSTHAMMAR</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55389-2020</t>
        </is>
      </c>
      <c r="B391" s="1" t="n">
        <v>44131.38030092593</v>
      </c>
      <c r="C391" s="1" t="n">
        <v>45916</v>
      </c>
      <c r="D391" t="inlineStr">
        <is>
          <t>UPPSALA LÄN</t>
        </is>
      </c>
      <c r="E391" t="inlineStr">
        <is>
          <t>ÖSTHAMMAR</t>
        </is>
      </c>
      <c r="G391" t="n">
        <v>1.3</v>
      </c>
      <c r="H391" t="n">
        <v>0</v>
      </c>
      <c r="I391" t="n">
        <v>0</v>
      </c>
      <c r="J391" t="n">
        <v>0</v>
      </c>
      <c r="K391" t="n">
        <v>0</v>
      </c>
      <c r="L391" t="n">
        <v>0</v>
      </c>
      <c r="M391" t="n">
        <v>0</v>
      </c>
      <c r="N391" t="n">
        <v>0</v>
      </c>
      <c r="O391" t="n">
        <v>0</v>
      </c>
      <c r="P391" t="n">
        <v>0</v>
      </c>
      <c r="Q391" t="n">
        <v>0</v>
      </c>
      <c r="R391" s="2" t="inlineStr"/>
    </row>
    <row r="392" ht="15" customHeight="1">
      <c r="A392" t="inlineStr">
        <is>
          <t>A 74429-2021</t>
        </is>
      </c>
      <c r="B392" s="1" t="n">
        <v>44560.43136574074</v>
      </c>
      <c r="C392" s="1" t="n">
        <v>45916</v>
      </c>
      <c r="D392" t="inlineStr">
        <is>
          <t>UPPSALA LÄN</t>
        </is>
      </c>
      <c r="E392" t="inlineStr">
        <is>
          <t>ÖSTHAMMAR</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6892-2022</t>
        </is>
      </c>
      <c r="B393" s="1" t="n">
        <v>44602</v>
      </c>
      <c r="C393" s="1" t="n">
        <v>45916</v>
      </c>
      <c r="D393" t="inlineStr">
        <is>
          <t>UPPSALA LÄN</t>
        </is>
      </c>
      <c r="E393" t="inlineStr">
        <is>
          <t>ÖSTHAMMAR</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62295-2022</t>
        </is>
      </c>
      <c r="B394" s="1" t="n">
        <v>44916</v>
      </c>
      <c r="C394" s="1" t="n">
        <v>45916</v>
      </c>
      <c r="D394" t="inlineStr">
        <is>
          <t>UPPSALA LÄN</t>
        </is>
      </c>
      <c r="E394" t="inlineStr">
        <is>
          <t>ÖSTHAMMAR</t>
        </is>
      </c>
      <c r="G394" t="n">
        <v>3.3</v>
      </c>
      <c r="H394" t="n">
        <v>0</v>
      </c>
      <c r="I394" t="n">
        <v>0</v>
      </c>
      <c r="J394" t="n">
        <v>0</v>
      </c>
      <c r="K394" t="n">
        <v>0</v>
      </c>
      <c r="L394" t="n">
        <v>0</v>
      </c>
      <c r="M394" t="n">
        <v>0</v>
      </c>
      <c r="N394" t="n">
        <v>0</v>
      </c>
      <c r="O394" t="n">
        <v>0</v>
      </c>
      <c r="P394" t="n">
        <v>0</v>
      </c>
      <c r="Q394" t="n">
        <v>0</v>
      </c>
      <c r="R394" s="2" t="inlineStr"/>
    </row>
    <row r="395" ht="15" customHeight="1">
      <c r="A395" t="inlineStr">
        <is>
          <t>A 30931-2021</t>
        </is>
      </c>
      <c r="B395" s="1" t="n">
        <v>44365</v>
      </c>
      <c r="C395" s="1" t="n">
        <v>45916</v>
      </c>
      <c r="D395" t="inlineStr">
        <is>
          <t>UPPSALA LÄN</t>
        </is>
      </c>
      <c r="E395" t="inlineStr">
        <is>
          <t>ÖSTHAMMAR</t>
        </is>
      </c>
      <c r="F395" t="inlineStr">
        <is>
          <t>Bergvik skog öst AB</t>
        </is>
      </c>
      <c r="G395" t="n">
        <v>2.3</v>
      </c>
      <c r="H395" t="n">
        <v>0</v>
      </c>
      <c r="I395" t="n">
        <v>0</v>
      </c>
      <c r="J395" t="n">
        <v>0</v>
      </c>
      <c r="K395" t="n">
        <v>0</v>
      </c>
      <c r="L395" t="n">
        <v>0</v>
      </c>
      <c r="M395" t="n">
        <v>0</v>
      </c>
      <c r="N395" t="n">
        <v>0</v>
      </c>
      <c r="O395" t="n">
        <v>0</v>
      </c>
      <c r="P395" t="n">
        <v>0</v>
      </c>
      <c r="Q395" t="n">
        <v>0</v>
      </c>
      <c r="R395" s="2" t="inlineStr"/>
    </row>
    <row r="396" ht="15" customHeight="1">
      <c r="A396" t="inlineStr">
        <is>
          <t>A 30610-2025</t>
        </is>
      </c>
      <c r="B396" s="1" t="n">
        <v>45831.45965277778</v>
      </c>
      <c r="C396" s="1" t="n">
        <v>45916</v>
      </c>
      <c r="D396" t="inlineStr">
        <is>
          <t>UPPSALA LÄN</t>
        </is>
      </c>
      <c r="E396" t="inlineStr">
        <is>
          <t>ÖSTHAMMAR</t>
        </is>
      </c>
      <c r="G396" t="n">
        <v>0.2</v>
      </c>
      <c r="H396" t="n">
        <v>0</v>
      </c>
      <c r="I396" t="n">
        <v>0</v>
      </c>
      <c r="J396" t="n">
        <v>0</v>
      </c>
      <c r="K396" t="n">
        <v>0</v>
      </c>
      <c r="L396" t="n">
        <v>0</v>
      </c>
      <c r="M396" t="n">
        <v>0</v>
      </c>
      <c r="N396" t="n">
        <v>0</v>
      </c>
      <c r="O396" t="n">
        <v>0</v>
      </c>
      <c r="P396" t="n">
        <v>0</v>
      </c>
      <c r="Q396" t="n">
        <v>0</v>
      </c>
      <c r="R396" s="2" t="inlineStr"/>
    </row>
    <row r="397" ht="15" customHeight="1">
      <c r="A397" t="inlineStr">
        <is>
          <t>A 8830-2023</t>
        </is>
      </c>
      <c r="B397" s="1" t="n">
        <v>44978</v>
      </c>
      <c r="C397" s="1" t="n">
        <v>45916</v>
      </c>
      <c r="D397" t="inlineStr">
        <is>
          <t>UPPSALA LÄN</t>
        </is>
      </c>
      <c r="E397" t="inlineStr">
        <is>
          <t>ÖSTHAMMAR</t>
        </is>
      </c>
      <c r="F397" t="inlineStr">
        <is>
          <t>Bergvik skog öst AB</t>
        </is>
      </c>
      <c r="G397" t="n">
        <v>1.6</v>
      </c>
      <c r="H397" t="n">
        <v>0</v>
      </c>
      <c r="I397" t="n">
        <v>0</v>
      </c>
      <c r="J397" t="n">
        <v>0</v>
      </c>
      <c r="K397" t="n">
        <v>0</v>
      </c>
      <c r="L397" t="n">
        <v>0</v>
      </c>
      <c r="M397" t="n">
        <v>0</v>
      </c>
      <c r="N397" t="n">
        <v>0</v>
      </c>
      <c r="O397" t="n">
        <v>0</v>
      </c>
      <c r="P397" t="n">
        <v>0</v>
      </c>
      <c r="Q397" t="n">
        <v>0</v>
      </c>
      <c r="R397" s="2" t="inlineStr"/>
    </row>
    <row r="398" ht="15" customHeight="1">
      <c r="A398" t="inlineStr">
        <is>
          <t>A 30504-2025</t>
        </is>
      </c>
      <c r="B398" s="1" t="n">
        <v>45830.8558912037</v>
      </c>
      <c r="C398" s="1" t="n">
        <v>45916</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30503-2025</t>
        </is>
      </c>
      <c r="B399" s="1" t="n">
        <v>45830.8500462963</v>
      </c>
      <c r="C399" s="1" t="n">
        <v>45916</v>
      </c>
      <c r="D399" t="inlineStr">
        <is>
          <t>UPPSALA LÄN</t>
        </is>
      </c>
      <c r="E399" t="inlineStr">
        <is>
          <t>ÖSTHAMMAR</t>
        </is>
      </c>
      <c r="G399" t="n">
        <v>0.8</v>
      </c>
      <c r="H399" t="n">
        <v>0</v>
      </c>
      <c r="I399" t="n">
        <v>0</v>
      </c>
      <c r="J399" t="n">
        <v>0</v>
      </c>
      <c r="K399" t="n">
        <v>0</v>
      </c>
      <c r="L399" t="n">
        <v>0</v>
      </c>
      <c r="M399" t="n">
        <v>0</v>
      </c>
      <c r="N399" t="n">
        <v>0</v>
      </c>
      <c r="O399" t="n">
        <v>0</v>
      </c>
      <c r="P399" t="n">
        <v>0</v>
      </c>
      <c r="Q399" t="n">
        <v>0</v>
      </c>
      <c r="R399" s="2" t="inlineStr"/>
    </row>
    <row r="400" ht="15" customHeight="1">
      <c r="A400" t="inlineStr">
        <is>
          <t>A 18091-2023</t>
        </is>
      </c>
      <c r="B400" s="1" t="n">
        <v>45040</v>
      </c>
      <c r="C400" s="1" t="n">
        <v>45916</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17867-2024</t>
        </is>
      </c>
      <c r="B401" s="1" t="n">
        <v>45419.44106481481</v>
      </c>
      <c r="C401" s="1" t="n">
        <v>45916</v>
      </c>
      <c r="D401" t="inlineStr">
        <is>
          <t>UPPSALA LÄN</t>
        </is>
      </c>
      <c r="E401" t="inlineStr">
        <is>
          <t>ÖSTHAMMAR</t>
        </is>
      </c>
      <c r="G401" t="n">
        <v>7.2</v>
      </c>
      <c r="H401" t="n">
        <v>0</v>
      </c>
      <c r="I401" t="n">
        <v>0</v>
      </c>
      <c r="J401" t="n">
        <v>0</v>
      </c>
      <c r="K401" t="n">
        <v>0</v>
      </c>
      <c r="L401" t="n">
        <v>0</v>
      </c>
      <c r="M401" t="n">
        <v>0</v>
      </c>
      <c r="N401" t="n">
        <v>0</v>
      </c>
      <c r="O401" t="n">
        <v>0</v>
      </c>
      <c r="P401" t="n">
        <v>0</v>
      </c>
      <c r="Q401" t="n">
        <v>0</v>
      </c>
      <c r="R401" s="2" t="inlineStr"/>
    </row>
    <row r="402" ht="15" customHeight="1">
      <c r="A402" t="inlineStr">
        <is>
          <t>A 4228-2023</t>
        </is>
      </c>
      <c r="B402" s="1" t="n">
        <v>44953.48179398148</v>
      </c>
      <c r="C402" s="1" t="n">
        <v>45916</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47522-2023</t>
        </is>
      </c>
      <c r="B403" s="1" t="n">
        <v>45203</v>
      </c>
      <c r="C403" s="1" t="n">
        <v>45916</v>
      </c>
      <c r="D403" t="inlineStr">
        <is>
          <t>UPPSALA LÄN</t>
        </is>
      </c>
      <c r="E403" t="inlineStr">
        <is>
          <t>ÖSTHAMMAR</t>
        </is>
      </c>
      <c r="F403" t="inlineStr">
        <is>
          <t>Bergvik skog öst AB</t>
        </is>
      </c>
      <c r="G403" t="n">
        <v>0.9</v>
      </c>
      <c r="H403" t="n">
        <v>0</v>
      </c>
      <c r="I403" t="n">
        <v>0</v>
      </c>
      <c r="J403" t="n">
        <v>0</v>
      </c>
      <c r="K403" t="n">
        <v>0</v>
      </c>
      <c r="L403" t="n">
        <v>0</v>
      </c>
      <c r="M403" t="n">
        <v>0</v>
      </c>
      <c r="N403" t="n">
        <v>0</v>
      </c>
      <c r="O403" t="n">
        <v>0</v>
      </c>
      <c r="P403" t="n">
        <v>0</v>
      </c>
      <c r="Q403" t="n">
        <v>0</v>
      </c>
      <c r="R403" s="2" t="inlineStr"/>
    </row>
    <row r="404" ht="15" customHeight="1">
      <c r="A404" t="inlineStr">
        <is>
          <t>A 13358-2024</t>
        </is>
      </c>
      <c r="B404" s="1" t="n">
        <v>45387.3503125</v>
      </c>
      <c r="C404" s="1" t="n">
        <v>45916</v>
      </c>
      <c r="D404" t="inlineStr">
        <is>
          <t>UPPSALA LÄN</t>
        </is>
      </c>
      <c r="E404" t="inlineStr">
        <is>
          <t>ÖSTHAMMAR</t>
        </is>
      </c>
      <c r="G404" t="n">
        <v>2.2</v>
      </c>
      <c r="H404" t="n">
        <v>0</v>
      </c>
      <c r="I404" t="n">
        <v>0</v>
      </c>
      <c r="J404" t="n">
        <v>0</v>
      </c>
      <c r="K404" t="n">
        <v>0</v>
      </c>
      <c r="L404" t="n">
        <v>0</v>
      </c>
      <c r="M404" t="n">
        <v>0</v>
      </c>
      <c r="N404" t="n">
        <v>0</v>
      </c>
      <c r="O404" t="n">
        <v>0</v>
      </c>
      <c r="P404" t="n">
        <v>0</v>
      </c>
      <c r="Q404" t="n">
        <v>0</v>
      </c>
      <c r="R404" s="2" t="inlineStr"/>
    </row>
    <row r="405" ht="15" customHeight="1">
      <c r="A405" t="inlineStr">
        <is>
          <t>A 29282-2021</t>
        </is>
      </c>
      <c r="B405" s="1" t="n">
        <v>44361</v>
      </c>
      <c r="C405" s="1" t="n">
        <v>45916</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54366-2023</t>
        </is>
      </c>
      <c r="B406" s="1" t="n">
        <v>45233</v>
      </c>
      <c r="C406" s="1" t="n">
        <v>45916</v>
      </c>
      <c r="D406" t="inlineStr">
        <is>
          <t>UPPSALA LÄN</t>
        </is>
      </c>
      <c r="E406" t="inlineStr">
        <is>
          <t>ÖSTHAMMAR</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31249-2025</t>
        </is>
      </c>
      <c r="B407" s="1" t="n">
        <v>45832.89476851852</v>
      </c>
      <c r="C407" s="1" t="n">
        <v>45916</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36301-2023</t>
        </is>
      </c>
      <c r="B408" s="1" t="n">
        <v>45152.37296296296</v>
      </c>
      <c r="C408" s="1" t="n">
        <v>45916</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31579-2025</t>
        </is>
      </c>
      <c r="B409" s="1" t="n">
        <v>45833.68211805556</v>
      </c>
      <c r="C409" s="1" t="n">
        <v>45916</v>
      </c>
      <c r="D409" t="inlineStr">
        <is>
          <t>UPPSALA LÄN</t>
        </is>
      </c>
      <c r="E409" t="inlineStr">
        <is>
          <t>ÖSTHAMMAR</t>
        </is>
      </c>
      <c r="G409" t="n">
        <v>1.5</v>
      </c>
      <c r="H409" t="n">
        <v>0</v>
      </c>
      <c r="I409" t="n">
        <v>0</v>
      </c>
      <c r="J409" t="n">
        <v>0</v>
      </c>
      <c r="K409" t="n">
        <v>0</v>
      </c>
      <c r="L409" t="n">
        <v>0</v>
      </c>
      <c r="M409" t="n">
        <v>0</v>
      </c>
      <c r="N409" t="n">
        <v>0</v>
      </c>
      <c r="O409" t="n">
        <v>0</v>
      </c>
      <c r="P409" t="n">
        <v>0</v>
      </c>
      <c r="Q409" t="n">
        <v>0</v>
      </c>
      <c r="R409" s="2" t="inlineStr"/>
    </row>
    <row r="410" ht="15" customHeight="1">
      <c r="A410" t="inlineStr">
        <is>
          <t>A 31360-2025</t>
        </is>
      </c>
      <c r="B410" s="1" t="n">
        <v>45833.43527777777</v>
      </c>
      <c r="C410" s="1" t="n">
        <v>45916</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52694-2023</t>
        </is>
      </c>
      <c r="B411" s="1" t="n">
        <v>45225.76836805556</v>
      </c>
      <c r="C411" s="1" t="n">
        <v>45916</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23120-2021</t>
        </is>
      </c>
      <c r="B412" s="1" t="n">
        <v>44330</v>
      </c>
      <c r="C412" s="1" t="n">
        <v>45916</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7195-2023</t>
        </is>
      </c>
      <c r="B413" s="1" t="n">
        <v>44970</v>
      </c>
      <c r="C413" s="1" t="n">
        <v>45916</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26774-2023</t>
        </is>
      </c>
      <c r="B414" s="1" t="n">
        <v>45093.47947916666</v>
      </c>
      <c r="C414" s="1" t="n">
        <v>45916</v>
      </c>
      <c r="D414" t="inlineStr">
        <is>
          <t>UPPSALA LÄN</t>
        </is>
      </c>
      <c r="E414" t="inlineStr">
        <is>
          <t>ÖSTHAMMAR</t>
        </is>
      </c>
      <c r="F414" t="inlineStr">
        <is>
          <t>Bergvik skog öst AB</t>
        </is>
      </c>
      <c r="G414" t="n">
        <v>2.1</v>
      </c>
      <c r="H414" t="n">
        <v>0</v>
      </c>
      <c r="I414" t="n">
        <v>0</v>
      </c>
      <c r="J414" t="n">
        <v>0</v>
      </c>
      <c r="K414" t="n">
        <v>0</v>
      </c>
      <c r="L414" t="n">
        <v>0</v>
      </c>
      <c r="M414" t="n">
        <v>0</v>
      </c>
      <c r="N414" t="n">
        <v>0</v>
      </c>
      <c r="O414" t="n">
        <v>0</v>
      </c>
      <c r="P414" t="n">
        <v>0</v>
      </c>
      <c r="Q414" t="n">
        <v>0</v>
      </c>
      <c r="R414" s="2" t="inlineStr"/>
    </row>
    <row r="415" ht="15" customHeight="1">
      <c r="A415" t="inlineStr">
        <is>
          <t>A 5076-2025</t>
        </is>
      </c>
      <c r="B415" s="1" t="n">
        <v>45691</v>
      </c>
      <c r="C415" s="1" t="n">
        <v>45916</v>
      </c>
      <c r="D415" t="inlineStr">
        <is>
          <t>UPPSALA LÄN</t>
        </is>
      </c>
      <c r="E415" t="inlineStr">
        <is>
          <t>ÖSTHAMMAR</t>
        </is>
      </c>
      <c r="G415" t="n">
        <v>5.8</v>
      </c>
      <c r="H415" t="n">
        <v>0</v>
      </c>
      <c r="I415" t="n">
        <v>0</v>
      </c>
      <c r="J415" t="n">
        <v>0</v>
      </c>
      <c r="K415" t="n">
        <v>0</v>
      </c>
      <c r="L415" t="n">
        <v>0</v>
      </c>
      <c r="M415" t="n">
        <v>0</v>
      </c>
      <c r="N415" t="n">
        <v>0</v>
      </c>
      <c r="O415" t="n">
        <v>0</v>
      </c>
      <c r="P415" t="n">
        <v>0</v>
      </c>
      <c r="Q415" t="n">
        <v>0</v>
      </c>
      <c r="R415" s="2" t="inlineStr"/>
    </row>
    <row r="416" ht="15" customHeight="1">
      <c r="A416" t="inlineStr">
        <is>
          <t>A 31896-2025</t>
        </is>
      </c>
      <c r="B416" s="1" t="n">
        <v>45834.67556712963</v>
      </c>
      <c r="C416" s="1" t="n">
        <v>45916</v>
      </c>
      <c r="D416" t="inlineStr">
        <is>
          <t>UPPSALA LÄN</t>
        </is>
      </c>
      <c r="E416" t="inlineStr">
        <is>
          <t>ÖSTHAMMAR</t>
        </is>
      </c>
      <c r="G416" t="n">
        <v>4.1</v>
      </c>
      <c r="H416" t="n">
        <v>0</v>
      </c>
      <c r="I416" t="n">
        <v>0</v>
      </c>
      <c r="J416" t="n">
        <v>0</v>
      </c>
      <c r="K416" t="n">
        <v>0</v>
      </c>
      <c r="L416" t="n">
        <v>0</v>
      </c>
      <c r="M416" t="n">
        <v>0</v>
      </c>
      <c r="N416" t="n">
        <v>0</v>
      </c>
      <c r="O416" t="n">
        <v>0</v>
      </c>
      <c r="P416" t="n">
        <v>0</v>
      </c>
      <c r="Q416" t="n">
        <v>0</v>
      </c>
      <c r="R416" s="2" t="inlineStr"/>
    </row>
    <row r="417" ht="15" customHeight="1">
      <c r="A417" t="inlineStr">
        <is>
          <t>A 36873-2022</t>
        </is>
      </c>
      <c r="B417" s="1" t="n">
        <v>44805.63708333333</v>
      </c>
      <c r="C417" s="1" t="n">
        <v>45916</v>
      </c>
      <c r="D417" t="inlineStr">
        <is>
          <t>UPPSALA LÄN</t>
        </is>
      </c>
      <c r="E417" t="inlineStr">
        <is>
          <t>ÖSTHAMMAR</t>
        </is>
      </c>
      <c r="G417" t="n">
        <v>2.5</v>
      </c>
      <c r="H417" t="n">
        <v>0</v>
      </c>
      <c r="I417" t="n">
        <v>0</v>
      </c>
      <c r="J417" t="n">
        <v>0</v>
      </c>
      <c r="K417" t="n">
        <v>0</v>
      </c>
      <c r="L417" t="n">
        <v>0</v>
      </c>
      <c r="M417" t="n">
        <v>0</v>
      </c>
      <c r="N417" t="n">
        <v>0</v>
      </c>
      <c r="O417" t="n">
        <v>0</v>
      </c>
      <c r="P417" t="n">
        <v>0</v>
      </c>
      <c r="Q417" t="n">
        <v>0</v>
      </c>
      <c r="R417" s="2" t="inlineStr"/>
    </row>
    <row r="418" ht="15" customHeight="1">
      <c r="A418" t="inlineStr">
        <is>
          <t>A 17644-2025</t>
        </is>
      </c>
      <c r="B418" s="1" t="n">
        <v>45758.32645833334</v>
      </c>
      <c r="C418" s="1" t="n">
        <v>45916</v>
      </c>
      <c r="D418" t="inlineStr">
        <is>
          <t>UPPSALA LÄN</t>
        </is>
      </c>
      <c r="E418" t="inlineStr">
        <is>
          <t>ÖSTHAMMAR</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54666-2022</t>
        </is>
      </c>
      <c r="B419" s="1" t="n">
        <v>44883</v>
      </c>
      <c r="C419" s="1" t="n">
        <v>45916</v>
      </c>
      <c r="D419" t="inlineStr">
        <is>
          <t>UPPSALA LÄN</t>
        </is>
      </c>
      <c r="E419" t="inlineStr">
        <is>
          <t>ÖSTHAMMAR</t>
        </is>
      </c>
      <c r="G419" t="n">
        <v>14.3</v>
      </c>
      <c r="H419" t="n">
        <v>0</v>
      </c>
      <c r="I419" t="n">
        <v>0</v>
      </c>
      <c r="J419" t="n">
        <v>0</v>
      </c>
      <c r="K419" t="n">
        <v>0</v>
      </c>
      <c r="L419" t="n">
        <v>0</v>
      </c>
      <c r="M419" t="n">
        <v>0</v>
      </c>
      <c r="N419" t="n">
        <v>0</v>
      </c>
      <c r="O419" t="n">
        <v>0</v>
      </c>
      <c r="P419" t="n">
        <v>0</v>
      </c>
      <c r="Q419" t="n">
        <v>0</v>
      </c>
      <c r="R419" s="2" t="inlineStr"/>
    </row>
    <row r="420" ht="15" customHeight="1">
      <c r="A420" t="inlineStr">
        <is>
          <t>A 20324-2021</t>
        </is>
      </c>
      <c r="B420" s="1" t="n">
        <v>44308</v>
      </c>
      <c r="C420" s="1" t="n">
        <v>45916</v>
      </c>
      <c r="D420" t="inlineStr">
        <is>
          <t>UPPSALA LÄN</t>
        </is>
      </c>
      <c r="E420" t="inlineStr">
        <is>
          <t>ÖSTHAMMAR</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17652-2025</t>
        </is>
      </c>
      <c r="B421" s="1" t="n">
        <v>45758.33583333333</v>
      </c>
      <c r="C421" s="1" t="n">
        <v>45916</v>
      </c>
      <c r="D421" t="inlineStr">
        <is>
          <t>UPPSALA LÄN</t>
        </is>
      </c>
      <c r="E421" t="inlineStr">
        <is>
          <t>ÖSTHAMMAR</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61817-2021</t>
        </is>
      </c>
      <c r="B422" s="1" t="n">
        <v>44501.76855324074</v>
      </c>
      <c r="C422" s="1" t="n">
        <v>45916</v>
      </c>
      <c r="D422" t="inlineStr">
        <is>
          <t>UPPSALA LÄN</t>
        </is>
      </c>
      <c r="E422" t="inlineStr">
        <is>
          <t>ÖSTHAMMAR</t>
        </is>
      </c>
      <c r="F422" t="inlineStr">
        <is>
          <t>Bergvik skog öst AB</t>
        </is>
      </c>
      <c r="G422" t="n">
        <v>2.3</v>
      </c>
      <c r="H422" t="n">
        <v>0</v>
      </c>
      <c r="I422" t="n">
        <v>0</v>
      </c>
      <c r="J422" t="n">
        <v>0</v>
      </c>
      <c r="K422" t="n">
        <v>0</v>
      </c>
      <c r="L422" t="n">
        <v>0</v>
      </c>
      <c r="M422" t="n">
        <v>0</v>
      </c>
      <c r="N422" t="n">
        <v>0</v>
      </c>
      <c r="O422" t="n">
        <v>0</v>
      </c>
      <c r="P422" t="n">
        <v>0</v>
      </c>
      <c r="Q422" t="n">
        <v>0</v>
      </c>
      <c r="R422" s="2" t="inlineStr"/>
    </row>
    <row r="423" ht="15" customHeight="1">
      <c r="A423" t="inlineStr">
        <is>
          <t>A 6120-2024</t>
        </is>
      </c>
      <c r="B423" s="1" t="n">
        <v>45337.41784722222</v>
      </c>
      <c r="C423" s="1" t="n">
        <v>45916</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31956-2025</t>
        </is>
      </c>
      <c r="B424" s="1" t="n">
        <v>45835.34184027778</v>
      </c>
      <c r="C424" s="1" t="n">
        <v>45916</v>
      </c>
      <c r="D424" t="inlineStr">
        <is>
          <t>UPPSALA LÄN</t>
        </is>
      </c>
      <c r="E424" t="inlineStr">
        <is>
          <t>ÖSTHAMMAR</t>
        </is>
      </c>
      <c r="F424" t="inlineStr">
        <is>
          <t>Övriga Aktiebolag</t>
        </is>
      </c>
      <c r="G424" t="n">
        <v>4.2</v>
      </c>
      <c r="H424" t="n">
        <v>0</v>
      </c>
      <c r="I424" t="n">
        <v>0</v>
      </c>
      <c r="J424" t="n">
        <v>0</v>
      </c>
      <c r="K424" t="n">
        <v>0</v>
      </c>
      <c r="L424" t="n">
        <v>0</v>
      </c>
      <c r="M424" t="n">
        <v>0</v>
      </c>
      <c r="N424" t="n">
        <v>0</v>
      </c>
      <c r="O424" t="n">
        <v>0</v>
      </c>
      <c r="P424" t="n">
        <v>0</v>
      </c>
      <c r="Q424" t="n">
        <v>0</v>
      </c>
      <c r="R424" s="2" t="inlineStr"/>
    </row>
    <row r="425" ht="15" customHeight="1">
      <c r="A425" t="inlineStr">
        <is>
          <t>A 31977-2025</t>
        </is>
      </c>
      <c r="B425" s="1" t="n">
        <v>45835.3554050926</v>
      </c>
      <c r="C425" s="1" t="n">
        <v>45916</v>
      </c>
      <c r="D425" t="inlineStr">
        <is>
          <t>UPPSALA LÄN</t>
        </is>
      </c>
      <c r="E425" t="inlineStr">
        <is>
          <t>ÖSTHAMMAR</t>
        </is>
      </c>
      <c r="F425" t="inlineStr">
        <is>
          <t>Övriga Aktiebolag</t>
        </is>
      </c>
      <c r="G425" t="n">
        <v>35.3</v>
      </c>
      <c r="H425" t="n">
        <v>0</v>
      </c>
      <c r="I425" t="n">
        <v>0</v>
      </c>
      <c r="J425" t="n">
        <v>0</v>
      </c>
      <c r="K425" t="n">
        <v>0</v>
      </c>
      <c r="L425" t="n">
        <v>0</v>
      </c>
      <c r="M425" t="n">
        <v>0</v>
      </c>
      <c r="N425" t="n">
        <v>0</v>
      </c>
      <c r="O425" t="n">
        <v>0</v>
      </c>
      <c r="P425" t="n">
        <v>0</v>
      </c>
      <c r="Q425" t="n">
        <v>0</v>
      </c>
      <c r="R425" s="2" t="inlineStr"/>
    </row>
    <row r="426" ht="15" customHeight="1">
      <c r="A426" t="inlineStr">
        <is>
          <t>A 12528-2024</t>
        </is>
      </c>
      <c r="B426" s="1" t="n">
        <v>45379.61878472222</v>
      </c>
      <c r="C426" s="1" t="n">
        <v>45916</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37764-2025</t>
        </is>
      </c>
      <c r="B427" s="1" t="n">
        <v>45880.70917824074</v>
      </c>
      <c r="C427" s="1" t="n">
        <v>45916</v>
      </c>
      <c r="D427" t="inlineStr">
        <is>
          <t>UPPSALA LÄN</t>
        </is>
      </c>
      <c r="E427" t="inlineStr">
        <is>
          <t>ÖSTHAMMAR</t>
        </is>
      </c>
      <c r="G427" t="n">
        <v>4.6</v>
      </c>
      <c r="H427" t="n">
        <v>0</v>
      </c>
      <c r="I427" t="n">
        <v>0</v>
      </c>
      <c r="J427" t="n">
        <v>0</v>
      </c>
      <c r="K427" t="n">
        <v>0</v>
      </c>
      <c r="L427" t="n">
        <v>0</v>
      </c>
      <c r="M427" t="n">
        <v>0</v>
      </c>
      <c r="N427" t="n">
        <v>0</v>
      </c>
      <c r="O427" t="n">
        <v>0</v>
      </c>
      <c r="P427" t="n">
        <v>0</v>
      </c>
      <c r="Q427" t="n">
        <v>0</v>
      </c>
      <c r="R427" s="2" t="inlineStr"/>
    </row>
    <row r="428" ht="15" customHeight="1">
      <c r="A428" t="inlineStr">
        <is>
          <t>A 37770-2025</t>
        </is>
      </c>
      <c r="B428" s="1" t="n">
        <v>45880.7505787037</v>
      </c>
      <c r="C428" s="1" t="n">
        <v>45916</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27476-2025</t>
        </is>
      </c>
      <c r="B429" s="1" t="n">
        <v>45813.37517361111</v>
      </c>
      <c r="C429" s="1" t="n">
        <v>45916</v>
      </c>
      <c r="D429" t="inlineStr">
        <is>
          <t>UPPSALA LÄN</t>
        </is>
      </c>
      <c r="E429" t="inlineStr">
        <is>
          <t>ÖSTHAMMAR</t>
        </is>
      </c>
      <c r="F429" t="inlineStr">
        <is>
          <t>Bergvik skog öst AB</t>
        </is>
      </c>
      <c r="G429" t="n">
        <v>1.3</v>
      </c>
      <c r="H429" t="n">
        <v>0</v>
      </c>
      <c r="I429" t="n">
        <v>0</v>
      </c>
      <c r="J429" t="n">
        <v>0</v>
      </c>
      <c r="K429" t="n">
        <v>0</v>
      </c>
      <c r="L429" t="n">
        <v>0</v>
      </c>
      <c r="M429" t="n">
        <v>0</v>
      </c>
      <c r="N429" t="n">
        <v>0</v>
      </c>
      <c r="O429" t="n">
        <v>0</v>
      </c>
      <c r="P429" t="n">
        <v>0</v>
      </c>
      <c r="Q429" t="n">
        <v>0</v>
      </c>
      <c r="R429" s="2" t="inlineStr"/>
    </row>
    <row r="430" ht="15" customHeight="1">
      <c r="A430" t="inlineStr">
        <is>
          <t>A 54437-2024</t>
        </is>
      </c>
      <c r="B430" s="1" t="n">
        <v>45617</v>
      </c>
      <c r="C430" s="1" t="n">
        <v>45916</v>
      </c>
      <c r="D430" t="inlineStr">
        <is>
          <t>UPPSALA LÄN</t>
        </is>
      </c>
      <c r="E430" t="inlineStr">
        <is>
          <t>ÖSTHAMMAR</t>
        </is>
      </c>
      <c r="G430" t="n">
        <v>2.1</v>
      </c>
      <c r="H430" t="n">
        <v>0</v>
      </c>
      <c r="I430" t="n">
        <v>0</v>
      </c>
      <c r="J430" t="n">
        <v>0</v>
      </c>
      <c r="K430" t="n">
        <v>0</v>
      </c>
      <c r="L430" t="n">
        <v>0</v>
      </c>
      <c r="M430" t="n">
        <v>0</v>
      </c>
      <c r="N430" t="n">
        <v>0</v>
      </c>
      <c r="O430" t="n">
        <v>0</v>
      </c>
      <c r="P430" t="n">
        <v>0</v>
      </c>
      <c r="Q430" t="n">
        <v>0</v>
      </c>
      <c r="R430" s="2" t="inlineStr"/>
    </row>
    <row r="431" ht="15" customHeight="1">
      <c r="A431" t="inlineStr">
        <is>
          <t>A 9052-2023</t>
        </is>
      </c>
      <c r="B431" s="1" t="n">
        <v>44979</v>
      </c>
      <c r="C431" s="1" t="n">
        <v>45916</v>
      </c>
      <c r="D431" t="inlineStr">
        <is>
          <t>UPPSALA LÄN</t>
        </is>
      </c>
      <c r="E431" t="inlineStr">
        <is>
          <t>ÖSTHAMMAR</t>
        </is>
      </c>
      <c r="F431" t="inlineStr">
        <is>
          <t>Kyrkan</t>
        </is>
      </c>
      <c r="G431" t="n">
        <v>0.2</v>
      </c>
      <c r="H431" t="n">
        <v>0</v>
      </c>
      <c r="I431" t="n">
        <v>0</v>
      </c>
      <c r="J431" t="n">
        <v>0</v>
      </c>
      <c r="K431" t="n">
        <v>0</v>
      </c>
      <c r="L431" t="n">
        <v>0</v>
      </c>
      <c r="M431" t="n">
        <v>0</v>
      </c>
      <c r="N431" t="n">
        <v>0</v>
      </c>
      <c r="O431" t="n">
        <v>0</v>
      </c>
      <c r="P431" t="n">
        <v>0</v>
      </c>
      <c r="Q431" t="n">
        <v>0</v>
      </c>
      <c r="R431" s="2" t="inlineStr"/>
    </row>
    <row r="432" ht="15" customHeight="1">
      <c r="A432" t="inlineStr">
        <is>
          <t>A 357-2025</t>
        </is>
      </c>
      <c r="B432" s="1" t="n">
        <v>45659</v>
      </c>
      <c r="C432" s="1" t="n">
        <v>45916</v>
      </c>
      <c r="D432" t="inlineStr">
        <is>
          <t>UPPSALA LÄN</t>
        </is>
      </c>
      <c r="E432" t="inlineStr">
        <is>
          <t>ÖSTHAMMAR</t>
        </is>
      </c>
      <c r="G432" t="n">
        <v>15.8</v>
      </c>
      <c r="H432" t="n">
        <v>0</v>
      </c>
      <c r="I432" t="n">
        <v>0</v>
      </c>
      <c r="J432" t="n">
        <v>0</v>
      </c>
      <c r="K432" t="n">
        <v>0</v>
      </c>
      <c r="L432" t="n">
        <v>0</v>
      </c>
      <c r="M432" t="n">
        <v>0</v>
      </c>
      <c r="N432" t="n">
        <v>0</v>
      </c>
      <c r="O432" t="n">
        <v>0</v>
      </c>
      <c r="P432" t="n">
        <v>0</v>
      </c>
      <c r="Q432" t="n">
        <v>0</v>
      </c>
      <c r="R432" s="2" t="inlineStr"/>
    </row>
    <row r="433" ht="15" customHeight="1">
      <c r="A433" t="inlineStr">
        <is>
          <t>A 28152-2024</t>
        </is>
      </c>
      <c r="B433" s="1" t="n">
        <v>45476.77056712963</v>
      </c>
      <c r="C433" s="1" t="n">
        <v>45916</v>
      </c>
      <c r="D433" t="inlineStr">
        <is>
          <t>UPPSALA LÄN</t>
        </is>
      </c>
      <c r="E433" t="inlineStr">
        <is>
          <t>ÖSTHAMMAR</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9267-2024</t>
        </is>
      </c>
      <c r="B434" s="1" t="n">
        <v>45358</v>
      </c>
      <c r="C434" s="1" t="n">
        <v>45916</v>
      </c>
      <c r="D434" t="inlineStr">
        <is>
          <t>UPPSALA LÄN</t>
        </is>
      </c>
      <c r="E434" t="inlineStr">
        <is>
          <t>ÖSTHAMMAR</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20326-2021</t>
        </is>
      </c>
      <c r="B435" s="1" t="n">
        <v>44308</v>
      </c>
      <c r="C435" s="1" t="n">
        <v>45916</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33601-2024</t>
        </is>
      </c>
      <c r="B436" s="1" t="n">
        <v>45520</v>
      </c>
      <c r="C436" s="1" t="n">
        <v>45916</v>
      </c>
      <c r="D436" t="inlineStr">
        <is>
          <t>UPPSALA LÄN</t>
        </is>
      </c>
      <c r="E436" t="inlineStr">
        <is>
          <t>ÖSTHAMMAR</t>
        </is>
      </c>
      <c r="F436" t="inlineStr">
        <is>
          <t>Övriga Aktiebolag</t>
        </is>
      </c>
      <c r="G436" t="n">
        <v>2.5</v>
      </c>
      <c r="H436" t="n">
        <v>0</v>
      </c>
      <c r="I436" t="n">
        <v>0</v>
      </c>
      <c r="J436" t="n">
        <v>0</v>
      </c>
      <c r="K436" t="n">
        <v>0</v>
      </c>
      <c r="L436" t="n">
        <v>0</v>
      </c>
      <c r="M436" t="n">
        <v>0</v>
      </c>
      <c r="N436" t="n">
        <v>0</v>
      </c>
      <c r="O436" t="n">
        <v>0</v>
      </c>
      <c r="P436" t="n">
        <v>0</v>
      </c>
      <c r="Q436" t="n">
        <v>0</v>
      </c>
      <c r="R436" s="2" t="inlineStr"/>
    </row>
    <row r="437" ht="15" customHeight="1">
      <c r="A437" t="inlineStr">
        <is>
          <t>A 32718-2025</t>
        </is>
      </c>
      <c r="B437" s="1" t="n">
        <v>45839.37740740741</v>
      </c>
      <c r="C437" s="1" t="n">
        <v>45916</v>
      </c>
      <c r="D437" t="inlineStr">
        <is>
          <t>UPPSALA LÄN</t>
        </is>
      </c>
      <c r="E437" t="inlineStr">
        <is>
          <t>ÖSTHAMMAR</t>
        </is>
      </c>
      <c r="G437" t="n">
        <v>10.4</v>
      </c>
      <c r="H437" t="n">
        <v>0</v>
      </c>
      <c r="I437" t="n">
        <v>0</v>
      </c>
      <c r="J437" t="n">
        <v>0</v>
      </c>
      <c r="K437" t="n">
        <v>0</v>
      </c>
      <c r="L437" t="n">
        <v>0</v>
      </c>
      <c r="M437" t="n">
        <v>0</v>
      </c>
      <c r="N437" t="n">
        <v>0</v>
      </c>
      <c r="O437" t="n">
        <v>0</v>
      </c>
      <c r="P437" t="n">
        <v>0</v>
      </c>
      <c r="Q437" t="n">
        <v>0</v>
      </c>
      <c r="R437" s="2" t="inlineStr"/>
    </row>
    <row r="438" ht="15" customHeight="1">
      <c r="A438" t="inlineStr">
        <is>
          <t>A 17643-2025</t>
        </is>
      </c>
      <c r="B438" s="1" t="n">
        <v>45758.32454861111</v>
      </c>
      <c r="C438" s="1" t="n">
        <v>45916</v>
      </c>
      <c r="D438" t="inlineStr">
        <is>
          <t>UPPSALA LÄN</t>
        </is>
      </c>
      <c r="E438" t="inlineStr">
        <is>
          <t>ÖSTHAMMAR</t>
        </is>
      </c>
      <c r="F438" t="inlineStr">
        <is>
          <t>Bergvik skog väst AB</t>
        </is>
      </c>
      <c r="G438" t="n">
        <v>2.6</v>
      </c>
      <c r="H438" t="n">
        <v>0</v>
      </c>
      <c r="I438" t="n">
        <v>0</v>
      </c>
      <c r="J438" t="n">
        <v>0</v>
      </c>
      <c r="K438" t="n">
        <v>0</v>
      </c>
      <c r="L438" t="n">
        <v>0</v>
      </c>
      <c r="M438" t="n">
        <v>0</v>
      </c>
      <c r="N438" t="n">
        <v>0</v>
      </c>
      <c r="O438" t="n">
        <v>0</v>
      </c>
      <c r="P438" t="n">
        <v>0</v>
      </c>
      <c r="Q438" t="n">
        <v>0</v>
      </c>
      <c r="R438" s="2" t="inlineStr"/>
    </row>
    <row r="439" ht="15" customHeight="1">
      <c r="A439" t="inlineStr">
        <is>
          <t>A 12262-2023</t>
        </is>
      </c>
      <c r="B439" s="1" t="n">
        <v>44998.66662037037</v>
      </c>
      <c r="C439" s="1" t="n">
        <v>45916</v>
      </c>
      <c r="D439" t="inlineStr">
        <is>
          <t>UPPSALA LÄN</t>
        </is>
      </c>
      <c r="E439" t="inlineStr">
        <is>
          <t>ÖSTHAMMAR</t>
        </is>
      </c>
      <c r="G439" t="n">
        <v>4.1</v>
      </c>
      <c r="H439" t="n">
        <v>0</v>
      </c>
      <c r="I439" t="n">
        <v>0</v>
      </c>
      <c r="J439" t="n">
        <v>0</v>
      </c>
      <c r="K439" t="n">
        <v>0</v>
      </c>
      <c r="L439" t="n">
        <v>0</v>
      </c>
      <c r="M439" t="n">
        <v>0</v>
      </c>
      <c r="N439" t="n">
        <v>0</v>
      </c>
      <c r="O439" t="n">
        <v>0</v>
      </c>
      <c r="P439" t="n">
        <v>0</v>
      </c>
      <c r="Q439" t="n">
        <v>0</v>
      </c>
      <c r="R439" s="2" t="inlineStr"/>
    </row>
    <row r="440" ht="15" customHeight="1">
      <c r="A440" t="inlineStr">
        <is>
          <t>A 41478-2024</t>
        </is>
      </c>
      <c r="B440" s="1" t="n">
        <v>45560.44158564815</v>
      </c>
      <c r="C440" s="1" t="n">
        <v>45916</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16141-2022</t>
        </is>
      </c>
      <c r="B441" s="1" t="n">
        <v>44665</v>
      </c>
      <c r="C441" s="1" t="n">
        <v>45916</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34922-2023</t>
        </is>
      </c>
      <c r="B442" s="1" t="n">
        <v>45142.48359953704</v>
      </c>
      <c r="C442" s="1" t="n">
        <v>45916</v>
      </c>
      <c r="D442" t="inlineStr">
        <is>
          <t>UPPSALA LÄN</t>
        </is>
      </c>
      <c r="E442" t="inlineStr">
        <is>
          <t>ÖSTHAMMAR</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23197-2023</t>
        </is>
      </c>
      <c r="B443" s="1" t="n">
        <v>45075</v>
      </c>
      <c r="C443" s="1" t="n">
        <v>45916</v>
      </c>
      <c r="D443" t="inlineStr">
        <is>
          <t>UPPSALA LÄN</t>
        </is>
      </c>
      <c r="E443" t="inlineStr">
        <is>
          <t>ÖSTHAMMAR</t>
        </is>
      </c>
      <c r="G443" t="n">
        <v>0.5</v>
      </c>
      <c r="H443" t="n">
        <v>0</v>
      </c>
      <c r="I443" t="n">
        <v>0</v>
      </c>
      <c r="J443" t="n">
        <v>0</v>
      </c>
      <c r="K443" t="n">
        <v>0</v>
      </c>
      <c r="L443" t="n">
        <v>0</v>
      </c>
      <c r="M443" t="n">
        <v>0</v>
      </c>
      <c r="N443" t="n">
        <v>0</v>
      </c>
      <c r="O443" t="n">
        <v>0</v>
      </c>
      <c r="P443" t="n">
        <v>0</v>
      </c>
      <c r="Q443" t="n">
        <v>0</v>
      </c>
      <c r="R443" s="2" t="inlineStr"/>
    </row>
    <row r="444" ht="15" customHeight="1">
      <c r="A444" t="inlineStr">
        <is>
          <t>A 33529-2025</t>
        </is>
      </c>
      <c r="B444" s="1" t="n">
        <v>45841.55199074074</v>
      </c>
      <c r="C444" s="1" t="n">
        <v>45916</v>
      </c>
      <c r="D444" t="inlineStr">
        <is>
          <t>UPPSALA LÄN</t>
        </is>
      </c>
      <c r="E444" t="inlineStr">
        <is>
          <t>ÖSTHAMMAR</t>
        </is>
      </c>
      <c r="F444" t="inlineStr">
        <is>
          <t>Bergvik skog öst AB</t>
        </is>
      </c>
      <c r="G444" t="n">
        <v>11.8</v>
      </c>
      <c r="H444" t="n">
        <v>0</v>
      </c>
      <c r="I444" t="n">
        <v>0</v>
      </c>
      <c r="J444" t="n">
        <v>0</v>
      </c>
      <c r="K444" t="n">
        <v>0</v>
      </c>
      <c r="L444" t="n">
        <v>0</v>
      </c>
      <c r="M444" t="n">
        <v>0</v>
      </c>
      <c r="N444" t="n">
        <v>0</v>
      </c>
      <c r="O444" t="n">
        <v>0</v>
      </c>
      <c r="P444" t="n">
        <v>0</v>
      </c>
      <c r="Q444" t="n">
        <v>0</v>
      </c>
      <c r="R444" s="2" t="inlineStr"/>
    </row>
    <row r="445" ht="15" customHeight="1">
      <c r="A445" t="inlineStr">
        <is>
          <t>A 52478-2024</t>
        </is>
      </c>
      <c r="B445" s="1" t="n">
        <v>45609.55065972222</v>
      </c>
      <c r="C445" s="1" t="n">
        <v>45916</v>
      </c>
      <c r="D445" t="inlineStr">
        <is>
          <t>UPPSALA LÄN</t>
        </is>
      </c>
      <c r="E445" t="inlineStr">
        <is>
          <t>ÖSTHAMMAR</t>
        </is>
      </c>
      <c r="G445" t="n">
        <v>0.7</v>
      </c>
      <c r="H445" t="n">
        <v>0</v>
      </c>
      <c r="I445" t="n">
        <v>0</v>
      </c>
      <c r="J445" t="n">
        <v>0</v>
      </c>
      <c r="K445" t="n">
        <v>0</v>
      </c>
      <c r="L445" t="n">
        <v>0</v>
      </c>
      <c r="M445" t="n">
        <v>0</v>
      </c>
      <c r="N445" t="n">
        <v>0</v>
      </c>
      <c r="O445" t="n">
        <v>0</v>
      </c>
      <c r="P445" t="n">
        <v>0</v>
      </c>
      <c r="Q445" t="n">
        <v>0</v>
      </c>
      <c r="R445" s="2" t="inlineStr"/>
    </row>
    <row r="446" ht="15" customHeight="1">
      <c r="A446" t="inlineStr">
        <is>
          <t>A 33048-2025</t>
        </is>
      </c>
      <c r="B446" s="1" t="n">
        <v>45840.41451388889</v>
      </c>
      <c r="C446" s="1" t="n">
        <v>45916</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33271-2025</t>
        </is>
      </c>
      <c r="B447" s="1" t="n">
        <v>45840.68381944444</v>
      </c>
      <c r="C447" s="1" t="n">
        <v>45916</v>
      </c>
      <c r="D447" t="inlineStr">
        <is>
          <t>UPPSALA LÄN</t>
        </is>
      </c>
      <c r="E447" t="inlineStr">
        <is>
          <t>ÖSTHAMMAR</t>
        </is>
      </c>
      <c r="G447" t="n">
        <v>1.3</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45916</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2947-2025</t>
        </is>
      </c>
      <c r="B449" s="1" t="n">
        <v>45678</v>
      </c>
      <c r="C449" s="1" t="n">
        <v>45916</v>
      </c>
      <c r="D449" t="inlineStr">
        <is>
          <t>UPPSALA LÄN</t>
        </is>
      </c>
      <c r="E449" t="inlineStr">
        <is>
          <t>ÖSTHAMMAR</t>
        </is>
      </c>
      <c r="G449" t="n">
        <v>3.6</v>
      </c>
      <c r="H449" t="n">
        <v>0</v>
      </c>
      <c r="I449" t="n">
        <v>0</v>
      </c>
      <c r="J449" t="n">
        <v>0</v>
      </c>
      <c r="K449" t="n">
        <v>0</v>
      </c>
      <c r="L449" t="n">
        <v>0</v>
      </c>
      <c r="M449" t="n">
        <v>0</v>
      </c>
      <c r="N449" t="n">
        <v>0</v>
      </c>
      <c r="O449" t="n">
        <v>0</v>
      </c>
      <c r="P449" t="n">
        <v>0</v>
      </c>
      <c r="Q449" t="n">
        <v>0</v>
      </c>
      <c r="R449" s="2" t="inlineStr"/>
    </row>
    <row r="450" ht="15" customHeight="1">
      <c r="A450" t="inlineStr">
        <is>
          <t>A 17433-2025</t>
        </is>
      </c>
      <c r="B450" s="1" t="n">
        <v>45757.40733796296</v>
      </c>
      <c r="C450" s="1" t="n">
        <v>45916</v>
      </c>
      <c r="D450" t="inlineStr">
        <is>
          <t>UPPSALA LÄN</t>
        </is>
      </c>
      <c r="E450" t="inlineStr">
        <is>
          <t>ÖSTHAMMAR</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12756-2024</t>
        </is>
      </c>
      <c r="B451" s="1" t="n">
        <v>45384</v>
      </c>
      <c r="C451" s="1" t="n">
        <v>45916</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26395-2025</t>
        </is>
      </c>
      <c r="B452" s="1" t="n">
        <v>45807</v>
      </c>
      <c r="C452" s="1" t="n">
        <v>45916</v>
      </c>
      <c r="D452" t="inlineStr">
        <is>
          <t>UPPSALA LÄN</t>
        </is>
      </c>
      <c r="E452" t="inlineStr">
        <is>
          <t>ÖSTHAMMAR</t>
        </is>
      </c>
      <c r="G452" t="n">
        <v>7</v>
      </c>
      <c r="H452" t="n">
        <v>0</v>
      </c>
      <c r="I452" t="n">
        <v>0</v>
      </c>
      <c r="J452" t="n">
        <v>0</v>
      </c>
      <c r="K452" t="n">
        <v>0</v>
      </c>
      <c r="L452" t="n">
        <v>0</v>
      </c>
      <c r="M452" t="n">
        <v>0</v>
      </c>
      <c r="N452" t="n">
        <v>0</v>
      </c>
      <c r="O452" t="n">
        <v>0</v>
      </c>
      <c r="P452" t="n">
        <v>0</v>
      </c>
      <c r="Q452" t="n">
        <v>0</v>
      </c>
      <c r="R452" s="2" t="inlineStr"/>
    </row>
    <row r="453" ht="15" customHeight="1">
      <c r="A453" t="inlineStr">
        <is>
          <t>A 33927-2025</t>
        </is>
      </c>
      <c r="B453" s="1" t="n">
        <v>45842.62363425926</v>
      </c>
      <c r="C453" s="1" t="n">
        <v>45916</v>
      </c>
      <c r="D453" t="inlineStr">
        <is>
          <t>UPPSALA LÄN</t>
        </is>
      </c>
      <c r="E453" t="inlineStr">
        <is>
          <t>ÖSTHAMMAR</t>
        </is>
      </c>
      <c r="G453" t="n">
        <v>3.5</v>
      </c>
      <c r="H453" t="n">
        <v>0</v>
      </c>
      <c r="I453" t="n">
        <v>0</v>
      </c>
      <c r="J453" t="n">
        <v>0</v>
      </c>
      <c r="K453" t="n">
        <v>0</v>
      </c>
      <c r="L453" t="n">
        <v>0</v>
      </c>
      <c r="M453" t="n">
        <v>0</v>
      </c>
      <c r="N453" t="n">
        <v>0</v>
      </c>
      <c r="O453" t="n">
        <v>0</v>
      </c>
      <c r="P453" t="n">
        <v>0</v>
      </c>
      <c r="Q453" t="n">
        <v>0</v>
      </c>
      <c r="R453" s="2" t="inlineStr"/>
    </row>
    <row r="454" ht="15" customHeight="1">
      <c r="A454" t="inlineStr">
        <is>
          <t>A 33972-2025</t>
        </is>
      </c>
      <c r="B454" s="1" t="n">
        <v>45842.97236111111</v>
      </c>
      <c r="C454" s="1" t="n">
        <v>45916</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row>
    <row r="455" ht="15" customHeight="1">
      <c r="A455" t="inlineStr">
        <is>
          <t>A 15928-2022</t>
        </is>
      </c>
      <c r="B455" s="1" t="n">
        <v>44664</v>
      </c>
      <c r="C455" s="1" t="n">
        <v>45916</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44613.77238425926</v>
      </c>
      <c r="C456" s="1" t="n">
        <v>45916</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33973-2025</t>
        </is>
      </c>
      <c r="B457" s="1" t="n">
        <v>45842.98429398148</v>
      </c>
      <c r="C457" s="1" t="n">
        <v>45916</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1063-2025</t>
        </is>
      </c>
      <c r="B458" s="1" t="n">
        <v>45666</v>
      </c>
      <c r="C458" s="1" t="n">
        <v>45916</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33760-2024</t>
        </is>
      </c>
      <c r="B459" s="1" t="n">
        <v>45520</v>
      </c>
      <c r="C459" s="1" t="n">
        <v>45916</v>
      </c>
      <c r="D459" t="inlineStr">
        <is>
          <t>UPPSALA LÄN</t>
        </is>
      </c>
      <c r="E459" t="inlineStr">
        <is>
          <t>ÖSTHAMMAR</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8592-2022</t>
        </is>
      </c>
      <c r="B460" s="1" t="n">
        <v>44613</v>
      </c>
      <c r="C460" s="1" t="n">
        <v>45916</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23495-2023</t>
        </is>
      </c>
      <c r="B461" s="1" t="n">
        <v>45076.71652777777</v>
      </c>
      <c r="C461" s="1" t="n">
        <v>45916</v>
      </c>
      <c r="D461" t="inlineStr">
        <is>
          <t>UPPSALA LÄN</t>
        </is>
      </c>
      <c r="E461" t="inlineStr">
        <is>
          <t>ÖSTHAMMAR</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52629-2023</t>
        </is>
      </c>
      <c r="B462" s="1" t="n">
        <v>45225</v>
      </c>
      <c r="C462" s="1" t="n">
        <v>45916</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35918-2023</t>
        </is>
      </c>
      <c r="B463" s="1" t="n">
        <v>45148.64976851852</v>
      </c>
      <c r="C463" s="1" t="n">
        <v>45916</v>
      </c>
      <c r="D463" t="inlineStr">
        <is>
          <t>UPPSALA LÄN</t>
        </is>
      </c>
      <c r="E463" t="inlineStr">
        <is>
          <t>ÖSTHAMMAR</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4292-2025</t>
        </is>
      </c>
      <c r="B464" s="1" t="n">
        <v>45685.66459490741</v>
      </c>
      <c r="C464" s="1" t="n">
        <v>45916</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4356-2025</t>
        </is>
      </c>
      <c r="B465" s="1" t="n">
        <v>45686</v>
      </c>
      <c r="C465" s="1" t="n">
        <v>45916</v>
      </c>
      <c r="D465" t="inlineStr">
        <is>
          <t>UPPSALA LÄN</t>
        </is>
      </c>
      <c r="E465" t="inlineStr">
        <is>
          <t>ÖSTHAMMAR</t>
        </is>
      </c>
      <c r="F465" t="inlineStr">
        <is>
          <t>Övriga Aktiebolag</t>
        </is>
      </c>
      <c r="G465" t="n">
        <v>24.6</v>
      </c>
      <c r="H465" t="n">
        <v>0</v>
      </c>
      <c r="I465" t="n">
        <v>0</v>
      </c>
      <c r="J465" t="n">
        <v>0</v>
      </c>
      <c r="K465" t="n">
        <v>0</v>
      </c>
      <c r="L465" t="n">
        <v>0</v>
      </c>
      <c r="M465" t="n">
        <v>0</v>
      </c>
      <c r="N465" t="n">
        <v>0</v>
      </c>
      <c r="O465" t="n">
        <v>0</v>
      </c>
      <c r="P465" t="n">
        <v>0</v>
      </c>
      <c r="Q465" t="n">
        <v>0</v>
      </c>
      <c r="R465" s="2" t="inlineStr"/>
    </row>
    <row r="466" ht="15" customHeight="1">
      <c r="A466" t="inlineStr">
        <is>
          <t>A 38233-2024</t>
        </is>
      </c>
      <c r="B466" s="1" t="n">
        <v>45545</v>
      </c>
      <c r="C466" s="1" t="n">
        <v>45916</v>
      </c>
      <c r="D466" t="inlineStr">
        <is>
          <t>UPPSALA LÄN</t>
        </is>
      </c>
      <c r="E466" t="inlineStr">
        <is>
          <t>ÖSTHAMMAR</t>
        </is>
      </c>
      <c r="G466" t="n">
        <v>3.4</v>
      </c>
      <c r="H466" t="n">
        <v>0</v>
      </c>
      <c r="I466" t="n">
        <v>0</v>
      </c>
      <c r="J466" t="n">
        <v>0</v>
      </c>
      <c r="K466" t="n">
        <v>0</v>
      </c>
      <c r="L466" t="n">
        <v>0</v>
      </c>
      <c r="M466" t="n">
        <v>0</v>
      </c>
      <c r="N466" t="n">
        <v>0</v>
      </c>
      <c r="O466" t="n">
        <v>0</v>
      </c>
      <c r="P466" t="n">
        <v>0</v>
      </c>
      <c r="Q466" t="n">
        <v>0</v>
      </c>
      <c r="R466" s="2" t="inlineStr"/>
    </row>
    <row r="467" ht="15" customHeight="1">
      <c r="A467" t="inlineStr">
        <is>
          <t>A 37656-2025</t>
        </is>
      </c>
      <c r="B467" s="1" t="n">
        <v>45880</v>
      </c>
      <c r="C467" s="1" t="n">
        <v>45916</v>
      </c>
      <c r="D467" t="inlineStr">
        <is>
          <t>UPPSALA LÄN</t>
        </is>
      </c>
      <c r="E467" t="inlineStr">
        <is>
          <t>ÖSTHAMMAR</t>
        </is>
      </c>
      <c r="G467" t="n">
        <v>4.3</v>
      </c>
      <c r="H467" t="n">
        <v>0</v>
      </c>
      <c r="I467" t="n">
        <v>0</v>
      </c>
      <c r="J467" t="n">
        <v>0</v>
      </c>
      <c r="K467" t="n">
        <v>0</v>
      </c>
      <c r="L467" t="n">
        <v>0</v>
      </c>
      <c r="M467" t="n">
        <v>0</v>
      </c>
      <c r="N467" t="n">
        <v>0</v>
      </c>
      <c r="O467" t="n">
        <v>0</v>
      </c>
      <c r="P467" t="n">
        <v>0</v>
      </c>
      <c r="Q467" t="n">
        <v>0</v>
      </c>
      <c r="R467" s="2" t="inlineStr"/>
    </row>
    <row r="468" ht="15" customHeight="1">
      <c r="A468" t="inlineStr">
        <is>
          <t>A 6661-2024</t>
        </is>
      </c>
      <c r="B468" s="1" t="n">
        <v>45341.70582175926</v>
      </c>
      <c r="C468" s="1" t="n">
        <v>45916</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17947-2022</t>
        </is>
      </c>
      <c r="B469" s="1" t="n">
        <v>44683</v>
      </c>
      <c r="C469" s="1" t="n">
        <v>45916</v>
      </c>
      <c r="D469" t="inlineStr">
        <is>
          <t>UPPSALA LÄN</t>
        </is>
      </c>
      <c r="E469" t="inlineStr">
        <is>
          <t>ÖSTHAMMAR</t>
        </is>
      </c>
      <c r="G469" t="n">
        <v>5.5</v>
      </c>
      <c r="H469" t="n">
        <v>0</v>
      </c>
      <c r="I469" t="n">
        <v>0</v>
      </c>
      <c r="J469" t="n">
        <v>0</v>
      </c>
      <c r="K469" t="n">
        <v>0</v>
      </c>
      <c r="L469" t="n">
        <v>0</v>
      </c>
      <c r="M469" t="n">
        <v>0</v>
      </c>
      <c r="N469" t="n">
        <v>0</v>
      </c>
      <c r="O469" t="n">
        <v>0</v>
      </c>
      <c r="P469" t="n">
        <v>0</v>
      </c>
      <c r="Q469" t="n">
        <v>0</v>
      </c>
      <c r="R469" s="2" t="inlineStr"/>
    </row>
    <row r="470" ht="15" customHeight="1">
      <c r="A470" t="inlineStr">
        <is>
          <t>A 17646-2025</t>
        </is>
      </c>
      <c r="B470" s="1" t="n">
        <v>45758.32872685185</v>
      </c>
      <c r="C470" s="1" t="n">
        <v>45916</v>
      </c>
      <c r="D470" t="inlineStr">
        <is>
          <t>UPPSALA LÄN</t>
        </is>
      </c>
      <c r="E470" t="inlineStr">
        <is>
          <t>ÖSTHAMMAR</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17648-2025</t>
        </is>
      </c>
      <c r="B471" s="1" t="n">
        <v>45758.33064814815</v>
      </c>
      <c r="C471" s="1" t="n">
        <v>45916</v>
      </c>
      <c r="D471" t="inlineStr">
        <is>
          <t>UPPSALA LÄN</t>
        </is>
      </c>
      <c r="E471" t="inlineStr">
        <is>
          <t>ÖSTHAMMAR</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56903-2023</t>
        </is>
      </c>
      <c r="B472" s="1" t="n">
        <v>45244.56943287037</v>
      </c>
      <c r="C472" s="1" t="n">
        <v>45916</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28420-2023</t>
        </is>
      </c>
      <c r="B473" s="1" t="n">
        <v>45102.33054398148</v>
      </c>
      <c r="C473" s="1" t="n">
        <v>45916</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28432-2023</t>
        </is>
      </c>
      <c r="B474" s="1" t="n">
        <v>45102.59896990741</v>
      </c>
      <c r="C474" s="1" t="n">
        <v>45916</v>
      </c>
      <c r="D474" t="inlineStr">
        <is>
          <t>UPPSALA LÄN</t>
        </is>
      </c>
      <c r="E474" t="inlineStr">
        <is>
          <t>ÖSTHAMMAR</t>
        </is>
      </c>
      <c r="F474" t="inlineStr">
        <is>
          <t>Bergvik skog öst AB</t>
        </is>
      </c>
      <c r="G474" t="n">
        <v>3.9</v>
      </c>
      <c r="H474" t="n">
        <v>0</v>
      </c>
      <c r="I474" t="n">
        <v>0</v>
      </c>
      <c r="J474" t="n">
        <v>0</v>
      </c>
      <c r="K474" t="n">
        <v>0</v>
      </c>
      <c r="L474" t="n">
        <v>0</v>
      </c>
      <c r="M474" t="n">
        <v>0</v>
      </c>
      <c r="N474" t="n">
        <v>0</v>
      </c>
      <c r="O474" t="n">
        <v>0</v>
      </c>
      <c r="P474" t="n">
        <v>0</v>
      </c>
      <c r="Q474" t="n">
        <v>0</v>
      </c>
      <c r="R474" s="2" t="inlineStr"/>
    </row>
    <row r="475" ht="15" customHeight="1">
      <c r="A475" t="inlineStr">
        <is>
          <t>A 25859-2024</t>
        </is>
      </c>
      <c r="B475" s="1" t="n">
        <v>45467</v>
      </c>
      <c r="C475" s="1" t="n">
        <v>45916</v>
      </c>
      <c r="D475" t="inlineStr">
        <is>
          <t>UPPSALA LÄN</t>
        </is>
      </c>
      <c r="E475" t="inlineStr">
        <is>
          <t>ÖSTHAMMAR</t>
        </is>
      </c>
      <c r="G475" t="n">
        <v>7.9</v>
      </c>
      <c r="H475" t="n">
        <v>0</v>
      </c>
      <c r="I475" t="n">
        <v>0</v>
      </c>
      <c r="J475" t="n">
        <v>0</v>
      </c>
      <c r="K475" t="n">
        <v>0</v>
      </c>
      <c r="L475" t="n">
        <v>0</v>
      </c>
      <c r="M475" t="n">
        <v>0</v>
      </c>
      <c r="N475" t="n">
        <v>0</v>
      </c>
      <c r="O475" t="n">
        <v>0</v>
      </c>
      <c r="P475" t="n">
        <v>0</v>
      </c>
      <c r="Q475" t="n">
        <v>0</v>
      </c>
      <c r="R475" s="2" t="inlineStr"/>
    </row>
    <row r="476" ht="15" customHeight="1">
      <c r="A476" t="inlineStr">
        <is>
          <t>A 22798-2023</t>
        </is>
      </c>
      <c r="B476" s="1" t="n">
        <v>45072</v>
      </c>
      <c r="C476" s="1" t="n">
        <v>45916</v>
      </c>
      <c r="D476" t="inlineStr">
        <is>
          <t>UPPSALA LÄN</t>
        </is>
      </c>
      <c r="E476" t="inlineStr">
        <is>
          <t>ÖSTHAMMAR</t>
        </is>
      </c>
      <c r="G476" t="n">
        <v>1</v>
      </c>
      <c r="H476" t="n">
        <v>0</v>
      </c>
      <c r="I476" t="n">
        <v>0</v>
      </c>
      <c r="J476" t="n">
        <v>0</v>
      </c>
      <c r="K476" t="n">
        <v>0</v>
      </c>
      <c r="L476" t="n">
        <v>0</v>
      </c>
      <c r="M476" t="n">
        <v>0</v>
      </c>
      <c r="N476" t="n">
        <v>0</v>
      </c>
      <c r="O476" t="n">
        <v>0</v>
      </c>
      <c r="P476" t="n">
        <v>0</v>
      </c>
      <c r="Q476" t="n">
        <v>0</v>
      </c>
      <c r="R476" s="2" t="inlineStr"/>
    </row>
    <row r="477" ht="15" customHeight="1">
      <c r="A477" t="inlineStr">
        <is>
          <t>A 11547-2022</t>
        </is>
      </c>
      <c r="B477" s="1" t="n">
        <v>44631.43116898148</v>
      </c>
      <c r="C477" s="1" t="n">
        <v>45916</v>
      </c>
      <c r="D477" t="inlineStr">
        <is>
          <t>UPPSALA LÄN</t>
        </is>
      </c>
      <c r="E477" t="inlineStr">
        <is>
          <t>ÖSTHAMMAR</t>
        </is>
      </c>
      <c r="G477" t="n">
        <v>4.4</v>
      </c>
      <c r="H477" t="n">
        <v>0</v>
      </c>
      <c r="I477" t="n">
        <v>0</v>
      </c>
      <c r="J477" t="n">
        <v>0</v>
      </c>
      <c r="K477" t="n">
        <v>0</v>
      </c>
      <c r="L477" t="n">
        <v>0</v>
      </c>
      <c r="M477" t="n">
        <v>0</v>
      </c>
      <c r="N477" t="n">
        <v>0</v>
      </c>
      <c r="O477" t="n">
        <v>0</v>
      </c>
      <c r="P477" t="n">
        <v>0</v>
      </c>
      <c r="Q477" t="n">
        <v>0</v>
      </c>
      <c r="R477" s="2" t="inlineStr"/>
    </row>
    <row r="478" ht="15" customHeight="1">
      <c r="A478" t="inlineStr">
        <is>
          <t>A 4561-2022</t>
        </is>
      </c>
      <c r="B478" s="1" t="n">
        <v>44591.59170138889</v>
      </c>
      <c r="C478" s="1" t="n">
        <v>45916</v>
      </c>
      <c r="D478" t="inlineStr">
        <is>
          <t>UPPSALA LÄN</t>
        </is>
      </c>
      <c r="E478" t="inlineStr">
        <is>
          <t>ÖSTHAMMAR</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56969-2022</t>
        </is>
      </c>
      <c r="B479" s="1" t="n">
        <v>44894.68043981482</v>
      </c>
      <c r="C479" s="1" t="n">
        <v>45916</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10117-2025</t>
        </is>
      </c>
      <c r="B480" s="1" t="n">
        <v>45719.59866898148</v>
      </c>
      <c r="C480" s="1" t="n">
        <v>45916</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38886-2025</t>
        </is>
      </c>
      <c r="B481" s="1" t="n">
        <v>45887.58370370371</v>
      </c>
      <c r="C481" s="1" t="n">
        <v>45916</v>
      </c>
      <c r="D481" t="inlineStr">
        <is>
          <t>UPPSALA LÄN</t>
        </is>
      </c>
      <c r="E481" t="inlineStr">
        <is>
          <t>ÖSTHAMMAR</t>
        </is>
      </c>
      <c r="F481" t="inlineStr">
        <is>
          <t>Bergvik skog öst AB</t>
        </is>
      </c>
      <c r="G481" t="n">
        <v>4.7</v>
      </c>
      <c r="H481" t="n">
        <v>0</v>
      </c>
      <c r="I481" t="n">
        <v>0</v>
      </c>
      <c r="J481" t="n">
        <v>0</v>
      </c>
      <c r="K481" t="n">
        <v>0</v>
      </c>
      <c r="L481" t="n">
        <v>0</v>
      </c>
      <c r="M481" t="n">
        <v>0</v>
      </c>
      <c r="N481" t="n">
        <v>0</v>
      </c>
      <c r="O481" t="n">
        <v>0</v>
      </c>
      <c r="P481" t="n">
        <v>0</v>
      </c>
      <c r="Q481" t="n">
        <v>0</v>
      </c>
      <c r="R481" s="2" t="inlineStr"/>
    </row>
    <row r="482" ht="15" customHeight="1">
      <c r="A482" t="inlineStr">
        <is>
          <t>A 23741-2024</t>
        </is>
      </c>
      <c r="B482" s="1" t="n">
        <v>45455</v>
      </c>
      <c r="C482" s="1" t="n">
        <v>45916</v>
      </c>
      <c r="D482" t="inlineStr">
        <is>
          <t>UPPSALA LÄN</t>
        </is>
      </c>
      <c r="E482" t="inlineStr">
        <is>
          <t>ÖSTHAMMAR</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26612-2023</t>
        </is>
      </c>
      <c r="B483" s="1" t="n">
        <v>45089</v>
      </c>
      <c r="C483" s="1" t="n">
        <v>45916</v>
      </c>
      <c r="D483" t="inlineStr">
        <is>
          <t>UPPSALA LÄN</t>
        </is>
      </c>
      <c r="E483" t="inlineStr">
        <is>
          <t>ÖSTHAMMAR</t>
        </is>
      </c>
      <c r="G483" t="n">
        <v>2.1</v>
      </c>
      <c r="H483" t="n">
        <v>0</v>
      </c>
      <c r="I483" t="n">
        <v>0</v>
      </c>
      <c r="J483" t="n">
        <v>0</v>
      </c>
      <c r="K483" t="n">
        <v>0</v>
      </c>
      <c r="L483" t="n">
        <v>0</v>
      </c>
      <c r="M483" t="n">
        <v>0</v>
      </c>
      <c r="N483" t="n">
        <v>0</v>
      </c>
      <c r="O483" t="n">
        <v>0</v>
      </c>
      <c r="P483" t="n">
        <v>0</v>
      </c>
      <c r="Q483" t="n">
        <v>0</v>
      </c>
      <c r="R483" s="2" t="inlineStr"/>
    </row>
    <row r="484" ht="15" customHeight="1">
      <c r="A484" t="inlineStr">
        <is>
          <t>A 32244-2021</t>
        </is>
      </c>
      <c r="B484" s="1" t="n">
        <v>44371.45335648148</v>
      </c>
      <c r="C484" s="1" t="n">
        <v>45916</v>
      </c>
      <c r="D484" t="inlineStr">
        <is>
          <t>UPPSALA LÄN</t>
        </is>
      </c>
      <c r="E484" t="inlineStr">
        <is>
          <t>ÖSTHAMMAR</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40406-2025</t>
        </is>
      </c>
      <c r="B485" s="1" t="n">
        <v>45895.57082175926</v>
      </c>
      <c r="C485" s="1" t="n">
        <v>45916</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19748-2025</t>
        </is>
      </c>
      <c r="B486" s="1" t="n">
        <v>45771.38465277778</v>
      </c>
      <c r="C486" s="1" t="n">
        <v>45916</v>
      </c>
      <c r="D486" t="inlineStr">
        <is>
          <t>UPPSALA LÄN</t>
        </is>
      </c>
      <c r="E486" t="inlineStr">
        <is>
          <t>ÖSTHAMMAR</t>
        </is>
      </c>
      <c r="F486" t="inlineStr">
        <is>
          <t>Övriga Aktiebolag</t>
        </is>
      </c>
      <c r="G486" t="n">
        <v>6.8</v>
      </c>
      <c r="H486" t="n">
        <v>0</v>
      </c>
      <c r="I486" t="n">
        <v>0</v>
      </c>
      <c r="J486" t="n">
        <v>0</v>
      </c>
      <c r="K486" t="n">
        <v>0</v>
      </c>
      <c r="L486" t="n">
        <v>0</v>
      </c>
      <c r="M486" t="n">
        <v>0</v>
      </c>
      <c r="N486" t="n">
        <v>0</v>
      </c>
      <c r="O486" t="n">
        <v>0</v>
      </c>
      <c r="P486" t="n">
        <v>0</v>
      </c>
      <c r="Q486" t="n">
        <v>0</v>
      </c>
      <c r="R486" s="2" t="inlineStr"/>
    </row>
    <row r="487" ht="15" customHeight="1">
      <c r="A487" t="inlineStr">
        <is>
          <t>A 40460-2025</t>
        </is>
      </c>
      <c r="B487" s="1" t="n">
        <v>45895.65013888889</v>
      </c>
      <c r="C487" s="1" t="n">
        <v>45916</v>
      </c>
      <c r="D487" t="inlineStr">
        <is>
          <t>UPPSALA LÄN</t>
        </is>
      </c>
      <c r="E487" t="inlineStr">
        <is>
          <t>ÖSTHAMMAR</t>
        </is>
      </c>
      <c r="G487" t="n">
        <v>2.7</v>
      </c>
      <c r="H487" t="n">
        <v>0</v>
      </c>
      <c r="I487" t="n">
        <v>0</v>
      </c>
      <c r="J487" t="n">
        <v>0</v>
      </c>
      <c r="K487" t="n">
        <v>0</v>
      </c>
      <c r="L487" t="n">
        <v>0</v>
      </c>
      <c r="M487" t="n">
        <v>0</v>
      </c>
      <c r="N487" t="n">
        <v>0</v>
      </c>
      <c r="O487" t="n">
        <v>0</v>
      </c>
      <c r="P487" t="n">
        <v>0</v>
      </c>
      <c r="Q487" t="n">
        <v>0</v>
      </c>
      <c r="R487" s="2" t="inlineStr"/>
    </row>
    <row r="488" ht="15" customHeight="1">
      <c r="A488" t="inlineStr">
        <is>
          <t>A 40462-2025</t>
        </is>
      </c>
      <c r="B488" s="1" t="n">
        <v>45895.65179398148</v>
      </c>
      <c r="C488" s="1" t="n">
        <v>45916</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40016-2025</t>
        </is>
      </c>
      <c r="B489" s="1" t="n">
        <v>45894.34747685185</v>
      </c>
      <c r="C489" s="1" t="n">
        <v>45916</v>
      </c>
      <c r="D489" t="inlineStr">
        <is>
          <t>UPPSALA LÄN</t>
        </is>
      </c>
      <c r="E489" t="inlineStr">
        <is>
          <t>ÖSTHAMMAR</t>
        </is>
      </c>
      <c r="F489" t="inlineStr">
        <is>
          <t>Kyrkan</t>
        </is>
      </c>
      <c r="G489" t="n">
        <v>6.6</v>
      </c>
      <c r="H489" t="n">
        <v>0</v>
      </c>
      <c r="I489" t="n">
        <v>0</v>
      </c>
      <c r="J489" t="n">
        <v>0</v>
      </c>
      <c r="K489" t="n">
        <v>0</v>
      </c>
      <c r="L489" t="n">
        <v>0</v>
      </c>
      <c r="M489" t="n">
        <v>0</v>
      </c>
      <c r="N489" t="n">
        <v>0</v>
      </c>
      <c r="O489" t="n">
        <v>0</v>
      </c>
      <c r="P489" t="n">
        <v>0</v>
      </c>
      <c r="Q489" t="n">
        <v>0</v>
      </c>
      <c r="R489" s="2" t="inlineStr"/>
    </row>
    <row r="490" ht="15" customHeight="1">
      <c r="A490" t="inlineStr">
        <is>
          <t>A 19640-2025</t>
        </is>
      </c>
      <c r="B490" s="1" t="n">
        <v>45770.65739583333</v>
      </c>
      <c r="C490" s="1" t="n">
        <v>45916</v>
      </c>
      <c r="D490" t="inlineStr">
        <is>
          <t>UPPSALA LÄN</t>
        </is>
      </c>
      <c r="E490" t="inlineStr">
        <is>
          <t>ÖSTHAMMAR</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40044-2025</t>
        </is>
      </c>
      <c r="B491" s="1" t="n">
        <v>45894.40133101852</v>
      </c>
      <c r="C491" s="1" t="n">
        <v>45916</v>
      </c>
      <c r="D491" t="inlineStr">
        <is>
          <t>UPPSALA LÄN</t>
        </is>
      </c>
      <c r="E491" t="inlineStr">
        <is>
          <t>ÖSTHAMMAR</t>
        </is>
      </c>
      <c r="F491" t="inlineStr">
        <is>
          <t>Kyrkan</t>
        </is>
      </c>
      <c r="G491" t="n">
        <v>8.9</v>
      </c>
      <c r="H491" t="n">
        <v>0</v>
      </c>
      <c r="I491" t="n">
        <v>0</v>
      </c>
      <c r="J491" t="n">
        <v>0</v>
      </c>
      <c r="K491" t="n">
        <v>0</v>
      </c>
      <c r="L491" t="n">
        <v>0</v>
      </c>
      <c r="M491" t="n">
        <v>0</v>
      </c>
      <c r="N491" t="n">
        <v>0</v>
      </c>
      <c r="O491" t="n">
        <v>0</v>
      </c>
      <c r="P491" t="n">
        <v>0</v>
      </c>
      <c r="Q491" t="n">
        <v>0</v>
      </c>
      <c r="R491" s="2" t="inlineStr"/>
    </row>
    <row r="492" ht="15" customHeight="1">
      <c r="A492" t="inlineStr">
        <is>
          <t>A 40377-2025</t>
        </is>
      </c>
      <c r="B492" s="1" t="n">
        <v>45895.53020833333</v>
      </c>
      <c r="C492" s="1" t="n">
        <v>45916</v>
      </c>
      <c r="D492" t="inlineStr">
        <is>
          <t>UPPSALA LÄN</t>
        </is>
      </c>
      <c r="E492" t="inlineStr">
        <is>
          <t>ÖSTHAMMAR</t>
        </is>
      </c>
      <c r="G492" t="n">
        <v>0.6</v>
      </c>
      <c r="H492" t="n">
        <v>0</v>
      </c>
      <c r="I492" t="n">
        <v>0</v>
      </c>
      <c r="J492" t="n">
        <v>0</v>
      </c>
      <c r="K492" t="n">
        <v>0</v>
      </c>
      <c r="L492" t="n">
        <v>0</v>
      </c>
      <c r="M492" t="n">
        <v>0</v>
      </c>
      <c r="N492" t="n">
        <v>0</v>
      </c>
      <c r="O492" t="n">
        <v>0</v>
      </c>
      <c r="P492" t="n">
        <v>0</v>
      </c>
      <c r="Q492" t="n">
        <v>0</v>
      </c>
      <c r="R492" s="2" t="inlineStr"/>
    </row>
    <row r="493" ht="15" customHeight="1">
      <c r="A493" t="inlineStr">
        <is>
          <t>A 60584-2021</t>
        </is>
      </c>
      <c r="B493" s="1" t="n">
        <v>44496</v>
      </c>
      <c r="C493" s="1" t="n">
        <v>45916</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44152-2024</t>
        </is>
      </c>
      <c r="B494" s="1" t="n">
        <v>45572</v>
      </c>
      <c r="C494" s="1" t="n">
        <v>45916</v>
      </c>
      <c r="D494" t="inlineStr">
        <is>
          <t>UPPSALA LÄN</t>
        </is>
      </c>
      <c r="E494" t="inlineStr">
        <is>
          <t>ÖSTHAMMAR</t>
        </is>
      </c>
      <c r="G494" t="n">
        <v>1.6</v>
      </c>
      <c r="H494" t="n">
        <v>0</v>
      </c>
      <c r="I494" t="n">
        <v>0</v>
      </c>
      <c r="J494" t="n">
        <v>0</v>
      </c>
      <c r="K494" t="n">
        <v>0</v>
      </c>
      <c r="L494" t="n">
        <v>0</v>
      </c>
      <c r="M494" t="n">
        <v>0</v>
      </c>
      <c r="N494" t="n">
        <v>0</v>
      </c>
      <c r="O494" t="n">
        <v>0</v>
      </c>
      <c r="P494" t="n">
        <v>0</v>
      </c>
      <c r="Q494" t="n">
        <v>0</v>
      </c>
      <c r="R494" s="2" t="inlineStr"/>
    </row>
    <row r="495" ht="15" customHeight="1">
      <c r="A495" t="inlineStr">
        <is>
          <t>A 40416-2025</t>
        </is>
      </c>
      <c r="B495" s="1" t="n">
        <v>45895.57736111111</v>
      </c>
      <c r="C495" s="1" t="n">
        <v>45916</v>
      </c>
      <c r="D495" t="inlineStr">
        <is>
          <t>UPPSALA LÄN</t>
        </is>
      </c>
      <c r="E495" t="inlineStr">
        <is>
          <t>ÖSTHAMMAR</t>
        </is>
      </c>
      <c r="G495" t="n">
        <v>0.4</v>
      </c>
      <c r="H495" t="n">
        <v>0</v>
      </c>
      <c r="I495" t="n">
        <v>0</v>
      </c>
      <c r="J495" t="n">
        <v>0</v>
      </c>
      <c r="K495" t="n">
        <v>0</v>
      </c>
      <c r="L495" t="n">
        <v>0</v>
      </c>
      <c r="M495" t="n">
        <v>0</v>
      </c>
      <c r="N495" t="n">
        <v>0</v>
      </c>
      <c r="O495" t="n">
        <v>0</v>
      </c>
      <c r="P495" t="n">
        <v>0</v>
      </c>
      <c r="Q495" t="n">
        <v>0</v>
      </c>
      <c r="R495" s="2" t="inlineStr"/>
    </row>
    <row r="496" ht="15" customHeight="1">
      <c r="A496" t="inlineStr">
        <is>
          <t>A 60079-2022</t>
        </is>
      </c>
      <c r="B496" s="1" t="n">
        <v>44909</v>
      </c>
      <c r="C496" s="1" t="n">
        <v>45916</v>
      </c>
      <c r="D496" t="inlineStr">
        <is>
          <t>UPPSALA LÄN</t>
        </is>
      </c>
      <c r="E496" t="inlineStr">
        <is>
          <t>ÖSTHAMMAR</t>
        </is>
      </c>
      <c r="G496" t="n">
        <v>9.6</v>
      </c>
      <c r="H496" t="n">
        <v>0</v>
      </c>
      <c r="I496" t="n">
        <v>0</v>
      </c>
      <c r="J496" t="n">
        <v>0</v>
      </c>
      <c r="K496" t="n">
        <v>0</v>
      </c>
      <c r="L496" t="n">
        <v>0</v>
      </c>
      <c r="M496" t="n">
        <v>0</v>
      </c>
      <c r="N496" t="n">
        <v>0</v>
      </c>
      <c r="O496" t="n">
        <v>0</v>
      </c>
      <c r="P496" t="n">
        <v>0</v>
      </c>
      <c r="Q496" t="n">
        <v>0</v>
      </c>
      <c r="R496" s="2" t="inlineStr"/>
    </row>
    <row r="497" ht="15" customHeight="1">
      <c r="A497" t="inlineStr">
        <is>
          <t>A 40384-2025</t>
        </is>
      </c>
      <c r="B497" s="1" t="n">
        <v>45895.54085648148</v>
      </c>
      <c r="C497" s="1" t="n">
        <v>45916</v>
      </c>
      <c r="D497" t="inlineStr">
        <is>
          <t>UPPSALA LÄN</t>
        </is>
      </c>
      <c r="E497" t="inlineStr">
        <is>
          <t>ÖSTHAMMAR</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48856-2024</t>
        </is>
      </c>
      <c r="B498" s="1" t="n">
        <v>45593</v>
      </c>
      <c r="C498" s="1" t="n">
        <v>45916</v>
      </c>
      <c r="D498" t="inlineStr">
        <is>
          <t>UPPSALA LÄN</t>
        </is>
      </c>
      <c r="E498" t="inlineStr">
        <is>
          <t>ÖSTHAMMAR</t>
        </is>
      </c>
      <c r="G498" t="n">
        <v>1.5</v>
      </c>
      <c r="H498" t="n">
        <v>0</v>
      </c>
      <c r="I498" t="n">
        <v>0</v>
      </c>
      <c r="J498" t="n">
        <v>0</v>
      </c>
      <c r="K498" t="n">
        <v>0</v>
      </c>
      <c r="L498" t="n">
        <v>0</v>
      </c>
      <c r="M498" t="n">
        <v>0</v>
      </c>
      <c r="N498" t="n">
        <v>0</v>
      </c>
      <c r="O498" t="n">
        <v>0</v>
      </c>
      <c r="P498" t="n">
        <v>0</v>
      </c>
      <c r="Q498" t="n">
        <v>0</v>
      </c>
      <c r="R498" s="2" t="inlineStr"/>
    </row>
    <row r="499" ht="15" customHeight="1">
      <c r="A499" t="inlineStr">
        <is>
          <t>A 47390-2023</t>
        </is>
      </c>
      <c r="B499" s="1" t="n">
        <v>45202</v>
      </c>
      <c r="C499" s="1" t="n">
        <v>45916</v>
      </c>
      <c r="D499" t="inlineStr">
        <is>
          <t>UPPSALA LÄN</t>
        </is>
      </c>
      <c r="E499" t="inlineStr">
        <is>
          <t>ÖSTHAMMAR</t>
        </is>
      </c>
      <c r="G499" t="n">
        <v>3.7</v>
      </c>
      <c r="H499" t="n">
        <v>0</v>
      </c>
      <c r="I499" t="n">
        <v>0</v>
      </c>
      <c r="J499" t="n">
        <v>0</v>
      </c>
      <c r="K499" t="n">
        <v>0</v>
      </c>
      <c r="L499" t="n">
        <v>0</v>
      </c>
      <c r="M499" t="n">
        <v>0</v>
      </c>
      <c r="N499" t="n">
        <v>0</v>
      </c>
      <c r="O499" t="n">
        <v>0</v>
      </c>
      <c r="P499" t="n">
        <v>0</v>
      </c>
      <c r="Q499" t="n">
        <v>0</v>
      </c>
      <c r="R499" s="2" t="inlineStr"/>
    </row>
    <row r="500" ht="15" customHeight="1">
      <c r="A500" t="inlineStr">
        <is>
          <t>A 40570-2025</t>
        </is>
      </c>
      <c r="B500" s="1" t="n">
        <v>45896.47878472223</v>
      </c>
      <c r="C500" s="1" t="n">
        <v>45916</v>
      </c>
      <c r="D500" t="inlineStr">
        <is>
          <t>UPPSALA LÄN</t>
        </is>
      </c>
      <c r="E500" t="inlineStr">
        <is>
          <t>ÖSTHAMMAR</t>
        </is>
      </c>
      <c r="F500" t="inlineStr">
        <is>
          <t>Övriga Aktiebolag</t>
        </is>
      </c>
      <c r="G500" t="n">
        <v>4.8</v>
      </c>
      <c r="H500" t="n">
        <v>0</v>
      </c>
      <c r="I500" t="n">
        <v>0</v>
      </c>
      <c r="J500" t="n">
        <v>0</v>
      </c>
      <c r="K500" t="n">
        <v>0</v>
      </c>
      <c r="L500" t="n">
        <v>0</v>
      </c>
      <c r="M500" t="n">
        <v>0</v>
      </c>
      <c r="N500" t="n">
        <v>0</v>
      </c>
      <c r="O500" t="n">
        <v>0</v>
      </c>
      <c r="P500" t="n">
        <v>0</v>
      </c>
      <c r="Q500" t="n">
        <v>0</v>
      </c>
      <c r="R500" s="2" t="inlineStr"/>
    </row>
    <row r="501" ht="15" customHeight="1">
      <c r="A501" t="inlineStr">
        <is>
          <t>A 41519-2025</t>
        </is>
      </c>
      <c r="B501" s="1" t="n">
        <v>45901.54751157408</v>
      </c>
      <c r="C501" s="1" t="n">
        <v>45916</v>
      </c>
      <c r="D501" t="inlineStr">
        <is>
          <t>UPPSALA LÄN</t>
        </is>
      </c>
      <c r="E501" t="inlineStr">
        <is>
          <t>ÖSTHAMMAR</t>
        </is>
      </c>
      <c r="F501" t="inlineStr">
        <is>
          <t>Övriga Aktiebolag</t>
        </is>
      </c>
      <c r="G501" t="n">
        <v>17.1</v>
      </c>
      <c r="H501" t="n">
        <v>0</v>
      </c>
      <c r="I501" t="n">
        <v>0</v>
      </c>
      <c r="J501" t="n">
        <v>0</v>
      </c>
      <c r="K501" t="n">
        <v>0</v>
      </c>
      <c r="L501" t="n">
        <v>0</v>
      </c>
      <c r="M501" t="n">
        <v>0</v>
      </c>
      <c r="N501" t="n">
        <v>0</v>
      </c>
      <c r="O501" t="n">
        <v>0</v>
      </c>
      <c r="P501" t="n">
        <v>0</v>
      </c>
      <c r="Q501" t="n">
        <v>0</v>
      </c>
      <c r="R501" s="2" t="inlineStr"/>
    </row>
    <row r="502" ht="15" customHeight="1">
      <c r="A502" t="inlineStr">
        <is>
          <t>A 5877-2023</t>
        </is>
      </c>
      <c r="B502" s="1" t="n">
        <v>44963.62001157407</v>
      </c>
      <c r="C502" s="1" t="n">
        <v>45916</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40637-2022</t>
        </is>
      </c>
      <c r="B503" s="1" t="n">
        <v>44824</v>
      </c>
      <c r="C503" s="1" t="n">
        <v>45916</v>
      </c>
      <c r="D503" t="inlineStr">
        <is>
          <t>UPPSALA LÄN</t>
        </is>
      </c>
      <c r="E503" t="inlineStr">
        <is>
          <t>ÖSTHAMMAR</t>
        </is>
      </c>
      <c r="F503" t="inlineStr">
        <is>
          <t>Övriga Aktiebolag</t>
        </is>
      </c>
      <c r="G503" t="n">
        <v>3.7</v>
      </c>
      <c r="H503" t="n">
        <v>0</v>
      </c>
      <c r="I503" t="n">
        <v>0</v>
      </c>
      <c r="J503" t="n">
        <v>0</v>
      </c>
      <c r="K503" t="n">
        <v>0</v>
      </c>
      <c r="L503" t="n">
        <v>0</v>
      </c>
      <c r="M503" t="n">
        <v>0</v>
      </c>
      <c r="N503" t="n">
        <v>0</v>
      </c>
      <c r="O503" t="n">
        <v>0</v>
      </c>
      <c r="P503" t="n">
        <v>0</v>
      </c>
      <c r="Q503" t="n">
        <v>0</v>
      </c>
      <c r="R503" s="2" t="inlineStr"/>
    </row>
    <row r="504" ht="15" customHeight="1">
      <c r="A504" t="inlineStr">
        <is>
          <t>A 52389-2022</t>
        </is>
      </c>
      <c r="B504" s="1" t="n">
        <v>44874.38325231482</v>
      </c>
      <c r="C504" s="1" t="n">
        <v>45916</v>
      </c>
      <c r="D504" t="inlineStr">
        <is>
          <t>UPPSALA LÄN</t>
        </is>
      </c>
      <c r="E504" t="inlineStr">
        <is>
          <t>ÖSTHAMMAR</t>
        </is>
      </c>
      <c r="G504" t="n">
        <v>3.1</v>
      </c>
      <c r="H504" t="n">
        <v>0</v>
      </c>
      <c r="I504" t="n">
        <v>0</v>
      </c>
      <c r="J504" t="n">
        <v>0</v>
      </c>
      <c r="K504" t="n">
        <v>0</v>
      </c>
      <c r="L504" t="n">
        <v>0</v>
      </c>
      <c r="M504" t="n">
        <v>0</v>
      </c>
      <c r="N504" t="n">
        <v>0</v>
      </c>
      <c r="O504" t="n">
        <v>0</v>
      </c>
      <c r="P504" t="n">
        <v>0</v>
      </c>
      <c r="Q504" t="n">
        <v>0</v>
      </c>
      <c r="R504" s="2" t="inlineStr"/>
    </row>
    <row r="505" ht="15" customHeight="1">
      <c r="A505" t="inlineStr">
        <is>
          <t>A 56260-2022</t>
        </is>
      </c>
      <c r="B505" s="1" t="n">
        <v>44890</v>
      </c>
      <c r="C505" s="1" t="n">
        <v>45916</v>
      </c>
      <c r="D505" t="inlineStr">
        <is>
          <t>UPPSALA LÄN</t>
        </is>
      </c>
      <c r="E505" t="inlineStr">
        <is>
          <t>ÖSTHAMMAR</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25033-2021</t>
        </is>
      </c>
      <c r="B506" s="1" t="n">
        <v>44341.590625</v>
      </c>
      <c r="C506" s="1" t="n">
        <v>45916</v>
      </c>
      <c r="D506" t="inlineStr">
        <is>
          <t>UPPSALA LÄN</t>
        </is>
      </c>
      <c r="E506" t="inlineStr">
        <is>
          <t>ÖSTHAMMAR</t>
        </is>
      </c>
      <c r="F506" t="inlineStr">
        <is>
          <t>Bergvik skog öst AB</t>
        </is>
      </c>
      <c r="G506" t="n">
        <v>1</v>
      </c>
      <c r="H506" t="n">
        <v>0</v>
      </c>
      <c r="I506" t="n">
        <v>0</v>
      </c>
      <c r="J506" t="n">
        <v>0</v>
      </c>
      <c r="K506" t="n">
        <v>0</v>
      </c>
      <c r="L506" t="n">
        <v>0</v>
      </c>
      <c r="M506" t="n">
        <v>0</v>
      </c>
      <c r="N506" t="n">
        <v>0</v>
      </c>
      <c r="O506" t="n">
        <v>0</v>
      </c>
      <c r="P506" t="n">
        <v>0</v>
      </c>
      <c r="Q506" t="n">
        <v>0</v>
      </c>
      <c r="R506" s="2" t="inlineStr"/>
    </row>
    <row r="507" ht="15" customHeight="1">
      <c r="A507" t="inlineStr">
        <is>
          <t>A 57453-2022</t>
        </is>
      </c>
      <c r="B507" s="1" t="n">
        <v>44896.56266203704</v>
      </c>
      <c r="C507" s="1" t="n">
        <v>45916</v>
      </c>
      <c r="D507" t="inlineStr">
        <is>
          <t>UPPSALA LÄN</t>
        </is>
      </c>
      <c r="E507" t="inlineStr">
        <is>
          <t>ÖSTHAMMAR</t>
        </is>
      </c>
      <c r="G507" t="n">
        <v>1.7</v>
      </c>
      <c r="H507" t="n">
        <v>0</v>
      </c>
      <c r="I507" t="n">
        <v>0</v>
      </c>
      <c r="J507" t="n">
        <v>0</v>
      </c>
      <c r="K507" t="n">
        <v>0</v>
      </c>
      <c r="L507" t="n">
        <v>0</v>
      </c>
      <c r="M507" t="n">
        <v>0</v>
      </c>
      <c r="N507" t="n">
        <v>0</v>
      </c>
      <c r="O507" t="n">
        <v>0</v>
      </c>
      <c r="P507" t="n">
        <v>0</v>
      </c>
      <c r="Q507" t="n">
        <v>0</v>
      </c>
      <c r="R507" s="2" t="inlineStr"/>
    </row>
    <row r="508" ht="15" customHeight="1">
      <c r="A508" t="inlineStr">
        <is>
          <t>A 57462-2022</t>
        </is>
      </c>
      <c r="B508" s="1" t="n">
        <v>44896.57527777777</v>
      </c>
      <c r="C508" s="1" t="n">
        <v>45916</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6039-2025</t>
        </is>
      </c>
      <c r="B509" s="1" t="n">
        <v>45695</v>
      </c>
      <c r="C509" s="1" t="n">
        <v>45916</v>
      </c>
      <c r="D509" t="inlineStr">
        <is>
          <t>UPPSALA LÄN</t>
        </is>
      </c>
      <c r="E509" t="inlineStr">
        <is>
          <t>ÖSTHAMMAR</t>
        </is>
      </c>
      <c r="G509" t="n">
        <v>2.3</v>
      </c>
      <c r="H509" t="n">
        <v>0</v>
      </c>
      <c r="I509" t="n">
        <v>0</v>
      </c>
      <c r="J509" t="n">
        <v>0</v>
      </c>
      <c r="K509" t="n">
        <v>0</v>
      </c>
      <c r="L509" t="n">
        <v>0</v>
      </c>
      <c r="M509" t="n">
        <v>0</v>
      </c>
      <c r="N509" t="n">
        <v>0</v>
      </c>
      <c r="O509" t="n">
        <v>0</v>
      </c>
      <c r="P509" t="n">
        <v>0</v>
      </c>
      <c r="Q509" t="n">
        <v>0</v>
      </c>
      <c r="R509" s="2" t="inlineStr"/>
    </row>
    <row r="510" ht="15" customHeight="1">
      <c r="A510" t="inlineStr">
        <is>
          <t>A 62394-2022</t>
        </is>
      </c>
      <c r="B510" s="1" t="n">
        <v>44923.82017361111</v>
      </c>
      <c r="C510" s="1" t="n">
        <v>45916</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22709-2021</t>
        </is>
      </c>
      <c r="B511" s="1" t="n">
        <v>44327.61518518518</v>
      </c>
      <c r="C511" s="1" t="n">
        <v>45916</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8616-2023</t>
        </is>
      </c>
      <c r="B512" s="1" t="n">
        <v>44977</v>
      </c>
      <c r="C512" s="1" t="n">
        <v>45916</v>
      </c>
      <c r="D512" t="inlineStr">
        <is>
          <t>UPPSALA LÄN</t>
        </is>
      </c>
      <c r="E512" t="inlineStr">
        <is>
          <t>ÖSTHAMMAR</t>
        </is>
      </c>
      <c r="F512" t="inlineStr">
        <is>
          <t>Bergvik skog öst AB</t>
        </is>
      </c>
      <c r="G512" t="n">
        <v>0.2</v>
      </c>
      <c r="H512" t="n">
        <v>0</v>
      </c>
      <c r="I512" t="n">
        <v>0</v>
      </c>
      <c r="J512" t="n">
        <v>0</v>
      </c>
      <c r="K512" t="n">
        <v>0</v>
      </c>
      <c r="L512" t="n">
        <v>0</v>
      </c>
      <c r="M512" t="n">
        <v>0</v>
      </c>
      <c r="N512" t="n">
        <v>0</v>
      </c>
      <c r="O512" t="n">
        <v>0</v>
      </c>
      <c r="P512" t="n">
        <v>0</v>
      </c>
      <c r="Q512" t="n">
        <v>0</v>
      </c>
      <c r="R512" s="2" t="inlineStr"/>
    </row>
    <row r="513" ht="15" customHeight="1">
      <c r="A513" t="inlineStr">
        <is>
          <t>A 42213-2025</t>
        </is>
      </c>
      <c r="B513" s="1" t="n">
        <v>45904.50652777778</v>
      </c>
      <c r="C513" s="1" t="n">
        <v>45916</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51364-2021</t>
        </is>
      </c>
      <c r="B514" s="1" t="n">
        <v>44461</v>
      </c>
      <c r="C514" s="1" t="n">
        <v>45916</v>
      </c>
      <c r="D514" t="inlineStr">
        <is>
          <t>UPPSALA LÄN</t>
        </is>
      </c>
      <c r="E514" t="inlineStr">
        <is>
          <t>ÖSTHAMMAR</t>
        </is>
      </c>
      <c r="G514" t="n">
        <v>2.4</v>
      </c>
      <c r="H514" t="n">
        <v>0</v>
      </c>
      <c r="I514" t="n">
        <v>0</v>
      </c>
      <c r="J514" t="n">
        <v>0</v>
      </c>
      <c r="K514" t="n">
        <v>0</v>
      </c>
      <c r="L514" t="n">
        <v>0</v>
      </c>
      <c r="M514" t="n">
        <v>0</v>
      </c>
      <c r="N514" t="n">
        <v>0</v>
      </c>
      <c r="O514" t="n">
        <v>0</v>
      </c>
      <c r="P514" t="n">
        <v>0</v>
      </c>
      <c r="Q514" t="n">
        <v>0</v>
      </c>
      <c r="R514" s="2" t="inlineStr"/>
    </row>
    <row r="515" ht="15" customHeight="1">
      <c r="A515" t="inlineStr">
        <is>
          <t>A 40382-2025</t>
        </is>
      </c>
      <c r="B515" s="1" t="n">
        <v>45895.53689814815</v>
      </c>
      <c r="C515" s="1" t="n">
        <v>45916</v>
      </c>
      <c r="D515" t="inlineStr">
        <is>
          <t>UPPSALA LÄN</t>
        </is>
      </c>
      <c r="E515" t="inlineStr">
        <is>
          <t>ÖSTHAMMAR</t>
        </is>
      </c>
      <c r="G515" t="n">
        <v>2.2</v>
      </c>
      <c r="H515" t="n">
        <v>0</v>
      </c>
      <c r="I515" t="n">
        <v>0</v>
      </c>
      <c r="J515" t="n">
        <v>0</v>
      </c>
      <c r="K515" t="n">
        <v>0</v>
      </c>
      <c r="L515" t="n">
        <v>0</v>
      </c>
      <c r="M515" t="n">
        <v>0</v>
      </c>
      <c r="N515" t="n">
        <v>0</v>
      </c>
      <c r="O515" t="n">
        <v>0</v>
      </c>
      <c r="P515" t="n">
        <v>0</v>
      </c>
      <c r="Q515" t="n">
        <v>0</v>
      </c>
      <c r="R515" s="2" t="inlineStr"/>
    </row>
    <row r="516" ht="15" customHeight="1">
      <c r="A516" t="inlineStr">
        <is>
          <t>A 50927-2024</t>
        </is>
      </c>
      <c r="B516" s="1" t="n">
        <v>45602</v>
      </c>
      <c r="C516" s="1" t="n">
        <v>45916</v>
      </c>
      <c r="D516" t="inlineStr">
        <is>
          <t>UPPSALA LÄN</t>
        </is>
      </c>
      <c r="E516" t="inlineStr">
        <is>
          <t>ÖSTHAMMAR</t>
        </is>
      </c>
      <c r="F516" t="inlineStr">
        <is>
          <t>Bergvik skog öst AB</t>
        </is>
      </c>
      <c r="G516" t="n">
        <v>45.4</v>
      </c>
      <c r="H516" t="n">
        <v>0</v>
      </c>
      <c r="I516" t="n">
        <v>0</v>
      </c>
      <c r="J516" t="n">
        <v>0</v>
      </c>
      <c r="K516" t="n">
        <v>0</v>
      </c>
      <c r="L516" t="n">
        <v>0</v>
      </c>
      <c r="M516" t="n">
        <v>0</v>
      </c>
      <c r="N516" t="n">
        <v>0</v>
      </c>
      <c r="O516" t="n">
        <v>0</v>
      </c>
      <c r="P516" t="n">
        <v>0</v>
      </c>
      <c r="Q516" t="n">
        <v>0</v>
      </c>
      <c r="R516" s="2" t="inlineStr"/>
    </row>
    <row r="517" ht="15" customHeight="1">
      <c r="A517" t="inlineStr">
        <is>
          <t>A 43915-2023</t>
        </is>
      </c>
      <c r="B517" s="1" t="n">
        <v>45187.71274305556</v>
      </c>
      <c r="C517" s="1" t="n">
        <v>45916</v>
      </c>
      <c r="D517" t="inlineStr">
        <is>
          <t>UPPSALA LÄN</t>
        </is>
      </c>
      <c r="E517" t="inlineStr">
        <is>
          <t>ÖSTHAMMAR</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19501-2025</t>
        </is>
      </c>
      <c r="B518" s="1" t="n">
        <v>45770.4015625</v>
      </c>
      <c r="C518" s="1" t="n">
        <v>45916</v>
      </c>
      <c r="D518" t="inlineStr">
        <is>
          <t>UPPSALA LÄN</t>
        </is>
      </c>
      <c r="E518" t="inlineStr">
        <is>
          <t>ÖSTHAMMAR</t>
        </is>
      </c>
      <c r="F518" t="inlineStr">
        <is>
          <t>Övriga Aktiebolag</t>
        </is>
      </c>
      <c r="G518" t="n">
        <v>17.3</v>
      </c>
      <c r="H518" t="n">
        <v>0</v>
      </c>
      <c r="I518" t="n">
        <v>0</v>
      </c>
      <c r="J518" t="n">
        <v>0</v>
      </c>
      <c r="K518" t="n">
        <v>0</v>
      </c>
      <c r="L518" t="n">
        <v>0</v>
      </c>
      <c r="M518" t="n">
        <v>0</v>
      </c>
      <c r="N518" t="n">
        <v>0</v>
      </c>
      <c r="O518" t="n">
        <v>0</v>
      </c>
      <c r="P518" t="n">
        <v>0</v>
      </c>
      <c r="Q518" t="n">
        <v>0</v>
      </c>
      <c r="R518" s="2" t="inlineStr"/>
    </row>
    <row r="519" ht="15" customHeight="1">
      <c r="A519" t="inlineStr">
        <is>
          <t>A 41538-2021</t>
        </is>
      </c>
      <c r="B519" s="1" t="n">
        <v>44425.35016203704</v>
      </c>
      <c r="C519" s="1" t="n">
        <v>45916</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34742-2022</t>
        </is>
      </c>
      <c r="B520" s="1" t="n">
        <v>44795.61990740741</v>
      </c>
      <c r="C520" s="1" t="n">
        <v>45916</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3119-2025</t>
        </is>
      </c>
      <c r="B521" s="1" t="n">
        <v>45678</v>
      </c>
      <c r="C521" s="1" t="n">
        <v>45916</v>
      </c>
      <c r="D521" t="inlineStr">
        <is>
          <t>UPPSALA LÄN</t>
        </is>
      </c>
      <c r="E521" t="inlineStr">
        <is>
          <t>ÖSTHAMMAR</t>
        </is>
      </c>
      <c r="G521" t="n">
        <v>1.1</v>
      </c>
      <c r="H521" t="n">
        <v>0</v>
      </c>
      <c r="I521" t="n">
        <v>0</v>
      </c>
      <c r="J521" t="n">
        <v>0</v>
      </c>
      <c r="K521" t="n">
        <v>0</v>
      </c>
      <c r="L521" t="n">
        <v>0</v>
      </c>
      <c r="M521" t="n">
        <v>0</v>
      </c>
      <c r="N521" t="n">
        <v>0</v>
      </c>
      <c r="O521" t="n">
        <v>0</v>
      </c>
      <c r="P521" t="n">
        <v>0</v>
      </c>
      <c r="Q521" t="n">
        <v>0</v>
      </c>
      <c r="R521" s="2" t="inlineStr"/>
    </row>
    <row r="522" ht="15" customHeight="1">
      <c r="A522" t="inlineStr">
        <is>
          <t>A 36092-2025</t>
        </is>
      </c>
      <c r="B522" s="1" t="n">
        <v>45866.48244212963</v>
      </c>
      <c r="C522" s="1" t="n">
        <v>45916</v>
      </c>
      <c r="D522" t="inlineStr">
        <is>
          <t>UPPSALA LÄN</t>
        </is>
      </c>
      <c r="E522" t="inlineStr">
        <is>
          <t>ÖSTHAMMAR</t>
        </is>
      </c>
      <c r="G522" t="n">
        <v>1.2</v>
      </c>
      <c r="H522" t="n">
        <v>0</v>
      </c>
      <c r="I522" t="n">
        <v>0</v>
      </c>
      <c r="J522" t="n">
        <v>0</v>
      </c>
      <c r="K522" t="n">
        <v>0</v>
      </c>
      <c r="L522" t="n">
        <v>0</v>
      </c>
      <c r="M522" t="n">
        <v>0</v>
      </c>
      <c r="N522" t="n">
        <v>0</v>
      </c>
      <c r="O522" t="n">
        <v>0</v>
      </c>
      <c r="P522" t="n">
        <v>0</v>
      </c>
      <c r="Q522" t="n">
        <v>0</v>
      </c>
      <c r="R522" s="2" t="inlineStr"/>
    </row>
    <row r="523" ht="15" customHeight="1">
      <c r="A523" t="inlineStr">
        <is>
          <t>A 4096-2025</t>
        </is>
      </c>
      <c r="B523" s="1" t="n">
        <v>45684</v>
      </c>
      <c r="C523" s="1" t="n">
        <v>45916</v>
      </c>
      <c r="D523" t="inlineStr">
        <is>
          <t>UPPSALA LÄN</t>
        </is>
      </c>
      <c r="E523" t="inlineStr">
        <is>
          <t>ÖSTHAMMAR</t>
        </is>
      </c>
      <c r="G523" t="n">
        <v>2</v>
      </c>
      <c r="H523" t="n">
        <v>0</v>
      </c>
      <c r="I523" t="n">
        <v>0</v>
      </c>
      <c r="J523" t="n">
        <v>0</v>
      </c>
      <c r="K523" t="n">
        <v>0</v>
      </c>
      <c r="L523" t="n">
        <v>0</v>
      </c>
      <c r="M523" t="n">
        <v>0</v>
      </c>
      <c r="N523" t="n">
        <v>0</v>
      </c>
      <c r="O523" t="n">
        <v>0</v>
      </c>
      <c r="P523" t="n">
        <v>0</v>
      </c>
      <c r="Q523" t="n">
        <v>0</v>
      </c>
      <c r="R523" s="2" t="inlineStr"/>
    </row>
    <row r="524" ht="15" customHeight="1">
      <c r="A524" t="inlineStr">
        <is>
          <t>A 55090-2024</t>
        </is>
      </c>
      <c r="B524" s="1" t="n">
        <v>45621.4350462963</v>
      </c>
      <c r="C524" s="1" t="n">
        <v>45916</v>
      </c>
      <c r="D524" t="inlineStr">
        <is>
          <t>UPPSALA LÄN</t>
        </is>
      </c>
      <c r="E524" t="inlineStr">
        <is>
          <t>ÖSTHAMMAR</t>
        </is>
      </c>
      <c r="F524" t="inlineStr">
        <is>
          <t>Sveaskog</t>
        </is>
      </c>
      <c r="G524" t="n">
        <v>4.4</v>
      </c>
      <c r="H524" t="n">
        <v>0</v>
      </c>
      <c r="I524" t="n">
        <v>0</v>
      </c>
      <c r="J524" t="n">
        <v>0</v>
      </c>
      <c r="K524" t="n">
        <v>0</v>
      </c>
      <c r="L524" t="n">
        <v>0</v>
      </c>
      <c r="M524" t="n">
        <v>0</v>
      </c>
      <c r="N524" t="n">
        <v>0</v>
      </c>
      <c r="O524" t="n">
        <v>0</v>
      </c>
      <c r="P524" t="n">
        <v>0</v>
      </c>
      <c r="Q524" t="n">
        <v>0</v>
      </c>
      <c r="R524" s="2" t="inlineStr"/>
    </row>
    <row r="525" ht="15" customHeight="1">
      <c r="A525" t="inlineStr">
        <is>
          <t>A 55093-2024</t>
        </is>
      </c>
      <c r="B525" s="1" t="n">
        <v>45621.43712962963</v>
      </c>
      <c r="C525" s="1" t="n">
        <v>45916</v>
      </c>
      <c r="D525" t="inlineStr">
        <is>
          <t>UPPSALA LÄN</t>
        </is>
      </c>
      <c r="E525" t="inlineStr">
        <is>
          <t>ÖSTHAMMAR</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55097-2024</t>
        </is>
      </c>
      <c r="B526" s="1" t="n">
        <v>45621.43855324074</v>
      </c>
      <c r="C526" s="1" t="n">
        <v>45916</v>
      </c>
      <c r="D526" t="inlineStr">
        <is>
          <t>UPPSALA LÄN</t>
        </is>
      </c>
      <c r="E526" t="inlineStr">
        <is>
          <t>ÖSTHAMMAR</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42940-2025</t>
        </is>
      </c>
      <c r="B527" s="1" t="n">
        <v>45909.33440972222</v>
      </c>
      <c r="C527" s="1" t="n">
        <v>45916</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17929-2025</t>
        </is>
      </c>
      <c r="B528" s="1" t="n">
        <v>45759.56462962963</v>
      </c>
      <c r="C528" s="1" t="n">
        <v>45916</v>
      </c>
      <c r="D528" t="inlineStr">
        <is>
          <t>UPPSALA LÄN</t>
        </is>
      </c>
      <c r="E528" t="inlineStr">
        <is>
          <t>ÖSTHAMMAR</t>
        </is>
      </c>
      <c r="G528" t="n">
        <v>3.4</v>
      </c>
      <c r="H528" t="n">
        <v>0</v>
      </c>
      <c r="I528" t="n">
        <v>0</v>
      </c>
      <c r="J528" t="n">
        <v>0</v>
      </c>
      <c r="K528" t="n">
        <v>0</v>
      </c>
      <c r="L528" t="n">
        <v>0</v>
      </c>
      <c r="M528" t="n">
        <v>0</v>
      </c>
      <c r="N528" t="n">
        <v>0</v>
      </c>
      <c r="O528" t="n">
        <v>0</v>
      </c>
      <c r="P528" t="n">
        <v>0</v>
      </c>
      <c r="Q528" t="n">
        <v>0</v>
      </c>
      <c r="R528" s="2" t="inlineStr"/>
    </row>
    <row r="529" ht="15" customHeight="1">
      <c r="A529" t="inlineStr">
        <is>
          <t>A 28421-2023</t>
        </is>
      </c>
      <c r="B529" s="1" t="n">
        <v>45102</v>
      </c>
      <c r="C529" s="1" t="n">
        <v>45916</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43011-2025</t>
        </is>
      </c>
      <c r="B530" s="1" t="n">
        <v>45909.48989583334</v>
      </c>
      <c r="C530" s="1" t="n">
        <v>45916</v>
      </c>
      <c r="D530" t="inlineStr">
        <is>
          <t>UPPSALA LÄN</t>
        </is>
      </c>
      <c r="E530" t="inlineStr">
        <is>
          <t>ÖSTHAMMAR</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17931-2025</t>
        </is>
      </c>
      <c r="B531" s="1" t="n">
        <v>45759.56894675926</v>
      </c>
      <c r="C531" s="1" t="n">
        <v>45916</v>
      </c>
      <c r="D531" t="inlineStr">
        <is>
          <t>UPPSALA LÄN</t>
        </is>
      </c>
      <c r="E531" t="inlineStr">
        <is>
          <t>ÖSTHAMMAR</t>
        </is>
      </c>
      <c r="G531" t="n">
        <v>2.1</v>
      </c>
      <c r="H531" t="n">
        <v>0</v>
      </c>
      <c r="I531" t="n">
        <v>0</v>
      </c>
      <c r="J531" t="n">
        <v>0</v>
      </c>
      <c r="K531" t="n">
        <v>0</v>
      </c>
      <c r="L531" t="n">
        <v>0</v>
      </c>
      <c r="M531" t="n">
        <v>0</v>
      </c>
      <c r="N531" t="n">
        <v>0</v>
      </c>
      <c r="O531" t="n">
        <v>0</v>
      </c>
      <c r="P531" t="n">
        <v>0</v>
      </c>
      <c r="Q531" t="n">
        <v>0</v>
      </c>
      <c r="R531" s="2" t="inlineStr"/>
    </row>
    <row r="532" ht="15" customHeight="1">
      <c r="A532" t="inlineStr">
        <is>
          <t>A 17938-2025</t>
        </is>
      </c>
      <c r="B532" s="1" t="n">
        <v>45760.55626157407</v>
      </c>
      <c r="C532" s="1" t="n">
        <v>45916</v>
      </c>
      <c r="D532" t="inlineStr">
        <is>
          <t>UPPSALA LÄN</t>
        </is>
      </c>
      <c r="E532" t="inlineStr">
        <is>
          <t>ÖSTHAMMAR</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43604-2025</t>
        </is>
      </c>
      <c r="B533" s="1" t="n">
        <v>45911.66671296296</v>
      </c>
      <c r="C533" s="1" t="n">
        <v>45916</v>
      </c>
      <c r="D533" t="inlineStr">
        <is>
          <t>UPPSALA LÄN</t>
        </is>
      </c>
      <c r="E533" t="inlineStr">
        <is>
          <t>ÖSTHAMMAR</t>
        </is>
      </c>
      <c r="G533" t="n">
        <v>8.5</v>
      </c>
      <c r="H533" t="n">
        <v>0</v>
      </c>
      <c r="I533" t="n">
        <v>0</v>
      </c>
      <c r="J533" t="n">
        <v>0</v>
      </c>
      <c r="K533" t="n">
        <v>0</v>
      </c>
      <c r="L533" t="n">
        <v>0</v>
      </c>
      <c r="M533" t="n">
        <v>0</v>
      </c>
      <c r="N533" t="n">
        <v>0</v>
      </c>
      <c r="O533" t="n">
        <v>0</v>
      </c>
      <c r="P533" t="n">
        <v>0</v>
      </c>
      <c r="Q533" t="n">
        <v>0</v>
      </c>
      <c r="R533" s="2" t="inlineStr"/>
    </row>
    <row r="534" ht="15" customHeight="1">
      <c r="A534" t="inlineStr">
        <is>
          <t>A 8763-2025</t>
        </is>
      </c>
      <c r="B534" s="1" t="n">
        <v>45712.57872685185</v>
      </c>
      <c r="C534" s="1" t="n">
        <v>45916</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43622-2025</t>
        </is>
      </c>
      <c r="B535" s="1" t="n">
        <v>45911.68295138889</v>
      </c>
      <c r="C535" s="1" t="n">
        <v>45916</v>
      </c>
      <c r="D535" t="inlineStr">
        <is>
          <t>UPPSALA LÄN</t>
        </is>
      </c>
      <c r="E535" t="inlineStr">
        <is>
          <t>ÖSTHAMMAR</t>
        </is>
      </c>
      <c r="G535" t="n">
        <v>2.3</v>
      </c>
      <c r="H535" t="n">
        <v>0</v>
      </c>
      <c r="I535" t="n">
        <v>0</v>
      </c>
      <c r="J535" t="n">
        <v>0</v>
      </c>
      <c r="K535" t="n">
        <v>0</v>
      </c>
      <c r="L535" t="n">
        <v>0</v>
      </c>
      <c r="M535" t="n">
        <v>0</v>
      </c>
      <c r="N535" t="n">
        <v>0</v>
      </c>
      <c r="O535" t="n">
        <v>0</v>
      </c>
      <c r="P535" t="n">
        <v>0</v>
      </c>
      <c r="Q535" t="n">
        <v>0</v>
      </c>
      <c r="R535" s="2" t="inlineStr"/>
    </row>
    <row r="536" ht="15" customHeight="1">
      <c r="A536" t="inlineStr">
        <is>
          <t>A 36451-2025</t>
        </is>
      </c>
      <c r="B536" s="1" t="n">
        <v>45869.4290625</v>
      </c>
      <c r="C536" s="1" t="n">
        <v>45916</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54368-2023</t>
        </is>
      </c>
      <c r="B537" s="1" t="n">
        <v>45233.33221064815</v>
      </c>
      <c r="C537" s="1" t="n">
        <v>45916</v>
      </c>
      <c r="D537" t="inlineStr">
        <is>
          <t>UPPSALA LÄN</t>
        </is>
      </c>
      <c r="E537" t="inlineStr">
        <is>
          <t>ÖSTHAMMAR</t>
        </is>
      </c>
      <c r="F537" t="inlineStr">
        <is>
          <t>Bergvik skog öst AB</t>
        </is>
      </c>
      <c r="G537" t="n">
        <v>3</v>
      </c>
      <c r="H537" t="n">
        <v>0</v>
      </c>
      <c r="I537" t="n">
        <v>0</v>
      </c>
      <c r="J537" t="n">
        <v>0</v>
      </c>
      <c r="K537" t="n">
        <v>0</v>
      </c>
      <c r="L537" t="n">
        <v>0</v>
      </c>
      <c r="M537" t="n">
        <v>0</v>
      </c>
      <c r="N537" t="n">
        <v>0</v>
      </c>
      <c r="O537" t="n">
        <v>0</v>
      </c>
      <c r="P537" t="n">
        <v>0</v>
      </c>
      <c r="Q537" t="n">
        <v>0</v>
      </c>
      <c r="R537" s="2" t="inlineStr"/>
    </row>
    <row r="538" ht="15" customHeight="1">
      <c r="A538" t="inlineStr">
        <is>
          <t>A 32815-2024</t>
        </is>
      </c>
      <c r="B538" s="1" t="n">
        <v>45516.57682870371</v>
      </c>
      <c r="C538" s="1" t="n">
        <v>45916</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8902-2025</t>
        </is>
      </c>
      <c r="B539" s="1" t="n">
        <v>45713.41503472222</v>
      </c>
      <c r="C539" s="1" t="n">
        <v>45916</v>
      </c>
      <c r="D539" t="inlineStr">
        <is>
          <t>UPPSALA LÄN</t>
        </is>
      </c>
      <c r="E539" t="inlineStr">
        <is>
          <t>ÖSTHAMMAR</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3327-2023</t>
        </is>
      </c>
      <c r="B540" s="1" t="n">
        <v>44949.4377662037</v>
      </c>
      <c r="C540" s="1" t="n">
        <v>45916</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36643-2025</t>
        </is>
      </c>
      <c r="B541" s="1" t="n">
        <v>45872.47782407407</v>
      </c>
      <c r="C541" s="1" t="n">
        <v>45916</v>
      </c>
      <c r="D541" t="inlineStr">
        <is>
          <t>UPPSALA LÄN</t>
        </is>
      </c>
      <c r="E541" t="inlineStr">
        <is>
          <t>ÖSTHAMMAR</t>
        </is>
      </c>
      <c r="F541" t="inlineStr">
        <is>
          <t>Bergvik skog öst AB</t>
        </is>
      </c>
      <c r="G541" t="n">
        <v>15.1</v>
      </c>
      <c r="H541" t="n">
        <v>0</v>
      </c>
      <c r="I541" t="n">
        <v>0</v>
      </c>
      <c r="J541" t="n">
        <v>0</v>
      </c>
      <c r="K541" t="n">
        <v>0</v>
      </c>
      <c r="L541" t="n">
        <v>0</v>
      </c>
      <c r="M541" t="n">
        <v>0</v>
      </c>
      <c r="N541" t="n">
        <v>0</v>
      </c>
      <c r="O541" t="n">
        <v>0</v>
      </c>
      <c r="P541" t="n">
        <v>0</v>
      </c>
      <c r="Q541" t="n">
        <v>0</v>
      </c>
      <c r="R541" s="2" t="inlineStr"/>
    </row>
    <row r="542" ht="15" customHeight="1">
      <c r="A542" t="inlineStr">
        <is>
          <t>A 41821-2023</t>
        </is>
      </c>
      <c r="B542" s="1" t="n">
        <v>45176</v>
      </c>
      <c r="C542" s="1" t="n">
        <v>45916</v>
      </c>
      <c r="D542" t="inlineStr">
        <is>
          <t>UPPSALA LÄN</t>
        </is>
      </c>
      <c r="E542" t="inlineStr">
        <is>
          <t>ÖSTHAMMAR</t>
        </is>
      </c>
      <c r="G542" t="n">
        <v>0.9</v>
      </c>
      <c r="H542" t="n">
        <v>0</v>
      </c>
      <c r="I542" t="n">
        <v>0</v>
      </c>
      <c r="J542" t="n">
        <v>0</v>
      </c>
      <c r="K542" t="n">
        <v>0</v>
      </c>
      <c r="L542" t="n">
        <v>0</v>
      </c>
      <c r="M542" t="n">
        <v>0</v>
      </c>
      <c r="N542" t="n">
        <v>0</v>
      </c>
      <c r="O542" t="n">
        <v>0</v>
      </c>
      <c r="P542" t="n">
        <v>0</v>
      </c>
      <c r="Q542" t="n">
        <v>0</v>
      </c>
      <c r="R542" s="2" t="inlineStr"/>
    </row>
    <row r="543" ht="15" customHeight="1">
      <c r="A543" t="inlineStr">
        <is>
          <t>A 35309-2023</t>
        </is>
      </c>
      <c r="B543" s="1" t="n">
        <v>45146</v>
      </c>
      <c r="C543" s="1" t="n">
        <v>45916</v>
      </c>
      <c r="D543" t="inlineStr">
        <is>
          <t>UPPSALA LÄN</t>
        </is>
      </c>
      <c r="E543" t="inlineStr">
        <is>
          <t>ÖSTHAMMAR</t>
        </is>
      </c>
      <c r="G543" t="n">
        <v>1.3</v>
      </c>
      <c r="H543" t="n">
        <v>0</v>
      </c>
      <c r="I543" t="n">
        <v>0</v>
      </c>
      <c r="J543" t="n">
        <v>0</v>
      </c>
      <c r="K543" t="n">
        <v>0</v>
      </c>
      <c r="L543" t="n">
        <v>0</v>
      </c>
      <c r="M543" t="n">
        <v>0</v>
      </c>
      <c r="N543" t="n">
        <v>0</v>
      </c>
      <c r="O543" t="n">
        <v>0</v>
      </c>
      <c r="P543" t="n">
        <v>0</v>
      </c>
      <c r="Q543" t="n">
        <v>0</v>
      </c>
      <c r="R543" s="2" t="inlineStr"/>
    </row>
    <row r="544" ht="15" customHeight="1">
      <c r="A544" t="inlineStr">
        <is>
          <t>A 14272-2025</t>
        </is>
      </c>
      <c r="B544" s="1" t="n">
        <v>45740.64327546296</v>
      </c>
      <c r="C544" s="1" t="n">
        <v>45916</v>
      </c>
      <c r="D544" t="inlineStr">
        <is>
          <t>UPPSALA LÄN</t>
        </is>
      </c>
      <c r="E544" t="inlineStr">
        <is>
          <t>ÖSTHAMMAR</t>
        </is>
      </c>
      <c r="G544" t="n">
        <v>5.7</v>
      </c>
      <c r="H544" t="n">
        <v>0</v>
      </c>
      <c r="I544" t="n">
        <v>0</v>
      </c>
      <c r="J544" t="n">
        <v>0</v>
      </c>
      <c r="K544" t="n">
        <v>0</v>
      </c>
      <c r="L544" t="n">
        <v>0</v>
      </c>
      <c r="M544" t="n">
        <v>0</v>
      </c>
      <c r="N544" t="n">
        <v>0</v>
      </c>
      <c r="O544" t="n">
        <v>0</v>
      </c>
      <c r="P544" t="n">
        <v>0</v>
      </c>
      <c r="Q544" t="n">
        <v>0</v>
      </c>
      <c r="R544" s="2" t="inlineStr"/>
    </row>
    <row r="545" ht="15" customHeight="1">
      <c r="A545" t="inlineStr">
        <is>
          <t>A 5429-2023</t>
        </is>
      </c>
      <c r="B545" s="1" t="n">
        <v>44959.83037037037</v>
      </c>
      <c r="C545" s="1" t="n">
        <v>45916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11008-2023</t>
        </is>
      </c>
      <c r="B546" s="1" t="n">
        <v>44991</v>
      </c>
      <c r="C546" s="1" t="n">
        <v>45916</v>
      </c>
      <c r="D546" t="inlineStr">
        <is>
          <t>UPPSALA LÄN</t>
        </is>
      </c>
      <c r="E546" t="inlineStr">
        <is>
          <t>ÖSTHAMMAR</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17940-2025</t>
        </is>
      </c>
      <c r="B547" s="1" t="n">
        <v>45760.55842592593</v>
      </c>
      <c r="C547" s="1" t="n">
        <v>45916</v>
      </c>
      <c r="D547" t="inlineStr">
        <is>
          <t>UPPSALA LÄN</t>
        </is>
      </c>
      <c r="E547" t="inlineStr">
        <is>
          <t>ÖSTHAMMAR</t>
        </is>
      </c>
      <c r="F547" t="inlineStr">
        <is>
          <t>Bergvik skog öst AB</t>
        </is>
      </c>
      <c r="G547" t="n">
        <v>5.6</v>
      </c>
      <c r="H547" t="n">
        <v>0</v>
      </c>
      <c r="I547" t="n">
        <v>0</v>
      </c>
      <c r="J547" t="n">
        <v>0</v>
      </c>
      <c r="K547" t="n">
        <v>0</v>
      </c>
      <c r="L547" t="n">
        <v>0</v>
      </c>
      <c r="M547" t="n">
        <v>0</v>
      </c>
      <c r="N547" t="n">
        <v>0</v>
      </c>
      <c r="O547" t="n">
        <v>0</v>
      </c>
      <c r="P547" t="n">
        <v>0</v>
      </c>
      <c r="Q547" t="n">
        <v>0</v>
      </c>
      <c r="R547" s="2" t="inlineStr"/>
    </row>
    <row r="548" ht="15" customHeight="1">
      <c r="A548" t="inlineStr">
        <is>
          <t>A 12215-2023</t>
        </is>
      </c>
      <c r="B548" s="1" t="n">
        <v>44998</v>
      </c>
      <c r="C548" s="1" t="n">
        <v>45916</v>
      </c>
      <c r="D548" t="inlineStr">
        <is>
          <t>UPPSALA LÄN</t>
        </is>
      </c>
      <c r="E548" t="inlineStr">
        <is>
          <t>ÖSTHAMMAR</t>
        </is>
      </c>
      <c r="G548" t="n">
        <v>5.1</v>
      </c>
      <c r="H548" t="n">
        <v>0</v>
      </c>
      <c r="I548" t="n">
        <v>0</v>
      </c>
      <c r="J548" t="n">
        <v>0</v>
      </c>
      <c r="K548" t="n">
        <v>0</v>
      </c>
      <c r="L548" t="n">
        <v>0</v>
      </c>
      <c r="M548" t="n">
        <v>0</v>
      </c>
      <c r="N548" t="n">
        <v>0</v>
      </c>
      <c r="O548" t="n">
        <v>0</v>
      </c>
      <c r="P548" t="n">
        <v>0</v>
      </c>
      <c r="Q548" t="n">
        <v>0</v>
      </c>
      <c r="R548" s="2" t="inlineStr"/>
    </row>
    <row r="549" ht="15" customHeight="1">
      <c r="A549" t="inlineStr">
        <is>
          <t>A 60047-2021</t>
        </is>
      </c>
      <c r="B549" s="1" t="n">
        <v>44495</v>
      </c>
      <c r="C549" s="1" t="n">
        <v>45916</v>
      </c>
      <c r="D549" t="inlineStr">
        <is>
          <t>UPPSALA LÄN</t>
        </is>
      </c>
      <c r="E549" t="inlineStr">
        <is>
          <t>ÖSTHAMMAR</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8623-2025</t>
        </is>
      </c>
      <c r="B550" s="1" t="n">
        <v>45711.51902777778</v>
      </c>
      <c r="C550" s="1" t="n">
        <v>45916</v>
      </c>
      <c r="D550" t="inlineStr">
        <is>
          <t>UPPSALA LÄN</t>
        </is>
      </c>
      <c r="E550" t="inlineStr">
        <is>
          <t>ÖSTHAMMAR</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8626-2025</t>
        </is>
      </c>
      <c r="B551" s="1" t="n">
        <v>45711.53565972222</v>
      </c>
      <c r="C551" s="1" t="n">
        <v>45916</v>
      </c>
      <c r="D551" t="inlineStr">
        <is>
          <t>UPPSALA LÄN</t>
        </is>
      </c>
      <c r="E551" t="inlineStr">
        <is>
          <t>ÖSTHAMMAR</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36645-2025</t>
        </is>
      </c>
      <c r="B552" s="1" t="n">
        <v>45872</v>
      </c>
      <c r="C552" s="1" t="n">
        <v>45916</v>
      </c>
      <c r="D552" t="inlineStr">
        <is>
          <t>UPPSALA LÄN</t>
        </is>
      </c>
      <c r="E552" t="inlineStr">
        <is>
          <t>ÖSTHAMMAR</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36644-2025</t>
        </is>
      </c>
      <c r="B553" s="1" t="n">
        <v>45872.48738425926</v>
      </c>
      <c r="C553" s="1" t="n">
        <v>45916</v>
      </c>
      <c r="D553" t="inlineStr">
        <is>
          <t>UPPSALA LÄN</t>
        </is>
      </c>
      <c r="E553" t="inlineStr">
        <is>
          <t>ÖSTHAMMAR</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3514-2023</t>
        </is>
      </c>
      <c r="B554" s="1" t="n">
        <v>44950</v>
      </c>
      <c r="C554" s="1" t="n">
        <v>45916</v>
      </c>
      <c r="D554" t="inlineStr">
        <is>
          <t>UPPSALA LÄN</t>
        </is>
      </c>
      <c r="E554" t="inlineStr">
        <is>
          <t>ÖSTHAMMAR</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36646-2025</t>
        </is>
      </c>
      <c r="B555" s="1" t="n">
        <v>45872</v>
      </c>
      <c r="C555" s="1" t="n">
        <v>45916</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24128-2023</t>
        </is>
      </c>
      <c r="B556" s="1" t="n">
        <v>45079.50289351852</v>
      </c>
      <c r="C556" s="1" t="n">
        <v>45916</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33552-2024</t>
        </is>
      </c>
      <c r="B557" s="1" t="n">
        <v>45519</v>
      </c>
      <c r="C557" s="1" t="n">
        <v>45916</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33553-2024</t>
        </is>
      </c>
      <c r="B558" s="1" t="n">
        <v>45519</v>
      </c>
      <c r="C558" s="1" t="n">
        <v>45916</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24181-2022</t>
        </is>
      </c>
      <c r="B559" s="1" t="n">
        <v>44725</v>
      </c>
      <c r="C559" s="1" t="n">
        <v>45916</v>
      </c>
      <c r="D559" t="inlineStr">
        <is>
          <t>UPPSALA LÄN</t>
        </is>
      </c>
      <c r="E559" t="inlineStr">
        <is>
          <t>ÖSTHAMMAR</t>
        </is>
      </c>
      <c r="G559" t="n">
        <v>1.4</v>
      </c>
      <c r="H559" t="n">
        <v>0</v>
      </c>
      <c r="I559" t="n">
        <v>0</v>
      </c>
      <c r="J559" t="n">
        <v>0</v>
      </c>
      <c r="K559" t="n">
        <v>0</v>
      </c>
      <c r="L559" t="n">
        <v>0</v>
      </c>
      <c r="M559" t="n">
        <v>0</v>
      </c>
      <c r="N559" t="n">
        <v>0</v>
      </c>
      <c r="O559" t="n">
        <v>0</v>
      </c>
      <c r="P559" t="n">
        <v>0</v>
      </c>
      <c r="Q559" t="n">
        <v>0</v>
      </c>
      <c r="R559" s="2" t="inlineStr"/>
    </row>
    <row r="560" ht="15" customHeight="1">
      <c r="A560" t="inlineStr">
        <is>
          <t>A 19947-2024</t>
        </is>
      </c>
      <c r="B560" s="1" t="n">
        <v>45433</v>
      </c>
      <c r="C560" s="1" t="n">
        <v>45916</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16240-2025</t>
        </is>
      </c>
      <c r="B561" s="1" t="n">
        <v>45746</v>
      </c>
      <c r="C561" s="1" t="n">
        <v>45916</v>
      </c>
      <c r="D561" t="inlineStr">
        <is>
          <t>UPPSALA LÄN</t>
        </is>
      </c>
      <c r="E561" t="inlineStr">
        <is>
          <t>ÖSTHAMMAR</t>
        </is>
      </c>
      <c r="G561" t="n">
        <v>1.4</v>
      </c>
      <c r="H561" t="n">
        <v>0</v>
      </c>
      <c r="I561" t="n">
        <v>0</v>
      </c>
      <c r="J561" t="n">
        <v>0</v>
      </c>
      <c r="K561" t="n">
        <v>0</v>
      </c>
      <c r="L561" t="n">
        <v>0</v>
      </c>
      <c r="M561" t="n">
        <v>0</v>
      </c>
      <c r="N561" t="n">
        <v>0</v>
      </c>
      <c r="O561" t="n">
        <v>0</v>
      </c>
      <c r="P561" t="n">
        <v>0</v>
      </c>
      <c r="Q561" t="n">
        <v>0</v>
      </c>
      <c r="R561" s="2" t="inlineStr"/>
    </row>
    <row r="562" ht="15" customHeight="1">
      <c r="A562" t="inlineStr">
        <is>
          <t>A 66779-2021</t>
        </is>
      </c>
      <c r="B562" s="1" t="n">
        <v>44522.31700231481</v>
      </c>
      <c r="C562" s="1" t="n">
        <v>45916</v>
      </c>
      <c r="D562" t="inlineStr">
        <is>
          <t>UPPSALA LÄN</t>
        </is>
      </c>
      <c r="E562" t="inlineStr">
        <is>
          <t>ÖSTHAMMAR</t>
        </is>
      </c>
      <c r="G562" t="n">
        <v>2</v>
      </c>
      <c r="H562" t="n">
        <v>0</v>
      </c>
      <c r="I562" t="n">
        <v>0</v>
      </c>
      <c r="J562" t="n">
        <v>0</v>
      </c>
      <c r="K562" t="n">
        <v>0</v>
      </c>
      <c r="L562" t="n">
        <v>0</v>
      </c>
      <c r="M562" t="n">
        <v>0</v>
      </c>
      <c r="N562" t="n">
        <v>0</v>
      </c>
      <c r="O562" t="n">
        <v>0</v>
      </c>
      <c r="P562" t="n">
        <v>0</v>
      </c>
      <c r="Q562" t="n">
        <v>0</v>
      </c>
      <c r="R562" s="2" t="inlineStr"/>
    </row>
    <row r="563" ht="15" customHeight="1">
      <c r="A563" t="inlineStr">
        <is>
          <t>A 57-2023</t>
        </is>
      </c>
      <c r="B563" s="1" t="n">
        <v>44928.40917824074</v>
      </c>
      <c r="C563" s="1" t="n">
        <v>45916</v>
      </c>
      <c r="D563" t="inlineStr">
        <is>
          <t>UPPSALA LÄN</t>
        </is>
      </c>
      <c r="E563" t="inlineStr">
        <is>
          <t>ÖSTHAMMAR</t>
        </is>
      </c>
      <c r="G563" t="n">
        <v>1.1</v>
      </c>
      <c r="H563" t="n">
        <v>0</v>
      </c>
      <c r="I563" t="n">
        <v>0</v>
      </c>
      <c r="J563" t="n">
        <v>0</v>
      </c>
      <c r="K563" t="n">
        <v>0</v>
      </c>
      <c r="L563" t="n">
        <v>0</v>
      </c>
      <c r="M563" t="n">
        <v>0</v>
      </c>
      <c r="N563" t="n">
        <v>0</v>
      </c>
      <c r="O563" t="n">
        <v>0</v>
      </c>
      <c r="P563" t="n">
        <v>0</v>
      </c>
      <c r="Q563" t="n">
        <v>0</v>
      </c>
      <c r="R563" s="2" t="inlineStr"/>
    </row>
    <row r="564" ht="15" customHeight="1">
      <c r="A564" t="inlineStr">
        <is>
          <t>A 59-2023</t>
        </is>
      </c>
      <c r="B564" s="1" t="n">
        <v>44928.41822916667</v>
      </c>
      <c r="C564" s="1" t="n">
        <v>45916</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55079-2024</t>
        </is>
      </c>
      <c r="B565" s="1" t="n">
        <v>45621.42747685185</v>
      </c>
      <c r="C565" s="1" t="n">
        <v>45916</v>
      </c>
      <c r="D565" t="inlineStr">
        <is>
          <t>UPPSALA LÄN</t>
        </is>
      </c>
      <c r="E565" t="inlineStr">
        <is>
          <t>ÖSTHAMMAR</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33680-2024</t>
        </is>
      </c>
      <c r="B566" s="1" t="n">
        <v>45520.50712962963</v>
      </c>
      <c r="C566" s="1" t="n">
        <v>45916</v>
      </c>
      <c r="D566" t="inlineStr">
        <is>
          <t>UPPSALA LÄN</t>
        </is>
      </c>
      <c r="E566" t="inlineStr">
        <is>
          <t>ÖSTHAMMAR</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33062-2021</t>
        </is>
      </c>
      <c r="B567" s="1" t="n">
        <v>44376</v>
      </c>
      <c r="C567" s="1" t="n">
        <v>45916</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24033-2023</t>
        </is>
      </c>
      <c r="B568" s="1" t="n">
        <v>45078</v>
      </c>
      <c r="C568" s="1" t="n">
        <v>45916</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33550-2024</t>
        </is>
      </c>
      <c r="B569" s="1" t="n">
        <v>45519.81043981481</v>
      </c>
      <c r="C569" s="1" t="n">
        <v>45916</v>
      </c>
      <c r="D569" t="inlineStr">
        <is>
          <t>UPPSALA LÄN</t>
        </is>
      </c>
      <c r="E569" t="inlineStr">
        <is>
          <t>ÖSTHAMMAR</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17939-2025</t>
        </is>
      </c>
      <c r="B570" s="1" t="n">
        <v>45760.55671296296</v>
      </c>
      <c r="C570" s="1" t="n">
        <v>45916</v>
      </c>
      <c r="D570" t="inlineStr">
        <is>
          <t>UPPSALA LÄN</t>
        </is>
      </c>
      <c r="E570" t="inlineStr">
        <is>
          <t>ÖSTHAMMAR</t>
        </is>
      </c>
      <c r="F570" t="inlineStr">
        <is>
          <t>Bergvik skog öst AB</t>
        </is>
      </c>
      <c r="G570" t="n">
        <v>5.4</v>
      </c>
      <c r="H570" t="n">
        <v>0</v>
      </c>
      <c r="I570" t="n">
        <v>0</v>
      </c>
      <c r="J570" t="n">
        <v>0</v>
      </c>
      <c r="K570" t="n">
        <v>0</v>
      </c>
      <c r="L570" t="n">
        <v>0</v>
      </c>
      <c r="M570" t="n">
        <v>0</v>
      </c>
      <c r="N570" t="n">
        <v>0</v>
      </c>
      <c r="O570" t="n">
        <v>0</v>
      </c>
      <c r="P570" t="n">
        <v>0</v>
      </c>
      <c r="Q570" t="n">
        <v>0</v>
      </c>
      <c r="R570" s="2" t="inlineStr"/>
    </row>
    <row r="571" ht="15" customHeight="1">
      <c r="A571" t="inlineStr">
        <is>
          <t>A 30811-2023</t>
        </is>
      </c>
      <c r="B571" s="1" t="n">
        <v>45112.86422453704</v>
      </c>
      <c r="C571" s="1" t="n">
        <v>45916</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3638-2022</t>
        </is>
      </c>
      <c r="B572" s="1" t="n">
        <v>44578</v>
      </c>
      <c r="C572" s="1" t="n">
        <v>45916</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55646-2021</t>
        </is>
      </c>
      <c r="B573" s="1" t="n">
        <v>44476.3632175926</v>
      </c>
      <c r="C573" s="1" t="n">
        <v>45916</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61443-2024</t>
        </is>
      </c>
      <c r="B574" s="1" t="n">
        <v>45646.47936342593</v>
      </c>
      <c r="C574" s="1" t="n">
        <v>45916</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5344-2025</t>
        </is>
      </c>
      <c r="B575" s="1" t="n">
        <v>45692</v>
      </c>
      <c r="C575" s="1" t="n">
        <v>45916</v>
      </c>
      <c r="D575" t="inlineStr">
        <is>
          <t>UPPSALA LÄN</t>
        </is>
      </c>
      <c r="E575" t="inlineStr">
        <is>
          <t>ÖSTHAMMAR</t>
        </is>
      </c>
      <c r="F575" t="inlineStr">
        <is>
          <t>Bergvik skog öst AB</t>
        </is>
      </c>
      <c r="G575" t="n">
        <v>3.2</v>
      </c>
      <c r="H575" t="n">
        <v>0</v>
      </c>
      <c r="I575" t="n">
        <v>0</v>
      </c>
      <c r="J575" t="n">
        <v>0</v>
      </c>
      <c r="K575" t="n">
        <v>0</v>
      </c>
      <c r="L575" t="n">
        <v>0</v>
      </c>
      <c r="M575" t="n">
        <v>0</v>
      </c>
      <c r="N575" t="n">
        <v>0</v>
      </c>
      <c r="O575" t="n">
        <v>0</v>
      </c>
      <c r="P575" t="n">
        <v>0</v>
      </c>
      <c r="Q575" t="n">
        <v>0</v>
      </c>
      <c r="R575" s="2" t="inlineStr"/>
    </row>
    <row r="576" ht="15" customHeight="1">
      <c r="A576" t="inlineStr">
        <is>
          <t>A 49897-2023</t>
        </is>
      </c>
      <c r="B576" s="1" t="n">
        <v>45213.84846064815</v>
      </c>
      <c r="C576" s="1" t="n">
        <v>45916</v>
      </c>
      <c r="D576" t="inlineStr">
        <is>
          <t>UPPSALA LÄN</t>
        </is>
      </c>
      <c r="E576" t="inlineStr">
        <is>
          <t>ÖSTHAMMAR</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13279-2022</t>
        </is>
      </c>
      <c r="B577" s="1" t="n">
        <v>44644</v>
      </c>
      <c r="C577" s="1" t="n">
        <v>45916</v>
      </c>
      <c r="D577" t="inlineStr">
        <is>
          <t>UPPSALA LÄN</t>
        </is>
      </c>
      <c r="E577" t="inlineStr">
        <is>
          <t>ÖSTHAMMAR</t>
        </is>
      </c>
      <c r="G577" t="n">
        <v>1.4</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45916</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56089-2020</t>
        </is>
      </c>
      <c r="B579" s="1" t="n">
        <v>44133</v>
      </c>
      <c r="C579" s="1" t="n">
        <v>45916</v>
      </c>
      <c r="D579" t="inlineStr">
        <is>
          <t>UPPSALA LÄN</t>
        </is>
      </c>
      <c r="E579" t="inlineStr">
        <is>
          <t>ÖSTHAMMAR</t>
        </is>
      </c>
      <c r="F579" t="inlineStr">
        <is>
          <t>Bergvik skog öst AB</t>
        </is>
      </c>
      <c r="G579" t="n">
        <v>0.9</v>
      </c>
      <c r="H579" t="n">
        <v>0</v>
      </c>
      <c r="I579" t="n">
        <v>0</v>
      </c>
      <c r="J579" t="n">
        <v>0</v>
      </c>
      <c r="K579" t="n">
        <v>0</v>
      </c>
      <c r="L579" t="n">
        <v>0</v>
      </c>
      <c r="M579" t="n">
        <v>0</v>
      </c>
      <c r="N579" t="n">
        <v>0</v>
      </c>
      <c r="O579" t="n">
        <v>0</v>
      </c>
      <c r="P579" t="n">
        <v>0</v>
      </c>
      <c r="Q579" t="n">
        <v>0</v>
      </c>
      <c r="R579" s="2" t="inlineStr"/>
    </row>
    <row r="580" ht="15" customHeight="1">
      <c r="A580" t="inlineStr">
        <is>
          <t>A 6046-2025</t>
        </is>
      </c>
      <c r="B580" s="1" t="n">
        <v>45695</v>
      </c>
      <c r="C580" s="1" t="n">
        <v>45916</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c r="U580">
        <f>HYPERLINK("https://klasma.github.io/Logging_0382/knärot/A 6046-2025 karta knärot.png", "A 6046-2025")</f>
        <v/>
      </c>
      <c r="V580">
        <f>HYPERLINK("https://klasma.github.io/Logging_0382/klagomål/A 6046-2025 FSC-klagomål.docx", "A 6046-2025")</f>
        <v/>
      </c>
      <c r="W580">
        <f>HYPERLINK("https://klasma.github.io/Logging_0382/klagomålsmail/A 6046-2025 FSC-klagomål mail.docx", "A 6046-2025")</f>
        <v/>
      </c>
      <c r="X580">
        <f>HYPERLINK("https://klasma.github.io/Logging_0382/tillsyn/A 6046-2025 tillsynsbegäran.docx", "A 6046-2025")</f>
        <v/>
      </c>
      <c r="Y580">
        <f>HYPERLINK("https://klasma.github.io/Logging_0382/tillsynsmail/A 6046-2025 tillsynsbegäran mail.docx", "A 6046-2025")</f>
        <v/>
      </c>
    </row>
    <row r="581" ht="15" customHeight="1">
      <c r="A581" t="inlineStr">
        <is>
          <t>A 45102-2024</t>
        </is>
      </c>
      <c r="B581" s="1" t="n">
        <v>45575.58836805556</v>
      </c>
      <c r="C581" s="1" t="n">
        <v>45916</v>
      </c>
      <c r="D581" t="inlineStr">
        <is>
          <t>UPPSALA LÄN</t>
        </is>
      </c>
      <c r="E581" t="inlineStr">
        <is>
          <t>ÖSTHAMMAR</t>
        </is>
      </c>
      <c r="G581" t="n">
        <v>8.6</v>
      </c>
      <c r="H581" t="n">
        <v>0</v>
      </c>
      <c r="I581" t="n">
        <v>0</v>
      </c>
      <c r="J581" t="n">
        <v>0</v>
      </c>
      <c r="K581" t="n">
        <v>0</v>
      </c>
      <c r="L581" t="n">
        <v>0</v>
      </c>
      <c r="M581" t="n">
        <v>0</v>
      </c>
      <c r="N581" t="n">
        <v>0</v>
      </c>
      <c r="O581" t="n">
        <v>0</v>
      </c>
      <c r="P581" t="n">
        <v>0</v>
      </c>
      <c r="Q581" t="n">
        <v>0</v>
      </c>
      <c r="R581" s="2" t="inlineStr"/>
    </row>
    <row r="582" ht="15" customHeight="1">
      <c r="A582" t="inlineStr">
        <is>
          <t>A 18731-2022</t>
        </is>
      </c>
      <c r="B582" s="1" t="n">
        <v>44687.78673611111</v>
      </c>
      <c r="C582" s="1" t="n">
        <v>45916</v>
      </c>
      <c r="D582" t="inlineStr">
        <is>
          <t>UPPSALA LÄN</t>
        </is>
      </c>
      <c r="E582" t="inlineStr">
        <is>
          <t>ÖSTHAMMAR</t>
        </is>
      </c>
      <c r="G582" t="n">
        <v>4.9</v>
      </c>
      <c r="H582" t="n">
        <v>0</v>
      </c>
      <c r="I582" t="n">
        <v>0</v>
      </c>
      <c r="J582" t="n">
        <v>0</v>
      </c>
      <c r="K582" t="n">
        <v>0</v>
      </c>
      <c r="L582" t="n">
        <v>0</v>
      </c>
      <c r="M582" t="n">
        <v>0</v>
      </c>
      <c r="N582" t="n">
        <v>0</v>
      </c>
      <c r="O582" t="n">
        <v>0</v>
      </c>
      <c r="P582" t="n">
        <v>0</v>
      </c>
      <c r="Q582" t="n">
        <v>0</v>
      </c>
      <c r="R582" s="2" t="inlineStr"/>
    </row>
    <row r="583" ht="15" customHeight="1">
      <c r="A583" t="inlineStr">
        <is>
          <t>A 63637-2020</t>
        </is>
      </c>
      <c r="B583" s="1" t="n">
        <v>44162</v>
      </c>
      <c r="C583" s="1" t="n">
        <v>45916</v>
      </c>
      <c r="D583" t="inlineStr">
        <is>
          <t>UPPSALA LÄN</t>
        </is>
      </c>
      <c r="E583" t="inlineStr">
        <is>
          <t>ÖSTHAMMAR</t>
        </is>
      </c>
      <c r="G583" t="n">
        <v>4</v>
      </c>
      <c r="H583" t="n">
        <v>0</v>
      </c>
      <c r="I583" t="n">
        <v>0</v>
      </c>
      <c r="J583" t="n">
        <v>0</v>
      </c>
      <c r="K583" t="n">
        <v>0</v>
      </c>
      <c r="L583" t="n">
        <v>0</v>
      </c>
      <c r="M583" t="n">
        <v>0</v>
      </c>
      <c r="N583" t="n">
        <v>0</v>
      </c>
      <c r="O583" t="n">
        <v>0</v>
      </c>
      <c r="P583" t="n">
        <v>0</v>
      </c>
      <c r="Q583" t="n">
        <v>0</v>
      </c>
      <c r="R583" s="2" t="inlineStr"/>
    </row>
    <row r="584" ht="15" customHeight="1">
      <c r="A584" t="inlineStr">
        <is>
          <t>A 11385-2024</t>
        </is>
      </c>
      <c r="B584" s="1" t="n">
        <v>45372</v>
      </c>
      <c r="C584" s="1" t="n">
        <v>45916</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9642-2024</t>
        </is>
      </c>
      <c r="B585" s="1" t="n">
        <v>45362.36296296296</v>
      </c>
      <c r="C585" s="1" t="n">
        <v>45916</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56041-2020</t>
        </is>
      </c>
      <c r="B586" s="1" t="n">
        <v>44133</v>
      </c>
      <c r="C586" s="1" t="n">
        <v>45916</v>
      </c>
      <c r="D586" t="inlineStr">
        <is>
          <t>UPPSALA LÄN</t>
        </is>
      </c>
      <c r="E586" t="inlineStr">
        <is>
          <t>ÖSTHAMMAR</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18401-2025</t>
        </is>
      </c>
      <c r="B587" s="1" t="n">
        <v>45762.5966087963</v>
      </c>
      <c r="C587" s="1" t="n">
        <v>45916</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60555-2023</t>
        </is>
      </c>
      <c r="B588" s="1" t="n">
        <v>45259</v>
      </c>
      <c r="C588" s="1" t="n">
        <v>45916</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28429-2023</t>
        </is>
      </c>
      <c r="B589" s="1" t="n">
        <v>45102.58728009259</v>
      </c>
      <c r="C589" s="1" t="n">
        <v>45916</v>
      </c>
      <c r="D589" t="inlineStr">
        <is>
          <t>UPPSALA LÄN</t>
        </is>
      </c>
      <c r="E589" t="inlineStr">
        <is>
          <t>ÖSTHAMMAR</t>
        </is>
      </c>
      <c r="F589" t="inlineStr">
        <is>
          <t>Bergvik skog öst AB</t>
        </is>
      </c>
      <c r="G589" t="n">
        <v>0.9</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45916</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30755-2024</t>
        </is>
      </c>
      <c r="B591" s="1" t="n">
        <v>45496</v>
      </c>
      <c r="C591" s="1" t="n">
        <v>45916</v>
      </c>
      <c r="D591" t="inlineStr">
        <is>
          <t>UPPSALA LÄN</t>
        </is>
      </c>
      <c r="E591" t="inlineStr">
        <is>
          <t>ÖSTHAMMAR</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4562-2022</t>
        </is>
      </c>
      <c r="B592" s="1" t="n">
        <v>44591</v>
      </c>
      <c r="C592" s="1" t="n">
        <v>45916</v>
      </c>
      <c r="D592" t="inlineStr">
        <is>
          <t>UPPSALA LÄN</t>
        </is>
      </c>
      <c r="E592" t="inlineStr">
        <is>
          <t>ÖSTHAMMAR</t>
        </is>
      </c>
      <c r="G592" t="n">
        <v>3.4</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44841.40452546296</v>
      </c>
      <c r="C593" s="1" t="n">
        <v>45916</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68828-2020</t>
        </is>
      </c>
      <c r="B594" s="1" t="n">
        <v>44186</v>
      </c>
      <c r="C594" s="1" t="n">
        <v>45916</v>
      </c>
      <c r="D594" t="inlineStr">
        <is>
          <t>UPPSALA LÄN</t>
        </is>
      </c>
      <c r="E594" t="inlineStr">
        <is>
          <t>ÖSTHAMMAR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53733-2023</t>
        </is>
      </c>
      <c r="B595" s="1" t="n">
        <v>45230.76862268519</v>
      </c>
      <c r="C595" s="1" t="n">
        <v>45916</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41308-2023</t>
        </is>
      </c>
      <c r="B596" s="1" t="n">
        <v>45174.62788194444</v>
      </c>
      <c r="C596" s="1" t="n">
        <v>45916</v>
      </c>
      <c r="D596" t="inlineStr">
        <is>
          <t>UPPSALA LÄN</t>
        </is>
      </c>
      <c r="E596" t="inlineStr">
        <is>
          <t>ÖSTHAMMAR</t>
        </is>
      </c>
      <c r="F596" t="inlineStr">
        <is>
          <t>Övriga Aktiebolag</t>
        </is>
      </c>
      <c r="G596" t="n">
        <v>2.8</v>
      </c>
      <c r="H596" t="n">
        <v>0</v>
      </c>
      <c r="I596" t="n">
        <v>0</v>
      </c>
      <c r="J596" t="n">
        <v>0</v>
      </c>
      <c r="K596" t="n">
        <v>0</v>
      </c>
      <c r="L596" t="n">
        <v>0</v>
      </c>
      <c r="M596" t="n">
        <v>0</v>
      </c>
      <c r="N596" t="n">
        <v>0</v>
      </c>
      <c r="O596" t="n">
        <v>0</v>
      </c>
      <c r="P596" t="n">
        <v>0</v>
      </c>
      <c r="Q596" t="n">
        <v>0</v>
      </c>
      <c r="R596" s="2" t="inlineStr"/>
    </row>
    <row r="597" ht="15" customHeight="1">
      <c r="A597" t="inlineStr">
        <is>
          <t>A 73483-2021</t>
        </is>
      </c>
      <c r="B597" s="1" t="n">
        <v>44550</v>
      </c>
      <c r="C597" s="1" t="n">
        <v>45916</v>
      </c>
      <c r="D597" t="inlineStr">
        <is>
          <t>UPPSALA LÄN</t>
        </is>
      </c>
      <c r="E597" t="inlineStr">
        <is>
          <t>ÖSTHAMMAR</t>
        </is>
      </c>
      <c r="G597" t="n">
        <v>2.8</v>
      </c>
      <c r="H597" t="n">
        <v>0</v>
      </c>
      <c r="I597" t="n">
        <v>0</v>
      </c>
      <c r="J597" t="n">
        <v>0</v>
      </c>
      <c r="K597" t="n">
        <v>0</v>
      </c>
      <c r="L597" t="n">
        <v>0</v>
      </c>
      <c r="M597" t="n">
        <v>0</v>
      </c>
      <c r="N597" t="n">
        <v>0</v>
      </c>
      <c r="O597" t="n">
        <v>0</v>
      </c>
      <c r="P597" t="n">
        <v>0</v>
      </c>
      <c r="Q597" t="n">
        <v>0</v>
      </c>
      <c r="R597" s="2" t="inlineStr"/>
    </row>
    <row r="598" ht="15" customHeight="1">
      <c r="A598" t="inlineStr">
        <is>
          <t>A 4151-2021</t>
        </is>
      </c>
      <c r="B598" s="1" t="n">
        <v>44221</v>
      </c>
      <c r="C598" s="1" t="n">
        <v>45916</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17969-2023</t>
        </is>
      </c>
      <c r="B599" s="1" t="n">
        <v>45040.47081018519</v>
      </c>
      <c r="C599" s="1" t="n">
        <v>45916</v>
      </c>
      <c r="D599" t="inlineStr">
        <is>
          <t>UPPSALA LÄN</t>
        </is>
      </c>
      <c r="E599" t="inlineStr">
        <is>
          <t>ÖSTHAMMAR</t>
        </is>
      </c>
      <c r="G599" t="n">
        <v>5.4</v>
      </c>
      <c r="H599" t="n">
        <v>0</v>
      </c>
      <c r="I599" t="n">
        <v>0</v>
      </c>
      <c r="J599" t="n">
        <v>0</v>
      </c>
      <c r="K599" t="n">
        <v>0</v>
      </c>
      <c r="L599" t="n">
        <v>0</v>
      </c>
      <c r="M599" t="n">
        <v>0</v>
      </c>
      <c r="N599" t="n">
        <v>0</v>
      </c>
      <c r="O599" t="n">
        <v>0</v>
      </c>
      <c r="P599" t="n">
        <v>0</v>
      </c>
      <c r="Q599" t="n">
        <v>0</v>
      </c>
      <c r="R599" s="2" t="inlineStr"/>
    </row>
    <row r="600" ht="15" customHeight="1">
      <c r="A600" t="inlineStr">
        <is>
          <t>A 25969-2023</t>
        </is>
      </c>
      <c r="B600" s="1" t="n">
        <v>45090</v>
      </c>
      <c r="C600" s="1" t="n">
        <v>45916</v>
      </c>
      <c r="D600" t="inlineStr">
        <is>
          <t>UPPSALA LÄN</t>
        </is>
      </c>
      <c r="E600" t="inlineStr">
        <is>
          <t>ÖSTHAMMAR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50998-2023</t>
        </is>
      </c>
      <c r="B601" s="1" t="n">
        <v>45218.5586574074</v>
      </c>
      <c r="C601" s="1" t="n">
        <v>45916</v>
      </c>
      <c r="D601" t="inlineStr">
        <is>
          <t>UPPSALA LÄN</t>
        </is>
      </c>
      <c r="E601" t="inlineStr">
        <is>
          <t>ÖSTHAMMAR</t>
        </is>
      </c>
      <c r="G601" t="n">
        <v>3.6</v>
      </c>
      <c r="H601" t="n">
        <v>0</v>
      </c>
      <c r="I601" t="n">
        <v>0</v>
      </c>
      <c r="J601" t="n">
        <v>0</v>
      </c>
      <c r="K601" t="n">
        <v>0</v>
      </c>
      <c r="L601" t="n">
        <v>0</v>
      </c>
      <c r="M601" t="n">
        <v>0</v>
      </c>
      <c r="N601" t="n">
        <v>0</v>
      </c>
      <c r="O601" t="n">
        <v>0</v>
      </c>
      <c r="P601" t="n">
        <v>0</v>
      </c>
      <c r="Q601" t="n">
        <v>0</v>
      </c>
      <c r="R601" s="2" t="inlineStr"/>
    </row>
    <row r="602" ht="15" customHeight="1">
      <c r="A602" t="inlineStr">
        <is>
          <t>A 55837-2023</t>
        </is>
      </c>
      <c r="B602" s="1" t="n">
        <v>45239</v>
      </c>
      <c r="C602" s="1" t="n">
        <v>45916</v>
      </c>
      <c r="D602" t="inlineStr">
        <is>
          <t>UPPSALA LÄN</t>
        </is>
      </c>
      <c r="E602" t="inlineStr">
        <is>
          <t>ÖSTHAMMAR</t>
        </is>
      </c>
      <c r="G602" t="n">
        <v>0.5</v>
      </c>
      <c r="H602" t="n">
        <v>0</v>
      </c>
      <c r="I602" t="n">
        <v>0</v>
      </c>
      <c r="J602" t="n">
        <v>0</v>
      </c>
      <c r="K602" t="n">
        <v>0</v>
      </c>
      <c r="L602" t="n">
        <v>0</v>
      </c>
      <c r="M602" t="n">
        <v>0</v>
      </c>
      <c r="N602" t="n">
        <v>0</v>
      </c>
      <c r="O602" t="n">
        <v>0</v>
      </c>
      <c r="P602" t="n">
        <v>0</v>
      </c>
      <c r="Q602" t="n">
        <v>0</v>
      </c>
      <c r="R602" s="2" t="inlineStr"/>
    </row>
    <row r="603" ht="15" customHeight="1">
      <c r="A603" t="inlineStr">
        <is>
          <t>A 18838-2023</t>
        </is>
      </c>
      <c r="B603" s="1" t="n">
        <v>45044</v>
      </c>
      <c r="C603" s="1" t="n">
        <v>45916</v>
      </c>
      <c r="D603" t="inlineStr">
        <is>
          <t>UPPSALA LÄN</t>
        </is>
      </c>
      <c r="E603" t="inlineStr">
        <is>
          <t>ÖSTHAMMAR</t>
        </is>
      </c>
      <c r="G603" t="n">
        <v>2.8</v>
      </c>
      <c r="H603" t="n">
        <v>0</v>
      </c>
      <c r="I603" t="n">
        <v>0</v>
      </c>
      <c r="J603" t="n">
        <v>0</v>
      </c>
      <c r="K603" t="n">
        <v>0</v>
      </c>
      <c r="L603" t="n">
        <v>0</v>
      </c>
      <c r="M603" t="n">
        <v>0</v>
      </c>
      <c r="N603" t="n">
        <v>0</v>
      </c>
      <c r="O603" t="n">
        <v>0</v>
      </c>
      <c r="P603" t="n">
        <v>0</v>
      </c>
      <c r="Q603" t="n">
        <v>0</v>
      </c>
      <c r="R603" s="2" t="inlineStr"/>
    </row>
    <row r="604" ht="15" customHeight="1">
      <c r="A604" t="inlineStr">
        <is>
          <t>A 6121-2024</t>
        </is>
      </c>
      <c r="B604" s="1" t="n">
        <v>45337.4219212963</v>
      </c>
      <c r="C604" s="1" t="n">
        <v>45916</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59382-2022</t>
        </is>
      </c>
      <c r="B605" s="1" t="n">
        <v>44905.50363425926</v>
      </c>
      <c r="C605" s="1" t="n">
        <v>45916</v>
      </c>
      <c r="D605" t="inlineStr">
        <is>
          <t>UPPSALA LÄN</t>
        </is>
      </c>
      <c r="E605" t="inlineStr">
        <is>
          <t>ÖSTHAMMAR</t>
        </is>
      </c>
      <c r="G605" t="n">
        <v>2.9</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44923.7849537037</v>
      </c>
      <c r="C606" s="1" t="n">
        <v>45916</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54314-2023</t>
        </is>
      </c>
      <c r="B607" s="1" t="n">
        <v>45225</v>
      </c>
      <c r="C607" s="1" t="n">
        <v>45916</v>
      </c>
      <c r="D607" t="inlineStr">
        <is>
          <t>UPPSALA LÄN</t>
        </is>
      </c>
      <c r="E607" t="inlineStr">
        <is>
          <t>ÖSTHAMMAR</t>
        </is>
      </c>
      <c r="G607" t="n">
        <v>5.1</v>
      </c>
      <c r="H607" t="n">
        <v>0</v>
      </c>
      <c r="I607" t="n">
        <v>0</v>
      </c>
      <c r="J607" t="n">
        <v>0</v>
      </c>
      <c r="K607" t="n">
        <v>0</v>
      </c>
      <c r="L607" t="n">
        <v>0</v>
      </c>
      <c r="M607" t="n">
        <v>0</v>
      </c>
      <c r="N607" t="n">
        <v>0</v>
      </c>
      <c r="O607" t="n">
        <v>0</v>
      </c>
      <c r="P607" t="n">
        <v>0</v>
      </c>
      <c r="Q607" t="n">
        <v>0</v>
      </c>
      <c r="R607" s="2" t="inlineStr"/>
    </row>
    <row r="608" ht="15" customHeight="1">
      <c r="A608" t="inlineStr">
        <is>
          <t>A 17085-2025</t>
        </is>
      </c>
      <c r="B608" s="1" t="n">
        <v>45755.64612268518</v>
      </c>
      <c r="C608" s="1" t="n">
        <v>45916</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23363-2023</t>
        </is>
      </c>
      <c r="B609" s="1" t="n">
        <v>45076</v>
      </c>
      <c r="C609" s="1" t="n">
        <v>45916</v>
      </c>
      <c r="D609" t="inlineStr">
        <is>
          <t>UPPSALA LÄN</t>
        </is>
      </c>
      <c r="E609" t="inlineStr">
        <is>
          <t>ÖSTHAMMAR</t>
        </is>
      </c>
      <c r="G609" t="n">
        <v>3</v>
      </c>
      <c r="H609" t="n">
        <v>0</v>
      </c>
      <c r="I609" t="n">
        <v>0</v>
      </c>
      <c r="J609" t="n">
        <v>0</v>
      </c>
      <c r="K609" t="n">
        <v>0</v>
      </c>
      <c r="L609" t="n">
        <v>0</v>
      </c>
      <c r="M609" t="n">
        <v>0</v>
      </c>
      <c r="N609" t="n">
        <v>0</v>
      </c>
      <c r="O609" t="n">
        <v>0</v>
      </c>
      <c r="P609" t="n">
        <v>0</v>
      </c>
      <c r="Q609" t="n">
        <v>0</v>
      </c>
      <c r="R609" s="2" t="inlineStr"/>
    </row>
    <row r="610" ht="15" customHeight="1">
      <c r="A610" t="inlineStr">
        <is>
          <t>A 4233-2023</t>
        </is>
      </c>
      <c r="B610" s="1" t="n">
        <v>44953.48619212963</v>
      </c>
      <c r="C610" s="1" t="n">
        <v>45916</v>
      </c>
      <c r="D610" t="inlineStr">
        <is>
          <t>UPPSALA LÄN</t>
        </is>
      </c>
      <c r="E610" t="inlineStr">
        <is>
          <t>ÖSTHAMMAR</t>
        </is>
      </c>
      <c r="G610" t="n">
        <v>0.9</v>
      </c>
      <c r="H610" t="n">
        <v>0</v>
      </c>
      <c r="I610" t="n">
        <v>0</v>
      </c>
      <c r="J610" t="n">
        <v>0</v>
      </c>
      <c r="K610" t="n">
        <v>0</v>
      </c>
      <c r="L610" t="n">
        <v>0</v>
      </c>
      <c r="M610" t="n">
        <v>0</v>
      </c>
      <c r="N610" t="n">
        <v>0</v>
      </c>
      <c r="O610" t="n">
        <v>0</v>
      </c>
      <c r="P610" t="n">
        <v>0</v>
      </c>
      <c r="Q610" t="n">
        <v>0</v>
      </c>
      <c r="R610" s="2" t="inlineStr"/>
    </row>
    <row r="611" ht="15" customHeight="1">
      <c r="A611" t="inlineStr">
        <is>
          <t>A 29231-2024</t>
        </is>
      </c>
      <c r="B611" s="1" t="n">
        <v>45482</v>
      </c>
      <c r="C611" s="1" t="n">
        <v>45916</v>
      </c>
      <c r="D611" t="inlineStr">
        <is>
          <t>UPPSALA LÄN</t>
        </is>
      </c>
      <c r="E611" t="inlineStr">
        <is>
          <t>ÖSTHAMMAR</t>
        </is>
      </c>
      <c r="F611" t="inlineStr">
        <is>
          <t>Bergvik skog öst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44184-2024</t>
        </is>
      </c>
      <c r="B612" s="1" t="n">
        <v>45572</v>
      </c>
      <c r="C612" s="1" t="n">
        <v>45916</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58270-2023</t>
        </is>
      </c>
      <c r="B613" s="1" t="n">
        <v>45250.49961805555</v>
      </c>
      <c r="C613" s="1" t="n">
        <v>45916</v>
      </c>
      <c r="D613" t="inlineStr">
        <is>
          <t>UPPSALA LÄN</t>
        </is>
      </c>
      <c r="E613" t="inlineStr">
        <is>
          <t>ÖSTHAMMAR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73592-2021</t>
        </is>
      </c>
      <c r="B614" s="1" t="n">
        <v>44552.36974537037</v>
      </c>
      <c r="C614" s="1" t="n">
        <v>45916</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25938-2024</t>
        </is>
      </c>
      <c r="B615" s="1" t="n">
        <v>45467.63127314814</v>
      </c>
      <c r="C615" s="1" t="n">
        <v>45916</v>
      </c>
      <c r="D615" t="inlineStr">
        <is>
          <t>UPPSALA LÄN</t>
        </is>
      </c>
      <c r="E615" t="inlineStr">
        <is>
          <t>ÖSTHAMMAR</t>
        </is>
      </c>
      <c r="F615" t="inlineStr">
        <is>
          <t>Bergvik skog öst AB</t>
        </is>
      </c>
      <c r="G615" t="n">
        <v>2.2</v>
      </c>
      <c r="H615" t="n">
        <v>0</v>
      </c>
      <c r="I615" t="n">
        <v>0</v>
      </c>
      <c r="J615" t="n">
        <v>0</v>
      </c>
      <c r="K615" t="n">
        <v>0</v>
      </c>
      <c r="L615" t="n">
        <v>0</v>
      </c>
      <c r="M615" t="n">
        <v>0</v>
      </c>
      <c r="N615" t="n">
        <v>0</v>
      </c>
      <c r="O615" t="n">
        <v>0</v>
      </c>
      <c r="P615" t="n">
        <v>0</v>
      </c>
      <c r="Q615" t="n">
        <v>0</v>
      </c>
      <c r="R615" s="2" t="inlineStr"/>
    </row>
    <row r="616" ht="15" customHeight="1">
      <c r="A616" t="inlineStr">
        <is>
          <t>A 35539-2023</t>
        </is>
      </c>
      <c r="B616" s="1" t="n">
        <v>45147.37006944444</v>
      </c>
      <c r="C616" s="1" t="n">
        <v>45916</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32744-2022</t>
        </is>
      </c>
      <c r="B617" s="1" t="n">
        <v>44783.70378472222</v>
      </c>
      <c r="C617" s="1" t="n">
        <v>45916</v>
      </c>
      <c r="D617" t="inlineStr">
        <is>
          <t>UPPSALA LÄN</t>
        </is>
      </c>
      <c r="E617" t="inlineStr">
        <is>
          <t>ÖSTHAMMAR</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9264-2024</t>
        </is>
      </c>
      <c r="B618" s="1" t="n">
        <v>45358</v>
      </c>
      <c r="C618" s="1" t="n">
        <v>45916</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33784-2024</t>
        </is>
      </c>
      <c r="B619" s="1" t="n">
        <v>45520</v>
      </c>
      <c r="C619" s="1" t="n">
        <v>45916</v>
      </c>
      <c r="D619" t="inlineStr">
        <is>
          <t>UPPSALA LÄN</t>
        </is>
      </c>
      <c r="E619" t="inlineStr">
        <is>
          <t>ÖSTHAMMAR</t>
        </is>
      </c>
      <c r="F619" t="inlineStr">
        <is>
          <t>Naturvårdsverket</t>
        </is>
      </c>
      <c r="G619" t="n">
        <v>0.6</v>
      </c>
      <c r="H619" t="n">
        <v>0</v>
      </c>
      <c r="I619" t="n">
        <v>0</v>
      </c>
      <c r="J619" t="n">
        <v>0</v>
      </c>
      <c r="K619" t="n">
        <v>0</v>
      </c>
      <c r="L619" t="n">
        <v>0</v>
      </c>
      <c r="M619" t="n">
        <v>0</v>
      </c>
      <c r="N619" t="n">
        <v>0</v>
      </c>
      <c r="O619" t="n">
        <v>0</v>
      </c>
      <c r="P619" t="n">
        <v>0</v>
      </c>
      <c r="Q619" t="n">
        <v>0</v>
      </c>
      <c r="R619" s="2" t="inlineStr"/>
    </row>
    <row r="620" ht="15" customHeight="1">
      <c r="A620" t="inlineStr">
        <is>
          <t>A 11643-2022</t>
        </is>
      </c>
      <c r="B620" s="1" t="n">
        <v>44631.92662037037</v>
      </c>
      <c r="C620" s="1" t="n">
        <v>45916</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37865-2023</t>
        </is>
      </c>
      <c r="B621" s="1" t="n">
        <v>45160</v>
      </c>
      <c r="C621" s="1" t="n">
        <v>45916</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34607-2023</t>
        </is>
      </c>
      <c r="B622" s="1" t="n">
        <v>45138</v>
      </c>
      <c r="C622" s="1" t="n">
        <v>45916</v>
      </c>
      <c r="D622" t="inlineStr">
        <is>
          <t>UPPSALA LÄN</t>
        </is>
      </c>
      <c r="E622" t="inlineStr">
        <is>
          <t>ÖSTHAMMAR</t>
        </is>
      </c>
      <c r="G622" t="n">
        <v>4.7</v>
      </c>
      <c r="H622" t="n">
        <v>0</v>
      </c>
      <c r="I622" t="n">
        <v>0</v>
      </c>
      <c r="J622" t="n">
        <v>0</v>
      </c>
      <c r="K622" t="n">
        <v>0</v>
      </c>
      <c r="L622" t="n">
        <v>0</v>
      </c>
      <c r="M622" t="n">
        <v>0</v>
      </c>
      <c r="N622" t="n">
        <v>0</v>
      </c>
      <c r="O622" t="n">
        <v>0</v>
      </c>
      <c r="P622" t="n">
        <v>0</v>
      </c>
      <c r="Q622" t="n">
        <v>0</v>
      </c>
      <c r="R622" s="2" t="inlineStr"/>
    </row>
    <row r="623" ht="15" customHeight="1">
      <c r="A623" t="inlineStr">
        <is>
          <t>A 5215-2025</t>
        </is>
      </c>
      <c r="B623" s="1" t="n">
        <v>45691</v>
      </c>
      <c r="C623" s="1" t="n">
        <v>45916</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18230-2025</t>
        </is>
      </c>
      <c r="B624" s="1" t="n">
        <v>45761.87114583333</v>
      </c>
      <c r="C624" s="1" t="n">
        <v>45916</v>
      </c>
      <c r="D624" t="inlineStr">
        <is>
          <t>UPPSALA LÄN</t>
        </is>
      </c>
      <c r="E624" t="inlineStr">
        <is>
          <t>ÖSTHAMMAR</t>
        </is>
      </c>
      <c r="F624" t="inlineStr">
        <is>
          <t>Bergvik skog öst AB</t>
        </is>
      </c>
      <c r="G624" t="n">
        <v>4.2</v>
      </c>
      <c r="H624" t="n">
        <v>0</v>
      </c>
      <c r="I624" t="n">
        <v>0</v>
      </c>
      <c r="J624" t="n">
        <v>0</v>
      </c>
      <c r="K624" t="n">
        <v>0</v>
      </c>
      <c r="L624" t="n">
        <v>0</v>
      </c>
      <c r="M624" t="n">
        <v>0</v>
      </c>
      <c r="N624" t="n">
        <v>0</v>
      </c>
      <c r="O624" t="n">
        <v>0</v>
      </c>
      <c r="P624" t="n">
        <v>0</v>
      </c>
      <c r="Q624" t="n">
        <v>0</v>
      </c>
      <c r="R624" s="2" t="inlineStr"/>
    </row>
    <row r="625" ht="15" customHeight="1">
      <c r="A625" t="inlineStr">
        <is>
          <t>A 2733-2023</t>
        </is>
      </c>
      <c r="B625" s="1" t="n">
        <v>44943</v>
      </c>
      <c r="C625" s="1" t="n">
        <v>45916</v>
      </c>
      <c r="D625" t="inlineStr">
        <is>
          <t>UPPSALA LÄN</t>
        </is>
      </c>
      <c r="E625" t="inlineStr">
        <is>
          <t>ÖSTHAMMAR</t>
        </is>
      </c>
      <c r="G625" t="n">
        <v>2.6</v>
      </c>
      <c r="H625" t="n">
        <v>0</v>
      </c>
      <c r="I625" t="n">
        <v>0</v>
      </c>
      <c r="J625" t="n">
        <v>0</v>
      </c>
      <c r="K625" t="n">
        <v>0</v>
      </c>
      <c r="L625" t="n">
        <v>0</v>
      </c>
      <c r="M625" t="n">
        <v>0</v>
      </c>
      <c r="N625" t="n">
        <v>0</v>
      </c>
      <c r="O625" t="n">
        <v>0</v>
      </c>
      <c r="P625" t="n">
        <v>0</v>
      </c>
      <c r="Q625" t="n">
        <v>0</v>
      </c>
      <c r="R625" s="2" t="inlineStr"/>
    </row>
    <row r="626" ht="15" customHeight="1">
      <c r="A626" t="inlineStr">
        <is>
          <t>A 8769-2025</t>
        </is>
      </c>
      <c r="B626" s="1" t="n">
        <v>45712.59412037037</v>
      </c>
      <c r="C626" s="1" t="n">
        <v>45916</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34971-2022</t>
        </is>
      </c>
      <c r="B627" s="1" t="n">
        <v>44796.66613425926</v>
      </c>
      <c r="C627" s="1" t="n">
        <v>45916</v>
      </c>
      <c r="D627" t="inlineStr">
        <is>
          <t>UPPSALA LÄN</t>
        </is>
      </c>
      <c r="E627" t="inlineStr">
        <is>
          <t>ÖSTHAMMAR</t>
        </is>
      </c>
      <c r="F627" t="inlineStr">
        <is>
          <t>Bergvik skog öst AB</t>
        </is>
      </c>
      <c r="G627" t="n">
        <v>2.3</v>
      </c>
      <c r="H627" t="n">
        <v>0</v>
      </c>
      <c r="I627" t="n">
        <v>0</v>
      </c>
      <c r="J627" t="n">
        <v>0</v>
      </c>
      <c r="K627" t="n">
        <v>0</v>
      </c>
      <c r="L627" t="n">
        <v>0</v>
      </c>
      <c r="M627" t="n">
        <v>0</v>
      </c>
      <c r="N627" t="n">
        <v>0</v>
      </c>
      <c r="O627" t="n">
        <v>0</v>
      </c>
      <c r="P627" t="n">
        <v>0</v>
      </c>
      <c r="Q627" t="n">
        <v>0</v>
      </c>
      <c r="R627" s="2" t="inlineStr"/>
    </row>
    <row r="628" ht="15" customHeight="1">
      <c r="A628" t="inlineStr">
        <is>
          <t>A 3725-2022</t>
        </is>
      </c>
      <c r="B628" s="1" t="n">
        <v>44586</v>
      </c>
      <c r="C628" s="1" t="n">
        <v>45916</v>
      </c>
      <c r="D628" t="inlineStr">
        <is>
          <t>UPPSALA LÄN</t>
        </is>
      </c>
      <c r="E628" t="inlineStr">
        <is>
          <t>ÖSTHAMMAR</t>
        </is>
      </c>
      <c r="G628" t="n">
        <v>2</v>
      </c>
      <c r="H628" t="n">
        <v>0</v>
      </c>
      <c r="I628" t="n">
        <v>0</v>
      </c>
      <c r="J628" t="n">
        <v>0</v>
      </c>
      <c r="K628" t="n">
        <v>0</v>
      </c>
      <c r="L628" t="n">
        <v>0</v>
      </c>
      <c r="M628" t="n">
        <v>0</v>
      </c>
      <c r="N628" t="n">
        <v>0</v>
      </c>
      <c r="O628" t="n">
        <v>0</v>
      </c>
      <c r="P628" t="n">
        <v>0</v>
      </c>
      <c r="Q628" t="n">
        <v>0</v>
      </c>
      <c r="R628" s="2" t="inlineStr"/>
    </row>
    <row r="629" ht="15" customHeight="1">
      <c r="A629" t="inlineStr">
        <is>
          <t>A 12812-2024</t>
        </is>
      </c>
      <c r="B629" s="1" t="n">
        <v>45384.65465277778</v>
      </c>
      <c r="C629" s="1" t="n">
        <v>45916</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57408-2020</t>
        </is>
      </c>
      <c r="B630" s="1" t="n">
        <v>44140</v>
      </c>
      <c r="C630" s="1" t="n">
        <v>45916</v>
      </c>
      <c r="D630" t="inlineStr">
        <is>
          <t>UPPSALA LÄN</t>
        </is>
      </c>
      <c r="E630" t="inlineStr">
        <is>
          <t>ÖSTHAMMAR</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8006-2023</t>
        </is>
      </c>
      <c r="B631" s="1" t="n">
        <v>44973</v>
      </c>
      <c r="C631" s="1" t="n">
        <v>45916</v>
      </c>
      <c r="D631" t="inlineStr">
        <is>
          <t>UPPSALA LÄN</t>
        </is>
      </c>
      <c r="E631" t="inlineStr">
        <is>
          <t>ÖSTHAMMAR</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28170-2023</t>
        </is>
      </c>
      <c r="B632" s="1" t="n">
        <v>45093</v>
      </c>
      <c r="C632" s="1" t="n">
        <v>45916</v>
      </c>
      <c r="D632" t="inlineStr">
        <is>
          <t>UPPSALA LÄN</t>
        </is>
      </c>
      <c r="E632" t="inlineStr">
        <is>
          <t>ÖSTHAMMAR</t>
        </is>
      </c>
      <c r="G632" t="n">
        <v>7.2</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44973.57263888889</v>
      </c>
      <c r="C633" s="1" t="n">
        <v>45916</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14433-2024</t>
        </is>
      </c>
      <c r="B634" s="1" t="n">
        <v>45394.46115740741</v>
      </c>
      <c r="C634" s="1" t="n">
        <v>45916</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20038-2023</t>
        </is>
      </c>
      <c r="B635" s="1" t="n">
        <v>45054.65834490741</v>
      </c>
      <c r="C635" s="1" t="n">
        <v>45916</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15031-2025</t>
        </is>
      </c>
      <c r="B636" s="1" t="n">
        <v>45743.67333333333</v>
      </c>
      <c r="C636" s="1" t="n">
        <v>45916</v>
      </c>
      <c r="D636" t="inlineStr">
        <is>
          <t>UPPSALA LÄN</t>
        </is>
      </c>
      <c r="E636" t="inlineStr">
        <is>
          <t>ÖSTHAMMAR</t>
        </is>
      </c>
      <c r="G636" t="n">
        <v>9.6</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45916</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43439-2024</t>
        </is>
      </c>
      <c r="B638" s="1" t="n">
        <v>45568</v>
      </c>
      <c r="C638" s="1" t="n">
        <v>45916</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13755-2023</t>
        </is>
      </c>
      <c r="B639" s="1" t="n">
        <v>45007</v>
      </c>
      <c r="C639" s="1" t="n">
        <v>45916</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13771-2023</t>
        </is>
      </c>
      <c r="B640" s="1" t="n">
        <v>45007</v>
      </c>
      <c r="C640" s="1" t="n">
        <v>45916</v>
      </c>
      <c r="D640" t="inlineStr">
        <is>
          <t>UPPSALA LÄN</t>
        </is>
      </c>
      <c r="E640" t="inlineStr">
        <is>
          <t>ÖSTHAMMAR</t>
        </is>
      </c>
      <c r="G640" t="n">
        <v>2.7</v>
      </c>
      <c r="H640" t="n">
        <v>0</v>
      </c>
      <c r="I640" t="n">
        <v>0</v>
      </c>
      <c r="J640" t="n">
        <v>0</v>
      </c>
      <c r="K640" t="n">
        <v>0</v>
      </c>
      <c r="L640" t="n">
        <v>0</v>
      </c>
      <c r="M640" t="n">
        <v>0</v>
      </c>
      <c r="N640" t="n">
        <v>0</v>
      </c>
      <c r="O640" t="n">
        <v>0</v>
      </c>
      <c r="P640" t="n">
        <v>0</v>
      </c>
      <c r="Q640" t="n">
        <v>0</v>
      </c>
      <c r="R640" s="2" t="inlineStr"/>
    </row>
    <row r="641" ht="15" customHeight="1">
      <c r="A641" t="inlineStr">
        <is>
          <t>A 10290-2025</t>
        </is>
      </c>
      <c r="B641" s="1" t="n">
        <v>45720.41847222222</v>
      </c>
      <c r="C641" s="1" t="n">
        <v>45916</v>
      </c>
      <c r="D641" t="inlineStr">
        <is>
          <t>UPPSALA LÄN</t>
        </is>
      </c>
      <c r="E641" t="inlineStr">
        <is>
          <t>ÖSTHAMMAR</t>
        </is>
      </c>
      <c r="G641" t="n">
        <v>8.6</v>
      </c>
      <c r="H641" t="n">
        <v>0</v>
      </c>
      <c r="I641" t="n">
        <v>0</v>
      </c>
      <c r="J641" t="n">
        <v>0</v>
      </c>
      <c r="K641" t="n">
        <v>0</v>
      </c>
      <c r="L641" t="n">
        <v>0</v>
      </c>
      <c r="M641" t="n">
        <v>0</v>
      </c>
      <c r="N641" t="n">
        <v>0</v>
      </c>
      <c r="O641" t="n">
        <v>0</v>
      </c>
      <c r="P641" t="n">
        <v>0</v>
      </c>
      <c r="Q641" t="n">
        <v>0</v>
      </c>
      <c r="R641" s="2" t="inlineStr"/>
    </row>
    <row r="642" ht="15" customHeight="1">
      <c r="A642" t="inlineStr">
        <is>
          <t>A 17022-2021</t>
        </is>
      </c>
      <c r="B642" s="1" t="n">
        <v>44295.65875</v>
      </c>
      <c r="C642" s="1" t="n">
        <v>45916</v>
      </c>
      <c r="D642" t="inlineStr">
        <is>
          <t>UPPSALA LÄN</t>
        </is>
      </c>
      <c r="E642" t="inlineStr">
        <is>
          <t>ÖSTHAMMAR</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11469-2023</t>
        </is>
      </c>
      <c r="B643" s="1" t="n">
        <v>44993.60099537037</v>
      </c>
      <c r="C643" s="1" t="n">
        <v>45916</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7543-2023</t>
        </is>
      </c>
      <c r="B644" s="1" t="n">
        <v>44972</v>
      </c>
      <c r="C644" s="1" t="n">
        <v>45916</v>
      </c>
      <c r="D644" t="inlineStr">
        <is>
          <t>UPPSALA LÄN</t>
        </is>
      </c>
      <c r="E644" t="inlineStr">
        <is>
          <t>ÖSTHAMMAR</t>
        </is>
      </c>
      <c r="F644" t="inlineStr">
        <is>
          <t>Bergvik skog öst AB</t>
        </is>
      </c>
      <c r="G644" t="n">
        <v>13.3</v>
      </c>
      <c r="H644" t="n">
        <v>0</v>
      </c>
      <c r="I644" t="n">
        <v>0</v>
      </c>
      <c r="J644" t="n">
        <v>0</v>
      </c>
      <c r="K644" t="n">
        <v>0</v>
      </c>
      <c r="L644" t="n">
        <v>0</v>
      </c>
      <c r="M644" t="n">
        <v>0</v>
      </c>
      <c r="N644" t="n">
        <v>0</v>
      </c>
      <c r="O644" t="n">
        <v>0</v>
      </c>
      <c r="P644" t="n">
        <v>0</v>
      </c>
      <c r="Q644" t="n">
        <v>0</v>
      </c>
      <c r="R644" s="2" t="inlineStr"/>
    </row>
    <row r="645" ht="15" customHeight="1">
      <c r="A645" t="inlineStr">
        <is>
          <t>A 49899-2023</t>
        </is>
      </c>
      <c r="B645" s="1" t="n">
        <v>45213</v>
      </c>
      <c r="C645" s="1" t="n">
        <v>45916</v>
      </c>
      <c r="D645" t="inlineStr">
        <is>
          <t>UPPSALA LÄN</t>
        </is>
      </c>
      <c r="E645" t="inlineStr">
        <is>
          <t>ÖSTHAMMAR</t>
        </is>
      </c>
      <c r="G645" t="n">
        <v>6.2</v>
      </c>
      <c r="H645" t="n">
        <v>0</v>
      </c>
      <c r="I645" t="n">
        <v>0</v>
      </c>
      <c r="J645" t="n">
        <v>0</v>
      </c>
      <c r="K645" t="n">
        <v>0</v>
      </c>
      <c r="L645" t="n">
        <v>0</v>
      </c>
      <c r="M645" t="n">
        <v>0</v>
      </c>
      <c r="N645" t="n">
        <v>0</v>
      </c>
      <c r="O645" t="n">
        <v>0</v>
      </c>
      <c r="P645" t="n">
        <v>0</v>
      </c>
      <c r="Q645" t="n">
        <v>0</v>
      </c>
      <c r="R645" s="2" t="inlineStr"/>
    </row>
    <row r="646" ht="15" customHeight="1">
      <c r="A646" t="inlineStr">
        <is>
          <t>A 4676-2025</t>
        </is>
      </c>
      <c r="B646" s="1" t="n">
        <v>45687.8313425926</v>
      </c>
      <c r="C646" s="1" t="n">
        <v>45916</v>
      </c>
      <c r="D646" t="inlineStr">
        <is>
          <t>UPPSALA LÄN</t>
        </is>
      </c>
      <c r="E646" t="inlineStr">
        <is>
          <t>ÖSTHAMMAR</t>
        </is>
      </c>
      <c r="G646" t="n">
        <v>3.7</v>
      </c>
      <c r="H646" t="n">
        <v>0</v>
      </c>
      <c r="I646" t="n">
        <v>0</v>
      </c>
      <c r="J646" t="n">
        <v>0</v>
      </c>
      <c r="K646" t="n">
        <v>0</v>
      </c>
      <c r="L646" t="n">
        <v>0</v>
      </c>
      <c r="M646" t="n">
        <v>0</v>
      </c>
      <c r="N646" t="n">
        <v>0</v>
      </c>
      <c r="O646" t="n">
        <v>0</v>
      </c>
      <c r="P646" t="n">
        <v>0</v>
      </c>
      <c r="Q646" t="n">
        <v>0</v>
      </c>
      <c r="R646" s="2" t="inlineStr"/>
    </row>
    <row r="647" ht="15" customHeight="1">
      <c r="A647" t="inlineStr">
        <is>
          <t>A 25418-2022</t>
        </is>
      </c>
      <c r="B647" s="1" t="n">
        <v>44732.464375</v>
      </c>
      <c r="C647" s="1" t="n">
        <v>45916</v>
      </c>
      <c r="D647" t="inlineStr">
        <is>
          <t>UPPSALA LÄN</t>
        </is>
      </c>
      <c r="E647" t="inlineStr">
        <is>
          <t>ÖSTHAMMAR</t>
        </is>
      </c>
      <c r="G647" t="n">
        <v>2.8</v>
      </c>
      <c r="H647" t="n">
        <v>0</v>
      </c>
      <c r="I647" t="n">
        <v>0</v>
      </c>
      <c r="J647" t="n">
        <v>0</v>
      </c>
      <c r="K647" t="n">
        <v>0</v>
      </c>
      <c r="L647" t="n">
        <v>0</v>
      </c>
      <c r="M647" t="n">
        <v>0</v>
      </c>
      <c r="N647" t="n">
        <v>0</v>
      </c>
      <c r="O647" t="n">
        <v>0</v>
      </c>
      <c r="P647" t="n">
        <v>0</v>
      </c>
      <c r="Q647" t="n">
        <v>0</v>
      </c>
      <c r="R647" s="2" t="inlineStr"/>
    </row>
    <row r="648" ht="15" customHeight="1">
      <c r="A648" t="inlineStr">
        <is>
          <t>A 14859-2025</t>
        </is>
      </c>
      <c r="B648" s="1" t="n">
        <v>45743.42427083333</v>
      </c>
      <c r="C648" s="1" t="n">
        <v>45916</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17009-2021</t>
        </is>
      </c>
      <c r="B649" s="1" t="n">
        <v>44295.63969907408</v>
      </c>
      <c r="C649" s="1" t="n">
        <v>45916</v>
      </c>
      <c r="D649" t="inlineStr">
        <is>
          <t>UPPSALA LÄN</t>
        </is>
      </c>
      <c r="E649" t="inlineStr">
        <is>
          <t>ÖSTHAMMAR</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33758-2024</t>
        </is>
      </c>
      <c r="B650" s="1" t="n">
        <v>45520.56896990741</v>
      </c>
      <c r="C650" s="1" t="n">
        <v>45916</v>
      </c>
      <c r="D650" t="inlineStr">
        <is>
          <t>UPPSALA LÄN</t>
        </is>
      </c>
      <c r="E650" t="inlineStr">
        <is>
          <t>ÖSTHAMMAR</t>
        </is>
      </c>
      <c r="G650" t="n">
        <v>6.5</v>
      </c>
      <c r="H650" t="n">
        <v>0</v>
      </c>
      <c r="I650" t="n">
        <v>0</v>
      </c>
      <c r="J650" t="n">
        <v>0</v>
      </c>
      <c r="K650" t="n">
        <v>0</v>
      </c>
      <c r="L650" t="n">
        <v>0</v>
      </c>
      <c r="M650" t="n">
        <v>0</v>
      </c>
      <c r="N650" t="n">
        <v>0</v>
      </c>
      <c r="O650" t="n">
        <v>0</v>
      </c>
      <c r="P650" t="n">
        <v>0</v>
      </c>
      <c r="Q650" t="n">
        <v>0</v>
      </c>
      <c r="R650" s="2" t="inlineStr"/>
    </row>
    <row r="651" ht="15" customHeight="1">
      <c r="A651" t="inlineStr">
        <is>
          <t>A 14671-2022</t>
        </is>
      </c>
      <c r="B651" s="1" t="n">
        <v>44655.80475694445</v>
      </c>
      <c r="C651" s="1" t="n">
        <v>45916</v>
      </c>
      <c r="D651" t="inlineStr">
        <is>
          <t>UPPSALA LÄN</t>
        </is>
      </c>
      <c r="E651" t="inlineStr">
        <is>
          <t>ÖSTHAMMAR</t>
        </is>
      </c>
      <c r="G651" t="n">
        <v>1.9</v>
      </c>
      <c r="H651" t="n">
        <v>0</v>
      </c>
      <c r="I651" t="n">
        <v>0</v>
      </c>
      <c r="J651" t="n">
        <v>0</v>
      </c>
      <c r="K651" t="n">
        <v>0</v>
      </c>
      <c r="L651" t="n">
        <v>0</v>
      </c>
      <c r="M651" t="n">
        <v>0</v>
      </c>
      <c r="N651" t="n">
        <v>0</v>
      </c>
      <c r="O651" t="n">
        <v>0</v>
      </c>
      <c r="P651" t="n">
        <v>0</v>
      </c>
      <c r="Q651" t="n">
        <v>0</v>
      </c>
      <c r="R651" s="2" t="inlineStr"/>
    </row>
    <row r="652" ht="15" customHeight="1">
      <c r="A652" t="inlineStr">
        <is>
          <t>A 24259-2022</t>
        </is>
      </c>
      <c r="B652" s="1" t="n">
        <v>44725</v>
      </c>
      <c r="C652" s="1" t="n">
        <v>45916</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18113-2023</t>
        </is>
      </c>
      <c r="B653" s="1" t="n">
        <v>45040</v>
      </c>
      <c r="C653" s="1" t="n">
        <v>45916</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46399-2023</t>
        </is>
      </c>
      <c r="B654" s="1" t="n">
        <v>45197.49262731482</v>
      </c>
      <c r="C654" s="1" t="n">
        <v>45916</v>
      </c>
      <c r="D654" t="inlineStr">
        <is>
          <t>UPPSALA LÄN</t>
        </is>
      </c>
      <c r="E654" t="inlineStr">
        <is>
          <t>ÖSTHAMMAR</t>
        </is>
      </c>
      <c r="G654" t="n">
        <v>5.8</v>
      </c>
      <c r="H654" t="n">
        <v>0</v>
      </c>
      <c r="I654" t="n">
        <v>0</v>
      </c>
      <c r="J654" t="n">
        <v>0</v>
      </c>
      <c r="K654" t="n">
        <v>0</v>
      </c>
      <c r="L654" t="n">
        <v>0</v>
      </c>
      <c r="M654" t="n">
        <v>0</v>
      </c>
      <c r="N654" t="n">
        <v>0</v>
      </c>
      <c r="O654" t="n">
        <v>0</v>
      </c>
      <c r="P654" t="n">
        <v>0</v>
      </c>
      <c r="Q654" t="n">
        <v>0</v>
      </c>
      <c r="R654" s="2" t="inlineStr"/>
    </row>
    <row r="655" ht="15" customHeight="1">
      <c r="A655" t="inlineStr">
        <is>
          <t>A 61216-2022</t>
        </is>
      </c>
      <c r="B655" s="1" t="n">
        <v>44915.55423611111</v>
      </c>
      <c r="C655" s="1" t="n">
        <v>45916</v>
      </c>
      <c r="D655" t="inlineStr">
        <is>
          <t>UPPSALA LÄN</t>
        </is>
      </c>
      <c r="E655" t="inlineStr">
        <is>
          <t>ÖSTHAMMAR</t>
        </is>
      </c>
      <c r="G655" t="n">
        <v>2.9</v>
      </c>
      <c r="H655" t="n">
        <v>0</v>
      </c>
      <c r="I655" t="n">
        <v>0</v>
      </c>
      <c r="J655" t="n">
        <v>0</v>
      </c>
      <c r="K655" t="n">
        <v>0</v>
      </c>
      <c r="L655" t="n">
        <v>0</v>
      </c>
      <c r="M655" t="n">
        <v>0</v>
      </c>
      <c r="N655" t="n">
        <v>0</v>
      </c>
      <c r="O655" t="n">
        <v>0</v>
      </c>
      <c r="P655" t="n">
        <v>0</v>
      </c>
      <c r="Q655" t="n">
        <v>0</v>
      </c>
      <c r="R655" s="2" t="inlineStr"/>
    </row>
    <row r="656" ht="15" customHeight="1">
      <c r="A656" t="inlineStr">
        <is>
          <t>A 27660-2023</t>
        </is>
      </c>
      <c r="B656" s="1" t="n">
        <v>45097</v>
      </c>
      <c r="C656" s="1" t="n">
        <v>45916</v>
      </c>
      <c r="D656" t="inlineStr">
        <is>
          <t>UPPSALA LÄN</t>
        </is>
      </c>
      <c r="E656" t="inlineStr">
        <is>
          <t>ÖSTHAMMAR</t>
        </is>
      </c>
      <c r="G656" t="n">
        <v>2.8</v>
      </c>
      <c r="H656" t="n">
        <v>0</v>
      </c>
      <c r="I656" t="n">
        <v>0</v>
      </c>
      <c r="J656" t="n">
        <v>0</v>
      </c>
      <c r="K656" t="n">
        <v>0</v>
      </c>
      <c r="L656" t="n">
        <v>0</v>
      </c>
      <c r="M656" t="n">
        <v>0</v>
      </c>
      <c r="N656" t="n">
        <v>0</v>
      </c>
      <c r="O656" t="n">
        <v>0</v>
      </c>
      <c r="P656" t="n">
        <v>0</v>
      </c>
      <c r="Q656" t="n">
        <v>0</v>
      </c>
      <c r="R656" s="2" t="inlineStr"/>
    </row>
    <row r="657" ht="15" customHeight="1">
      <c r="A657" t="inlineStr">
        <is>
          <t>A 69411-2021</t>
        </is>
      </c>
      <c r="B657" s="1" t="n">
        <v>44531.61038194445</v>
      </c>
      <c r="C657" s="1" t="n">
        <v>45916</v>
      </c>
      <c r="D657" t="inlineStr">
        <is>
          <t>UPPSALA LÄN</t>
        </is>
      </c>
      <c r="E657" t="inlineStr">
        <is>
          <t>ÖSTHAMMAR</t>
        </is>
      </c>
      <c r="F657" t="inlineStr">
        <is>
          <t>Bergvik skog öst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45550-2023</t>
        </is>
      </c>
      <c r="B658" s="1" t="n">
        <v>45194.57125</v>
      </c>
      <c r="C658" s="1" t="n">
        <v>45916</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15445-2022</t>
        </is>
      </c>
      <c r="B659" s="1" t="n">
        <v>44660.4987962963</v>
      </c>
      <c r="C659" s="1" t="n">
        <v>45916</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17930-2025</t>
        </is>
      </c>
      <c r="B660" s="1" t="n">
        <v>45759.56738425926</v>
      </c>
      <c r="C660" s="1" t="n">
        <v>45916</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26303-2024</t>
        </is>
      </c>
      <c r="B661" s="1" t="n">
        <v>45468</v>
      </c>
      <c r="C661" s="1" t="n">
        <v>45916</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46785-2023</t>
        </is>
      </c>
      <c r="B662" s="1" t="n">
        <v>45198</v>
      </c>
      <c r="C662" s="1" t="n">
        <v>45916</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7100-2025</t>
        </is>
      </c>
      <c r="B663" s="1" t="n">
        <v>45701.83930555556</v>
      </c>
      <c r="C663" s="1" t="n">
        <v>45916</v>
      </c>
      <c r="D663" t="inlineStr">
        <is>
          <t>UPPSALA LÄN</t>
        </is>
      </c>
      <c r="E663" t="inlineStr">
        <is>
          <t>ÖSTHAMMAR</t>
        </is>
      </c>
      <c r="G663" t="n">
        <v>4.3</v>
      </c>
      <c r="H663" t="n">
        <v>0</v>
      </c>
      <c r="I663" t="n">
        <v>0</v>
      </c>
      <c r="J663" t="n">
        <v>0</v>
      </c>
      <c r="K663" t="n">
        <v>0</v>
      </c>
      <c r="L663" t="n">
        <v>0</v>
      </c>
      <c r="M663" t="n">
        <v>0</v>
      </c>
      <c r="N663" t="n">
        <v>0</v>
      </c>
      <c r="O663" t="n">
        <v>0</v>
      </c>
      <c r="P663" t="n">
        <v>0</v>
      </c>
      <c r="Q663" t="n">
        <v>0</v>
      </c>
      <c r="R663" s="2" t="inlineStr"/>
    </row>
    <row r="664" ht="15" customHeight="1">
      <c r="A664" t="inlineStr">
        <is>
          <t>A 20634-2024</t>
        </is>
      </c>
      <c r="B664" s="1" t="n">
        <v>45436</v>
      </c>
      <c r="C664" s="1" t="n">
        <v>45916</v>
      </c>
      <c r="D664" t="inlineStr">
        <is>
          <t>UPPSALA LÄN</t>
        </is>
      </c>
      <c r="E664" t="inlineStr">
        <is>
          <t>ÖSTHAMMAR</t>
        </is>
      </c>
      <c r="G664" t="n">
        <v>6.5</v>
      </c>
      <c r="H664" t="n">
        <v>0</v>
      </c>
      <c r="I664" t="n">
        <v>0</v>
      </c>
      <c r="J664" t="n">
        <v>0</v>
      </c>
      <c r="K664" t="n">
        <v>0</v>
      </c>
      <c r="L664" t="n">
        <v>0</v>
      </c>
      <c r="M664" t="n">
        <v>0</v>
      </c>
      <c r="N664" t="n">
        <v>0</v>
      </c>
      <c r="O664" t="n">
        <v>0</v>
      </c>
      <c r="P664" t="n">
        <v>0</v>
      </c>
      <c r="Q664" t="n">
        <v>0</v>
      </c>
      <c r="R664" s="2" t="inlineStr"/>
    </row>
    <row r="665" ht="15" customHeight="1">
      <c r="A665" t="inlineStr">
        <is>
          <t>A 60577-2021</t>
        </is>
      </c>
      <c r="B665" s="1" t="n">
        <v>44496.57019675926</v>
      </c>
      <c r="C665" s="1" t="n">
        <v>45916</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18088-2025</t>
        </is>
      </c>
      <c r="B666" s="1" t="n">
        <v>45761.53104166667</v>
      </c>
      <c r="C666" s="1" t="n">
        <v>45916</v>
      </c>
      <c r="D666" t="inlineStr">
        <is>
          <t>UPPSALA LÄN</t>
        </is>
      </c>
      <c r="E666" t="inlineStr">
        <is>
          <t>ÖSTHAMMAR</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18095-2025</t>
        </is>
      </c>
      <c r="B667" s="1" t="n">
        <v>45761.54925925926</v>
      </c>
      <c r="C667" s="1" t="n">
        <v>45916</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10495-2025</t>
        </is>
      </c>
      <c r="B668" s="1" t="n">
        <v>45721</v>
      </c>
      <c r="C668" s="1" t="n">
        <v>45916</v>
      </c>
      <c r="D668" t="inlineStr">
        <is>
          <t>UPPSALA LÄN</t>
        </is>
      </c>
      <c r="E668" t="inlineStr">
        <is>
          <t>ÖSTHAMMAR</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1791-2023</t>
        </is>
      </c>
      <c r="B669" s="1" t="n">
        <v>44938</v>
      </c>
      <c r="C669" s="1" t="n">
        <v>45916</v>
      </c>
      <c r="D669" t="inlineStr">
        <is>
          <t>UPPSALA LÄN</t>
        </is>
      </c>
      <c r="E669" t="inlineStr">
        <is>
          <t>ÖSTHAMMAR</t>
        </is>
      </c>
      <c r="G669" t="n">
        <v>2</v>
      </c>
      <c r="H669" t="n">
        <v>0</v>
      </c>
      <c r="I669" t="n">
        <v>0</v>
      </c>
      <c r="J669" t="n">
        <v>0</v>
      </c>
      <c r="K669" t="n">
        <v>0</v>
      </c>
      <c r="L669" t="n">
        <v>0</v>
      </c>
      <c r="M669" t="n">
        <v>0</v>
      </c>
      <c r="N669" t="n">
        <v>0</v>
      </c>
      <c r="O669" t="n">
        <v>0</v>
      </c>
      <c r="P669" t="n">
        <v>0</v>
      </c>
      <c r="Q669" t="n">
        <v>0</v>
      </c>
      <c r="R669" s="2" t="inlineStr"/>
    </row>
    <row r="670" ht="15" customHeight="1">
      <c r="A670" t="inlineStr">
        <is>
          <t>A 61257-2022</t>
        </is>
      </c>
      <c r="B670" s="1" t="n">
        <v>44915.59418981482</v>
      </c>
      <c r="C670" s="1" t="n">
        <v>45916</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49796-2024</t>
        </is>
      </c>
      <c r="B671" s="1" t="n">
        <v>45597</v>
      </c>
      <c r="C671" s="1" t="n">
        <v>45916</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21133-2025</t>
        </is>
      </c>
      <c r="B672" s="1" t="n">
        <v>45778.415625</v>
      </c>
      <c r="C672" s="1" t="n">
        <v>45916</v>
      </c>
      <c r="D672" t="inlineStr">
        <is>
          <t>UPPSALA LÄN</t>
        </is>
      </c>
      <c r="E672" t="inlineStr">
        <is>
          <t>ÖSTHAMMAR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21132-2025</t>
        </is>
      </c>
      <c r="B673" s="1" t="n">
        <v>45778.4108912037</v>
      </c>
      <c r="C673" s="1" t="n">
        <v>45916</v>
      </c>
      <c r="D673" t="inlineStr">
        <is>
          <t>UPPSALA LÄN</t>
        </is>
      </c>
      <c r="E673" t="inlineStr">
        <is>
          <t>ÖSTHAMMAR</t>
        </is>
      </c>
      <c r="G673" t="n">
        <v>10.1</v>
      </c>
      <c r="H673" t="n">
        <v>0</v>
      </c>
      <c r="I673" t="n">
        <v>0</v>
      </c>
      <c r="J673" t="n">
        <v>0</v>
      </c>
      <c r="K673" t="n">
        <v>0</v>
      </c>
      <c r="L673" t="n">
        <v>0</v>
      </c>
      <c r="M673" t="n">
        <v>0</v>
      </c>
      <c r="N673" t="n">
        <v>0</v>
      </c>
      <c r="O673" t="n">
        <v>0</v>
      </c>
      <c r="P673" t="n">
        <v>0</v>
      </c>
      <c r="Q673" t="n">
        <v>0</v>
      </c>
      <c r="R673" s="2" t="inlineStr"/>
    </row>
    <row r="674" ht="15" customHeight="1">
      <c r="A674" t="inlineStr">
        <is>
          <t>A 42262-2024</t>
        </is>
      </c>
      <c r="B674" s="1" t="n">
        <v>45562</v>
      </c>
      <c r="C674" s="1" t="n">
        <v>45916</v>
      </c>
      <c r="D674" t="inlineStr">
        <is>
          <t>UPPSALA LÄN</t>
        </is>
      </c>
      <c r="E674" t="inlineStr">
        <is>
          <t>ÖSTHAMMAR</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32778-2023</t>
        </is>
      </c>
      <c r="B675" s="1" t="n">
        <v>45123.88789351852</v>
      </c>
      <c r="C675" s="1" t="n">
        <v>45916</v>
      </c>
      <c r="D675" t="inlineStr">
        <is>
          <t>UPPSALA LÄN</t>
        </is>
      </c>
      <c r="E675" t="inlineStr">
        <is>
          <t>ÖSTHAMMAR</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1436-2025</t>
        </is>
      </c>
      <c r="B676" s="1" t="n">
        <v>45669.67625</v>
      </c>
      <c r="C676" s="1" t="n">
        <v>45916</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1525-2025</t>
        </is>
      </c>
      <c r="B677" s="1" t="n">
        <v>45670.47300925926</v>
      </c>
      <c r="C677" s="1" t="n">
        <v>45916</v>
      </c>
      <c r="D677" t="inlineStr">
        <is>
          <t>UPPSALA LÄN</t>
        </is>
      </c>
      <c r="E677" t="inlineStr">
        <is>
          <t>ÖSTHAMMAR</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24367-2022</t>
        </is>
      </c>
      <c r="B678" s="1" t="n">
        <v>44726.42716435185</v>
      </c>
      <c r="C678" s="1" t="n">
        <v>45916</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5933-2022</t>
        </is>
      </c>
      <c r="B679" s="1" t="n">
        <v>44598.82957175926</v>
      </c>
      <c r="C679" s="1" t="n">
        <v>45916</v>
      </c>
      <c r="D679" t="inlineStr">
        <is>
          <t>UPPSALA LÄN</t>
        </is>
      </c>
      <c r="E679" t="inlineStr">
        <is>
          <t>ÖSTHAMMAR</t>
        </is>
      </c>
      <c r="F679" t="inlineStr">
        <is>
          <t>Bergvik skog öst AB</t>
        </is>
      </c>
      <c r="G679" t="n">
        <v>1.4</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45916</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36954-2024</t>
        </is>
      </c>
      <c r="B681" s="1" t="n">
        <v>45538.71109953704</v>
      </c>
      <c r="C681" s="1" t="n">
        <v>45916</v>
      </c>
      <c r="D681" t="inlineStr">
        <is>
          <t>UPPSALA LÄN</t>
        </is>
      </c>
      <c r="E681" t="inlineStr">
        <is>
          <t>ÖSTHAMMAR</t>
        </is>
      </c>
      <c r="F681" t="inlineStr">
        <is>
          <t>Bergvik skog öst AB</t>
        </is>
      </c>
      <c r="G681" t="n">
        <v>5.1</v>
      </c>
      <c r="H681" t="n">
        <v>0</v>
      </c>
      <c r="I681" t="n">
        <v>0</v>
      </c>
      <c r="J681" t="n">
        <v>0</v>
      </c>
      <c r="K681" t="n">
        <v>0</v>
      </c>
      <c r="L681" t="n">
        <v>0</v>
      </c>
      <c r="M681" t="n">
        <v>0</v>
      </c>
      <c r="N681" t="n">
        <v>0</v>
      </c>
      <c r="O681" t="n">
        <v>0</v>
      </c>
      <c r="P681" t="n">
        <v>0</v>
      </c>
      <c r="Q681" t="n">
        <v>0</v>
      </c>
      <c r="R681" s="2" t="inlineStr"/>
    </row>
    <row r="682" ht="15" customHeight="1">
      <c r="A682" t="inlineStr">
        <is>
          <t>A 33685-2024</t>
        </is>
      </c>
      <c r="B682" s="1" t="n">
        <v>45520.51063657407</v>
      </c>
      <c r="C682" s="1" t="n">
        <v>45916</v>
      </c>
      <c r="D682" t="inlineStr">
        <is>
          <t>UPPSALA LÄN</t>
        </is>
      </c>
      <c r="E682" t="inlineStr">
        <is>
          <t>ÖSTHAMMAR</t>
        </is>
      </c>
      <c r="F682" t="inlineStr">
        <is>
          <t>Bergvik skog öst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43655-2024</t>
        </is>
      </c>
      <c r="B683" s="1" t="n">
        <v>45569</v>
      </c>
      <c r="C683" s="1" t="n">
        <v>45916</v>
      </c>
      <c r="D683" t="inlineStr">
        <is>
          <t>UPPSALA LÄN</t>
        </is>
      </c>
      <c r="E683" t="inlineStr">
        <is>
          <t>ÖSTHAMMAR</t>
        </is>
      </c>
      <c r="G683" t="n">
        <v>2.1</v>
      </c>
      <c r="H683" t="n">
        <v>0</v>
      </c>
      <c r="I683" t="n">
        <v>0</v>
      </c>
      <c r="J683" t="n">
        <v>0</v>
      </c>
      <c r="K683" t="n">
        <v>0</v>
      </c>
      <c r="L683" t="n">
        <v>0</v>
      </c>
      <c r="M683" t="n">
        <v>0</v>
      </c>
      <c r="N683" t="n">
        <v>0</v>
      </c>
      <c r="O683" t="n">
        <v>0</v>
      </c>
      <c r="P683" t="n">
        <v>0</v>
      </c>
      <c r="Q683" t="n">
        <v>0</v>
      </c>
      <c r="R683" s="2" t="inlineStr"/>
    </row>
    <row r="684" ht="15" customHeight="1">
      <c r="A684" t="inlineStr">
        <is>
          <t>A 27308-2023</t>
        </is>
      </c>
      <c r="B684" s="1" t="n">
        <v>45096.65381944444</v>
      </c>
      <c r="C684" s="1" t="n">
        <v>45916</v>
      </c>
      <c r="D684" t="inlineStr">
        <is>
          <t>UPPSALA LÄN</t>
        </is>
      </c>
      <c r="E684" t="inlineStr">
        <is>
          <t>ÖSTHAMMAR</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22488-2025</t>
        </is>
      </c>
      <c r="B685" s="1" t="n">
        <v>45786.64865740741</v>
      </c>
      <c r="C685" s="1" t="n">
        <v>45916</v>
      </c>
      <c r="D685" t="inlineStr">
        <is>
          <t>UPPSALA LÄN</t>
        </is>
      </c>
      <c r="E685" t="inlineStr">
        <is>
          <t>ÖSTHAMMAR</t>
        </is>
      </c>
      <c r="F685" t="inlineStr">
        <is>
          <t>Bergvik skog öst AB</t>
        </is>
      </c>
      <c r="G685" t="n">
        <v>14.9</v>
      </c>
      <c r="H685" t="n">
        <v>0</v>
      </c>
      <c r="I685" t="n">
        <v>0</v>
      </c>
      <c r="J685" t="n">
        <v>0</v>
      </c>
      <c r="K685" t="n">
        <v>0</v>
      </c>
      <c r="L685" t="n">
        <v>0</v>
      </c>
      <c r="M685" t="n">
        <v>0</v>
      </c>
      <c r="N685" t="n">
        <v>0</v>
      </c>
      <c r="O685" t="n">
        <v>0</v>
      </c>
      <c r="P685" t="n">
        <v>0</v>
      </c>
      <c r="Q685" t="n">
        <v>0</v>
      </c>
      <c r="R685" s="2" t="inlineStr"/>
    </row>
    <row r="686" ht="15" customHeight="1">
      <c r="A686" t="inlineStr">
        <is>
          <t>A 5254-2025</t>
        </is>
      </c>
      <c r="B686" s="1" t="n">
        <v>45692</v>
      </c>
      <c r="C686" s="1" t="n">
        <v>45916</v>
      </c>
      <c r="D686" t="inlineStr">
        <is>
          <t>UPPSALA LÄN</t>
        </is>
      </c>
      <c r="E686" t="inlineStr">
        <is>
          <t>ÖSTHAMMAR</t>
        </is>
      </c>
      <c r="G686" t="n">
        <v>5</v>
      </c>
      <c r="H686" t="n">
        <v>0</v>
      </c>
      <c r="I686" t="n">
        <v>0</v>
      </c>
      <c r="J686" t="n">
        <v>0</v>
      </c>
      <c r="K686" t="n">
        <v>0</v>
      </c>
      <c r="L686" t="n">
        <v>0</v>
      </c>
      <c r="M686" t="n">
        <v>0</v>
      </c>
      <c r="N686" t="n">
        <v>0</v>
      </c>
      <c r="O686" t="n">
        <v>0</v>
      </c>
      <c r="P686" t="n">
        <v>0</v>
      </c>
      <c r="Q686" t="n">
        <v>0</v>
      </c>
      <c r="R686" s="2" t="inlineStr"/>
    </row>
    <row r="687" ht="15" customHeight="1">
      <c r="A687" t="inlineStr">
        <is>
          <t>A 59807-2020</t>
        </is>
      </c>
      <c r="B687" s="1" t="n">
        <v>44151</v>
      </c>
      <c r="C687" s="1" t="n">
        <v>45916</v>
      </c>
      <c r="D687" t="inlineStr">
        <is>
          <t>UPPSALA LÄN</t>
        </is>
      </c>
      <c r="E687" t="inlineStr">
        <is>
          <t>ÖSTHAMMAR</t>
        </is>
      </c>
      <c r="G687" t="n">
        <v>3.4</v>
      </c>
      <c r="H687" t="n">
        <v>0</v>
      </c>
      <c r="I687" t="n">
        <v>0</v>
      </c>
      <c r="J687" t="n">
        <v>0</v>
      </c>
      <c r="K687" t="n">
        <v>0</v>
      </c>
      <c r="L687" t="n">
        <v>0</v>
      </c>
      <c r="M687" t="n">
        <v>0</v>
      </c>
      <c r="N687" t="n">
        <v>0</v>
      </c>
      <c r="O687" t="n">
        <v>0</v>
      </c>
      <c r="P687" t="n">
        <v>0</v>
      </c>
      <c r="Q687" t="n">
        <v>0</v>
      </c>
      <c r="R687" s="2" t="inlineStr"/>
    </row>
    <row r="688" ht="15" customHeight="1">
      <c r="A688" t="inlineStr">
        <is>
          <t>A 14595-2023</t>
        </is>
      </c>
      <c r="B688" s="1" t="n">
        <v>45013.57858796296</v>
      </c>
      <c r="C688" s="1" t="n">
        <v>45916</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32483-2024</t>
        </is>
      </c>
      <c r="B689" s="1" t="n">
        <v>45513.36644675926</v>
      </c>
      <c r="C689" s="1" t="n">
        <v>45916</v>
      </c>
      <c r="D689" t="inlineStr">
        <is>
          <t>UPPSALA LÄN</t>
        </is>
      </c>
      <c r="E689" t="inlineStr">
        <is>
          <t>ÖSTHAMMAR</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38575-2024</t>
        </is>
      </c>
      <c r="B690" s="1" t="n">
        <v>45546.64221064815</v>
      </c>
      <c r="C690" s="1" t="n">
        <v>45916</v>
      </c>
      <c r="D690" t="inlineStr">
        <is>
          <t>UPPSALA LÄN</t>
        </is>
      </c>
      <c r="E690" t="inlineStr">
        <is>
          <t>ÖSTHAMMAR</t>
        </is>
      </c>
      <c r="F690" t="inlineStr">
        <is>
          <t>Bergvik skog öst AB</t>
        </is>
      </c>
      <c r="G690" t="n">
        <v>5.1</v>
      </c>
      <c r="H690" t="n">
        <v>0</v>
      </c>
      <c r="I690" t="n">
        <v>0</v>
      </c>
      <c r="J690" t="n">
        <v>0</v>
      </c>
      <c r="K690" t="n">
        <v>0</v>
      </c>
      <c r="L690" t="n">
        <v>0</v>
      </c>
      <c r="M690" t="n">
        <v>0</v>
      </c>
      <c r="N690" t="n">
        <v>0</v>
      </c>
      <c r="O690" t="n">
        <v>0</v>
      </c>
      <c r="P690" t="n">
        <v>0</v>
      </c>
      <c r="Q690" t="n">
        <v>0</v>
      </c>
      <c r="R690" s="2" t="inlineStr"/>
    </row>
    <row r="691" ht="15" customHeight="1">
      <c r="A691" t="inlineStr">
        <is>
          <t>A 29873-2023</t>
        </is>
      </c>
      <c r="B691" s="1" t="n">
        <v>45107</v>
      </c>
      <c r="C691" s="1" t="n">
        <v>45916</v>
      </c>
      <c r="D691" t="inlineStr">
        <is>
          <t>UPPSALA LÄN</t>
        </is>
      </c>
      <c r="E691" t="inlineStr">
        <is>
          <t>ÖSTHAMMAR</t>
        </is>
      </c>
      <c r="F691" t="inlineStr">
        <is>
          <t>Naturvårdsverket</t>
        </is>
      </c>
      <c r="G691" t="n">
        <v>7.8</v>
      </c>
      <c r="H691" t="n">
        <v>0</v>
      </c>
      <c r="I691" t="n">
        <v>0</v>
      </c>
      <c r="J691" t="n">
        <v>0</v>
      </c>
      <c r="K691" t="n">
        <v>0</v>
      </c>
      <c r="L691" t="n">
        <v>0</v>
      </c>
      <c r="M691" t="n">
        <v>0</v>
      </c>
      <c r="N691" t="n">
        <v>0</v>
      </c>
      <c r="O691" t="n">
        <v>0</v>
      </c>
      <c r="P691" t="n">
        <v>0</v>
      </c>
      <c r="Q691" t="n">
        <v>0</v>
      </c>
      <c r="R691" s="2" t="inlineStr"/>
    </row>
    <row r="692" ht="15" customHeight="1">
      <c r="A692" t="inlineStr">
        <is>
          <t>A 43685-2024</t>
        </is>
      </c>
      <c r="B692" s="1" t="n">
        <v>45569</v>
      </c>
      <c r="C692" s="1" t="n">
        <v>45916</v>
      </c>
      <c r="D692" t="inlineStr">
        <is>
          <t>UPPSALA LÄN</t>
        </is>
      </c>
      <c r="E692" t="inlineStr">
        <is>
          <t>ÖSTHAMMAR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44796-2024</t>
        </is>
      </c>
      <c r="B693" s="1" t="n">
        <v>45574</v>
      </c>
      <c r="C693" s="1" t="n">
        <v>45916</v>
      </c>
      <c r="D693" t="inlineStr">
        <is>
          <t>UPPSALA LÄN</t>
        </is>
      </c>
      <c r="E693" t="inlineStr">
        <is>
          <t>ÖSTHAMMAR</t>
        </is>
      </c>
      <c r="G693" t="n">
        <v>4.7</v>
      </c>
      <c r="H693" t="n">
        <v>0</v>
      </c>
      <c r="I693" t="n">
        <v>0</v>
      </c>
      <c r="J693" t="n">
        <v>0</v>
      </c>
      <c r="K693" t="n">
        <v>0</v>
      </c>
      <c r="L693" t="n">
        <v>0</v>
      </c>
      <c r="M693" t="n">
        <v>0</v>
      </c>
      <c r="N693" t="n">
        <v>0</v>
      </c>
      <c r="O693" t="n">
        <v>0</v>
      </c>
      <c r="P693" t="n">
        <v>0</v>
      </c>
      <c r="Q693" t="n">
        <v>0</v>
      </c>
      <c r="R693" s="2" t="inlineStr"/>
    </row>
    <row r="694" ht="15" customHeight="1">
      <c r="A694" t="inlineStr">
        <is>
          <t>A 61062-2023</t>
        </is>
      </c>
      <c r="B694" s="1" t="n">
        <v>45259</v>
      </c>
      <c r="C694" s="1" t="n">
        <v>45916</v>
      </c>
      <c r="D694" t="inlineStr">
        <is>
          <t>UPPSALA LÄN</t>
        </is>
      </c>
      <c r="E694" t="inlineStr">
        <is>
          <t>ÖSTHAMMAR</t>
        </is>
      </c>
      <c r="G694" t="n">
        <v>5.3</v>
      </c>
      <c r="H694" t="n">
        <v>0</v>
      </c>
      <c r="I694" t="n">
        <v>0</v>
      </c>
      <c r="J694" t="n">
        <v>0</v>
      </c>
      <c r="K694" t="n">
        <v>0</v>
      </c>
      <c r="L694" t="n">
        <v>0</v>
      </c>
      <c r="M694" t="n">
        <v>0</v>
      </c>
      <c r="N694" t="n">
        <v>0</v>
      </c>
      <c r="O694" t="n">
        <v>0</v>
      </c>
      <c r="P694" t="n">
        <v>0</v>
      </c>
      <c r="Q694" t="n">
        <v>0</v>
      </c>
      <c r="R694" s="2" t="inlineStr"/>
    </row>
    <row r="695" ht="15" customHeight="1">
      <c r="A695" t="inlineStr">
        <is>
          <t>A 55100-2024</t>
        </is>
      </c>
      <c r="B695" s="1" t="n">
        <v>45621.4405787037</v>
      </c>
      <c r="C695" s="1" t="n">
        <v>45916</v>
      </c>
      <c r="D695" t="inlineStr">
        <is>
          <t>UPPSALA LÄN</t>
        </is>
      </c>
      <c r="E695" t="inlineStr">
        <is>
          <t>ÖSTHAMMAR</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44027-2024</t>
        </is>
      </c>
      <c r="B696" s="1" t="n">
        <v>45572</v>
      </c>
      <c r="C696" s="1" t="n">
        <v>45916</v>
      </c>
      <c r="D696" t="inlineStr">
        <is>
          <t>UPPSALA LÄN</t>
        </is>
      </c>
      <c r="E696" t="inlineStr">
        <is>
          <t>ÖSTHAMMAR</t>
        </is>
      </c>
      <c r="G696" t="n">
        <v>6</v>
      </c>
      <c r="H696" t="n">
        <v>0</v>
      </c>
      <c r="I696" t="n">
        <v>0</v>
      </c>
      <c r="J696" t="n">
        <v>0</v>
      </c>
      <c r="K696" t="n">
        <v>0</v>
      </c>
      <c r="L696" t="n">
        <v>0</v>
      </c>
      <c r="M696" t="n">
        <v>0</v>
      </c>
      <c r="N696" t="n">
        <v>0</v>
      </c>
      <c r="O696" t="n">
        <v>0</v>
      </c>
      <c r="P696" t="n">
        <v>0</v>
      </c>
      <c r="Q696" t="n">
        <v>0</v>
      </c>
      <c r="R696" s="2" t="inlineStr"/>
    </row>
    <row r="697" ht="15" customHeight="1">
      <c r="A697" t="inlineStr">
        <is>
          <t>A 5931-2022</t>
        </is>
      </c>
      <c r="B697" s="1" t="n">
        <v>44598.82700231481</v>
      </c>
      <c r="C697" s="1" t="n">
        <v>45916</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43683-2024</t>
        </is>
      </c>
      <c r="B698" s="1" t="n">
        <v>45569.57518518518</v>
      </c>
      <c r="C698" s="1" t="n">
        <v>45916</v>
      </c>
      <c r="D698" t="inlineStr">
        <is>
          <t>UPPSALA LÄN</t>
        </is>
      </c>
      <c r="E698" t="inlineStr">
        <is>
          <t>ÖSTHAMMAR</t>
        </is>
      </c>
      <c r="G698" t="n">
        <v>4.7</v>
      </c>
      <c r="H698" t="n">
        <v>0</v>
      </c>
      <c r="I698" t="n">
        <v>0</v>
      </c>
      <c r="J698" t="n">
        <v>0</v>
      </c>
      <c r="K698" t="n">
        <v>0</v>
      </c>
      <c r="L698" t="n">
        <v>0</v>
      </c>
      <c r="M698" t="n">
        <v>0</v>
      </c>
      <c r="N698" t="n">
        <v>0</v>
      </c>
      <c r="O698" t="n">
        <v>0</v>
      </c>
      <c r="P698" t="n">
        <v>0</v>
      </c>
      <c r="Q698" t="n">
        <v>0</v>
      </c>
      <c r="R698" s="2" t="inlineStr"/>
    </row>
    <row r="699" ht="15" customHeight="1">
      <c r="A699" t="inlineStr">
        <is>
          <t>A 43993-2024</t>
        </is>
      </c>
      <c r="B699" s="1" t="n">
        <v>45572.52690972222</v>
      </c>
      <c r="C699" s="1" t="n">
        <v>45916</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31669-2022</t>
        </is>
      </c>
      <c r="B700" s="1" t="n">
        <v>44775</v>
      </c>
      <c r="C700" s="1" t="n">
        <v>45916</v>
      </c>
      <c r="D700" t="inlineStr">
        <is>
          <t>UPPSALA LÄN</t>
        </is>
      </c>
      <c r="E700" t="inlineStr">
        <is>
          <t>ÖSTHAMMAR</t>
        </is>
      </c>
      <c r="G700" t="n">
        <v>6</v>
      </c>
      <c r="H700" t="n">
        <v>0</v>
      </c>
      <c r="I700" t="n">
        <v>0</v>
      </c>
      <c r="J700" t="n">
        <v>0</v>
      </c>
      <c r="K700" t="n">
        <v>0</v>
      </c>
      <c r="L700" t="n">
        <v>0</v>
      </c>
      <c r="M700" t="n">
        <v>0</v>
      </c>
      <c r="N700" t="n">
        <v>0</v>
      </c>
      <c r="O700" t="n">
        <v>0</v>
      </c>
      <c r="P700" t="n">
        <v>0</v>
      </c>
      <c r="Q700" t="n">
        <v>0</v>
      </c>
      <c r="R700" s="2" t="inlineStr"/>
    </row>
    <row r="701" ht="15" customHeight="1">
      <c r="A701" t="inlineStr">
        <is>
          <t>A 18094-2025</t>
        </is>
      </c>
      <c r="B701" s="1" t="n">
        <v>45761.54710648148</v>
      </c>
      <c r="C701" s="1" t="n">
        <v>45916</v>
      </c>
      <c r="D701" t="inlineStr">
        <is>
          <t>UPPSALA LÄN</t>
        </is>
      </c>
      <c r="E701" t="inlineStr">
        <is>
          <t>ÖSTHAMMAR</t>
        </is>
      </c>
      <c r="F701" t="inlineStr">
        <is>
          <t>Bergvik skog öst AB</t>
        </is>
      </c>
      <c r="G701" t="n">
        <v>6.5</v>
      </c>
      <c r="H701" t="n">
        <v>0</v>
      </c>
      <c r="I701" t="n">
        <v>0</v>
      </c>
      <c r="J701" t="n">
        <v>0</v>
      </c>
      <c r="K701" t="n">
        <v>0</v>
      </c>
      <c r="L701" t="n">
        <v>0</v>
      </c>
      <c r="M701" t="n">
        <v>0</v>
      </c>
      <c r="N701" t="n">
        <v>0</v>
      </c>
      <c r="O701" t="n">
        <v>0</v>
      </c>
      <c r="P701" t="n">
        <v>0</v>
      </c>
      <c r="Q701" t="n">
        <v>0</v>
      </c>
      <c r="R701" s="2" t="inlineStr"/>
    </row>
    <row r="702" ht="15" customHeight="1">
      <c r="A702" t="inlineStr">
        <is>
          <t>A 22492-2025</t>
        </is>
      </c>
      <c r="B702" s="1" t="n">
        <v>45786.65072916666</v>
      </c>
      <c r="C702" s="1" t="n">
        <v>45916</v>
      </c>
      <c r="D702" t="inlineStr">
        <is>
          <t>UPPSALA LÄN</t>
        </is>
      </c>
      <c r="E702" t="inlineStr">
        <is>
          <t>ÖSTHAMMAR</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22483-2025</t>
        </is>
      </c>
      <c r="B703" s="1" t="n">
        <v>45786.64141203704</v>
      </c>
      <c r="C703" s="1" t="n">
        <v>45916</v>
      </c>
      <c r="D703" t="inlineStr">
        <is>
          <t>UPPSALA LÄN</t>
        </is>
      </c>
      <c r="E703" t="inlineStr">
        <is>
          <t>ÖSTHAMMAR</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59291-2023</t>
        </is>
      </c>
      <c r="B704" s="1" t="n">
        <v>45253.57559027777</v>
      </c>
      <c r="C704" s="1" t="n">
        <v>45916</v>
      </c>
      <c r="D704" t="inlineStr">
        <is>
          <t>UPPSALA LÄN</t>
        </is>
      </c>
      <c r="E704" t="inlineStr">
        <is>
          <t>ÖSTHAMMAR</t>
        </is>
      </c>
      <c r="G704" t="n">
        <v>1.7</v>
      </c>
      <c r="H704" t="n">
        <v>0</v>
      </c>
      <c r="I704" t="n">
        <v>0</v>
      </c>
      <c r="J704" t="n">
        <v>0</v>
      </c>
      <c r="K704" t="n">
        <v>0</v>
      </c>
      <c r="L704" t="n">
        <v>0</v>
      </c>
      <c r="M704" t="n">
        <v>0</v>
      </c>
      <c r="N704" t="n">
        <v>0</v>
      </c>
      <c r="O704" t="n">
        <v>0</v>
      </c>
      <c r="P704" t="n">
        <v>0</v>
      </c>
      <c r="Q704" t="n">
        <v>0</v>
      </c>
      <c r="R704" s="2" t="inlineStr"/>
    </row>
    <row r="705" ht="15" customHeight="1">
      <c r="A705" t="inlineStr">
        <is>
          <t>A 67151-2021</t>
        </is>
      </c>
      <c r="B705" s="1" t="n">
        <v>44523</v>
      </c>
      <c r="C705" s="1" t="n">
        <v>45916</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9542-2023</t>
        </is>
      </c>
      <c r="B706" s="1" t="n">
        <v>44981</v>
      </c>
      <c r="C706" s="1" t="n">
        <v>45916</v>
      </c>
      <c r="D706" t="inlineStr">
        <is>
          <t>UPPSALA LÄN</t>
        </is>
      </c>
      <c r="E706" t="inlineStr">
        <is>
          <t>ÖSTHAMMAR</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36343-2022</t>
        </is>
      </c>
      <c r="B707" s="1" t="n">
        <v>44803.78524305556</v>
      </c>
      <c r="C707" s="1" t="n">
        <v>45916</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16933-2022</t>
        </is>
      </c>
      <c r="B708" s="1" t="n">
        <v>44676</v>
      </c>
      <c r="C708" s="1" t="n">
        <v>45916</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48083-2024</t>
        </is>
      </c>
      <c r="B709" s="1" t="n">
        <v>45589.58766203704</v>
      </c>
      <c r="C709" s="1" t="n">
        <v>45916</v>
      </c>
      <c r="D709" t="inlineStr">
        <is>
          <t>UPPSALA LÄN</t>
        </is>
      </c>
      <c r="E709" t="inlineStr">
        <is>
          <t>ÖSTHAMMAR</t>
        </is>
      </c>
      <c r="G709" t="n">
        <v>3</v>
      </c>
      <c r="H709" t="n">
        <v>0</v>
      </c>
      <c r="I709" t="n">
        <v>0</v>
      </c>
      <c r="J709" t="n">
        <v>0</v>
      </c>
      <c r="K709" t="n">
        <v>0</v>
      </c>
      <c r="L709" t="n">
        <v>0</v>
      </c>
      <c r="M709" t="n">
        <v>0</v>
      </c>
      <c r="N709" t="n">
        <v>0</v>
      </c>
      <c r="O709" t="n">
        <v>0</v>
      </c>
      <c r="P709" t="n">
        <v>0</v>
      </c>
      <c r="Q709" t="n">
        <v>0</v>
      </c>
      <c r="R709" s="2" t="inlineStr"/>
    </row>
    <row r="710" ht="15" customHeight="1">
      <c r="A710" t="inlineStr">
        <is>
          <t>A 14269-2025</t>
        </is>
      </c>
      <c r="B710" s="1" t="n">
        <v>45740.64078703704</v>
      </c>
      <c r="C710" s="1" t="n">
        <v>45916</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23305-2025</t>
        </is>
      </c>
      <c r="B711" s="1" t="n">
        <v>45791.60127314815</v>
      </c>
      <c r="C711" s="1" t="n">
        <v>45916</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5855-2022</t>
        </is>
      </c>
      <c r="B712" s="1" t="n">
        <v>44596.63290509259</v>
      </c>
      <c r="C712" s="1" t="n">
        <v>45916</v>
      </c>
      <c r="D712" t="inlineStr">
        <is>
          <t>UPPSALA LÄN</t>
        </is>
      </c>
      <c r="E712" t="inlineStr">
        <is>
          <t>ÖSTHAMMAR</t>
        </is>
      </c>
      <c r="G712" t="n">
        <v>0.9</v>
      </c>
      <c r="H712" t="n">
        <v>0</v>
      </c>
      <c r="I712" t="n">
        <v>0</v>
      </c>
      <c r="J712" t="n">
        <v>0</v>
      </c>
      <c r="K712" t="n">
        <v>0</v>
      </c>
      <c r="L712" t="n">
        <v>0</v>
      </c>
      <c r="M712" t="n">
        <v>0</v>
      </c>
      <c r="N712" t="n">
        <v>0</v>
      </c>
      <c r="O712" t="n">
        <v>0</v>
      </c>
      <c r="P712" t="n">
        <v>0</v>
      </c>
      <c r="Q712" t="n">
        <v>0</v>
      </c>
      <c r="R712" s="2" t="inlineStr"/>
    </row>
    <row r="713">
      <c r="A713" t="inlineStr">
        <is>
          <t>A 13622-2025</t>
        </is>
      </c>
      <c r="B713" s="1" t="n">
        <v>45736</v>
      </c>
      <c r="C713" s="1" t="n">
        <v>45916</v>
      </c>
      <c r="D713" t="inlineStr">
        <is>
          <t>UPPSALA LÄN</t>
        </is>
      </c>
      <c r="E713" t="inlineStr">
        <is>
          <t>ÖSTHAMMAR</t>
        </is>
      </c>
      <c r="G713" t="n">
        <v>2.6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2025-09-16T08:54:53Z</dcterms:created>
  <dcterms:modified xmlns:dcterms="http://purl.org/dc/terms/" xmlns:xsi="http://www.w3.org/2001/XMLSchema-instance" xsi:type="dcterms:W3CDTF">2025-09-16T08:54:53Z</dcterms:modified>
</cp:coreProperties>
</file>