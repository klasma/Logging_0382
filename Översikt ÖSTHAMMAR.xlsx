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46084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46084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46084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46084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46084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46084</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46084</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46084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46084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46084</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46084</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52808-2023</t>
        </is>
      </c>
      <c r="B17" s="1" t="n">
        <v>45226</v>
      </c>
      <c r="C17" s="1" t="n">
        <v>46084</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46084</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46084</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221-2025</t>
        </is>
      </c>
      <c r="B23" s="1" t="n">
        <v>45660</v>
      </c>
      <c r="C23" s="1" t="n">
        <v>46084</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63054-2025</t>
        </is>
      </c>
      <c r="B24" s="1" t="n">
        <v>46009</v>
      </c>
      <c r="C24" s="1" t="n">
        <v>46084</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46084</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49910-2022</t>
        </is>
      </c>
      <c r="B26" s="1" t="n">
        <v>44865</v>
      </c>
      <c r="C26" s="1" t="n">
        <v>46084</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35911-2021</t>
        </is>
      </c>
      <c r="B27" s="1" t="n">
        <v>44387</v>
      </c>
      <c r="C27" s="1" t="n">
        <v>46084</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46084</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46084</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46084</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46084</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46084</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46084</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46084</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46084</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43992-2022</t>
        </is>
      </c>
      <c r="B36" s="1" t="n">
        <v>44837</v>
      </c>
      <c r="C36" s="1" t="n">
        <v>46084</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23498-2023</t>
        </is>
      </c>
      <c r="B37" s="1" t="n">
        <v>45076</v>
      </c>
      <c r="C37" s="1" t="n">
        <v>46084</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74364-2021</t>
        </is>
      </c>
      <c r="B38" s="1" t="n">
        <v>44559</v>
      </c>
      <c r="C38" s="1" t="n">
        <v>46084</v>
      </c>
      <c r="D38" t="inlineStr">
        <is>
          <t>UPPSALA LÄN</t>
        </is>
      </c>
      <c r="E38" t="inlineStr">
        <is>
          <t>ÖSTHAMMAR</t>
        </is>
      </c>
      <c r="G38" t="n">
        <v>3.5</v>
      </c>
      <c r="H38" t="n">
        <v>3</v>
      </c>
      <c r="I38" t="n">
        <v>3</v>
      </c>
      <c r="J38" t="n">
        <v>0</v>
      </c>
      <c r="K38" t="n">
        <v>0</v>
      </c>
      <c r="L38" t="n">
        <v>0</v>
      </c>
      <c r="M38" t="n">
        <v>0</v>
      </c>
      <c r="N38" t="n">
        <v>0</v>
      </c>
      <c r="O38" t="n">
        <v>0</v>
      </c>
      <c r="P38" t="n">
        <v>0</v>
      </c>
      <c r="Q38" t="n">
        <v>5</v>
      </c>
      <c r="R38" s="2" t="inlineStr">
        <is>
          <t>Bronshjon
Skogsknipprot
Sårläka
Blåsippa
Lopplummer (aggregat)</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26056-2025</t>
        </is>
      </c>
      <c r="B39" s="1" t="n">
        <v>45804.79280092593</v>
      </c>
      <c r="C39" s="1" t="n">
        <v>46084</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55492-2023</t>
        </is>
      </c>
      <c r="B40" s="1" t="n">
        <v>45238</v>
      </c>
      <c r="C40" s="1" t="n">
        <v>46084</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51154-2025</t>
        </is>
      </c>
      <c r="B41" s="1" t="n">
        <v>45947.57583333334</v>
      </c>
      <c r="C41" s="1" t="n">
        <v>46084</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15556-2022</t>
        </is>
      </c>
      <c r="B42" s="1" t="n">
        <v>44662</v>
      </c>
      <c r="C42" s="1" t="n">
        <v>46084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1101-2026</t>
        </is>
      </c>
      <c r="B43" s="1" t="n">
        <v>46030.66722222222</v>
      </c>
      <c r="C43" s="1" t="n">
        <v>46084</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24563-2022</t>
        </is>
      </c>
      <c r="B44" s="1" t="n">
        <v>44727</v>
      </c>
      <c r="C44" s="1" t="n">
        <v>46084</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52808-2022</t>
        </is>
      </c>
      <c r="B45" s="1" t="n">
        <v>44875</v>
      </c>
      <c r="C45" s="1" t="n">
        <v>46084</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46084</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26279-2024</t>
        </is>
      </c>
      <c r="B47" s="1" t="n">
        <v>45468</v>
      </c>
      <c r="C47" s="1" t="n">
        <v>46084</v>
      </c>
      <c r="D47" t="inlineStr">
        <is>
          <t>UPPSALA LÄN</t>
        </is>
      </c>
      <c r="E47" t="inlineStr">
        <is>
          <t>ÖSTHAMMAR</t>
        </is>
      </c>
      <c r="G47" t="n">
        <v>2.8</v>
      </c>
      <c r="H47" t="n">
        <v>2</v>
      </c>
      <c r="I47" t="n">
        <v>4</v>
      </c>
      <c r="J47" t="n">
        <v>0</v>
      </c>
      <c r="K47" t="n">
        <v>0</v>
      </c>
      <c r="L47" t="n">
        <v>0</v>
      </c>
      <c r="M47" t="n">
        <v>0</v>
      </c>
      <c r="N47" t="n">
        <v>0</v>
      </c>
      <c r="O47" t="n">
        <v>0</v>
      </c>
      <c r="P47" t="n">
        <v>0</v>
      </c>
      <c r="Q47" t="n">
        <v>4</v>
      </c>
      <c r="R47" s="2" t="inlineStr">
        <is>
          <t>Nästrot
Skogsknipprot
Sårläka
Vårärt</t>
        </is>
      </c>
      <c r="S47">
        <f>HYPERLINK("https://klasma.github.io/Logging_0382/artfynd/A 26279-2024 artfynd.xlsx", "A 26279-2024")</f>
        <v/>
      </c>
      <c r="T47">
        <f>HYPERLINK("https://klasma.github.io/Logging_0382/kartor/A 26279-2024 karta.png", "A 26279-2024")</f>
        <v/>
      </c>
      <c r="V47">
        <f>HYPERLINK("https://klasma.github.io/Logging_0382/klagomål/A 26279-2024 FSC-klagomål.docx", "A 26279-2024")</f>
        <v/>
      </c>
      <c r="W47">
        <f>HYPERLINK("https://klasma.github.io/Logging_0382/klagomålsmail/A 26279-2024 FSC-klagomål mail.docx", "A 26279-2024")</f>
        <v/>
      </c>
      <c r="X47">
        <f>HYPERLINK("https://klasma.github.io/Logging_0382/tillsyn/A 26279-2024 tillsynsbegäran.docx", "A 26279-2024")</f>
        <v/>
      </c>
      <c r="Y47">
        <f>HYPERLINK("https://klasma.github.io/Logging_0382/tillsynsmail/A 26279-2024 tillsynsbegäran mail.docx", "A 26279-2024")</f>
        <v/>
      </c>
    </row>
    <row r="48" ht="15" customHeight="1">
      <c r="A48" t="inlineStr">
        <is>
          <t>A 48352-2022</t>
        </is>
      </c>
      <c r="B48" s="1" t="n">
        <v>44858</v>
      </c>
      <c r="C48" s="1" t="n">
        <v>46084</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54492-2024</t>
        </is>
      </c>
      <c r="B49" s="1" t="n">
        <v>45617</v>
      </c>
      <c r="C49" s="1" t="n">
        <v>46084</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60889-2025</t>
        </is>
      </c>
      <c r="B50" s="1" t="n">
        <v>45999.56931712963</v>
      </c>
      <c r="C50" s="1" t="n">
        <v>46084</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33051-2021</t>
        </is>
      </c>
      <c r="B51" s="1" t="n">
        <v>44376</v>
      </c>
      <c r="C51" s="1" t="n">
        <v>46084</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46204-2023</t>
        </is>
      </c>
      <c r="B52" s="1" t="n">
        <v>45190</v>
      </c>
      <c r="C52" s="1" t="n">
        <v>46084</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25044-2025</t>
        </is>
      </c>
      <c r="B53" s="1" t="n">
        <v>45799.66607638889</v>
      </c>
      <c r="C53" s="1" t="n">
        <v>46084</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46084</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55051-2021</t>
        </is>
      </c>
      <c r="B55" s="1" t="n">
        <v>44474</v>
      </c>
      <c r="C55" s="1" t="n">
        <v>46084</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26557-2022</t>
        </is>
      </c>
      <c r="B56" s="1" t="n">
        <v>44739</v>
      </c>
      <c r="C56" s="1" t="n">
        <v>46084</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6567-2026</t>
        </is>
      </c>
      <c r="B57" s="1" t="n">
        <v>46056.44011574074</v>
      </c>
      <c r="C57" s="1" t="n">
        <v>46084</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9683-2023</t>
        </is>
      </c>
      <c r="B58" s="1" t="n">
        <v>44984.43856481482</v>
      </c>
      <c r="C58" s="1" t="n">
        <v>46084</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33035-2021</t>
        </is>
      </c>
      <c r="B59" s="1" t="n">
        <v>44376</v>
      </c>
      <c r="C59" s="1" t="n">
        <v>46084</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9715-2024</t>
        </is>
      </c>
      <c r="B60" s="1" t="n">
        <v>45362.53928240741</v>
      </c>
      <c r="C60" s="1" t="n">
        <v>46084</v>
      </c>
      <c r="D60" t="inlineStr">
        <is>
          <t>UPPSALA LÄN</t>
        </is>
      </c>
      <c r="E60" t="inlineStr">
        <is>
          <t>ÖSTHAMMAR</t>
        </is>
      </c>
      <c r="G60" t="n">
        <v>4.7</v>
      </c>
      <c r="H60" t="n">
        <v>2</v>
      </c>
      <c r="I60" t="n">
        <v>2</v>
      </c>
      <c r="J60" t="n">
        <v>0</v>
      </c>
      <c r="K60" t="n">
        <v>1</v>
      </c>
      <c r="L60" t="n">
        <v>0</v>
      </c>
      <c r="M60" t="n">
        <v>0</v>
      </c>
      <c r="N60" t="n">
        <v>0</v>
      </c>
      <c r="O60" t="n">
        <v>1</v>
      </c>
      <c r="P60" t="n">
        <v>1</v>
      </c>
      <c r="Q60" t="n">
        <v>3</v>
      </c>
      <c r="R60" s="2" t="inlineStr">
        <is>
          <t>Knärot
Skogsknipprot
Vedticka</t>
        </is>
      </c>
      <c r="S60">
        <f>HYPERLINK("https://klasma.github.io/Logging_0382/artfynd/A 9715-2024 artfynd.xlsx", "A 9715-2024")</f>
        <v/>
      </c>
      <c r="T60">
        <f>HYPERLINK("https://klasma.github.io/Logging_0382/kartor/A 9715-2024 karta.png", "A 9715-2024")</f>
        <v/>
      </c>
      <c r="U60">
        <f>HYPERLINK("https://klasma.github.io/Logging_0382/knärot/A 9715-2024 karta knärot.png", "A 9715-2024")</f>
        <v/>
      </c>
      <c r="V60">
        <f>HYPERLINK("https://klasma.github.io/Logging_0382/klagomål/A 9715-2024 FSC-klagomål.docx", "A 9715-2024")</f>
        <v/>
      </c>
      <c r="W60">
        <f>HYPERLINK("https://klasma.github.io/Logging_0382/klagomålsmail/A 9715-2024 FSC-klagomål mail.docx", "A 9715-2024")</f>
        <v/>
      </c>
      <c r="X60">
        <f>HYPERLINK("https://klasma.github.io/Logging_0382/tillsyn/A 9715-2024 tillsynsbegäran.docx", "A 9715-2024")</f>
        <v/>
      </c>
      <c r="Y60">
        <f>HYPERLINK("https://klasma.github.io/Logging_0382/tillsynsmail/A 9715-2024 tillsynsbegäran mail.docx", "A 9715-2024")</f>
        <v/>
      </c>
    </row>
    <row r="61" ht="15" customHeight="1">
      <c r="A61" t="inlineStr">
        <is>
          <t>A 60078-2021</t>
        </is>
      </c>
      <c r="B61" s="1" t="n">
        <v>44495</v>
      </c>
      <c r="C61" s="1" t="n">
        <v>46084</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46084</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46084</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9646-2024</t>
        </is>
      </c>
      <c r="B64" s="1" t="n">
        <v>45362.37055555556</v>
      </c>
      <c r="C64" s="1" t="n">
        <v>46084</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41303-2025</t>
        </is>
      </c>
      <c r="B65" s="1" t="n">
        <v>45898.69215277778</v>
      </c>
      <c r="C65" s="1" t="n">
        <v>46084</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2916-2025</t>
        </is>
      </c>
      <c r="B66" s="1" t="n">
        <v>45677</v>
      </c>
      <c r="C66" s="1" t="n">
        <v>46084</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33269-2025</t>
        </is>
      </c>
      <c r="B67" s="1" t="n">
        <v>45840.68208333333</v>
      </c>
      <c r="C67" s="1" t="n">
        <v>46084</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26277-2024</t>
        </is>
      </c>
      <c r="B68" s="1" t="n">
        <v>45468</v>
      </c>
      <c r="C68" s="1" t="n">
        <v>46084</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46084</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46084</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46084</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46084</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37768-2025</t>
        </is>
      </c>
      <c r="B73" s="1" t="n">
        <v>45880</v>
      </c>
      <c r="C73" s="1" t="n">
        <v>46084</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56669-2025</t>
        </is>
      </c>
      <c r="B74" s="1" t="n">
        <v>45975.69306712963</v>
      </c>
      <c r="C74" s="1" t="n">
        <v>46084</v>
      </c>
      <c r="D74" t="inlineStr">
        <is>
          <t>UPPSALA LÄN</t>
        </is>
      </c>
      <c r="E74" t="inlineStr">
        <is>
          <t>ÖSTHAMMAR</t>
        </is>
      </c>
      <c r="G74" t="n">
        <v>2.1</v>
      </c>
      <c r="H74" t="n">
        <v>0</v>
      </c>
      <c r="I74" t="n">
        <v>2</v>
      </c>
      <c r="J74" t="n">
        <v>0</v>
      </c>
      <c r="K74" t="n">
        <v>0</v>
      </c>
      <c r="L74" t="n">
        <v>0</v>
      </c>
      <c r="M74" t="n">
        <v>0</v>
      </c>
      <c r="N74" t="n">
        <v>0</v>
      </c>
      <c r="O74" t="n">
        <v>0</v>
      </c>
      <c r="P74" t="n">
        <v>0</v>
      </c>
      <c r="Q74" t="n">
        <v>2</v>
      </c>
      <c r="R74" s="2" t="inlineStr">
        <is>
          <t>Anisspindling
Svavelriska</t>
        </is>
      </c>
      <c r="S74">
        <f>HYPERLINK("https://klasma.github.io/Logging_0382/artfynd/A 56669-2025 artfynd.xlsx", "A 56669-2025")</f>
        <v/>
      </c>
      <c r="T74">
        <f>HYPERLINK("https://klasma.github.io/Logging_0382/kartor/A 56669-2025 karta.png", "A 56669-2025")</f>
        <v/>
      </c>
      <c r="V74">
        <f>HYPERLINK("https://klasma.github.io/Logging_0382/klagomål/A 56669-2025 FSC-klagomål.docx", "A 56669-2025")</f>
        <v/>
      </c>
      <c r="W74">
        <f>HYPERLINK("https://klasma.github.io/Logging_0382/klagomålsmail/A 56669-2025 FSC-klagomål mail.docx", "A 56669-2025")</f>
        <v/>
      </c>
      <c r="X74">
        <f>HYPERLINK("https://klasma.github.io/Logging_0382/tillsyn/A 56669-2025 tillsynsbegäran.docx", "A 56669-2025")</f>
        <v/>
      </c>
      <c r="Y74">
        <f>HYPERLINK("https://klasma.github.io/Logging_0382/tillsynsmail/A 56669-2025 tillsynsbegäran mail.docx", "A 56669-2025")</f>
        <v/>
      </c>
    </row>
    <row r="75" ht="15" customHeight="1">
      <c r="A75" t="inlineStr">
        <is>
          <t>A 25098-2022</t>
        </is>
      </c>
      <c r="B75" s="1" t="n">
        <v>44729.44149305556</v>
      </c>
      <c r="C75" s="1" t="n">
        <v>46084</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60898-2025</t>
        </is>
      </c>
      <c r="B76" s="1" t="n">
        <v>45999.58256944444</v>
      </c>
      <c r="C76" s="1" t="n">
        <v>46084</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46084</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18539-2024</t>
        </is>
      </c>
      <c r="B78" s="1" t="n">
        <v>45425.63697916667</v>
      </c>
      <c r="C78" s="1" t="n">
        <v>46084</v>
      </c>
      <c r="D78" t="inlineStr">
        <is>
          <t>UPPSALA LÄN</t>
        </is>
      </c>
      <c r="E78" t="inlineStr">
        <is>
          <t>ÖSTHAMMAR</t>
        </is>
      </c>
      <c r="G78" t="n">
        <v>4.7</v>
      </c>
      <c r="H78" t="n">
        <v>0</v>
      </c>
      <c r="I78" t="n">
        <v>2</v>
      </c>
      <c r="J78" t="n">
        <v>0</v>
      </c>
      <c r="K78" t="n">
        <v>0</v>
      </c>
      <c r="L78" t="n">
        <v>0</v>
      </c>
      <c r="M78" t="n">
        <v>0</v>
      </c>
      <c r="N78" t="n">
        <v>0</v>
      </c>
      <c r="O78" t="n">
        <v>0</v>
      </c>
      <c r="P78" t="n">
        <v>0</v>
      </c>
      <c r="Q78" t="n">
        <v>2</v>
      </c>
      <c r="R78" s="2" t="inlineStr">
        <is>
          <t>Bronshjon
Vågbandad barkbock</t>
        </is>
      </c>
      <c r="S78">
        <f>HYPERLINK("https://klasma.github.io/Logging_0382/artfynd/A 18539-2024 artfynd.xlsx", "A 18539-2024")</f>
        <v/>
      </c>
      <c r="T78">
        <f>HYPERLINK("https://klasma.github.io/Logging_0382/kartor/A 18539-2024 karta.png", "A 18539-2024")</f>
        <v/>
      </c>
      <c r="V78">
        <f>HYPERLINK("https://klasma.github.io/Logging_0382/klagomål/A 18539-2024 FSC-klagomål.docx", "A 18539-2024")</f>
        <v/>
      </c>
      <c r="W78">
        <f>HYPERLINK("https://klasma.github.io/Logging_0382/klagomålsmail/A 18539-2024 FSC-klagomål mail.docx", "A 18539-2024")</f>
        <v/>
      </c>
      <c r="X78">
        <f>HYPERLINK("https://klasma.github.io/Logging_0382/tillsyn/A 18539-2024 tillsynsbegäran.docx", "A 18539-2024")</f>
        <v/>
      </c>
      <c r="Y78">
        <f>HYPERLINK("https://klasma.github.io/Logging_0382/tillsynsmail/A 18539-2024 tillsynsbegäran mail.docx", "A 18539-2024")</f>
        <v/>
      </c>
    </row>
    <row r="79" ht="15" customHeight="1">
      <c r="A79" t="inlineStr">
        <is>
          <t>A 20553-2025</t>
        </is>
      </c>
      <c r="B79" s="1" t="n">
        <v>45775.63983796296</v>
      </c>
      <c r="C79" s="1" t="n">
        <v>46084</v>
      </c>
      <c r="D79" t="inlineStr">
        <is>
          <t>UPPSALA LÄN</t>
        </is>
      </c>
      <c r="E79" t="inlineStr">
        <is>
          <t>ÖSTHAMMAR</t>
        </is>
      </c>
      <c r="G79" t="n">
        <v>0.4</v>
      </c>
      <c r="H79" t="n">
        <v>0</v>
      </c>
      <c r="I79" t="n">
        <v>2</v>
      </c>
      <c r="J79" t="n">
        <v>0</v>
      </c>
      <c r="K79" t="n">
        <v>0</v>
      </c>
      <c r="L79" t="n">
        <v>0</v>
      </c>
      <c r="M79" t="n">
        <v>0</v>
      </c>
      <c r="N79" t="n">
        <v>0</v>
      </c>
      <c r="O79" t="n">
        <v>0</v>
      </c>
      <c r="P79" t="n">
        <v>0</v>
      </c>
      <c r="Q79" t="n">
        <v>2</v>
      </c>
      <c r="R79" s="2" t="inlineStr">
        <is>
          <t>Jättesvampmal
Robust tickgnagare</t>
        </is>
      </c>
      <c r="S79">
        <f>HYPERLINK("https://klasma.github.io/Logging_0382/artfynd/A 20553-2025 artfynd.xlsx", "A 20553-2025")</f>
        <v/>
      </c>
      <c r="T79">
        <f>HYPERLINK("https://klasma.github.io/Logging_0382/kartor/A 20553-2025 karta.png", "A 20553-2025")</f>
        <v/>
      </c>
      <c r="V79">
        <f>HYPERLINK("https://klasma.github.io/Logging_0382/klagomål/A 20553-2025 FSC-klagomål.docx", "A 20553-2025")</f>
        <v/>
      </c>
      <c r="W79">
        <f>HYPERLINK("https://klasma.github.io/Logging_0382/klagomålsmail/A 20553-2025 FSC-klagomål mail.docx", "A 20553-2025")</f>
        <v/>
      </c>
      <c r="X79">
        <f>HYPERLINK("https://klasma.github.io/Logging_0382/tillsyn/A 20553-2025 tillsynsbegäran.docx", "A 20553-2025")</f>
        <v/>
      </c>
      <c r="Y79">
        <f>HYPERLINK("https://klasma.github.io/Logging_0382/tillsynsmail/A 20553-2025 tillsynsbegäran mail.docx", "A 20553-2025")</f>
        <v/>
      </c>
    </row>
    <row r="80" ht="15" customHeight="1">
      <c r="A80" t="inlineStr">
        <is>
          <t>A 13287-2022</t>
        </is>
      </c>
      <c r="B80" s="1" t="n">
        <v>44644</v>
      </c>
      <c r="C80" s="1" t="n">
        <v>46084</v>
      </c>
      <c r="D80" t="inlineStr">
        <is>
          <t>UPPSALA LÄN</t>
        </is>
      </c>
      <c r="E80" t="inlineStr">
        <is>
          <t>ÖSTHAMMAR</t>
        </is>
      </c>
      <c r="G80" t="n">
        <v>14.6</v>
      </c>
      <c r="H80" t="n">
        <v>0</v>
      </c>
      <c r="I80" t="n">
        <v>1</v>
      </c>
      <c r="J80" t="n">
        <v>0</v>
      </c>
      <c r="K80" t="n">
        <v>1</v>
      </c>
      <c r="L80" t="n">
        <v>0</v>
      </c>
      <c r="M80" t="n">
        <v>0</v>
      </c>
      <c r="N80" t="n">
        <v>0</v>
      </c>
      <c r="O80" t="n">
        <v>1</v>
      </c>
      <c r="P80" t="n">
        <v>1</v>
      </c>
      <c r="Q80" t="n">
        <v>2</v>
      </c>
      <c r="R80" s="2" t="inlineStr">
        <is>
          <t>Bullspindling
Olivspindling</t>
        </is>
      </c>
      <c r="S80">
        <f>HYPERLINK("https://klasma.github.io/Logging_0382/artfynd/A 13287-2022 artfynd.xlsx", "A 13287-2022")</f>
        <v/>
      </c>
      <c r="T80">
        <f>HYPERLINK("https://klasma.github.io/Logging_0382/kartor/A 13287-2022 karta.png", "A 13287-2022")</f>
        <v/>
      </c>
      <c r="V80">
        <f>HYPERLINK("https://klasma.github.io/Logging_0382/klagomål/A 13287-2022 FSC-klagomål.docx", "A 13287-2022")</f>
        <v/>
      </c>
      <c r="W80">
        <f>HYPERLINK("https://klasma.github.io/Logging_0382/klagomålsmail/A 13287-2022 FSC-klagomål mail.docx", "A 13287-2022")</f>
        <v/>
      </c>
      <c r="X80">
        <f>HYPERLINK("https://klasma.github.io/Logging_0382/tillsyn/A 13287-2022 tillsynsbegäran.docx", "A 13287-2022")</f>
        <v/>
      </c>
      <c r="Y80">
        <f>HYPERLINK("https://klasma.github.io/Logging_0382/tillsynsmail/A 13287-2022 tillsynsbegäran mail.docx", "A 13287-2022")</f>
        <v/>
      </c>
    </row>
    <row r="81" ht="15" customHeight="1">
      <c r="A81" t="inlineStr">
        <is>
          <t>A 30943-2024</t>
        </is>
      </c>
      <c r="B81" s="1" t="n">
        <v>45499</v>
      </c>
      <c r="C81" s="1" t="n">
        <v>46084</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46084</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46084</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52651-2022</t>
        </is>
      </c>
      <c r="B84" s="1" t="n">
        <v>44874</v>
      </c>
      <c r="C84" s="1" t="n">
        <v>46084</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49871-2021</t>
        </is>
      </c>
      <c r="B85" s="1" t="n">
        <v>44455</v>
      </c>
      <c r="C85" s="1" t="n">
        <v>46084</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63615-2021</t>
        </is>
      </c>
      <c r="B86" s="1" t="n">
        <v>44509</v>
      </c>
      <c r="C86" s="1" t="n">
        <v>46084</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14203-2024</t>
        </is>
      </c>
      <c r="B87" s="1" t="n">
        <v>45393</v>
      </c>
      <c r="C87" s="1" t="n">
        <v>46084</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49839-2021</t>
        </is>
      </c>
      <c r="B88" s="1" t="n">
        <v>44455</v>
      </c>
      <c r="C88" s="1" t="n">
        <v>46084</v>
      </c>
      <c r="D88" t="inlineStr">
        <is>
          <t>UPPSALA LÄN</t>
        </is>
      </c>
      <c r="E88" t="inlineStr">
        <is>
          <t>ÖSTHAMMAR</t>
        </is>
      </c>
      <c r="G88" t="n">
        <v>3.6</v>
      </c>
      <c r="H88" t="n">
        <v>0</v>
      </c>
      <c r="I88" t="n">
        <v>0</v>
      </c>
      <c r="J88" t="n">
        <v>0</v>
      </c>
      <c r="K88" t="n">
        <v>1</v>
      </c>
      <c r="L88" t="n">
        <v>0</v>
      </c>
      <c r="M88" t="n">
        <v>0</v>
      </c>
      <c r="N88" t="n">
        <v>0</v>
      </c>
      <c r="O88" t="n">
        <v>1</v>
      </c>
      <c r="P88" t="n">
        <v>1</v>
      </c>
      <c r="Q88" t="n">
        <v>1</v>
      </c>
      <c r="R88" s="2" t="inlineStr">
        <is>
          <t>Violgubbe</t>
        </is>
      </c>
      <c r="S88">
        <f>HYPERLINK("https://klasma.github.io/Logging_0382/artfynd/A 49839-2021 artfynd.xlsx", "A 49839-2021")</f>
        <v/>
      </c>
      <c r="T88">
        <f>HYPERLINK("https://klasma.github.io/Logging_0382/kartor/A 49839-2021 karta.png", "A 49839-2021")</f>
        <v/>
      </c>
      <c r="V88">
        <f>HYPERLINK("https://klasma.github.io/Logging_0382/klagomål/A 49839-2021 FSC-klagomål.docx", "A 49839-2021")</f>
        <v/>
      </c>
      <c r="W88">
        <f>HYPERLINK("https://klasma.github.io/Logging_0382/klagomålsmail/A 49839-2021 FSC-klagomål mail.docx", "A 49839-2021")</f>
        <v/>
      </c>
      <c r="X88">
        <f>HYPERLINK("https://klasma.github.io/Logging_0382/tillsyn/A 49839-2021 tillsynsbegäran.docx", "A 49839-2021")</f>
        <v/>
      </c>
      <c r="Y88">
        <f>HYPERLINK("https://klasma.github.io/Logging_0382/tillsynsmail/A 49839-2021 tillsynsbegäran mail.docx", "A 49839-2021")</f>
        <v/>
      </c>
    </row>
    <row r="89" ht="15" customHeight="1">
      <c r="A89" t="inlineStr">
        <is>
          <t>A 25179-2023</t>
        </is>
      </c>
      <c r="B89" s="1" t="n">
        <v>45078</v>
      </c>
      <c r="C89" s="1" t="n">
        <v>46084</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33800-2024</t>
        </is>
      </c>
      <c r="B90" s="1" t="n">
        <v>45520</v>
      </c>
      <c r="C90" s="1" t="n">
        <v>46084</v>
      </c>
      <c r="D90" t="inlineStr">
        <is>
          <t>UPPSALA LÄN</t>
        </is>
      </c>
      <c r="E90" t="inlineStr">
        <is>
          <t>ÖSTHAMMAR</t>
        </is>
      </c>
      <c r="F90" t="inlineStr">
        <is>
          <t>Naturvårdsverket</t>
        </is>
      </c>
      <c r="G90" t="n">
        <v>1.5</v>
      </c>
      <c r="H90" t="n">
        <v>1</v>
      </c>
      <c r="I90" t="n">
        <v>0</v>
      </c>
      <c r="J90" t="n">
        <v>0</v>
      </c>
      <c r="K90" t="n">
        <v>0</v>
      </c>
      <c r="L90" t="n">
        <v>0</v>
      </c>
      <c r="M90" t="n">
        <v>0</v>
      </c>
      <c r="N90" t="n">
        <v>0</v>
      </c>
      <c r="O90" t="n">
        <v>0</v>
      </c>
      <c r="P90" t="n">
        <v>0</v>
      </c>
      <c r="Q90" t="n">
        <v>1</v>
      </c>
      <c r="R90" s="2" t="inlineStr">
        <is>
          <t>Fläcknycklar</t>
        </is>
      </c>
      <c r="S90">
        <f>HYPERLINK("https://klasma.github.io/Logging_0382/artfynd/A 33800-2024 artfynd.xlsx", "A 33800-2024")</f>
        <v/>
      </c>
      <c r="T90">
        <f>HYPERLINK("https://klasma.github.io/Logging_0382/kartor/A 33800-2024 karta.png", "A 33800-2024")</f>
        <v/>
      </c>
      <c r="V90">
        <f>HYPERLINK("https://klasma.github.io/Logging_0382/klagomål/A 33800-2024 FSC-klagomål.docx", "A 33800-2024")</f>
        <v/>
      </c>
      <c r="W90">
        <f>HYPERLINK("https://klasma.github.io/Logging_0382/klagomålsmail/A 33800-2024 FSC-klagomål mail.docx", "A 33800-2024")</f>
        <v/>
      </c>
      <c r="X90">
        <f>HYPERLINK("https://klasma.github.io/Logging_0382/tillsyn/A 33800-2024 tillsynsbegäran.docx", "A 33800-2024")</f>
        <v/>
      </c>
      <c r="Y90">
        <f>HYPERLINK("https://klasma.github.io/Logging_0382/tillsynsmail/A 33800-2024 tillsynsbegäran mail.docx", "A 33800-2024")</f>
        <v/>
      </c>
    </row>
    <row r="91" ht="15" customHeight="1">
      <c r="A91" t="inlineStr">
        <is>
          <t>A 41220-2025</t>
        </is>
      </c>
      <c r="B91" s="1" t="n">
        <v>45898.58630787037</v>
      </c>
      <c r="C91" s="1" t="n">
        <v>46084</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14706-2023</t>
        </is>
      </c>
      <c r="B92" s="1" t="n">
        <v>45013</v>
      </c>
      <c r="C92" s="1" t="n">
        <v>46084</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1227-2022</t>
        </is>
      </c>
      <c r="B93" s="1" t="n">
        <v>44572.57641203704</v>
      </c>
      <c r="C93" s="1" t="n">
        <v>46084</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46084</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46084</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52818-2022</t>
        </is>
      </c>
      <c r="B96" s="1" t="n">
        <v>44875</v>
      </c>
      <c r="C96" s="1" t="n">
        <v>46084</v>
      </c>
      <c r="D96" t="inlineStr">
        <is>
          <t>UPPSALA LÄN</t>
        </is>
      </c>
      <c r="E96" t="inlineStr">
        <is>
          <t>ÖSTHAMMAR</t>
        </is>
      </c>
      <c r="G96" t="n">
        <v>0.9</v>
      </c>
      <c r="H96" t="n">
        <v>1</v>
      </c>
      <c r="I96" t="n">
        <v>1</v>
      </c>
      <c r="J96" t="n">
        <v>0</v>
      </c>
      <c r="K96" t="n">
        <v>0</v>
      </c>
      <c r="L96" t="n">
        <v>0</v>
      </c>
      <c r="M96" t="n">
        <v>0</v>
      </c>
      <c r="N96" t="n">
        <v>0</v>
      </c>
      <c r="O96" t="n">
        <v>0</v>
      </c>
      <c r="P96" t="n">
        <v>0</v>
      </c>
      <c r="Q96" t="n">
        <v>1</v>
      </c>
      <c r="R96" s="2" t="inlineStr">
        <is>
          <t>Guckusko</t>
        </is>
      </c>
      <c r="S96">
        <f>HYPERLINK("https://klasma.github.io/Logging_0382/artfynd/A 52818-2022 artfynd.xlsx", "A 52818-2022")</f>
        <v/>
      </c>
      <c r="T96">
        <f>HYPERLINK("https://klasma.github.io/Logging_0382/kartor/A 52818-2022 karta.png", "A 52818-2022")</f>
        <v/>
      </c>
      <c r="V96">
        <f>HYPERLINK("https://klasma.github.io/Logging_0382/klagomål/A 52818-2022 FSC-klagomål.docx", "A 52818-2022")</f>
        <v/>
      </c>
      <c r="W96">
        <f>HYPERLINK("https://klasma.github.io/Logging_0382/klagomålsmail/A 52818-2022 FSC-klagomål mail.docx", "A 52818-2022")</f>
        <v/>
      </c>
      <c r="X96">
        <f>HYPERLINK("https://klasma.github.io/Logging_0382/tillsyn/A 52818-2022 tillsynsbegäran.docx", "A 52818-2022")</f>
        <v/>
      </c>
      <c r="Y96">
        <f>HYPERLINK("https://klasma.github.io/Logging_0382/tillsynsmail/A 52818-2022 tillsynsbegäran mail.docx", "A 52818-2022")</f>
        <v/>
      </c>
    </row>
    <row r="97" ht="15" customHeight="1">
      <c r="A97" t="inlineStr">
        <is>
          <t>A 30605-2025</t>
        </is>
      </c>
      <c r="B97" s="1" t="n">
        <v>45831.45510416666</v>
      </c>
      <c r="C97" s="1" t="n">
        <v>46084</v>
      </c>
      <c r="D97" t="inlineStr">
        <is>
          <t>UPPSALA LÄN</t>
        </is>
      </c>
      <c r="E97" t="inlineStr">
        <is>
          <t>ÖSTHAMMAR</t>
        </is>
      </c>
      <c r="G97" t="n">
        <v>1.7</v>
      </c>
      <c r="H97" t="n">
        <v>0</v>
      </c>
      <c r="I97" t="n">
        <v>0</v>
      </c>
      <c r="J97" t="n">
        <v>0</v>
      </c>
      <c r="K97" t="n">
        <v>1</v>
      </c>
      <c r="L97" t="n">
        <v>0</v>
      </c>
      <c r="M97" t="n">
        <v>0</v>
      </c>
      <c r="N97" t="n">
        <v>0</v>
      </c>
      <c r="O97" t="n">
        <v>1</v>
      </c>
      <c r="P97" t="n">
        <v>1</v>
      </c>
      <c r="Q97" t="n">
        <v>1</v>
      </c>
      <c r="R97" s="2" t="inlineStr">
        <is>
          <t>Plattsäv</t>
        </is>
      </c>
      <c r="S97">
        <f>HYPERLINK("https://klasma.github.io/Logging_0382/artfynd/A 30605-2025 artfynd.xlsx", "A 30605-2025")</f>
        <v/>
      </c>
      <c r="T97">
        <f>HYPERLINK("https://klasma.github.io/Logging_0382/kartor/A 30605-2025 karta.png", "A 30605-2025")</f>
        <v/>
      </c>
      <c r="V97">
        <f>HYPERLINK("https://klasma.github.io/Logging_0382/klagomål/A 30605-2025 FSC-klagomål.docx", "A 30605-2025")</f>
        <v/>
      </c>
      <c r="W97">
        <f>HYPERLINK("https://klasma.github.io/Logging_0382/klagomålsmail/A 30605-2025 FSC-klagomål mail.docx", "A 30605-2025")</f>
        <v/>
      </c>
      <c r="X97">
        <f>HYPERLINK("https://klasma.github.io/Logging_0382/tillsyn/A 30605-2025 tillsynsbegäran.docx", "A 30605-2025")</f>
        <v/>
      </c>
      <c r="Y97">
        <f>HYPERLINK("https://klasma.github.io/Logging_0382/tillsynsmail/A 30605-2025 tillsynsbegäran mail.docx", "A 30605-2025")</f>
        <v/>
      </c>
    </row>
    <row r="98" ht="15" customHeight="1">
      <c r="A98" t="inlineStr">
        <is>
          <t>A 37296-2023</t>
        </is>
      </c>
      <c r="B98" s="1" t="n">
        <v>45156</v>
      </c>
      <c r="C98" s="1" t="n">
        <v>46084</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7446-2022</t>
        </is>
      </c>
      <c r="B99" s="1" t="n">
        <v>44606</v>
      </c>
      <c r="C99" s="1" t="n">
        <v>46084</v>
      </c>
      <c r="D99" t="inlineStr">
        <is>
          <t>UPPSALA LÄN</t>
        </is>
      </c>
      <c r="E99" t="inlineStr">
        <is>
          <t>ÖSTHAMMAR</t>
        </is>
      </c>
      <c r="G99" t="n">
        <v>5</v>
      </c>
      <c r="H99" t="n">
        <v>1</v>
      </c>
      <c r="I99" t="n">
        <v>0</v>
      </c>
      <c r="J99" t="n">
        <v>0</v>
      </c>
      <c r="K99" t="n">
        <v>0</v>
      </c>
      <c r="L99" t="n">
        <v>0</v>
      </c>
      <c r="M99" t="n">
        <v>0</v>
      </c>
      <c r="N99" t="n">
        <v>0</v>
      </c>
      <c r="O99" t="n">
        <v>0</v>
      </c>
      <c r="P99" t="n">
        <v>0</v>
      </c>
      <c r="Q99" t="n">
        <v>1</v>
      </c>
      <c r="R99" s="2" t="inlineStr">
        <is>
          <t>Mattlummer</t>
        </is>
      </c>
      <c r="S99">
        <f>HYPERLINK("https://klasma.github.io/Logging_0382/artfynd/A 7446-2022 artfynd.xlsx", "A 7446-2022")</f>
        <v/>
      </c>
      <c r="T99">
        <f>HYPERLINK("https://klasma.github.io/Logging_0382/kartor/A 7446-2022 karta.png", "A 7446-2022")</f>
        <v/>
      </c>
      <c r="V99">
        <f>HYPERLINK("https://klasma.github.io/Logging_0382/klagomål/A 7446-2022 FSC-klagomål.docx", "A 7446-2022")</f>
        <v/>
      </c>
      <c r="W99">
        <f>HYPERLINK("https://klasma.github.io/Logging_0382/klagomålsmail/A 7446-2022 FSC-klagomål mail.docx", "A 7446-2022")</f>
        <v/>
      </c>
      <c r="X99">
        <f>HYPERLINK("https://klasma.github.io/Logging_0382/tillsyn/A 7446-2022 tillsynsbegäran.docx", "A 7446-2022")</f>
        <v/>
      </c>
      <c r="Y99">
        <f>HYPERLINK("https://klasma.github.io/Logging_0382/tillsynsmail/A 7446-2022 tillsynsbegäran mail.docx", "A 7446-2022")</f>
        <v/>
      </c>
    </row>
    <row r="100" ht="15" customHeight="1">
      <c r="A100" t="inlineStr">
        <is>
          <t>A 65989-2021</t>
        </is>
      </c>
      <c r="B100" s="1" t="n">
        <v>44517</v>
      </c>
      <c r="C100" s="1" t="n">
        <v>46084</v>
      </c>
      <c r="D100" t="inlineStr">
        <is>
          <t>UPPSALA LÄN</t>
        </is>
      </c>
      <c r="E100" t="inlineStr">
        <is>
          <t>ÖSTHAMMAR</t>
        </is>
      </c>
      <c r="G100" t="n">
        <v>6.9</v>
      </c>
      <c r="H100" t="n">
        <v>1</v>
      </c>
      <c r="I100" t="n">
        <v>1</v>
      </c>
      <c r="J100" t="n">
        <v>0</v>
      </c>
      <c r="K100" t="n">
        <v>0</v>
      </c>
      <c r="L100" t="n">
        <v>0</v>
      </c>
      <c r="M100" t="n">
        <v>0</v>
      </c>
      <c r="N100" t="n">
        <v>0</v>
      </c>
      <c r="O100" t="n">
        <v>0</v>
      </c>
      <c r="P100" t="n">
        <v>0</v>
      </c>
      <c r="Q100" t="n">
        <v>1</v>
      </c>
      <c r="R100" s="2" t="inlineStr">
        <is>
          <t>Skogsknipprot</t>
        </is>
      </c>
      <c r="S100">
        <f>HYPERLINK("https://klasma.github.io/Logging_0382/artfynd/A 65989-2021 artfynd.xlsx", "A 65989-2021")</f>
        <v/>
      </c>
      <c r="T100">
        <f>HYPERLINK("https://klasma.github.io/Logging_0382/kartor/A 65989-2021 karta.png", "A 65989-2021")</f>
        <v/>
      </c>
      <c r="V100">
        <f>HYPERLINK("https://klasma.github.io/Logging_0382/klagomål/A 65989-2021 FSC-klagomål.docx", "A 65989-2021")</f>
        <v/>
      </c>
      <c r="W100">
        <f>HYPERLINK("https://klasma.github.io/Logging_0382/klagomålsmail/A 65989-2021 FSC-klagomål mail.docx", "A 65989-2021")</f>
        <v/>
      </c>
      <c r="X100">
        <f>HYPERLINK("https://klasma.github.io/Logging_0382/tillsyn/A 65989-2021 tillsynsbegäran.docx", "A 65989-2021")</f>
        <v/>
      </c>
      <c r="Y100">
        <f>HYPERLINK("https://klasma.github.io/Logging_0382/tillsynsmail/A 65989-2021 tillsynsbegäran mail.docx", "A 65989-2021")</f>
        <v/>
      </c>
    </row>
    <row r="101" ht="15" customHeight="1">
      <c r="A101" t="inlineStr">
        <is>
          <t>A 52879-2025</t>
        </is>
      </c>
      <c r="B101" s="1" t="n">
        <v>45957.544375</v>
      </c>
      <c r="C101" s="1" t="n">
        <v>46084</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22375-2024</t>
        </is>
      </c>
      <c r="B102" s="1" t="n">
        <v>45446</v>
      </c>
      <c r="C102" s="1" t="n">
        <v>46084</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70495-2021</t>
        </is>
      </c>
      <c r="B103" s="1" t="n">
        <v>44536</v>
      </c>
      <c r="C103" s="1" t="n">
        <v>46084</v>
      </c>
      <c r="D103" t="inlineStr">
        <is>
          <t>UPPSALA LÄN</t>
        </is>
      </c>
      <c r="E103" t="inlineStr">
        <is>
          <t>ÖSTHAMMAR</t>
        </is>
      </c>
      <c r="G103" t="n">
        <v>1</v>
      </c>
      <c r="H103" t="n">
        <v>1</v>
      </c>
      <c r="I103" t="n">
        <v>0</v>
      </c>
      <c r="J103" t="n">
        <v>1</v>
      </c>
      <c r="K103" t="n">
        <v>0</v>
      </c>
      <c r="L103" t="n">
        <v>0</v>
      </c>
      <c r="M103" t="n">
        <v>0</v>
      </c>
      <c r="N103" t="n">
        <v>0</v>
      </c>
      <c r="O103" t="n">
        <v>1</v>
      </c>
      <c r="P103" t="n">
        <v>0</v>
      </c>
      <c r="Q103" t="n">
        <v>1</v>
      </c>
      <c r="R103" s="2" t="inlineStr">
        <is>
          <t>Slaguggla</t>
        </is>
      </c>
      <c r="S103">
        <f>HYPERLINK("https://klasma.github.io/Logging_0382/artfynd/A 70495-2021 artfynd.xlsx", "A 70495-2021")</f>
        <v/>
      </c>
      <c r="T103">
        <f>HYPERLINK("https://klasma.github.io/Logging_0382/kartor/A 70495-2021 karta.png", "A 70495-2021")</f>
        <v/>
      </c>
      <c r="V103">
        <f>HYPERLINK("https://klasma.github.io/Logging_0382/klagomål/A 70495-2021 FSC-klagomål.docx", "A 70495-2021")</f>
        <v/>
      </c>
      <c r="W103">
        <f>HYPERLINK("https://klasma.github.io/Logging_0382/klagomålsmail/A 70495-2021 FSC-klagomål mail.docx", "A 70495-2021")</f>
        <v/>
      </c>
      <c r="X103">
        <f>HYPERLINK("https://klasma.github.io/Logging_0382/tillsyn/A 70495-2021 tillsynsbegäran.docx", "A 70495-2021")</f>
        <v/>
      </c>
      <c r="Y103">
        <f>HYPERLINK("https://klasma.github.io/Logging_0382/tillsynsmail/A 70495-2021 tillsynsbegäran mail.docx", "A 70495-2021")</f>
        <v/>
      </c>
      <c r="Z103">
        <f>HYPERLINK("https://klasma.github.io/Logging_0382/fåglar/A 70495-2021 prioriterade fågelarter.docx", "A 70495-2021")</f>
        <v/>
      </c>
    </row>
    <row r="104" ht="15" customHeight="1">
      <c r="A104" t="inlineStr">
        <is>
          <t>A 61410-2025</t>
        </is>
      </c>
      <c r="B104" s="1" t="n">
        <v>46001.51974537037</v>
      </c>
      <c r="C104" s="1" t="n">
        <v>46084</v>
      </c>
      <c r="D104" t="inlineStr">
        <is>
          <t>UPPSALA LÄN</t>
        </is>
      </c>
      <c r="E104" t="inlineStr">
        <is>
          <t>ÖSTHAMMAR</t>
        </is>
      </c>
      <c r="G104" t="n">
        <v>3.5</v>
      </c>
      <c r="H104" t="n">
        <v>0</v>
      </c>
      <c r="I104" t="n">
        <v>1</v>
      </c>
      <c r="J104" t="n">
        <v>0</v>
      </c>
      <c r="K104" t="n">
        <v>0</v>
      </c>
      <c r="L104" t="n">
        <v>0</v>
      </c>
      <c r="M104" t="n">
        <v>0</v>
      </c>
      <c r="N104" t="n">
        <v>0</v>
      </c>
      <c r="O104" t="n">
        <v>0</v>
      </c>
      <c r="P104" t="n">
        <v>0</v>
      </c>
      <c r="Q104" t="n">
        <v>1</v>
      </c>
      <c r="R104" s="2" t="inlineStr">
        <is>
          <t>Trådticka</t>
        </is>
      </c>
      <c r="S104">
        <f>HYPERLINK("https://klasma.github.io/Logging_0382/artfynd/A 61410-2025 artfynd.xlsx", "A 61410-2025")</f>
        <v/>
      </c>
      <c r="T104">
        <f>HYPERLINK("https://klasma.github.io/Logging_0382/kartor/A 61410-2025 karta.png", "A 61410-2025")</f>
        <v/>
      </c>
      <c r="V104">
        <f>HYPERLINK("https://klasma.github.io/Logging_0382/klagomål/A 61410-2025 FSC-klagomål.docx", "A 61410-2025")</f>
        <v/>
      </c>
      <c r="W104">
        <f>HYPERLINK("https://klasma.github.io/Logging_0382/klagomålsmail/A 61410-2025 FSC-klagomål mail.docx", "A 61410-2025")</f>
        <v/>
      </c>
      <c r="X104">
        <f>HYPERLINK("https://klasma.github.io/Logging_0382/tillsyn/A 61410-2025 tillsynsbegäran.docx", "A 61410-2025")</f>
        <v/>
      </c>
      <c r="Y104">
        <f>HYPERLINK("https://klasma.github.io/Logging_0382/tillsynsmail/A 61410-2025 tillsynsbegäran mail.docx", "A 61410-2025")</f>
        <v/>
      </c>
    </row>
    <row r="105" ht="15" customHeight="1">
      <c r="A105" t="inlineStr">
        <is>
          <t>A 4714-2026</t>
        </is>
      </c>
      <c r="B105" s="1" t="n">
        <v>46048.46175925926</v>
      </c>
      <c r="C105" s="1" t="n">
        <v>46084</v>
      </c>
      <c r="D105" t="inlineStr">
        <is>
          <t>UPPSALA LÄN</t>
        </is>
      </c>
      <c r="E105" t="inlineStr">
        <is>
          <t>ÖSTHAMMAR</t>
        </is>
      </c>
      <c r="G105" t="n">
        <v>6.3</v>
      </c>
      <c r="H105" t="n">
        <v>1</v>
      </c>
      <c r="I105" t="n">
        <v>0</v>
      </c>
      <c r="J105" t="n">
        <v>1</v>
      </c>
      <c r="K105" t="n">
        <v>0</v>
      </c>
      <c r="L105" t="n">
        <v>0</v>
      </c>
      <c r="M105" t="n">
        <v>0</v>
      </c>
      <c r="N105" t="n">
        <v>0</v>
      </c>
      <c r="O105" t="n">
        <v>1</v>
      </c>
      <c r="P105" t="n">
        <v>0</v>
      </c>
      <c r="Q105" t="n">
        <v>1</v>
      </c>
      <c r="R105" s="2" t="inlineStr">
        <is>
          <t>Nordfladdermus</t>
        </is>
      </c>
      <c r="S105">
        <f>HYPERLINK("https://klasma.github.io/Logging_0382/artfynd/A 4714-2026 artfynd.xlsx", "A 4714-2026")</f>
        <v/>
      </c>
      <c r="T105">
        <f>HYPERLINK("https://klasma.github.io/Logging_0382/kartor/A 4714-2026 karta.png", "A 4714-2026")</f>
        <v/>
      </c>
      <c r="V105">
        <f>HYPERLINK("https://klasma.github.io/Logging_0382/klagomål/A 4714-2026 FSC-klagomål.docx", "A 4714-2026")</f>
        <v/>
      </c>
      <c r="W105">
        <f>HYPERLINK("https://klasma.github.io/Logging_0382/klagomålsmail/A 4714-2026 FSC-klagomål mail.docx", "A 4714-2026")</f>
        <v/>
      </c>
      <c r="X105">
        <f>HYPERLINK("https://klasma.github.io/Logging_0382/tillsyn/A 4714-2026 tillsynsbegäran.docx", "A 4714-2026")</f>
        <v/>
      </c>
      <c r="Y105">
        <f>HYPERLINK("https://klasma.github.io/Logging_0382/tillsynsmail/A 4714-2026 tillsynsbegäran mail.docx", "A 4714-2026")</f>
        <v/>
      </c>
    </row>
    <row r="106" ht="15" customHeight="1">
      <c r="A106" t="inlineStr">
        <is>
          <t>A 22287-2023</t>
        </is>
      </c>
      <c r="B106" s="1" t="n">
        <v>45070</v>
      </c>
      <c r="C106" s="1" t="n">
        <v>46084</v>
      </c>
      <c r="D106" t="inlineStr">
        <is>
          <t>UPPSALA LÄN</t>
        </is>
      </c>
      <c r="E106" t="inlineStr">
        <is>
          <t>ÖSTHAMMAR</t>
        </is>
      </c>
      <c r="G106" t="n">
        <v>6.3</v>
      </c>
      <c r="H106" t="n">
        <v>1</v>
      </c>
      <c r="I106" t="n">
        <v>1</v>
      </c>
      <c r="J106" t="n">
        <v>0</v>
      </c>
      <c r="K106" t="n">
        <v>0</v>
      </c>
      <c r="L106" t="n">
        <v>0</v>
      </c>
      <c r="M106" t="n">
        <v>0</v>
      </c>
      <c r="N106" t="n">
        <v>0</v>
      </c>
      <c r="O106" t="n">
        <v>0</v>
      </c>
      <c r="P106" t="n">
        <v>0</v>
      </c>
      <c r="Q106" t="n">
        <v>1</v>
      </c>
      <c r="R106" s="2" t="inlineStr">
        <is>
          <t>Guckusko</t>
        </is>
      </c>
      <c r="S106">
        <f>HYPERLINK("https://klasma.github.io/Logging_0382/artfynd/A 22287-2023 artfynd.xlsx", "A 22287-2023")</f>
        <v/>
      </c>
      <c r="T106">
        <f>HYPERLINK("https://klasma.github.io/Logging_0382/kartor/A 22287-2023 karta.png", "A 22287-2023")</f>
        <v/>
      </c>
      <c r="V106">
        <f>HYPERLINK("https://klasma.github.io/Logging_0382/klagomål/A 22287-2023 FSC-klagomål.docx", "A 22287-2023")</f>
        <v/>
      </c>
      <c r="W106">
        <f>HYPERLINK("https://klasma.github.io/Logging_0382/klagomålsmail/A 22287-2023 FSC-klagomål mail.docx", "A 22287-2023")</f>
        <v/>
      </c>
      <c r="X106">
        <f>HYPERLINK("https://klasma.github.io/Logging_0382/tillsyn/A 22287-2023 tillsynsbegäran.docx", "A 22287-2023")</f>
        <v/>
      </c>
      <c r="Y106">
        <f>HYPERLINK("https://klasma.github.io/Logging_0382/tillsynsmail/A 22287-2023 tillsynsbegäran mail.docx", "A 22287-2023")</f>
        <v/>
      </c>
    </row>
    <row r="107" ht="15" customHeight="1">
      <c r="A107" t="inlineStr">
        <is>
          <t>A 61574-2025</t>
        </is>
      </c>
      <c r="B107" s="1" t="n">
        <v>46002</v>
      </c>
      <c r="C107" s="1" t="n">
        <v>46084</v>
      </c>
      <c r="D107" t="inlineStr">
        <is>
          <t>UPPSALA LÄN</t>
        </is>
      </c>
      <c r="E107" t="inlineStr">
        <is>
          <t>ÖSTHAMMAR</t>
        </is>
      </c>
      <c r="F107" t="inlineStr">
        <is>
          <t>Övriga Aktiebolag</t>
        </is>
      </c>
      <c r="G107" t="n">
        <v>16.6</v>
      </c>
      <c r="H107" t="n">
        <v>1</v>
      </c>
      <c r="I107" t="n">
        <v>0</v>
      </c>
      <c r="J107" t="n">
        <v>0</v>
      </c>
      <c r="K107" t="n">
        <v>1</v>
      </c>
      <c r="L107" t="n">
        <v>0</v>
      </c>
      <c r="M107" t="n">
        <v>0</v>
      </c>
      <c r="N107" t="n">
        <v>0</v>
      </c>
      <c r="O107" t="n">
        <v>1</v>
      </c>
      <c r="P107" t="n">
        <v>1</v>
      </c>
      <c r="Q107" t="n">
        <v>1</v>
      </c>
      <c r="R107" s="2" t="inlineStr">
        <is>
          <t>Hällebräcka</t>
        </is>
      </c>
      <c r="S107">
        <f>HYPERLINK("https://klasma.github.io/Logging_0382/artfynd/A 61574-2025 artfynd.xlsx", "A 61574-2025")</f>
        <v/>
      </c>
      <c r="T107">
        <f>HYPERLINK("https://klasma.github.io/Logging_0382/kartor/A 61574-2025 karta.png", "A 61574-2025")</f>
        <v/>
      </c>
      <c r="V107">
        <f>HYPERLINK("https://klasma.github.io/Logging_0382/klagomål/A 61574-2025 FSC-klagomål.docx", "A 61574-2025")</f>
        <v/>
      </c>
      <c r="W107">
        <f>HYPERLINK("https://klasma.github.io/Logging_0382/klagomålsmail/A 61574-2025 FSC-klagomål mail.docx", "A 61574-2025")</f>
        <v/>
      </c>
      <c r="X107">
        <f>HYPERLINK("https://klasma.github.io/Logging_0382/tillsyn/A 61574-2025 tillsynsbegäran.docx", "A 61574-2025")</f>
        <v/>
      </c>
      <c r="Y107">
        <f>HYPERLINK("https://klasma.github.io/Logging_0382/tillsynsmail/A 61574-2025 tillsynsbegäran mail.docx", "A 61574-2025")</f>
        <v/>
      </c>
    </row>
    <row r="108" ht="15" customHeight="1">
      <c r="A108" t="inlineStr">
        <is>
          <t>A 29679-2023</t>
        </is>
      </c>
      <c r="B108" s="1" t="n">
        <v>45107</v>
      </c>
      <c r="C108" s="1" t="n">
        <v>46084</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6507-2026</t>
        </is>
      </c>
      <c r="B109" s="1" t="n">
        <v>46056.38474537037</v>
      </c>
      <c r="C109" s="1" t="n">
        <v>46084</v>
      </c>
      <c r="D109" t="inlineStr">
        <is>
          <t>UPPSALA LÄN</t>
        </is>
      </c>
      <c r="E109" t="inlineStr">
        <is>
          <t>ÖSTHAMMAR</t>
        </is>
      </c>
      <c r="F109" t="inlineStr">
        <is>
          <t>Bergvik skog öst AB</t>
        </is>
      </c>
      <c r="G109" t="n">
        <v>1.5</v>
      </c>
      <c r="H109" t="n">
        <v>0</v>
      </c>
      <c r="I109" t="n">
        <v>1</v>
      </c>
      <c r="J109" t="n">
        <v>0</v>
      </c>
      <c r="K109" t="n">
        <v>0</v>
      </c>
      <c r="L109" t="n">
        <v>0</v>
      </c>
      <c r="M109" t="n">
        <v>0</v>
      </c>
      <c r="N109" t="n">
        <v>0</v>
      </c>
      <c r="O109" t="n">
        <v>0</v>
      </c>
      <c r="P109" t="n">
        <v>0</v>
      </c>
      <c r="Q109" t="n">
        <v>1</v>
      </c>
      <c r="R109" s="2" t="inlineStr">
        <is>
          <t>Tibast</t>
        </is>
      </c>
      <c r="S109">
        <f>HYPERLINK("https://klasma.github.io/Logging_0382/artfynd/A 6507-2026 artfynd.xlsx", "A 6507-2026")</f>
        <v/>
      </c>
      <c r="T109">
        <f>HYPERLINK("https://klasma.github.io/Logging_0382/kartor/A 6507-2026 karta.png", "A 6507-2026")</f>
        <v/>
      </c>
      <c r="V109">
        <f>HYPERLINK("https://klasma.github.io/Logging_0382/klagomål/A 6507-2026 FSC-klagomål.docx", "A 6507-2026")</f>
        <v/>
      </c>
      <c r="W109">
        <f>HYPERLINK("https://klasma.github.io/Logging_0382/klagomålsmail/A 6507-2026 FSC-klagomål mail.docx", "A 6507-2026")</f>
        <v/>
      </c>
      <c r="X109">
        <f>HYPERLINK("https://klasma.github.io/Logging_0382/tillsyn/A 6507-2026 tillsynsbegäran.docx", "A 6507-2026")</f>
        <v/>
      </c>
      <c r="Y109">
        <f>HYPERLINK("https://klasma.github.io/Logging_0382/tillsynsmail/A 6507-2026 tillsynsbegäran mail.docx", "A 6507-2026")</f>
        <v/>
      </c>
    </row>
    <row r="110" ht="15" customHeight="1">
      <c r="A110" t="inlineStr">
        <is>
          <t>A 46629-2024</t>
        </is>
      </c>
      <c r="B110" s="1" t="n">
        <v>45583.33221064815</v>
      </c>
      <c r="C110" s="1" t="n">
        <v>46084</v>
      </c>
      <c r="D110" t="inlineStr">
        <is>
          <t>UPPSALA LÄN</t>
        </is>
      </c>
      <c r="E110" t="inlineStr">
        <is>
          <t>ÖSTHAMMAR</t>
        </is>
      </c>
      <c r="F110" t="inlineStr">
        <is>
          <t>Bergvik skog öst AB</t>
        </is>
      </c>
      <c r="G110" t="n">
        <v>0.7</v>
      </c>
      <c r="H110" t="n">
        <v>0</v>
      </c>
      <c r="I110" t="n">
        <v>0</v>
      </c>
      <c r="J110" t="n">
        <v>1</v>
      </c>
      <c r="K110" t="n">
        <v>0</v>
      </c>
      <c r="L110" t="n">
        <v>0</v>
      </c>
      <c r="M110" t="n">
        <v>0</v>
      </c>
      <c r="N110" t="n">
        <v>0</v>
      </c>
      <c r="O110" t="n">
        <v>1</v>
      </c>
      <c r="P110" t="n">
        <v>0</v>
      </c>
      <c r="Q110" t="n">
        <v>1</v>
      </c>
      <c r="R110" s="2" t="inlineStr">
        <is>
          <t>Slåtterfibbla</t>
        </is>
      </c>
      <c r="S110">
        <f>HYPERLINK("https://klasma.github.io/Logging_0382/artfynd/A 46629-2024 artfynd.xlsx", "A 46629-2024")</f>
        <v/>
      </c>
      <c r="T110">
        <f>HYPERLINK("https://klasma.github.io/Logging_0382/kartor/A 46629-2024 karta.png", "A 46629-2024")</f>
        <v/>
      </c>
      <c r="V110">
        <f>HYPERLINK("https://klasma.github.io/Logging_0382/klagomål/A 46629-2024 FSC-klagomål.docx", "A 46629-2024")</f>
        <v/>
      </c>
      <c r="W110">
        <f>HYPERLINK("https://klasma.github.io/Logging_0382/klagomålsmail/A 46629-2024 FSC-klagomål mail.docx", "A 46629-2024")</f>
        <v/>
      </c>
      <c r="X110">
        <f>HYPERLINK("https://klasma.github.io/Logging_0382/tillsyn/A 46629-2024 tillsynsbegäran.docx", "A 46629-2024")</f>
        <v/>
      </c>
      <c r="Y110">
        <f>HYPERLINK("https://klasma.github.io/Logging_0382/tillsynsmail/A 46629-2024 tillsynsbegäran mail.docx", "A 46629-2024")</f>
        <v/>
      </c>
    </row>
    <row r="111" ht="15" customHeight="1">
      <c r="A111" t="inlineStr">
        <is>
          <t>A 10034-2023</t>
        </is>
      </c>
      <c r="B111" s="1" t="n">
        <v>44985</v>
      </c>
      <c r="C111" s="1" t="n">
        <v>46084</v>
      </c>
      <c r="D111" t="inlineStr">
        <is>
          <t>UPPSALA LÄN</t>
        </is>
      </c>
      <c r="E111" t="inlineStr">
        <is>
          <t>ÖSTHAMMAR</t>
        </is>
      </c>
      <c r="G111" t="n">
        <v>2.1</v>
      </c>
      <c r="H111" t="n">
        <v>1</v>
      </c>
      <c r="I111" t="n">
        <v>0</v>
      </c>
      <c r="J111" t="n">
        <v>0</v>
      </c>
      <c r="K111" t="n">
        <v>0</v>
      </c>
      <c r="L111" t="n">
        <v>0</v>
      </c>
      <c r="M111" t="n">
        <v>0</v>
      </c>
      <c r="N111" t="n">
        <v>0</v>
      </c>
      <c r="O111" t="n">
        <v>0</v>
      </c>
      <c r="P111" t="n">
        <v>0</v>
      </c>
      <c r="Q111" t="n">
        <v>1</v>
      </c>
      <c r="R111" s="2" t="inlineStr">
        <is>
          <t>Blåsippa</t>
        </is>
      </c>
      <c r="S111">
        <f>HYPERLINK("https://klasma.github.io/Logging_0382/artfynd/A 10034-2023 artfynd.xlsx", "A 10034-2023")</f>
        <v/>
      </c>
      <c r="T111">
        <f>HYPERLINK("https://klasma.github.io/Logging_0382/kartor/A 10034-2023 karta.png", "A 10034-2023")</f>
        <v/>
      </c>
      <c r="V111">
        <f>HYPERLINK("https://klasma.github.io/Logging_0382/klagomål/A 10034-2023 FSC-klagomål.docx", "A 10034-2023")</f>
        <v/>
      </c>
      <c r="W111">
        <f>HYPERLINK("https://klasma.github.io/Logging_0382/klagomålsmail/A 10034-2023 FSC-klagomål mail.docx", "A 10034-2023")</f>
        <v/>
      </c>
      <c r="X111">
        <f>HYPERLINK("https://klasma.github.io/Logging_0382/tillsyn/A 10034-2023 tillsynsbegäran.docx", "A 10034-2023")</f>
        <v/>
      </c>
      <c r="Y111">
        <f>HYPERLINK("https://klasma.github.io/Logging_0382/tillsynsmail/A 10034-2023 tillsynsbegäran mail.docx", "A 10034-2023")</f>
        <v/>
      </c>
    </row>
    <row r="112" ht="15" customHeight="1">
      <c r="A112" t="inlineStr">
        <is>
          <t>A 7470-2022</t>
        </is>
      </c>
      <c r="B112" s="1" t="n">
        <v>44607</v>
      </c>
      <c r="C112" s="1" t="n">
        <v>46084</v>
      </c>
      <c r="D112" t="inlineStr">
        <is>
          <t>UPPSALA LÄN</t>
        </is>
      </c>
      <c r="E112" t="inlineStr">
        <is>
          <t>ÖSTHAMMAR</t>
        </is>
      </c>
      <c r="G112" t="n">
        <v>2.6</v>
      </c>
      <c r="H112" t="n">
        <v>1</v>
      </c>
      <c r="I112" t="n">
        <v>1</v>
      </c>
      <c r="J112" t="n">
        <v>0</v>
      </c>
      <c r="K112" t="n">
        <v>0</v>
      </c>
      <c r="L112" t="n">
        <v>0</v>
      </c>
      <c r="M112" t="n">
        <v>0</v>
      </c>
      <c r="N112" t="n">
        <v>0</v>
      </c>
      <c r="O112" t="n">
        <v>0</v>
      </c>
      <c r="P112" t="n">
        <v>0</v>
      </c>
      <c r="Q112" t="n">
        <v>1</v>
      </c>
      <c r="R112" s="2" t="inlineStr">
        <is>
          <t>Grön sköldmossa</t>
        </is>
      </c>
      <c r="S112">
        <f>HYPERLINK("https://klasma.github.io/Logging_0382/artfynd/A 7470-2022 artfynd.xlsx", "A 7470-2022")</f>
        <v/>
      </c>
      <c r="T112">
        <f>HYPERLINK("https://klasma.github.io/Logging_0382/kartor/A 7470-2022 karta.png", "A 7470-2022")</f>
        <v/>
      </c>
      <c r="V112">
        <f>HYPERLINK("https://klasma.github.io/Logging_0382/klagomål/A 7470-2022 FSC-klagomål.docx", "A 7470-2022")</f>
        <v/>
      </c>
      <c r="W112">
        <f>HYPERLINK("https://klasma.github.io/Logging_0382/klagomålsmail/A 7470-2022 FSC-klagomål mail.docx", "A 7470-2022")</f>
        <v/>
      </c>
      <c r="X112">
        <f>HYPERLINK("https://klasma.github.io/Logging_0382/tillsyn/A 7470-2022 tillsynsbegäran.docx", "A 7470-2022")</f>
        <v/>
      </c>
      <c r="Y112">
        <f>HYPERLINK("https://klasma.github.io/Logging_0382/tillsynsmail/A 7470-2022 tillsynsbegäran mail.docx", "A 7470-2022")</f>
        <v/>
      </c>
    </row>
    <row r="113" ht="15" customHeight="1">
      <c r="A113" t="inlineStr">
        <is>
          <t>A 22209-2022</t>
        </is>
      </c>
      <c r="B113" s="1" t="n">
        <v>44712</v>
      </c>
      <c r="C113" s="1" t="n">
        <v>46084</v>
      </c>
      <c r="D113" t="inlineStr">
        <is>
          <t>UPPSALA LÄN</t>
        </is>
      </c>
      <c r="E113" t="inlineStr">
        <is>
          <t>ÖSTHAMMAR</t>
        </is>
      </c>
      <c r="F113" t="inlineStr">
        <is>
          <t>Bergvik skog öst AB</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HYPERLINK("https://klasma.github.io/Logging_0382/artfynd/A 22209-2022 artfynd.xlsx", "A 22209-2022")</f>
        <v/>
      </c>
      <c r="T113">
        <f>HYPERLINK("https://klasma.github.io/Logging_0382/kartor/A 22209-2022 karta.png", "A 22209-2022")</f>
        <v/>
      </c>
      <c r="V113">
        <f>HYPERLINK("https://klasma.github.io/Logging_0382/klagomål/A 22209-2022 FSC-klagomål.docx", "A 22209-2022")</f>
        <v/>
      </c>
      <c r="W113">
        <f>HYPERLINK("https://klasma.github.io/Logging_0382/klagomålsmail/A 22209-2022 FSC-klagomål mail.docx", "A 22209-2022")</f>
        <v/>
      </c>
      <c r="X113">
        <f>HYPERLINK("https://klasma.github.io/Logging_0382/tillsyn/A 22209-2022 tillsynsbegäran.docx", "A 22209-2022")</f>
        <v/>
      </c>
      <c r="Y113">
        <f>HYPERLINK("https://klasma.github.io/Logging_0382/tillsynsmail/A 22209-2022 tillsynsbegäran mail.docx", "A 22209-2022")</f>
        <v/>
      </c>
    </row>
    <row r="114" ht="15" customHeight="1">
      <c r="A114" t="inlineStr">
        <is>
          <t>A 12753-2024</t>
        </is>
      </c>
      <c r="B114" s="1" t="n">
        <v>45384</v>
      </c>
      <c r="C114" s="1" t="n">
        <v>46084</v>
      </c>
      <c r="D114" t="inlineStr">
        <is>
          <t>UPPSALA LÄN</t>
        </is>
      </c>
      <c r="E114" t="inlineStr">
        <is>
          <t>ÖSTHAMMAR</t>
        </is>
      </c>
      <c r="G114" t="n">
        <v>1.7</v>
      </c>
      <c r="H114" t="n">
        <v>0</v>
      </c>
      <c r="I114" t="n">
        <v>0</v>
      </c>
      <c r="J114" t="n">
        <v>1</v>
      </c>
      <c r="K114" t="n">
        <v>0</v>
      </c>
      <c r="L114" t="n">
        <v>0</v>
      </c>
      <c r="M114" t="n">
        <v>0</v>
      </c>
      <c r="N114" t="n">
        <v>0</v>
      </c>
      <c r="O114" t="n">
        <v>1</v>
      </c>
      <c r="P114" t="n">
        <v>0</v>
      </c>
      <c r="Q114" t="n">
        <v>1</v>
      </c>
      <c r="R114" s="2" t="inlineStr">
        <is>
          <t>Flattoppad klubbsvamp</t>
        </is>
      </c>
      <c r="S114">
        <f>HYPERLINK("https://klasma.github.io/Logging_0382/artfynd/A 12753-2024 artfynd.xlsx", "A 12753-2024")</f>
        <v/>
      </c>
      <c r="T114">
        <f>HYPERLINK("https://klasma.github.io/Logging_0382/kartor/A 12753-2024 karta.png", "A 12753-2024")</f>
        <v/>
      </c>
      <c r="V114">
        <f>HYPERLINK("https://klasma.github.io/Logging_0382/klagomål/A 12753-2024 FSC-klagomål.docx", "A 12753-2024")</f>
        <v/>
      </c>
      <c r="W114">
        <f>HYPERLINK("https://klasma.github.io/Logging_0382/klagomålsmail/A 12753-2024 FSC-klagomål mail.docx", "A 12753-2024")</f>
        <v/>
      </c>
      <c r="X114">
        <f>HYPERLINK("https://klasma.github.io/Logging_0382/tillsyn/A 12753-2024 tillsynsbegäran.docx", "A 12753-2024")</f>
        <v/>
      </c>
      <c r="Y114">
        <f>HYPERLINK("https://klasma.github.io/Logging_0382/tillsynsmail/A 12753-2024 tillsynsbegäran mail.docx", "A 12753-2024")</f>
        <v/>
      </c>
    </row>
    <row r="115" ht="15" customHeight="1">
      <c r="A115" t="inlineStr">
        <is>
          <t>A 24797-2022</t>
        </is>
      </c>
      <c r="B115" s="1" t="n">
        <v>44728</v>
      </c>
      <c r="C115" s="1" t="n">
        <v>46084</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73983-2021</t>
        </is>
      </c>
      <c r="B116" s="1" t="n">
        <v>44555.80506944445</v>
      </c>
      <c r="C116" s="1" t="n">
        <v>46084</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46084</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46084</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46084</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46084</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46084</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46084</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46084</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46084</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46084</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46084</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46084</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46084</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46084</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46084</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46084</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59498-2021</t>
        </is>
      </c>
      <c r="B132" s="1" t="n">
        <v>44491.53787037037</v>
      </c>
      <c r="C132" s="1" t="n">
        <v>46084</v>
      </c>
      <c r="D132" t="inlineStr">
        <is>
          <t>UPPSALA LÄN</t>
        </is>
      </c>
      <c r="E132" t="inlineStr">
        <is>
          <t>ÖSTHAMMAR</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46084</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46084</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46084</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46084</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46084</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46084</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46084</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46084</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46084</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46084</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46084</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46084</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46084</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46084</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46084</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46084</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46084</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46084</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46084</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46084</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46084</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46084</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46084</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46084</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46084</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46084</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46084</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46084</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46084</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46084</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46084</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46084</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46084</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46084</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46084</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22887-2022</t>
        </is>
      </c>
      <c r="B168" s="1" t="n">
        <v>44715</v>
      </c>
      <c r="C168" s="1" t="n">
        <v>46084</v>
      </c>
      <c r="D168" t="inlineStr">
        <is>
          <t>UPPSALA LÄN</t>
        </is>
      </c>
      <c r="E168" t="inlineStr">
        <is>
          <t>ÖSTHAMMAR</t>
        </is>
      </c>
      <c r="G168" t="n">
        <v>0.2</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46084</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52544-2021</t>
        </is>
      </c>
      <c r="B170" s="1" t="n">
        <v>44466</v>
      </c>
      <c r="C170" s="1" t="n">
        <v>46084</v>
      </c>
      <c r="D170" t="inlineStr">
        <is>
          <t>UPPSALA LÄN</t>
        </is>
      </c>
      <c r="E170" t="inlineStr">
        <is>
          <t>ÖSTHAMMAR</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9789-2022</t>
        </is>
      </c>
      <c r="B171" s="1" t="n">
        <v>44620.35590277778</v>
      </c>
      <c r="C171" s="1" t="n">
        <v>46084</v>
      </c>
      <c r="D171" t="inlineStr">
        <is>
          <t>UPPSALA LÄN</t>
        </is>
      </c>
      <c r="E171" t="inlineStr">
        <is>
          <t>ÖSTHAMMAR</t>
        </is>
      </c>
      <c r="G171" t="n">
        <v>1.2</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46084</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46084</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46084</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2168-2022</t>
        </is>
      </c>
      <c r="B175" s="1" t="n">
        <v>44578</v>
      </c>
      <c r="C175" s="1" t="n">
        <v>46084</v>
      </c>
      <c r="D175" t="inlineStr">
        <is>
          <t>UPPSALA LÄN</t>
        </is>
      </c>
      <c r="E175" t="inlineStr">
        <is>
          <t>ÖSTHAMMAR</t>
        </is>
      </c>
      <c r="G175" t="n">
        <v>2.9</v>
      </c>
      <c r="H175" t="n">
        <v>0</v>
      </c>
      <c r="I175" t="n">
        <v>0</v>
      </c>
      <c r="J175" t="n">
        <v>0</v>
      </c>
      <c r="K175" t="n">
        <v>0</v>
      </c>
      <c r="L175" t="n">
        <v>0</v>
      </c>
      <c r="M175" t="n">
        <v>0</v>
      </c>
      <c r="N175" t="n">
        <v>0</v>
      </c>
      <c r="O175" t="n">
        <v>0</v>
      </c>
      <c r="P175" t="n">
        <v>0</v>
      </c>
      <c r="Q175" t="n">
        <v>0</v>
      </c>
      <c r="R175" s="2" t="inlineStr"/>
    </row>
    <row r="176" ht="15" customHeight="1">
      <c r="A176" t="inlineStr">
        <is>
          <t>A 34418-2022</t>
        </is>
      </c>
      <c r="B176" s="1" t="n">
        <v>44792</v>
      </c>
      <c r="C176" s="1" t="n">
        <v>46084</v>
      </c>
      <c r="D176" t="inlineStr">
        <is>
          <t>UPPSALA LÄN</t>
        </is>
      </c>
      <c r="E176" t="inlineStr">
        <is>
          <t>ÖSTHAMMAR</t>
        </is>
      </c>
      <c r="G176" t="n">
        <v>0.3</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44661.74027777778</v>
      </c>
      <c r="C177" s="1" t="n">
        <v>46084</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7871-2022</t>
        </is>
      </c>
      <c r="B178" s="1" t="n">
        <v>44608</v>
      </c>
      <c r="C178" s="1" t="n">
        <v>46084</v>
      </c>
      <c r="D178" t="inlineStr">
        <is>
          <t>UPPSALA LÄN</t>
        </is>
      </c>
      <c r="E178" t="inlineStr">
        <is>
          <t>ÖSTHAMMAR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24817-2022</t>
        </is>
      </c>
      <c r="B179" s="1" t="n">
        <v>44728</v>
      </c>
      <c r="C179" s="1" t="n">
        <v>46084</v>
      </c>
      <c r="D179" t="inlineStr">
        <is>
          <t>UPPSALA LÄN</t>
        </is>
      </c>
      <c r="E179" t="inlineStr">
        <is>
          <t>ÖSTHAMMAR</t>
        </is>
      </c>
      <c r="F179" t="inlineStr">
        <is>
          <t>Sveaskog</t>
        </is>
      </c>
      <c r="G179" t="n">
        <v>0.2</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46084</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11884-2022</t>
        </is>
      </c>
      <c r="B181" s="1" t="n">
        <v>44635.39946759259</v>
      </c>
      <c r="C181" s="1" t="n">
        <v>46084</v>
      </c>
      <c r="D181" t="inlineStr">
        <is>
          <t>UPPSALA LÄN</t>
        </is>
      </c>
      <c r="E181" t="inlineStr">
        <is>
          <t>ÖSTHAMMAR</t>
        </is>
      </c>
      <c r="G181" t="n">
        <v>0.8</v>
      </c>
      <c r="H181" t="n">
        <v>0</v>
      </c>
      <c r="I181" t="n">
        <v>0</v>
      </c>
      <c r="J181" t="n">
        <v>0</v>
      </c>
      <c r="K181" t="n">
        <v>0</v>
      </c>
      <c r="L181" t="n">
        <v>0</v>
      </c>
      <c r="M181" t="n">
        <v>0</v>
      </c>
      <c r="N181" t="n">
        <v>0</v>
      </c>
      <c r="O181" t="n">
        <v>0</v>
      </c>
      <c r="P181" t="n">
        <v>0</v>
      </c>
      <c r="Q181" t="n">
        <v>0</v>
      </c>
      <c r="R181" s="2" t="inlineStr"/>
    </row>
    <row r="182" ht="15" customHeight="1">
      <c r="A182" t="inlineStr">
        <is>
          <t>A 18734-2022</t>
        </is>
      </c>
      <c r="B182" s="1" t="n">
        <v>44687.86751157408</v>
      </c>
      <c r="C182" s="1" t="n">
        <v>46084</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46084</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46084</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37570-2022</t>
        </is>
      </c>
      <c r="B185" s="1" t="n">
        <v>44809</v>
      </c>
      <c r="C185" s="1" t="n">
        <v>46084</v>
      </c>
      <c r="D185" t="inlineStr">
        <is>
          <t>UPPSALA LÄN</t>
        </is>
      </c>
      <c r="E185" t="inlineStr">
        <is>
          <t>ÖSTHAMMAR</t>
        </is>
      </c>
      <c r="G185" t="n">
        <v>0.6</v>
      </c>
      <c r="H185" t="n">
        <v>0</v>
      </c>
      <c r="I185" t="n">
        <v>0</v>
      </c>
      <c r="J185" t="n">
        <v>0</v>
      </c>
      <c r="K185" t="n">
        <v>0</v>
      </c>
      <c r="L185" t="n">
        <v>0</v>
      </c>
      <c r="M185" t="n">
        <v>0</v>
      </c>
      <c r="N185" t="n">
        <v>0</v>
      </c>
      <c r="O185" t="n">
        <v>0</v>
      </c>
      <c r="P185" t="n">
        <v>0</v>
      </c>
      <c r="Q185" t="n">
        <v>0</v>
      </c>
      <c r="R185" s="2" t="inlineStr"/>
    </row>
    <row r="186" ht="15" customHeight="1">
      <c r="A186" t="inlineStr">
        <is>
          <t>A 57003-2021</t>
        </is>
      </c>
      <c r="B186" s="1" t="n">
        <v>44482.47577546296</v>
      </c>
      <c r="C186" s="1" t="n">
        <v>46084</v>
      </c>
      <c r="D186" t="inlineStr">
        <is>
          <t>UPPSALA LÄN</t>
        </is>
      </c>
      <c r="E186" t="inlineStr">
        <is>
          <t>ÖSTHAMMAR</t>
        </is>
      </c>
      <c r="G186" t="n">
        <v>1.9</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46084</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46084</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37545-2022</t>
        </is>
      </c>
      <c r="B189" s="1" t="n">
        <v>44809.63373842592</v>
      </c>
      <c r="C189" s="1" t="n">
        <v>46084</v>
      </c>
      <c r="D189" t="inlineStr">
        <is>
          <t>UPPSALA LÄN</t>
        </is>
      </c>
      <c r="E189" t="inlineStr">
        <is>
          <t>ÖSTHAMMAR</t>
        </is>
      </c>
      <c r="G189" t="n">
        <v>3.1</v>
      </c>
      <c r="H189" t="n">
        <v>0</v>
      </c>
      <c r="I189" t="n">
        <v>0</v>
      </c>
      <c r="J189" t="n">
        <v>0</v>
      </c>
      <c r="K189" t="n">
        <v>0</v>
      </c>
      <c r="L189" t="n">
        <v>0</v>
      </c>
      <c r="M189" t="n">
        <v>0</v>
      </c>
      <c r="N189" t="n">
        <v>0</v>
      </c>
      <c r="O189" t="n">
        <v>0</v>
      </c>
      <c r="P189" t="n">
        <v>0</v>
      </c>
      <c r="Q189" t="n">
        <v>0</v>
      </c>
      <c r="R189" s="2" t="inlineStr"/>
    </row>
    <row r="190" ht="15" customHeight="1">
      <c r="A190" t="inlineStr">
        <is>
          <t>A 31182-2022</t>
        </is>
      </c>
      <c r="B190" s="1" t="n">
        <v>44770</v>
      </c>
      <c r="C190" s="1" t="n">
        <v>46084</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26534-2022</t>
        </is>
      </c>
      <c r="B191" s="1" t="n">
        <v>44739</v>
      </c>
      <c r="C191" s="1" t="n">
        <v>46084</v>
      </c>
      <c r="D191" t="inlineStr">
        <is>
          <t>UPPSALA LÄN</t>
        </is>
      </c>
      <c r="E191" t="inlineStr">
        <is>
          <t>ÖSTHAMMAR</t>
        </is>
      </c>
      <c r="F191" t="inlineStr">
        <is>
          <t>Övriga statliga verk och myndigheter</t>
        </is>
      </c>
      <c r="G191" t="n">
        <v>0.6</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46084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46084</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11987-2022</t>
        </is>
      </c>
      <c r="B195" s="1" t="n">
        <v>44635.68695601852</v>
      </c>
      <c r="C195" s="1" t="n">
        <v>46084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46084</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22207-2022</t>
        </is>
      </c>
      <c r="B197" s="1" t="n">
        <v>44712.51509259259</v>
      </c>
      <c r="C197" s="1" t="n">
        <v>46084</v>
      </c>
      <c r="D197" t="inlineStr">
        <is>
          <t>UPPSALA LÄN</t>
        </is>
      </c>
      <c r="E197" t="inlineStr">
        <is>
          <t>ÖSTHAMMAR</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37568-2022</t>
        </is>
      </c>
      <c r="B198" s="1" t="n">
        <v>44809</v>
      </c>
      <c r="C198" s="1" t="n">
        <v>46084</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16185-2022</t>
        </is>
      </c>
      <c r="B199" s="1" t="n">
        <v>44669</v>
      </c>
      <c r="C199" s="1" t="n">
        <v>46084</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24316-2021</t>
        </is>
      </c>
      <c r="B200" s="1" t="n">
        <v>44337</v>
      </c>
      <c r="C200" s="1" t="n">
        <v>46084</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10290-2025</t>
        </is>
      </c>
      <c r="B201" s="1" t="n">
        <v>45720.41847222222</v>
      </c>
      <c r="C201" s="1" t="n">
        <v>46084</v>
      </c>
      <c r="D201" t="inlineStr">
        <is>
          <t>UPPSALA LÄN</t>
        </is>
      </c>
      <c r="E201" t="inlineStr">
        <is>
          <t>ÖSTHAMMAR</t>
        </is>
      </c>
      <c r="G201" t="n">
        <v>8.6</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46084</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11469-2023</t>
        </is>
      </c>
      <c r="B203" s="1" t="n">
        <v>44993.60099537037</v>
      </c>
      <c r="C203" s="1" t="n">
        <v>46084</v>
      </c>
      <c r="D203" t="inlineStr">
        <is>
          <t>UPPSALA LÄN</t>
        </is>
      </c>
      <c r="E203" t="inlineStr">
        <is>
          <t>ÖSTHAMMAR</t>
        </is>
      </c>
      <c r="F203" t="inlineStr">
        <is>
          <t>Bergvik skog öst AB</t>
        </is>
      </c>
      <c r="G203" t="n">
        <v>0.5</v>
      </c>
      <c r="H203" t="n">
        <v>0</v>
      </c>
      <c r="I203" t="n">
        <v>0</v>
      </c>
      <c r="J203" t="n">
        <v>0</v>
      </c>
      <c r="K203" t="n">
        <v>0</v>
      </c>
      <c r="L203" t="n">
        <v>0</v>
      </c>
      <c r="M203" t="n">
        <v>0</v>
      </c>
      <c r="N203" t="n">
        <v>0</v>
      </c>
      <c r="O203" t="n">
        <v>0</v>
      </c>
      <c r="P203" t="n">
        <v>0</v>
      </c>
      <c r="Q203" t="n">
        <v>0</v>
      </c>
      <c r="R203" s="2" t="inlineStr"/>
    </row>
    <row r="204" ht="15" customHeight="1">
      <c r="A204" t="inlineStr">
        <is>
          <t>A 7100-2025</t>
        </is>
      </c>
      <c r="B204" s="1" t="n">
        <v>45701.83930555556</v>
      </c>
      <c r="C204" s="1" t="n">
        <v>46084</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16184-2022</t>
        </is>
      </c>
      <c r="B205" s="1" t="n">
        <v>44669.36354166667</v>
      </c>
      <c r="C205" s="1" t="n">
        <v>46084</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60577-2021</t>
        </is>
      </c>
      <c r="B206" s="1" t="n">
        <v>44496.57019675926</v>
      </c>
      <c r="C206" s="1" t="n">
        <v>46084</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25418-2022</t>
        </is>
      </c>
      <c r="B207" s="1" t="n">
        <v>44732.464375</v>
      </c>
      <c r="C207" s="1" t="n">
        <v>46084</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10495-2025</t>
        </is>
      </c>
      <c r="B208" s="1" t="n">
        <v>45721</v>
      </c>
      <c r="C208" s="1" t="n">
        <v>46084</v>
      </c>
      <c r="D208" t="inlineStr">
        <is>
          <t>UPPSALA LÄN</t>
        </is>
      </c>
      <c r="E208" t="inlineStr">
        <is>
          <t>ÖSTHAMMAR</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1791-2023</t>
        </is>
      </c>
      <c r="B209" s="1" t="n">
        <v>44938</v>
      </c>
      <c r="C209" s="1" t="n">
        <v>46084</v>
      </c>
      <c r="D209" t="inlineStr">
        <is>
          <t>UPPSALA LÄN</t>
        </is>
      </c>
      <c r="E209" t="inlineStr">
        <is>
          <t>ÖSTHAMMAR</t>
        </is>
      </c>
      <c r="G209" t="n">
        <v>2</v>
      </c>
      <c r="H209" t="n">
        <v>0</v>
      </c>
      <c r="I209" t="n">
        <v>0</v>
      </c>
      <c r="J209" t="n">
        <v>0</v>
      </c>
      <c r="K209" t="n">
        <v>0</v>
      </c>
      <c r="L209" t="n">
        <v>0</v>
      </c>
      <c r="M209" t="n">
        <v>0</v>
      </c>
      <c r="N209" t="n">
        <v>0</v>
      </c>
      <c r="O209" t="n">
        <v>0</v>
      </c>
      <c r="P209" t="n">
        <v>0</v>
      </c>
      <c r="Q209" t="n">
        <v>0</v>
      </c>
      <c r="R209" s="2" t="inlineStr"/>
    </row>
    <row r="210" ht="15" customHeight="1">
      <c r="A210" t="inlineStr">
        <is>
          <t>A 14859-2025</t>
        </is>
      </c>
      <c r="B210" s="1" t="n">
        <v>45743.42427083333</v>
      </c>
      <c r="C210" s="1" t="n">
        <v>46084</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14671-2022</t>
        </is>
      </c>
      <c r="B211" s="1" t="n">
        <v>44655.80475694445</v>
      </c>
      <c r="C211" s="1" t="n">
        <v>46084</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38886-2025</t>
        </is>
      </c>
      <c r="B212" s="1" t="n">
        <v>45887.58370370371</v>
      </c>
      <c r="C212" s="1" t="n">
        <v>46084</v>
      </c>
      <c r="D212" t="inlineStr">
        <is>
          <t>UPPSALA LÄN</t>
        </is>
      </c>
      <c r="E212" t="inlineStr">
        <is>
          <t>ÖSTHAMMAR</t>
        </is>
      </c>
      <c r="F212" t="inlineStr">
        <is>
          <t>Bergvik skog öst AB</t>
        </is>
      </c>
      <c r="G212" t="n">
        <v>4.7</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46084</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49796-2024</t>
        </is>
      </c>
      <c r="B214" s="1" t="n">
        <v>45597</v>
      </c>
      <c r="C214" s="1" t="n">
        <v>46084</v>
      </c>
      <c r="D214" t="inlineStr">
        <is>
          <t>UPPSALA LÄN</t>
        </is>
      </c>
      <c r="E214" t="inlineStr">
        <is>
          <t>ÖSTHAMMAR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46399-2023</t>
        </is>
      </c>
      <c r="B215" s="1" t="n">
        <v>45197.49262731482</v>
      </c>
      <c r="C215" s="1" t="n">
        <v>46084</v>
      </c>
      <c r="D215" t="inlineStr">
        <is>
          <t>UPPSALA LÄN</t>
        </is>
      </c>
      <c r="E215" t="inlineStr">
        <is>
          <t>ÖSTHAMMAR</t>
        </is>
      </c>
      <c r="G215" t="n">
        <v>5.8</v>
      </c>
      <c r="H215" t="n">
        <v>0</v>
      </c>
      <c r="I215" t="n">
        <v>0</v>
      </c>
      <c r="J215" t="n">
        <v>0</v>
      </c>
      <c r="K215" t="n">
        <v>0</v>
      </c>
      <c r="L215" t="n">
        <v>0</v>
      </c>
      <c r="M215" t="n">
        <v>0</v>
      </c>
      <c r="N215" t="n">
        <v>0</v>
      </c>
      <c r="O215" t="n">
        <v>0</v>
      </c>
      <c r="P215" t="n">
        <v>0</v>
      </c>
      <c r="Q215" t="n">
        <v>0</v>
      </c>
      <c r="R215" s="2" t="inlineStr"/>
    </row>
    <row r="216" ht="15" customHeight="1">
      <c r="A216" t="inlineStr">
        <is>
          <t>A 21133-2025</t>
        </is>
      </c>
      <c r="B216" s="1" t="n">
        <v>45778.415625</v>
      </c>
      <c r="C216" s="1" t="n">
        <v>46084</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21132-2025</t>
        </is>
      </c>
      <c r="B217" s="1" t="n">
        <v>45778.4108912037</v>
      </c>
      <c r="C217" s="1" t="n">
        <v>46084</v>
      </c>
      <c r="D217" t="inlineStr">
        <is>
          <t>UPPSALA LÄN</t>
        </is>
      </c>
      <c r="E217" t="inlineStr">
        <is>
          <t>ÖSTHAMMAR</t>
        </is>
      </c>
      <c r="G217" t="n">
        <v>10.1</v>
      </c>
      <c r="H217" t="n">
        <v>0</v>
      </c>
      <c r="I217" t="n">
        <v>0</v>
      </c>
      <c r="J217" t="n">
        <v>0</v>
      </c>
      <c r="K217" t="n">
        <v>0</v>
      </c>
      <c r="L217" t="n">
        <v>0</v>
      </c>
      <c r="M217" t="n">
        <v>0</v>
      </c>
      <c r="N217" t="n">
        <v>0</v>
      </c>
      <c r="O217" t="n">
        <v>0</v>
      </c>
      <c r="P217" t="n">
        <v>0</v>
      </c>
      <c r="Q217" t="n">
        <v>0</v>
      </c>
      <c r="R217" s="2" t="inlineStr"/>
    </row>
    <row r="218" ht="15" customHeight="1">
      <c r="A218" t="inlineStr">
        <is>
          <t>A 5344-2025</t>
        </is>
      </c>
      <c r="B218" s="1" t="n">
        <v>45692</v>
      </c>
      <c r="C218" s="1" t="n">
        <v>46084</v>
      </c>
      <c r="D218" t="inlineStr">
        <is>
          <t>UPPSALA LÄN</t>
        </is>
      </c>
      <c r="E218" t="inlineStr">
        <is>
          <t>ÖSTHAMMAR</t>
        </is>
      </c>
      <c r="F218" t="inlineStr">
        <is>
          <t>Bergvik skog öst AB</t>
        </is>
      </c>
      <c r="G218" t="n">
        <v>3.2</v>
      </c>
      <c r="H218" t="n">
        <v>0</v>
      </c>
      <c r="I218" t="n">
        <v>0</v>
      </c>
      <c r="J218" t="n">
        <v>0</v>
      </c>
      <c r="K218" t="n">
        <v>0</v>
      </c>
      <c r="L218" t="n">
        <v>0</v>
      </c>
      <c r="M218" t="n">
        <v>0</v>
      </c>
      <c r="N218" t="n">
        <v>0</v>
      </c>
      <c r="O218" t="n">
        <v>0</v>
      </c>
      <c r="P218" t="n">
        <v>0</v>
      </c>
      <c r="Q218" t="n">
        <v>0</v>
      </c>
      <c r="R218" s="2" t="inlineStr"/>
    </row>
    <row r="219" ht="15" customHeight="1">
      <c r="A219" t="inlineStr">
        <is>
          <t>A 45550-2023</t>
        </is>
      </c>
      <c r="B219" s="1" t="n">
        <v>45194.57125</v>
      </c>
      <c r="C219" s="1" t="n">
        <v>46084</v>
      </c>
      <c r="D219" t="inlineStr">
        <is>
          <t>UPPSALA LÄN</t>
        </is>
      </c>
      <c r="E219" t="inlineStr">
        <is>
          <t>ÖSTHAMMAR</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15445-2022</t>
        </is>
      </c>
      <c r="B220" s="1" t="n">
        <v>44660.4987962963</v>
      </c>
      <c r="C220" s="1" t="n">
        <v>46084</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42262-2024</t>
        </is>
      </c>
      <c r="B221" s="1" t="n">
        <v>45562</v>
      </c>
      <c r="C221" s="1" t="n">
        <v>46084</v>
      </c>
      <c r="D221" t="inlineStr">
        <is>
          <t>UPPSALA LÄN</t>
        </is>
      </c>
      <c r="E221" t="inlineStr">
        <is>
          <t>ÖSTHAMMAR</t>
        </is>
      </c>
      <c r="F221" t="inlineStr">
        <is>
          <t>Bergvik skog öst AB</t>
        </is>
      </c>
      <c r="G221" t="n">
        <v>1.7</v>
      </c>
      <c r="H221" t="n">
        <v>0</v>
      </c>
      <c r="I221" t="n">
        <v>0</v>
      </c>
      <c r="J221" t="n">
        <v>0</v>
      </c>
      <c r="K221" t="n">
        <v>0</v>
      </c>
      <c r="L221" t="n">
        <v>0</v>
      </c>
      <c r="M221" t="n">
        <v>0</v>
      </c>
      <c r="N221" t="n">
        <v>0</v>
      </c>
      <c r="O221" t="n">
        <v>0</v>
      </c>
      <c r="P221" t="n">
        <v>0</v>
      </c>
      <c r="Q221" t="n">
        <v>0</v>
      </c>
      <c r="R221" s="2" t="inlineStr"/>
    </row>
    <row r="222" ht="15" customHeight="1">
      <c r="A222" t="inlineStr">
        <is>
          <t>A 20634-2024</t>
        </is>
      </c>
      <c r="B222" s="1" t="n">
        <v>45436</v>
      </c>
      <c r="C222" s="1" t="n">
        <v>46084</v>
      </c>
      <c r="D222" t="inlineStr">
        <is>
          <t>UPPSALA LÄN</t>
        </is>
      </c>
      <c r="E222" t="inlineStr">
        <is>
          <t>ÖSTHAMMAR</t>
        </is>
      </c>
      <c r="G222" t="n">
        <v>6.5</v>
      </c>
      <c r="H222" t="n">
        <v>0</v>
      </c>
      <c r="I222" t="n">
        <v>0</v>
      </c>
      <c r="J222" t="n">
        <v>0</v>
      </c>
      <c r="K222" t="n">
        <v>0</v>
      </c>
      <c r="L222" t="n">
        <v>0</v>
      </c>
      <c r="M222" t="n">
        <v>0</v>
      </c>
      <c r="N222" t="n">
        <v>0</v>
      </c>
      <c r="O222" t="n">
        <v>0</v>
      </c>
      <c r="P222" t="n">
        <v>0</v>
      </c>
      <c r="Q222" t="n">
        <v>0</v>
      </c>
      <c r="R222" s="2" t="inlineStr"/>
    </row>
    <row r="223" ht="15" customHeight="1">
      <c r="A223" t="inlineStr">
        <is>
          <t>A 31479-2023</t>
        </is>
      </c>
      <c r="B223" s="1" t="n">
        <v>45114.79793981482</v>
      </c>
      <c r="C223" s="1" t="n">
        <v>46084</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18088-2025</t>
        </is>
      </c>
      <c r="B224" s="1" t="n">
        <v>45761.53104166667</v>
      </c>
      <c r="C224" s="1" t="n">
        <v>46084</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18095-2025</t>
        </is>
      </c>
      <c r="B225" s="1" t="n">
        <v>45761.54925925926</v>
      </c>
      <c r="C225" s="1" t="n">
        <v>46084</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46084</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17651-2025</t>
        </is>
      </c>
      <c r="B227" s="1" t="n">
        <v>45758.33304398148</v>
      </c>
      <c r="C227" s="1" t="n">
        <v>46084</v>
      </c>
      <c r="D227" t="inlineStr">
        <is>
          <t>UPPSALA LÄN</t>
        </is>
      </c>
      <c r="E227" t="inlineStr">
        <is>
          <t>ÖSTHAMMAR</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61257-2022</t>
        </is>
      </c>
      <c r="B228" s="1" t="n">
        <v>44915.59418981482</v>
      </c>
      <c r="C228" s="1" t="n">
        <v>46084</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48719-2023</t>
        </is>
      </c>
      <c r="B229" s="1" t="n">
        <v>45208.70452546296</v>
      </c>
      <c r="C229" s="1" t="n">
        <v>46084</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31574-2022</t>
        </is>
      </c>
      <c r="B230" s="1" t="n">
        <v>44775</v>
      </c>
      <c r="C230" s="1" t="n">
        <v>46084</v>
      </c>
      <c r="D230" t="inlineStr">
        <is>
          <t>UPPSALA LÄN</t>
        </is>
      </c>
      <c r="E230" t="inlineStr">
        <is>
          <t>ÖSTHAMMAR</t>
        </is>
      </c>
      <c r="G230" t="n">
        <v>29.7</v>
      </c>
      <c r="H230" t="n">
        <v>0</v>
      </c>
      <c r="I230" t="n">
        <v>0</v>
      </c>
      <c r="J230" t="n">
        <v>0</v>
      </c>
      <c r="K230" t="n">
        <v>0</v>
      </c>
      <c r="L230" t="n">
        <v>0</v>
      </c>
      <c r="M230" t="n">
        <v>0</v>
      </c>
      <c r="N230" t="n">
        <v>0</v>
      </c>
      <c r="O230" t="n">
        <v>0</v>
      </c>
      <c r="P230" t="n">
        <v>0</v>
      </c>
      <c r="Q230" t="n">
        <v>0</v>
      </c>
      <c r="R230" s="2" t="inlineStr"/>
    </row>
    <row r="231" ht="15" customHeight="1">
      <c r="A231" t="inlineStr">
        <is>
          <t>A 21862-2023</t>
        </is>
      </c>
      <c r="B231" s="1" t="n">
        <v>45068</v>
      </c>
      <c r="C231" s="1" t="n">
        <v>46084</v>
      </c>
      <c r="D231" t="inlineStr">
        <is>
          <t>UPPSALA LÄN</t>
        </is>
      </c>
      <c r="E231" t="inlineStr">
        <is>
          <t>ÖSTHAMMAR</t>
        </is>
      </c>
      <c r="G231" t="n">
        <v>0.5</v>
      </c>
      <c r="H231" t="n">
        <v>0</v>
      </c>
      <c r="I231" t="n">
        <v>0</v>
      </c>
      <c r="J231" t="n">
        <v>0</v>
      </c>
      <c r="K231" t="n">
        <v>0</v>
      </c>
      <c r="L231" t="n">
        <v>0</v>
      </c>
      <c r="M231" t="n">
        <v>0</v>
      </c>
      <c r="N231" t="n">
        <v>0</v>
      </c>
      <c r="O231" t="n">
        <v>0</v>
      </c>
      <c r="P231" t="n">
        <v>0</v>
      </c>
      <c r="Q231" t="n">
        <v>0</v>
      </c>
      <c r="R231" s="2" t="inlineStr"/>
    </row>
    <row r="232" ht="15" customHeight="1">
      <c r="A232" t="inlineStr">
        <is>
          <t>A 55086-2024</t>
        </is>
      </c>
      <c r="B232" s="1" t="n">
        <v>45621.43098379629</v>
      </c>
      <c r="C232" s="1" t="n">
        <v>46084</v>
      </c>
      <c r="D232" t="inlineStr">
        <is>
          <t>UPPSALA LÄN</t>
        </is>
      </c>
      <c r="E232" t="inlineStr">
        <is>
          <t>ÖSTHAMMAR</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62695-2023</t>
        </is>
      </c>
      <c r="B233" s="1" t="n">
        <v>45271</v>
      </c>
      <c r="C233" s="1" t="n">
        <v>46084</v>
      </c>
      <c r="D233" t="inlineStr">
        <is>
          <t>UPPSALA LÄN</t>
        </is>
      </c>
      <c r="E233" t="inlineStr">
        <is>
          <t>ÖSTHAMMAR</t>
        </is>
      </c>
      <c r="G233" t="n">
        <v>5.3</v>
      </c>
      <c r="H233" t="n">
        <v>0</v>
      </c>
      <c r="I233" t="n">
        <v>0</v>
      </c>
      <c r="J233" t="n">
        <v>0</v>
      </c>
      <c r="K233" t="n">
        <v>0</v>
      </c>
      <c r="L233" t="n">
        <v>0</v>
      </c>
      <c r="M233" t="n">
        <v>0</v>
      </c>
      <c r="N233" t="n">
        <v>0</v>
      </c>
      <c r="O233" t="n">
        <v>0</v>
      </c>
      <c r="P233" t="n">
        <v>0</v>
      </c>
      <c r="Q233" t="n">
        <v>0</v>
      </c>
      <c r="R233" s="2" t="inlineStr"/>
    </row>
    <row r="234" ht="15" customHeight="1">
      <c r="A234" t="inlineStr">
        <is>
          <t>A 36954-2024</t>
        </is>
      </c>
      <c r="B234" s="1" t="n">
        <v>45538.71109953704</v>
      </c>
      <c r="C234" s="1" t="n">
        <v>46084</v>
      </c>
      <c r="D234" t="inlineStr">
        <is>
          <t>UPPSALA LÄN</t>
        </is>
      </c>
      <c r="E234" t="inlineStr">
        <is>
          <t>ÖSTHAMMAR</t>
        </is>
      </c>
      <c r="F234" t="inlineStr">
        <is>
          <t>Bergvik skog öst AB</t>
        </is>
      </c>
      <c r="G234" t="n">
        <v>5.1</v>
      </c>
      <c r="H234" t="n">
        <v>0</v>
      </c>
      <c r="I234" t="n">
        <v>0</v>
      </c>
      <c r="J234" t="n">
        <v>0</v>
      </c>
      <c r="K234" t="n">
        <v>0</v>
      </c>
      <c r="L234" t="n">
        <v>0</v>
      </c>
      <c r="M234" t="n">
        <v>0</v>
      </c>
      <c r="N234" t="n">
        <v>0</v>
      </c>
      <c r="O234" t="n">
        <v>0</v>
      </c>
      <c r="P234" t="n">
        <v>0</v>
      </c>
      <c r="Q234" t="n">
        <v>0</v>
      </c>
      <c r="R234" s="2" t="inlineStr"/>
    </row>
    <row r="235" ht="15" customHeight="1">
      <c r="A235" t="inlineStr">
        <is>
          <t>A 33685-2024</t>
        </is>
      </c>
      <c r="B235" s="1" t="n">
        <v>45520.51063657407</v>
      </c>
      <c r="C235" s="1" t="n">
        <v>46084</v>
      </c>
      <c r="D235" t="inlineStr">
        <is>
          <t>UPPSALA LÄN</t>
        </is>
      </c>
      <c r="E235" t="inlineStr">
        <is>
          <t>ÖSTHAMMAR</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43655-2024</t>
        </is>
      </c>
      <c r="B236" s="1" t="n">
        <v>45569</v>
      </c>
      <c r="C236" s="1" t="n">
        <v>46084</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22488-2025</t>
        </is>
      </c>
      <c r="B237" s="1" t="n">
        <v>45786.64865740741</v>
      </c>
      <c r="C237" s="1" t="n">
        <v>46084</v>
      </c>
      <c r="D237" t="inlineStr">
        <is>
          <t>UPPSALA LÄN</t>
        </is>
      </c>
      <c r="E237" t="inlineStr">
        <is>
          <t>ÖSTHAMMAR</t>
        </is>
      </c>
      <c r="F237" t="inlineStr">
        <is>
          <t>Bergvik skog öst AB</t>
        </is>
      </c>
      <c r="G237" t="n">
        <v>14.9</v>
      </c>
      <c r="H237" t="n">
        <v>0</v>
      </c>
      <c r="I237" t="n">
        <v>0</v>
      </c>
      <c r="J237" t="n">
        <v>0</v>
      </c>
      <c r="K237" t="n">
        <v>0</v>
      </c>
      <c r="L237" t="n">
        <v>0</v>
      </c>
      <c r="M237" t="n">
        <v>0</v>
      </c>
      <c r="N237" t="n">
        <v>0</v>
      </c>
      <c r="O237" t="n">
        <v>0</v>
      </c>
      <c r="P237" t="n">
        <v>0</v>
      </c>
      <c r="Q237" t="n">
        <v>0</v>
      </c>
      <c r="R237" s="2" t="inlineStr"/>
    </row>
    <row r="238" ht="15" customHeight="1">
      <c r="A238" t="inlineStr">
        <is>
          <t>A 4559-2022</t>
        </is>
      </c>
      <c r="B238" s="1" t="n">
        <v>44591.51854166666</v>
      </c>
      <c r="C238" s="1" t="n">
        <v>46084</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14595-2023</t>
        </is>
      </c>
      <c r="B239" s="1" t="n">
        <v>45013.57858796296</v>
      </c>
      <c r="C239" s="1" t="n">
        <v>46084</v>
      </c>
      <c r="D239" t="inlineStr">
        <is>
          <t>UPPSALA LÄN</t>
        </is>
      </c>
      <c r="E239" t="inlineStr">
        <is>
          <t>ÖSTHAMMAR</t>
        </is>
      </c>
      <c r="G239" t="n">
        <v>5</v>
      </c>
      <c r="H239" t="n">
        <v>0</v>
      </c>
      <c r="I239" t="n">
        <v>0</v>
      </c>
      <c r="J239" t="n">
        <v>0</v>
      </c>
      <c r="K239" t="n">
        <v>0</v>
      </c>
      <c r="L239" t="n">
        <v>0</v>
      </c>
      <c r="M239" t="n">
        <v>0</v>
      </c>
      <c r="N239" t="n">
        <v>0</v>
      </c>
      <c r="O239" t="n">
        <v>0</v>
      </c>
      <c r="P239" t="n">
        <v>0</v>
      </c>
      <c r="Q239" t="n">
        <v>0</v>
      </c>
      <c r="R239" s="2" t="inlineStr"/>
    </row>
    <row r="240" ht="15" customHeight="1">
      <c r="A240" t="inlineStr">
        <is>
          <t>A 32483-2024</t>
        </is>
      </c>
      <c r="B240" s="1" t="n">
        <v>45513.36644675926</v>
      </c>
      <c r="C240" s="1" t="n">
        <v>46084</v>
      </c>
      <c r="D240" t="inlineStr">
        <is>
          <t>UPPSALA LÄN</t>
        </is>
      </c>
      <c r="E240" t="inlineStr">
        <is>
          <t>ÖSTHAMMAR</t>
        </is>
      </c>
      <c r="F240" t="inlineStr">
        <is>
          <t>Kyrkan</t>
        </is>
      </c>
      <c r="G240" t="n">
        <v>4.7</v>
      </c>
      <c r="H240" t="n">
        <v>0</v>
      </c>
      <c r="I240" t="n">
        <v>0</v>
      </c>
      <c r="J240" t="n">
        <v>0</v>
      </c>
      <c r="K240" t="n">
        <v>0</v>
      </c>
      <c r="L240" t="n">
        <v>0</v>
      </c>
      <c r="M240" t="n">
        <v>0</v>
      </c>
      <c r="N240" t="n">
        <v>0</v>
      </c>
      <c r="O240" t="n">
        <v>0</v>
      </c>
      <c r="P240" t="n">
        <v>0</v>
      </c>
      <c r="Q240" t="n">
        <v>0</v>
      </c>
      <c r="R240" s="2" t="inlineStr"/>
    </row>
    <row r="241" ht="15" customHeight="1">
      <c r="A241" t="inlineStr">
        <is>
          <t>A 38575-2024</t>
        </is>
      </c>
      <c r="B241" s="1" t="n">
        <v>45546.64221064815</v>
      </c>
      <c r="C241" s="1" t="n">
        <v>46084</v>
      </c>
      <c r="D241" t="inlineStr">
        <is>
          <t>UPPSALA LÄN</t>
        </is>
      </c>
      <c r="E241" t="inlineStr">
        <is>
          <t>ÖSTHAMMAR</t>
        </is>
      </c>
      <c r="F241" t="inlineStr">
        <is>
          <t>Bergvik skog öst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43685-2024</t>
        </is>
      </c>
      <c r="B242" s="1" t="n">
        <v>45569</v>
      </c>
      <c r="C242" s="1" t="n">
        <v>46084</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44796-2024</t>
        </is>
      </c>
      <c r="B243" s="1" t="n">
        <v>45574</v>
      </c>
      <c r="C243" s="1" t="n">
        <v>46084</v>
      </c>
      <c r="D243" t="inlineStr">
        <is>
          <t>UPPSALA LÄN</t>
        </is>
      </c>
      <c r="E243" t="inlineStr">
        <is>
          <t>ÖSTHAMMAR</t>
        </is>
      </c>
      <c r="G243" t="n">
        <v>4.7</v>
      </c>
      <c r="H243" t="n">
        <v>0</v>
      </c>
      <c r="I243" t="n">
        <v>0</v>
      </c>
      <c r="J243" t="n">
        <v>0</v>
      </c>
      <c r="K243" t="n">
        <v>0</v>
      </c>
      <c r="L243" t="n">
        <v>0</v>
      </c>
      <c r="M243" t="n">
        <v>0</v>
      </c>
      <c r="N243" t="n">
        <v>0</v>
      </c>
      <c r="O243" t="n">
        <v>0</v>
      </c>
      <c r="P243" t="n">
        <v>0</v>
      </c>
      <c r="Q243" t="n">
        <v>0</v>
      </c>
      <c r="R243" s="2" t="inlineStr"/>
    </row>
    <row r="244" ht="15" customHeight="1">
      <c r="A244" t="inlineStr">
        <is>
          <t>A 44027-2024</t>
        </is>
      </c>
      <c r="B244" s="1" t="n">
        <v>45572</v>
      </c>
      <c r="C244" s="1" t="n">
        <v>46084</v>
      </c>
      <c r="D244" t="inlineStr">
        <is>
          <t>UPPSALA LÄN</t>
        </is>
      </c>
      <c r="E244" t="inlineStr">
        <is>
          <t>ÖSTHAMMAR</t>
        </is>
      </c>
      <c r="G244" t="n">
        <v>6</v>
      </c>
      <c r="H244" t="n">
        <v>0</v>
      </c>
      <c r="I244" t="n">
        <v>0</v>
      </c>
      <c r="J244" t="n">
        <v>0</v>
      </c>
      <c r="K244" t="n">
        <v>0</v>
      </c>
      <c r="L244" t="n">
        <v>0</v>
      </c>
      <c r="M244" t="n">
        <v>0</v>
      </c>
      <c r="N244" t="n">
        <v>0</v>
      </c>
      <c r="O244" t="n">
        <v>0</v>
      </c>
      <c r="P244" t="n">
        <v>0</v>
      </c>
      <c r="Q244" t="n">
        <v>0</v>
      </c>
      <c r="R244" s="2" t="inlineStr"/>
    </row>
    <row r="245" ht="15" customHeight="1">
      <c r="A245" t="inlineStr">
        <is>
          <t>A 29824-2023</t>
        </is>
      </c>
      <c r="B245" s="1" t="n">
        <v>45107</v>
      </c>
      <c r="C245" s="1" t="n">
        <v>46084</v>
      </c>
      <c r="D245" t="inlineStr">
        <is>
          <t>UPPSALA LÄN</t>
        </is>
      </c>
      <c r="E245" t="inlineStr">
        <is>
          <t>ÖSTHAMMAR</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5931-2022</t>
        </is>
      </c>
      <c r="B246" s="1" t="n">
        <v>44598.82700231481</v>
      </c>
      <c r="C246" s="1" t="n">
        <v>46084</v>
      </c>
      <c r="D246" t="inlineStr">
        <is>
          <t>UPPSALA LÄN</t>
        </is>
      </c>
      <c r="E246" t="inlineStr">
        <is>
          <t>ÖSTHAMMAR</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43683-2024</t>
        </is>
      </c>
      <c r="B247" s="1" t="n">
        <v>45569.57518518518</v>
      </c>
      <c r="C247" s="1" t="n">
        <v>46084</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43993-2024</t>
        </is>
      </c>
      <c r="B248" s="1" t="n">
        <v>45572.52690972222</v>
      </c>
      <c r="C248" s="1" t="n">
        <v>46084</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10982-2023</t>
        </is>
      </c>
      <c r="B249" s="1" t="n">
        <v>44991.62203703704</v>
      </c>
      <c r="C249" s="1" t="n">
        <v>46084</v>
      </c>
      <c r="D249" t="inlineStr">
        <is>
          <t>UPPSALA LÄN</t>
        </is>
      </c>
      <c r="E249" t="inlineStr">
        <is>
          <t>ÖSTHAMMAR</t>
        </is>
      </c>
      <c r="G249" t="n">
        <v>1.2</v>
      </c>
      <c r="H249" t="n">
        <v>0</v>
      </c>
      <c r="I249" t="n">
        <v>0</v>
      </c>
      <c r="J249" t="n">
        <v>0</v>
      </c>
      <c r="K249" t="n">
        <v>0</v>
      </c>
      <c r="L249" t="n">
        <v>0</v>
      </c>
      <c r="M249" t="n">
        <v>0</v>
      </c>
      <c r="N249" t="n">
        <v>0</v>
      </c>
      <c r="O249" t="n">
        <v>0</v>
      </c>
      <c r="P249" t="n">
        <v>0</v>
      </c>
      <c r="Q249" t="n">
        <v>0</v>
      </c>
      <c r="R249" s="2" t="inlineStr"/>
    </row>
    <row r="250" ht="15" customHeight="1">
      <c r="A250" t="inlineStr">
        <is>
          <t>A 22492-2025</t>
        </is>
      </c>
      <c r="B250" s="1" t="n">
        <v>45786.65072916666</v>
      </c>
      <c r="C250" s="1" t="n">
        <v>46084</v>
      </c>
      <c r="D250" t="inlineStr">
        <is>
          <t>UPPSALA LÄN</t>
        </is>
      </c>
      <c r="E250" t="inlineStr">
        <is>
          <t>ÖSTHAMMAR</t>
        </is>
      </c>
      <c r="F250" t="inlineStr">
        <is>
          <t>Bergvik skog öst AB</t>
        </is>
      </c>
      <c r="G250" t="n">
        <v>16.6</v>
      </c>
      <c r="H250" t="n">
        <v>0</v>
      </c>
      <c r="I250" t="n">
        <v>0</v>
      </c>
      <c r="J250" t="n">
        <v>0</v>
      </c>
      <c r="K250" t="n">
        <v>0</v>
      </c>
      <c r="L250" t="n">
        <v>0</v>
      </c>
      <c r="M250" t="n">
        <v>0</v>
      </c>
      <c r="N250" t="n">
        <v>0</v>
      </c>
      <c r="O250" t="n">
        <v>0</v>
      </c>
      <c r="P250" t="n">
        <v>0</v>
      </c>
      <c r="Q250" t="n">
        <v>0</v>
      </c>
      <c r="R250" s="2" t="inlineStr"/>
    </row>
    <row r="251" ht="15" customHeight="1">
      <c r="A251" t="inlineStr">
        <is>
          <t>A 22483-2025</t>
        </is>
      </c>
      <c r="B251" s="1" t="n">
        <v>45786.64141203704</v>
      </c>
      <c r="C251" s="1" t="n">
        <v>46084</v>
      </c>
      <c r="D251" t="inlineStr">
        <is>
          <t>UPPSALA LÄN</t>
        </is>
      </c>
      <c r="E251" t="inlineStr">
        <is>
          <t>ÖSTHAMMAR</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59291-2023</t>
        </is>
      </c>
      <c r="B252" s="1" t="n">
        <v>45253.57559027777</v>
      </c>
      <c r="C252" s="1" t="n">
        <v>46084</v>
      </c>
      <c r="D252" t="inlineStr">
        <is>
          <t>UPPSALA LÄN</t>
        </is>
      </c>
      <c r="E252" t="inlineStr">
        <is>
          <t>ÖSTHAMMAR</t>
        </is>
      </c>
      <c r="G252" t="n">
        <v>1.7</v>
      </c>
      <c r="H252" t="n">
        <v>0</v>
      </c>
      <c r="I252" t="n">
        <v>0</v>
      </c>
      <c r="J252" t="n">
        <v>0</v>
      </c>
      <c r="K252" t="n">
        <v>0</v>
      </c>
      <c r="L252" t="n">
        <v>0</v>
      </c>
      <c r="M252" t="n">
        <v>0</v>
      </c>
      <c r="N252" t="n">
        <v>0</v>
      </c>
      <c r="O252" t="n">
        <v>0</v>
      </c>
      <c r="P252" t="n">
        <v>0</v>
      </c>
      <c r="Q252" t="n">
        <v>0</v>
      </c>
      <c r="R252" s="2" t="inlineStr"/>
    </row>
    <row r="253" ht="15" customHeight="1">
      <c r="A253" t="inlineStr">
        <is>
          <t>A 32778-2023</t>
        </is>
      </c>
      <c r="B253" s="1" t="n">
        <v>45123.88789351852</v>
      </c>
      <c r="C253" s="1" t="n">
        <v>46084</v>
      </c>
      <c r="D253" t="inlineStr">
        <is>
          <t>UPPSALA LÄN</t>
        </is>
      </c>
      <c r="E253" t="inlineStr">
        <is>
          <t>ÖSTHAMMAR</t>
        </is>
      </c>
      <c r="F253" t="inlineStr">
        <is>
          <t>Bergvik skog öst AB</t>
        </is>
      </c>
      <c r="G253" t="n">
        <v>1</v>
      </c>
      <c r="H253" t="n">
        <v>0</v>
      </c>
      <c r="I253" t="n">
        <v>0</v>
      </c>
      <c r="J253" t="n">
        <v>0</v>
      </c>
      <c r="K253" t="n">
        <v>0</v>
      </c>
      <c r="L253" t="n">
        <v>0</v>
      </c>
      <c r="M253" t="n">
        <v>0</v>
      </c>
      <c r="N253" t="n">
        <v>0</v>
      </c>
      <c r="O253" t="n">
        <v>0</v>
      </c>
      <c r="P253" t="n">
        <v>0</v>
      </c>
      <c r="Q253" t="n">
        <v>0</v>
      </c>
      <c r="R253" s="2" t="inlineStr"/>
    </row>
    <row r="254" ht="15" customHeight="1">
      <c r="A254" t="inlineStr">
        <is>
          <t>A 20046-2023</t>
        </is>
      </c>
      <c r="B254" s="1" t="n">
        <v>45054</v>
      </c>
      <c r="C254" s="1" t="n">
        <v>46084</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1436-2025</t>
        </is>
      </c>
      <c r="B255" s="1" t="n">
        <v>45669.67625</v>
      </c>
      <c r="C255" s="1" t="n">
        <v>46084</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1525-2025</t>
        </is>
      </c>
      <c r="B256" s="1" t="n">
        <v>45670.47300925926</v>
      </c>
      <c r="C256" s="1" t="n">
        <v>46084</v>
      </c>
      <c r="D256" t="inlineStr">
        <is>
          <t>UPPSALA LÄN</t>
        </is>
      </c>
      <c r="E256" t="inlineStr">
        <is>
          <t>ÖSTHAMMAR</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24367-2022</t>
        </is>
      </c>
      <c r="B257" s="1" t="n">
        <v>44726.42716435185</v>
      </c>
      <c r="C257" s="1" t="n">
        <v>46084</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5933-2022</t>
        </is>
      </c>
      <c r="B258" s="1" t="n">
        <v>44598.82957175926</v>
      </c>
      <c r="C258" s="1" t="n">
        <v>46084</v>
      </c>
      <c r="D258" t="inlineStr">
        <is>
          <t>UPPSALA LÄN</t>
        </is>
      </c>
      <c r="E258" t="inlineStr">
        <is>
          <t>ÖSTHAMMAR</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23305-2025</t>
        </is>
      </c>
      <c r="B259" s="1" t="n">
        <v>45791.60127314815</v>
      </c>
      <c r="C259" s="1" t="n">
        <v>46084</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64774-2023</t>
        </is>
      </c>
      <c r="B260" s="1" t="n">
        <v>45282</v>
      </c>
      <c r="C260" s="1" t="n">
        <v>46084</v>
      </c>
      <c r="D260" t="inlineStr">
        <is>
          <t>UPPSALA LÄN</t>
        </is>
      </c>
      <c r="E260" t="inlineStr">
        <is>
          <t>ÖSTHAMMAR</t>
        </is>
      </c>
      <c r="F260" t="inlineStr">
        <is>
          <t>Övriga Aktiebolag</t>
        </is>
      </c>
      <c r="G260" t="n">
        <v>3.7</v>
      </c>
      <c r="H260" t="n">
        <v>0</v>
      </c>
      <c r="I260" t="n">
        <v>0</v>
      </c>
      <c r="J260" t="n">
        <v>0</v>
      </c>
      <c r="K260" t="n">
        <v>0</v>
      </c>
      <c r="L260" t="n">
        <v>0</v>
      </c>
      <c r="M260" t="n">
        <v>0</v>
      </c>
      <c r="N260" t="n">
        <v>0</v>
      </c>
      <c r="O260" t="n">
        <v>0</v>
      </c>
      <c r="P260" t="n">
        <v>0</v>
      </c>
      <c r="Q260" t="n">
        <v>0</v>
      </c>
      <c r="R260" s="2" t="inlineStr"/>
    </row>
    <row r="261" ht="15" customHeight="1">
      <c r="A261" t="inlineStr">
        <is>
          <t>A 30086-2023</t>
        </is>
      </c>
      <c r="B261" s="1" t="n">
        <v>45110.43907407407</v>
      </c>
      <c r="C261" s="1" t="n">
        <v>46084</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27308-2023</t>
        </is>
      </c>
      <c r="B262" s="1" t="n">
        <v>45096.65381944444</v>
      </c>
      <c r="C262" s="1" t="n">
        <v>46084</v>
      </c>
      <c r="D262" t="inlineStr">
        <is>
          <t>UPPSALA LÄN</t>
        </is>
      </c>
      <c r="E262" t="inlineStr">
        <is>
          <t>ÖSTHAMMAR</t>
        </is>
      </c>
      <c r="F262" t="inlineStr">
        <is>
          <t>Bergvik skog öst AB</t>
        </is>
      </c>
      <c r="G262" t="n">
        <v>2.4</v>
      </c>
      <c r="H262" t="n">
        <v>0</v>
      </c>
      <c r="I262" t="n">
        <v>0</v>
      </c>
      <c r="J262" t="n">
        <v>0</v>
      </c>
      <c r="K262" t="n">
        <v>0</v>
      </c>
      <c r="L262" t="n">
        <v>0</v>
      </c>
      <c r="M262" t="n">
        <v>0</v>
      </c>
      <c r="N262" t="n">
        <v>0</v>
      </c>
      <c r="O262" t="n">
        <v>0</v>
      </c>
      <c r="P262" t="n">
        <v>0</v>
      </c>
      <c r="Q262" t="n">
        <v>0</v>
      </c>
      <c r="R262" s="2" t="inlineStr"/>
    </row>
    <row r="263" ht="15" customHeight="1">
      <c r="A263" t="inlineStr">
        <is>
          <t>A 5254-2025</t>
        </is>
      </c>
      <c r="B263" s="1" t="n">
        <v>45692</v>
      </c>
      <c r="C263" s="1" t="n">
        <v>46084</v>
      </c>
      <c r="D263" t="inlineStr">
        <is>
          <t>UPPSALA LÄN</t>
        </is>
      </c>
      <c r="E263" t="inlineStr">
        <is>
          <t>ÖSTHAMMAR</t>
        </is>
      </c>
      <c r="G263" t="n">
        <v>5</v>
      </c>
      <c r="H263" t="n">
        <v>0</v>
      </c>
      <c r="I263" t="n">
        <v>0</v>
      </c>
      <c r="J263" t="n">
        <v>0</v>
      </c>
      <c r="K263" t="n">
        <v>0</v>
      </c>
      <c r="L263" t="n">
        <v>0</v>
      </c>
      <c r="M263" t="n">
        <v>0</v>
      </c>
      <c r="N263" t="n">
        <v>0</v>
      </c>
      <c r="O263" t="n">
        <v>0</v>
      </c>
      <c r="P263" t="n">
        <v>0</v>
      </c>
      <c r="Q263" t="n">
        <v>0</v>
      </c>
      <c r="R263" s="2" t="inlineStr"/>
    </row>
    <row r="264" ht="15" customHeight="1">
      <c r="A264" t="inlineStr">
        <is>
          <t>A 1584-2025</t>
        </is>
      </c>
      <c r="B264" s="1" t="n">
        <v>45670</v>
      </c>
      <c r="C264" s="1" t="n">
        <v>46084</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30972-2024</t>
        </is>
      </c>
      <c r="B265" s="1" t="n">
        <v>45499.47106481482</v>
      </c>
      <c r="C265" s="1" t="n">
        <v>46084</v>
      </c>
      <c r="D265" t="inlineStr">
        <is>
          <t>UPPSALA LÄN</t>
        </is>
      </c>
      <c r="E265" t="inlineStr">
        <is>
          <t>ÖSTHAMMAR</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24160-2024</t>
        </is>
      </c>
      <c r="B266" s="1" t="n">
        <v>45456</v>
      </c>
      <c r="C266" s="1" t="n">
        <v>46084</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24415-2025</t>
        </is>
      </c>
      <c r="B267" s="1" t="n">
        <v>45797.67381944445</v>
      </c>
      <c r="C267" s="1" t="n">
        <v>46084</v>
      </c>
      <c r="D267" t="inlineStr">
        <is>
          <t>UPPSALA LÄN</t>
        </is>
      </c>
      <c r="E267" t="inlineStr">
        <is>
          <t>ÖSTHAMMAR</t>
        </is>
      </c>
      <c r="G267" t="n">
        <v>0.8</v>
      </c>
      <c r="H267" t="n">
        <v>0</v>
      </c>
      <c r="I267" t="n">
        <v>0</v>
      </c>
      <c r="J267" t="n">
        <v>0</v>
      </c>
      <c r="K267" t="n">
        <v>0</v>
      </c>
      <c r="L267" t="n">
        <v>0</v>
      </c>
      <c r="M267" t="n">
        <v>0</v>
      </c>
      <c r="N267" t="n">
        <v>0</v>
      </c>
      <c r="O267" t="n">
        <v>0</v>
      </c>
      <c r="P267" t="n">
        <v>0</v>
      </c>
      <c r="Q267" t="n">
        <v>0</v>
      </c>
      <c r="R267" s="2" t="inlineStr"/>
    </row>
    <row r="268" ht="15" customHeight="1">
      <c r="A268" t="inlineStr">
        <is>
          <t>A 29873-2023</t>
        </is>
      </c>
      <c r="B268" s="1" t="n">
        <v>45107</v>
      </c>
      <c r="C268" s="1" t="n">
        <v>46084</v>
      </c>
      <c r="D268" t="inlineStr">
        <is>
          <t>UPPSALA LÄN</t>
        </is>
      </c>
      <c r="E268" t="inlineStr">
        <is>
          <t>ÖSTHAMMAR</t>
        </is>
      </c>
      <c r="F268" t="inlineStr">
        <is>
          <t>Naturvårdsverket</t>
        </is>
      </c>
      <c r="G268" t="n">
        <v>7.8</v>
      </c>
      <c r="H268" t="n">
        <v>0</v>
      </c>
      <c r="I268" t="n">
        <v>0</v>
      </c>
      <c r="J268" t="n">
        <v>0</v>
      </c>
      <c r="K268" t="n">
        <v>0</v>
      </c>
      <c r="L268" t="n">
        <v>0</v>
      </c>
      <c r="M268" t="n">
        <v>0</v>
      </c>
      <c r="N268" t="n">
        <v>0</v>
      </c>
      <c r="O268" t="n">
        <v>0</v>
      </c>
      <c r="P268" t="n">
        <v>0</v>
      </c>
      <c r="Q268" t="n">
        <v>0</v>
      </c>
      <c r="R268" s="2" t="inlineStr"/>
    </row>
    <row r="269" ht="15" customHeight="1">
      <c r="A269" t="inlineStr">
        <is>
          <t>A 61062-2023</t>
        </is>
      </c>
      <c r="B269" s="1" t="n">
        <v>45259</v>
      </c>
      <c r="C269" s="1" t="n">
        <v>46084</v>
      </c>
      <c r="D269" t="inlineStr">
        <is>
          <t>UPPSALA LÄN</t>
        </is>
      </c>
      <c r="E269" t="inlineStr">
        <is>
          <t>ÖSTHAMMAR</t>
        </is>
      </c>
      <c r="G269" t="n">
        <v>5.3</v>
      </c>
      <c r="H269" t="n">
        <v>0</v>
      </c>
      <c r="I269" t="n">
        <v>0</v>
      </c>
      <c r="J269" t="n">
        <v>0</v>
      </c>
      <c r="K269" t="n">
        <v>0</v>
      </c>
      <c r="L269" t="n">
        <v>0</v>
      </c>
      <c r="M269" t="n">
        <v>0</v>
      </c>
      <c r="N269" t="n">
        <v>0</v>
      </c>
      <c r="O269" t="n">
        <v>0</v>
      </c>
      <c r="P269" t="n">
        <v>0</v>
      </c>
      <c r="Q269" t="n">
        <v>0</v>
      </c>
      <c r="R269" s="2" t="inlineStr"/>
    </row>
    <row r="270" ht="15" customHeight="1">
      <c r="A270" t="inlineStr">
        <is>
          <t>A 55100-2024</t>
        </is>
      </c>
      <c r="B270" s="1" t="n">
        <v>45621.4405787037</v>
      </c>
      <c r="C270" s="1" t="n">
        <v>46084</v>
      </c>
      <c r="D270" t="inlineStr">
        <is>
          <t>UPPSALA LÄN</t>
        </is>
      </c>
      <c r="E270" t="inlineStr">
        <is>
          <t>ÖSTHAMMAR</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23968-2025</t>
        </is>
      </c>
      <c r="B271" s="1" t="n">
        <v>45796</v>
      </c>
      <c r="C271" s="1" t="n">
        <v>46084</v>
      </c>
      <c r="D271" t="inlineStr">
        <is>
          <t>UPPSALA LÄN</t>
        </is>
      </c>
      <c r="E271" t="inlineStr">
        <is>
          <t>ÖSTHAMMAR</t>
        </is>
      </c>
      <c r="F271" t="inlineStr">
        <is>
          <t>Bergvik skog öst AB</t>
        </is>
      </c>
      <c r="G271" t="n">
        <v>7.5</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46084</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40377-2025</t>
        </is>
      </c>
      <c r="B273" s="1" t="n">
        <v>45895.53020833333</v>
      </c>
      <c r="C273" s="1" t="n">
        <v>46084</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46084</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46084</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24174-2025</t>
        </is>
      </c>
      <c r="B276" s="1" t="n">
        <v>45796.69207175926</v>
      </c>
      <c r="C276" s="1" t="n">
        <v>46084</v>
      </c>
      <c r="D276" t="inlineStr">
        <is>
          <t>UPPSALA LÄN</t>
        </is>
      </c>
      <c r="E276" t="inlineStr">
        <is>
          <t>ÖSTHAMMAR</t>
        </is>
      </c>
      <c r="G276" t="n">
        <v>4.9</v>
      </c>
      <c r="H276" t="n">
        <v>0</v>
      </c>
      <c r="I276" t="n">
        <v>0</v>
      </c>
      <c r="J276" t="n">
        <v>0</v>
      </c>
      <c r="K276" t="n">
        <v>0</v>
      </c>
      <c r="L276" t="n">
        <v>0</v>
      </c>
      <c r="M276" t="n">
        <v>0</v>
      </c>
      <c r="N276" t="n">
        <v>0</v>
      </c>
      <c r="O276" t="n">
        <v>0</v>
      </c>
      <c r="P276" t="n">
        <v>0</v>
      </c>
      <c r="Q276" t="n">
        <v>0</v>
      </c>
      <c r="R276" s="2" t="inlineStr"/>
    </row>
    <row r="277" ht="15" customHeight="1">
      <c r="A277" t="inlineStr">
        <is>
          <t>A 40462-2025</t>
        </is>
      </c>
      <c r="B277" s="1" t="n">
        <v>45895.65179398148</v>
      </c>
      <c r="C277" s="1" t="n">
        <v>46084</v>
      </c>
      <c r="D277" t="inlineStr">
        <is>
          <t>UPPSALA LÄN</t>
        </is>
      </c>
      <c r="E277" t="inlineStr">
        <is>
          <t>ÖSTHAMMAR</t>
        </is>
      </c>
      <c r="G277" t="n">
        <v>4.5</v>
      </c>
      <c r="H277" t="n">
        <v>0</v>
      </c>
      <c r="I277" t="n">
        <v>0</v>
      </c>
      <c r="J277" t="n">
        <v>0</v>
      </c>
      <c r="K277" t="n">
        <v>0</v>
      </c>
      <c r="L277" t="n">
        <v>0</v>
      </c>
      <c r="M277" t="n">
        <v>0</v>
      </c>
      <c r="N277" t="n">
        <v>0</v>
      </c>
      <c r="O277" t="n">
        <v>0</v>
      </c>
      <c r="P277" t="n">
        <v>0</v>
      </c>
      <c r="Q277" t="n">
        <v>0</v>
      </c>
      <c r="R277" s="2" t="inlineStr"/>
    </row>
    <row r="278" ht="15" customHeight="1">
      <c r="A278" t="inlineStr">
        <is>
          <t>A 22884-2024</t>
        </is>
      </c>
      <c r="B278" s="1" t="n">
        <v>45448</v>
      </c>
      <c r="C278" s="1" t="n">
        <v>46084</v>
      </c>
      <c r="D278" t="inlineStr">
        <is>
          <t>UPPSALA LÄN</t>
        </is>
      </c>
      <c r="E278" t="inlineStr">
        <is>
          <t>ÖSTHAMMAR</t>
        </is>
      </c>
      <c r="G278" t="n">
        <v>3.3</v>
      </c>
      <c r="H278" t="n">
        <v>0</v>
      </c>
      <c r="I278" t="n">
        <v>0</v>
      </c>
      <c r="J278" t="n">
        <v>0</v>
      </c>
      <c r="K278" t="n">
        <v>0</v>
      </c>
      <c r="L278" t="n">
        <v>0</v>
      </c>
      <c r="M278" t="n">
        <v>0</v>
      </c>
      <c r="N278" t="n">
        <v>0</v>
      </c>
      <c r="O278" t="n">
        <v>0</v>
      </c>
      <c r="P278" t="n">
        <v>0</v>
      </c>
      <c r="Q278" t="n">
        <v>0</v>
      </c>
      <c r="R278" s="2" t="inlineStr"/>
    </row>
    <row r="279" ht="15" customHeight="1">
      <c r="A279" t="inlineStr">
        <is>
          <t>A 31669-2022</t>
        </is>
      </c>
      <c r="B279" s="1" t="n">
        <v>44775</v>
      </c>
      <c r="C279" s="1" t="n">
        <v>46084</v>
      </c>
      <c r="D279" t="inlineStr">
        <is>
          <t>UPPSALA LÄN</t>
        </is>
      </c>
      <c r="E279" t="inlineStr">
        <is>
          <t>ÖSTHAMMAR</t>
        </is>
      </c>
      <c r="G279" t="n">
        <v>6</v>
      </c>
      <c r="H279" t="n">
        <v>0</v>
      </c>
      <c r="I279" t="n">
        <v>0</v>
      </c>
      <c r="J279" t="n">
        <v>0</v>
      </c>
      <c r="K279" t="n">
        <v>0</v>
      </c>
      <c r="L279" t="n">
        <v>0</v>
      </c>
      <c r="M279" t="n">
        <v>0</v>
      </c>
      <c r="N279" t="n">
        <v>0</v>
      </c>
      <c r="O279" t="n">
        <v>0</v>
      </c>
      <c r="P279" t="n">
        <v>0</v>
      </c>
      <c r="Q279" t="n">
        <v>0</v>
      </c>
      <c r="R279" s="2" t="inlineStr"/>
    </row>
    <row r="280" ht="15" customHeight="1">
      <c r="A280" t="inlineStr">
        <is>
          <t>A 24606-2024</t>
        </is>
      </c>
      <c r="B280" s="1" t="n">
        <v>45460</v>
      </c>
      <c r="C280" s="1" t="n">
        <v>46084</v>
      </c>
      <c r="D280" t="inlineStr">
        <is>
          <t>UPPSALA LÄN</t>
        </is>
      </c>
      <c r="E280" t="inlineStr">
        <is>
          <t>ÖSTHAMMAR</t>
        </is>
      </c>
      <c r="F280" t="inlineStr">
        <is>
          <t>Bergvik skog öst AB</t>
        </is>
      </c>
      <c r="G280" t="n">
        <v>2.9</v>
      </c>
      <c r="H280" t="n">
        <v>0</v>
      </c>
      <c r="I280" t="n">
        <v>0</v>
      </c>
      <c r="J280" t="n">
        <v>0</v>
      </c>
      <c r="K280" t="n">
        <v>0</v>
      </c>
      <c r="L280" t="n">
        <v>0</v>
      </c>
      <c r="M280" t="n">
        <v>0</v>
      </c>
      <c r="N280" t="n">
        <v>0</v>
      </c>
      <c r="O280" t="n">
        <v>0</v>
      </c>
      <c r="P280" t="n">
        <v>0</v>
      </c>
      <c r="Q280" t="n">
        <v>0</v>
      </c>
      <c r="R280" s="2" t="inlineStr"/>
    </row>
    <row r="281" ht="15" customHeight="1">
      <c r="A281" t="inlineStr">
        <is>
          <t>A 18094-2025</t>
        </is>
      </c>
      <c r="B281" s="1" t="n">
        <v>45761.54710648148</v>
      </c>
      <c r="C281" s="1" t="n">
        <v>46084</v>
      </c>
      <c r="D281" t="inlineStr">
        <is>
          <t>UPPSALA LÄN</t>
        </is>
      </c>
      <c r="E281" t="inlineStr">
        <is>
          <t>ÖSTHAMMAR</t>
        </is>
      </c>
      <c r="F281" t="inlineStr">
        <is>
          <t>Bergvik skog öst AB</t>
        </is>
      </c>
      <c r="G281" t="n">
        <v>6.5</v>
      </c>
      <c r="H281" t="n">
        <v>0</v>
      </c>
      <c r="I281" t="n">
        <v>0</v>
      </c>
      <c r="J281" t="n">
        <v>0</v>
      </c>
      <c r="K281" t="n">
        <v>0</v>
      </c>
      <c r="L281" t="n">
        <v>0</v>
      </c>
      <c r="M281" t="n">
        <v>0</v>
      </c>
      <c r="N281" t="n">
        <v>0</v>
      </c>
      <c r="O281" t="n">
        <v>0</v>
      </c>
      <c r="P281" t="n">
        <v>0</v>
      </c>
      <c r="Q281" t="n">
        <v>0</v>
      </c>
      <c r="R281" s="2" t="inlineStr"/>
    </row>
    <row r="282" ht="15" customHeight="1">
      <c r="A282" t="inlineStr">
        <is>
          <t>A 40016-2025</t>
        </is>
      </c>
      <c r="B282" s="1" t="n">
        <v>45894.34747685185</v>
      </c>
      <c r="C282" s="1" t="n">
        <v>46084</v>
      </c>
      <c r="D282" t="inlineStr">
        <is>
          <t>UPPSALA LÄN</t>
        </is>
      </c>
      <c r="E282" t="inlineStr">
        <is>
          <t>ÖSTHAMMAR</t>
        </is>
      </c>
      <c r="F282" t="inlineStr">
        <is>
          <t>Kyrkan</t>
        </is>
      </c>
      <c r="G282" t="n">
        <v>6.6</v>
      </c>
      <c r="H282" t="n">
        <v>0</v>
      </c>
      <c r="I282" t="n">
        <v>0</v>
      </c>
      <c r="J282" t="n">
        <v>0</v>
      </c>
      <c r="K282" t="n">
        <v>0</v>
      </c>
      <c r="L282" t="n">
        <v>0</v>
      </c>
      <c r="M282" t="n">
        <v>0</v>
      </c>
      <c r="N282" t="n">
        <v>0</v>
      </c>
      <c r="O282" t="n">
        <v>0</v>
      </c>
      <c r="P282" t="n">
        <v>0</v>
      </c>
      <c r="Q282" t="n">
        <v>0</v>
      </c>
      <c r="R282" s="2" t="inlineStr"/>
    </row>
    <row r="283" ht="15" customHeight="1">
      <c r="A283" t="inlineStr">
        <is>
          <t>A 40044-2025</t>
        </is>
      </c>
      <c r="B283" s="1" t="n">
        <v>45894.40133101852</v>
      </c>
      <c r="C283" s="1" t="n">
        <v>46084</v>
      </c>
      <c r="D283" t="inlineStr">
        <is>
          <t>UPPSALA LÄN</t>
        </is>
      </c>
      <c r="E283" t="inlineStr">
        <is>
          <t>ÖSTHAMMAR</t>
        </is>
      </c>
      <c r="F283" t="inlineStr">
        <is>
          <t>Kyrkan</t>
        </is>
      </c>
      <c r="G283" t="n">
        <v>8.9</v>
      </c>
      <c r="H283" t="n">
        <v>0</v>
      </c>
      <c r="I283" t="n">
        <v>0</v>
      </c>
      <c r="J283" t="n">
        <v>0</v>
      </c>
      <c r="K283" t="n">
        <v>0</v>
      </c>
      <c r="L283" t="n">
        <v>0</v>
      </c>
      <c r="M283" t="n">
        <v>0</v>
      </c>
      <c r="N283" t="n">
        <v>0</v>
      </c>
      <c r="O283" t="n">
        <v>0</v>
      </c>
      <c r="P283" t="n">
        <v>0</v>
      </c>
      <c r="Q283" t="n">
        <v>0</v>
      </c>
      <c r="R283" s="2" t="inlineStr"/>
    </row>
    <row r="284" ht="15" customHeight="1">
      <c r="A284" t="inlineStr">
        <is>
          <t>A 20385-2025</t>
        </is>
      </c>
      <c r="B284" s="1" t="n">
        <v>45775.44483796296</v>
      </c>
      <c r="C284" s="1" t="n">
        <v>46084</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25049-2025</t>
        </is>
      </c>
      <c r="B285" s="1" t="n">
        <v>45799.66876157407</v>
      </c>
      <c r="C285" s="1" t="n">
        <v>46084</v>
      </c>
      <c r="D285" t="inlineStr">
        <is>
          <t>UPPSALA LÄN</t>
        </is>
      </c>
      <c r="E285" t="inlineStr">
        <is>
          <t>ÖSTHAMMAR</t>
        </is>
      </c>
      <c r="F285" t="inlineStr">
        <is>
          <t>Bergvik skog öst AB</t>
        </is>
      </c>
      <c r="G285" t="n">
        <v>3.8</v>
      </c>
      <c r="H285" t="n">
        <v>0</v>
      </c>
      <c r="I285" t="n">
        <v>0</v>
      </c>
      <c r="J285" t="n">
        <v>0</v>
      </c>
      <c r="K285" t="n">
        <v>0</v>
      </c>
      <c r="L285" t="n">
        <v>0</v>
      </c>
      <c r="M285" t="n">
        <v>0</v>
      </c>
      <c r="N285" t="n">
        <v>0</v>
      </c>
      <c r="O285" t="n">
        <v>0</v>
      </c>
      <c r="P285" t="n">
        <v>0</v>
      </c>
      <c r="Q285" t="n">
        <v>0</v>
      </c>
      <c r="R285" s="2" t="inlineStr"/>
    </row>
    <row r="286" ht="15" customHeight="1">
      <c r="A286" t="inlineStr">
        <is>
          <t>A 26552-2022</t>
        </is>
      </c>
      <c r="B286" s="1" t="n">
        <v>44739</v>
      </c>
      <c r="C286" s="1" t="n">
        <v>46084</v>
      </c>
      <c r="D286" t="inlineStr">
        <is>
          <t>UPPSALA LÄN</t>
        </is>
      </c>
      <c r="E286" t="inlineStr">
        <is>
          <t>ÖSTHAMMAR</t>
        </is>
      </c>
      <c r="G286" t="n">
        <v>2.2</v>
      </c>
      <c r="H286" t="n">
        <v>0</v>
      </c>
      <c r="I286" t="n">
        <v>0</v>
      </c>
      <c r="J286" t="n">
        <v>0</v>
      </c>
      <c r="K286" t="n">
        <v>0</v>
      </c>
      <c r="L286" t="n">
        <v>0</v>
      </c>
      <c r="M286" t="n">
        <v>0</v>
      </c>
      <c r="N286" t="n">
        <v>0</v>
      </c>
      <c r="O286" t="n">
        <v>0</v>
      </c>
      <c r="P286" t="n">
        <v>0</v>
      </c>
      <c r="Q286" t="n">
        <v>0</v>
      </c>
      <c r="R286" s="2" t="inlineStr"/>
    </row>
    <row r="287" ht="15" customHeight="1">
      <c r="A287" t="inlineStr">
        <is>
          <t>A 67151-2021</t>
        </is>
      </c>
      <c r="B287" s="1" t="n">
        <v>44523</v>
      </c>
      <c r="C287" s="1" t="n">
        <v>46084</v>
      </c>
      <c r="D287" t="inlineStr">
        <is>
          <t>UPPSALA LÄN</t>
        </is>
      </c>
      <c r="E287" t="inlineStr">
        <is>
          <t>ÖSTHAMMAR</t>
        </is>
      </c>
      <c r="G287" t="n">
        <v>2.4</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46084</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46084</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9542-2023</t>
        </is>
      </c>
      <c r="B290" s="1" t="n">
        <v>44981</v>
      </c>
      <c r="C290" s="1" t="n">
        <v>46084</v>
      </c>
      <c r="D290" t="inlineStr">
        <is>
          <t>UPPSALA LÄN</t>
        </is>
      </c>
      <c r="E290" t="inlineStr">
        <is>
          <t>ÖSTHAMMAR</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36343-2022</t>
        </is>
      </c>
      <c r="B291" s="1" t="n">
        <v>44803.78524305556</v>
      </c>
      <c r="C291" s="1" t="n">
        <v>46084</v>
      </c>
      <c r="D291" t="inlineStr">
        <is>
          <t>UPPSALA LÄN</t>
        </is>
      </c>
      <c r="E291" t="inlineStr">
        <is>
          <t>ÖSTHAMMAR</t>
        </is>
      </c>
      <c r="F291" t="inlineStr">
        <is>
          <t>Bergvik skog öst AB</t>
        </is>
      </c>
      <c r="G291" t="n">
        <v>1.3</v>
      </c>
      <c r="H291" t="n">
        <v>0</v>
      </c>
      <c r="I291" t="n">
        <v>0</v>
      </c>
      <c r="J291" t="n">
        <v>0</v>
      </c>
      <c r="K291" t="n">
        <v>0</v>
      </c>
      <c r="L291" t="n">
        <v>0</v>
      </c>
      <c r="M291" t="n">
        <v>0</v>
      </c>
      <c r="N291" t="n">
        <v>0</v>
      </c>
      <c r="O291" t="n">
        <v>0</v>
      </c>
      <c r="P291" t="n">
        <v>0</v>
      </c>
      <c r="Q291" t="n">
        <v>0</v>
      </c>
      <c r="R291" s="2" t="inlineStr"/>
    </row>
    <row r="292" ht="15" customHeight="1">
      <c r="A292" t="inlineStr">
        <is>
          <t>A 24944-2025</t>
        </is>
      </c>
      <c r="B292" s="1" t="n">
        <v>45799.56347222222</v>
      </c>
      <c r="C292" s="1" t="n">
        <v>46084</v>
      </c>
      <c r="D292" t="inlineStr">
        <is>
          <t>UPPSALA LÄN</t>
        </is>
      </c>
      <c r="E292" t="inlineStr">
        <is>
          <t>ÖSTHAMMAR</t>
        </is>
      </c>
      <c r="G292" t="n">
        <v>7.3</v>
      </c>
      <c r="H292" t="n">
        <v>0</v>
      </c>
      <c r="I292" t="n">
        <v>0</v>
      </c>
      <c r="J292" t="n">
        <v>0</v>
      </c>
      <c r="K292" t="n">
        <v>0</v>
      </c>
      <c r="L292" t="n">
        <v>0</v>
      </c>
      <c r="M292" t="n">
        <v>0</v>
      </c>
      <c r="N292" t="n">
        <v>0</v>
      </c>
      <c r="O292" t="n">
        <v>0</v>
      </c>
      <c r="P292" t="n">
        <v>0</v>
      </c>
      <c r="Q292" t="n">
        <v>0</v>
      </c>
      <c r="R292" s="2" t="inlineStr"/>
    </row>
    <row r="293" ht="15" customHeight="1">
      <c r="A293" t="inlineStr">
        <is>
          <t>A 16933-2022</t>
        </is>
      </c>
      <c r="B293" s="1" t="n">
        <v>44676</v>
      </c>
      <c r="C293" s="1" t="n">
        <v>46084</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48083-2024</t>
        </is>
      </c>
      <c r="B294" s="1" t="n">
        <v>45589.58766203704</v>
      </c>
      <c r="C294" s="1" t="n">
        <v>46084</v>
      </c>
      <c r="D294" t="inlineStr">
        <is>
          <t>UPPSALA LÄN</t>
        </is>
      </c>
      <c r="E294" t="inlineStr">
        <is>
          <t>ÖSTHAMMAR</t>
        </is>
      </c>
      <c r="G294" t="n">
        <v>3</v>
      </c>
      <c r="H294" t="n">
        <v>0</v>
      </c>
      <c r="I294" t="n">
        <v>0</v>
      </c>
      <c r="J294" t="n">
        <v>0</v>
      </c>
      <c r="K294" t="n">
        <v>0</v>
      </c>
      <c r="L294" t="n">
        <v>0</v>
      </c>
      <c r="M294" t="n">
        <v>0</v>
      </c>
      <c r="N294" t="n">
        <v>0</v>
      </c>
      <c r="O294" t="n">
        <v>0</v>
      </c>
      <c r="P294" t="n">
        <v>0</v>
      </c>
      <c r="Q294" t="n">
        <v>0</v>
      </c>
      <c r="R294" s="2" t="inlineStr"/>
    </row>
    <row r="295" ht="15" customHeight="1">
      <c r="A295" t="inlineStr">
        <is>
          <t>A 14269-2025</t>
        </is>
      </c>
      <c r="B295" s="1" t="n">
        <v>45740.64078703704</v>
      </c>
      <c r="C295" s="1" t="n">
        <v>46084</v>
      </c>
      <c r="D295" t="inlineStr">
        <is>
          <t>UPPSALA LÄN</t>
        </is>
      </c>
      <c r="E295" t="inlineStr">
        <is>
          <t>ÖSTHAMMAR</t>
        </is>
      </c>
      <c r="G295" t="n">
        <v>1.5</v>
      </c>
      <c r="H295" t="n">
        <v>0</v>
      </c>
      <c r="I295" t="n">
        <v>0</v>
      </c>
      <c r="J295" t="n">
        <v>0</v>
      </c>
      <c r="K295" t="n">
        <v>0</v>
      </c>
      <c r="L295" t="n">
        <v>0</v>
      </c>
      <c r="M295" t="n">
        <v>0</v>
      </c>
      <c r="N295" t="n">
        <v>0</v>
      </c>
      <c r="O295" t="n">
        <v>0</v>
      </c>
      <c r="P295" t="n">
        <v>0</v>
      </c>
      <c r="Q295" t="n">
        <v>0</v>
      </c>
      <c r="R295" s="2" t="inlineStr"/>
    </row>
    <row r="296" ht="15" customHeight="1">
      <c r="A296" t="inlineStr">
        <is>
          <t>A 12945-2025</t>
        </is>
      </c>
      <c r="B296" s="1" t="n">
        <v>45734.38159722222</v>
      </c>
      <c r="C296" s="1" t="n">
        <v>46084</v>
      </c>
      <c r="D296" t="inlineStr">
        <is>
          <t>UPPSALA LÄN</t>
        </is>
      </c>
      <c r="E296" t="inlineStr">
        <is>
          <t>ÖSTHAMMAR</t>
        </is>
      </c>
      <c r="G296" t="n">
        <v>2.1</v>
      </c>
      <c r="H296" t="n">
        <v>0</v>
      </c>
      <c r="I296" t="n">
        <v>0</v>
      </c>
      <c r="J296" t="n">
        <v>0</v>
      </c>
      <c r="K296" t="n">
        <v>0</v>
      </c>
      <c r="L296" t="n">
        <v>0</v>
      </c>
      <c r="M296" t="n">
        <v>0</v>
      </c>
      <c r="N296" t="n">
        <v>0</v>
      </c>
      <c r="O296" t="n">
        <v>0</v>
      </c>
      <c r="P296" t="n">
        <v>0</v>
      </c>
      <c r="Q296" t="n">
        <v>0</v>
      </c>
      <c r="R296" s="2" t="inlineStr"/>
    </row>
    <row r="297" ht="15" customHeight="1">
      <c r="A297" t="inlineStr">
        <is>
          <t>A 34185-2024</t>
        </is>
      </c>
      <c r="B297" s="1" t="n">
        <v>45524</v>
      </c>
      <c r="C297" s="1" t="n">
        <v>46084</v>
      </c>
      <c r="D297" t="inlineStr">
        <is>
          <t>UPPSALA LÄN</t>
        </is>
      </c>
      <c r="E297" t="inlineStr">
        <is>
          <t>ÖSTHAMMAR</t>
        </is>
      </c>
      <c r="G297" t="n">
        <v>2.5</v>
      </c>
      <c r="H297" t="n">
        <v>0</v>
      </c>
      <c r="I297" t="n">
        <v>0</v>
      </c>
      <c r="J297" t="n">
        <v>0</v>
      </c>
      <c r="K297" t="n">
        <v>0</v>
      </c>
      <c r="L297" t="n">
        <v>0</v>
      </c>
      <c r="M297" t="n">
        <v>0</v>
      </c>
      <c r="N297" t="n">
        <v>0</v>
      </c>
      <c r="O297" t="n">
        <v>0</v>
      </c>
      <c r="P297" t="n">
        <v>0</v>
      </c>
      <c r="Q297" t="n">
        <v>0</v>
      </c>
      <c r="R297" s="2" t="inlineStr"/>
    </row>
    <row r="298" ht="15" customHeight="1">
      <c r="A298" t="inlineStr">
        <is>
          <t>A 16089-2025</t>
        </is>
      </c>
      <c r="B298" s="1" t="n">
        <v>45749.84232638889</v>
      </c>
      <c r="C298" s="1" t="n">
        <v>46084</v>
      </c>
      <c r="D298" t="inlineStr">
        <is>
          <t>UPPSALA LÄN</t>
        </is>
      </c>
      <c r="E298" t="inlineStr">
        <is>
          <t>ÖSTHAMMAR</t>
        </is>
      </c>
      <c r="F298" t="inlineStr">
        <is>
          <t>Bergvik skog öst AB</t>
        </is>
      </c>
      <c r="G298" t="n">
        <v>2.6</v>
      </c>
      <c r="H298" t="n">
        <v>0</v>
      </c>
      <c r="I298" t="n">
        <v>0</v>
      </c>
      <c r="J298" t="n">
        <v>0</v>
      </c>
      <c r="K298" t="n">
        <v>0</v>
      </c>
      <c r="L298" t="n">
        <v>0</v>
      </c>
      <c r="M298" t="n">
        <v>0</v>
      </c>
      <c r="N298" t="n">
        <v>0</v>
      </c>
      <c r="O298" t="n">
        <v>0</v>
      </c>
      <c r="P298" t="n">
        <v>0</v>
      </c>
      <c r="Q298" t="n">
        <v>0</v>
      </c>
      <c r="R298" s="2" t="inlineStr"/>
    </row>
    <row r="299" ht="15" customHeight="1">
      <c r="A299" t="inlineStr">
        <is>
          <t>A 5855-2022</t>
        </is>
      </c>
      <c r="B299" s="1" t="n">
        <v>44596.63290509259</v>
      </c>
      <c r="C299" s="1" t="n">
        <v>46084</v>
      </c>
      <c r="D299" t="inlineStr">
        <is>
          <t>UPPSALA LÄN</t>
        </is>
      </c>
      <c r="E299" t="inlineStr">
        <is>
          <t>ÖSTHAMMAR</t>
        </is>
      </c>
      <c r="G299" t="n">
        <v>0.9</v>
      </c>
      <c r="H299" t="n">
        <v>0</v>
      </c>
      <c r="I299" t="n">
        <v>0</v>
      </c>
      <c r="J299" t="n">
        <v>0</v>
      </c>
      <c r="K299" t="n">
        <v>0</v>
      </c>
      <c r="L299" t="n">
        <v>0</v>
      </c>
      <c r="M299" t="n">
        <v>0</v>
      </c>
      <c r="N299" t="n">
        <v>0</v>
      </c>
      <c r="O299" t="n">
        <v>0</v>
      </c>
      <c r="P299" t="n">
        <v>0</v>
      </c>
      <c r="Q299" t="n">
        <v>0</v>
      </c>
      <c r="R299" s="2" t="inlineStr"/>
    </row>
    <row r="300" ht="15" customHeight="1">
      <c r="A300" t="inlineStr">
        <is>
          <t>A 29753-2022</t>
        </is>
      </c>
      <c r="B300" s="1" t="n">
        <v>44755</v>
      </c>
      <c r="C300" s="1" t="n">
        <v>46084</v>
      </c>
      <c r="D300" t="inlineStr">
        <is>
          <t>UPPSALA LÄN</t>
        </is>
      </c>
      <c r="E300" t="inlineStr">
        <is>
          <t>ÖSTHAMMAR</t>
        </is>
      </c>
      <c r="G300" t="n">
        <v>9.4</v>
      </c>
      <c r="H300" t="n">
        <v>0</v>
      </c>
      <c r="I300" t="n">
        <v>0</v>
      </c>
      <c r="J300" t="n">
        <v>0</v>
      </c>
      <c r="K300" t="n">
        <v>0</v>
      </c>
      <c r="L300" t="n">
        <v>0</v>
      </c>
      <c r="M300" t="n">
        <v>0</v>
      </c>
      <c r="N300" t="n">
        <v>0</v>
      </c>
      <c r="O300" t="n">
        <v>0</v>
      </c>
      <c r="P300" t="n">
        <v>0</v>
      </c>
      <c r="Q300" t="n">
        <v>0</v>
      </c>
      <c r="R300" s="2" t="inlineStr"/>
    </row>
    <row r="301" ht="15" customHeight="1">
      <c r="A301" t="inlineStr">
        <is>
          <t>A 13622-2025</t>
        </is>
      </c>
      <c r="B301" s="1" t="n">
        <v>45736</v>
      </c>
      <c r="C301" s="1" t="n">
        <v>46084</v>
      </c>
      <c r="D301" t="inlineStr">
        <is>
          <t>UPPSALA LÄN</t>
        </is>
      </c>
      <c r="E301" t="inlineStr">
        <is>
          <t>ÖSTHAMMAR</t>
        </is>
      </c>
      <c r="G301" t="n">
        <v>2.6</v>
      </c>
      <c r="H301" t="n">
        <v>0</v>
      </c>
      <c r="I301" t="n">
        <v>0</v>
      </c>
      <c r="J301" t="n">
        <v>0</v>
      </c>
      <c r="K301" t="n">
        <v>0</v>
      </c>
      <c r="L301" t="n">
        <v>0</v>
      </c>
      <c r="M301" t="n">
        <v>0</v>
      </c>
      <c r="N301" t="n">
        <v>0</v>
      </c>
      <c r="O301" t="n">
        <v>0</v>
      </c>
      <c r="P301" t="n">
        <v>0</v>
      </c>
      <c r="Q301" t="n">
        <v>0</v>
      </c>
      <c r="R301" s="2" t="inlineStr"/>
    </row>
    <row r="302" ht="15" customHeight="1">
      <c r="A302" t="inlineStr">
        <is>
          <t>A 14170-2025</t>
        </is>
      </c>
      <c r="B302" s="1" t="n">
        <v>45740.51895833333</v>
      </c>
      <c r="C302" s="1" t="n">
        <v>46084</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56759-2024</t>
        </is>
      </c>
      <c r="B303" s="1" t="n">
        <v>45628.39877314815</v>
      </c>
      <c r="C303" s="1" t="n">
        <v>46084</v>
      </c>
      <c r="D303" t="inlineStr">
        <is>
          <t>UPPSALA LÄN</t>
        </is>
      </c>
      <c r="E303" t="inlineStr">
        <is>
          <t>ÖSTHAMMAR</t>
        </is>
      </c>
      <c r="G303" t="n">
        <v>4.7</v>
      </c>
      <c r="H303" t="n">
        <v>0</v>
      </c>
      <c r="I303" t="n">
        <v>0</v>
      </c>
      <c r="J303" t="n">
        <v>0</v>
      </c>
      <c r="K303" t="n">
        <v>0</v>
      </c>
      <c r="L303" t="n">
        <v>0</v>
      </c>
      <c r="M303" t="n">
        <v>0</v>
      </c>
      <c r="N303" t="n">
        <v>0</v>
      </c>
      <c r="O303" t="n">
        <v>0</v>
      </c>
      <c r="P303" t="n">
        <v>0</v>
      </c>
      <c r="Q303" t="n">
        <v>0</v>
      </c>
      <c r="R303" s="2" t="inlineStr"/>
    </row>
    <row r="304" ht="15" customHeight="1">
      <c r="A304" t="inlineStr">
        <is>
          <t>A 41519-2025</t>
        </is>
      </c>
      <c r="B304" s="1" t="n">
        <v>45901.54751157408</v>
      </c>
      <c r="C304" s="1" t="n">
        <v>46084</v>
      </c>
      <c r="D304" t="inlineStr">
        <is>
          <t>UPPSALA LÄN</t>
        </is>
      </c>
      <c r="E304" t="inlineStr">
        <is>
          <t>ÖSTHAMMAR</t>
        </is>
      </c>
      <c r="F304" t="inlineStr">
        <is>
          <t>Övriga Aktiebolag</t>
        </is>
      </c>
      <c r="G304" t="n">
        <v>17.1</v>
      </c>
      <c r="H304" t="n">
        <v>0</v>
      </c>
      <c r="I304" t="n">
        <v>0</v>
      </c>
      <c r="J304" t="n">
        <v>0</v>
      </c>
      <c r="K304" t="n">
        <v>0</v>
      </c>
      <c r="L304" t="n">
        <v>0</v>
      </c>
      <c r="M304" t="n">
        <v>0</v>
      </c>
      <c r="N304" t="n">
        <v>0</v>
      </c>
      <c r="O304" t="n">
        <v>0</v>
      </c>
      <c r="P304" t="n">
        <v>0</v>
      </c>
      <c r="Q304" t="n">
        <v>0</v>
      </c>
      <c r="R304" s="2" t="inlineStr"/>
    </row>
    <row r="305" ht="15" customHeight="1">
      <c r="A305" t="inlineStr">
        <is>
          <t>A 58297-2024</t>
        </is>
      </c>
      <c r="B305" s="1" t="n">
        <v>45632.59780092593</v>
      </c>
      <c r="C305" s="1" t="n">
        <v>46084</v>
      </c>
      <c r="D305" t="inlineStr">
        <is>
          <t>UPPSALA LÄN</t>
        </is>
      </c>
      <c r="E305" t="inlineStr">
        <is>
          <t>ÖSTHAMMAR</t>
        </is>
      </c>
      <c r="G305" t="n">
        <v>5.1</v>
      </c>
      <c r="H305" t="n">
        <v>0</v>
      </c>
      <c r="I305" t="n">
        <v>0</v>
      </c>
      <c r="J305" t="n">
        <v>0</v>
      </c>
      <c r="K305" t="n">
        <v>0</v>
      </c>
      <c r="L305" t="n">
        <v>0</v>
      </c>
      <c r="M305" t="n">
        <v>0</v>
      </c>
      <c r="N305" t="n">
        <v>0</v>
      </c>
      <c r="O305" t="n">
        <v>0</v>
      </c>
      <c r="P305" t="n">
        <v>0</v>
      </c>
      <c r="Q305" t="n">
        <v>0</v>
      </c>
      <c r="R305" s="2" t="inlineStr"/>
    </row>
    <row r="306" ht="15" customHeight="1">
      <c r="A306" t="inlineStr">
        <is>
          <t>A 10275-2025</t>
        </is>
      </c>
      <c r="B306" s="1" t="n">
        <v>45720.39715277778</v>
      </c>
      <c r="C306" s="1" t="n">
        <v>46084</v>
      </c>
      <c r="D306" t="inlineStr">
        <is>
          <t>UPPSALA LÄN</t>
        </is>
      </c>
      <c r="E306" t="inlineStr">
        <is>
          <t>ÖSTHAMMAR</t>
        </is>
      </c>
      <c r="G306" t="n">
        <v>6.2</v>
      </c>
      <c r="H306" t="n">
        <v>0</v>
      </c>
      <c r="I306" t="n">
        <v>0</v>
      </c>
      <c r="J306" t="n">
        <v>0</v>
      </c>
      <c r="K306" t="n">
        <v>0</v>
      </c>
      <c r="L306" t="n">
        <v>0</v>
      </c>
      <c r="M306" t="n">
        <v>0</v>
      </c>
      <c r="N306" t="n">
        <v>0</v>
      </c>
      <c r="O306" t="n">
        <v>0</v>
      </c>
      <c r="P306" t="n">
        <v>0</v>
      </c>
      <c r="Q306" t="n">
        <v>0</v>
      </c>
      <c r="R306" s="2" t="inlineStr"/>
    </row>
    <row r="307" ht="15" customHeight="1">
      <c r="A307" t="inlineStr">
        <is>
          <t>A 26330-2025</t>
        </is>
      </c>
      <c r="B307" s="1" t="n">
        <v>45805.68263888889</v>
      </c>
      <c r="C307" s="1" t="n">
        <v>46084</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46084</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26319-2025</t>
        </is>
      </c>
      <c r="B309" s="1" t="n">
        <v>45805.65960648148</v>
      </c>
      <c r="C309" s="1" t="n">
        <v>46084</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24493-2023</t>
        </is>
      </c>
      <c r="B310" s="1" t="n">
        <v>45082.62603009259</v>
      </c>
      <c r="C310" s="1" t="n">
        <v>46084</v>
      </c>
      <c r="D310" t="inlineStr">
        <is>
          <t>UPPSALA LÄN</t>
        </is>
      </c>
      <c r="E310" t="inlineStr">
        <is>
          <t>ÖSTHAMMAR</t>
        </is>
      </c>
      <c r="G310" t="n">
        <v>1.9</v>
      </c>
      <c r="H310" t="n">
        <v>0</v>
      </c>
      <c r="I310" t="n">
        <v>0</v>
      </c>
      <c r="J310" t="n">
        <v>0</v>
      </c>
      <c r="K310" t="n">
        <v>0</v>
      </c>
      <c r="L310" t="n">
        <v>0</v>
      </c>
      <c r="M310" t="n">
        <v>0</v>
      </c>
      <c r="N310" t="n">
        <v>0</v>
      </c>
      <c r="O310" t="n">
        <v>0</v>
      </c>
      <c r="P310" t="n">
        <v>0</v>
      </c>
      <c r="Q310" t="n">
        <v>0</v>
      </c>
      <c r="R310" s="2" t="inlineStr"/>
    </row>
    <row r="311" ht="15" customHeight="1">
      <c r="A311" t="inlineStr">
        <is>
          <t>A 26055-2025</t>
        </is>
      </c>
      <c r="B311" s="1" t="n">
        <v>45804.77559027778</v>
      </c>
      <c r="C311" s="1" t="n">
        <v>46084</v>
      </c>
      <c r="D311" t="inlineStr">
        <is>
          <t>UPPSALA LÄN</t>
        </is>
      </c>
      <c r="E311" t="inlineStr">
        <is>
          <t>ÖSTHAMMAR</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32742-2022</t>
        </is>
      </c>
      <c r="B312" s="1" t="n">
        <v>44783.69886574074</v>
      </c>
      <c r="C312" s="1" t="n">
        <v>46084</v>
      </c>
      <c r="D312" t="inlineStr">
        <is>
          <t>UPPSALA LÄN</t>
        </is>
      </c>
      <c r="E312" t="inlineStr">
        <is>
          <t>ÖSTHAMMAR</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49833-2023</t>
        </is>
      </c>
      <c r="B313" s="1" t="n">
        <v>45212.71481481481</v>
      </c>
      <c r="C313" s="1" t="n">
        <v>46084</v>
      </c>
      <c r="D313" t="inlineStr">
        <is>
          <t>UPPSALA LÄN</t>
        </is>
      </c>
      <c r="E313" t="inlineStr">
        <is>
          <t>ÖSTHAMMAR</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24401-2025</t>
        </is>
      </c>
      <c r="B314" s="1" t="n">
        <v>45797.64908564815</v>
      </c>
      <c r="C314" s="1" t="n">
        <v>46084</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7560-2023</t>
        </is>
      </c>
      <c r="B315" s="1" t="n">
        <v>44972.34811342593</v>
      </c>
      <c r="C315" s="1" t="n">
        <v>46084</v>
      </c>
      <c r="D315" t="inlineStr">
        <is>
          <t>UPPSALA LÄN</t>
        </is>
      </c>
      <c r="E315" t="inlineStr">
        <is>
          <t>ÖSTHAMMAR</t>
        </is>
      </c>
      <c r="F315" t="inlineStr">
        <is>
          <t>Bergvik skog öst AB</t>
        </is>
      </c>
      <c r="G315" t="n">
        <v>1.3</v>
      </c>
      <c r="H315" t="n">
        <v>0</v>
      </c>
      <c r="I315" t="n">
        <v>0</v>
      </c>
      <c r="J315" t="n">
        <v>0</v>
      </c>
      <c r="K315" t="n">
        <v>0</v>
      </c>
      <c r="L315" t="n">
        <v>0</v>
      </c>
      <c r="M315" t="n">
        <v>0</v>
      </c>
      <c r="N315" t="n">
        <v>0</v>
      </c>
      <c r="O315" t="n">
        <v>0</v>
      </c>
      <c r="P315" t="n">
        <v>0</v>
      </c>
      <c r="Q315" t="n">
        <v>0</v>
      </c>
      <c r="R315" s="2" t="inlineStr"/>
    </row>
    <row r="316" ht="15" customHeight="1">
      <c r="A316" t="inlineStr">
        <is>
          <t>A 24408-2025</t>
        </is>
      </c>
      <c r="B316" s="1" t="n">
        <v>45797.65774305556</v>
      </c>
      <c r="C316" s="1" t="n">
        <v>46084</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45307-2023</t>
        </is>
      </c>
      <c r="B317" s="1" t="n">
        <v>45191</v>
      </c>
      <c r="C317" s="1" t="n">
        <v>46084</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19040-2023</t>
        </is>
      </c>
      <c r="B318" s="1" t="n">
        <v>45047</v>
      </c>
      <c r="C318" s="1" t="n">
        <v>46084</v>
      </c>
      <c r="D318" t="inlineStr">
        <is>
          <t>UPPSALA LÄN</t>
        </is>
      </c>
      <c r="E318" t="inlineStr">
        <is>
          <t>ÖSTHAMMAR</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26521-2025</t>
        </is>
      </c>
      <c r="B319" s="1" t="n">
        <v>45807.56275462963</v>
      </c>
      <c r="C319" s="1" t="n">
        <v>46084</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4004-2023</t>
        </is>
      </c>
      <c r="B320" s="1" t="n">
        <v>44952</v>
      </c>
      <c r="C320" s="1" t="n">
        <v>46084</v>
      </c>
      <c r="D320" t="inlineStr">
        <is>
          <t>UPPSALA LÄN</t>
        </is>
      </c>
      <c r="E320" t="inlineStr">
        <is>
          <t>ÖSTHAMMAR</t>
        </is>
      </c>
      <c r="G320" t="n">
        <v>4.1</v>
      </c>
      <c r="H320" t="n">
        <v>0</v>
      </c>
      <c r="I320" t="n">
        <v>0</v>
      </c>
      <c r="J320" t="n">
        <v>0</v>
      </c>
      <c r="K320" t="n">
        <v>0</v>
      </c>
      <c r="L320" t="n">
        <v>0</v>
      </c>
      <c r="M320" t="n">
        <v>0</v>
      </c>
      <c r="N320" t="n">
        <v>0</v>
      </c>
      <c r="O320" t="n">
        <v>0</v>
      </c>
      <c r="P320" t="n">
        <v>0</v>
      </c>
      <c r="Q320" t="n">
        <v>0</v>
      </c>
      <c r="R320" s="2" t="inlineStr"/>
    </row>
    <row r="321" ht="15" customHeight="1">
      <c r="A321" t="inlineStr">
        <is>
          <t>A 26526-2025</t>
        </is>
      </c>
      <c r="B321" s="1" t="n">
        <v>45807.56612268519</v>
      </c>
      <c r="C321" s="1" t="n">
        <v>46084</v>
      </c>
      <c r="D321" t="inlineStr">
        <is>
          <t>UPPSALA LÄN</t>
        </is>
      </c>
      <c r="E321" t="inlineStr">
        <is>
          <t>ÖSTHAMMAR</t>
        </is>
      </c>
      <c r="G321" t="n">
        <v>0.7</v>
      </c>
      <c r="H321" t="n">
        <v>0</v>
      </c>
      <c r="I321" t="n">
        <v>0</v>
      </c>
      <c r="J321" t="n">
        <v>0</v>
      </c>
      <c r="K321" t="n">
        <v>0</v>
      </c>
      <c r="L321" t="n">
        <v>0</v>
      </c>
      <c r="M321" t="n">
        <v>0</v>
      </c>
      <c r="N321" t="n">
        <v>0</v>
      </c>
      <c r="O321" t="n">
        <v>0</v>
      </c>
      <c r="P321" t="n">
        <v>0</v>
      </c>
      <c r="Q321" t="n">
        <v>0</v>
      </c>
      <c r="R321" s="2" t="inlineStr"/>
    </row>
    <row r="322" ht="15" customHeight="1">
      <c r="A322" t="inlineStr">
        <is>
          <t>A 31549-2022</t>
        </is>
      </c>
      <c r="B322" s="1" t="n">
        <v>44775.400625</v>
      </c>
      <c r="C322" s="1" t="n">
        <v>46084</v>
      </c>
      <c r="D322" t="inlineStr">
        <is>
          <t>UPPSALA LÄN</t>
        </is>
      </c>
      <c r="E322" t="inlineStr">
        <is>
          <t>ÖSTHAMMAR</t>
        </is>
      </c>
      <c r="G322" t="n">
        <v>1.5</v>
      </c>
      <c r="H322" t="n">
        <v>0</v>
      </c>
      <c r="I322" t="n">
        <v>0</v>
      </c>
      <c r="J322" t="n">
        <v>0</v>
      </c>
      <c r="K322" t="n">
        <v>0</v>
      </c>
      <c r="L322" t="n">
        <v>0</v>
      </c>
      <c r="M322" t="n">
        <v>0</v>
      </c>
      <c r="N322" t="n">
        <v>0</v>
      </c>
      <c r="O322" t="n">
        <v>0</v>
      </c>
      <c r="P322" t="n">
        <v>0</v>
      </c>
      <c r="Q322" t="n">
        <v>0</v>
      </c>
      <c r="R322" s="2" t="inlineStr"/>
    </row>
    <row r="323" ht="15" customHeight="1">
      <c r="A323" t="inlineStr">
        <is>
          <t>A 27131-2025</t>
        </is>
      </c>
      <c r="B323" s="1" t="n">
        <v>45811</v>
      </c>
      <c r="C323" s="1" t="n">
        <v>46084</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24389-2025</t>
        </is>
      </c>
      <c r="B324" s="1" t="n">
        <v>45797.63553240741</v>
      </c>
      <c r="C324" s="1" t="n">
        <v>46084</v>
      </c>
      <c r="D324" t="inlineStr">
        <is>
          <t>UPPSALA LÄN</t>
        </is>
      </c>
      <c r="E324" t="inlineStr">
        <is>
          <t>ÖSTHAMMAR</t>
        </is>
      </c>
      <c r="G324" t="n">
        <v>1.1</v>
      </c>
      <c r="H324" t="n">
        <v>0</v>
      </c>
      <c r="I324" t="n">
        <v>0</v>
      </c>
      <c r="J324" t="n">
        <v>0</v>
      </c>
      <c r="K324" t="n">
        <v>0</v>
      </c>
      <c r="L324" t="n">
        <v>0</v>
      </c>
      <c r="M324" t="n">
        <v>0</v>
      </c>
      <c r="N324" t="n">
        <v>0</v>
      </c>
      <c r="O324" t="n">
        <v>0</v>
      </c>
      <c r="P324" t="n">
        <v>0</v>
      </c>
      <c r="Q324" t="n">
        <v>0</v>
      </c>
      <c r="R324" s="2" t="inlineStr"/>
    </row>
    <row r="325" ht="15" customHeight="1">
      <c r="A325" t="inlineStr">
        <is>
          <t>A 27384-2025</t>
        </is>
      </c>
      <c r="B325" s="1" t="n">
        <v>45812.6672337963</v>
      </c>
      <c r="C325" s="1" t="n">
        <v>46084</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27132-2025</t>
        </is>
      </c>
      <c r="B326" s="1" t="n">
        <v>45811</v>
      </c>
      <c r="C326" s="1" t="n">
        <v>46084</v>
      </c>
      <c r="D326" t="inlineStr">
        <is>
          <t>UPPSALA LÄN</t>
        </is>
      </c>
      <c r="E326" t="inlineStr">
        <is>
          <t>ÖSTHAMMAR</t>
        </is>
      </c>
      <c r="G326" t="n">
        <v>2.3</v>
      </c>
      <c r="H326" t="n">
        <v>0</v>
      </c>
      <c r="I326" t="n">
        <v>0</v>
      </c>
      <c r="J326" t="n">
        <v>0</v>
      </c>
      <c r="K326" t="n">
        <v>0</v>
      </c>
      <c r="L326" t="n">
        <v>0</v>
      </c>
      <c r="M326" t="n">
        <v>0</v>
      </c>
      <c r="N326" t="n">
        <v>0</v>
      </c>
      <c r="O326" t="n">
        <v>0</v>
      </c>
      <c r="P326" t="n">
        <v>0</v>
      </c>
      <c r="Q326" t="n">
        <v>0</v>
      </c>
      <c r="R326" s="2" t="inlineStr"/>
    </row>
    <row r="327" ht="15" customHeight="1">
      <c r="A327" t="inlineStr">
        <is>
          <t>A 27058-2025</t>
        </is>
      </c>
      <c r="B327" s="1" t="n">
        <v>45811.63436342592</v>
      </c>
      <c r="C327" s="1" t="n">
        <v>46084</v>
      </c>
      <c r="D327" t="inlineStr">
        <is>
          <t>UPPSALA LÄN</t>
        </is>
      </c>
      <c r="E327" t="inlineStr">
        <is>
          <t>ÖSTHAMMAR</t>
        </is>
      </c>
      <c r="F327" t="inlineStr">
        <is>
          <t>Bergvik skog öst AB</t>
        </is>
      </c>
      <c r="G327" t="n">
        <v>5.7</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46084</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27347-2025</t>
        </is>
      </c>
      <c r="B329" s="1" t="n">
        <v>45812.62390046296</v>
      </c>
      <c r="C329" s="1" t="n">
        <v>46084</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43011-2025</t>
        </is>
      </c>
      <c r="B330" s="1" t="n">
        <v>45909.48989583334</v>
      </c>
      <c r="C330" s="1" t="n">
        <v>46084</v>
      </c>
      <c r="D330" t="inlineStr">
        <is>
          <t>UPPSALA LÄN</t>
        </is>
      </c>
      <c r="E330" t="inlineStr">
        <is>
          <t>ÖSTHAMMAR</t>
        </is>
      </c>
      <c r="F330" t="inlineStr">
        <is>
          <t>Övriga Aktiebolag</t>
        </is>
      </c>
      <c r="G330" t="n">
        <v>4.7</v>
      </c>
      <c r="H330" t="n">
        <v>0</v>
      </c>
      <c r="I330" t="n">
        <v>0</v>
      </c>
      <c r="J330" t="n">
        <v>0</v>
      </c>
      <c r="K330" t="n">
        <v>0</v>
      </c>
      <c r="L330" t="n">
        <v>0</v>
      </c>
      <c r="M330" t="n">
        <v>0</v>
      </c>
      <c r="N330" t="n">
        <v>0</v>
      </c>
      <c r="O330" t="n">
        <v>0</v>
      </c>
      <c r="P330" t="n">
        <v>0</v>
      </c>
      <c r="Q330" t="n">
        <v>0</v>
      </c>
      <c r="R330" s="2" t="inlineStr"/>
    </row>
    <row r="331" ht="15" customHeight="1">
      <c r="A331" t="inlineStr">
        <is>
          <t>A 27392-2025</t>
        </is>
      </c>
      <c r="B331" s="1" t="n">
        <v>45812.68268518519</v>
      </c>
      <c r="C331" s="1" t="n">
        <v>46084</v>
      </c>
      <c r="D331" t="inlineStr">
        <is>
          <t>UPPSALA LÄN</t>
        </is>
      </c>
      <c r="E331" t="inlineStr">
        <is>
          <t>ÖSTHAMMAR</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5076-2025</t>
        </is>
      </c>
      <c r="B332" s="1" t="n">
        <v>45691</v>
      </c>
      <c r="C332" s="1" t="n">
        <v>46084</v>
      </c>
      <c r="D332" t="inlineStr">
        <is>
          <t>UPPSALA LÄN</t>
        </is>
      </c>
      <c r="E332" t="inlineStr">
        <is>
          <t>ÖSTHAMMAR</t>
        </is>
      </c>
      <c r="G332" t="n">
        <v>5.8</v>
      </c>
      <c r="H332" t="n">
        <v>0</v>
      </c>
      <c r="I332" t="n">
        <v>0</v>
      </c>
      <c r="J332" t="n">
        <v>0</v>
      </c>
      <c r="K332" t="n">
        <v>0</v>
      </c>
      <c r="L332" t="n">
        <v>0</v>
      </c>
      <c r="M332" t="n">
        <v>0</v>
      </c>
      <c r="N332" t="n">
        <v>0</v>
      </c>
      <c r="O332" t="n">
        <v>0</v>
      </c>
      <c r="P332" t="n">
        <v>0</v>
      </c>
      <c r="Q332" t="n">
        <v>0</v>
      </c>
      <c r="R332" s="2" t="inlineStr"/>
    </row>
    <row r="333" ht="15" customHeight="1">
      <c r="A333" t="inlineStr">
        <is>
          <t>A 61261-2022</t>
        </is>
      </c>
      <c r="B333" s="1" t="n">
        <v>44915.59645833333</v>
      </c>
      <c r="C333" s="1" t="n">
        <v>46084</v>
      </c>
      <c r="D333" t="inlineStr">
        <is>
          <t>UPPSALA LÄN</t>
        </is>
      </c>
      <c r="E333" t="inlineStr">
        <is>
          <t>ÖSTHAMMAR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42940-2025</t>
        </is>
      </c>
      <c r="B334" s="1" t="n">
        <v>45909.33440972222</v>
      </c>
      <c r="C334" s="1" t="n">
        <v>46084</v>
      </c>
      <c r="D334" t="inlineStr">
        <is>
          <t>UPPSALA LÄN</t>
        </is>
      </c>
      <c r="E334" t="inlineStr">
        <is>
          <t>ÖSTHAMMAR</t>
        </is>
      </c>
      <c r="G334" t="n">
        <v>2.1</v>
      </c>
      <c r="H334" t="n">
        <v>0</v>
      </c>
      <c r="I334" t="n">
        <v>0</v>
      </c>
      <c r="J334" t="n">
        <v>0</v>
      </c>
      <c r="K334" t="n">
        <v>0</v>
      </c>
      <c r="L334" t="n">
        <v>0</v>
      </c>
      <c r="M334" t="n">
        <v>0</v>
      </c>
      <c r="N334" t="n">
        <v>0</v>
      </c>
      <c r="O334" t="n">
        <v>0</v>
      </c>
      <c r="P334" t="n">
        <v>0</v>
      </c>
      <c r="Q334" t="n">
        <v>0</v>
      </c>
      <c r="R334" s="2" t="inlineStr"/>
    </row>
    <row r="335" ht="15" customHeight="1">
      <c r="A335" t="inlineStr">
        <is>
          <t>A 27352-2025</t>
        </is>
      </c>
      <c r="B335" s="1" t="n">
        <v>45812.62694444445</v>
      </c>
      <c r="C335" s="1" t="n">
        <v>46084</v>
      </c>
      <c r="D335" t="inlineStr">
        <is>
          <t>UPPSALA LÄN</t>
        </is>
      </c>
      <c r="E335" t="inlineStr">
        <is>
          <t>ÖSTHAMMAR</t>
        </is>
      </c>
      <c r="G335" t="n">
        <v>2.5</v>
      </c>
      <c r="H335" t="n">
        <v>0</v>
      </c>
      <c r="I335" t="n">
        <v>0</v>
      </c>
      <c r="J335" t="n">
        <v>0</v>
      </c>
      <c r="K335" t="n">
        <v>0</v>
      </c>
      <c r="L335" t="n">
        <v>0</v>
      </c>
      <c r="M335" t="n">
        <v>0</v>
      </c>
      <c r="N335" t="n">
        <v>0</v>
      </c>
      <c r="O335" t="n">
        <v>0</v>
      </c>
      <c r="P335" t="n">
        <v>0</v>
      </c>
      <c r="Q335" t="n">
        <v>0</v>
      </c>
      <c r="R335" s="2" t="inlineStr"/>
    </row>
    <row r="336" ht="15" customHeight="1">
      <c r="A336" t="inlineStr">
        <is>
          <t>A 27350-2025</t>
        </is>
      </c>
      <c r="B336" s="1" t="n">
        <v>45812.62571759259</v>
      </c>
      <c r="C336" s="1" t="n">
        <v>46084</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27383-2025</t>
        </is>
      </c>
      <c r="B337" s="1" t="n">
        <v>45812.66628472223</v>
      </c>
      <c r="C337" s="1" t="n">
        <v>46084</v>
      </c>
      <c r="D337" t="inlineStr">
        <is>
          <t>UPPSALA LÄN</t>
        </is>
      </c>
      <c r="E337" t="inlineStr">
        <is>
          <t>ÖSTHAMMAR</t>
        </is>
      </c>
      <c r="G337" t="n">
        <v>0.7</v>
      </c>
      <c r="H337" t="n">
        <v>0</v>
      </c>
      <c r="I337" t="n">
        <v>0</v>
      </c>
      <c r="J337" t="n">
        <v>0</v>
      </c>
      <c r="K337" t="n">
        <v>0</v>
      </c>
      <c r="L337" t="n">
        <v>0</v>
      </c>
      <c r="M337" t="n">
        <v>0</v>
      </c>
      <c r="N337" t="n">
        <v>0</v>
      </c>
      <c r="O337" t="n">
        <v>0</v>
      </c>
      <c r="P337" t="n">
        <v>0</v>
      </c>
      <c r="Q337" t="n">
        <v>0</v>
      </c>
      <c r="R337" s="2" t="inlineStr"/>
    </row>
    <row r="338" ht="15" customHeight="1">
      <c r="A338" t="inlineStr">
        <is>
          <t>A 27385-2025</t>
        </is>
      </c>
      <c r="B338" s="1" t="n">
        <v>45812.66829861111</v>
      </c>
      <c r="C338" s="1" t="n">
        <v>46084</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27395-2025</t>
        </is>
      </c>
      <c r="B339" s="1" t="n">
        <v>45812.6850462963</v>
      </c>
      <c r="C339" s="1" t="n">
        <v>46084</v>
      </c>
      <c r="D339" t="inlineStr">
        <is>
          <t>UPPSALA LÄN</t>
        </is>
      </c>
      <c r="E339" t="inlineStr">
        <is>
          <t>ÖSTHAMMAR</t>
        </is>
      </c>
      <c r="F339" t="inlineStr">
        <is>
          <t>Bergvik skog öst AB</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27563-2025</t>
        </is>
      </c>
      <c r="B340" s="1" t="n">
        <v>45813.48471064815</v>
      </c>
      <c r="C340" s="1" t="n">
        <v>46084</v>
      </c>
      <c r="D340" t="inlineStr">
        <is>
          <t>UPPSALA LÄN</t>
        </is>
      </c>
      <c r="E340" t="inlineStr">
        <is>
          <t>ÖSTHAMMAR</t>
        </is>
      </c>
      <c r="F340" t="inlineStr">
        <is>
          <t>Bergvik skog öst AB</t>
        </is>
      </c>
      <c r="G340" t="n">
        <v>4</v>
      </c>
      <c r="H340" t="n">
        <v>0</v>
      </c>
      <c r="I340" t="n">
        <v>0</v>
      </c>
      <c r="J340" t="n">
        <v>0</v>
      </c>
      <c r="K340" t="n">
        <v>0</v>
      </c>
      <c r="L340" t="n">
        <v>0</v>
      </c>
      <c r="M340" t="n">
        <v>0</v>
      </c>
      <c r="N340" t="n">
        <v>0</v>
      </c>
      <c r="O340" t="n">
        <v>0</v>
      </c>
      <c r="P340" t="n">
        <v>0</v>
      </c>
      <c r="Q340" t="n">
        <v>0</v>
      </c>
      <c r="R340" s="2" t="inlineStr"/>
    </row>
    <row r="341" ht="15" customHeight="1">
      <c r="A341" t="inlineStr">
        <is>
          <t>A 36857-2023</t>
        </is>
      </c>
      <c r="B341" s="1" t="n">
        <v>45154.55175925926</v>
      </c>
      <c r="C341" s="1" t="n">
        <v>46084</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46084</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43604-2025</t>
        </is>
      </c>
      <c r="B343" s="1" t="n">
        <v>45911.66671296296</v>
      </c>
      <c r="C343" s="1" t="n">
        <v>46084</v>
      </c>
      <c r="D343" t="inlineStr">
        <is>
          <t>UPPSALA LÄN</t>
        </is>
      </c>
      <c r="E343" t="inlineStr">
        <is>
          <t>ÖSTHAMMAR</t>
        </is>
      </c>
      <c r="G343" t="n">
        <v>8.5</v>
      </c>
      <c r="H343" t="n">
        <v>0</v>
      </c>
      <c r="I343" t="n">
        <v>0</v>
      </c>
      <c r="J343" t="n">
        <v>0</v>
      </c>
      <c r="K343" t="n">
        <v>0</v>
      </c>
      <c r="L343" t="n">
        <v>0</v>
      </c>
      <c r="M343" t="n">
        <v>0</v>
      </c>
      <c r="N343" t="n">
        <v>0</v>
      </c>
      <c r="O343" t="n">
        <v>0</v>
      </c>
      <c r="P343" t="n">
        <v>0</v>
      </c>
      <c r="Q343" t="n">
        <v>0</v>
      </c>
      <c r="R343" s="2" t="inlineStr"/>
    </row>
    <row r="344" ht="15" customHeight="1">
      <c r="A344" t="inlineStr">
        <is>
          <t>A 1800-2023</t>
        </is>
      </c>
      <c r="B344" s="1" t="n">
        <v>44938</v>
      </c>
      <c r="C344" s="1" t="n">
        <v>46084</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8699-2025</t>
        </is>
      </c>
      <c r="B345" s="1" t="n">
        <v>45712.47983796296</v>
      </c>
      <c r="C345" s="1" t="n">
        <v>46084</v>
      </c>
      <c r="D345" t="inlineStr">
        <is>
          <t>UPPSALA LÄN</t>
        </is>
      </c>
      <c r="E345" t="inlineStr">
        <is>
          <t>ÖSTHAMMAR</t>
        </is>
      </c>
      <c r="G345" t="n">
        <v>5.6</v>
      </c>
      <c r="H345" t="n">
        <v>0</v>
      </c>
      <c r="I345" t="n">
        <v>0</v>
      </c>
      <c r="J345" t="n">
        <v>0</v>
      </c>
      <c r="K345" t="n">
        <v>0</v>
      </c>
      <c r="L345" t="n">
        <v>0</v>
      </c>
      <c r="M345" t="n">
        <v>0</v>
      </c>
      <c r="N345" t="n">
        <v>0</v>
      </c>
      <c r="O345" t="n">
        <v>0</v>
      </c>
      <c r="P345" t="n">
        <v>0</v>
      </c>
      <c r="Q345" t="n">
        <v>0</v>
      </c>
      <c r="R345" s="2" t="inlineStr"/>
    </row>
    <row r="346" ht="15" customHeight="1">
      <c r="A346" t="inlineStr">
        <is>
          <t>A 8791-2025</t>
        </is>
      </c>
      <c r="B346" s="1" t="n">
        <v>45712</v>
      </c>
      <c r="C346" s="1" t="n">
        <v>46084</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31485-2023</t>
        </is>
      </c>
      <c r="B347" s="1" t="n">
        <v>45114</v>
      </c>
      <c r="C347" s="1" t="n">
        <v>46084</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14187-2022</t>
        </is>
      </c>
      <c r="B348" s="1" t="n">
        <v>44651.5625</v>
      </c>
      <c r="C348" s="1" t="n">
        <v>46084</v>
      </c>
      <c r="D348" t="inlineStr">
        <is>
          <t>UPPSALA LÄN</t>
        </is>
      </c>
      <c r="E348" t="inlineStr">
        <is>
          <t>ÖSTHAMMAR</t>
        </is>
      </c>
      <c r="F348" t="inlineStr">
        <is>
          <t>Övriga Aktiebolag</t>
        </is>
      </c>
      <c r="G348" t="n">
        <v>14.1</v>
      </c>
      <c r="H348" t="n">
        <v>0</v>
      </c>
      <c r="I348" t="n">
        <v>0</v>
      </c>
      <c r="J348" t="n">
        <v>0</v>
      </c>
      <c r="K348" t="n">
        <v>0</v>
      </c>
      <c r="L348" t="n">
        <v>0</v>
      </c>
      <c r="M348" t="n">
        <v>0</v>
      </c>
      <c r="N348" t="n">
        <v>0</v>
      </c>
      <c r="O348" t="n">
        <v>0</v>
      </c>
      <c r="P348" t="n">
        <v>0</v>
      </c>
      <c r="Q348" t="n">
        <v>0</v>
      </c>
      <c r="R348" s="2" t="inlineStr"/>
    </row>
    <row r="349" ht="15" customHeight="1">
      <c r="A349" t="inlineStr">
        <is>
          <t>A 43622-2025</t>
        </is>
      </c>
      <c r="B349" s="1" t="n">
        <v>45911.68295138889</v>
      </c>
      <c r="C349" s="1" t="n">
        <v>46084</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13093-2022</t>
        </is>
      </c>
      <c r="B350" s="1" t="n">
        <v>44643.93269675926</v>
      </c>
      <c r="C350" s="1" t="n">
        <v>46084</v>
      </c>
      <c r="D350" t="inlineStr">
        <is>
          <t>UPPSALA LÄN</t>
        </is>
      </c>
      <c r="E350" t="inlineStr">
        <is>
          <t>ÖSTHAMMAR</t>
        </is>
      </c>
      <c r="F350" t="inlineStr">
        <is>
          <t>Bergvik skog öst AB</t>
        </is>
      </c>
      <c r="G350" t="n">
        <v>3.2</v>
      </c>
      <c r="H350" t="n">
        <v>0</v>
      </c>
      <c r="I350" t="n">
        <v>0</v>
      </c>
      <c r="J350" t="n">
        <v>0</v>
      </c>
      <c r="K350" t="n">
        <v>0</v>
      </c>
      <c r="L350" t="n">
        <v>0</v>
      </c>
      <c r="M350" t="n">
        <v>0</v>
      </c>
      <c r="N350" t="n">
        <v>0</v>
      </c>
      <c r="O350" t="n">
        <v>0</v>
      </c>
      <c r="P350" t="n">
        <v>0</v>
      </c>
      <c r="Q350" t="n">
        <v>0</v>
      </c>
      <c r="R350" s="2" t="inlineStr"/>
    </row>
    <row r="351" ht="15" customHeight="1">
      <c r="A351" t="inlineStr">
        <is>
          <t>A 27919-2025</t>
        </is>
      </c>
      <c r="B351" s="1" t="n">
        <v>45817.48384259259</v>
      </c>
      <c r="C351" s="1" t="n">
        <v>46084</v>
      </c>
      <c r="D351" t="inlineStr">
        <is>
          <t>UPPSALA LÄN</t>
        </is>
      </c>
      <c r="E351" t="inlineStr">
        <is>
          <t>ÖSTHAMMAR</t>
        </is>
      </c>
      <c r="F351" t="inlineStr">
        <is>
          <t>Bergvik skog öst AB</t>
        </is>
      </c>
      <c r="G351" t="n">
        <v>3.5</v>
      </c>
      <c r="H351" t="n">
        <v>0</v>
      </c>
      <c r="I351" t="n">
        <v>0</v>
      </c>
      <c r="J351" t="n">
        <v>0</v>
      </c>
      <c r="K351" t="n">
        <v>0</v>
      </c>
      <c r="L351" t="n">
        <v>0</v>
      </c>
      <c r="M351" t="n">
        <v>0</v>
      </c>
      <c r="N351" t="n">
        <v>0</v>
      </c>
      <c r="O351" t="n">
        <v>0</v>
      </c>
      <c r="P351" t="n">
        <v>0</v>
      </c>
      <c r="Q351" t="n">
        <v>0</v>
      </c>
      <c r="R351" s="2" t="inlineStr"/>
    </row>
    <row r="352" ht="15" customHeight="1">
      <c r="A352" t="inlineStr">
        <is>
          <t>A 25897-2023</t>
        </is>
      </c>
      <c r="B352" s="1" t="n">
        <v>45090.63300925926</v>
      </c>
      <c r="C352" s="1" t="n">
        <v>46084</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8624-2025</t>
        </is>
      </c>
      <c r="B353" s="1" t="n">
        <v>45711.52333333333</v>
      </c>
      <c r="C353" s="1" t="n">
        <v>46084</v>
      </c>
      <c r="D353" t="inlineStr">
        <is>
          <t>UPPSALA LÄN</t>
        </is>
      </c>
      <c r="E353" t="inlineStr">
        <is>
          <t>ÖSTHAMMAR</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27853-2025</t>
        </is>
      </c>
      <c r="B354" s="1" t="n">
        <v>45817.40178240741</v>
      </c>
      <c r="C354" s="1" t="n">
        <v>46084</v>
      </c>
      <c r="D354" t="inlineStr">
        <is>
          <t>UPPSALA LÄN</t>
        </is>
      </c>
      <c r="E354" t="inlineStr">
        <is>
          <t>ÖSTHAMMAR</t>
        </is>
      </c>
      <c r="F354" t="inlineStr">
        <is>
          <t>Bergvik skog öst AB</t>
        </is>
      </c>
      <c r="G354" t="n">
        <v>1.4</v>
      </c>
      <c r="H354" t="n">
        <v>0</v>
      </c>
      <c r="I354" t="n">
        <v>0</v>
      </c>
      <c r="J354" t="n">
        <v>0</v>
      </c>
      <c r="K354" t="n">
        <v>0</v>
      </c>
      <c r="L354" t="n">
        <v>0</v>
      </c>
      <c r="M354" t="n">
        <v>0</v>
      </c>
      <c r="N354" t="n">
        <v>0</v>
      </c>
      <c r="O354" t="n">
        <v>0</v>
      </c>
      <c r="P354" t="n">
        <v>0</v>
      </c>
      <c r="Q354" t="n">
        <v>0</v>
      </c>
      <c r="R354" s="2" t="inlineStr"/>
    </row>
    <row r="355" ht="15" customHeight="1">
      <c r="A355" t="inlineStr">
        <is>
          <t>A 27812-2025</t>
        </is>
      </c>
      <c r="B355" s="1" t="n">
        <v>45817.32150462963</v>
      </c>
      <c r="C355" s="1" t="n">
        <v>46084</v>
      </c>
      <c r="D355" t="inlineStr">
        <is>
          <t>UPPSALA LÄN</t>
        </is>
      </c>
      <c r="E355" t="inlineStr">
        <is>
          <t>ÖSTHAMMAR</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27920-2025</t>
        </is>
      </c>
      <c r="B356" s="1" t="n">
        <v>45817.48454861111</v>
      </c>
      <c r="C356" s="1" t="n">
        <v>46084</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8330-2025</t>
        </is>
      </c>
      <c r="B357" s="1" t="n">
        <v>45708</v>
      </c>
      <c r="C357" s="1" t="n">
        <v>46084</v>
      </c>
      <c r="D357" t="inlineStr">
        <is>
          <t>UPPSALA LÄN</t>
        </is>
      </c>
      <c r="E357" t="inlineStr">
        <is>
          <t>ÖSTHAMMAR</t>
        </is>
      </c>
      <c r="F357" t="inlineStr">
        <is>
          <t>Övriga Aktiebolag</t>
        </is>
      </c>
      <c r="G357" t="n">
        <v>2.4</v>
      </c>
      <c r="H357" t="n">
        <v>0</v>
      </c>
      <c r="I357" t="n">
        <v>0</v>
      </c>
      <c r="J357" t="n">
        <v>0</v>
      </c>
      <c r="K357" t="n">
        <v>0</v>
      </c>
      <c r="L357" t="n">
        <v>0</v>
      </c>
      <c r="M357" t="n">
        <v>0</v>
      </c>
      <c r="N357" t="n">
        <v>0</v>
      </c>
      <c r="O357" t="n">
        <v>0</v>
      </c>
      <c r="P357" t="n">
        <v>0</v>
      </c>
      <c r="Q357" t="n">
        <v>0</v>
      </c>
      <c r="R357" s="2" t="inlineStr"/>
    </row>
    <row r="358" ht="15" customHeight="1">
      <c r="A358" t="inlineStr">
        <is>
          <t>A 27509-2025</t>
        </is>
      </c>
      <c r="B358" s="1" t="n">
        <v>45813.4278125</v>
      </c>
      <c r="C358" s="1" t="n">
        <v>46084</v>
      </c>
      <c r="D358" t="inlineStr">
        <is>
          <t>UPPSALA LÄN</t>
        </is>
      </c>
      <c r="E358" t="inlineStr">
        <is>
          <t>ÖSTHAMMAR</t>
        </is>
      </c>
      <c r="F358" t="inlineStr">
        <is>
          <t>Bergvik skog öst AB</t>
        </is>
      </c>
      <c r="G358" t="n">
        <v>3.3</v>
      </c>
      <c r="H358" t="n">
        <v>0</v>
      </c>
      <c r="I358" t="n">
        <v>0</v>
      </c>
      <c r="J358" t="n">
        <v>0</v>
      </c>
      <c r="K358" t="n">
        <v>0</v>
      </c>
      <c r="L358" t="n">
        <v>0</v>
      </c>
      <c r="M358" t="n">
        <v>0</v>
      </c>
      <c r="N358" t="n">
        <v>0</v>
      </c>
      <c r="O358" t="n">
        <v>0</v>
      </c>
      <c r="P358" t="n">
        <v>0</v>
      </c>
      <c r="Q358" t="n">
        <v>0</v>
      </c>
      <c r="R358" s="2" t="inlineStr"/>
    </row>
    <row r="359" ht="15" customHeight="1">
      <c r="A359" t="inlineStr">
        <is>
          <t>A 4101-2022</t>
        </is>
      </c>
      <c r="B359" s="1" t="n">
        <v>44588</v>
      </c>
      <c r="C359" s="1" t="n">
        <v>46084</v>
      </c>
      <c r="D359" t="inlineStr">
        <is>
          <t>UPPSALA LÄN</t>
        </is>
      </c>
      <c r="E359" t="inlineStr">
        <is>
          <t>ÖSTHAMMAR</t>
        </is>
      </c>
      <c r="G359" t="n">
        <v>4.4</v>
      </c>
      <c r="H359" t="n">
        <v>0</v>
      </c>
      <c r="I359" t="n">
        <v>0</v>
      </c>
      <c r="J359" t="n">
        <v>0</v>
      </c>
      <c r="K359" t="n">
        <v>0</v>
      </c>
      <c r="L359" t="n">
        <v>0</v>
      </c>
      <c r="M359" t="n">
        <v>0</v>
      </c>
      <c r="N359" t="n">
        <v>0</v>
      </c>
      <c r="O359" t="n">
        <v>0</v>
      </c>
      <c r="P359" t="n">
        <v>0</v>
      </c>
      <c r="Q359" t="n">
        <v>0</v>
      </c>
      <c r="R359" s="2" t="inlineStr"/>
    </row>
    <row r="360" ht="15" customHeight="1">
      <c r="A360" t="inlineStr">
        <is>
          <t>A 28442-2025</t>
        </is>
      </c>
      <c r="B360" s="1" t="n">
        <v>45819</v>
      </c>
      <c r="C360" s="1" t="n">
        <v>46084</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2839-2025</t>
        </is>
      </c>
      <c r="B361" s="1" t="n">
        <v>45677</v>
      </c>
      <c r="C361" s="1" t="n">
        <v>46084</v>
      </c>
      <c r="D361" t="inlineStr">
        <is>
          <t>UPPSALA LÄN</t>
        </is>
      </c>
      <c r="E361" t="inlineStr">
        <is>
          <t>ÖSTHAMMAR</t>
        </is>
      </c>
      <c r="F361" t="inlineStr">
        <is>
          <t>Övriga Aktiebolag</t>
        </is>
      </c>
      <c r="G361" t="n">
        <v>4</v>
      </c>
      <c r="H361" t="n">
        <v>0</v>
      </c>
      <c r="I361" t="n">
        <v>0</v>
      </c>
      <c r="J361" t="n">
        <v>0</v>
      </c>
      <c r="K361" t="n">
        <v>0</v>
      </c>
      <c r="L361" t="n">
        <v>0</v>
      </c>
      <c r="M361" t="n">
        <v>0</v>
      </c>
      <c r="N361" t="n">
        <v>0</v>
      </c>
      <c r="O361" t="n">
        <v>0</v>
      </c>
      <c r="P361" t="n">
        <v>0</v>
      </c>
      <c r="Q361" t="n">
        <v>0</v>
      </c>
      <c r="R361" s="2" t="inlineStr"/>
    </row>
    <row r="362" ht="15" customHeight="1">
      <c r="A362" t="inlineStr">
        <is>
          <t>A 23728-2025</t>
        </is>
      </c>
      <c r="B362" s="1" t="n">
        <v>45793.41719907407</v>
      </c>
      <c r="C362" s="1" t="n">
        <v>46084</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67848-2021</t>
        </is>
      </c>
      <c r="B363" s="1" t="n">
        <v>44525</v>
      </c>
      <c r="C363" s="1" t="n">
        <v>46084</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28745-2025</t>
        </is>
      </c>
      <c r="B364" s="1" t="n">
        <v>45820.39076388889</v>
      </c>
      <c r="C364" s="1" t="n">
        <v>46084</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28748-2025</t>
        </is>
      </c>
      <c r="B365" s="1" t="n">
        <v>45820.39540509259</v>
      </c>
      <c r="C365" s="1" t="n">
        <v>46084</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29024-2025</t>
        </is>
      </c>
      <c r="B366" s="1" t="n">
        <v>45821.43233796296</v>
      </c>
      <c r="C366" s="1" t="n">
        <v>46084</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29031-2025</t>
        </is>
      </c>
      <c r="B367" s="1" t="n">
        <v>45821.44159722222</v>
      </c>
      <c r="C367" s="1" t="n">
        <v>46084</v>
      </c>
      <c r="D367" t="inlineStr">
        <is>
          <t>UPPSALA LÄN</t>
        </is>
      </c>
      <c r="E367" t="inlineStr">
        <is>
          <t>ÖSTHAMMAR</t>
        </is>
      </c>
      <c r="F367" t="inlineStr">
        <is>
          <t>Bergvik skog öst AB</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21478-2023</t>
        </is>
      </c>
      <c r="B368" s="1" t="n">
        <v>45063.47773148148</v>
      </c>
      <c r="C368" s="1" t="n">
        <v>46084</v>
      </c>
      <c r="D368" t="inlineStr">
        <is>
          <t>UPPSALA LÄN</t>
        </is>
      </c>
      <c r="E368" t="inlineStr">
        <is>
          <t>ÖSTHAMMAR</t>
        </is>
      </c>
      <c r="G368" t="n">
        <v>0.4</v>
      </c>
      <c r="H368" t="n">
        <v>0</v>
      </c>
      <c r="I368" t="n">
        <v>0</v>
      </c>
      <c r="J368" t="n">
        <v>0</v>
      </c>
      <c r="K368" t="n">
        <v>0</v>
      </c>
      <c r="L368" t="n">
        <v>0</v>
      </c>
      <c r="M368" t="n">
        <v>0</v>
      </c>
      <c r="N368" t="n">
        <v>0</v>
      </c>
      <c r="O368" t="n">
        <v>0</v>
      </c>
      <c r="P368" t="n">
        <v>0</v>
      </c>
      <c r="Q368" t="n">
        <v>0</v>
      </c>
      <c r="R368" s="2" t="inlineStr"/>
    </row>
    <row r="369" ht="15" customHeight="1">
      <c r="A369" t="inlineStr">
        <is>
          <t>A 28739-2025</t>
        </is>
      </c>
      <c r="B369" s="1" t="n">
        <v>45820</v>
      </c>
      <c r="C369" s="1" t="n">
        <v>46084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38600-2023</t>
        </is>
      </c>
      <c r="B370" s="1" t="n">
        <v>45162</v>
      </c>
      <c r="C370" s="1" t="n">
        <v>46084</v>
      </c>
      <c r="D370" t="inlineStr">
        <is>
          <t>UPPSALA LÄN</t>
        </is>
      </c>
      <c r="E370" t="inlineStr">
        <is>
          <t>ÖSTHAMMAR</t>
        </is>
      </c>
      <c r="F370" t="inlineStr">
        <is>
          <t>Bergvik skog väst AB</t>
        </is>
      </c>
      <c r="G370" t="n">
        <v>0.1</v>
      </c>
      <c r="H370" t="n">
        <v>0</v>
      </c>
      <c r="I370" t="n">
        <v>0</v>
      </c>
      <c r="J370" t="n">
        <v>0</v>
      </c>
      <c r="K370" t="n">
        <v>0</v>
      </c>
      <c r="L370" t="n">
        <v>0</v>
      </c>
      <c r="M370" t="n">
        <v>0</v>
      </c>
      <c r="N370" t="n">
        <v>0</v>
      </c>
      <c r="O370" t="n">
        <v>0</v>
      </c>
      <c r="P370" t="n">
        <v>0</v>
      </c>
      <c r="Q370" t="n">
        <v>0</v>
      </c>
      <c r="R370" s="2" t="inlineStr"/>
    </row>
    <row r="371" ht="15" customHeight="1">
      <c r="A371" t="inlineStr">
        <is>
          <t>A 29028-2025</t>
        </is>
      </c>
      <c r="B371" s="1" t="n">
        <v>45821.4384375</v>
      </c>
      <c r="C371" s="1" t="n">
        <v>46084</v>
      </c>
      <c r="D371" t="inlineStr">
        <is>
          <t>UPPSALA LÄN</t>
        </is>
      </c>
      <c r="E371" t="inlineStr">
        <is>
          <t>ÖSTHAMMAR</t>
        </is>
      </c>
      <c r="F371" t="inlineStr">
        <is>
          <t>Bergvik skog öst AB</t>
        </is>
      </c>
      <c r="G371" t="n">
        <v>1.7</v>
      </c>
      <c r="H371" t="n">
        <v>0</v>
      </c>
      <c r="I371" t="n">
        <v>0</v>
      </c>
      <c r="J371" t="n">
        <v>0</v>
      </c>
      <c r="K371" t="n">
        <v>0</v>
      </c>
      <c r="L371" t="n">
        <v>0</v>
      </c>
      <c r="M371" t="n">
        <v>0</v>
      </c>
      <c r="N371" t="n">
        <v>0</v>
      </c>
      <c r="O371" t="n">
        <v>0</v>
      </c>
      <c r="P371" t="n">
        <v>0</v>
      </c>
      <c r="Q371" t="n">
        <v>0</v>
      </c>
      <c r="R371" s="2" t="inlineStr"/>
    </row>
    <row r="372" ht="15" customHeight="1">
      <c r="A372" t="inlineStr">
        <is>
          <t>A 29029-2025</t>
        </is>
      </c>
      <c r="B372" s="1" t="n">
        <v>45821.43973379629</v>
      </c>
      <c r="C372" s="1" t="n">
        <v>46084</v>
      </c>
      <c r="D372" t="inlineStr">
        <is>
          <t>UPPSALA LÄN</t>
        </is>
      </c>
      <c r="E372" t="inlineStr">
        <is>
          <t>ÖSTHAMMAR</t>
        </is>
      </c>
      <c r="F372" t="inlineStr">
        <is>
          <t>Bergvik skog öst AB</t>
        </is>
      </c>
      <c r="G372" t="n">
        <v>4.2</v>
      </c>
      <c r="H372" t="n">
        <v>0</v>
      </c>
      <c r="I372" t="n">
        <v>0</v>
      </c>
      <c r="J372" t="n">
        <v>0</v>
      </c>
      <c r="K372" t="n">
        <v>0</v>
      </c>
      <c r="L372" t="n">
        <v>0</v>
      </c>
      <c r="M372" t="n">
        <v>0</v>
      </c>
      <c r="N372" t="n">
        <v>0</v>
      </c>
      <c r="O372" t="n">
        <v>0</v>
      </c>
      <c r="P372" t="n">
        <v>0</v>
      </c>
      <c r="Q372" t="n">
        <v>0</v>
      </c>
      <c r="R372" s="2" t="inlineStr"/>
    </row>
    <row r="373" ht="15" customHeight="1">
      <c r="A373" t="inlineStr">
        <is>
          <t>A 19009-2023</t>
        </is>
      </c>
      <c r="B373" s="1" t="n">
        <v>45045</v>
      </c>
      <c r="C373" s="1" t="n">
        <v>46084</v>
      </c>
      <c r="D373" t="inlineStr">
        <is>
          <t>UPPSALA LÄN</t>
        </is>
      </c>
      <c r="E373" t="inlineStr">
        <is>
          <t>ÖSTHAMMAR</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46084</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27494-2025</t>
        </is>
      </c>
      <c r="B375" s="1" t="n">
        <v>45813.39756944445</v>
      </c>
      <c r="C375" s="1" t="n">
        <v>46084</v>
      </c>
      <c r="D375" t="inlineStr">
        <is>
          <t>UPPSALA LÄN</t>
        </is>
      </c>
      <c r="E375" t="inlineStr">
        <is>
          <t>ÖSTHAMMAR</t>
        </is>
      </c>
      <c r="F375" t="inlineStr">
        <is>
          <t>Bergvik skog öst AB</t>
        </is>
      </c>
      <c r="G375" t="n">
        <v>23.4</v>
      </c>
      <c r="H375" t="n">
        <v>0</v>
      </c>
      <c r="I375" t="n">
        <v>0</v>
      </c>
      <c r="J375" t="n">
        <v>0</v>
      </c>
      <c r="K375" t="n">
        <v>0</v>
      </c>
      <c r="L375" t="n">
        <v>0</v>
      </c>
      <c r="M375" t="n">
        <v>0</v>
      </c>
      <c r="N375" t="n">
        <v>0</v>
      </c>
      <c r="O375" t="n">
        <v>0</v>
      </c>
      <c r="P375" t="n">
        <v>0</v>
      </c>
      <c r="Q375" t="n">
        <v>0</v>
      </c>
      <c r="R375" s="2" t="inlineStr"/>
    </row>
    <row r="376" ht="15" customHeight="1">
      <c r="A376" t="inlineStr">
        <is>
          <t>A 56382-2022</t>
        </is>
      </c>
      <c r="B376" s="1" t="n">
        <v>44890.75795138889</v>
      </c>
      <c r="C376" s="1" t="n">
        <v>46084</v>
      </c>
      <c r="D376" t="inlineStr">
        <is>
          <t>UPPSALA LÄN</t>
        </is>
      </c>
      <c r="E376" t="inlineStr">
        <is>
          <t>ÖSTHAMMAR</t>
        </is>
      </c>
      <c r="F376" t="inlineStr">
        <is>
          <t>Allmännings- och besparingsskogar</t>
        </is>
      </c>
      <c r="G376" t="n">
        <v>1.1</v>
      </c>
      <c r="H376" t="n">
        <v>0</v>
      </c>
      <c r="I376" t="n">
        <v>0</v>
      </c>
      <c r="J376" t="n">
        <v>0</v>
      </c>
      <c r="K376" t="n">
        <v>0</v>
      </c>
      <c r="L376" t="n">
        <v>0</v>
      </c>
      <c r="M376" t="n">
        <v>0</v>
      </c>
      <c r="N376" t="n">
        <v>0</v>
      </c>
      <c r="O376" t="n">
        <v>0</v>
      </c>
      <c r="P376" t="n">
        <v>0</v>
      </c>
      <c r="Q376" t="n">
        <v>0</v>
      </c>
      <c r="R376" s="2" t="inlineStr"/>
    </row>
    <row r="377" ht="15" customHeight="1">
      <c r="A377" t="inlineStr">
        <is>
          <t>A 29384-2025</t>
        </is>
      </c>
      <c r="B377" s="1" t="n">
        <v>45824</v>
      </c>
      <c r="C377" s="1" t="n">
        <v>46084</v>
      </c>
      <c r="D377" t="inlineStr">
        <is>
          <t>UPPSALA LÄN</t>
        </is>
      </c>
      <c r="E377" t="inlineStr">
        <is>
          <t>ÖSTHAMMAR</t>
        </is>
      </c>
      <c r="G377" t="n">
        <v>3.1</v>
      </c>
      <c r="H377" t="n">
        <v>0</v>
      </c>
      <c r="I377" t="n">
        <v>0</v>
      </c>
      <c r="J377" t="n">
        <v>0</v>
      </c>
      <c r="K377" t="n">
        <v>0</v>
      </c>
      <c r="L377" t="n">
        <v>0</v>
      </c>
      <c r="M377" t="n">
        <v>0</v>
      </c>
      <c r="N377" t="n">
        <v>0</v>
      </c>
      <c r="O377" t="n">
        <v>0</v>
      </c>
      <c r="P377" t="n">
        <v>0</v>
      </c>
      <c r="Q377" t="n">
        <v>0</v>
      </c>
      <c r="R377" s="2" t="inlineStr"/>
    </row>
    <row r="378" ht="15" customHeight="1">
      <c r="A378" t="inlineStr">
        <is>
          <t>A 6143-2022</t>
        </is>
      </c>
      <c r="B378" s="1" t="n">
        <v>44599.72306712963</v>
      </c>
      <c r="C378" s="1" t="n">
        <v>46084</v>
      </c>
      <c r="D378" t="inlineStr">
        <is>
          <t>UPPSALA LÄN</t>
        </is>
      </c>
      <c r="E378" t="inlineStr">
        <is>
          <t>ÖSTHAMMAR</t>
        </is>
      </c>
      <c r="G378" t="n">
        <v>3.4</v>
      </c>
      <c r="H378" t="n">
        <v>0</v>
      </c>
      <c r="I378" t="n">
        <v>0</v>
      </c>
      <c r="J378" t="n">
        <v>0</v>
      </c>
      <c r="K378" t="n">
        <v>0</v>
      </c>
      <c r="L378" t="n">
        <v>0</v>
      </c>
      <c r="M378" t="n">
        <v>0</v>
      </c>
      <c r="N378" t="n">
        <v>0</v>
      </c>
      <c r="O378" t="n">
        <v>0</v>
      </c>
      <c r="P378" t="n">
        <v>0</v>
      </c>
      <c r="Q378" t="n">
        <v>0</v>
      </c>
      <c r="R378" s="2" t="inlineStr"/>
    </row>
    <row r="379" ht="15" customHeight="1">
      <c r="A379" t="inlineStr">
        <is>
          <t>A 27490-2025</t>
        </is>
      </c>
      <c r="B379" s="1" t="n">
        <v>45813.39273148148</v>
      </c>
      <c r="C379" s="1" t="n">
        <v>46084</v>
      </c>
      <c r="D379" t="inlineStr">
        <is>
          <t>UPPSALA LÄN</t>
        </is>
      </c>
      <c r="E379" t="inlineStr">
        <is>
          <t>ÖSTHAMMAR</t>
        </is>
      </c>
      <c r="F379" t="inlineStr">
        <is>
          <t>Bergvik skog öst AB</t>
        </is>
      </c>
      <c r="G379" t="n">
        <v>6.1</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46084</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29775-2025</t>
        </is>
      </c>
      <c r="B381" s="1" t="n">
        <v>45825.63803240741</v>
      </c>
      <c r="C381" s="1" t="n">
        <v>46084</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27486-2025</t>
        </is>
      </c>
      <c r="B382" s="1" t="n">
        <v>45813.38521990741</v>
      </c>
      <c r="C382" s="1" t="n">
        <v>46084</v>
      </c>
      <c r="D382" t="inlineStr">
        <is>
          <t>UPPSALA LÄN</t>
        </is>
      </c>
      <c r="E382" t="inlineStr">
        <is>
          <t>ÖSTHAMMAR</t>
        </is>
      </c>
      <c r="F382" t="inlineStr">
        <is>
          <t>Bergvik skog öst AB</t>
        </is>
      </c>
      <c r="G382" t="n">
        <v>1.7</v>
      </c>
      <c r="H382" t="n">
        <v>0</v>
      </c>
      <c r="I382" t="n">
        <v>0</v>
      </c>
      <c r="J382" t="n">
        <v>0</v>
      </c>
      <c r="K382" t="n">
        <v>0</v>
      </c>
      <c r="L382" t="n">
        <v>0</v>
      </c>
      <c r="M382" t="n">
        <v>0</v>
      </c>
      <c r="N382" t="n">
        <v>0</v>
      </c>
      <c r="O382" t="n">
        <v>0</v>
      </c>
      <c r="P382" t="n">
        <v>0</v>
      </c>
      <c r="Q382" t="n">
        <v>0</v>
      </c>
      <c r="R382" s="2" t="inlineStr"/>
    </row>
    <row r="383" ht="15" customHeight="1">
      <c r="A383" t="inlineStr">
        <is>
          <t>A 57043-2022</t>
        </is>
      </c>
      <c r="B383" s="1" t="n">
        <v>44895.36748842592</v>
      </c>
      <c r="C383" s="1" t="n">
        <v>46084</v>
      </c>
      <c r="D383" t="inlineStr">
        <is>
          <t>UPPSALA LÄN</t>
        </is>
      </c>
      <c r="E383" t="inlineStr">
        <is>
          <t>ÖSTHAMMAR</t>
        </is>
      </c>
      <c r="F383" t="inlineStr">
        <is>
          <t>Bergvik skog öst AB</t>
        </is>
      </c>
      <c r="G383" t="n">
        <v>5.7</v>
      </c>
      <c r="H383" t="n">
        <v>0</v>
      </c>
      <c r="I383" t="n">
        <v>0</v>
      </c>
      <c r="J383" t="n">
        <v>0</v>
      </c>
      <c r="K383" t="n">
        <v>0</v>
      </c>
      <c r="L383" t="n">
        <v>0</v>
      </c>
      <c r="M383" t="n">
        <v>0</v>
      </c>
      <c r="N383" t="n">
        <v>0</v>
      </c>
      <c r="O383" t="n">
        <v>0</v>
      </c>
      <c r="P383" t="n">
        <v>0</v>
      </c>
      <c r="Q383" t="n">
        <v>0</v>
      </c>
      <c r="R383" s="2" t="inlineStr"/>
    </row>
    <row r="384" ht="15" customHeight="1">
      <c r="A384" t="inlineStr">
        <is>
          <t>A 6153-2022</t>
        </is>
      </c>
      <c r="B384" s="1" t="n">
        <v>44599</v>
      </c>
      <c r="C384" s="1" t="n">
        <v>46084</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30244-2025</t>
        </is>
      </c>
      <c r="B385" s="1" t="n">
        <v>45827.40902777778</v>
      </c>
      <c r="C385" s="1" t="n">
        <v>46084</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45102-2025</t>
        </is>
      </c>
      <c r="B386" s="1" t="n">
        <v>45919.39731481481</v>
      </c>
      <c r="C386" s="1" t="n">
        <v>46084</v>
      </c>
      <c r="D386" t="inlineStr">
        <is>
          <t>UPPSALA LÄN</t>
        </is>
      </c>
      <c r="E386" t="inlineStr">
        <is>
          <t>ÖSTHAMMAR</t>
        </is>
      </c>
      <c r="G386" t="n">
        <v>1.7</v>
      </c>
      <c r="H386" t="n">
        <v>0</v>
      </c>
      <c r="I386" t="n">
        <v>0</v>
      </c>
      <c r="J386" t="n">
        <v>0</v>
      </c>
      <c r="K386" t="n">
        <v>0</v>
      </c>
      <c r="L386" t="n">
        <v>0</v>
      </c>
      <c r="M386" t="n">
        <v>0</v>
      </c>
      <c r="N386" t="n">
        <v>0</v>
      </c>
      <c r="O386" t="n">
        <v>0</v>
      </c>
      <c r="P386" t="n">
        <v>0</v>
      </c>
      <c r="Q386" t="n">
        <v>0</v>
      </c>
      <c r="R386" s="2" t="inlineStr"/>
    </row>
    <row r="387" ht="15" customHeight="1">
      <c r="A387" t="inlineStr">
        <is>
          <t>A 59880-2022</t>
        </is>
      </c>
      <c r="B387" s="1" t="n">
        <v>44908.69575231482</v>
      </c>
      <c r="C387" s="1" t="n">
        <v>46084</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44917-2025</t>
        </is>
      </c>
      <c r="B388" s="1" t="n">
        <v>45918.54903935185</v>
      </c>
      <c r="C388" s="1" t="n">
        <v>46084</v>
      </c>
      <c r="D388" t="inlineStr">
        <is>
          <t>UPPSALA LÄN</t>
        </is>
      </c>
      <c r="E388" t="inlineStr">
        <is>
          <t>ÖSTHAMMAR</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45105-2025</t>
        </is>
      </c>
      <c r="B389" s="1" t="n">
        <v>45919.40252314815</v>
      </c>
      <c r="C389" s="1" t="n">
        <v>46084</v>
      </c>
      <c r="D389" t="inlineStr">
        <is>
          <t>UPPSALA LÄN</t>
        </is>
      </c>
      <c r="E389" t="inlineStr">
        <is>
          <t>ÖSTHAMMAR</t>
        </is>
      </c>
      <c r="G389" t="n">
        <v>0.8</v>
      </c>
      <c r="H389" t="n">
        <v>0</v>
      </c>
      <c r="I389" t="n">
        <v>0</v>
      </c>
      <c r="J389" t="n">
        <v>0</v>
      </c>
      <c r="K389" t="n">
        <v>0</v>
      </c>
      <c r="L389" t="n">
        <v>0</v>
      </c>
      <c r="M389" t="n">
        <v>0</v>
      </c>
      <c r="N389" t="n">
        <v>0</v>
      </c>
      <c r="O389" t="n">
        <v>0</v>
      </c>
      <c r="P389" t="n">
        <v>0</v>
      </c>
      <c r="Q389" t="n">
        <v>0</v>
      </c>
      <c r="R389" s="2" t="inlineStr"/>
    </row>
    <row r="390" ht="15" customHeight="1">
      <c r="A390" t="inlineStr">
        <is>
          <t>A 7944-2023</t>
        </is>
      </c>
      <c r="B390" s="1" t="n">
        <v>44973.66458333333</v>
      </c>
      <c r="C390" s="1" t="n">
        <v>46084</v>
      </c>
      <c r="D390" t="inlineStr">
        <is>
          <t>UPPSALA LÄN</t>
        </is>
      </c>
      <c r="E390" t="inlineStr">
        <is>
          <t>ÖSTHAMMAR</t>
        </is>
      </c>
      <c r="G390" t="n">
        <v>4.6</v>
      </c>
      <c r="H390" t="n">
        <v>0</v>
      </c>
      <c r="I390" t="n">
        <v>0</v>
      </c>
      <c r="J390" t="n">
        <v>0</v>
      </c>
      <c r="K390" t="n">
        <v>0</v>
      </c>
      <c r="L390" t="n">
        <v>0</v>
      </c>
      <c r="M390" t="n">
        <v>0</v>
      </c>
      <c r="N390" t="n">
        <v>0</v>
      </c>
      <c r="O390" t="n">
        <v>0</v>
      </c>
      <c r="P390" t="n">
        <v>0</v>
      </c>
      <c r="Q390" t="n">
        <v>0</v>
      </c>
      <c r="R390" s="2" t="inlineStr"/>
    </row>
    <row r="391" ht="15" customHeight="1">
      <c r="A391" t="inlineStr">
        <is>
          <t>A 52659-2021</t>
        </is>
      </c>
      <c r="B391" s="1" t="n">
        <v>44466</v>
      </c>
      <c r="C391" s="1" t="n">
        <v>46084</v>
      </c>
      <c r="D391" t="inlineStr">
        <is>
          <t>UPPSALA LÄN</t>
        </is>
      </c>
      <c r="E391" t="inlineStr">
        <is>
          <t>ÖSTHAMMAR</t>
        </is>
      </c>
      <c r="G391" t="n">
        <v>13</v>
      </c>
      <c r="H391" t="n">
        <v>0</v>
      </c>
      <c r="I391" t="n">
        <v>0</v>
      </c>
      <c r="J391" t="n">
        <v>0</v>
      </c>
      <c r="K391" t="n">
        <v>0</v>
      </c>
      <c r="L391" t="n">
        <v>0</v>
      </c>
      <c r="M391" t="n">
        <v>0</v>
      </c>
      <c r="N391" t="n">
        <v>0</v>
      </c>
      <c r="O391" t="n">
        <v>0</v>
      </c>
      <c r="P391" t="n">
        <v>0</v>
      </c>
      <c r="Q391" t="n">
        <v>0</v>
      </c>
      <c r="R391" s="2" t="inlineStr"/>
    </row>
    <row r="392" ht="15" customHeight="1">
      <c r="A392" t="inlineStr">
        <is>
          <t>A 7216-2025</t>
        </is>
      </c>
      <c r="B392" s="1" t="n">
        <v>45702.47630787037</v>
      </c>
      <c r="C392" s="1" t="n">
        <v>46084</v>
      </c>
      <c r="D392" t="inlineStr">
        <is>
          <t>UPPSALA LÄN</t>
        </is>
      </c>
      <c r="E392" t="inlineStr">
        <is>
          <t>ÖSTHAMMAR</t>
        </is>
      </c>
      <c r="F392" t="inlineStr">
        <is>
          <t>Övriga Aktiebolag</t>
        </is>
      </c>
      <c r="G392" t="n">
        <v>12.5</v>
      </c>
      <c r="H392" t="n">
        <v>0</v>
      </c>
      <c r="I392" t="n">
        <v>0</v>
      </c>
      <c r="J392" t="n">
        <v>0</v>
      </c>
      <c r="K392" t="n">
        <v>0</v>
      </c>
      <c r="L392" t="n">
        <v>0</v>
      </c>
      <c r="M392" t="n">
        <v>0</v>
      </c>
      <c r="N392" t="n">
        <v>0</v>
      </c>
      <c r="O392" t="n">
        <v>0</v>
      </c>
      <c r="P392" t="n">
        <v>0</v>
      </c>
      <c r="Q392" t="n">
        <v>0</v>
      </c>
      <c r="R392" s="2" t="inlineStr"/>
    </row>
    <row r="393" ht="15" customHeight="1">
      <c r="A393" t="inlineStr">
        <is>
          <t>A 45720-2025</t>
        </is>
      </c>
      <c r="B393" s="1" t="n">
        <v>45923.44583333333</v>
      </c>
      <c r="C393" s="1" t="n">
        <v>46084</v>
      </c>
      <c r="D393" t="inlineStr">
        <is>
          <t>UPPSALA LÄN</t>
        </is>
      </c>
      <c r="E393" t="inlineStr">
        <is>
          <t>ÖSTHAMMAR</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45721-2025</t>
        </is>
      </c>
      <c r="B394" s="1" t="n">
        <v>45923.44844907407</v>
      </c>
      <c r="C394" s="1" t="n">
        <v>46084</v>
      </c>
      <c r="D394" t="inlineStr">
        <is>
          <t>UPPSALA LÄN</t>
        </is>
      </c>
      <c r="E394" t="inlineStr">
        <is>
          <t>ÖSTHAMMAR</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30610-2025</t>
        </is>
      </c>
      <c r="B395" s="1" t="n">
        <v>45831.45965277778</v>
      </c>
      <c r="C395" s="1" t="n">
        <v>46084</v>
      </c>
      <c r="D395" t="inlineStr">
        <is>
          <t>UPPSALA LÄN</t>
        </is>
      </c>
      <c r="E395" t="inlineStr">
        <is>
          <t>ÖSTHAMMAR</t>
        </is>
      </c>
      <c r="G395" t="n">
        <v>0.2</v>
      </c>
      <c r="H395" t="n">
        <v>0</v>
      </c>
      <c r="I395" t="n">
        <v>0</v>
      </c>
      <c r="J395" t="n">
        <v>0</v>
      </c>
      <c r="K395" t="n">
        <v>0</v>
      </c>
      <c r="L395" t="n">
        <v>0</v>
      </c>
      <c r="M395" t="n">
        <v>0</v>
      </c>
      <c r="N395" t="n">
        <v>0</v>
      </c>
      <c r="O395" t="n">
        <v>0</v>
      </c>
      <c r="P395" t="n">
        <v>0</v>
      </c>
      <c r="Q395" t="n">
        <v>0</v>
      </c>
      <c r="R395" s="2" t="inlineStr"/>
    </row>
    <row r="396" ht="15" customHeight="1">
      <c r="A396" t="inlineStr">
        <is>
          <t>A 30504-2025</t>
        </is>
      </c>
      <c r="B396" s="1" t="n">
        <v>45830.8558912037</v>
      </c>
      <c r="C396" s="1" t="n">
        <v>46084</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30503-2025</t>
        </is>
      </c>
      <c r="B397" s="1" t="n">
        <v>45830.8500462963</v>
      </c>
      <c r="C397" s="1" t="n">
        <v>46084</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73965-2021</t>
        </is>
      </c>
      <c r="B398" s="1" t="n">
        <v>44553.80824074074</v>
      </c>
      <c r="C398" s="1" t="n">
        <v>46084</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3418-2025</t>
        </is>
      </c>
      <c r="B399" s="1" t="n">
        <v>45680</v>
      </c>
      <c r="C399" s="1" t="n">
        <v>46084</v>
      </c>
      <c r="D399" t="inlineStr">
        <is>
          <t>UPPSALA LÄN</t>
        </is>
      </c>
      <c r="E399" t="inlineStr">
        <is>
          <t>ÖSTHAMMAR</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3420-2025</t>
        </is>
      </c>
      <c r="B400" s="1" t="n">
        <v>45680</v>
      </c>
      <c r="C400" s="1" t="n">
        <v>46084</v>
      </c>
      <c r="D400" t="inlineStr">
        <is>
          <t>UPPSALA LÄN</t>
        </is>
      </c>
      <c r="E400" t="inlineStr">
        <is>
          <t>ÖSTHAMMAR</t>
        </is>
      </c>
      <c r="F400" t="inlineStr">
        <is>
          <t>Bergvik skog väst AB</t>
        </is>
      </c>
      <c r="G400" t="n">
        <v>3.6</v>
      </c>
      <c r="H400" t="n">
        <v>0</v>
      </c>
      <c r="I400" t="n">
        <v>0</v>
      </c>
      <c r="J400" t="n">
        <v>0</v>
      </c>
      <c r="K400" t="n">
        <v>0</v>
      </c>
      <c r="L400" t="n">
        <v>0</v>
      </c>
      <c r="M400" t="n">
        <v>0</v>
      </c>
      <c r="N400" t="n">
        <v>0</v>
      </c>
      <c r="O400" t="n">
        <v>0</v>
      </c>
      <c r="P400" t="n">
        <v>0</v>
      </c>
      <c r="Q400" t="n">
        <v>0</v>
      </c>
      <c r="R400" s="2" t="inlineStr"/>
    </row>
    <row r="401" ht="15" customHeight="1">
      <c r="A401" t="inlineStr">
        <is>
          <t>A 45715-2025</t>
        </is>
      </c>
      <c r="B401" s="1" t="n">
        <v>45923.44094907407</v>
      </c>
      <c r="C401" s="1" t="n">
        <v>46084</v>
      </c>
      <c r="D401" t="inlineStr">
        <is>
          <t>UPPSALA LÄN</t>
        </is>
      </c>
      <c r="E401" t="inlineStr">
        <is>
          <t>ÖSTHAMMAR</t>
        </is>
      </c>
      <c r="F401" t="inlineStr">
        <is>
          <t>Övriga Aktiebolag</t>
        </is>
      </c>
      <c r="G401" t="n">
        <v>3.4</v>
      </c>
      <c r="H401" t="n">
        <v>0</v>
      </c>
      <c r="I401" t="n">
        <v>0</v>
      </c>
      <c r="J401" t="n">
        <v>0</v>
      </c>
      <c r="K401" t="n">
        <v>0</v>
      </c>
      <c r="L401" t="n">
        <v>0</v>
      </c>
      <c r="M401" t="n">
        <v>0</v>
      </c>
      <c r="N401" t="n">
        <v>0</v>
      </c>
      <c r="O401" t="n">
        <v>0</v>
      </c>
      <c r="P401" t="n">
        <v>0</v>
      </c>
      <c r="Q401" t="n">
        <v>0</v>
      </c>
      <c r="R401" s="2" t="inlineStr"/>
    </row>
    <row r="402" ht="15" customHeight="1">
      <c r="A402" t="inlineStr">
        <is>
          <t>A 5303-2025</t>
        </is>
      </c>
      <c r="B402" s="1" t="n">
        <v>45692</v>
      </c>
      <c r="C402" s="1" t="n">
        <v>46084</v>
      </c>
      <c r="D402" t="inlineStr">
        <is>
          <t>UPPSALA LÄN</t>
        </is>
      </c>
      <c r="E402" t="inlineStr">
        <is>
          <t>ÖSTHAMMAR</t>
        </is>
      </c>
      <c r="G402" t="n">
        <v>5</v>
      </c>
      <c r="H402" t="n">
        <v>0</v>
      </c>
      <c r="I402" t="n">
        <v>0</v>
      </c>
      <c r="J402" t="n">
        <v>0</v>
      </c>
      <c r="K402" t="n">
        <v>0</v>
      </c>
      <c r="L402" t="n">
        <v>0</v>
      </c>
      <c r="M402" t="n">
        <v>0</v>
      </c>
      <c r="N402" t="n">
        <v>0</v>
      </c>
      <c r="O402" t="n">
        <v>0</v>
      </c>
      <c r="P402" t="n">
        <v>0</v>
      </c>
      <c r="Q402" t="n">
        <v>0</v>
      </c>
      <c r="R402" s="2" t="inlineStr"/>
    </row>
    <row r="403" ht="15" customHeight="1">
      <c r="A403" t="inlineStr">
        <is>
          <t>A 52661-2022</t>
        </is>
      </c>
      <c r="B403" s="1" t="n">
        <v>44874</v>
      </c>
      <c r="C403" s="1" t="n">
        <v>46084</v>
      </c>
      <c r="D403" t="inlineStr">
        <is>
          <t>UPPSALA LÄN</t>
        </is>
      </c>
      <c r="E403" t="inlineStr">
        <is>
          <t>ÖSTHAMMAR</t>
        </is>
      </c>
      <c r="F403" t="inlineStr">
        <is>
          <t>Bergvik skog öst AB</t>
        </is>
      </c>
      <c r="G403" t="n">
        <v>0.2</v>
      </c>
      <c r="H403" t="n">
        <v>0</v>
      </c>
      <c r="I403" t="n">
        <v>0</v>
      </c>
      <c r="J403" t="n">
        <v>0</v>
      </c>
      <c r="K403" t="n">
        <v>0</v>
      </c>
      <c r="L403" t="n">
        <v>0</v>
      </c>
      <c r="M403" t="n">
        <v>0</v>
      </c>
      <c r="N403" t="n">
        <v>0</v>
      </c>
      <c r="O403" t="n">
        <v>0</v>
      </c>
      <c r="P403" t="n">
        <v>0</v>
      </c>
      <c r="Q403" t="n">
        <v>0</v>
      </c>
      <c r="R403" s="2" t="inlineStr"/>
    </row>
    <row r="404" ht="15" customHeight="1">
      <c r="A404" t="inlineStr">
        <is>
          <t>A 31249-2025</t>
        </is>
      </c>
      <c r="B404" s="1" t="n">
        <v>45832.89476851852</v>
      </c>
      <c r="C404" s="1" t="n">
        <v>46084</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31579-2025</t>
        </is>
      </c>
      <c r="B405" s="1" t="n">
        <v>45833.68211805556</v>
      </c>
      <c r="C405" s="1" t="n">
        <v>46084</v>
      </c>
      <c r="D405" t="inlineStr">
        <is>
          <t>UPPSALA LÄN</t>
        </is>
      </c>
      <c r="E405" t="inlineStr">
        <is>
          <t>ÖSTHAMMAR</t>
        </is>
      </c>
      <c r="G405" t="n">
        <v>1.5</v>
      </c>
      <c r="H405" t="n">
        <v>0</v>
      </c>
      <c r="I405" t="n">
        <v>0</v>
      </c>
      <c r="J405" t="n">
        <v>0</v>
      </c>
      <c r="K405" t="n">
        <v>0</v>
      </c>
      <c r="L405" t="n">
        <v>0</v>
      </c>
      <c r="M405" t="n">
        <v>0</v>
      </c>
      <c r="N405" t="n">
        <v>0</v>
      </c>
      <c r="O405" t="n">
        <v>0</v>
      </c>
      <c r="P405" t="n">
        <v>0</v>
      </c>
      <c r="Q405" t="n">
        <v>0</v>
      </c>
      <c r="R405" s="2" t="inlineStr"/>
    </row>
    <row r="406" ht="15" customHeight="1">
      <c r="A406" t="inlineStr">
        <is>
          <t>A 31360-2025</t>
        </is>
      </c>
      <c r="B406" s="1" t="n">
        <v>45833.43527777777</v>
      </c>
      <c r="C406" s="1" t="n">
        <v>46084</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45993-2025</t>
        </is>
      </c>
      <c r="B407" s="1" t="n">
        <v>45924.39706018518</v>
      </c>
      <c r="C407" s="1" t="n">
        <v>46084</v>
      </c>
      <c r="D407" t="inlineStr">
        <is>
          <t>UPPSALA LÄN</t>
        </is>
      </c>
      <c r="E407" t="inlineStr">
        <is>
          <t>ÖSTHAMMAR</t>
        </is>
      </c>
      <c r="G407" t="n">
        <v>0.5</v>
      </c>
      <c r="H407" t="n">
        <v>0</v>
      </c>
      <c r="I407" t="n">
        <v>0</v>
      </c>
      <c r="J407" t="n">
        <v>0</v>
      </c>
      <c r="K407" t="n">
        <v>0</v>
      </c>
      <c r="L407" t="n">
        <v>0</v>
      </c>
      <c r="M407" t="n">
        <v>0</v>
      </c>
      <c r="N407" t="n">
        <v>0</v>
      </c>
      <c r="O407" t="n">
        <v>0</v>
      </c>
      <c r="P407" t="n">
        <v>0</v>
      </c>
      <c r="Q407" t="n">
        <v>0</v>
      </c>
      <c r="R407" s="2" t="inlineStr"/>
    </row>
    <row r="408" ht="15" customHeight="1">
      <c r="A408" t="inlineStr">
        <is>
          <t>A 65028-2021</t>
        </is>
      </c>
      <c r="B408" s="1" t="n">
        <v>44515</v>
      </c>
      <c r="C408" s="1" t="n">
        <v>46084</v>
      </c>
      <c r="D408" t="inlineStr">
        <is>
          <t>UPPSALA LÄN</t>
        </is>
      </c>
      <c r="E408" t="inlineStr">
        <is>
          <t>ÖSTHAMMAR</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46089-2025</t>
        </is>
      </c>
      <c r="B409" s="1" t="n">
        <v>45924.52100694444</v>
      </c>
      <c r="C409" s="1" t="n">
        <v>46084</v>
      </c>
      <c r="D409" t="inlineStr">
        <is>
          <t>UPPSALA LÄN</t>
        </is>
      </c>
      <c r="E409" t="inlineStr">
        <is>
          <t>ÖSTHAMMAR</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46088-2025</t>
        </is>
      </c>
      <c r="B410" s="1" t="n">
        <v>45924.52010416667</v>
      </c>
      <c r="C410" s="1" t="n">
        <v>46084</v>
      </c>
      <c r="D410" t="inlineStr">
        <is>
          <t>UPPSALA LÄN</t>
        </is>
      </c>
      <c r="E410" t="inlineStr">
        <is>
          <t>ÖSTHAMMAR</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40547-2023</t>
        </is>
      </c>
      <c r="B411" s="1" t="n">
        <v>45170.45050925926</v>
      </c>
      <c r="C411" s="1" t="n">
        <v>46084</v>
      </c>
      <c r="D411" t="inlineStr">
        <is>
          <t>UPPSALA LÄN</t>
        </is>
      </c>
      <c r="E411" t="inlineStr">
        <is>
          <t>ÖSTHAMMAR</t>
        </is>
      </c>
      <c r="G411" t="n">
        <v>2.1</v>
      </c>
      <c r="H411" t="n">
        <v>0</v>
      </c>
      <c r="I411" t="n">
        <v>0</v>
      </c>
      <c r="J411" t="n">
        <v>0</v>
      </c>
      <c r="K411" t="n">
        <v>0</v>
      </c>
      <c r="L411" t="n">
        <v>0</v>
      </c>
      <c r="M411" t="n">
        <v>0</v>
      </c>
      <c r="N411" t="n">
        <v>0</v>
      </c>
      <c r="O411" t="n">
        <v>0</v>
      </c>
      <c r="P411" t="n">
        <v>0</v>
      </c>
      <c r="Q411" t="n">
        <v>0</v>
      </c>
      <c r="R411" s="2" t="inlineStr"/>
    </row>
    <row r="412" ht="15" customHeight="1">
      <c r="A412" t="inlineStr">
        <is>
          <t>A 8874-2025</t>
        </is>
      </c>
      <c r="B412" s="1" t="n">
        <v>45713</v>
      </c>
      <c r="C412" s="1" t="n">
        <v>46084</v>
      </c>
      <c r="D412" t="inlineStr">
        <is>
          <t>UPPSALA LÄN</t>
        </is>
      </c>
      <c r="E412" t="inlineStr">
        <is>
          <t>ÖSTHAMMAR</t>
        </is>
      </c>
      <c r="G412" t="n">
        <v>6.3</v>
      </c>
      <c r="H412" t="n">
        <v>0</v>
      </c>
      <c r="I412" t="n">
        <v>0</v>
      </c>
      <c r="J412" t="n">
        <v>0</v>
      </c>
      <c r="K412" t="n">
        <v>0</v>
      </c>
      <c r="L412" t="n">
        <v>0</v>
      </c>
      <c r="M412" t="n">
        <v>0</v>
      </c>
      <c r="N412" t="n">
        <v>0</v>
      </c>
      <c r="O412" t="n">
        <v>0</v>
      </c>
      <c r="P412" t="n">
        <v>0</v>
      </c>
      <c r="Q412" t="n">
        <v>0</v>
      </c>
      <c r="R412" s="2" t="inlineStr"/>
    </row>
    <row r="413" ht="15" customHeight="1">
      <c r="A413" t="inlineStr">
        <is>
          <t>A 46826-2025</t>
        </is>
      </c>
      <c r="B413" s="1" t="n">
        <v>45927.00606481481</v>
      </c>
      <c r="C413" s="1" t="n">
        <v>46084</v>
      </c>
      <c r="D413" t="inlineStr">
        <is>
          <t>UPPSALA LÄN</t>
        </is>
      </c>
      <c r="E413" t="inlineStr">
        <is>
          <t>ÖSTHAMMAR</t>
        </is>
      </c>
      <c r="G413" t="n">
        <v>9</v>
      </c>
      <c r="H413" t="n">
        <v>0</v>
      </c>
      <c r="I413" t="n">
        <v>0</v>
      </c>
      <c r="J413" t="n">
        <v>0</v>
      </c>
      <c r="K413" t="n">
        <v>0</v>
      </c>
      <c r="L413" t="n">
        <v>0</v>
      </c>
      <c r="M413" t="n">
        <v>0</v>
      </c>
      <c r="N413" t="n">
        <v>0</v>
      </c>
      <c r="O413" t="n">
        <v>0</v>
      </c>
      <c r="P413" t="n">
        <v>0</v>
      </c>
      <c r="Q413" t="n">
        <v>0</v>
      </c>
      <c r="R413" s="2" t="inlineStr"/>
    </row>
    <row r="414" ht="15" customHeight="1">
      <c r="A414" t="inlineStr">
        <is>
          <t>A 14505-2023</t>
        </is>
      </c>
      <c r="B414" s="1" t="n">
        <v>45012.7975</v>
      </c>
      <c r="C414" s="1" t="n">
        <v>46084</v>
      </c>
      <c r="D414" t="inlineStr">
        <is>
          <t>UPPSALA LÄN</t>
        </is>
      </c>
      <c r="E414" t="inlineStr">
        <is>
          <t>ÖSTHAMMAR</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31956-2025</t>
        </is>
      </c>
      <c r="B415" s="1" t="n">
        <v>45835.34184027778</v>
      </c>
      <c r="C415" s="1" t="n">
        <v>46084</v>
      </c>
      <c r="D415" t="inlineStr">
        <is>
          <t>UPPSALA LÄN</t>
        </is>
      </c>
      <c r="E415" t="inlineStr">
        <is>
          <t>ÖSTHAMMAR</t>
        </is>
      </c>
      <c r="F415" t="inlineStr">
        <is>
          <t>Övriga Aktiebolag</t>
        </is>
      </c>
      <c r="G415" t="n">
        <v>4.2</v>
      </c>
      <c r="H415" t="n">
        <v>0</v>
      </c>
      <c r="I415" t="n">
        <v>0</v>
      </c>
      <c r="J415" t="n">
        <v>0</v>
      </c>
      <c r="K415" t="n">
        <v>0</v>
      </c>
      <c r="L415" t="n">
        <v>0</v>
      </c>
      <c r="M415" t="n">
        <v>0</v>
      </c>
      <c r="N415" t="n">
        <v>0</v>
      </c>
      <c r="O415" t="n">
        <v>0</v>
      </c>
      <c r="P415" t="n">
        <v>0</v>
      </c>
      <c r="Q415" t="n">
        <v>0</v>
      </c>
      <c r="R415" s="2" t="inlineStr"/>
    </row>
    <row r="416" ht="15" customHeight="1">
      <c r="A416" t="inlineStr">
        <is>
          <t>A 31977-2025</t>
        </is>
      </c>
      <c r="B416" s="1" t="n">
        <v>45835.3554050926</v>
      </c>
      <c r="C416" s="1" t="n">
        <v>46084</v>
      </c>
      <c r="D416" t="inlineStr">
        <is>
          <t>UPPSALA LÄN</t>
        </is>
      </c>
      <c r="E416" t="inlineStr">
        <is>
          <t>ÖSTHAMMAR</t>
        </is>
      </c>
      <c r="F416" t="inlineStr">
        <is>
          <t>Övriga Aktiebolag</t>
        </is>
      </c>
      <c r="G416" t="n">
        <v>35.3</v>
      </c>
      <c r="H416" t="n">
        <v>0</v>
      </c>
      <c r="I416" t="n">
        <v>0</v>
      </c>
      <c r="J416" t="n">
        <v>0</v>
      </c>
      <c r="K416" t="n">
        <v>0</v>
      </c>
      <c r="L416" t="n">
        <v>0</v>
      </c>
      <c r="M416" t="n">
        <v>0</v>
      </c>
      <c r="N416" t="n">
        <v>0</v>
      </c>
      <c r="O416" t="n">
        <v>0</v>
      </c>
      <c r="P416" t="n">
        <v>0</v>
      </c>
      <c r="Q416" t="n">
        <v>0</v>
      </c>
      <c r="R416" s="2" t="inlineStr"/>
    </row>
    <row r="417" ht="15" customHeight="1">
      <c r="A417" t="inlineStr">
        <is>
          <t>A 27476-2025</t>
        </is>
      </c>
      <c r="B417" s="1" t="n">
        <v>45813.37517361111</v>
      </c>
      <c r="C417" s="1" t="n">
        <v>46084</v>
      </c>
      <c r="D417" t="inlineStr">
        <is>
          <t>UPPSALA LÄN</t>
        </is>
      </c>
      <c r="E417" t="inlineStr">
        <is>
          <t>ÖSTHAMMAR</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47338-2025</t>
        </is>
      </c>
      <c r="B418" s="1" t="n">
        <v>45930.56626157407</v>
      </c>
      <c r="C418" s="1" t="n">
        <v>46084</v>
      </c>
      <c r="D418" t="inlineStr">
        <is>
          <t>UPPSALA LÄN</t>
        </is>
      </c>
      <c r="E418" t="inlineStr">
        <is>
          <t>ÖSTHAMMAR</t>
        </is>
      </c>
      <c r="G418" t="n">
        <v>2.4</v>
      </c>
      <c r="H418" t="n">
        <v>0</v>
      </c>
      <c r="I418" t="n">
        <v>0</v>
      </c>
      <c r="J418" t="n">
        <v>0</v>
      </c>
      <c r="K418" t="n">
        <v>0</v>
      </c>
      <c r="L418" t="n">
        <v>0</v>
      </c>
      <c r="M418" t="n">
        <v>0</v>
      </c>
      <c r="N418" t="n">
        <v>0</v>
      </c>
      <c r="O418" t="n">
        <v>0</v>
      </c>
      <c r="P418" t="n">
        <v>0</v>
      </c>
      <c r="Q418" t="n">
        <v>0</v>
      </c>
      <c r="R418" s="2" t="inlineStr"/>
    </row>
    <row r="419" ht="15" customHeight="1">
      <c r="A419" t="inlineStr">
        <is>
          <t>A 47341-2023</t>
        </is>
      </c>
      <c r="B419" s="1" t="n">
        <v>45202.55721064815</v>
      </c>
      <c r="C419" s="1" t="n">
        <v>46084</v>
      </c>
      <c r="D419" t="inlineStr">
        <is>
          <t>UPPSALA LÄN</t>
        </is>
      </c>
      <c r="E419" t="inlineStr">
        <is>
          <t>ÖSTHAMMAR</t>
        </is>
      </c>
      <c r="G419" t="n">
        <v>4.9</v>
      </c>
      <c r="H419" t="n">
        <v>0</v>
      </c>
      <c r="I419" t="n">
        <v>0</v>
      </c>
      <c r="J419" t="n">
        <v>0</v>
      </c>
      <c r="K419" t="n">
        <v>0</v>
      </c>
      <c r="L419" t="n">
        <v>0</v>
      </c>
      <c r="M419" t="n">
        <v>0</v>
      </c>
      <c r="N419" t="n">
        <v>0</v>
      </c>
      <c r="O419" t="n">
        <v>0</v>
      </c>
      <c r="P419" t="n">
        <v>0</v>
      </c>
      <c r="Q419" t="n">
        <v>0</v>
      </c>
      <c r="R419" s="2" t="inlineStr"/>
    </row>
    <row r="420" ht="15" customHeight="1">
      <c r="A420" t="inlineStr">
        <is>
          <t>A 47336-2025</t>
        </is>
      </c>
      <c r="B420" s="1" t="n">
        <v>45930.56592592593</v>
      </c>
      <c r="C420" s="1" t="n">
        <v>46084</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47337-2025</t>
        </is>
      </c>
      <c r="B421" s="1" t="n">
        <v>45930.56607638889</v>
      </c>
      <c r="C421" s="1" t="n">
        <v>46084</v>
      </c>
      <c r="D421" t="inlineStr">
        <is>
          <t>UPPSALA LÄN</t>
        </is>
      </c>
      <c r="E421" t="inlineStr">
        <is>
          <t>ÖSTHAMMAR</t>
        </is>
      </c>
      <c r="G421" t="n">
        <v>1.3</v>
      </c>
      <c r="H421" t="n">
        <v>0</v>
      </c>
      <c r="I421" t="n">
        <v>0</v>
      </c>
      <c r="J421" t="n">
        <v>0</v>
      </c>
      <c r="K421" t="n">
        <v>0</v>
      </c>
      <c r="L421" t="n">
        <v>0</v>
      </c>
      <c r="M421" t="n">
        <v>0</v>
      </c>
      <c r="N421" t="n">
        <v>0</v>
      </c>
      <c r="O421" t="n">
        <v>0</v>
      </c>
      <c r="P421" t="n">
        <v>0</v>
      </c>
      <c r="Q421" t="n">
        <v>0</v>
      </c>
      <c r="R421" s="2" t="inlineStr"/>
    </row>
    <row r="422" ht="15" customHeight="1">
      <c r="A422" t="inlineStr">
        <is>
          <t>A 3732-2022</t>
        </is>
      </c>
      <c r="B422" s="1" t="n">
        <v>44586.64851851852</v>
      </c>
      <c r="C422" s="1" t="n">
        <v>46084</v>
      </c>
      <c r="D422" t="inlineStr">
        <is>
          <t>UPPSALA LÄN</t>
        </is>
      </c>
      <c r="E422" t="inlineStr">
        <is>
          <t>ÖSTHAMMAR</t>
        </is>
      </c>
      <c r="F422" t="inlineStr">
        <is>
          <t>Bergvik skog öst AB</t>
        </is>
      </c>
      <c r="G422" t="n">
        <v>3.6</v>
      </c>
      <c r="H422" t="n">
        <v>0</v>
      </c>
      <c r="I422" t="n">
        <v>0</v>
      </c>
      <c r="J422" t="n">
        <v>0</v>
      </c>
      <c r="K422" t="n">
        <v>0</v>
      </c>
      <c r="L422" t="n">
        <v>0</v>
      </c>
      <c r="M422" t="n">
        <v>0</v>
      </c>
      <c r="N422" t="n">
        <v>0</v>
      </c>
      <c r="O422" t="n">
        <v>0</v>
      </c>
      <c r="P422" t="n">
        <v>0</v>
      </c>
      <c r="Q422" t="n">
        <v>0</v>
      </c>
      <c r="R422" s="2" t="inlineStr"/>
    </row>
    <row r="423" ht="15" customHeight="1">
      <c r="A423" t="inlineStr">
        <is>
          <t>A 32718-2025</t>
        </is>
      </c>
      <c r="B423" s="1" t="n">
        <v>45839.37740740741</v>
      </c>
      <c r="C423" s="1" t="n">
        <v>46084</v>
      </c>
      <c r="D423" t="inlineStr">
        <is>
          <t>UPPSALA LÄN</t>
        </is>
      </c>
      <c r="E423" t="inlineStr">
        <is>
          <t>ÖSTHAMMAR</t>
        </is>
      </c>
      <c r="G423" t="n">
        <v>10.4</v>
      </c>
      <c r="H423" t="n">
        <v>0</v>
      </c>
      <c r="I423" t="n">
        <v>0</v>
      </c>
      <c r="J423" t="n">
        <v>0</v>
      </c>
      <c r="K423" t="n">
        <v>0</v>
      </c>
      <c r="L423" t="n">
        <v>0</v>
      </c>
      <c r="M423" t="n">
        <v>0</v>
      </c>
      <c r="N423" t="n">
        <v>0</v>
      </c>
      <c r="O423" t="n">
        <v>0</v>
      </c>
      <c r="P423" t="n">
        <v>0</v>
      </c>
      <c r="Q423" t="n">
        <v>0</v>
      </c>
      <c r="R423" s="2" t="inlineStr"/>
    </row>
    <row r="424" ht="15" customHeight="1">
      <c r="A424" t="inlineStr">
        <is>
          <t>A 33056-2021</t>
        </is>
      </c>
      <c r="B424" s="1" t="n">
        <v>44376.52438657408</v>
      </c>
      <c r="C424" s="1" t="n">
        <v>46084</v>
      </c>
      <c r="D424" t="inlineStr">
        <is>
          <t>UPPSALA LÄN</t>
        </is>
      </c>
      <c r="E424" t="inlineStr">
        <is>
          <t>ÖSTHAMMAR</t>
        </is>
      </c>
      <c r="G424" t="n">
        <v>0.6</v>
      </c>
      <c r="H424" t="n">
        <v>0</v>
      </c>
      <c r="I424" t="n">
        <v>0</v>
      </c>
      <c r="J424" t="n">
        <v>0</v>
      </c>
      <c r="K424" t="n">
        <v>0</v>
      </c>
      <c r="L424" t="n">
        <v>0</v>
      </c>
      <c r="M424" t="n">
        <v>0</v>
      </c>
      <c r="N424" t="n">
        <v>0</v>
      </c>
      <c r="O424" t="n">
        <v>0</v>
      </c>
      <c r="P424" t="n">
        <v>0</v>
      </c>
      <c r="Q424" t="n">
        <v>0</v>
      </c>
      <c r="R424" s="2" t="inlineStr"/>
    </row>
    <row r="425" ht="15" customHeight="1">
      <c r="A425" t="inlineStr">
        <is>
          <t>A 47614-2025</t>
        </is>
      </c>
      <c r="B425" s="1" t="n">
        <v>45931.47211805556</v>
      </c>
      <c r="C425" s="1" t="n">
        <v>46084</v>
      </c>
      <c r="D425" t="inlineStr">
        <is>
          <t>UPPSALA LÄN</t>
        </is>
      </c>
      <c r="E425" t="inlineStr">
        <is>
          <t>ÖSTHAMMAR</t>
        </is>
      </c>
      <c r="G425" t="n">
        <v>22.8</v>
      </c>
      <c r="H425" t="n">
        <v>0</v>
      </c>
      <c r="I425" t="n">
        <v>0</v>
      </c>
      <c r="J425" t="n">
        <v>0</v>
      </c>
      <c r="K425" t="n">
        <v>0</v>
      </c>
      <c r="L425" t="n">
        <v>0</v>
      </c>
      <c r="M425" t="n">
        <v>0</v>
      </c>
      <c r="N425" t="n">
        <v>0</v>
      </c>
      <c r="O425" t="n">
        <v>0</v>
      </c>
      <c r="P425" t="n">
        <v>0</v>
      </c>
      <c r="Q425" t="n">
        <v>0</v>
      </c>
      <c r="R425" s="2" t="inlineStr"/>
    </row>
    <row r="426" ht="15" customHeight="1">
      <c r="A426" t="inlineStr">
        <is>
          <t>A 47615-2025</t>
        </is>
      </c>
      <c r="B426" s="1" t="n">
        <v>45931.47542824074</v>
      </c>
      <c r="C426" s="1" t="n">
        <v>46084</v>
      </c>
      <c r="D426" t="inlineStr">
        <is>
          <t>UPPSALA LÄN</t>
        </is>
      </c>
      <c r="E426" t="inlineStr">
        <is>
          <t>ÖSTHAMMAR</t>
        </is>
      </c>
      <c r="G426" t="n">
        <v>7</v>
      </c>
      <c r="H426" t="n">
        <v>0</v>
      </c>
      <c r="I426" t="n">
        <v>0</v>
      </c>
      <c r="J426" t="n">
        <v>0</v>
      </c>
      <c r="K426" t="n">
        <v>0</v>
      </c>
      <c r="L426" t="n">
        <v>0</v>
      </c>
      <c r="M426" t="n">
        <v>0</v>
      </c>
      <c r="N426" t="n">
        <v>0</v>
      </c>
      <c r="O426" t="n">
        <v>0</v>
      </c>
      <c r="P426" t="n">
        <v>0</v>
      </c>
      <c r="Q426" t="n">
        <v>0</v>
      </c>
      <c r="R426" s="2" t="inlineStr"/>
    </row>
    <row r="427" ht="15" customHeight="1">
      <c r="A427" t="inlineStr">
        <is>
          <t>A 33529-2025</t>
        </is>
      </c>
      <c r="B427" s="1" t="n">
        <v>45841.55199074074</v>
      </c>
      <c r="C427" s="1" t="n">
        <v>46084</v>
      </c>
      <c r="D427" t="inlineStr">
        <is>
          <t>UPPSALA LÄN</t>
        </is>
      </c>
      <c r="E427" t="inlineStr">
        <is>
          <t>ÖSTHAMMAR</t>
        </is>
      </c>
      <c r="F427" t="inlineStr">
        <is>
          <t>Bergvik skog öst AB</t>
        </is>
      </c>
      <c r="G427" t="n">
        <v>11.8</v>
      </c>
      <c r="H427" t="n">
        <v>0</v>
      </c>
      <c r="I427" t="n">
        <v>0</v>
      </c>
      <c r="J427" t="n">
        <v>0</v>
      </c>
      <c r="K427" t="n">
        <v>0</v>
      </c>
      <c r="L427" t="n">
        <v>0</v>
      </c>
      <c r="M427" t="n">
        <v>0</v>
      </c>
      <c r="N427" t="n">
        <v>0</v>
      </c>
      <c r="O427" t="n">
        <v>0</v>
      </c>
      <c r="P427" t="n">
        <v>0</v>
      </c>
      <c r="Q427" t="n">
        <v>0</v>
      </c>
      <c r="R427" s="2" t="inlineStr"/>
    </row>
    <row r="428" ht="15" customHeight="1">
      <c r="A428" t="inlineStr">
        <is>
          <t>A 33048-2025</t>
        </is>
      </c>
      <c r="B428" s="1" t="n">
        <v>45840.41451388889</v>
      </c>
      <c r="C428" s="1" t="n">
        <v>46084</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33271-2025</t>
        </is>
      </c>
      <c r="B429" s="1" t="n">
        <v>45840.68381944444</v>
      </c>
      <c r="C429" s="1" t="n">
        <v>46084</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25269-2024</t>
        </is>
      </c>
      <c r="B430" s="1" t="n">
        <v>45462</v>
      </c>
      <c r="C430" s="1" t="n">
        <v>46084</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13352-2023</t>
        </is>
      </c>
      <c r="B431" s="1" t="n">
        <v>45005</v>
      </c>
      <c r="C431" s="1" t="n">
        <v>46084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22804-2022</t>
        </is>
      </c>
      <c r="B432" s="1" t="n">
        <v>44715</v>
      </c>
      <c r="C432" s="1" t="n">
        <v>46084</v>
      </c>
      <c r="D432" t="inlineStr">
        <is>
          <t>UPPSALA LÄN</t>
        </is>
      </c>
      <c r="E432" t="inlineStr">
        <is>
          <t>ÖSTHAMMAR</t>
        </is>
      </c>
      <c r="G432" t="n">
        <v>2.7</v>
      </c>
      <c r="H432" t="n">
        <v>0</v>
      </c>
      <c r="I432" t="n">
        <v>0</v>
      </c>
      <c r="J432" t="n">
        <v>0</v>
      </c>
      <c r="K432" t="n">
        <v>0</v>
      </c>
      <c r="L432" t="n">
        <v>0</v>
      </c>
      <c r="M432" t="n">
        <v>0</v>
      </c>
      <c r="N432" t="n">
        <v>0</v>
      </c>
      <c r="O432" t="n">
        <v>0</v>
      </c>
      <c r="P432" t="n">
        <v>0</v>
      </c>
      <c r="Q432" t="n">
        <v>0</v>
      </c>
      <c r="R432" s="2" t="inlineStr"/>
    </row>
    <row r="433" ht="15" customHeight="1">
      <c r="A433" t="inlineStr">
        <is>
          <t>A 21522-2022</t>
        </is>
      </c>
      <c r="B433" s="1" t="n">
        <v>44706</v>
      </c>
      <c r="C433" s="1" t="n">
        <v>46084</v>
      </c>
      <c r="D433" t="inlineStr">
        <is>
          <t>UPPSALA LÄN</t>
        </is>
      </c>
      <c r="E433" t="inlineStr">
        <is>
          <t>ÖSTHAMMAR</t>
        </is>
      </c>
      <c r="G433" t="n">
        <v>1.8</v>
      </c>
      <c r="H433" t="n">
        <v>0</v>
      </c>
      <c r="I433" t="n">
        <v>0</v>
      </c>
      <c r="J433" t="n">
        <v>0</v>
      </c>
      <c r="K433" t="n">
        <v>0</v>
      </c>
      <c r="L433" t="n">
        <v>0</v>
      </c>
      <c r="M433" t="n">
        <v>0</v>
      </c>
      <c r="N433" t="n">
        <v>0</v>
      </c>
      <c r="O433" t="n">
        <v>0</v>
      </c>
      <c r="P433" t="n">
        <v>0</v>
      </c>
      <c r="Q433" t="n">
        <v>0</v>
      </c>
      <c r="R433" s="2" t="inlineStr"/>
    </row>
    <row r="434" ht="15" customHeight="1">
      <c r="A434" t="inlineStr">
        <is>
          <t>A 45795-2023</t>
        </is>
      </c>
      <c r="B434" s="1" t="n">
        <v>45195</v>
      </c>
      <c r="C434" s="1" t="n">
        <v>46084</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48654-2025</t>
        </is>
      </c>
      <c r="B435" s="1" t="n">
        <v>45936.55887731481</v>
      </c>
      <c r="C435" s="1" t="n">
        <v>46084</v>
      </c>
      <c r="D435" t="inlineStr">
        <is>
          <t>UPPSALA LÄN</t>
        </is>
      </c>
      <c r="E435" t="inlineStr">
        <is>
          <t>ÖSTHAMMAR</t>
        </is>
      </c>
      <c r="F435" t="inlineStr">
        <is>
          <t>Övriga Aktiebolag</t>
        </is>
      </c>
      <c r="G435" t="n">
        <v>0.7</v>
      </c>
      <c r="H435" t="n">
        <v>0</v>
      </c>
      <c r="I435" t="n">
        <v>0</v>
      </c>
      <c r="J435" t="n">
        <v>0</v>
      </c>
      <c r="K435" t="n">
        <v>0</v>
      </c>
      <c r="L435" t="n">
        <v>0</v>
      </c>
      <c r="M435" t="n">
        <v>0</v>
      </c>
      <c r="N435" t="n">
        <v>0</v>
      </c>
      <c r="O435" t="n">
        <v>0</v>
      </c>
      <c r="P435" t="n">
        <v>0</v>
      </c>
      <c r="Q435" t="n">
        <v>0</v>
      </c>
      <c r="R435" s="2" t="inlineStr"/>
    </row>
    <row r="436" ht="15" customHeight="1">
      <c r="A436" t="inlineStr">
        <is>
          <t>A 26395-2025</t>
        </is>
      </c>
      <c r="B436" s="1" t="n">
        <v>45807</v>
      </c>
      <c r="C436" s="1" t="n">
        <v>46084</v>
      </c>
      <c r="D436" t="inlineStr">
        <is>
          <t>UPPSALA LÄN</t>
        </is>
      </c>
      <c r="E436" t="inlineStr">
        <is>
          <t>ÖSTHAMMAR</t>
        </is>
      </c>
      <c r="G436" t="n">
        <v>7</v>
      </c>
      <c r="H436" t="n">
        <v>0</v>
      </c>
      <c r="I436" t="n">
        <v>0</v>
      </c>
      <c r="J436" t="n">
        <v>0</v>
      </c>
      <c r="K436" t="n">
        <v>0</v>
      </c>
      <c r="L436" t="n">
        <v>0</v>
      </c>
      <c r="M436" t="n">
        <v>0</v>
      </c>
      <c r="N436" t="n">
        <v>0</v>
      </c>
      <c r="O436" t="n">
        <v>0</v>
      </c>
      <c r="P436" t="n">
        <v>0</v>
      </c>
      <c r="Q436" t="n">
        <v>0</v>
      </c>
      <c r="R436" s="2" t="inlineStr"/>
    </row>
    <row r="437" ht="15" customHeight="1">
      <c r="A437" t="inlineStr">
        <is>
          <t>A 48977-2025</t>
        </is>
      </c>
      <c r="B437" s="1" t="n">
        <v>45936</v>
      </c>
      <c r="C437" s="1" t="n">
        <v>46084</v>
      </c>
      <c r="D437" t="inlineStr">
        <is>
          <t>UPPSALA LÄN</t>
        </is>
      </c>
      <c r="E437" t="inlineStr">
        <is>
          <t>ÖSTHAMMAR</t>
        </is>
      </c>
      <c r="G437" t="n">
        <v>21.1</v>
      </c>
      <c r="H437" t="n">
        <v>0</v>
      </c>
      <c r="I437" t="n">
        <v>0</v>
      </c>
      <c r="J437" t="n">
        <v>0</v>
      </c>
      <c r="K437" t="n">
        <v>0</v>
      </c>
      <c r="L437" t="n">
        <v>0</v>
      </c>
      <c r="M437" t="n">
        <v>0</v>
      </c>
      <c r="N437" t="n">
        <v>0</v>
      </c>
      <c r="O437" t="n">
        <v>0</v>
      </c>
      <c r="P437" t="n">
        <v>0</v>
      </c>
      <c r="Q437" t="n">
        <v>0</v>
      </c>
      <c r="R437" s="2" t="inlineStr"/>
    </row>
    <row r="438" ht="15" customHeight="1">
      <c r="A438" t="inlineStr">
        <is>
          <t>A 1567-2025</t>
        </is>
      </c>
      <c r="B438" s="1" t="n">
        <v>45670</v>
      </c>
      <c r="C438" s="1" t="n">
        <v>46084</v>
      </c>
      <c r="D438" t="inlineStr">
        <is>
          <t>UPPSALA LÄN</t>
        </is>
      </c>
      <c r="E438" t="inlineStr">
        <is>
          <t>ÖSTHAMMAR</t>
        </is>
      </c>
      <c r="G438" t="n">
        <v>2.8</v>
      </c>
      <c r="H438" t="n">
        <v>0</v>
      </c>
      <c r="I438" t="n">
        <v>0</v>
      </c>
      <c r="J438" t="n">
        <v>0</v>
      </c>
      <c r="K438" t="n">
        <v>0</v>
      </c>
      <c r="L438" t="n">
        <v>0</v>
      </c>
      <c r="M438" t="n">
        <v>0</v>
      </c>
      <c r="N438" t="n">
        <v>0</v>
      </c>
      <c r="O438" t="n">
        <v>0</v>
      </c>
      <c r="P438" t="n">
        <v>0</v>
      </c>
      <c r="Q438" t="n">
        <v>0</v>
      </c>
      <c r="R438" s="2" t="inlineStr"/>
    </row>
    <row r="439" ht="15" customHeight="1">
      <c r="A439" t="inlineStr">
        <is>
          <t>A 33972-2025</t>
        </is>
      </c>
      <c r="B439" s="1" t="n">
        <v>45842.97236111111</v>
      </c>
      <c r="C439" s="1" t="n">
        <v>46084</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46084</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48857-2025</t>
        </is>
      </c>
      <c r="B441" s="1" t="n">
        <v>45937.43621527778</v>
      </c>
      <c r="C441" s="1" t="n">
        <v>46084</v>
      </c>
      <c r="D441" t="inlineStr">
        <is>
          <t>UPPSALA LÄN</t>
        </is>
      </c>
      <c r="E441" t="inlineStr">
        <is>
          <t>ÖSTHAMMAR</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33973-2025</t>
        </is>
      </c>
      <c r="B442" s="1" t="n">
        <v>45842.98429398148</v>
      </c>
      <c r="C442" s="1" t="n">
        <v>46084</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67199-2021</t>
        </is>
      </c>
      <c r="B443" s="1" t="n">
        <v>44523.46197916667</v>
      </c>
      <c r="C443" s="1" t="n">
        <v>46084</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48854-2025</t>
        </is>
      </c>
      <c r="B444" s="1" t="n">
        <v>45937.43274305556</v>
      </c>
      <c r="C444" s="1" t="n">
        <v>46084</v>
      </c>
      <c r="D444" t="inlineStr">
        <is>
          <t>UPPSALA LÄN</t>
        </is>
      </c>
      <c r="E444" t="inlineStr">
        <is>
          <t>ÖSTHAMMAR</t>
        </is>
      </c>
      <c r="F444" t="inlineStr">
        <is>
          <t>Övriga Aktiebolag</t>
        </is>
      </c>
      <c r="G444" t="n">
        <v>18.9</v>
      </c>
      <c r="H444" t="n">
        <v>0</v>
      </c>
      <c r="I444" t="n">
        <v>0</v>
      </c>
      <c r="J444" t="n">
        <v>0</v>
      </c>
      <c r="K444" t="n">
        <v>0</v>
      </c>
      <c r="L444" t="n">
        <v>0</v>
      </c>
      <c r="M444" t="n">
        <v>0</v>
      </c>
      <c r="N444" t="n">
        <v>0</v>
      </c>
      <c r="O444" t="n">
        <v>0</v>
      </c>
      <c r="P444" t="n">
        <v>0</v>
      </c>
      <c r="Q444" t="n">
        <v>0</v>
      </c>
      <c r="R444" s="2" t="inlineStr"/>
    </row>
    <row r="445" ht="15" customHeight="1">
      <c r="A445" t="inlineStr">
        <is>
          <t>A 15449-2022</t>
        </is>
      </c>
      <c r="B445" s="1" t="n">
        <v>44660.91659722223</v>
      </c>
      <c r="C445" s="1" t="n">
        <v>46084</v>
      </c>
      <c r="D445" t="inlineStr">
        <is>
          <t>UPPSALA LÄN</t>
        </is>
      </c>
      <c r="E445" t="inlineStr">
        <is>
          <t>ÖSTHAMMAR</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49620-2025</t>
        </is>
      </c>
      <c r="B446" s="1" t="n">
        <v>45939.58928240741</v>
      </c>
      <c r="C446" s="1" t="n">
        <v>46084</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18183-2022</t>
        </is>
      </c>
      <c r="B447" s="1" t="n">
        <v>44684</v>
      </c>
      <c r="C447" s="1" t="n">
        <v>46084</v>
      </c>
      <c r="D447" t="inlineStr">
        <is>
          <t>UPPSALA LÄN</t>
        </is>
      </c>
      <c r="E447" t="inlineStr">
        <is>
          <t>ÖSTHAMMAR</t>
        </is>
      </c>
      <c r="G447" t="n">
        <v>0.2</v>
      </c>
      <c r="H447" t="n">
        <v>0</v>
      </c>
      <c r="I447" t="n">
        <v>0</v>
      </c>
      <c r="J447" t="n">
        <v>0</v>
      </c>
      <c r="K447" t="n">
        <v>0</v>
      </c>
      <c r="L447" t="n">
        <v>0</v>
      </c>
      <c r="M447" t="n">
        <v>0</v>
      </c>
      <c r="N447" t="n">
        <v>0</v>
      </c>
      <c r="O447" t="n">
        <v>0</v>
      </c>
      <c r="P447" t="n">
        <v>0</v>
      </c>
      <c r="Q447" t="n">
        <v>0</v>
      </c>
      <c r="R447" s="2" t="inlineStr"/>
    </row>
    <row r="448" ht="15" customHeight="1">
      <c r="A448" t="inlineStr">
        <is>
          <t>A 47020-2025</t>
        </is>
      </c>
      <c r="B448" s="1" t="n">
        <v>45929.5775</v>
      </c>
      <c r="C448" s="1" t="n">
        <v>46084</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49773-2025</t>
        </is>
      </c>
      <c r="B449" s="1" t="n">
        <v>45940.37303240741</v>
      </c>
      <c r="C449" s="1" t="n">
        <v>46084</v>
      </c>
      <c r="D449" t="inlineStr">
        <is>
          <t>UPPSALA LÄN</t>
        </is>
      </c>
      <c r="E449" t="inlineStr">
        <is>
          <t>ÖSTHAMMAR</t>
        </is>
      </c>
      <c r="G449" t="n">
        <v>3.5</v>
      </c>
      <c r="H449" t="n">
        <v>0</v>
      </c>
      <c r="I449" t="n">
        <v>0</v>
      </c>
      <c r="J449" t="n">
        <v>0</v>
      </c>
      <c r="K449" t="n">
        <v>0</v>
      </c>
      <c r="L449" t="n">
        <v>0</v>
      </c>
      <c r="M449" t="n">
        <v>0</v>
      </c>
      <c r="N449" t="n">
        <v>0</v>
      </c>
      <c r="O449" t="n">
        <v>0</v>
      </c>
      <c r="P449" t="n">
        <v>0</v>
      </c>
      <c r="Q449" t="n">
        <v>0</v>
      </c>
      <c r="R449" s="2" t="inlineStr"/>
    </row>
    <row r="450" ht="15" customHeight="1">
      <c r="A450" t="inlineStr">
        <is>
          <t>A 25859-2024</t>
        </is>
      </c>
      <c r="B450" s="1" t="n">
        <v>45467</v>
      </c>
      <c r="C450" s="1" t="n">
        <v>46084</v>
      </c>
      <c r="D450" t="inlineStr">
        <is>
          <t>UPPSALA LÄN</t>
        </is>
      </c>
      <c r="E450" t="inlineStr">
        <is>
          <t>ÖSTHAMMAR</t>
        </is>
      </c>
      <c r="G450" t="n">
        <v>7.9</v>
      </c>
      <c r="H450" t="n">
        <v>0</v>
      </c>
      <c r="I450" t="n">
        <v>0</v>
      </c>
      <c r="J450" t="n">
        <v>0</v>
      </c>
      <c r="K450" t="n">
        <v>0</v>
      </c>
      <c r="L450" t="n">
        <v>0</v>
      </c>
      <c r="M450" t="n">
        <v>0</v>
      </c>
      <c r="N450" t="n">
        <v>0</v>
      </c>
      <c r="O450" t="n">
        <v>0</v>
      </c>
      <c r="P450" t="n">
        <v>0</v>
      </c>
      <c r="Q450" t="n">
        <v>0</v>
      </c>
      <c r="R450" s="2" t="inlineStr"/>
    </row>
    <row r="451" ht="15" customHeight="1">
      <c r="A451" t="inlineStr">
        <is>
          <t>A 6892-2022</t>
        </is>
      </c>
      <c r="B451" s="1" t="n">
        <v>44602</v>
      </c>
      <c r="C451" s="1" t="n">
        <v>46084</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10117-2025</t>
        </is>
      </c>
      <c r="B452" s="1" t="n">
        <v>45719.59866898148</v>
      </c>
      <c r="C452" s="1" t="n">
        <v>46084</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62295-2022</t>
        </is>
      </c>
      <c r="B453" s="1" t="n">
        <v>44916</v>
      </c>
      <c r="C453" s="1" t="n">
        <v>46084</v>
      </c>
      <c r="D453" t="inlineStr">
        <is>
          <t>UPPSALA LÄN</t>
        </is>
      </c>
      <c r="E453" t="inlineStr">
        <is>
          <t>ÖSTHAMMAR</t>
        </is>
      </c>
      <c r="G453" t="n">
        <v>3.3</v>
      </c>
      <c r="H453" t="n">
        <v>0</v>
      </c>
      <c r="I453" t="n">
        <v>0</v>
      </c>
      <c r="J453" t="n">
        <v>0</v>
      </c>
      <c r="K453" t="n">
        <v>0</v>
      </c>
      <c r="L453" t="n">
        <v>0</v>
      </c>
      <c r="M453" t="n">
        <v>0</v>
      </c>
      <c r="N453" t="n">
        <v>0</v>
      </c>
      <c r="O453" t="n">
        <v>0</v>
      </c>
      <c r="P453" t="n">
        <v>0</v>
      </c>
      <c r="Q453" t="n">
        <v>0</v>
      </c>
      <c r="R453" s="2" t="inlineStr"/>
    </row>
    <row r="454" ht="15" customHeight="1">
      <c r="A454" t="inlineStr">
        <is>
          <t>A 26328-2025</t>
        </is>
      </c>
      <c r="B454" s="1" t="n">
        <v>45805.67305555556</v>
      </c>
      <c r="C454" s="1" t="n">
        <v>46084</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8830-2023</t>
        </is>
      </c>
      <c r="B455" s="1" t="n">
        <v>44978</v>
      </c>
      <c r="C455" s="1" t="n">
        <v>46084</v>
      </c>
      <c r="D455" t="inlineStr">
        <is>
          <t>UPPSALA LÄN</t>
        </is>
      </c>
      <c r="E455" t="inlineStr">
        <is>
          <t>ÖSTHAMMAR</t>
        </is>
      </c>
      <c r="F455" t="inlineStr">
        <is>
          <t>Bergvik skog öst AB</t>
        </is>
      </c>
      <c r="G455" t="n">
        <v>1.6</v>
      </c>
      <c r="H455" t="n">
        <v>0</v>
      </c>
      <c r="I455" t="n">
        <v>0</v>
      </c>
      <c r="J455" t="n">
        <v>0</v>
      </c>
      <c r="K455" t="n">
        <v>0</v>
      </c>
      <c r="L455" t="n">
        <v>0</v>
      </c>
      <c r="M455" t="n">
        <v>0</v>
      </c>
      <c r="N455" t="n">
        <v>0</v>
      </c>
      <c r="O455" t="n">
        <v>0</v>
      </c>
      <c r="P455" t="n">
        <v>0</v>
      </c>
      <c r="Q455" t="n">
        <v>0</v>
      </c>
      <c r="R455" s="2" t="inlineStr"/>
    </row>
    <row r="456" ht="15" customHeight="1">
      <c r="A456" t="inlineStr">
        <is>
          <t>A 19640-2025</t>
        </is>
      </c>
      <c r="B456" s="1" t="n">
        <v>45770.65739583333</v>
      </c>
      <c r="C456" s="1" t="n">
        <v>46084</v>
      </c>
      <c r="D456" t="inlineStr">
        <is>
          <t>UPPSALA LÄN</t>
        </is>
      </c>
      <c r="E456" t="inlineStr">
        <is>
          <t>ÖSTHAMMAR</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18091-2023</t>
        </is>
      </c>
      <c r="B457" s="1" t="n">
        <v>45040</v>
      </c>
      <c r="C457" s="1" t="n">
        <v>46084</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35474-2023</t>
        </is>
      </c>
      <c r="B458" s="1" t="n">
        <v>45146.68921296296</v>
      </c>
      <c r="C458" s="1" t="n">
        <v>46084</v>
      </c>
      <c r="D458" t="inlineStr">
        <is>
          <t>UPPSALA LÄN</t>
        </is>
      </c>
      <c r="E458" t="inlineStr">
        <is>
          <t>ÖSTHAMMAR</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47522-2023</t>
        </is>
      </c>
      <c r="B459" s="1" t="n">
        <v>45203</v>
      </c>
      <c r="C459" s="1" t="n">
        <v>46084</v>
      </c>
      <c r="D459" t="inlineStr">
        <is>
          <t>UPPSALA LÄN</t>
        </is>
      </c>
      <c r="E459" t="inlineStr">
        <is>
          <t>ÖSTHAMMAR</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13358-2024</t>
        </is>
      </c>
      <c r="B460" s="1" t="n">
        <v>45387.3503125</v>
      </c>
      <c r="C460" s="1" t="n">
        <v>46084</v>
      </c>
      <c r="D460" t="inlineStr">
        <is>
          <t>UPPSALA LÄN</t>
        </is>
      </c>
      <c r="E460" t="inlineStr">
        <is>
          <t>ÖSTHAMMAR</t>
        </is>
      </c>
      <c r="G460" t="n">
        <v>2.2</v>
      </c>
      <c r="H460" t="n">
        <v>0</v>
      </c>
      <c r="I460" t="n">
        <v>0</v>
      </c>
      <c r="J460" t="n">
        <v>0</v>
      </c>
      <c r="K460" t="n">
        <v>0</v>
      </c>
      <c r="L460" t="n">
        <v>0</v>
      </c>
      <c r="M460" t="n">
        <v>0</v>
      </c>
      <c r="N460" t="n">
        <v>0</v>
      </c>
      <c r="O460" t="n">
        <v>0</v>
      </c>
      <c r="P460" t="n">
        <v>0</v>
      </c>
      <c r="Q460" t="n">
        <v>0</v>
      </c>
      <c r="R460" s="2" t="inlineStr"/>
    </row>
    <row r="461" ht="15" customHeight="1">
      <c r="A461" t="inlineStr">
        <is>
          <t>A 29282-2021</t>
        </is>
      </c>
      <c r="B461" s="1" t="n">
        <v>44361</v>
      </c>
      <c r="C461" s="1" t="n">
        <v>46084</v>
      </c>
      <c r="D461" t="inlineStr">
        <is>
          <t>UPPSALA LÄN</t>
        </is>
      </c>
      <c r="E461" t="inlineStr">
        <is>
          <t>ÖSTHAMMAR</t>
        </is>
      </c>
      <c r="G461" t="n">
        <v>2.4</v>
      </c>
      <c r="H461" t="n">
        <v>0</v>
      </c>
      <c r="I461" t="n">
        <v>0</v>
      </c>
      <c r="J461" t="n">
        <v>0</v>
      </c>
      <c r="K461" t="n">
        <v>0</v>
      </c>
      <c r="L461" t="n">
        <v>0</v>
      </c>
      <c r="M461" t="n">
        <v>0</v>
      </c>
      <c r="N461" t="n">
        <v>0</v>
      </c>
      <c r="O461" t="n">
        <v>0</v>
      </c>
      <c r="P461" t="n">
        <v>0</v>
      </c>
      <c r="Q461" t="n">
        <v>0</v>
      </c>
      <c r="R461" s="2" t="inlineStr"/>
    </row>
    <row r="462" ht="15" customHeight="1">
      <c r="A462" t="inlineStr">
        <is>
          <t>A 54366-2023</t>
        </is>
      </c>
      <c r="B462" s="1" t="n">
        <v>45233</v>
      </c>
      <c r="C462" s="1" t="n">
        <v>46084</v>
      </c>
      <c r="D462" t="inlineStr">
        <is>
          <t>UPPSALA LÄN</t>
        </is>
      </c>
      <c r="E462" t="inlineStr">
        <is>
          <t>ÖSTHAMMAR</t>
        </is>
      </c>
      <c r="F462" t="inlineStr">
        <is>
          <t>Bergvik skog öst AB</t>
        </is>
      </c>
      <c r="G462" t="n">
        <v>2.9</v>
      </c>
      <c r="H462" t="n">
        <v>0</v>
      </c>
      <c r="I462" t="n">
        <v>0</v>
      </c>
      <c r="J462" t="n">
        <v>0</v>
      </c>
      <c r="K462" t="n">
        <v>0</v>
      </c>
      <c r="L462" t="n">
        <v>0</v>
      </c>
      <c r="M462" t="n">
        <v>0</v>
      </c>
      <c r="N462" t="n">
        <v>0</v>
      </c>
      <c r="O462" t="n">
        <v>0</v>
      </c>
      <c r="P462" t="n">
        <v>0</v>
      </c>
      <c r="Q462" t="n">
        <v>0</v>
      </c>
      <c r="R462" s="2" t="inlineStr"/>
    </row>
    <row r="463" ht="15" customHeight="1">
      <c r="A463" t="inlineStr">
        <is>
          <t>A 52694-2023</t>
        </is>
      </c>
      <c r="B463" s="1" t="n">
        <v>45225.76836805556</v>
      </c>
      <c r="C463" s="1" t="n">
        <v>46084</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23120-2021</t>
        </is>
      </c>
      <c r="B464" s="1" t="n">
        <v>44330</v>
      </c>
      <c r="C464" s="1" t="n">
        <v>46084</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51156-2025</t>
        </is>
      </c>
      <c r="B465" s="1" t="n">
        <v>45947.57833333333</v>
      </c>
      <c r="C465" s="1" t="n">
        <v>46084</v>
      </c>
      <c r="D465" t="inlineStr">
        <is>
          <t>UPPSALA LÄN</t>
        </is>
      </c>
      <c r="E465" t="inlineStr">
        <is>
          <t>ÖSTHAMMAR</t>
        </is>
      </c>
      <c r="F465" t="inlineStr">
        <is>
          <t>Allmännings- och besparingsskogar</t>
        </is>
      </c>
      <c r="G465" t="n">
        <v>2.8</v>
      </c>
      <c r="H465" t="n">
        <v>0</v>
      </c>
      <c r="I465" t="n">
        <v>0</v>
      </c>
      <c r="J465" t="n">
        <v>0</v>
      </c>
      <c r="K465" t="n">
        <v>0</v>
      </c>
      <c r="L465" t="n">
        <v>0</v>
      </c>
      <c r="M465" t="n">
        <v>0</v>
      </c>
      <c r="N465" t="n">
        <v>0</v>
      </c>
      <c r="O465" t="n">
        <v>0</v>
      </c>
      <c r="P465" t="n">
        <v>0</v>
      </c>
      <c r="Q465" t="n">
        <v>0</v>
      </c>
      <c r="R465" s="2" t="inlineStr"/>
    </row>
    <row r="466" ht="15" customHeight="1">
      <c r="A466" t="inlineStr">
        <is>
          <t>A 31035-2022</t>
        </is>
      </c>
      <c r="B466" s="1" t="n">
        <v>44768.88685185185</v>
      </c>
      <c r="C466" s="1" t="n">
        <v>46084</v>
      </c>
      <c r="D466" t="inlineStr">
        <is>
          <t>UPPSALA LÄN</t>
        </is>
      </c>
      <c r="E466" t="inlineStr">
        <is>
          <t>ÖSTHAMMAR</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14124-2022</t>
        </is>
      </c>
      <c r="B467" s="1" t="n">
        <v>44651.40924768519</v>
      </c>
      <c r="C467" s="1" t="n">
        <v>46084</v>
      </c>
      <c r="D467" t="inlineStr">
        <is>
          <t>UPPSALA LÄN</t>
        </is>
      </c>
      <c r="E467" t="inlineStr">
        <is>
          <t>ÖSTHAMMAR</t>
        </is>
      </c>
      <c r="F467" t="inlineStr">
        <is>
          <t>Bergvik skog öst AB</t>
        </is>
      </c>
      <c r="G467" t="n">
        <v>0.9</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46084</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58324-2023</t>
        </is>
      </c>
      <c r="B469" s="1" t="n">
        <v>45250.58635416667</v>
      </c>
      <c r="C469" s="1" t="n">
        <v>46084</v>
      </c>
      <c r="D469" t="inlineStr">
        <is>
          <t>UPPSALA LÄN</t>
        </is>
      </c>
      <c r="E469" t="inlineStr">
        <is>
          <t>ÖSTHAMMAR</t>
        </is>
      </c>
      <c r="G469" t="n">
        <v>5.1</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46084</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51708-2025</t>
        </is>
      </c>
      <c r="B471" s="1" t="n">
        <v>45951.56679398148</v>
      </c>
      <c r="C471" s="1" t="n">
        <v>46084</v>
      </c>
      <c r="D471" t="inlineStr">
        <is>
          <t>UPPSALA LÄN</t>
        </is>
      </c>
      <c r="E471" t="inlineStr">
        <is>
          <t>ÖSTHAMMAR</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51266-2025</t>
        </is>
      </c>
      <c r="B472" s="1" t="n">
        <v>45949.71568287037</v>
      </c>
      <c r="C472" s="1" t="n">
        <v>46084</v>
      </c>
      <c r="D472" t="inlineStr">
        <is>
          <t>UPPSALA LÄN</t>
        </is>
      </c>
      <c r="E472" t="inlineStr">
        <is>
          <t>ÖSTHAMMAR</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36873-2022</t>
        </is>
      </c>
      <c r="B473" s="1" t="n">
        <v>44805.63708333333</v>
      </c>
      <c r="C473" s="1" t="n">
        <v>46084</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4099-2025</t>
        </is>
      </c>
      <c r="B474" s="1" t="n">
        <v>45684</v>
      </c>
      <c r="C474" s="1" t="n">
        <v>46084</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54666-2022</t>
        </is>
      </c>
      <c r="B475" s="1" t="n">
        <v>44883</v>
      </c>
      <c r="C475" s="1" t="n">
        <v>46084</v>
      </c>
      <c r="D475" t="inlineStr">
        <is>
          <t>UPPSALA LÄN</t>
        </is>
      </c>
      <c r="E475" t="inlineStr">
        <is>
          <t>ÖSTHAMMAR</t>
        </is>
      </c>
      <c r="G475" t="n">
        <v>14.3</v>
      </c>
      <c r="H475" t="n">
        <v>0</v>
      </c>
      <c r="I475" t="n">
        <v>0</v>
      </c>
      <c r="J475" t="n">
        <v>0</v>
      </c>
      <c r="K475" t="n">
        <v>0</v>
      </c>
      <c r="L475" t="n">
        <v>0</v>
      </c>
      <c r="M475" t="n">
        <v>0</v>
      </c>
      <c r="N475" t="n">
        <v>0</v>
      </c>
      <c r="O475" t="n">
        <v>0</v>
      </c>
      <c r="P475" t="n">
        <v>0</v>
      </c>
      <c r="Q475" t="n">
        <v>0</v>
      </c>
      <c r="R475" s="2" t="inlineStr"/>
    </row>
    <row r="476" ht="15" customHeight="1">
      <c r="A476" t="inlineStr">
        <is>
          <t>A 51254-2025</t>
        </is>
      </c>
      <c r="B476" s="1" t="n">
        <v>45948.99313657408</v>
      </c>
      <c r="C476" s="1" t="n">
        <v>46084</v>
      </c>
      <c r="D476" t="inlineStr">
        <is>
          <t>UPPSALA LÄN</t>
        </is>
      </c>
      <c r="E476" t="inlineStr">
        <is>
          <t>ÖSTHAMMAR</t>
        </is>
      </c>
      <c r="G476" t="n">
        <v>8.9</v>
      </c>
      <c r="H476" t="n">
        <v>0</v>
      </c>
      <c r="I476" t="n">
        <v>0</v>
      </c>
      <c r="J476" t="n">
        <v>0</v>
      </c>
      <c r="K476" t="n">
        <v>0</v>
      </c>
      <c r="L476" t="n">
        <v>0</v>
      </c>
      <c r="M476" t="n">
        <v>0</v>
      </c>
      <c r="N476" t="n">
        <v>0</v>
      </c>
      <c r="O476" t="n">
        <v>0</v>
      </c>
      <c r="P476" t="n">
        <v>0</v>
      </c>
      <c r="Q476" t="n">
        <v>0</v>
      </c>
      <c r="R476" s="2" t="inlineStr"/>
    </row>
    <row r="477" ht="15" customHeight="1">
      <c r="A477" t="inlineStr">
        <is>
          <t>A 51265-2025</t>
        </is>
      </c>
      <c r="B477" s="1" t="n">
        <v>45949.70971064815</v>
      </c>
      <c r="C477" s="1" t="n">
        <v>46084</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61817-2021</t>
        </is>
      </c>
      <c r="B478" s="1" t="n">
        <v>44501.76855324074</v>
      </c>
      <c r="C478" s="1" t="n">
        <v>46084</v>
      </c>
      <c r="D478" t="inlineStr">
        <is>
          <t>UPPSALA LÄN</t>
        </is>
      </c>
      <c r="E478" t="inlineStr">
        <is>
          <t>ÖSTHAMMAR</t>
        </is>
      </c>
      <c r="F478" t="inlineStr">
        <is>
          <t>Bergvik skog öst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52332-2025</t>
        </is>
      </c>
      <c r="B479" s="1" t="n">
        <v>45953.67853009259</v>
      </c>
      <c r="C479" s="1" t="n">
        <v>46084</v>
      </c>
      <c r="D479" t="inlineStr">
        <is>
          <t>UPPSALA LÄN</t>
        </is>
      </c>
      <c r="E479" t="inlineStr">
        <is>
          <t>ÖSTHAMMAR</t>
        </is>
      </c>
      <c r="F479" t="inlineStr">
        <is>
          <t>Bergvik skog öst AB</t>
        </is>
      </c>
      <c r="G479" t="n">
        <v>3.8</v>
      </c>
      <c r="H479" t="n">
        <v>0</v>
      </c>
      <c r="I479" t="n">
        <v>0</v>
      </c>
      <c r="J479" t="n">
        <v>0</v>
      </c>
      <c r="K479" t="n">
        <v>0</v>
      </c>
      <c r="L479" t="n">
        <v>0</v>
      </c>
      <c r="M479" t="n">
        <v>0</v>
      </c>
      <c r="N479" t="n">
        <v>0</v>
      </c>
      <c r="O479" t="n">
        <v>0</v>
      </c>
      <c r="P479" t="n">
        <v>0</v>
      </c>
      <c r="Q479" t="n">
        <v>0</v>
      </c>
      <c r="R479" s="2" t="inlineStr"/>
    </row>
    <row r="480" ht="15" customHeight="1">
      <c r="A480" t="inlineStr">
        <is>
          <t>A 36092-2025</t>
        </is>
      </c>
      <c r="B480" s="1" t="n">
        <v>45866.48244212963</v>
      </c>
      <c r="C480" s="1" t="n">
        <v>46084</v>
      </c>
      <c r="D480" t="inlineStr">
        <is>
          <t>UPPSALA LÄN</t>
        </is>
      </c>
      <c r="E480" t="inlineStr">
        <is>
          <t>ÖSTHAMMAR</t>
        </is>
      </c>
      <c r="G480" t="n">
        <v>1.2</v>
      </c>
      <c r="H480" t="n">
        <v>0</v>
      </c>
      <c r="I480" t="n">
        <v>0</v>
      </c>
      <c r="J480" t="n">
        <v>0</v>
      </c>
      <c r="K480" t="n">
        <v>0</v>
      </c>
      <c r="L480" t="n">
        <v>0</v>
      </c>
      <c r="M480" t="n">
        <v>0</v>
      </c>
      <c r="N480" t="n">
        <v>0</v>
      </c>
      <c r="O480" t="n">
        <v>0</v>
      </c>
      <c r="P480" t="n">
        <v>0</v>
      </c>
      <c r="Q480" t="n">
        <v>0</v>
      </c>
      <c r="R480" s="2" t="inlineStr"/>
    </row>
    <row r="481" ht="15" customHeight="1">
      <c r="A481" t="inlineStr">
        <is>
          <t>A 54437-2024</t>
        </is>
      </c>
      <c r="B481" s="1" t="n">
        <v>45617</v>
      </c>
      <c r="C481" s="1" t="n">
        <v>46084</v>
      </c>
      <c r="D481" t="inlineStr">
        <is>
          <t>UPPSALA LÄN</t>
        </is>
      </c>
      <c r="E481" t="inlineStr">
        <is>
          <t>ÖSTHAMMAR</t>
        </is>
      </c>
      <c r="G481" t="n">
        <v>2.1</v>
      </c>
      <c r="H481" t="n">
        <v>0</v>
      </c>
      <c r="I481" t="n">
        <v>0</v>
      </c>
      <c r="J481" t="n">
        <v>0</v>
      </c>
      <c r="K481" t="n">
        <v>0</v>
      </c>
      <c r="L481" t="n">
        <v>0</v>
      </c>
      <c r="M481" t="n">
        <v>0</v>
      </c>
      <c r="N481" t="n">
        <v>0</v>
      </c>
      <c r="O481" t="n">
        <v>0</v>
      </c>
      <c r="P481" t="n">
        <v>0</v>
      </c>
      <c r="Q481" t="n">
        <v>0</v>
      </c>
      <c r="R481" s="2" t="inlineStr"/>
    </row>
    <row r="482" ht="15" customHeight="1">
      <c r="A482" t="inlineStr">
        <is>
          <t>A 9052-2023</t>
        </is>
      </c>
      <c r="B482" s="1" t="n">
        <v>44979</v>
      </c>
      <c r="C482" s="1" t="n">
        <v>46084</v>
      </c>
      <c r="D482" t="inlineStr">
        <is>
          <t>UPPSALA LÄN</t>
        </is>
      </c>
      <c r="E482" t="inlineStr">
        <is>
          <t>ÖSTHAMMAR</t>
        </is>
      </c>
      <c r="F482" t="inlineStr">
        <is>
          <t>Kyrkan</t>
        </is>
      </c>
      <c r="G482" t="n">
        <v>0.2</v>
      </c>
      <c r="H482" t="n">
        <v>0</v>
      </c>
      <c r="I482" t="n">
        <v>0</v>
      </c>
      <c r="J482" t="n">
        <v>0</v>
      </c>
      <c r="K482" t="n">
        <v>0</v>
      </c>
      <c r="L482" t="n">
        <v>0</v>
      </c>
      <c r="M482" t="n">
        <v>0</v>
      </c>
      <c r="N482" t="n">
        <v>0</v>
      </c>
      <c r="O482" t="n">
        <v>0</v>
      </c>
      <c r="P482" t="n">
        <v>0</v>
      </c>
      <c r="Q482" t="n">
        <v>0</v>
      </c>
      <c r="R482" s="2" t="inlineStr"/>
    </row>
    <row r="483" ht="15" customHeight="1">
      <c r="A483" t="inlineStr">
        <is>
          <t>A 17929-2025</t>
        </is>
      </c>
      <c r="B483" s="1" t="n">
        <v>45759.56462962963</v>
      </c>
      <c r="C483" s="1" t="n">
        <v>46084</v>
      </c>
      <c r="D483" t="inlineStr">
        <is>
          <t>UPPSALA LÄN</t>
        </is>
      </c>
      <c r="E483" t="inlineStr">
        <is>
          <t>ÖSTHAMMAR</t>
        </is>
      </c>
      <c r="G483" t="n">
        <v>3.4</v>
      </c>
      <c r="H483" t="n">
        <v>0</v>
      </c>
      <c r="I483" t="n">
        <v>0</v>
      </c>
      <c r="J483" t="n">
        <v>0</v>
      </c>
      <c r="K483" t="n">
        <v>0</v>
      </c>
      <c r="L483" t="n">
        <v>0</v>
      </c>
      <c r="M483" t="n">
        <v>0</v>
      </c>
      <c r="N483" t="n">
        <v>0</v>
      </c>
      <c r="O483" t="n">
        <v>0</v>
      </c>
      <c r="P483" t="n">
        <v>0</v>
      </c>
      <c r="Q483" t="n">
        <v>0</v>
      </c>
      <c r="R483" s="2" t="inlineStr"/>
    </row>
    <row r="484" ht="15" customHeight="1">
      <c r="A484" t="inlineStr">
        <is>
          <t>A 28152-2024</t>
        </is>
      </c>
      <c r="B484" s="1" t="n">
        <v>45476.77056712963</v>
      </c>
      <c r="C484" s="1" t="n">
        <v>46084</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20326-2021</t>
        </is>
      </c>
      <c r="B485" s="1" t="n">
        <v>44308</v>
      </c>
      <c r="C485" s="1" t="n">
        <v>46084</v>
      </c>
      <c r="D485" t="inlineStr">
        <is>
          <t>UPPSALA LÄN</t>
        </is>
      </c>
      <c r="E485" t="inlineStr">
        <is>
          <t>ÖSTHAMMAR</t>
        </is>
      </c>
      <c r="G485" t="n">
        <v>0.7</v>
      </c>
      <c r="H485" t="n">
        <v>0</v>
      </c>
      <c r="I485" t="n">
        <v>0</v>
      </c>
      <c r="J485" t="n">
        <v>0</v>
      </c>
      <c r="K485" t="n">
        <v>0</v>
      </c>
      <c r="L485" t="n">
        <v>0</v>
      </c>
      <c r="M485" t="n">
        <v>0</v>
      </c>
      <c r="N485" t="n">
        <v>0</v>
      </c>
      <c r="O485" t="n">
        <v>0</v>
      </c>
      <c r="P485" t="n">
        <v>0</v>
      </c>
      <c r="Q485" t="n">
        <v>0</v>
      </c>
      <c r="R485" s="2" t="inlineStr"/>
    </row>
    <row r="486" ht="15" customHeight="1">
      <c r="A486" t="inlineStr">
        <is>
          <t>A 42213-2025</t>
        </is>
      </c>
      <c r="B486" s="1" t="n">
        <v>45904.50652777778</v>
      </c>
      <c r="C486" s="1" t="n">
        <v>46084</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36451-2025</t>
        </is>
      </c>
      <c r="B487" s="1" t="n">
        <v>45869.4290625</v>
      </c>
      <c r="C487" s="1" t="n">
        <v>46084</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17643-2025</t>
        </is>
      </c>
      <c r="B488" s="1" t="n">
        <v>45758.32454861111</v>
      </c>
      <c r="C488" s="1" t="n">
        <v>46084</v>
      </c>
      <c r="D488" t="inlineStr">
        <is>
          <t>UPPSALA LÄN</t>
        </is>
      </c>
      <c r="E488" t="inlineStr">
        <is>
          <t>ÖSTHAMMAR</t>
        </is>
      </c>
      <c r="F488" t="inlineStr">
        <is>
          <t>Bergvik skog väst AB</t>
        </is>
      </c>
      <c r="G488" t="n">
        <v>2.6</v>
      </c>
      <c r="H488" t="n">
        <v>0</v>
      </c>
      <c r="I488" t="n">
        <v>0</v>
      </c>
      <c r="J488" t="n">
        <v>0</v>
      </c>
      <c r="K488" t="n">
        <v>0</v>
      </c>
      <c r="L488" t="n">
        <v>0</v>
      </c>
      <c r="M488" t="n">
        <v>0</v>
      </c>
      <c r="N488" t="n">
        <v>0</v>
      </c>
      <c r="O488" t="n">
        <v>0</v>
      </c>
      <c r="P488" t="n">
        <v>0</v>
      </c>
      <c r="Q488" t="n">
        <v>0</v>
      </c>
      <c r="R488" s="2" t="inlineStr"/>
    </row>
    <row r="489" ht="15" customHeight="1">
      <c r="A489" t="inlineStr">
        <is>
          <t>A 12262-2023</t>
        </is>
      </c>
      <c r="B489" s="1" t="n">
        <v>44998.66662037037</v>
      </c>
      <c r="C489" s="1" t="n">
        <v>46084</v>
      </c>
      <c r="D489" t="inlineStr">
        <is>
          <t>UPPSALA LÄN</t>
        </is>
      </c>
      <c r="E489" t="inlineStr">
        <is>
          <t>ÖSTHAMMAR</t>
        </is>
      </c>
      <c r="G489" t="n">
        <v>4.1</v>
      </c>
      <c r="H489" t="n">
        <v>0</v>
      </c>
      <c r="I489" t="n">
        <v>0</v>
      </c>
      <c r="J489" t="n">
        <v>0</v>
      </c>
      <c r="K489" t="n">
        <v>0</v>
      </c>
      <c r="L489" t="n">
        <v>0</v>
      </c>
      <c r="M489" t="n">
        <v>0</v>
      </c>
      <c r="N489" t="n">
        <v>0</v>
      </c>
      <c r="O489" t="n">
        <v>0</v>
      </c>
      <c r="P489" t="n">
        <v>0</v>
      </c>
      <c r="Q489" t="n">
        <v>0</v>
      </c>
      <c r="R489" s="2" t="inlineStr"/>
    </row>
    <row r="490" ht="15" customHeight="1">
      <c r="A490" t="inlineStr">
        <is>
          <t>A 49097-2022</t>
        </is>
      </c>
      <c r="B490" s="1" t="n">
        <v>44860</v>
      </c>
      <c r="C490" s="1" t="n">
        <v>46084</v>
      </c>
      <c r="D490" t="inlineStr">
        <is>
          <t>UPPSALA LÄN</t>
        </is>
      </c>
      <c r="E490" t="inlineStr">
        <is>
          <t>ÖSTHAMMAR</t>
        </is>
      </c>
      <c r="G490" t="n">
        <v>6.9</v>
      </c>
      <c r="H490" t="n">
        <v>0</v>
      </c>
      <c r="I490" t="n">
        <v>0</v>
      </c>
      <c r="J490" t="n">
        <v>0</v>
      </c>
      <c r="K490" t="n">
        <v>0</v>
      </c>
      <c r="L490" t="n">
        <v>0</v>
      </c>
      <c r="M490" t="n">
        <v>0</v>
      </c>
      <c r="N490" t="n">
        <v>0</v>
      </c>
      <c r="O490" t="n">
        <v>0</v>
      </c>
      <c r="P490" t="n">
        <v>0</v>
      </c>
      <c r="Q490" t="n">
        <v>0</v>
      </c>
      <c r="R490" s="2" t="inlineStr"/>
    </row>
    <row r="491" ht="15" customHeight="1">
      <c r="A491" t="inlineStr">
        <is>
          <t>A 41478-2024</t>
        </is>
      </c>
      <c r="B491" s="1" t="n">
        <v>45560.44158564815</v>
      </c>
      <c r="C491" s="1" t="n">
        <v>46084</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46084</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36643-2025</t>
        </is>
      </c>
      <c r="B493" s="1" t="n">
        <v>45872.47782407407</v>
      </c>
      <c r="C493" s="1" t="n">
        <v>46084</v>
      </c>
      <c r="D493" t="inlineStr">
        <is>
          <t>UPPSALA LÄN</t>
        </is>
      </c>
      <c r="E493" t="inlineStr">
        <is>
          <t>ÖSTHAMMAR</t>
        </is>
      </c>
      <c r="F493" t="inlineStr">
        <is>
          <t>Bergvik skog öst AB</t>
        </is>
      </c>
      <c r="G493" t="n">
        <v>15.1</v>
      </c>
      <c r="H493" t="n">
        <v>0</v>
      </c>
      <c r="I493" t="n">
        <v>0</v>
      </c>
      <c r="J493" t="n">
        <v>0</v>
      </c>
      <c r="K493" t="n">
        <v>0</v>
      </c>
      <c r="L493" t="n">
        <v>0</v>
      </c>
      <c r="M493" t="n">
        <v>0</v>
      </c>
      <c r="N493" t="n">
        <v>0</v>
      </c>
      <c r="O493" t="n">
        <v>0</v>
      </c>
      <c r="P493" t="n">
        <v>0</v>
      </c>
      <c r="Q493" t="n">
        <v>0</v>
      </c>
      <c r="R493" s="2" t="inlineStr"/>
    </row>
    <row r="494" ht="15" customHeight="1">
      <c r="A494" t="inlineStr">
        <is>
          <t>A 34922-2023</t>
        </is>
      </c>
      <c r="B494" s="1" t="n">
        <v>45142.48359953704</v>
      </c>
      <c r="C494" s="1" t="n">
        <v>46084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36645-2025</t>
        </is>
      </c>
      <c r="B495" s="1" t="n">
        <v>45872</v>
      </c>
      <c r="C495" s="1" t="n">
        <v>46084</v>
      </c>
      <c r="D495" t="inlineStr">
        <is>
          <t>UPPSALA LÄN</t>
        </is>
      </c>
      <c r="E495" t="inlineStr">
        <is>
          <t>ÖSTHAMMAR</t>
        </is>
      </c>
      <c r="F495" t="inlineStr">
        <is>
          <t>Bergvik skog öst AB</t>
        </is>
      </c>
      <c r="G495" t="n">
        <v>1.8</v>
      </c>
      <c r="H495" t="n">
        <v>0</v>
      </c>
      <c r="I495" t="n">
        <v>0</v>
      </c>
      <c r="J495" t="n">
        <v>0</v>
      </c>
      <c r="K495" t="n">
        <v>0</v>
      </c>
      <c r="L495" t="n">
        <v>0</v>
      </c>
      <c r="M495" t="n">
        <v>0</v>
      </c>
      <c r="N495" t="n">
        <v>0</v>
      </c>
      <c r="O495" t="n">
        <v>0</v>
      </c>
      <c r="P495" t="n">
        <v>0</v>
      </c>
      <c r="Q495" t="n">
        <v>0</v>
      </c>
      <c r="R495" s="2" t="inlineStr"/>
    </row>
    <row r="496" ht="15" customHeight="1">
      <c r="A496" t="inlineStr">
        <is>
          <t>A 36644-2025</t>
        </is>
      </c>
      <c r="B496" s="1" t="n">
        <v>45872.48738425926</v>
      </c>
      <c r="C496" s="1" t="n">
        <v>46084</v>
      </c>
      <c r="D496" t="inlineStr">
        <is>
          <t>UPPSALA LÄN</t>
        </is>
      </c>
      <c r="E496" t="inlineStr">
        <is>
          <t>ÖSTHAMMAR</t>
        </is>
      </c>
      <c r="F496" t="inlineStr">
        <is>
          <t>Bergvik skog öst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23495-2023</t>
        </is>
      </c>
      <c r="B497" s="1" t="n">
        <v>45076.71652777777</v>
      </c>
      <c r="C497" s="1" t="n">
        <v>46084</v>
      </c>
      <c r="D497" t="inlineStr">
        <is>
          <t>UPPSALA LÄN</t>
        </is>
      </c>
      <c r="E497" t="inlineStr">
        <is>
          <t>ÖSTHAMMAR</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36646-2025</t>
        </is>
      </c>
      <c r="B498" s="1" t="n">
        <v>45872</v>
      </c>
      <c r="C498" s="1" t="n">
        <v>46084</v>
      </c>
      <c r="D498" t="inlineStr">
        <is>
          <t>UPPSALA LÄN</t>
        </is>
      </c>
      <c r="E498" t="inlineStr">
        <is>
          <t>ÖSTHAMMAR</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10449-2023</t>
        </is>
      </c>
      <c r="B499" s="1" t="n">
        <v>44987</v>
      </c>
      <c r="C499" s="1" t="n">
        <v>46084</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38233-2024</t>
        </is>
      </c>
      <c r="B500" s="1" t="n">
        <v>45545</v>
      </c>
      <c r="C500" s="1" t="n">
        <v>46084</v>
      </c>
      <c r="D500" t="inlineStr">
        <is>
          <t>UPPSALA LÄN</t>
        </is>
      </c>
      <c r="E500" t="inlineStr">
        <is>
          <t>ÖSTHAMMAR</t>
        </is>
      </c>
      <c r="G500" t="n">
        <v>3.4</v>
      </c>
      <c r="H500" t="n">
        <v>0</v>
      </c>
      <c r="I500" t="n">
        <v>0</v>
      </c>
      <c r="J500" t="n">
        <v>0</v>
      </c>
      <c r="K500" t="n">
        <v>0</v>
      </c>
      <c r="L500" t="n">
        <v>0</v>
      </c>
      <c r="M500" t="n">
        <v>0</v>
      </c>
      <c r="N500" t="n">
        <v>0</v>
      </c>
      <c r="O500" t="n">
        <v>0</v>
      </c>
      <c r="P500" t="n">
        <v>0</v>
      </c>
      <c r="Q500" t="n">
        <v>0</v>
      </c>
      <c r="R500" s="2" t="inlineStr"/>
    </row>
    <row r="501" ht="15" customHeight="1">
      <c r="A501" t="inlineStr">
        <is>
          <t>A 53567-2025</t>
        </is>
      </c>
      <c r="B501" s="1" t="n">
        <v>45960</v>
      </c>
      <c r="C501" s="1" t="n">
        <v>46084</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46084</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53557-2025</t>
        </is>
      </c>
      <c r="B503" s="1" t="n">
        <v>45960</v>
      </c>
      <c r="C503" s="1" t="n">
        <v>46084</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53961-2025</t>
        </is>
      </c>
      <c r="B504" s="1" t="n">
        <v>45961</v>
      </c>
      <c r="C504" s="1" t="n">
        <v>46084</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46084</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53735-2025</t>
        </is>
      </c>
      <c r="B506" s="1" t="n">
        <v>45960.64431712963</v>
      </c>
      <c r="C506" s="1" t="n">
        <v>46084</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53737-2025</t>
        </is>
      </c>
      <c r="B507" s="1" t="n">
        <v>45960.64520833334</v>
      </c>
      <c r="C507" s="1" t="n">
        <v>46084</v>
      </c>
      <c r="D507" t="inlineStr">
        <is>
          <t>UPPSALA LÄN</t>
        </is>
      </c>
      <c r="E507" t="inlineStr">
        <is>
          <t>ÖSTHAMMAR</t>
        </is>
      </c>
      <c r="F507" t="inlineStr">
        <is>
          <t>Bergvik skog öst AB</t>
        </is>
      </c>
      <c r="G507" t="n">
        <v>3</v>
      </c>
      <c r="H507" t="n">
        <v>0</v>
      </c>
      <c r="I507" t="n">
        <v>0</v>
      </c>
      <c r="J507" t="n">
        <v>0</v>
      </c>
      <c r="K507" t="n">
        <v>0</v>
      </c>
      <c r="L507" t="n">
        <v>0</v>
      </c>
      <c r="M507" t="n">
        <v>0</v>
      </c>
      <c r="N507" t="n">
        <v>0</v>
      </c>
      <c r="O507" t="n">
        <v>0</v>
      </c>
      <c r="P507" t="n">
        <v>0</v>
      </c>
      <c r="Q507" t="n">
        <v>0</v>
      </c>
      <c r="R507" s="2" t="inlineStr"/>
    </row>
    <row r="508" ht="15" customHeight="1">
      <c r="A508" t="inlineStr">
        <is>
          <t>A 54242-2025</t>
        </is>
      </c>
      <c r="B508" s="1" t="n">
        <v>45964.63251157408</v>
      </c>
      <c r="C508" s="1" t="n">
        <v>46084</v>
      </c>
      <c r="D508" t="inlineStr">
        <is>
          <t>UPPSALA LÄN</t>
        </is>
      </c>
      <c r="E508" t="inlineStr">
        <is>
          <t>ÖSTHAMMAR</t>
        </is>
      </c>
      <c r="G508" t="n">
        <v>4.7</v>
      </c>
      <c r="H508" t="n">
        <v>0</v>
      </c>
      <c r="I508" t="n">
        <v>0</v>
      </c>
      <c r="J508" t="n">
        <v>0</v>
      </c>
      <c r="K508" t="n">
        <v>0</v>
      </c>
      <c r="L508" t="n">
        <v>0</v>
      </c>
      <c r="M508" t="n">
        <v>0</v>
      </c>
      <c r="N508" t="n">
        <v>0</v>
      </c>
      <c r="O508" t="n">
        <v>0</v>
      </c>
      <c r="P508" t="n">
        <v>0</v>
      </c>
      <c r="Q508" t="n">
        <v>0</v>
      </c>
      <c r="R508" s="2" t="inlineStr"/>
    </row>
    <row r="509" ht="15" customHeight="1">
      <c r="A509" t="inlineStr">
        <is>
          <t>A 22798-2023</t>
        </is>
      </c>
      <c r="B509" s="1" t="n">
        <v>45072</v>
      </c>
      <c r="C509" s="1" t="n">
        <v>46084</v>
      </c>
      <c r="D509" t="inlineStr">
        <is>
          <t>UPPSALA LÄN</t>
        </is>
      </c>
      <c r="E509" t="inlineStr">
        <is>
          <t>ÖSTHAMMAR</t>
        </is>
      </c>
      <c r="G509" t="n">
        <v>1</v>
      </c>
      <c r="H509" t="n">
        <v>0</v>
      </c>
      <c r="I509" t="n">
        <v>0</v>
      </c>
      <c r="J509" t="n">
        <v>0</v>
      </c>
      <c r="K509" t="n">
        <v>0</v>
      </c>
      <c r="L509" t="n">
        <v>0</v>
      </c>
      <c r="M509" t="n">
        <v>0</v>
      </c>
      <c r="N509" t="n">
        <v>0</v>
      </c>
      <c r="O509" t="n">
        <v>0</v>
      </c>
      <c r="P509" t="n">
        <v>0</v>
      </c>
      <c r="Q509" t="n">
        <v>0</v>
      </c>
      <c r="R509" s="2" t="inlineStr"/>
    </row>
    <row r="510" ht="15" customHeight="1">
      <c r="A510" t="inlineStr">
        <is>
          <t>A 11547-2022</t>
        </is>
      </c>
      <c r="B510" s="1" t="n">
        <v>44631.43116898148</v>
      </c>
      <c r="C510" s="1" t="n">
        <v>46084</v>
      </c>
      <c r="D510" t="inlineStr">
        <is>
          <t>UPPSALA LÄN</t>
        </is>
      </c>
      <c r="E510" t="inlineStr">
        <is>
          <t>ÖSTHAMMAR</t>
        </is>
      </c>
      <c r="G510" t="n">
        <v>4.4</v>
      </c>
      <c r="H510" t="n">
        <v>0</v>
      </c>
      <c r="I510" t="n">
        <v>0</v>
      </c>
      <c r="J510" t="n">
        <v>0</v>
      </c>
      <c r="K510" t="n">
        <v>0</v>
      </c>
      <c r="L510" t="n">
        <v>0</v>
      </c>
      <c r="M510" t="n">
        <v>0</v>
      </c>
      <c r="N510" t="n">
        <v>0</v>
      </c>
      <c r="O510" t="n">
        <v>0</v>
      </c>
      <c r="P510" t="n">
        <v>0</v>
      </c>
      <c r="Q510" t="n">
        <v>0</v>
      </c>
      <c r="R510" s="2" t="inlineStr"/>
    </row>
    <row r="511" ht="15" customHeight="1">
      <c r="A511" t="inlineStr">
        <is>
          <t>A 54592-2025</t>
        </is>
      </c>
      <c r="B511" s="1" t="n">
        <v>45965.74545138889</v>
      </c>
      <c r="C511" s="1" t="n">
        <v>46084</v>
      </c>
      <c r="D511" t="inlineStr">
        <is>
          <t>UPPSALA LÄN</t>
        </is>
      </c>
      <c r="E511" t="inlineStr">
        <is>
          <t>ÖSTHAMMAR</t>
        </is>
      </c>
      <c r="F511" t="inlineStr">
        <is>
          <t>Bergvik skog öst AB</t>
        </is>
      </c>
      <c r="G511" t="n">
        <v>5</v>
      </c>
      <c r="H511" t="n">
        <v>0</v>
      </c>
      <c r="I511" t="n">
        <v>0</v>
      </c>
      <c r="J511" t="n">
        <v>0</v>
      </c>
      <c r="K511" t="n">
        <v>0</v>
      </c>
      <c r="L511" t="n">
        <v>0</v>
      </c>
      <c r="M511" t="n">
        <v>0</v>
      </c>
      <c r="N511" t="n">
        <v>0</v>
      </c>
      <c r="O511" t="n">
        <v>0</v>
      </c>
      <c r="P511" t="n">
        <v>0</v>
      </c>
      <c r="Q511" t="n">
        <v>0</v>
      </c>
      <c r="R511" s="2" t="inlineStr"/>
    </row>
    <row r="512" ht="15" customHeight="1">
      <c r="A512" t="inlineStr">
        <is>
          <t>A 835-2025</t>
        </is>
      </c>
      <c r="B512" s="1" t="n">
        <v>45665.58465277778</v>
      </c>
      <c r="C512" s="1" t="n">
        <v>46084</v>
      </c>
      <c r="D512" t="inlineStr">
        <is>
          <t>UPPSALA LÄN</t>
        </is>
      </c>
      <c r="E512" t="inlineStr">
        <is>
          <t>ÖSTHAMMAR</t>
        </is>
      </c>
      <c r="F512" t="inlineStr">
        <is>
          <t>Övriga Aktiebolag</t>
        </is>
      </c>
      <c r="G512" t="n">
        <v>4.8</v>
      </c>
      <c r="H512" t="n">
        <v>0</v>
      </c>
      <c r="I512" t="n">
        <v>0</v>
      </c>
      <c r="J512" t="n">
        <v>0</v>
      </c>
      <c r="K512" t="n">
        <v>0</v>
      </c>
      <c r="L512" t="n">
        <v>0</v>
      </c>
      <c r="M512" t="n">
        <v>0</v>
      </c>
      <c r="N512" t="n">
        <v>0</v>
      </c>
      <c r="O512" t="n">
        <v>0</v>
      </c>
      <c r="P512" t="n">
        <v>0</v>
      </c>
      <c r="Q512" t="n">
        <v>0</v>
      </c>
      <c r="R512" s="2" t="inlineStr"/>
    </row>
    <row r="513" ht="15" customHeight="1">
      <c r="A513" t="inlineStr">
        <is>
          <t>A 4561-2022</t>
        </is>
      </c>
      <c r="B513" s="1" t="n">
        <v>44591.59170138889</v>
      </c>
      <c r="C513" s="1" t="n">
        <v>46084</v>
      </c>
      <c r="D513" t="inlineStr">
        <is>
          <t>UPPSALA LÄN</t>
        </is>
      </c>
      <c r="E513" t="inlineStr">
        <is>
          <t>ÖSTHAMMAR</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23741-2024</t>
        </is>
      </c>
      <c r="B514" s="1" t="n">
        <v>45455</v>
      </c>
      <c r="C514" s="1" t="n">
        <v>46084</v>
      </c>
      <c r="D514" t="inlineStr">
        <is>
          <t>UPPSALA LÄN</t>
        </is>
      </c>
      <c r="E514" t="inlineStr">
        <is>
          <t>ÖSTHAMMAR</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36904-2023</t>
        </is>
      </c>
      <c r="B515" s="1" t="n">
        <v>45154</v>
      </c>
      <c r="C515" s="1" t="n">
        <v>46084</v>
      </c>
      <c r="D515" t="inlineStr">
        <is>
          <t>UPPSALA LÄN</t>
        </is>
      </c>
      <c r="E515" t="inlineStr">
        <is>
          <t>ÖSTHAMMAR</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13248-2025</t>
        </is>
      </c>
      <c r="B516" s="1" t="n">
        <v>45735</v>
      </c>
      <c r="C516" s="1" t="n">
        <v>46084</v>
      </c>
      <c r="D516" t="inlineStr">
        <is>
          <t>UPPSALA LÄN</t>
        </is>
      </c>
      <c r="E516" t="inlineStr">
        <is>
          <t>ÖSTHAMMAR</t>
        </is>
      </c>
      <c r="F516" t="inlineStr">
        <is>
          <t>Kyrkan</t>
        </is>
      </c>
      <c r="G516" t="n">
        <v>12.2</v>
      </c>
      <c r="H516" t="n">
        <v>0</v>
      </c>
      <c r="I516" t="n">
        <v>0</v>
      </c>
      <c r="J516" t="n">
        <v>0</v>
      </c>
      <c r="K516" t="n">
        <v>0</v>
      </c>
      <c r="L516" t="n">
        <v>0</v>
      </c>
      <c r="M516" t="n">
        <v>0</v>
      </c>
      <c r="N516" t="n">
        <v>0</v>
      </c>
      <c r="O516" t="n">
        <v>0</v>
      </c>
      <c r="P516" t="n">
        <v>0</v>
      </c>
      <c r="Q516" t="n">
        <v>0</v>
      </c>
      <c r="R516" s="2" t="inlineStr"/>
    </row>
    <row r="517" ht="15" customHeight="1">
      <c r="A517" t="inlineStr">
        <is>
          <t>A 26612-2023</t>
        </is>
      </c>
      <c r="B517" s="1" t="n">
        <v>45089</v>
      </c>
      <c r="C517" s="1" t="n">
        <v>46084</v>
      </c>
      <c r="D517" t="inlineStr">
        <is>
          <t>UPPSALA LÄN</t>
        </is>
      </c>
      <c r="E517" t="inlineStr">
        <is>
          <t>ÖSTHAMMAR</t>
        </is>
      </c>
      <c r="G517" t="n">
        <v>2.1</v>
      </c>
      <c r="H517" t="n">
        <v>0</v>
      </c>
      <c r="I517" t="n">
        <v>0</v>
      </c>
      <c r="J517" t="n">
        <v>0</v>
      </c>
      <c r="K517" t="n">
        <v>0</v>
      </c>
      <c r="L517" t="n">
        <v>0</v>
      </c>
      <c r="M517" t="n">
        <v>0</v>
      </c>
      <c r="N517" t="n">
        <v>0</v>
      </c>
      <c r="O517" t="n">
        <v>0</v>
      </c>
      <c r="P517" t="n">
        <v>0</v>
      </c>
      <c r="Q517" t="n">
        <v>0</v>
      </c>
      <c r="R517" s="2" t="inlineStr"/>
    </row>
    <row r="518" ht="15" customHeight="1">
      <c r="A518" t="inlineStr">
        <is>
          <t>A 37656-2025</t>
        </is>
      </c>
      <c r="B518" s="1" t="n">
        <v>45880</v>
      </c>
      <c r="C518" s="1" t="n">
        <v>46084</v>
      </c>
      <c r="D518" t="inlineStr">
        <is>
          <t>UPPSALA LÄN</t>
        </is>
      </c>
      <c r="E518" t="inlineStr">
        <is>
          <t>ÖSTHAMMAR</t>
        </is>
      </c>
      <c r="G518" t="n">
        <v>4.3</v>
      </c>
      <c r="H518" t="n">
        <v>0</v>
      </c>
      <c r="I518" t="n">
        <v>0</v>
      </c>
      <c r="J518" t="n">
        <v>0</v>
      </c>
      <c r="K518" t="n">
        <v>0</v>
      </c>
      <c r="L518" t="n">
        <v>0</v>
      </c>
      <c r="M518" t="n">
        <v>0</v>
      </c>
      <c r="N518" t="n">
        <v>0</v>
      </c>
      <c r="O518" t="n">
        <v>0</v>
      </c>
      <c r="P518" t="n">
        <v>0</v>
      </c>
      <c r="Q518" t="n">
        <v>0</v>
      </c>
      <c r="R518" s="2" t="inlineStr"/>
    </row>
    <row r="519" ht="15" customHeight="1">
      <c r="A519" t="inlineStr">
        <is>
          <t>A 1527-2025</t>
        </is>
      </c>
      <c r="B519" s="1" t="n">
        <v>45670</v>
      </c>
      <c r="C519" s="1" t="n">
        <v>46084</v>
      </c>
      <c r="D519" t="inlineStr">
        <is>
          <t>UPPSALA LÄN</t>
        </is>
      </c>
      <c r="E519" t="inlineStr">
        <is>
          <t>ÖSTHAMMAR</t>
        </is>
      </c>
      <c r="F519" t="inlineStr">
        <is>
          <t>Bergvik skog öst AB</t>
        </is>
      </c>
      <c r="G519" t="n">
        <v>7.7</v>
      </c>
      <c r="H519" t="n">
        <v>0</v>
      </c>
      <c r="I519" t="n">
        <v>0</v>
      </c>
      <c r="J519" t="n">
        <v>0</v>
      </c>
      <c r="K519" t="n">
        <v>0</v>
      </c>
      <c r="L519" t="n">
        <v>0</v>
      </c>
      <c r="M519" t="n">
        <v>0</v>
      </c>
      <c r="N519" t="n">
        <v>0</v>
      </c>
      <c r="O519" t="n">
        <v>0</v>
      </c>
      <c r="P519" t="n">
        <v>0</v>
      </c>
      <c r="Q519" t="n">
        <v>0</v>
      </c>
      <c r="R519" s="2" t="inlineStr"/>
    </row>
    <row r="520" ht="15" customHeight="1">
      <c r="A520" t="inlineStr">
        <is>
          <t>A 32244-2021</t>
        </is>
      </c>
      <c r="B520" s="1" t="n">
        <v>44371.45335648148</v>
      </c>
      <c r="C520" s="1" t="n">
        <v>46084</v>
      </c>
      <c r="D520" t="inlineStr">
        <is>
          <t>UPPSALA LÄN</t>
        </is>
      </c>
      <c r="E520" t="inlineStr">
        <is>
          <t>ÖSTHAMMAR</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4304-2025</t>
        </is>
      </c>
      <c r="B521" s="1" t="n">
        <v>45685.68193287037</v>
      </c>
      <c r="C521" s="1" t="n">
        <v>46084</v>
      </c>
      <c r="D521" t="inlineStr">
        <is>
          <t>UPPSALA LÄN</t>
        </is>
      </c>
      <c r="E521" t="inlineStr">
        <is>
          <t>ÖSTHAMMAR</t>
        </is>
      </c>
      <c r="G521" t="n">
        <v>1.2</v>
      </c>
      <c r="H521" t="n">
        <v>0</v>
      </c>
      <c r="I521" t="n">
        <v>0</v>
      </c>
      <c r="J521" t="n">
        <v>0</v>
      </c>
      <c r="K521" t="n">
        <v>0</v>
      </c>
      <c r="L521" t="n">
        <v>0</v>
      </c>
      <c r="M521" t="n">
        <v>0</v>
      </c>
      <c r="N521" t="n">
        <v>0</v>
      </c>
      <c r="O521" t="n">
        <v>0</v>
      </c>
      <c r="P521" t="n">
        <v>0</v>
      </c>
      <c r="Q521" t="n">
        <v>0</v>
      </c>
      <c r="R521" s="2" t="inlineStr"/>
    </row>
    <row r="522" ht="15" customHeight="1">
      <c r="A522" t="inlineStr">
        <is>
          <t>A 37764-2025</t>
        </is>
      </c>
      <c r="B522" s="1" t="n">
        <v>45880.70917824074</v>
      </c>
      <c r="C522" s="1" t="n">
        <v>46084</v>
      </c>
      <c r="D522" t="inlineStr">
        <is>
          <t>UPPSALA LÄN</t>
        </is>
      </c>
      <c r="E522" t="inlineStr">
        <is>
          <t>ÖSTHAMMAR</t>
        </is>
      </c>
      <c r="G522" t="n">
        <v>4.6</v>
      </c>
      <c r="H522" t="n">
        <v>0</v>
      </c>
      <c r="I522" t="n">
        <v>0</v>
      </c>
      <c r="J522" t="n">
        <v>0</v>
      </c>
      <c r="K522" t="n">
        <v>0</v>
      </c>
      <c r="L522" t="n">
        <v>0</v>
      </c>
      <c r="M522" t="n">
        <v>0</v>
      </c>
      <c r="N522" t="n">
        <v>0</v>
      </c>
      <c r="O522" t="n">
        <v>0</v>
      </c>
      <c r="P522" t="n">
        <v>0</v>
      </c>
      <c r="Q522" t="n">
        <v>0</v>
      </c>
      <c r="R522" s="2" t="inlineStr"/>
    </row>
    <row r="523" ht="15" customHeight="1">
      <c r="A523" t="inlineStr">
        <is>
          <t>A 54647-2025</t>
        </is>
      </c>
      <c r="B523" s="1" t="n">
        <v>45966.37258101852</v>
      </c>
      <c r="C523" s="1" t="n">
        <v>46084</v>
      </c>
      <c r="D523" t="inlineStr">
        <is>
          <t>UPPSALA LÄN</t>
        </is>
      </c>
      <c r="E523" t="inlineStr">
        <is>
          <t>ÖSTHAMMAR</t>
        </is>
      </c>
      <c r="G523" t="n">
        <v>4.3</v>
      </c>
      <c r="H523" t="n">
        <v>0</v>
      </c>
      <c r="I523" t="n">
        <v>0</v>
      </c>
      <c r="J523" t="n">
        <v>0</v>
      </c>
      <c r="K523" t="n">
        <v>0</v>
      </c>
      <c r="L523" t="n">
        <v>0</v>
      </c>
      <c r="M523" t="n">
        <v>0</v>
      </c>
      <c r="N523" t="n">
        <v>0</v>
      </c>
      <c r="O523" t="n">
        <v>0</v>
      </c>
      <c r="P523" t="n">
        <v>0</v>
      </c>
      <c r="Q523" t="n">
        <v>0</v>
      </c>
      <c r="R523" s="2" t="inlineStr"/>
    </row>
    <row r="524" ht="15" customHeight="1">
      <c r="A524" t="inlineStr">
        <is>
          <t>A 37770-2025</t>
        </is>
      </c>
      <c r="B524" s="1" t="n">
        <v>45880.7505787037</v>
      </c>
      <c r="C524" s="1" t="n">
        <v>46084</v>
      </c>
      <c r="D524" t="inlineStr">
        <is>
          <t>UPPSALA LÄN</t>
        </is>
      </c>
      <c r="E524" t="inlineStr">
        <is>
          <t>ÖSTHAMMAR</t>
        </is>
      </c>
      <c r="G524" t="n">
        <v>2.9</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46084</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5189-2025</t>
        </is>
      </c>
      <c r="B526" s="1" t="n">
        <v>45691</v>
      </c>
      <c r="C526" s="1" t="n">
        <v>46084</v>
      </c>
      <c r="D526" t="inlineStr">
        <is>
          <t>UPPSALA LÄN</t>
        </is>
      </c>
      <c r="E526" t="inlineStr">
        <is>
          <t>ÖSTHAMMAR</t>
        </is>
      </c>
      <c r="F526" t="inlineStr">
        <is>
          <t>Bergvik skog öst AB</t>
        </is>
      </c>
      <c r="G526" t="n">
        <v>24.4</v>
      </c>
      <c r="H526" t="n">
        <v>0</v>
      </c>
      <c r="I526" t="n">
        <v>0</v>
      </c>
      <c r="J526" t="n">
        <v>0</v>
      </c>
      <c r="K526" t="n">
        <v>0</v>
      </c>
      <c r="L526" t="n">
        <v>0</v>
      </c>
      <c r="M526" t="n">
        <v>0</v>
      </c>
      <c r="N526" t="n">
        <v>0</v>
      </c>
      <c r="O526" t="n">
        <v>0</v>
      </c>
      <c r="P526" t="n">
        <v>0</v>
      </c>
      <c r="Q526" t="n">
        <v>0</v>
      </c>
      <c r="R526" s="2" t="inlineStr"/>
    </row>
    <row r="527" ht="15" customHeight="1">
      <c r="A527" t="inlineStr">
        <is>
          <t>A 55298-2025</t>
        </is>
      </c>
      <c r="B527" s="1" t="n">
        <v>45969.76908564815</v>
      </c>
      <c r="C527" s="1" t="n">
        <v>46084</v>
      </c>
      <c r="D527" t="inlineStr">
        <is>
          <t>UPPSALA LÄN</t>
        </is>
      </c>
      <c r="E527" t="inlineStr">
        <is>
          <t>ÖSTHAMMAR</t>
        </is>
      </c>
      <c r="F527" t="inlineStr">
        <is>
          <t>Bergvik skog öst AB</t>
        </is>
      </c>
      <c r="G527" t="n">
        <v>3.6</v>
      </c>
      <c r="H527" t="n">
        <v>0</v>
      </c>
      <c r="I527" t="n">
        <v>0</v>
      </c>
      <c r="J527" t="n">
        <v>0</v>
      </c>
      <c r="K527" t="n">
        <v>0</v>
      </c>
      <c r="L527" t="n">
        <v>0</v>
      </c>
      <c r="M527" t="n">
        <v>0</v>
      </c>
      <c r="N527" t="n">
        <v>0</v>
      </c>
      <c r="O527" t="n">
        <v>0</v>
      </c>
      <c r="P527" t="n">
        <v>0</v>
      </c>
      <c r="Q527" t="n">
        <v>0</v>
      </c>
      <c r="R527" s="2" t="inlineStr"/>
    </row>
    <row r="528" ht="15" customHeight="1">
      <c r="A528" t="inlineStr">
        <is>
          <t>A 60079-2022</t>
        </is>
      </c>
      <c r="B528" s="1" t="n">
        <v>44909</v>
      </c>
      <c r="C528" s="1" t="n">
        <v>46084</v>
      </c>
      <c r="D528" t="inlineStr">
        <is>
          <t>UPPSALA LÄN</t>
        </is>
      </c>
      <c r="E528" t="inlineStr">
        <is>
          <t>ÖSTHAMMAR</t>
        </is>
      </c>
      <c r="G528" t="n">
        <v>9.6</v>
      </c>
      <c r="H528" t="n">
        <v>0</v>
      </c>
      <c r="I528" t="n">
        <v>0</v>
      </c>
      <c r="J528" t="n">
        <v>0</v>
      </c>
      <c r="K528" t="n">
        <v>0</v>
      </c>
      <c r="L528" t="n">
        <v>0</v>
      </c>
      <c r="M528" t="n">
        <v>0</v>
      </c>
      <c r="N528" t="n">
        <v>0</v>
      </c>
      <c r="O528" t="n">
        <v>0</v>
      </c>
      <c r="P528" t="n">
        <v>0</v>
      </c>
      <c r="Q528" t="n">
        <v>0</v>
      </c>
      <c r="R528" s="2" t="inlineStr"/>
    </row>
    <row r="529" ht="15" customHeight="1">
      <c r="A529" t="inlineStr">
        <is>
          <t>A 53735-2023</t>
        </is>
      </c>
      <c r="B529" s="1" t="n">
        <v>45230.77258101852</v>
      </c>
      <c r="C529" s="1" t="n">
        <v>46084</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7118-2023</t>
        </is>
      </c>
      <c r="B530" s="1" t="n">
        <v>44970.39591435185</v>
      </c>
      <c r="C530" s="1" t="n">
        <v>46084</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38702-2022</t>
        </is>
      </c>
      <c r="B531" s="1" t="n">
        <v>44814.5991087963</v>
      </c>
      <c r="C531" s="1" t="n">
        <v>46084</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55163-2025</t>
        </is>
      </c>
      <c r="B532" s="1" t="n">
        <v>45968.48032407407</v>
      </c>
      <c r="C532" s="1" t="n">
        <v>46084</v>
      </c>
      <c r="D532" t="inlineStr">
        <is>
          <t>UPPSALA LÄN</t>
        </is>
      </c>
      <c r="E532" t="inlineStr">
        <is>
          <t>ÖSTHAMMAR</t>
        </is>
      </c>
      <c r="G532" t="n">
        <v>1.8</v>
      </c>
      <c r="H532" t="n">
        <v>0</v>
      </c>
      <c r="I532" t="n">
        <v>0</v>
      </c>
      <c r="J532" t="n">
        <v>0</v>
      </c>
      <c r="K532" t="n">
        <v>0</v>
      </c>
      <c r="L532" t="n">
        <v>0</v>
      </c>
      <c r="M532" t="n">
        <v>0</v>
      </c>
      <c r="N532" t="n">
        <v>0</v>
      </c>
      <c r="O532" t="n">
        <v>0</v>
      </c>
      <c r="P532" t="n">
        <v>0</v>
      </c>
      <c r="Q532" t="n">
        <v>0</v>
      </c>
      <c r="R532" s="2" t="inlineStr"/>
    </row>
    <row r="533" ht="15" customHeight="1">
      <c r="A533" t="inlineStr">
        <is>
          <t>A 55798-2025</t>
        </is>
      </c>
      <c r="B533" s="1" t="n">
        <v>45972.66209490741</v>
      </c>
      <c r="C533" s="1" t="n">
        <v>46084</v>
      </c>
      <c r="D533" t="inlineStr">
        <is>
          <t>UPPSALA LÄN</t>
        </is>
      </c>
      <c r="E533" t="inlineStr">
        <is>
          <t>ÖSTHAMMAR</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1439-2025</t>
        </is>
      </c>
      <c r="B534" s="1" t="n">
        <v>45669.69075231482</v>
      </c>
      <c r="C534" s="1" t="n">
        <v>46084</v>
      </c>
      <c r="D534" t="inlineStr">
        <is>
          <t>UPPSALA LÄN</t>
        </is>
      </c>
      <c r="E534" t="inlineStr">
        <is>
          <t>ÖSTHAMMAR</t>
        </is>
      </c>
      <c r="G534" t="n">
        <v>1</v>
      </c>
      <c r="H534" t="n">
        <v>0</v>
      </c>
      <c r="I534" t="n">
        <v>0</v>
      </c>
      <c r="J534" t="n">
        <v>0</v>
      </c>
      <c r="K534" t="n">
        <v>0</v>
      </c>
      <c r="L534" t="n">
        <v>0</v>
      </c>
      <c r="M534" t="n">
        <v>0</v>
      </c>
      <c r="N534" t="n">
        <v>0</v>
      </c>
      <c r="O534" t="n">
        <v>0</v>
      </c>
      <c r="P534" t="n">
        <v>0</v>
      </c>
      <c r="Q534" t="n">
        <v>0</v>
      </c>
      <c r="R534" s="2" t="inlineStr"/>
    </row>
    <row r="535" ht="15" customHeight="1">
      <c r="A535" t="inlineStr">
        <is>
          <t>A 1575-2025</t>
        </is>
      </c>
      <c r="B535" s="1" t="n">
        <v>45670</v>
      </c>
      <c r="C535" s="1" t="n">
        <v>46084</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40637-2022</t>
        </is>
      </c>
      <c r="B536" s="1" t="n">
        <v>44824</v>
      </c>
      <c r="C536" s="1" t="n">
        <v>46084</v>
      </c>
      <c r="D536" t="inlineStr">
        <is>
          <t>UPPSALA LÄN</t>
        </is>
      </c>
      <c r="E536" t="inlineStr">
        <is>
          <t>ÖSTHAMMAR</t>
        </is>
      </c>
      <c r="F536" t="inlineStr">
        <is>
          <t>Övriga Aktiebolag</t>
        </is>
      </c>
      <c r="G536" t="n">
        <v>3.7</v>
      </c>
      <c r="H536" t="n">
        <v>0</v>
      </c>
      <c r="I536" t="n">
        <v>0</v>
      </c>
      <c r="J536" t="n">
        <v>0</v>
      </c>
      <c r="K536" t="n">
        <v>0</v>
      </c>
      <c r="L536" t="n">
        <v>0</v>
      </c>
      <c r="M536" t="n">
        <v>0</v>
      </c>
      <c r="N536" t="n">
        <v>0</v>
      </c>
      <c r="O536" t="n">
        <v>0</v>
      </c>
      <c r="P536" t="n">
        <v>0</v>
      </c>
      <c r="Q536" t="n">
        <v>0</v>
      </c>
      <c r="R536" s="2" t="inlineStr"/>
    </row>
    <row r="537" ht="15" customHeight="1">
      <c r="A537" t="inlineStr">
        <is>
          <t>A 56518-2025</t>
        </is>
      </c>
      <c r="B537" s="1" t="n">
        <v>45975.4581712963</v>
      </c>
      <c r="C537" s="1" t="n">
        <v>46084</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8269-2026</t>
        </is>
      </c>
      <c r="B538" s="1" t="n">
        <v>46064.54721064815</v>
      </c>
      <c r="C538" s="1" t="n">
        <v>46084</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56260-2022</t>
        </is>
      </c>
      <c r="B539" s="1" t="n">
        <v>44890</v>
      </c>
      <c r="C539" s="1" t="n">
        <v>46084</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56682-2025</t>
        </is>
      </c>
      <c r="B540" s="1" t="n">
        <v>45975</v>
      </c>
      <c r="C540" s="1" t="n">
        <v>46084</v>
      </c>
      <c r="D540" t="inlineStr">
        <is>
          <t>UPPSALA LÄN</t>
        </is>
      </c>
      <c r="E540" t="inlineStr">
        <is>
          <t>ÖSTHAMMAR</t>
        </is>
      </c>
      <c r="G540" t="n">
        <v>3.9</v>
      </c>
      <c r="H540" t="n">
        <v>0</v>
      </c>
      <c r="I540" t="n">
        <v>0</v>
      </c>
      <c r="J540" t="n">
        <v>0</v>
      </c>
      <c r="K540" t="n">
        <v>0</v>
      </c>
      <c r="L540" t="n">
        <v>0</v>
      </c>
      <c r="M540" t="n">
        <v>0</v>
      </c>
      <c r="N540" t="n">
        <v>0</v>
      </c>
      <c r="O540" t="n">
        <v>0</v>
      </c>
      <c r="P540" t="n">
        <v>0</v>
      </c>
      <c r="Q540" t="n">
        <v>0</v>
      </c>
      <c r="R540" s="2" t="inlineStr"/>
    </row>
    <row r="541" ht="15" customHeight="1">
      <c r="A541" t="inlineStr">
        <is>
          <t>A 56582-2025</t>
        </is>
      </c>
      <c r="B541" s="1" t="n">
        <v>45975.54730324074</v>
      </c>
      <c r="C541" s="1" t="n">
        <v>46084</v>
      </c>
      <c r="D541" t="inlineStr">
        <is>
          <t>UPPSALA LÄN</t>
        </is>
      </c>
      <c r="E541" t="inlineStr">
        <is>
          <t>ÖSTHAMMAR</t>
        </is>
      </c>
      <c r="G541" t="n">
        <v>4.1</v>
      </c>
      <c r="H541" t="n">
        <v>0</v>
      </c>
      <c r="I541" t="n">
        <v>0</v>
      </c>
      <c r="J541" t="n">
        <v>0</v>
      </c>
      <c r="K541" t="n">
        <v>0</v>
      </c>
      <c r="L541" t="n">
        <v>0</v>
      </c>
      <c r="M541" t="n">
        <v>0</v>
      </c>
      <c r="N541" t="n">
        <v>0</v>
      </c>
      <c r="O541" t="n">
        <v>0</v>
      </c>
      <c r="P541" t="n">
        <v>0</v>
      </c>
      <c r="Q541" t="n">
        <v>0</v>
      </c>
      <c r="R541" s="2" t="inlineStr"/>
    </row>
    <row r="542" ht="15" customHeight="1">
      <c r="A542" t="inlineStr">
        <is>
          <t>A 56653-2025</t>
        </is>
      </c>
      <c r="B542" s="1" t="n">
        <v>45975.64628472222</v>
      </c>
      <c r="C542" s="1" t="n">
        <v>46084</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56658-2025</t>
        </is>
      </c>
      <c r="B543" s="1" t="n">
        <v>45975.65431712963</v>
      </c>
      <c r="C543" s="1" t="n">
        <v>46084</v>
      </c>
      <c r="D543" t="inlineStr">
        <is>
          <t>UPPSALA LÄN</t>
        </is>
      </c>
      <c r="E543" t="inlineStr">
        <is>
          <t>ÖSTHAMMAR</t>
        </is>
      </c>
      <c r="G543" t="n">
        <v>1.3</v>
      </c>
      <c r="H543" t="n">
        <v>0</v>
      </c>
      <c r="I543" t="n">
        <v>0</v>
      </c>
      <c r="J543" t="n">
        <v>0</v>
      </c>
      <c r="K543" t="n">
        <v>0</v>
      </c>
      <c r="L543" t="n">
        <v>0</v>
      </c>
      <c r="M543" t="n">
        <v>0</v>
      </c>
      <c r="N543" t="n">
        <v>0</v>
      </c>
      <c r="O543" t="n">
        <v>0</v>
      </c>
      <c r="P543" t="n">
        <v>0</v>
      </c>
      <c r="Q543" t="n">
        <v>0</v>
      </c>
      <c r="R543" s="2" t="inlineStr"/>
    </row>
    <row r="544" ht="15" customHeight="1">
      <c r="A544" t="inlineStr">
        <is>
          <t>A 8291-2026</t>
        </is>
      </c>
      <c r="B544" s="1" t="n">
        <v>46064.56945601852</v>
      </c>
      <c r="C544" s="1" t="n">
        <v>46084</v>
      </c>
      <c r="D544" t="inlineStr">
        <is>
          <t>UPPSALA LÄN</t>
        </is>
      </c>
      <c r="E544" t="inlineStr">
        <is>
          <t>ÖSTHAMMAR</t>
        </is>
      </c>
      <c r="G544" t="n">
        <v>4.5</v>
      </c>
      <c r="H544" t="n">
        <v>0</v>
      </c>
      <c r="I544" t="n">
        <v>0</v>
      </c>
      <c r="J544" t="n">
        <v>0</v>
      </c>
      <c r="K544" t="n">
        <v>0</v>
      </c>
      <c r="L544" t="n">
        <v>0</v>
      </c>
      <c r="M544" t="n">
        <v>0</v>
      </c>
      <c r="N544" t="n">
        <v>0</v>
      </c>
      <c r="O544" t="n">
        <v>0</v>
      </c>
      <c r="P544" t="n">
        <v>0</v>
      </c>
      <c r="Q544" t="n">
        <v>0</v>
      </c>
      <c r="R544" s="2" t="inlineStr"/>
    </row>
    <row r="545" ht="15" customHeight="1">
      <c r="A545" t="inlineStr">
        <is>
          <t>A 8525-2026</t>
        </is>
      </c>
      <c r="B545" s="1" t="n">
        <v>46065.58760416666</v>
      </c>
      <c r="C545" s="1" t="n">
        <v>46084</v>
      </c>
      <c r="D545" t="inlineStr">
        <is>
          <t>UPPSALA LÄN</t>
        </is>
      </c>
      <c r="E545" t="inlineStr">
        <is>
          <t>ÖSTHAMMAR</t>
        </is>
      </c>
      <c r="F545" t="inlineStr">
        <is>
          <t>Övriga Aktiebolag</t>
        </is>
      </c>
      <c r="G545" t="n">
        <v>4.8</v>
      </c>
      <c r="H545" t="n">
        <v>0</v>
      </c>
      <c r="I545" t="n">
        <v>0</v>
      </c>
      <c r="J545" t="n">
        <v>0</v>
      </c>
      <c r="K545" t="n">
        <v>0</v>
      </c>
      <c r="L545" t="n">
        <v>0</v>
      </c>
      <c r="M545" t="n">
        <v>0</v>
      </c>
      <c r="N545" t="n">
        <v>0</v>
      </c>
      <c r="O545" t="n">
        <v>0</v>
      </c>
      <c r="P545" t="n">
        <v>0</v>
      </c>
      <c r="Q545" t="n">
        <v>0</v>
      </c>
      <c r="R545" s="2" t="inlineStr"/>
    </row>
    <row r="546" ht="15" customHeight="1">
      <c r="A546" t="inlineStr">
        <is>
          <t>A 8530-2026</t>
        </is>
      </c>
      <c r="B546" s="1" t="n">
        <v>46065.60075231481</v>
      </c>
      <c r="C546" s="1" t="n">
        <v>46084</v>
      </c>
      <c r="D546" t="inlineStr">
        <is>
          <t>UPPSALA LÄN</t>
        </is>
      </c>
      <c r="E546" t="inlineStr">
        <is>
          <t>ÖSTHAMMAR</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56757-2025</t>
        </is>
      </c>
      <c r="B547" s="1" t="n">
        <v>45978.37162037037</v>
      </c>
      <c r="C547" s="1" t="n">
        <v>46084</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62394-2022</t>
        </is>
      </c>
      <c r="B548" s="1" t="n">
        <v>44923.82017361111</v>
      </c>
      <c r="C548" s="1" t="n">
        <v>46084</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56942-2025</t>
        </is>
      </c>
      <c r="B549" s="1" t="n">
        <v>45978.62611111111</v>
      </c>
      <c r="C549" s="1" t="n">
        <v>46084</v>
      </c>
      <c r="D549" t="inlineStr">
        <is>
          <t>UPPSALA LÄN</t>
        </is>
      </c>
      <c r="E549" t="inlineStr">
        <is>
          <t>ÖSTHAMMAR</t>
        </is>
      </c>
      <c r="G549" t="n">
        <v>3.2</v>
      </c>
      <c r="H549" t="n">
        <v>0</v>
      </c>
      <c r="I549" t="n">
        <v>0</v>
      </c>
      <c r="J549" t="n">
        <v>0</v>
      </c>
      <c r="K549" t="n">
        <v>0</v>
      </c>
      <c r="L549" t="n">
        <v>0</v>
      </c>
      <c r="M549" t="n">
        <v>0</v>
      </c>
      <c r="N549" t="n">
        <v>0</v>
      </c>
      <c r="O549" t="n">
        <v>0</v>
      </c>
      <c r="P549" t="n">
        <v>0</v>
      </c>
      <c r="Q549" t="n">
        <v>0</v>
      </c>
      <c r="R549" s="2" t="inlineStr"/>
    </row>
    <row r="550" ht="15" customHeight="1">
      <c r="A550" t="inlineStr">
        <is>
          <t>A 223-2026</t>
        </is>
      </c>
      <c r="B550" s="1" t="n">
        <v>46026.84339120371</v>
      </c>
      <c r="C550" s="1" t="n">
        <v>46084</v>
      </c>
      <c r="D550" t="inlineStr">
        <is>
          <t>UPPSALA LÄN</t>
        </is>
      </c>
      <c r="E550" t="inlineStr">
        <is>
          <t>ÖSTHAMMAR</t>
        </is>
      </c>
      <c r="G550" t="n">
        <v>39.2</v>
      </c>
      <c r="H550" t="n">
        <v>0</v>
      </c>
      <c r="I550" t="n">
        <v>0</v>
      </c>
      <c r="J550" t="n">
        <v>0</v>
      </c>
      <c r="K550" t="n">
        <v>0</v>
      </c>
      <c r="L550" t="n">
        <v>0</v>
      </c>
      <c r="M550" t="n">
        <v>0</v>
      </c>
      <c r="N550" t="n">
        <v>0</v>
      </c>
      <c r="O550" t="n">
        <v>0</v>
      </c>
      <c r="P550" t="n">
        <v>0</v>
      </c>
      <c r="Q550" t="n">
        <v>0</v>
      </c>
      <c r="R550" s="2" t="inlineStr"/>
    </row>
    <row r="551" ht="15" customHeight="1">
      <c r="A551" t="inlineStr">
        <is>
          <t>A 22709-2021</t>
        </is>
      </c>
      <c r="B551" s="1" t="n">
        <v>44327.61518518518</v>
      </c>
      <c r="C551" s="1" t="n">
        <v>46084</v>
      </c>
      <c r="D551" t="inlineStr">
        <is>
          <t>UPPSALA LÄN</t>
        </is>
      </c>
      <c r="E551" t="inlineStr">
        <is>
          <t>ÖSTHAMMAR</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56748-2025</t>
        </is>
      </c>
      <c r="B552" s="1" t="n">
        <v>45978.36412037037</v>
      </c>
      <c r="C552" s="1" t="n">
        <v>46084</v>
      </c>
      <c r="D552" t="inlineStr">
        <is>
          <t>UPPSALA LÄN</t>
        </is>
      </c>
      <c r="E552" t="inlineStr">
        <is>
          <t>ÖSTHAMMAR</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8616-2023</t>
        </is>
      </c>
      <c r="B553" s="1" t="n">
        <v>44977</v>
      </c>
      <c r="C553" s="1" t="n">
        <v>46084</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56745-2025</t>
        </is>
      </c>
      <c r="B554" s="1" t="n">
        <v>45978.36157407407</v>
      </c>
      <c r="C554" s="1" t="n">
        <v>46084</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57257-2025</t>
        </is>
      </c>
      <c r="B555" s="1" t="n">
        <v>45979.65149305556</v>
      </c>
      <c r="C555" s="1" t="n">
        <v>46084</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57248-2025</t>
        </is>
      </c>
      <c r="B556" s="1" t="n">
        <v>45979.635625</v>
      </c>
      <c r="C556" s="1" t="n">
        <v>46084</v>
      </c>
      <c r="D556" t="inlineStr">
        <is>
          <t>UPPSALA LÄN</t>
        </is>
      </c>
      <c r="E556" t="inlineStr">
        <is>
          <t>ÖSTHAMMAR</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56754-2025</t>
        </is>
      </c>
      <c r="B557" s="1" t="n">
        <v>45978.36700231482</v>
      </c>
      <c r="C557" s="1" t="n">
        <v>46084</v>
      </c>
      <c r="D557" t="inlineStr">
        <is>
          <t>UPPSALA LÄN</t>
        </is>
      </c>
      <c r="E557" t="inlineStr">
        <is>
          <t>ÖSTHAMMAR</t>
        </is>
      </c>
      <c r="G557" t="n">
        <v>0.9</v>
      </c>
      <c r="H557" t="n">
        <v>0</v>
      </c>
      <c r="I557" t="n">
        <v>0</v>
      </c>
      <c r="J557" t="n">
        <v>0</v>
      </c>
      <c r="K557" t="n">
        <v>0</v>
      </c>
      <c r="L557" t="n">
        <v>0</v>
      </c>
      <c r="M557" t="n">
        <v>0</v>
      </c>
      <c r="N557" t="n">
        <v>0</v>
      </c>
      <c r="O557" t="n">
        <v>0</v>
      </c>
      <c r="P557" t="n">
        <v>0</v>
      </c>
      <c r="Q557" t="n">
        <v>0</v>
      </c>
      <c r="R557" s="2" t="inlineStr"/>
    </row>
    <row r="558" ht="15" customHeight="1">
      <c r="A558" t="inlineStr">
        <is>
          <t>A 56753-2025</t>
        </is>
      </c>
      <c r="B558" s="1" t="n">
        <v>45978.36677083333</v>
      </c>
      <c r="C558" s="1" t="n">
        <v>46084</v>
      </c>
      <c r="D558" t="inlineStr">
        <is>
          <t>UPPSALA LÄN</t>
        </is>
      </c>
      <c r="E558" t="inlineStr">
        <is>
          <t>ÖSTHAMMAR</t>
        </is>
      </c>
      <c r="F558" t="inlineStr">
        <is>
          <t>Sveaskog</t>
        </is>
      </c>
      <c r="G558" t="n">
        <v>8.6</v>
      </c>
      <c r="H558" t="n">
        <v>0</v>
      </c>
      <c r="I558" t="n">
        <v>0</v>
      </c>
      <c r="J558" t="n">
        <v>0</v>
      </c>
      <c r="K558" t="n">
        <v>0</v>
      </c>
      <c r="L558" t="n">
        <v>0</v>
      </c>
      <c r="M558" t="n">
        <v>0</v>
      </c>
      <c r="N558" t="n">
        <v>0</v>
      </c>
      <c r="O558" t="n">
        <v>0</v>
      </c>
      <c r="P558" t="n">
        <v>0</v>
      </c>
      <c r="Q558" t="n">
        <v>0</v>
      </c>
      <c r="R558" s="2" t="inlineStr"/>
    </row>
    <row r="559" ht="15" customHeight="1">
      <c r="A559" t="inlineStr">
        <is>
          <t>A 56823-2025</t>
        </is>
      </c>
      <c r="B559" s="1" t="n">
        <v>45978.46484953703</v>
      </c>
      <c r="C559" s="1" t="n">
        <v>46084</v>
      </c>
      <c r="D559" t="inlineStr">
        <is>
          <t>UPPSALA LÄN</t>
        </is>
      </c>
      <c r="E559" t="inlineStr">
        <is>
          <t>ÖSTHAMMAR</t>
        </is>
      </c>
      <c r="G559" t="n">
        <v>0.1</v>
      </c>
      <c r="H559" t="n">
        <v>0</v>
      </c>
      <c r="I559" t="n">
        <v>0</v>
      </c>
      <c r="J559" t="n">
        <v>0</v>
      </c>
      <c r="K559" t="n">
        <v>0</v>
      </c>
      <c r="L559" t="n">
        <v>0</v>
      </c>
      <c r="M559" t="n">
        <v>0</v>
      </c>
      <c r="N559" t="n">
        <v>0</v>
      </c>
      <c r="O559" t="n">
        <v>0</v>
      </c>
      <c r="P559" t="n">
        <v>0</v>
      </c>
      <c r="Q559" t="n">
        <v>0</v>
      </c>
      <c r="R559" s="2" t="inlineStr"/>
    </row>
    <row r="560" ht="15" customHeight="1">
      <c r="A560" t="inlineStr">
        <is>
          <t>A 360-2026</t>
        </is>
      </c>
      <c r="B560" s="1" t="n">
        <v>46027.66442129629</v>
      </c>
      <c r="C560" s="1" t="n">
        <v>46084</v>
      </c>
      <c r="D560" t="inlineStr">
        <is>
          <t>UPPSALA LÄN</t>
        </is>
      </c>
      <c r="E560" t="inlineStr">
        <is>
          <t>ÖSTHAMMAR</t>
        </is>
      </c>
      <c r="F560" t="inlineStr">
        <is>
          <t>Bergvik skog öst AB</t>
        </is>
      </c>
      <c r="G560" t="n">
        <v>7.9</v>
      </c>
      <c r="H560" t="n">
        <v>0</v>
      </c>
      <c r="I560" t="n">
        <v>0</v>
      </c>
      <c r="J560" t="n">
        <v>0</v>
      </c>
      <c r="K560" t="n">
        <v>0</v>
      </c>
      <c r="L560" t="n">
        <v>0</v>
      </c>
      <c r="M560" t="n">
        <v>0</v>
      </c>
      <c r="N560" t="n">
        <v>0</v>
      </c>
      <c r="O560" t="n">
        <v>0</v>
      </c>
      <c r="P560" t="n">
        <v>0</v>
      </c>
      <c r="Q560" t="n">
        <v>0</v>
      </c>
      <c r="R560" s="2" t="inlineStr"/>
    </row>
    <row r="561" ht="15" customHeight="1">
      <c r="A561" t="inlineStr">
        <is>
          <t>A 57154-2025</t>
        </is>
      </c>
      <c r="B561" s="1" t="n">
        <v>45979.51086805556</v>
      </c>
      <c r="C561" s="1" t="n">
        <v>46084</v>
      </c>
      <c r="D561" t="inlineStr">
        <is>
          <t>UPPSALA LÄN</t>
        </is>
      </c>
      <c r="E561" t="inlineStr">
        <is>
          <t>ÖSTHAMMAR</t>
        </is>
      </c>
      <c r="G561" t="n">
        <v>1.9</v>
      </c>
      <c r="H561" t="n">
        <v>0</v>
      </c>
      <c r="I561" t="n">
        <v>0</v>
      </c>
      <c r="J561" t="n">
        <v>0</v>
      </c>
      <c r="K561" t="n">
        <v>0</v>
      </c>
      <c r="L561" t="n">
        <v>0</v>
      </c>
      <c r="M561" t="n">
        <v>0</v>
      </c>
      <c r="N561" t="n">
        <v>0</v>
      </c>
      <c r="O561" t="n">
        <v>0</v>
      </c>
      <c r="P561" t="n">
        <v>0</v>
      </c>
      <c r="Q561" t="n">
        <v>0</v>
      </c>
      <c r="R561" s="2" t="inlineStr"/>
    </row>
    <row r="562" ht="15" customHeight="1">
      <c r="A562" t="inlineStr">
        <is>
          <t>A 41538-2021</t>
        </is>
      </c>
      <c r="B562" s="1" t="n">
        <v>44425.35016203704</v>
      </c>
      <c r="C562" s="1" t="n">
        <v>46084</v>
      </c>
      <c r="D562" t="inlineStr">
        <is>
          <t>UPPSALA LÄN</t>
        </is>
      </c>
      <c r="E562" t="inlineStr">
        <is>
          <t>ÖSTHAMMAR</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34742-2022</t>
        </is>
      </c>
      <c r="B563" s="1" t="n">
        <v>44795.61990740741</v>
      </c>
      <c r="C563" s="1" t="n">
        <v>46084</v>
      </c>
      <c r="D563" t="inlineStr">
        <is>
          <t>UPPSALA LÄN</t>
        </is>
      </c>
      <c r="E563" t="inlineStr">
        <is>
          <t>ÖSTHAMMAR</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285-2026</t>
        </is>
      </c>
      <c r="B564" s="1" t="n">
        <v>46027.49130787037</v>
      </c>
      <c r="C564" s="1" t="n">
        <v>46084</v>
      </c>
      <c r="D564" t="inlineStr">
        <is>
          <t>UPPSALA LÄN</t>
        </is>
      </c>
      <c r="E564" t="inlineStr">
        <is>
          <t>ÖSTHAMMAR</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8789-2026</t>
        </is>
      </c>
      <c r="B565" s="1" t="n">
        <v>46066.58792824074</v>
      </c>
      <c r="C565" s="1" t="n">
        <v>46084</v>
      </c>
      <c r="D565" t="inlineStr">
        <is>
          <t>UPPSALA LÄN</t>
        </is>
      </c>
      <c r="E565" t="inlineStr">
        <is>
          <t>ÖSTHAMMAR</t>
        </is>
      </c>
      <c r="G565" t="n">
        <v>0.9</v>
      </c>
      <c r="H565" t="n">
        <v>0</v>
      </c>
      <c r="I565" t="n">
        <v>0</v>
      </c>
      <c r="J565" t="n">
        <v>0</v>
      </c>
      <c r="K565" t="n">
        <v>0</v>
      </c>
      <c r="L565" t="n">
        <v>0</v>
      </c>
      <c r="M565" t="n">
        <v>0</v>
      </c>
      <c r="N565" t="n">
        <v>0</v>
      </c>
      <c r="O565" t="n">
        <v>0</v>
      </c>
      <c r="P565" t="n">
        <v>0</v>
      </c>
      <c r="Q565" t="n">
        <v>0</v>
      </c>
      <c r="R565" s="2" t="inlineStr"/>
    </row>
    <row r="566" ht="15" customHeight="1">
      <c r="A566" t="inlineStr">
        <is>
          <t>A 4096-2025</t>
        </is>
      </c>
      <c r="B566" s="1" t="n">
        <v>45684</v>
      </c>
      <c r="C566" s="1" t="n">
        <v>46084</v>
      </c>
      <c r="D566" t="inlineStr">
        <is>
          <t>UPPSALA LÄN</t>
        </is>
      </c>
      <c r="E566" t="inlineStr">
        <is>
          <t>ÖSTHAMMAR</t>
        </is>
      </c>
      <c r="G566" t="n">
        <v>2</v>
      </c>
      <c r="H566" t="n">
        <v>0</v>
      </c>
      <c r="I566" t="n">
        <v>0</v>
      </c>
      <c r="J566" t="n">
        <v>0</v>
      </c>
      <c r="K566" t="n">
        <v>0</v>
      </c>
      <c r="L566" t="n">
        <v>0</v>
      </c>
      <c r="M566" t="n">
        <v>0</v>
      </c>
      <c r="N566" t="n">
        <v>0</v>
      </c>
      <c r="O566" t="n">
        <v>0</v>
      </c>
      <c r="P566" t="n">
        <v>0</v>
      </c>
      <c r="Q566" t="n">
        <v>0</v>
      </c>
      <c r="R566" s="2" t="inlineStr"/>
    </row>
    <row r="567" ht="15" customHeight="1">
      <c r="A567" t="inlineStr">
        <is>
          <t>A 362-2026</t>
        </is>
      </c>
      <c r="B567" s="1" t="n">
        <v>46027.6659375</v>
      </c>
      <c r="C567" s="1" t="n">
        <v>46084</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55090-2024</t>
        </is>
      </c>
      <c r="B568" s="1" t="n">
        <v>45621.4350462963</v>
      </c>
      <c r="C568" s="1" t="n">
        <v>46084</v>
      </c>
      <c r="D568" t="inlineStr">
        <is>
          <t>UPPSALA LÄN</t>
        </is>
      </c>
      <c r="E568" t="inlineStr">
        <is>
          <t>ÖSTHAMMAR</t>
        </is>
      </c>
      <c r="F568" t="inlineStr">
        <is>
          <t>Sveaskog</t>
        </is>
      </c>
      <c r="G568" t="n">
        <v>4.4</v>
      </c>
      <c r="H568" t="n">
        <v>0</v>
      </c>
      <c r="I568" t="n">
        <v>0</v>
      </c>
      <c r="J568" t="n">
        <v>0</v>
      </c>
      <c r="K568" t="n">
        <v>0</v>
      </c>
      <c r="L568" t="n">
        <v>0</v>
      </c>
      <c r="M568" t="n">
        <v>0</v>
      </c>
      <c r="N568" t="n">
        <v>0</v>
      </c>
      <c r="O568" t="n">
        <v>0</v>
      </c>
      <c r="P568" t="n">
        <v>0</v>
      </c>
      <c r="Q568" t="n">
        <v>0</v>
      </c>
      <c r="R568" s="2" t="inlineStr"/>
    </row>
    <row r="569" ht="15" customHeight="1">
      <c r="A569" t="inlineStr">
        <is>
          <t>A 55093-2024</t>
        </is>
      </c>
      <c r="B569" s="1" t="n">
        <v>45621.43712962963</v>
      </c>
      <c r="C569" s="1" t="n">
        <v>46084</v>
      </c>
      <c r="D569" t="inlineStr">
        <is>
          <t>UPPSALA LÄN</t>
        </is>
      </c>
      <c r="E569" t="inlineStr">
        <is>
          <t>ÖSTHAMMAR</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55097-2024</t>
        </is>
      </c>
      <c r="B570" s="1" t="n">
        <v>45621.43855324074</v>
      </c>
      <c r="C570" s="1" t="n">
        <v>46084</v>
      </c>
      <c r="D570" t="inlineStr">
        <is>
          <t>UPPSALA LÄN</t>
        </is>
      </c>
      <c r="E570" t="inlineStr">
        <is>
          <t>ÖSTHAMMAR</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57907-2025</t>
        </is>
      </c>
      <c r="B571" s="1" t="n">
        <v>45981.78840277778</v>
      </c>
      <c r="C571" s="1" t="n">
        <v>46084</v>
      </c>
      <c r="D571" t="inlineStr">
        <is>
          <t>UPPSALA LÄN</t>
        </is>
      </c>
      <c r="E571" t="inlineStr">
        <is>
          <t>ÖSTHAMMAR</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57908-2025</t>
        </is>
      </c>
      <c r="B572" s="1" t="n">
        <v>45981.78886574074</v>
      </c>
      <c r="C572" s="1" t="n">
        <v>46084</v>
      </c>
      <c r="D572" t="inlineStr">
        <is>
          <t>UPPSALA LÄN</t>
        </is>
      </c>
      <c r="E572" t="inlineStr">
        <is>
          <t>ÖSTHAMMAR</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38571-2023</t>
        </is>
      </c>
      <c r="B573" s="1" t="n">
        <v>45162.6177662037</v>
      </c>
      <c r="C573" s="1" t="n">
        <v>46084</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58399-2025</t>
        </is>
      </c>
      <c r="B574" s="1" t="n">
        <v>45985.56244212963</v>
      </c>
      <c r="C574" s="1" t="n">
        <v>46084</v>
      </c>
      <c r="D574" t="inlineStr">
        <is>
          <t>UPPSALA LÄN</t>
        </is>
      </c>
      <c r="E574" t="inlineStr">
        <is>
          <t>ÖSTHAMMAR</t>
        </is>
      </c>
      <c r="G574" t="n">
        <v>2.6</v>
      </c>
      <c r="H574" t="n">
        <v>0</v>
      </c>
      <c r="I574" t="n">
        <v>0</v>
      </c>
      <c r="J574" t="n">
        <v>0</v>
      </c>
      <c r="K574" t="n">
        <v>0</v>
      </c>
      <c r="L574" t="n">
        <v>0</v>
      </c>
      <c r="M574" t="n">
        <v>0</v>
      </c>
      <c r="N574" t="n">
        <v>0</v>
      </c>
      <c r="O574" t="n">
        <v>0</v>
      </c>
      <c r="P574" t="n">
        <v>0</v>
      </c>
      <c r="Q574" t="n">
        <v>0</v>
      </c>
      <c r="R574" s="2" t="inlineStr"/>
    </row>
    <row r="575" ht="15" customHeight="1">
      <c r="A575" t="inlineStr">
        <is>
          <t>A 638-2026</t>
        </is>
      </c>
      <c r="B575" s="1" t="n">
        <v>46029.56026620371</v>
      </c>
      <c r="C575" s="1" t="n">
        <v>46084</v>
      </c>
      <c r="D575" t="inlineStr">
        <is>
          <t>UPPSALA LÄN</t>
        </is>
      </c>
      <c r="E575" t="inlineStr">
        <is>
          <t>ÖSTHAMMAR</t>
        </is>
      </c>
      <c r="F575" t="inlineStr">
        <is>
          <t>Bergvik skog öst AB</t>
        </is>
      </c>
      <c r="G575" t="n">
        <v>6.1</v>
      </c>
      <c r="H575" t="n">
        <v>0</v>
      </c>
      <c r="I575" t="n">
        <v>0</v>
      </c>
      <c r="J575" t="n">
        <v>0</v>
      </c>
      <c r="K575" t="n">
        <v>0</v>
      </c>
      <c r="L575" t="n">
        <v>0</v>
      </c>
      <c r="M575" t="n">
        <v>0</v>
      </c>
      <c r="N575" t="n">
        <v>0</v>
      </c>
      <c r="O575" t="n">
        <v>0</v>
      </c>
      <c r="P575" t="n">
        <v>0</v>
      </c>
      <c r="Q575" t="n">
        <v>0</v>
      </c>
      <c r="R575" s="2" t="inlineStr"/>
    </row>
    <row r="576" ht="15" customHeight="1">
      <c r="A576" t="inlineStr">
        <is>
          <t>A 5884-2023</t>
        </is>
      </c>
      <c r="B576" s="1" t="n">
        <v>44963</v>
      </c>
      <c r="C576" s="1" t="n">
        <v>46084</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31896-2025</t>
        </is>
      </c>
      <c r="B577" s="1" t="n">
        <v>45834.67556712963</v>
      </c>
      <c r="C577" s="1" t="n">
        <v>46084</v>
      </c>
      <c r="D577" t="inlineStr">
        <is>
          <t>UPPSALA LÄN</t>
        </is>
      </c>
      <c r="E577" t="inlineStr">
        <is>
          <t>ÖSTHAMMAR</t>
        </is>
      </c>
      <c r="G577" t="n">
        <v>4.1</v>
      </c>
      <c r="H577" t="n">
        <v>0</v>
      </c>
      <c r="I577" t="n">
        <v>0</v>
      </c>
      <c r="J577" t="n">
        <v>0</v>
      </c>
      <c r="K577" t="n">
        <v>0</v>
      </c>
      <c r="L577" t="n">
        <v>0</v>
      </c>
      <c r="M577" t="n">
        <v>0</v>
      </c>
      <c r="N577" t="n">
        <v>0</v>
      </c>
      <c r="O577" t="n">
        <v>0</v>
      </c>
      <c r="P577" t="n">
        <v>0</v>
      </c>
      <c r="Q577" t="n">
        <v>0</v>
      </c>
      <c r="R577" s="2" t="inlineStr"/>
    </row>
    <row r="578" ht="15" customHeight="1">
      <c r="A578" t="inlineStr">
        <is>
          <t>A 12654-2025</t>
        </is>
      </c>
      <c r="B578" s="1" t="n">
        <v>45733.41601851852</v>
      </c>
      <c r="C578" s="1" t="n">
        <v>46084</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653-2026</t>
        </is>
      </c>
      <c r="B579" s="1" t="n">
        <v>46029.57829861111</v>
      </c>
      <c r="C579" s="1" t="n">
        <v>46084</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46084</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3327-2023</t>
        </is>
      </c>
      <c r="B581" s="1" t="n">
        <v>44949.4377662037</v>
      </c>
      <c r="C581" s="1" t="n">
        <v>46084</v>
      </c>
      <c r="D581" t="inlineStr">
        <is>
          <t>UPPSALA LÄN</t>
        </is>
      </c>
      <c r="E581" t="inlineStr">
        <is>
          <t>ÖSTHAMMAR</t>
        </is>
      </c>
      <c r="G581" t="n">
        <v>1.1</v>
      </c>
      <c r="H581" t="n">
        <v>0</v>
      </c>
      <c r="I581" t="n">
        <v>0</v>
      </c>
      <c r="J581" t="n">
        <v>0</v>
      </c>
      <c r="K581" t="n">
        <v>0</v>
      </c>
      <c r="L581" t="n">
        <v>0</v>
      </c>
      <c r="M581" t="n">
        <v>0</v>
      </c>
      <c r="N581" t="n">
        <v>0</v>
      </c>
      <c r="O581" t="n">
        <v>0</v>
      </c>
      <c r="P581" t="n">
        <v>0</v>
      </c>
      <c r="Q581" t="n">
        <v>0</v>
      </c>
      <c r="R581" s="2" t="inlineStr"/>
    </row>
    <row r="582" ht="15" customHeight="1">
      <c r="A582" t="inlineStr">
        <is>
          <t>A 985-2026</t>
        </is>
      </c>
      <c r="B582" s="1" t="n">
        <v>46030.58104166666</v>
      </c>
      <c r="C582" s="1" t="n">
        <v>46084</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9666-2026</t>
        </is>
      </c>
      <c r="B583" s="1" t="n">
        <v>46072.36847222222</v>
      </c>
      <c r="C583" s="1" t="n">
        <v>46084</v>
      </c>
      <c r="D583" t="inlineStr">
        <is>
          <t>UPPSALA LÄN</t>
        </is>
      </c>
      <c r="E583" t="inlineStr">
        <is>
          <t>ÖSTHAMMAR</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9664-2026</t>
        </is>
      </c>
      <c r="B584" s="1" t="n">
        <v>46072.36732638889</v>
      </c>
      <c r="C584" s="1" t="n">
        <v>46084</v>
      </c>
      <c r="D584" t="inlineStr">
        <is>
          <t>UPPSALA LÄN</t>
        </is>
      </c>
      <c r="E584" t="inlineStr">
        <is>
          <t>ÖSTHAMMAR</t>
        </is>
      </c>
      <c r="F584" t="inlineStr">
        <is>
          <t>Bergvik skog öst AB</t>
        </is>
      </c>
      <c r="G584" t="n">
        <v>0.3</v>
      </c>
      <c r="H584" t="n">
        <v>0</v>
      </c>
      <c r="I584" t="n">
        <v>0</v>
      </c>
      <c r="J584" t="n">
        <v>0</v>
      </c>
      <c r="K584" t="n">
        <v>0</v>
      </c>
      <c r="L584" t="n">
        <v>0</v>
      </c>
      <c r="M584" t="n">
        <v>0</v>
      </c>
      <c r="N584" t="n">
        <v>0</v>
      </c>
      <c r="O584" t="n">
        <v>0</v>
      </c>
      <c r="P584" t="n">
        <v>0</v>
      </c>
      <c r="Q584" t="n">
        <v>0</v>
      </c>
      <c r="R584" s="2" t="inlineStr"/>
    </row>
    <row r="585" ht="15" customHeight="1">
      <c r="A585" t="inlineStr">
        <is>
          <t>A 41821-2023</t>
        </is>
      </c>
      <c r="B585" s="1" t="n">
        <v>45176</v>
      </c>
      <c r="C585" s="1" t="n">
        <v>46084</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44807-2024</t>
        </is>
      </c>
      <c r="B586" s="1" t="n">
        <v>45574.65427083334</v>
      </c>
      <c r="C586" s="1" t="n">
        <v>46084</v>
      </c>
      <c r="D586" t="inlineStr">
        <is>
          <t>UPPSALA LÄN</t>
        </is>
      </c>
      <c r="E586" t="inlineStr">
        <is>
          <t>ÖSTHAMMAR</t>
        </is>
      </c>
      <c r="G586" t="n">
        <v>2.9</v>
      </c>
      <c r="H586" t="n">
        <v>0</v>
      </c>
      <c r="I586" t="n">
        <v>0</v>
      </c>
      <c r="J586" t="n">
        <v>0</v>
      </c>
      <c r="K586" t="n">
        <v>0</v>
      </c>
      <c r="L586" t="n">
        <v>0</v>
      </c>
      <c r="M586" t="n">
        <v>0</v>
      </c>
      <c r="N586" t="n">
        <v>0</v>
      </c>
      <c r="O586" t="n">
        <v>0</v>
      </c>
      <c r="P586" t="n">
        <v>0</v>
      </c>
      <c r="Q586" t="n">
        <v>0</v>
      </c>
      <c r="R586" s="2" t="inlineStr"/>
    </row>
    <row r="587" ht="15" customHeight="1">
      <c r="A587" t="inlineStr">
        <is>
          <t>A 35309-2023</t>
        </is>
      </c>
      <c r="B587" s="1" t="n">
        <v>45146</v>
      </c>
      <c r="C587" s="1" t="n">
        <v>46084</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14272-2025</t>
        </is>
      </c>
      <c r="B588" s="1" t="n">
        <v>45740.64327546296</v>
      </c>
      <c r="C588" s="1" t="n">
        <v>46084</v>
      </c>
      <c r="D588" t="inlineStr">
        <is>
          <t>UPPSALA LÄN</t>
        </is>
      </c>
      <c r="E588" t="inlineStr">
        <is>
          <t>ÖSTHAMMAR</t>
        </is>
      </c>
      <c r="G588" t="n">
        <v>5.7</v>
      </c>
      <c r="H588" t="n">
        <v>0</v>
      </c>
      <c r="I588" t="n">
        <v>0</v>
      </c>
      <c r="J588" t="n">
        <v>0</v>
      </c>
      <c r="K588" t="n">
        <v>0</v>
      </c>
      <c r="L588" t="n">
        <v>0</v>
      </c>
      <c r="M588" t="n">
        <v>0</v>
      </c>
      <c r="N588" t="n">
        <v>0</v>
      </c>
      <c r="O588" t="n">
        <v>0</v>
      </c>
      <c r="P588" t="n">
        <v>0</v>
      </c>
      <c r="Q588" t="n">
        <v>0</v>
      </c>
      <c r="R588" s="2" t="inlineStr"/>
    </row>
    <row r="589" ht="15" customHeight="1">
      <c r="A589" t="inlineStr">
        <is>
          <t>A 17940-2025</t>
        </is>
      </c>
      <c r="B589" s="1" t="n">
        <v>45760.55842592593</v>
      </c>
      <c r="C589" s="1" t="n">
        <v>46084</v>
      </c>
      <c r="D589" t="inlineStr">
        <is>
          <t>UPPSALA LÄN</t>
        </is>
      </c>
      <c r="E589" t="inlineStr">
        <is>
          <t>ÖSTHAMMAR</t>
        </is>
      </c>
      <c r="F589" t="inlineStr">
        <is>
          <t>Bergvik skog öst AB</t>
        </is>
      </c>
      <c r="G589" t="n">
        <v>5.6</v>
      </c>
      <c r="H589" t="n">
        <v>0</v>
      </c>
      <c r="I589" t="n">
        <v>0</v>
      </c>
      <c r="J589" t="n">
        <v>0</v>
      </c>
      <c r="K589" t="n">
        <v>0</v>
      </c>
      <c r="L589" t="n">
        <v>0</v>
      </c>
      <c r="M589" t="n">
        <v>0</v>
      </c>
      <c r="N589" t="n">
        <v>0</v>
      </c>
      <c r="O589" t="n">
        <v>0</v>
      </c>
      <c r="P589" t="n">
        <v>0</v>
      </c>
      <c r="Q589" t="n">
        <v>0</v>
      </c>
      <c r="R589" s="2" t="inlineStr"/>
    </row>
    <row r="590" ht="15" customHeight="1">
      <c r="A590" t="inlineStr">
        <is>
          <t>A 12215-2023</t>
        </is>
      </c>
      <c r="B590" s="1" t="n">
        <v>44998</v>
      </c>
      <c r="C590" s="1" t="n">
        <v>46084</v>
      </c>
      <c r="D590" t="inlineStr">
        <is>
          <t>UPPSALA LÄN</t>
        </is>
      </c>
      <c r="E590" t="inlineStr">
        <is>
          <t>ÖSTHAMMAR</t>
        </is>
      </c>
      <c r="G590" t="n">
        <v>5.1</v>
      </c>
      <c r="H590" t="n">
        <v>0</v>
      </c>
      <c r="I590" t="n">
        <v>0</v>
      </c>
      <c r="J590" t="n">
        <v>0</v>
      </c>
      <c r="K590" t="n">
        <v>0</v>
      </c>
      <c r="L590" t="n">
        <v>0</v>
      </c>
      <c r="M590" t="n">
        <v>0</v>
      </c>
      <c r="N590" t="n">
        <v>0</v>
      </c>
      <c r="O590" t="n">
        <v>0</v>
      </c>
      <c r="P590" t="n">
        <v>0</v>
      </c>
      <c r="Q590" t="n">
        <v>0</v>
      </c>
      <c r="R590" s="2" t="inlineStr"/>
    </row>
    <row r="591" ht="15" customHeight="1">
      <c r="A591" t="inlineStr">
        <is>
          <t>A 1271-2026</t>
        </is>
      </c>
      <c r="B591" s="1" t="n">
        <v>46031.46616898148</v>
      </c>
      <c r="C591" s="1" t="n">
        <v>46084</v>
      </c>
      <c r="D591" t="inlineStr">
        <is>
          <t>UPPSALA LÄN</t>
        </is>
      </c>
      <c r="E591" t="inlineStr">
        <is>
          <t>ÖSTHAMMAR</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1393-2026</t>
        </is>
      </c>
      <c r="B592" s="1" t="n">
        <v>46031.63748842593</v>
      </c>
      <c r="C592" s="1" t="n">
        <v>46084</v>
      </c>
      <c r="D592" t="inlineStr">
        <is>
          <t>UPPSALA LÄN</t>
        </is>
      </c>
      <c r="E592" t="inlineStr">
        <is>
          <t>ÖSTHAMMAR</t>
        </is>
      </c>
      <c r="F592" t="inlineStr">
        <is>
          <t>Bergvik skog öst AB</t>
        </is>
      </c>
      <c r="G592" t="n">
        <v>4</v>
      </c>
      <c r="H592" t="n">
        <v>0</v>
      </c>
      <c r="I592" t="n">
        <v>0</v>
      </c>
      <c r="J592" t="n">
        <v>0</v>
      </c>
      <c r="K592" t="n">
        <v>0</v>
      </c>
      <c r="L592" t="n">
        <v>0</v>
      </c>
      <c r="M592" t="n">
        <v>0</v>
      </c>
      <c r="N592" t="n">
        <v>0</v>
      </c>
      <c r="O592" t="n">
        <v>0</v>
      </c>
      <c r="P592" t="n">
        <v>0</v>
      </c>
      <c r="Q592" t="n">
        <v>0</v>
      </c>
      <c r="R592" s="2" t="inlineStr"/>
    </row>
    <row r="593" ht="15" customHeight="1">
      <c r="A593" t="inlineStr">
        <is>
          <t>A 59745-2025</t>
        </is>
      </c>
      <c r="B593" s="1" t="n">
        <v>45992.57708333333</v>
      </c>
      <c r="C593" s="1" t="n">
        <v>46084</v>
      </c>
      <c r="D593" t="inlineStr">
        <is>
          <t>UPPSALA LÄN</t>
        </is>
      </c>
      <c r="E593" t="inlineStr">
        <is>
          <t>ÖSTHAMMAR</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59706-2025</t>
        </is>
      </c>
      <c r="B594" s="1" t="n">
        <v>45992.50333333333</v>
      </c>
      <c r="C594" s="1" t="n">
        <v>46084</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2358-2026</t>
        </is>
      </c>
      <c r="B595" s="1" t="n">
        <v>46034</v>
      </c>
      <c r="C595" s="1" t="n">
        <v>46084</v>
      </c>
      <c r="D595" t="inlineStr">
        <is>
          <t>UPPSALA LÄN</t>
        </is>
      </c>
      <c r="E595" t="inlineStr">
        <is>
          <t>ÖSTHAMMAR</t>
        </is>
      </c>
      <c r="G595" t="n">
        <v>3.6</v>
      </c>
      <c r="H595" t="n">
        <v>0</v>
      </c>
      <c r="I595" t="n">
        <v>0</v>
      </c>
      <c r="J595" t="n">
        <v>0</v>
      </c>
      <c r="K595" t="n">
        <v>0</v>
      </c>
      <c r="L595" t="n">
        <v>0</v>
      </c>
      <c r="M595" t="n">
        <v>0</v>
      </c>
      <c r="N595" t="n">
        <v>0</v>
      </c>
      <c r="O595" t="n">
        <v>0</v>
      </c>
      <c r="P595" t="n">
        <v>0</v>
      </c>
      <c r="Q595" t="n">
        <v>0</v>
      </c>
      <c r="R595" s="2" t="inlineStr"/>
    </row>
    <row r="596" ht="15" customHeight="1">
      <c r="A596" t="inlineStr">
        <is>
          <t>A 59708-2025</t>
        </is>
      </c>
      <c r="B596" s="1" t="n">
        <v>45992.50802083333</v>
      </c>
      <c r="C596" s="1" t="n">
        <v>46084</v>
      </c>
      <c r="D596" t="inlineStr">
        <is>
          <t>UPPSALA LÄN</t>
        </is>
      </c>
      <c r="E596" t="inlineStr">
        <is>
          <t>ÖSTHAMMAR</t>
        </is>
      </c>
      <c r="F596" t="inlineStr">
        <is>
          <t>Bergvik skog öst AB</t>
        </is>
      </c>
      <c r="G596" t="n">
        <v>3.2</v>
      </c>
      <c r="H596" t="n">
        <v>0</v>
      </c>
      <c r="I596" t="n">
        <v>0</v>
      </c>
      <c r="J596" t="n">
        <v>0</v>
      </c>
      <c r="K596" t="n">
        <v>0</v>
      </c>
      <c r="L596" t="n">
        <v>0</v>
      </c>
      <c r="M596" t="n">
        <v>0</v>
      </c>
      <c r="N596" t="n">
        <v>0</v>
      </c>
      <c r="O596" t="n">
        <v>0</v>
      </c>
      <c r="P596" t="n">
        <v>0</v>
      </c>
      <c r="Q596" t="n">
        <v>0</v>
      </c>
      <c r="R596" s="2" t="inlineStr"/>
    </row>
    <row r="597" ht="15" customHeight="1">
      <c r="A597" t="inlineStr">
        <is>
          <t>A 59743-2025</t>
        </is>
      </c>
      <c r="B597" s="1" t="n">
        <v>45992.57668981481</v>
      </c>
      <c r="C597" s="1" t="n">
        <v>46084</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66779-2021</t>
        </is>
      </c>
      <c r="B598" s="1" t="n">
        <v>44522.31700231481</v>
      </c>
      <c r="C598" s="1" t="n">
        <v>46084</v>
      </c>
      <c r="D598" t="inlineStr">
        <is>
          <t>UPPSALA LÄN</t>
        </is>
      </c>
      <c r="E598" t="inlineStr">
        <is>
          <t>ÖSTHAMMAR</t>
        </is>
      </c>
      <c r="G598" t="n">
        <v>2</v>
      </c>
      <c r="H598" t="n">
        <v>0</v>
      </c>
      <c r="I598" t="n">
        <v>0</v>
      </c>
      <c r="J598" t="n">
        <v>0</v>
      </c>
      <c r="K598" t="n">
        <v>0</v>
      </c>
      <c r="L598" t="n">
        <v>0</v>
      </c>
      <c r="M598" t="n">
        <v>0</v>
      </c>
      <c r="N598" t="n">
        <v>0</v>
      </c>
      <c r="O598" t="n">
        <v>0</v>
      </c>
      <c r="P598" t="n">
        <v>0</v>
      </c>
      <c r="Q598" t="n">
        <v>0</v>
      </c>
      <c r="R598" s="2" t="inlineStr"/>
    </row>
    <row r="599" ht="15" customHeight="1">
      <c r="A599" t="inlineStr">
        <is>
          <t>A 59731-2023</t>
        </is>
      </c>
      <c r="B599" s="1" t="n">
        <v>45257</v>
      </c>
      <c r="C599" s="1" t="n">
        <v>46084</v>
      </c>
      <c r="D599" t="inlineStr">
        <is>
          <t>UPPSALA LÄN</t>
        </is>
      </c>
      <c r="E599" t="inlineStr">
        <is>
          <t>ÖSTHAMMAR</t>
        </is>
      </c>
      <c r="G599" t="n">
        <v>0.7</v>
      </c>
      <c r="H599" t="n">
        <v>0</v>
      </c>
      <c r="I599" t="n">
        <v>0</v>
      </c>
      <c r="J599" t="n">
        <v>0</v>
      </c>
      <c r="K599" t="n">
        <v>0</v>
      </c>
      <c r="L599" t="n">
        <v>0</v>
      </c>
      <c r="M599" t="n">
        <v>0</v>
      </c>
      <c r="N599" t="n">
        <v>0</v>
      </c>
      <c r="O599" t="n">
        <v>0</v>
      </c>
      <c r="P599" t="n">
        <v>0</v>
      </c>
      <c r="Q599" t="n">
        <v>0</v>
      </c>
      <c r="R599" s="2" t="inlineStr"/>
    </row>
    <row r="600" ht="15" customHeight="1">
      <c r="A600" t="inlineStr">
        <is>
          <t>A 1906-2026</t>
        </is>
      </c>
      <c r="B600" s="1" t="n">
        <v>46035.55158564815</v>
      </c>
      <c r="C600" s="1" t="n">
        <v>46084</v>
      </c>
      <c r="D600" t="inlineStr">
        <is>
          <t>UPPSALA LÄN</t>
        </is>
      </c>
      <c r="E600" t="inlineStr">
        <is>
          <t>ÖSTHAMMAR</t>
        </is>
      </c>
      <c r="F600" t="inlineStr">
        <is>
          <t>Bergvik skog öst AB</t>
        </is>
      </c>
      <c r="G600" t="n">
        <v>4.3</v>
      </c>
      <c r="H600" t="n">
        <v>0</v>
      </c>
      <c r="I600" t="n">
        <v>0</v>
      </c>
      <c r="J600" t="n">
        <v>0</v>
      </c>
      <c r="K600" t="n">
        <v>0</v>
      </c>
      <c r="L600" t="n">
        <v>0</v>
      </c>
      <c r="M600" t="n">
        <v>0</v>
      </c>
      <c r="N600" t="n">
        <v>0</v>
      </c>
      <c r="O600" t="n">
        <v>0</v>
      </c>
      <c r="P600" t="n">
        <v>0</v>
      </c>
      <c r="Q600" t="n">
        <v>0</v>
      </c>
      <c r="R600" s="2" t="inlineStr"/>
    </row>
    <row r="601" ht="15" customHeight="1">
      <c r="A601" t="inlineStr">
        <is>
          <t>A 2352-2026</t>
        </is>
      </c>
      <c r="B601" s="1" t="n">
        <v>46034</v>
      </c>
      <c r="C601" s="1" t="n">
        <v>46084</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33062-2021</t>
        </is>
      </c>
      <c r="B602" s="1" t="n">
        <v>44376</v>
      </c>
      <c r="C602" s="1" t="n">
        <v>46084</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24033-2023</t>
        </is>
      </c>
      <c r="B603" s="1" t="n">
        <v>45078</v>
      </c>
      <c r="C603" s="1" t="n">
        <v>46084</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17939-2025</t>
        </is>
      </c>
      <c r="B604" s="1" t="n">
        <v>45760.55671296296</v>
      </c>
      <c r="C604" s="1" t="n">
        <v>46084</v>
      </c>
      <c r="D604" t="inlineStr">
        <is>
          <t>UPPSALA LÄN</t>
        </is>
      </c>
      <c r="E604" t="inlineStr">
        <is>
          <t>ÖSTHAMMAR</t>
        </is>
      </c>
      <c r="F604" t="inlineStr">
        <is>
          <t>Bergvik skog öst AB</t>
        </is>
      </c>
      <c r="G604" t="n">
        <v>5.4</v>
      </c>
      <c r="H604" t="n">
        <v>0</v>
      </c>
      <c r="I604" t="n">
        <v>0</v>
      </c>
      <c r="J604" t="n">
        <v>0</v>
      </c>
      <c r="K604" t="n">
        <v>0</v>
      </c>
      <c r="L604" t="n">
        <v>0</v>
      </c>
      <c r="M604" t="n">
        <v>0</v>
      </c>
      <c r="N604" t="n">
        <v>0</v>
      </c>
      <c r="O604" t="n">
        <v>0</v>
      </c>
      <c r="P604" t="n">
        <v>0</v>
      </c>
      <c r="Q604" t="n">
        <v>0</v>
      </c>
      <c r="R604" s="2" t="inlineStr"/>
    </row>
    <row r="605" ht="15" customHeight="1">
      <c r="A605" t="inlineStr">
        <is>
          <t>A 3638-2022</t>
        </is>
      </c>
      <c r="B605" s="1" t="n">
        <v>44578</v>
      </c>
      <c r="C605" s="1" t="n">
        <v>46084</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57156-2025</t>
        </is>
      </c>
      <c r="B606" s="1" t="n">
        <v>45979.51591435185</v>
      </c>
      <c r="C606" s="1" t="n">
        <v>46084</v>
      </c>
      <c r="D606" t="inlineStr">
        <is>
          <t>UPPSALA LÄN</t>
        </is>
      </c>
      <c r="E606" t="inlineStr">
        <is>
          <t>ÖSTHAMMAR</t>
        </is>
      </c>
      <c r="G606" t="n">
        <v>1.8</v>
      </c>
      <c r="H606" t="n">
        <v>0</v>
      </c>
      <c r="I606" t="n">
        <v>0</v>
      </c>
      <c r="J606" t="n">
        <v>0</v>
      </c>
      <c r="K606" t="n">
        <v>0</v>
      </c>
      <c r="L606" t="n">
        <v>0</v>
      </c>
      <c r="M606" t="n">
        <v>0</v>
      </c>
      <c r="N606" t="n">
        <v>0</v>
      </c>
      <c r="O606" t="n">
        <v>0</v>
      </c>
      <c r="P606" t="n">
        <v>0</v>
      </c>
      <c r="Q606" t="n">
        <v>0</v>
      </c>
      <c r="R606" s="2" t="inlineStr"/>
    </row>
    <row r="607" ht="15" customHeight="1">
      <c r="A607" t="inlineStr">
        <is>
          <t>A 60738-2025</t>
        </is>
      </c>
      <c r="B607" s="1" t="n">
        <v>45996.83506944445</v>
      </c>
      <c r="C607" s="1" t="n">
        <v>46084</v>
      </c>
      <c r="D607" t="inlineStr">
        <is>
          <t>UPPSALA LÄN</t>
        </is>
      </c>
      <c r="E607" t="inlineStr">
        <is>
          <t>ÖSTHAMMAR</t>
        </is>
      </c>
      <c r="G607" t="n">
        <v>1.8</v>
      </c>
      <c r="H607" t="n">
        <v>0</v>
      </c>
      <c r="I607" t="n">
        <v>0</v>
      </c>
      <c r="J607" t="n">
        <v>0</v>
      </c>
      <c r="K607" t="n">
        <v>0</v>
      </c>
      <c r="L607" t="n">
        <v>0</v>
      </c>
      <c r="M607" t="n">
        <v>0</v>
      </c>
      <c r="N607" t="n">
        <v>0</v>
      </c>
      <c r="O607" t="n">
        <v>0</v>
      </c>
      <c r="P607" t="n">
        <v>0</v>
      </c>
      <c r="Q607" t="n">
        <v>0</v>
      </c>
      <c r="R607" s="2" t="inlineStr"/>
    </row>
    <row r="608" ht="15" customHeight="1">
      <c r="A608" t="inlineStr">
        <is>
          <t>A 60603-2025</t>
        </is>
      </c>
      <c r="B608" s="1" t="n">
        <v>45996.3543287037</v>
      </c>
      <c r="C608" s="1" t="n">
        <v>46084</v>
      </c>
      <c r="D608" t="inlineStr">
        <is>
          <t>UPPSALA LÄN</t>
        </is>
      </c>
      <c r="E608" t="inlineStr">
        <is>
          <t>ÖSTHAMMAR</t>
        </is>
      </c>
      <c r="G608" t="n">
        <v>4.7</v>
      </c>
      <c r="H608" t="n">
        <v>0</v>
      </c>
      <c r="I608" t="n">
        <v>0</v>
      </c>
      <c r="J608" t="n">
        <v>0</v>
      </c>
      <c r="K608" t="n">
        <v>0</v>
      </c>
      <c r="L608" t="n">
        <v>0</v>
      </c>
      <c r="M608" t="n">
        <v>0</v>
      </c>
      <c r="N608" t="n">
        <v>0</v>
      </c>
      <c r="O608" t="n">
        <v>0</v>
      </c>
      <c r="P608" t="n">
        <v>0</v>
      </c>
      <c r="Q608" t="n">
        <v>0</v>
      </c>
      <c r="R608" s="2" t="inlineStr"/>
    </row>
    <row r="609" ht="15" customHeight="1">
      <c r="A609" t="inlineStr">
        <is>
          <t>A 60910-2025</t>
        </is>
      </c>
      <c r="B609" s="1" t="n">
        <v>45999.59837962963</v>
      </c>
      <c r="C609" s="1" t="n">
        <v>46084</v>
      </c>
      <c r="D609" t="inlineStr">
        <is>
          <t>UPPSALA LÄN</t>
        </is>
      </c>
      <c r="E609" t="inlineStr">
        <is>
          <t>ÖSTHAMMAR</t>
        </is>
      </c>
      <c r="G609" t="n">
        <v>3.5</v>
      </c>
      <c r="H609" t="n">
        <v>0</v>
      </c>
      <c r="I609" t="n">
        <v>0</v>
      </c>
      <c r="J609" t="n">
        <v>0</v>
      </c>
      <c r="K609" t="n">
        <v>0</v>
      </c>
      <c r="L609" t="n">
        <v>0</v>
      </c>
      <c r="M609" t="n">
        <v>0</v>
      </c>
      <c r="N609" t="n">
        <v>0</v>
      </c>
      <c r="O609" t="n">
        <v>0</v>
      </c>
      <c r="P609" t="n">
        <v>0</v>
      </c>
      <c r="Q609" t="n">
        <v>0</v>
      </c>
      <c r="R609" s="2" t="inlineStr"/>
    </row>
    <row r="610" ht="15" customHeight="1">
      <c r="A610" t="inlineStr">
        <is>
          <t>A 49897-2023</t>
        </is>
      </c>
      <c r="B610" s="1" t="n">
        <v>45213.84846064815</v>
      </c>
      <c r="C610" s="1" t="n">
        <v>46084</v>
      </c>
      <c r="D610" t="inlineStr">
        <is>
          <t>UPPSALA LÄN</t>
        </is>
      </c>
      <c r="E610" t="inlineStr">
        <is>
          <t>ÖSTHAMMAR</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28228-2022</t>
        </is>
      </c>
      <c r="B611" s="1" t="n">
        <v>44746.65873842593</v>
      </c>
      <c r="C611" s="1" t="n">
        <v>46084</v>
      </c>
      <c r="D611" t="inlineStr">
        <is>
          <t>UPPSALA LÄN</t>
        </is>
      </c>
      <c r="E611" t="inlineStr">
        <is>
          <t>ÖSTHAMMAR</t>
        </is>
      </c>
      <c r="G611" t="n">
        <v>2.7</v>
      </c>
      <c r="H611" t="n">
        <v>0</v>
      </c>
      <c r="I611" t="n">
        <v>0</v>
      </c>
      <c r="J611" t="n">
        <v>0</v>
      </c>
      <c r="K611" t="n">
        <v>0</v>
      </c>
      <c r="L611" t="n">
        <v>0</v>
      </c>
      <c r="M611" t="n">
        <v>0</v>
      </c>
      <c r="N611" t="n">
        <v>0</v>
      </c>
      <c r="O611" t="n">
        <v>0</v>
      </c>
      <c r="P611" t="n">
        <v>0</v>
      </c>
      <c r="Q611" t="n">
        <v>0</v>
      </c>
      <c r="R611" s="2" t="inlineStr"/>
    </row>
    <row r="612" ht="15" customHeight="1">
      <c r="A612" t="inlineStr">
        <is>
          <t>A 3926-2026</t>
        </is>
      </c>
      <c r="B612" s="1" t="n">
        <v>46043.781875</v>
      </c>
      <c r="C612" s="1" t="n">
        <v>46084</v>
      </c>
      <c r="D612" t="inlineStr">
        <is>
          <t>UPPSALA LÄN</t>
        </is>
      </c>
      <c r="E612" t="inlineStr">
        <is>
          <t>ÖSTHAMMAR</t>
        </is>
      </c>
      <c r="G612" t="n">
        <v>3.3</v>
      </c>
      <c r="H612" t="n">
        <v>0</v>
      </c>
      <c r="I612" t="n">
        <v>0</v>
      </c>
      <c r="J612" t="n">
        <v>0</v>
      </c>
      <c r="K612" t="n">
        <v>0</v>
      </c>
      <c r="L612" t="n">
        <v>0</v>
      </c>
      <c r="M612" t="n">
        <v>0</v>
      </c>
      <c r="N612" t="n">
        <v>0</v>
      </c>
      <c r="O612" t="n">
        <v>0</v>
      </c>
      <c r="P612" t="n">
        <v>0</v>
      </c>
      <c r="Q612" t="n">
        <v>0</v>
      </c>
      <c r="R612" s="2" t="inlineStr"/>
    </row>
    <row r="613" ht="15" customHeight="1">
      <c r="A613" t="inlineStr">
        <is>
          <t>A 61250-2025</t>
        </is>
      </c>
      <c r="B613" s="1" t="n">
        <v>46000.66645833333</v>
      </c>
      <c r="C613" s="1" t="n">
        <v>46084</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46084</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61251-2025</t>
        </is>
      </c>
      <c r="B615" s="1" t="n">
        <v>46000.6669675926</v>
      </c>
      <c r="C615" s="1" t="n">
        <v>46084</v>
      </c>
      <c r="D615" t="inlineStr">
        <is>
          <t>UPPSALA LÄN</t>
        </is>
      </c>
      <c r="E615" t="inlineStr">
        <is>
          <t>ÖSTHAMMAR</t>
        </is>
      </c>
      <c r="F615" t="inlineStr">
        <is>
          <t>Bergvik skog öst AB</t>
        </is>
      </c>
      <c r="G615" t="n">
        <v>22.2</v>
      </c>
      <c r="H615" t="n">
        <v>0</v>
      </c>
      <c r="I615" t="n">
        <v>0</v>
      </c>
      <c r="J615" t="n">
        <v>0</v>
      </c>
      <c r="K615" t="n">
        <v>0</v>
      </c>
      <c r="L615" t="n">
        <v>0</v>
      </c>
      <c r="M615" t="n">
        <v>0</v>
      </c>
      <c r="N615" t="n">
        <v>0</v>
      </c>
      <c r="O615" t="n">
        <v>0</v>
      </c>
      <c r="P615" t="n">
        <v>0</v>
      </c>
      <c r="Q615" t="n">
        <v>0</v>
      </c>
      <c r="R615" s="2" t="inlineStr"/>
    </row>
    <row r="616" ht="15" customHeight="1">
      <c r="A616" t="inlineStr">
        <is>
          <t>A 5469-2026</t>
        </is>
      </c>
      <c r="B616" s="1" t="n">
        <v>46050</v>
      </c>
      <c r="C616" s="1" t="n">
        <v>46084</v>
      </c>
      <c r="D616" t="inlineStr">
        <is>
          <t>UPPSALA LÄN</t>
        </is>
      </c>
      <c r="E616" t="inlineStr">
        <is>
          <t>ÖSTHAMMAR</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3642-2026</t>
        </is>
      </c>
      <c r="B617" s="1" t="n">
        <v>46043.35760416667</v>
      </c>
      <c r="C617" s="1" t="n">
        <v>46084</v>
      </c>
      <c r="D617" t="inlineStr">
        <is>
          <t>UPPSALA LÄN</t>
        </is>
      </c>
      <c r="E617" t="inlineStr">
        <is>
          <t>ÖSTHAMMAR</t>
        </is>
      </c>
      <c r="G617" t="n">
        <v>3</v>
      </c>
      <c r="H617" t="n">
        <v>0</v>
      </c>
      <c r="I617" t="n">
        <v>0</v>
      </c>
      <c r="J617" t="n">
        <v>0</v>
      </c>
      <c r="K617" t="n">
        <v>0</v>
      </c>
      <c r="L617" t="n">
        <v>0</v>
      </c>
      <c r="M617" t="n">
        <v>0</v>
      </c>
      <c r="N617" t="n">
        <v>0</v>
      </c>
      <c r="O617" t="n">
        <v>0</v>
      </c>
      <c r="P617" t="n">
        <v>0</v>
      </c>
      <c r="Q617" t="n">
        <v>0</v>
      </c>
      <c r="R617" s="2" t="inlineStr"/>
    </row>
    <row r="618" ht="15" customHeight="1">
      <c r="A618" t="inlineStr">
        <is>
          <t>A 49831-2023</t>
        </is>
      </c>
      <c r="B618" s="1" t="n">
        <v>45212.71241898148</v>
      </c>
      <c r="C618" s="1" t="n">
        <v>46084</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3668-2026</t>
        </is>
      </c>
      <c r="B619" s="1" t="n">
        <v>46043.41212962963</v>
      </c>
      <c r="C619" s="1" t="n">
        <v>46084</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35316-2024</t>
        </is>
      </c>
      <c r="B620" s="1" t="n">
        <v>45530.68873842592</v>
      </c>
      <c r="C620" s="1" t="n">
        <v>46084</v>
      </c>
      <c r="D620" t="inlineStr">
        <is>
          <t>UPPSALA LÄN</t>
        </is>
      </c>
      <c r="E620" t="inlineStr">
        <is>
          <t>ÖSTHAMMAR</t>
        </is>
      </c>
      <c r="F620" t="inlineStr">
        <is>
          <t>Bergvik skog öst AB</t>
        </is>
      </c>
      <c r="G620" t="n">
        <v>2.1</v>
      </c>
      <c r="H620" t="n">
        <v>0</v>
      </c>
      <c r="I620" t="n">
        <v>0</v>
      </c>
      <c r="J620" t="n">
        <v>0</v>
      </c>
      <c r="K620" t="n">
        <v>0</v>
      </c>
      <c r="L620" t="n">
        <v>0</v>
      </c>
      <c r="M620" t="n">
        <v>0</v>
      </c>
      <c r="N620" t="n">
        <v>0</v>
      </c>
      <c r="O620" t="n">
        <v>0</v>
      </c>
      <c r="P620" t="n">
        <v>0</v>
      </c>
      <c r="Q620" t="n">
        <v>0</v>
      </c>
      <c r="R620" s="2" t="inlineStr"/>
    </row>
    <row r="621" ht="15" customHeight="1">
      <c r="A621" t="inlineStr">
        <is>
          <t>A 20072-2025</t>
        </is>
      </c>
      <c r="B621" s="1" t="n">
        <v>45772</v>
      </c>
      <c r="C621" s="1" t="n">
        <v>46084</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61143-2025</t>
        </is>
      </c>
      <c r="B622" s="1" t="n">
        <v>46000.53084490741</v>
      </c>
      <c r="C622" s="1" t="n">
        <v>46084</v>
      </c>
      <c r="D622" t="inlineStr">
        <is>
          <t>UPPSALA LÄN</t>
        </is>
      </c>
      <c r="E622" t="inlineStr">
        <is>
          <t>ÖSTHAMMAR</t>
        </is>
      </c>
      <c r="F622" t="inlineStr">
        <is>
          <t>Bergvik skog öst AB</t>
        </is>
      </c>
      <c r="G622" t="n">
        <v>3.3</v>
      </c>
      <c r="H622" t="n">
        <v>0</v>
      </c>
      <c r="I622" t="n">
        <v>0</v>
      </c>
      <c r="J622" t="n">
        <v>0</v>
      </c>
      <c r="K622" t="n">
        <v>0</v>
      </c>
      <c r="L622" t="n">
        <v>0</v>
      </c>
      <c r="M622" t="n">
        <v>0</v>
      </c>
      <c r="N622" t="n">
        <v>0</v>
      </c>
      <c r="O622" t="n">
        <v>0</v>
      </c>
      <c r="P622" t="n">
        <v>0</v>
      </c>
      <c r="Q622" t="n">
        <v>0</v>
      </c>
      <c r="R622" s="2" t="inlineStr"/>
    </row>
    <row r="623" ht="15" customHeight="1">
      <c r="A623" t="inlineStr">
        <is>
          <t>A 2615-2026</t>
        </is>
      </c>
      <c r="B623" s="1" t="n">
        <v>46037.58893518519</v>
      </c>
      <c r="C623" s="1" t="n">
        <v>46084</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61147-2025</t>
        </is>
      </c>
      <c r="B624" s="1" t="n">
        <v>46000.53493055556</v>
      </c>
      <c r="C624" s="1" t="n">
        <v>46084</v>
      </c>
      <c r="D624" t="inlineStr">
        <is>
          <t>UPPSALA LÄN</t>
        </is>
      </c>
      <c r="E624" t="inlineStr">
        <is>
          <t>ÖSTHAMMAR</t>
        </is>
      </c>
      <c r="F624" t="inlineStr">
        <is>
          <t>Bergvik skog öst AB</t>
        </is>
      </c>
      <c r="G624" t="n">
        <v>10.4</v>
      </c>
      <c r="H624" t="n">
        <v>0</v>
      </c>
      <c r="I624" t="n">
        <v>0</v>
      </c>
      <c r="J624" t="n">
        <v>0</v>
      </c>
      <c r="K624" t="n">
        <v>0</v>
      </c>
      <c r="L624" t="n">
        <v>0</v>
      </c>
      <c r="M624" t="n">
        <v>0</v>
      </c>
      <c r="N624" t="n">
        <v>0</v>
      </c>
      <c r="O624" t="n">
        <v>0</v>
      </c>
      <c r="P624" t="n">
        <v>0</v>
      </c>
      <c r="Q624" t="n">
        <v>0</v>
      </c>
      <c r="R624" s="2" t="inlineStr"/>
    </row>
    <row r="625" ht="15" customHeight="1">
      <c r="A625" t="inlineStr">
        <is>
          <t>A 2620-2026</t>
        </is>
      </c>
      <c r="B625" s="1" t="n">
        <v>46037.59137731481</v>
      </c>
      <c r="C625" s="1" t="n">
        <v>46084</v>
      </c>
      <c r="D625" t="inlineStr">
        <is>
          <t>UPPSALA LÄN</t>
        </is>
      </c>
      <c r="E625" t="inlineStr">
        <is>
          <t>ÖSTHAMMAR</t>
        </is>
      </c>
      <c r="G625" t="n">
        <v>4.4</v>
      </c>
      <c r="H625" t="n">
        <v>0</v>
      </c>
      <c r="I625" t="n">
        <v>0</v>
      </c>
      <c r="J625" t="n">
        <v>0</v>
      </c>
      <c r="K625" t="n">
        <v>0</v>
      </c>
      <c r="L625" t="n">
        <v>0</v>
      </c>
      <c r="M625" t="n">
        <v>0</v>
      </c>
      <c r="N625" t="n">
        <v>0</v>
      </c>
      <c r="O625" t="n">
        <v>0</v>
      </c>
      <c r="P625" t="n">
        <v>0</v>
      </c>
      <c r="Q625" t="n">
        <v>0</v>
      </c>
      <c r="R625" s="2" t="inlineStr"/>
    </row>
    <row r="626" ht="15" customHeight="1">
      <c r="A626" t="inlineStr">
        <is>
          <t>A 45561-2023</t>
        </is>
      </c>
      <c r="B626" s="1" t="n">
        <v>45194.59335648148</v>
      </c>
      <c r="C626" s="1" t="n">
        <v>46084</v>
      </c>
      <c r="D626" t="inlineStr">
        <is>
          <t>UPPSALA LÄN</t>
        </is>
      </c>
      <c r="E626" t="inlineStr">
        <is>
          <t>ÖSTHAMMAR</t>
        </is>
      </c>
      <c r="F626" t="inlineStr">
        <is>
          <t>Bergvik skog öst AB</t>
        </is>
      </c>
      <c r="G626" t="n">
        <v>0.7</v>
      </c>
      <c r="H626" t="n">
        <v>0</v>
      </c>
      <c r="I626" t="n">
        <v>0</v>
      </c>
      <c r="J626" t="n">
        <v>0</v>
      </c>
      <c r="K626" t="n">
        <v>0</v>
      </c>
      <c r="L626" t="n">
        <v>0</v>
      </c>
      <c r="M626" t="n">
        <v>0</v>
      </c>
      <c r="N626" t="n">
        <v>0</v>
      </c>
      <c r="O626" t="n">
        <v>0</v>
      </c>
      <c r="P626" t="n">
        <v>0</v>
      </c>
      <c r="Q626" t="n">
        <v>0</v>
      </c>
      <c r="R626" s="2" t="inlineStr"/>
    </row>
    <row r="627" ht="15" customHeight="1">
      <c r="A627" t="inlineStr">
        <is>
          <t>A 60555-2023</t>
        </is>
      </c>
      <c r="B627" s="1" t="n">
        <v>45259</v>
      </c>
      <c r="C627" s="1" t="n">
        <v>46084</v>
      </c>
      <c r="D627" t="inlineStr">
        <is>
          <t>UPPSALA LÄN</t>
        </is>
      </c>
      <c r="E627" t="inlineStr">
        <is>
          <t>ÖSTHAMMAR</t>
        </is>
      </c>
      <c r="G627" t="n">
        <v>2</v>
      </c>
      <c r="H627" t="n">
        <v>0</v>
      </c>
      <c r="I627" t="n">
        <v>0</v>
      </c>
      <c r="J627" t="n">
        <v>0</v>
      </c>
      <c r="K627" t="n">
        <v>0</v>
      </c>
      <c r="L627" t="n">
        <v>0</v>
      </c>
      <c r="M627" t="n">
        <v>0</v>
      </c>
      <c r="N627" t="n">
        <v>0</v>
      </c>
      <c r="O627" t="n">
        <v>0</v>
      </c>
      <c r="P627" t="n">
        <v>0</v>
      </c>
      <c r="Q627" t="n">
        <v>0</v>
      </c>
      <c r="R627" s="2" t="inlineStr"/>
    </row>
    <row r="628" ht="15" customHeight="1">
      <c r="A628" t="inlineStr">
        <is>
          <t>A 61838-2025</t>
        </is>
      </c>
      <c r="B628" s="1" t="n">
        <v>46003.35675925926</v>
      </c>
      <c r="C628" s="1" t="n">
        <v>46084</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3959-2026</t>
        </is>
      </c>
      <c r="B629" s="1" t="n">
        <v>46044.33802083333</v>
      </c>
      <c r="C629" s="1" t="n">
        <v>46084</v>
      </c>
      <c r="D629" t="inlineStr">
        <is>
          <t>UPPSALA LÄN</t>
        </is>
      </c>
      <c r="E629" t="inlineStr">
        <is>
          <t>ÖSTHAMMAR</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46084</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73483-2021</t>
        </is>
      </c>
      <c r="B631" s="1" t="n">
        <v>44550</v>
      </c>
      <c r="C631" s="1" t="n">
        <v>46084</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16212-2021</t>
        </is>
      </c>
      <c r="B632" s="1" t="n">
        <v>44287</v>
      </c>
      <c r="C632" s="1" t="n">
        <v>46084</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3095-2026</t>
        </is>
      </c>
      <c r="B633" s="1" t="n">
        <v>46040.90493055555</v>
      </c>
      <c r="C633" s="1" t="n">
        <v>46084</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3055-2026</t>
        </is>
      </c>
      <c r="B634" s="1" t="n">
        <v>46039.39636574074</v>
      </c>
      <c r="C634" s="1" t="n">
        <v>46084</v>
      </c>
      <c r="D634" t="inlineStr">
        <is>
          <t>UPPSALA LÄN</t>
        </is>
      </c>
      <c r="E634" t="inlineStr">
        <is>
          <t>ÖSTHAMMAR</t>
        </is>
      </c>
      <c r="F634" t="inlineStr">
        <is>
          <t>Bergvik skog öst AB</t>
        </is>
      </c>
      <c r="G634" t="n">
        <v>3.5</v>
      </c>
      <c r="H634" t="n">
        <v>0</v>
      </c>
      <c r="I634" t="n">
        <v>0</v>
      </c>
      <c r="J634" t="n">
        <v>0</v>
      </c>
      <c r="K634" t="n">
        <v>0</v>
      </c>
      <c r="L634" t="n">
        <v>0</v>
      </c>
      <c r="M634" t="n">
        <v>0</v>
      </c>
      <c r="N634" t="n">
        <v>0</v>
      </c>
      <c r="O634" t="n">
        <v>0</v>
      </c>
      <c r="P634" t="n">
        <v>0</v>
      </c>
      <c r="Q634" t="n">
        <v>0</v>
      </c>
      <c r="R634" s="2" t="inlineStr"/>
    </row>
    <row r="635" ht="15" customHeight="1">
      <c r="A635" t="inlineStr">
        <is>
          <t>A 6121-2024</t>
        </is>
      </c>
      <c r="B635" s="1" t="n">
        <v>45337.4219212963</v>
      </c>
      <c r="C635" s="1" t="n">
        <v>46084</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44923.7849537037</v>
      </c>
      <c r="C636" s="1" t="n">
        <v>46084</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4570-2026</t>
        </is>
      </c>
      <c r="B637" s="1" t="n">
        <v>46048.00856481482</v>
      </c>
      <c r="C637" s="1" t="n">
        <v>46084</v>
      </c>
      <c r="D637" t="inlineStr">
        <is>
          <t>UPPSALA LÄN</t>
        </is>
      </c>
      <c r="E637" t="inlineStr">
        <is>
          <t>ÖSTHAMMAR</t>
        </is>
      </c>
      <c r="F637" t="inlineStr">
        <is>
          <t>Allmännings- och besparingsskogar</t>
        </is>
      </c>
      <c r="G637" t="n">
        <v>7.1</v>
      </c>
      <c r="H637" t="n">
        <v>0</v>
      </c>
      <c r="I637" t="n">
        <v>0</v>
      </c>
      <c r="J637" t="n">
        <v>0</v>
      </c>
      <c r="K637" t="n">
        <v>0</v>
      </c>
      <c r="L637" t="n">
        <v>0</v>
      </c>
      <c r="M637" t="n">
        <v>0</v>
      </c>
      <c r="N637" t="n">
        <v>0</v>
      </c>
      <c r="O637" t="n">
        <v>0</v>
      </c>
      <c r="P637" t="n">
        <v>0</v>
      </c>
      <c r="Q637" t="n">
        <v>0</v>
      </c>
      <c r="R637" s="2" t="inlineStr"/>
    </row>
    <row r="638" ht="15" customHeight="1">
      <c r="A638" t="inlineStr">
        <is>
          <t>A 54314-2023</t>
        </is>
      </c>
      <c r="B638" s="1" t="n">
        <v>45225</v>
      </c>
      <c r="C638" s="1" t="n">
        <v>46084</v>
      </c>
      <c r="D638" t="inlineStr">
        <is>
          <t>UPPSALA LÄN</t>
        </is>
      </c>
      <c r="E638" t="inlineStr">
        <is>
          <t>ÖSTHAMMAR</t>
        </is>
      </c>
      <c r="G638" t="n">
        <v>5.1</v>
      </c>
      <c r="H638" t="n">
        <v>0</v>
      </c>
      <c r="I638" t="n">
        <v>0</v>
      </c>
      <c r="J638" t="n">
        <v>0</v>
      </c>
      <c r="K638" t="n">
        <v>0</v>
      </c>
      <c r="L638" t="n">
        <v>0</v>
      </c>
      <c r="M638" t="n">
        <v>0</v>
      </c>
      <c r="N638" t="n">
        <v>0</v>
      </c>
      <c r="O638" t="n">
        <v>0</v>
      </c>
      <c r="P638" t="n">
        <v>0</v>
      </c>
      <c r="Q638" t="n">
        <v>0</v>
      </c>
      <c r="R638" s="2" t="inlineStr"/>
    </row>
    <row r="639" ht="15" customHeight="1">
      <c r="A639" t="inlineStr">
        <is>
          <t>A 23363-2023</t>
        </is>
      </c>
      <c r="B639" s="1" t="n">
        <v>45076</v>
      </c>
      <c r="C639" s="1" t="n">
        <v>46084</v>
      </c>
      <c r="D639" t="inlineStr">
        <is>
          <t>UPPSALA LÄN</t>
        </is>
      </c>
      <c r="E639" t="inlineStr">
        <is>
          <t>ÖSTHAMMAR</t>
        </is>
      </c>
      <c r="G639" t="n">
        <v>3</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44953.48619212963</v>
      </c>
      <c r="C640" s="1" t="n">
        <v>46084</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58270-2023</t>
        </is>
      </c>
      <c r="B641" s="1" t="n">
        <v>45250.49961805555</v>
      </c>
      <c r="C641" s="1" t="n">
        <v>46084</v>
      </c>
      <c r="D641" t="inlineStr">
        <is>
          <t>UPPSALA LÄN</t>
        </is>
      </c>
      <c r="E641" t="inlineStr">
        <is>
          <t>ÖSTHAMMAR</t>
        </is>
      </c>
      <c r="G641" t="n">
        <v>1.3</v>
      </c>
      <c r="H641" t="n">
        <v>0</v>
      </c>
      <c r="I641" t="n">
        <v>0</v>
      </c>
      <c r="J641" t="n">
        <v>0</v>
      </c>
      <c r="K641" t="n">
        <v>0</v>
      </c>
      <c r="L641" t="n">
        <v>0</v>
      </c>
      <c r="M641" t="n">
        <v>0</v>
      </c>
      <c r="N641" t="n">
        <v>0</v>
      </c>
      <c r="O641" t="n">
        <v>0</v>
      </c>
      <c r="P641" t="n">
        <v>0</v>
      </c>
      <c r="Q641" t="n">
        <v>0</v>
      </c>
      <c r="R641" s="2" t="inlineStr"/>
    </row>
    <row r="642" ht="15" customHeight="1">
      <c r="A642" t="inlineStr">
        <is>
          <t>A 73592-2021</t>
        </is>
      </c>
      <c r="B642" s="1" t="n">
        <v>44552.36974537037</v>
      </c>
      <c r="C642" s="1" t="n">
        <v>46084</v>
      </c>
      <c r="D642" t="inlineStr">
        <is>
          <t>UPPSALA LÄN</t>
        </is>
      </c>
      <c r="E642" t="inlineStr">
        <is>
          <t>ÖSTHAMMAR</t>
        </is>
      </c>
      <c r="G642" t="n">
        <v>1.7</v>
      </c>
      <c r="H642" t="n">
        <v>0</v>
      </c>
      <c r="I642" t="n">
        <v>0</v>
      </c>
      <c r="J642" t="n">
        <v>0</v>
      </c>
      <c r="K642" t="n">
        <v>0</v>
      </c>
      <c r="L642" t="n">
        <v>0</v>
      </c>
      <c r="M642" t="n">
        <v>0</v>
      </c>
      <c r="N642" t="n">
        <v>0</v>
      </c>
      <c r="O642" t="n">
        <v>0</v>
      </c>
      <c r="P642" t="n">
        <v>0</v>
      </c>
      <c r="Q642" t="n">
        <v>0</v>
      </c>
      <c r="R642" s="2" t="inlineStr"/>
    </row>
    <row r="643" ht="15" customHeight="1">
      <c r="A643" t="inlineStr">
        <is>
          <t>A 25938-2024</t>
        </is>
      </c>
      <c r="B643" s="1" t="n">
        <v>45467.63127314814</v>
      </c>
      <c r="C643" s="1" t="n">
        <v>46084</v>
      </c>
      <c r="D643" t="inlineStr">
        <is>
          <t>UPPSALA LÄN</t>
        </is>
      </c>
      <c r="E643" t="inlineStr">
        <is>
          <t>ÖSTHAMMAR</t>
        </is>
      </c>
      <c r="F643" t="inlineStr">
        <is>
          <t>Bergvik skog öst AB</t>
        </is>
      </c>
      <c r="G643" t="n">
        <v>2.2</v>
      </c>
      <c r="H643" t="n">
        <v>0</v>
      </c>
      <c r="I643" t="n">
        <v>0</v>
      </c>
      <c r="J643" t="n">
        <v>0</v>
      </c>
      <c r="K643" t="n">
        <v>0</v>
      </c>
      <c r="L643" t="n">
        <v>0</v>
      </c>
      <c r="M643" t="n">
        <v>0</v>
      </c>
      <c r="N643" t="n">
        <v>0</v>
      </c>
      <c r="O643" t="n">
        <v>0</v>
      </c>
      <c r="P643" t="n">
        <v>0</v>
      </c>
      <c r="Q643" t="n">
        <v>0</v>
      </c>
      <c r="R643" s="2" t="inlineStr"/>
    </row>
    <row r="644" ht="15" customHeight="1">
      <c r="A644" t="inlineStr">
        <is>
          <t>A 62745-2025</t>
        </is>
      </c>
      <c r="B644" s="1" t="n">
        <v>46008.57596064815</v>
      </c>
      <c r="C644" s="1" t="n">
        <v>46084</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11036-2023</t>
        </is>
      </c>
      <c r="B645" s="1" t="n">
        <v>44991.9321412037</v>
      </c>
      <c r="C645" s="1" t="n">
        <v>46084</v>
      </c>
      <c r="D645" t="inlineStr">
        <is>
          <t>UPPSALA LÄN</t>
        </is>
      </c>
      <c r="E645" t="inlineStr">
        <is>
          <t>ÖSTHAMMAR</t>
        </is>
      </c>
      <c r="F645" t="inlineStr">
        <is>
          <t>Bergvik skog öst AB</t>
        </is>
      </c>
      <c r="G645" t="n">
        <v>3</v>
      </c>
      <c r="H645" t="n">
        <v>0</v>
      </c>
      <c r="I645" t="n">
        <v>0</v>
      </c>
      <c r="J645" t="n">
        <v>0</v>
      </c>
      <c r="K645" t="n">
        <v>0</v>
      </c>
      <c r="L645" t="n">
        <v>0</v>
      </c>
      <c r="M645" t="n">
        <v>0</v>
      </c>
      <c r="N645" t="n">
        <v>0</v>
      </c>
      <c r="O645" t="n">
        <v>0</v>
      </c>
      <c r="P645" t="n">
        <v>0</v>
      </c>
      <c r="Q645" t="n">
        <v>0</v>
      </c>
      <c r="R645" s="2" t="inlineStr"/>
    </row>
    <row r="646" ht="15" customHeight="1">
      <c r="A646" t="inlineStr">
        <is>
          <t>A 35539-2023</t>
        </is>
      </c>
      <c r="B646" s="1" t="n">
        <v>45147.37006944444</v>
      </c>
      <c r="C646" s="1" t="n">
        <v>46084</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32744-2022</t>
        </is>
      </c>
      <c r="B647" s="1" t="n">
        <v>44783.70378472222</v>
      </c>
      <c r="C647" s="1" t="n">
        <v>46084</v>
      </c>
      <c r="D647" t="inlineStr">
        <is>
          <t>UPPSALA LÄN</t>
        </is>
      </c>
      <c r="E647" t="inlineStr">
        <is>
          <t>ÖSTHAMMAR</t>
        </is>
      </c>
      <c r="F647" t="inlineStr">
        <is>
          <t>Bergvik skog öst AB</t>
        </is>
      </c>
      <c r="G647" t="n">
        <v>3</v>
      </c>
      <c r="H647" t="n">
        <v>0</v>
      </c>
      <c r="I647" t="n">
        <v>0</v>
      </c>
      <c r="J647" t="n">
        <v>0</v>
      </c>
      <c r="K647" t="n">
        <v>0</v>
      </c>
      <c r="L647" t="n">
        <v>0</v>
      </c>
      <c r="M647" t="n">
        <v>0</v>
      </c>
      <c r="N647" t="n">
        <v>0</v>
      </c>
      <c r="O647" t="n">
        <v>0</v>
      </c>
      <c r="P647" t="n">
        <v>0</v>
      </c>
      <c r="Q647" t="n">
        <v>0</v>
      </c>
      <c r="R647" s="2" t="inlineStr"/>
    </row>
    <row r="648" ht="15" customHeight="1">
      <c r="A648" t="inlineStr">
        <is>
          <t>A 18230-2025</t>
        </is>
      </c>
      <c r="B648" s="1" t="n">
        <v>45761.87114583333</v>
      </c>
      <c r="C648" s="1" t="n">
        <v>46084</v>
      </c>
      <c r="D648" t="inlineStr">
        <is>
          <t>UPPSALA LÄN</t>
        </is>
      </c>
      <c r="E648" t="inlineStr">
        <is>
          <t>ÖSTHAMMAR</t>
        </is>
      </c>
      <c r="F648" t="inlineStr">
        <is>
          <t>Bergvik skog öst AB</t>
        </is>
      </c>
      <c r="G648" t="n">
        <v>4.2</v>
      </c>
      <c r="H648" t="n">
        <v>0</v>
      </c>
      <c r="I648" t="n">
        <v>0</v>
      </c>
      <c r="J648" t="n">
        <v>0</v>
      </c>
      <c r="K648" t="n">
        <v>0</v>
      </c>
      <c r="L648" t="n">
        <v>0</v>
      </c>
      <c r="M648" t="n">
        <v>0</v>
      </c>
      <c r="N648" t="n">
        <v>0</v>
      </c>
      <c r="O648" t="n">
        <v>0</v>
      </c>
      <c r="P648" t="n">
        <v>0</v>
      </c>
      <c r="Q648" t="n">
        <v>0</v>
      </c>
      <c r="R648" s="2" t="inlineStr"/>
    </row>
    <row r="649" ht="15" customHeight="1">
      <c r="A649" t="inlineStr">
        <is>
          <t>A 32884-2024</t>
        </is>
      </c>
      <c r="B649" s="1" t="n">
        <v>45516.72097222223</v>
      </c>
      <c r="C649" s="1" t="n">
        <v>46084</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64586-2021</t>
        </is>
      </c>
      <c r="B650" s="1" t="n">
        <v>44511</v>
      </c>
      <c r="C650" s="1" t="n">
        <v>46084</v>
      </c>
      <c r="D650" t="inlineStr">
        <is>
          <t>UPPSALA LÄN</t>
        </is>
      </c>
      <c r="E650" t="inlineStr">
        <is>
          <t>ÖSTHAMMAR</t>
        </is>
      </c>
      <c r="G650" t="n">
        <v>2</v>
      </c>
      <c r="H650" t="n">
        <v>0</v>
      </c>
      <c r="I650" t="n">
        <v>0</v>
      </c>
      <c r="J650" t="n">
        <v>0</v>
      </c>
      <c r="K650" t="n">
        <v>0</v>
      </c>
      <c r="L650" t="n">
        <v>0</v>
      </c>
      <c r="M650" t="n">
        <v>0</v>
      </c>
      <c r="N650" t="n">
        <v>0</v>
      </c>
      <c r="O650" t="n">
        <v>0</v>
      </c>
      <c r="P650" t="n">
        <v>0</v>
      </c>
      <c r="Q650" t="n">
        <v>0</v>
      </c>
      <c r="R650" s="2" t="inlineStr"/>
    </row>
    <row r="651" ht="15" customHeight="1">
      <c r="A651" t="inlineStr">
        <is>
          <t>A 8006-2023</t>
        </is>
      </c>
      <c r="B651" s="1" t="n">
        <v>44973</v>
      </c>
      <c r="C651" s="1" t="n">
        <v>46084</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6206-2022</t>
        </is>
      </c>
      <c r="B652" s="1" t="n">
        <v>44600.35755787037</v>
      </c>
      <c r="C652" s="1" t="n">
        <v>46084</v>
      </c>
      <c r="D652" t="inlineStr">
        <is>
          <t>UPPSALA LÄN</t>
        </is>
      </c>
      <c r="E652" t="inlineStr">
        <is>
          <t>ÖSTHAMMAR</t>
        </is>
      </c>
      <c r="G652" t="n">
        <v>7.4</v>
      </c>
      <c r="H652" t="n">
        <v>0</v>
      </c>
      <c r="I652" t="n">
        <v>0</v>
      </c>
      <c r="J652" t="n">
        <v>0</v>
      </c>
      <c r="K652" t="n">
        <v>0</v>
      </c>
      <c r="L652" t="n">
        <v>0</v>
      </c>
      <c r="M652" t="n">
        <v>0</v>
      </c>
      <c r="N652" t="n">
        <v>0</v>
      </c>
      <c r="O652" t="n">
        <v>0</v>
      </c>
      <c r="P652" t="n">
        <v>0</v>
      </c>
      <c r="Q652" t="n">
        <v>0</v>
      </c>
      <c r="R652" s="2" t="inlineStr"/>
    </row>
    <row r="653" ht="15" customHeight="1">
      <c r="A653" t="inlineStr">
        <is>
          <t>A 70008-2021</t>
        </is>
      </c>
      <c r="B653" s="1" t="n">
        <v>44533.44887731481</v>
      </c>
      <c r="C653" s="1" t="n">
        <v>46084</v>
      </c>
      <c r="D653" t="inlineStr">
        <is>
          <t>UPPSALA LÄN</t>
        </is>
      </c>
      <c r="E653" t="inlineStr">
        <is>
          <t>ÖSTHAMMAR</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73982-2021</t>
        </is>
      </c>
      <c r="B654" s="1" t="n">
        <v>44555.80339120371</v>
      </c>
      <c r="C654" s="1" t="n">
        <v>46084</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13755-2023</t>
        </is>
      </c>
      <c r="B655" s="1" t="n">
        <v>45007</v>
      </c>
      <c r="C655" s="1" t="n">
        <v>46084</v>
      </c>
      <c r="D655" t="inlineStr">
        <is>
          <t>UPPSALA LÄN</t>
        </is>
      </c>
      <c r="E655" t="inlineStr">
        <is>
          <t>ÖSTHAMMAR</t>
        </is>
      </c>
      <c r="G655" t="n">
        <v>2.4</v>
      </c>
      <c r="H655" t="n">
        <v>0</v>
      </c>
      <c r="I655" t="n">
        <v>0</v>
      </c>
      <c r="J655" t="n">
        <v>0</v>
      </c>
      <c r="K655" t="n">
        <v>0</v>
      </c>
      <c r="L655" t="n">
        <v>0</v>
      </c>
      <c r="M655" t="n">
        <v>0</v>
      </c>
      <c r="N655" t="n">
        <v>0</v>
      </c>
      <c r="O655" t="n">
        <v>0</v>
      </c>
      <c r="P655" t="n">
        <v>0</v>
      </c>
      <c r="Q655" t="n">
        <v>0</v>
      </c>
      <c r="R655" s="2" t="inlineStr"/>
    </row>
    <row r="656" ht="15" customHeight="1">
      <c r="A656" t="inlineStr">
        <is>
          <t>A 13771-2023</t>
        </is>
      </c>
      <c r="B656" s="1" t="n">
        <v>45007</v>
      </c>
      <c r="C656" s="1" t="n">
        <v>46084</v>
      </c>
      <c r="D656" t="inlineStr">
        <is>
          <t>UPPSALA LÄN</t>
        </is>
      </c>
      <c r="E656" t="inlineStr">
        <is>
          <t>ÖSTHAMMAR</t>
        </is>
      </c>
      <c r="G656" t="n">
        <v>2.7</v>
      </c>
      <c r="H656" t="n">
        <v>0</v>
      </c>
      <c r="I656" t="n">
        <v>0</v>
      </c>
      <c r="J656" t="n">
        <v>0</v>
      </c>
      <c r="K656" t="n">
        <v>0</v>
      </c>
      <c r="L656" t="n">
        <v>0</v>
      </c>
      <c r="M656" t="n">
        <v>0</v>
      </c>
      <c r="N656" t="n">
        <v>0</v>
      </c>
      <c r="O656" t="n">
        <v>0</v>
      </c>
      <c r="P656" t="n">
        <v>0</v>
      </c>
      <c r="Q656" t="n">
        <v>0</v>
      </c>
      <c r="R656" s="2" t="inlineStr"/>
    </row>
    <row r="657" ht="15" customHeight="1">
      <c r="A657" t="inlineStr">
        <is>
          <t>A 6238-2026</t>
        </is>
      </c>
      <c r="B657" s="1" t="n">
        <v>46055.45547453704</v>
      </c>
      <c r="C657" s="1" t="n">
        <v>46084</v>
      </c>
      <c r="D657" t="inlineStr">
        <is>
          <t>UPPSALA LÄN</t>
        </is>
      </c>
      <c r="E657" t="inlineStr">
        <is>
          <t>ÖSTHAMMAR</t>
        </is>
      </c>
      <c r="F657" t="inlineStr">
        <is>
          <t>Övriga Aktiebolag</t>
        </is>
      </c>
      <c r="G657" t="n">
        <v>26.7</v>
      </c>
      <c r="H657" t="n">
        <v>0</v>
      </c>
      <c r="I657" t="n">
        <v>0</v>
      </c>
      <c r="J657" t="n">
        <v>0</v>
      </c>
      <c r="K657" t="n">
        <v>0</v>
      </c>
      <c r="L657" t="n">
        <v>0</v>
      </c>
      <c r="M657" t="n">
        <v>0</v>
      </c>
      <c r="N657" t="n">
        <v>0</v>
      </c>
      <c r="O657" t="n">
        <v>0</v>
      </c>
      <c r="P657" t="n">
        <v>0</v>
      </c>
      <c r="Q657" t="n">
        <v>0</v>
      </c>
      <c r="R657" s="2" t="inlineStr"/>
    </row>
    <row r="658" ht="15" customHeight="1">
      <c r="A658" t="inlineStr">
        <is>
          <t>A 4984-2024</t>
        </is>
      </c>
      <c r="B658" s="1" t="n">
        <v>45329</v>
      </c>
      <c r="C658" s="1" t="n">
        <v>46084</v>
      </c>
      <c r="D658" t="inlineStr">
        <is>
          <t>UPPSALA LÄN</t>
        </is>
      </c>
      <c r="E658" t="inlineStr">
        <is>
          <t>ÖSTHAMMAR</t>
        </is>
      </c>
      <c r="G658" t="n">
        <v>2.2</v>
      </c>
      <c r="H658" t="n">
        <v>0</v>
      </c>
      <c r="I658" t="n">
        <v>0</v>
      </c>
      <c r="J658" t="n">
        <v>0</v>
      </c>
      <c r="K658" t="n">
        <v>0</v>
      </c>
      <c r="L658" t="n">
        <v>0</v>
      </c>
      <c r="M658" t="n">
        <v>0</v>
      </c>
      <c r="N658" t="n">
        <v>0</v>
      </c>
      <c r="O658" t="n">
        <v>0</v>
      </c>
      <c r="P658" t="n">
        <v>0</v>
      </c>
      <c r="Q658" t="n">
        <v>0</v>
      </c>
      <c r="R658" s="2" t="inlineStr"/>
    </row>
    <row r="659" ht="15" customHeight="1">
      <c r="A659" t="inlineStr">
        <is>
          <t>A 21624-2023</t>
        </is>
      </c>
      <c r="B659" s="1" t="n">
        <v>45063.65543981481</v>
      </c>
      <c r="C659" s="1" t="n">
        <v>46084</v>
      </c>
      <c r="D659" t="inlineStr">
        <is>
          <t>UPPSALA LÄN</t>
        </is>
      </c>
      <c r="E659" t="inlineStr">
        <is>
          <t>ÖSTHAMMAR</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41996-2024</t>
        </is>
      </c>
      <c r="B660" s="1" t="n">
        <v>45561</v>
      </c>
      <c r="C660" s="1" t="n">
        <v>46084</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20326-2021</t>
        </is>
      </c>
      <c r="B661" s="1" t="n">
        <v>44308</v>
      </c>
      <c r="C661" s="1" t="n">
        <v>46084</v>
      </c>
      <c r="D661" t="inlineStr">
        <is>
          <t>UPPSALA LÄN</t>
        </is>
      </c>
      <c r="E661" t="inlineStr">
        <is>
          <t>ÖSTHAMMAR</t>
        </is>
      </c>
      <c r="G661" t="n">
        <v>7</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46084</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23742-2024</t>
        </is>
      </c>
      <c r="B663" s="1" t="n">
        <v>45455</v>
      </c>
      <c r="C663" s="1" t="n">
        <v>46084</v>
      </c>
      <c r="D663" t="inlineStr">
        <is>
          <t>UPPSALA LÄN</t>
        </is>
      </c>
      <c r="E663" t="inlineStr">
        <is>
          <t>ÖSTHAMMAR</t>
        </is>
      </c>
      <c r="F663" t="inlineStr">
        <is>
          <t>Bergvik skog öst AB</t>
        </is>
      </c>
      <c r="G663" t="n">
        <v>2.2</v>
      </c>
      <c r="H663" t="n">
        <v>0</v>
      </c>
      <c r="I663" t="n">
        <v>0</v>
      </c>
      <c r="J663" t="n">
        <v>0</v>
      </c>
      <c r="K663" t="n">
        <v>0</v>
      </c>
      <c r="L663" t="n">
        <v>0</v>
      </c>
      <c r="M663" t="n">
        <v>0</v>
      </c>
      <c r="N663" t="n">
        <v>0</v>
      </c>
      <c r="O663" t="n">
        <v>0</v>
      </c>
      <c r="P663" t="n">
        <v>0</v>
      </c>
      <c r="Q663" t="n">
        <v>0</v>
      </c>
      <c r="R663" s="2" t="inlineStr"/>
    </row>
    <row r="664" ht="15" customHeight="1">
      <c r="A664" t="inlineStr">
        <is>
          <t>A 49899-2023</t>
        </is>
      </c>
      <c r="B664" s="1" t="n">
        <v>45213</v>
      </c>
      <c r="C664" s="1" t="n">
        <v>46084</v>
      </c>
      <c r="D664" t="inlineStr">
        <is>
          <t>UPPSALA LÄN</t>
        </is>
      </c>
      <c r="E664" t="inlineStr">
        <is>
          <t>ÖSTHAMMAR</t>
        </is>
      </c>
      <c r="G664" t="n">
        <v>6.2</v>
      </c>
      <c r="H664" t="n">
        <v>0</v>
      </c>
      <c r="I664" t="n">
        <v>0</v>
      </c>
      <c r="J664" t="n">
        <v>0</v>
      </c>
      <c r="K664" t="n">
        <v>0</v>
      </c>
      <c r="L664" t="n">
        <v>0</v>
      </c>
      <c r="M664" t="n">
        <v>0</v>
      </c>
      <c r="N664" t="n">
        <v>0</v>
      </c>
      <c r="O664" t="n">
        <v>0</v>
      </c>
      <c r="P664" t="n">
        <v>0</v>
      </c>
      <c r="Q664" t="n">
        <v>0</v>
      </c>
      <c r="R664" s="2" t="inlineStr"/>
    </row>
    <row r="665" ht="15" customHeight="1">
      <c r="A665" t="inlineStr">
        <is>
          <t>A 4676-2025</t>
        </is>
      </c>
      <c r="B665" s="1" t="n">
        <v>45687.8313425926</v>
      </c>
      <c r="C665" s="1" t="n">
        <v>46084</v>
      </c>
      <c r="D665" t="inlineStr">
        <is>
          <t>UPPSALA LÄN</t>
        </is>
      </c>
      <c r="E665" t="inlineStr">
        <is>
          <t>ÖSTHAMMAR</t>
        </is>
      </c>
      <c r="G665" t="n">
        <v>3.7</v>
      </c>
      <c r="H665" t="n">
        <v>0</v>
      </c>
      <c r="I665" t="n">
        <v>0</v>
      </c>
      <c r="J665" t="n">
        <v>0</v>
      </c>
      <c r="K665" t="n">
        <v>0</v>
      </c>
      <c r="L665" t="n">
        <v>0</v>
      </c>
      <c r="M665" t="n">
        <v>0</v>
      </c>
      <c r="N665" t="n">
        <v>0</v>
      </c>
      <c r="O665" t="n">
        <v>0</v>
      </c>
      <c r="P665" t="n">
        <v>0</v>
      </c>
      <c r="Q665" t="n">
        <v>0</v>
      </c>
      <c r="R665" s="2" t="inlineStr"/>
    </row>
    <row r="666" ht="15" customHeight="1">
      <c r="A666" t="inlineStr">
        <is>
          <t>A 6712-2026</t>
        </is>
      </c>
      <c r="B666" s="1" t="n">
        <v>46056.65564814815</v>
      </c>
      <c r="C666" s="1" t="n">
        <v>46084</v>
      </c>
      <c r="D666" t="inlineStr">
        <is>
          <t>UPPSALA LÄN</t>
        </is>
      </c>
      <c r="E666" t="inlineStr">
        <is>
          <t>ÖSTHAMMAR</t>
        </is>
      </c>
      <c r="F666" t="inlineStr">
        <is>
          <t>Bergvik skog öst AB</t>
        </is>
      </c>
      <c r="G666" t="n">
        <v>5</v>
      </c>
      <c r="H666" t="n">
        <v>0</v>
      </c>
      <c r="I666" t="n">
        <v>0</v>
      </c>
      <c r="J666" t="n">
        <v>0</v>
      </c>
      <c r="K666" t="n">
        <v>0</v>
      </c>
      <c r="L666" t="n">
        <v>0</v>
      </c>
      <c r="M666" t="n">
        <v>0</v>
      </c>
      <c r="N666" t="n">
        <v>0</v>
      </c>
      <c r="O666" t="n">
        <v>0</v>
      </c>
      <c r="P666" t="n">
        <v>0</v>
      </c>
      <c r="Q666" t="n">
        <v>0</v>
      </c>
      <c r="R666" s="2" t="inlineStr"/>
    </row>
    <row r="667" ht="15" customHeight="1">
      <c r="A667" t="inlineStr">
        <is>
          <t>A 6762-2026</t>
        </is>
      </c>
      <c r="B667" s="1" t="n">
        <v>46056.85776620371</v>
      </c>
      <c r="C667" s="1" t="n">
        <v>46084</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6884-2026</t>
        </is>
      </c>
      <c r="B668" s="1" t="n">
        <v>46057.46614583334</v>
      </c>
      <c r="C668" s="1" t="n">
        <v>46084</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6511-2026</t>
        </is>
      </c>
      <c r="B669" s="1" t="n">
        <v>46056.38925925926</v>
      </c>
      <c r="C669" s="1" t="n">
        <v>46084</v>
      </c>
      <c r="D669" t="inlineStr">
        <is>
          <t>UPPSALA LÄN</t>
        </is>
      </c>
      <c r="E669" t="inlineStr">
        <is>
          <t>ÖSTHAMMAR</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6522-2026</t>
        </is>
      </c>
      <c r="B670" s="1" t="n">
        <v>46056.4025</v>
      </c>
      <c r="C670" s="1" t="n">
        <v>46084</v>
      </c>
      <c r="D670" t="inlineStr">
        <is>
          <t>UPPSALA LÄN</t>
        </is>
      </c>
      <c r="E670" t="inlineStr">
        <is>
          <t>ÖSTHAMMAR</t>
        </is>
      </c>
      <c r="F670" t="inlineStr">
        <is>
          <t>Bergvik skog öst AB</t>
        </is>
      </c>
      <c r="G670" t="n">
        <v>4.2</v>
      </c>
      <c r="H670" t="n">
        <v>0</v>
      </c>
      <c r="I670" t="n">
        <v>0</v>
      </c>
      <c r="J670" t="n">
        <v>0</v>
      </c>
      <c r="K670" t="n">
        <v>0</v>
      </c>
      <c r="L670" t="n">
        <v>0</v>
      </c>
      <c r="M670" t="n">
        <v>0</v>
      </c>
      <c r="N670" t="n">
        <v>0</v>
      </c>
      <c r="O670" t="n">
        <v>0</v>
      </c>
      <c r="P670" t="n">
        <v>0</v>
      </c>
      <c r="Q670" t="n">
        <v>0</v>
      </c>
      <c r="R670" s="2" t="inlineStr"/>
    </row>
    <row r="671" ht="15" customHeight="1">
      <c r="A671" t="inlineStr">
        <is>
          <t>A 6106-2024</t>
        </is>
      </c>
      <c r="B671" s="1" t="n">
        <v>45337.36831018519</v>
      </c>
      <c r="C671" s="1" t="n">
        <v>46084</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6517-2026</t>
        </is>
      </c>
      <c r="B672" s="1" t="n">
        <v>46056.39921296296</v>
      </c>
      <c r="C672" s="1" t="n">
        <v>46084</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17009-2021</t>
        </is>
      </c>
      <c r="B673" s="1" t="n">
        <v>44295.63969907408</v>
      </c>
      <c r="C673" s="1" t="n">
        <v>46084</v>
      </c>
      <c r="D673" t="inlineStr">
        <is>
          <t>UPPSALA LÄN</t>
        </is>
      </c>
      <c r="E673" t="inlineStr">
        <is>
          <t>ÖSTHAMMAR</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6635-2026</t>
        </is>
      </c>
      <c r="B674" s="1" t="n">
        <v>46056.52885416667</v>
      </c>
      <c r="C674" s="1" t="n">
        <v>46084</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33758-2024</t>
        </is>
      </c>
      <c r="B675" s="1" t="n">
        <v>45520.56896990741</v>
      </c>
      <c r="C675" s="1" t="n">
        <v>46084</v>
      </c>
      <c r="D675" t="inlineStr">
        <is>
          <t>UPPSALA LÄN</t>
        </is>
      </c>
      <c r="E675" t="inlineStr">
        <is>
          <t>ÖSTHAMMAR</t>
        </is>
      </c>
      <c r="G675" t="n">
        <v>6.5</v>
      </c>
      <c r="H675" t="n">
        <v>0</v>
      </c>
      <c r="I675" t="n">
        <v>0</v>
      </c>
      <c r="J675" t="n">
        <v>0</v>
      </c>
      <c r="K675" t="n">
        <v>0</v>
      </c>
      <c r="L675" t="n">
        <v>0</v>
      </c>
      <c r="M675" t="n">
        <v>0</v>
      </c>
      <c r="N675" t="n">
        <v>0</v>
      </c>
      <c r="O675" t="n">
        <v>0</v>
      </c>
      <c r="P675" t="n">
        <v>0</v>
      </c>
      <c r="Q675" t="n">
        <v>0</v>
      </c>
      <c r="R675" s="2" t="inlineStr"/>
    </row>
    <row r="676" ht="15" customHeight="1">
      <c r="A676" t="inlineStr">
        <is>
          <t>A 24259-2022</t>
        </is>
      </c>
      <c r="B676" s="1" t="n">
        <v>44725</v>
      </c>
      <c r="C676" s="1" t="n">
        <v>46084</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18113-2023</t>
        </is>
      </c>
      <c r="B677" s="1" t="n">
        <v>45040</v>
      </c>
      <c r="C677" s="1" t="n">
        <v>46084</v>
      </c>
      <c r="D677" t="inlineStr">
        <is>
          <t>UPPSALA LÄN</t>
        </is>
      </c>
      <c r="E677" t="inlineStr">
        <is>
          <t>ÖSTHAMMAR</t>
        </is>
      </c>
      <c r="G677" t="n">
        <v>2.1</v>
      </c>
      <c r="H677" t="n">
        <v>0</v>
      </c>
      <c r="I677" t="n">
        <v>0</v>
      </c>
      <c r="J677" t="n">
        <v>0</v>
      </c>
      <c r="K677" t="n">
        <v>0</v>
      </c>
      <c r="L677" t="n">
        <v>0</v>
      </c>
      <c r="M677" t="n">
        <v>0</v>
      </c>
      <c r="N677" t="n">
        <v>0</v>
      </c>
      <c r="O677" t="n">
        <v>0</v>
      </c>
      <c r="P677" t="n">
        <v>0</v>
      </c>
      <c r="Q677" t="n">
        <v>0</v>
      </c>
      <c r="R677" s="2" t="inlineStr"/>
    </row>
    <row r="678" ht="15" customHeight="1">
      <c r="A678" t="inlineStr">
        <is>
          <t>A 65020-2021</t>
        </is>
      </c>
      <c r="B678" s="1" t="n">
        <v>44515</v>
      </c>
      <c r="C678" s="1" t="n">
        <v>46084</v>
      </c>
      <c r="D678" t="inlineStr">
        <is>
          <t>UPPSALA LÄN</t>
        </is>
      </c>
      <c r="E678" t="inlineStr">
        <is>
          <t>ÖSTHAMMAR</t>
        </is>
      </c>
      <c r="F678" t="inlineStr">
        <is>
          <t>Sveaskog</t>
        </is>
      </c>
      <c r="G678" t="n">
        <v>4.7</v>
      </c>
      <c r="H678" t="n">
        <v>0</v>
      </c>
      <c r="I678" t="n">
        <v>0</v>
      </c>
      <c r="J678" t="n">
        <v>0</v>
      </c>
      <c r="K678" t="n">
        <v>0</v>
      </c>
      <c r="L678" t="n">
        <v>0</v>
      </c>
      <c r="M678" t="n">
        <v>0</v>
      </c>
      <c r="N678" t="n">
        <v>0</v>
      </c>
      <c r="O678" t="n">
        <v>0</v>
      </c>
      <c r="P678" t="n">
        <v>0</v>
      </c>
      <c r="Q678" t="n">
        <v>0</v>
      </c>
      <c r="R678" s="2" t="inlineStr"/>
    </row>
    <row r="679" ht="15" customHeight="1">
      <c r="A679" t="inlineStr">
        <is>
          <t>A 61216-2022</t>
        </is>
      </c>
      <c r="B679" s="1" t="n">
        <v>44915.55423611111</v>
      </c>
      <c r="C679" s="1" t="n">
        <v>46084</v>
      </c>
      <c r="D679" t="inlineStr">
        <is>
          <t>UPPSALA LÄN</t>
        </is>
      </c>
      <c r="E679" t="inlineStr">
        <is>
          <t>ÖSTHAMMAR</t>
        </is>
      </c>
      <c r="G679" t="n">
        <v>2.9</v>
      </c>
      <c r="H679" t="n">
        <v>0</v>
      </c>
      <c r="I679" t="n">
        <v>0</v>
      </c>
      <c r="J679" t="n">
        <v>0</v>
      </c>
      <c r="K679" t="n">
        <v>0</v>
      </c>
      <c r="L679" t="n">
        <v>0</v>
      </c>
      <c r="M679" t="n">
        <v>0</v>
      </c>
      <c r="N679" t="n">
        <v>0</v>
      </c>
      <c r="O679" t="n">
        <v>0</v>
      </c>
      <c r="P679" t="n">
        <v>0</v>
      </c>
      <c r="Q679" t="n">
        <v>0</v>
      </c>
      <c r="R679" s="2" t="inlineStr"/>
    </row>
    <row r="680" ht="15" customHeight="1">
      <c r="A680" t="inlineStr">
        <is>
          <t>A 27660-2023</t>
        </is>
      </c>
      <c r="B680" s="1" t="n">
        <v>45097</v>
      </c>
      <c r="C680" s="1" t="n">
        <v>46084</v>
      </c>
      <c r="D680" t="inlineStr">
        <is>
          <t>UPPSALA LÄN</t>
        </is>
      </c>
      <c r="E680" t="inlineStr">
        <is>
          <t>ÖSTHAMMAR</t>
        </is>
      </c>
      <c r="G680" t="n">
        <v>2.8</v>
      </c>
      <c r="H680" t="n">
        <v>0</v>
      </c>
      <c r="I680" t="n">
        <v>0</v>
      </c>
      <c r="J680" t="n">
        <v>0</v>
      </c>
      <c r="K680" t="n">
        <v>0</v>
      </c>
      <c r="L680" t="n">
        <v>0</v>
      </c>
      <c r="M680" t="n">
        <v>0</v>
      </c>
      <c r="N680" t="n">
        <v>0</v>
      </c>
      <c r="O680" t="n">
        <v>0</v>
      </c>
      <c r="P680" t="n">
        <v>0</v>
      </c>
      <c r="Q680" t="n">
        <v>0</v>
      </c>
      <c r="R680" s="2" t="inlineStr"/>
    </row>
    <row r="681" ht="15" customHeight="1">
      <c r="A681" t="inlineStr">
        <is>
          <t>A 69411-2021</t>
        </is>
      </c>
      <c r="B681" s="1" t="n">
        <v>44531.61038194445</v>
      </c>
      <c r="C681" s="1" t="n">
        <v>46084</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26303-2024</t>
        </is>
      </c>
      <c r="B682" s="1" t="n">
        <v>45468</v>
      </c>
      <c r="C682" s="1" t="n">
        <v>46084</v>
      </c>
      <c r="D682" t="inlineStr">
        <is>
          <t>UPPSALA LÄN</t>
        </is>
      </c>
      <c r="E682" t="inlineStr">
        <is>
          <t>ÖSTHAMMAR</t>
        </is>
      </c>
      <c r="G682" t="n">
        <v>1.2</v>
      </c>
      <c r="H682" t="n">
        <v>0</v>
      </c>
      <c r="I682" t="n">
        <v>0</v>
      </c>
      <c r="J682" t="n">
        <v>0</v>
      </c>
      <c r="K682" t="n">
        <v>0</v>
      </c>
      <c r="L682" t="n">
        <v>0</v>
      </c>
      <c r="M682" t="n">
        <v>0</v>
      </c>
      <c r="N682" t="n">
        <v>0</v>
      </c>
      <c r="O682" t="n">
        <v>0</v>
      </c>
      <c r="P682" t="n">
        <v>0</v>
      </c>
      <c r="Q682" t="n">
        <v>0</v>
      </c>
      <c r="R682" s="2" t="inlineStr"/>
    </row>
    <row r="683" ht="15" customHeight="1">
      <c r="A683" t="inlineStr">
        <is>
          <t>A 7241-2026</t>
        </is>
      </c>
      <c r="B683" s="1" t="n">
        <v>46058.58392361111</v>
      </c>
      <c r="C683" s="1" t="n">
        <v>46084</v>
      </c>
      <c r="D683" t="inlineStr">
        <is>
          <t>UPPSALA LÄN</t>
        </is>
      </c>
      <c r="E683" t="inlineStr">
        <is>
          <t>ÖSTHAMMAR</t>
        </is>
      </c>
      <c r="F683" t="inlineStr">
        <is>
          <t>Övriga Aktiebolag</t>
        </is>
      </c>
      <c r="G683" t="n">
        <v>1.7</v>
      </c>
      <c r="H683" t="n">
        <v>0</v>
      </c>
      <c r="I683" t="n">
        <v>0</v>
      </c>
      <c r="J683" t="n">
        <v>0</v>
      </c>
      <c r="K683" t="n">
        <v>0</v>
      </c>
      <c r="L683" t="n">
        <v>0</v>
      </c>
      <c r="M683" t="n">
        <v>0</v>
      </c>
      <c r="N683" t="n">
        <v>0</v>
      </c>
      <c r="O683" t="n">
        <v>0</v>
      </c>
      <c r="P683" t="n">
        <v>0</v>
      </c>
      <c r="Q683" t="n">
        <v>0</v>
      </c>
      <c r="R683" s="2" t="inlineStr"/>
    </row>
    <row r="684" ht="15" customHeight="1">
      <c r="A684" t="inlineStr">
        <is>
          <t>A 7262-2026</t>
        </is>
      </c>
      <c r="B684" s="1" t="n">
        <v>46058.6049537037</v>
      </c>
      <c r="C684" s="1" t="n">
        <v>46084</v>
      </c>
      <c r="D684" t="inlineStr">
        <is>
          <t>UPPSALA LÄN</t>
        </is>
      </c>
      <c r="E684" t="inlineStr">
        <is>
          <t>ÖSTHAMMAR</t>
        </is>
      </c>
      <c r="F684" t="inlineStr">
        <is>
          <t>Övriga Aktiebolag</t>
        </is>
      </c>
      <c r="G684" t="n">
        <v>0.8</v>
      </c>
      <c r="H684" t="n">
        <v>0</v>
      </c>
      <c r="I684" t="n">
        <v>0</v>
      </c>
      <c r="J684" t="n">
        <v>0</v>
      </c>
      <c r="K684" t="n">
        <v>0</v>
      </c>
      <c r="L684" t="n">
        <v>0</v>
      </c>
      <c r="M684" t="n">
        <v>0</v>
      </c>
      <c r="N684" t="n">
        <v>0</v>
      </c>
      <c r="O684" t="n">
        <v>0</v>
      </c>
      <c r="P684" t="n">
        <v>0</v>
      </c>
      <c r="Q684" t="n">
        <v>0</v>
      </c>
      <c r="R684" s="2" t="inlineStr"/>
    </row>
    <row r="685" ht="15" customHeight="1">
      <c r="A685" t="inlineStr">
        <is>
          <t>A 1238-2022</t>
        </is>
      </c>
      <c r="B685" s="1" t="n">
        <v>44572.5827662037</v>
      </c>
      <c r="C685" s="1" t="n">
        <v>46084</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38003-2024</t>
        </is>
      </c>
      <c r="B686" s="1" t="n">
        <v>45544</v>
      </c>
      <c r="C686" s="1" t="n">
        <v>46084</v>
      </c>
      <c r="D686" t="inlineStr">
        <is>
          <t>UPPSALA LÄN</t>
        </is>
      </c>
      <c r="E686" t="inlineStr">
        <is>
          <t>ÖSTHAMMAR</t>
        </is>
      </c>
      <c r="F686" t="inlineStr">
        <is>
          <t>Naturvårdsverket</t>
        </is>
      </c>
      <c r="G686" t="n">
        <v>4.2</v>
      </c>
      <c r="H686" t="n">
        <v>0</v>
      </c>
      <c r="I686" t="n">
        <v>0</v>
      </c>
      <c r="J686" t="n">
        <v>0</v>
      </c>
      <c r="K686" t="n">
        <v>0</v>
      </c>
      <c r="L686" t="n">
        <v>0</v>
      </c>
      <c r="M686" t="n">
        <v>0</v>
      </c>
      <c r="N686" t="n">
        <v>0</v>
      </c>
      <c r="O686" t="n">
        <v>0</v>
      </c>
      <c r="P686" t="n">
        <v>0</v>
      </c>
      <c r="Q686" t="n">
        <v>0</v>
      </c>
      <c r="R686" s="2" t="inlineStr"/>
    </row>
    <row r="687" ht="15" customHeight="1">
      <c r="A687" t="inlineStr">
        <is>
          <t>A 25252-2024</t>
        </is>
      </c>
      <c r="B687" s="1" t="n">
        <v>45462</v>
      </c>
      <c r="C687" s="1" t="n">
        <v>46084</v>
      </c>
      <c r="D687" t="inlineStr">
        <is>
          <t>UPPSALA LÄN</t>
        </is>
      </c>
      <c r="E687" t="inlineStr">
        <is>
          <t>ÖSTHAMMAR</t>
        </is>
      </c>
      <c r="G687" t="n">
        <v>4.3</v>
      </c>
      <c r="H687" t="n">
        <v>0</v>
      </c>
      <c r="I687" t="n">
        <v>0</v>
      </c>
      <c r="J687" t="n">
        <v>0</v>
      </c>
      <c r="K687" t="n">
        <v>0</v>
      </c>
      <c r="L687" t="n">
        <v>0</v>
      </c>
      <c r="M687" t="n">
        <v>0</v>
      </c>
      <c r="N687" t="n">
        <v>0</v>
      </c>
      <c r="O687" t="n">
        <v>0</v>
      </c>
      <c r="P687" t="n">
        <v>0</v>
      </c>
      <c r="Q687" t="n">
        <v>0</v>
      </c>
      <c r="R687" s="2" t="inlineStr"/>
    </row>
    <row r="688" ht="15" customHeight="1">
      <c r="A688" t="inlineStr">
        <is>
          <t>A 16531-2025</t>
        </is>
      </c>
      <c r="B688" s="1" t="n">
        <v>45751</v>
      </c>
      <c r="C688" s="1" t="n">
        <v>46084</v>
      </c>
      <c r="D688" t="inlineStr">
        <is>
          <t>UPPSALA LÄN</t>
        </is>
      </c>
      <c r="E688" t="inlineStr">
        <is>
          <t>ÖSTHAMMAR</t>
        </is>
      </c>
      <c r="G688" t="n">
        <v>3.3</v>
      </c>
      <c r="H688" t="n">
        <v>0</v>
      </c>
      <c r="I688" t="n">
        <v>0</v>
      </c>
      <c r="J688" t="n">
        <v>0</v>
      </c>
      <c r="K688" t="n">
        <v>0</v>
      </c>
      <c r="L688" t="n">
        <v>0</v>
      </c>
      <c r="M688" t="n">
        <v>0</v>
      </c>
      <c r="N688" t="n">
        <v>0</v>
      </c>
      <c r="O688" t="n">
        <v>0</v>
      </c>
      <c r="P688" t="n">
        <v>0</v>
      </c>
      <c r="Q688" t="n">
        <v>0</v>
      </c>
      <c r="R688" s="2" t="inlineStr"/>
    </row>
    <row r="689" ht="15" customHeight="1">
      <c r="A689" t="inlineStr">
        <is>
          <t>A 8014-2026</t>
        </is>
      </c>
      <c r="B689" s="1" t="n">
        <v>46063.54009259259</v>
      </c>
      <c r="C689" s="1" t="n">
        <v>46084</v>
      </c>
      <c r="D689" t="inlineStr">
        <is>
          <t>UPPSALA LÄN</t>
        </is>
      </c>
      <c r="E689" t="inlineStr">
        <is>
          <t>ÖSTHAMMAR</t>
        </is>
      </c>
      <c r="G689" t="n">
        <v>15.2</v>
      </c>
      <c r="H689" t="n">
        <v>0</v>
      </c>
      <c r="I689" t="n">
        <v>0</v>
      </c>
      <c r="J689" t="n">
        <v>0</v>
      </c>
      <c r="K689" t="n">
        <v>0</v>
      </c>
      <c r="L689" t="n">
        <v>0</v>
      </c>
      <c r="M689" t="n">
        <v>0</v>
      </c>
      <c r="N689" t="n">
        <v>0</v>
      </c>
      <c r="O689" t="n">
        <v>0</v>
      </c>
      <c r="P689" t="n">
        <v>0</v>
      </c>
      <c r="Q689" t="n">
        <v>0</v>
      </c>
      <c r="R689" s="2" t="inlineStr"/>
    </row>
    <row r="690" ht="15" customHeight="1">
      <c r="A690" t="inlineStr">
        <is>
          <t>A 8030-2026</t>
        </is>
      </c>
      <c r="B690" s="1" t="n">
        <v>46063.57956018519</v>
      </c>
      <c r="C690" s="1" t="n">
        <v>46084</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7855-2026</t>
        </is>
      </c>
      <c r="B691" s="1" t="n">
        <v>46062.67241898148</v>
      </c>
      <c r="C691" s="1" t="n">
        <v>46084</v>
      </c>
      <c r="D691" t="inlineStr">
        <is>
          <t>UPPSALA LÄN</t>
        </is>
      </c>
      <c r="E691" t="inlineStr">
        <is>
          <t>ÖSTHAMMAR</t>
        </is>
      </c>
      <c r="G691" t="n">
        <v>3.8</v>
      </c>
      <c r="H691" t="n">
        <v>0</v>
      </c>
      <c r="I691" t="n">
        <v>0</v>
      </c>
      <c r="J691" t="n">
        <v>0</v>
      </c>
      <c r="K691" t="n">
        <v>0</v>
      </c>
      <c r="L691" t="n">
        <v>0</v>
      </c>
      <c r="M691" t="n">
        <v>0</v>
      </c>
      <c r="N691" t="n">
        <v>0</v>
      </c>
      <c r="O691" t="n">
        <v>0</v>
      </c>
      <c r="P691" t="n">
        <v>0</v>
      </c>
      <c r="Q691" t="n">
        <v>0</v>
      </c>
      <c r="R691" s="2" t="inlineStr"/>
    </row>
    <row r="692" ht="15" customHeight="1">
      <c r="A692" t="inlineStr">
        <is>
          <t>A 31137-2022</t>
        </is>
      </c>
      <c r="B692" s="1" t="n">
        <v>44770.42166666667</v>
      </c>
      <c r="C692" s="1" t="n">
        <v>46084</v>
      </c>
      <c r="D692" t="inlineStr">
        <is>
          <t>UPPSALA LÄN</t>
        </is>
      </c>
      <c r="E692" t="inlineStr">
        <is>
          <t>ÖSTHAMMAR</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8086-2026</t>
        </is>
      </c>
      <c r="B693" s="1" t="n">
        <v>46063.70094907407</v>
      </c>
      <c r="C693" s="1" t="n">
        <v>46084</v>
      </c>
      <c r="D693" t="inlineStr">
        <is>
          <t>UPPSALA LÄN</t>
        </is>
      </c>
      <c r="E693" t="inlineStr">
        <is>
          <t>ÖSTHAMMAR</t>
        </is>
      </c>
      <c r="G693" t="n">
        <v>3.8</v>
      </c>
      <c r="H693" t="n">
        <v>0</v>
      </c>
      <c r="I693" t="n">
        <v>0</v>
      </c>
      <c r="J693" t="n">
        <v>0</v>
      </c>
      <c r="K693" t="n">
        <v>0</v>
      </c>
      <c r="L693" t="n">
        <v>0</v>
      </c>
      <c r="M693" t="n">
        <v>0</v>
      </c>
      <c r="N693" t="n">
        <v>0</v>
      </c>
      <c r="O693" t="n">
        <v>0</v>
      </c>
      <c r="P693" t="n">
        <v>0</v>
      </c>
      <c r="Q693" t="n">
        <v>0</v>
      </c>
      <c r="R693" s="2" t="inlineStr"/>
    </row>
    <row r="694" ht="15" customHeight="1">
      <c r="A694" t="inlineStr">
        <is>
          <t>A 74429-2021</t>
        </is>
      </c>
      <c r="B694" s="1" t="n">
        <v>44560.43136574074</v>
      </c>
      <c r="C694" s="1" t="n">
        <v>46084</v>
      </c>
      <c r="D694" t="inlineStr">
        <is>
          <t>UPPSALA LÄN</t>
        </is>
      </c>
      <c r="E694" t="inlineStr">
        <is>
          <t>ÖSTHAMMAR</t>
        </is>
      </c>
      <c r="F694" t="inlineStr">
        <is>
          <t>Bergvik skog öst AB</t>
        </is>
      </c>
      <c r="G694" t="n">
        <v>0.8</v>
      </c>
      <c r="H694" t="n">
        <v>0</v>
      </c>
      <c r="I694" t="n">
        <v>0</v>
      </c>
      <c r="J694" t="n">
        <v>0</v>
      </c>
      <c r="K694" t="n">
        <v>0</v>
      </c>
      <c r="L694" t="n">
        <v>0</v>
      </c>
      <c r="M694" t="n">
        <v>0</v>
      </c>
      <c r="N694" t="n">
        <v>0</v>
      </c>
      <c r="O694" t="n">
        <v>0</v>
      </c>
      <c r="P694" t="n">
        <v>0</v>
      </c>
      <c r="Q694" t="n">
        <v>0</v>
      </c>
      <c r="R694" s="2" t="inlineStr"/>
    </row>
    <row r="695" ht="15" customHeight="1">
      <c r="A695" t="inlineStr">
        <is>
          <t>A 30931-2021</t>
        </is>
      </c>
      <c r="B695" s="1" t="n">
        <v>44365</v>
      </c>
      <c r="C695" s="1" t="n">
        <v>46084</v>
      </c>
      <c r="D695" t="inlineStr">
        <is>
          <t>UPPSALA LÄN</t>
        </is>
      </c>
      <c r="E695" t="inlineStr">
        <is>
          <t>ÖSTHAMMAR</t>
        </is>
      </c>
      <c r="F695" t="inlineStr">
        <is>
          <t>Bergvik skog öst AB</t>
        </is>
      </c>
      <c r="G695" t="n">
        <v>2.3</v>
      </c>
      <c r="H695" t="n">
        <v>0</v>
      </c>
      <c r="I695" t="n">
        <v>0</v>
      </c>
      <c r="J695" t="n">
        <v>0</v>
      </c>
      <c r="K695" t="n">
        <v>0</v>
      </c>
      <c r="L695" t="n">
        <v>0</v>
      </c>
      <c r="M695" t="n">
        <v>0</v>
      </c>
      <c r="N695" t="n">
        <v>0</v>
      </c>
      <c r="O695" t="n">
        <v>0</v>
      </c>
      <c r="P695" t="n">
        <v>0</v>
      </c>
      <c r="Q695" t="n">
        <v>0</v>
      </c>
      <c r="R695" s="2" t="inlineStr"/>
    </row>
    <row r="696" ht="15" customHeight="1">
      <c r="A696" t="inlineStr">
        <is>
          <t>A 17867-2024</t>
        </is>
      </c>
      <c r="B696" s="1" t="n">
        <v>45419.44106481481</v>
      </c>
      <c r="C696" s="1" t="n">
        <v>46084</v>
      </c>
      <c r="D696" t="inlineStr">
        <is>
          <t>UPPSALA LÄN</t>
        </is>
      </c>
      <c r="E696" t="inlineStr">
        <is>
          <t>ÖSTHAMMAR</t>
        </is>
      </c>
      <c r="G696" t="n">
        <v>7.2</v>
      </c>
      <c r="H696" t="n">
        <v>0</v>
      </c>
      <c r="I696" t="n">
        <v>0</v>
      </c>
      <c r="J696" t="n">
        <v>0</v>
      </c>
      <c r="K696" t="n">
        <v>0</v>
      </c>
      <c r="L696" t="n">
        <v>0</v>
      </c>
      <c r="M696" t="n">
        <v>0</v>
      </c>
      <c r="N696" t="n">
        <v>0</v>
      </c>
      <c r="O696" t="n">
        <v>0</v>
      </c>
      <c r="P696" t="n">
        <v>0</v>
      </c>
      <c r="Q696" t="n">
        <v>0</v>
      </c>
      <c r="R696" s="2" t="inlineStr"/>
    </row>
    <row r="697" ht="15" customHeight="1">
      <c r="A697" t="inlineStr">
        <is>
          <t>A 4228-2023</t>
        </is>
      </c>
      <c r="B697" s="1" t="n">
        <v>44953.48179398148</v>
      </c>
      <c r="C697" s="1" t="n">
        <v>46084</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36301-2023</t>
        </is>
      </c>
      <c r="B698" s="1" t="n">
        <v>45152.37296296296</v>
      </c>
      <c r="C698" s="1" t="n">
        <v>46084</v>
      </c>
      <c r="D698" t="inlineStr">
        <is>
          <t>UPPSALA LÄN</t>
        </is>
      </c>
      <c r="E698" t="inlineStr">
        <is>
          <t>ÖSTHAMMAR</t>
        </is>
      </c>
      <c r="G698" t="n">
        <v>0.9</v>
      </c>
      <c r="H698" t="n">
        <v>0</v>
      </c>
      <c r="I698" t="n">
        <v>0</v>
      </c>
      <c r="J698" t="n">
        <v>0</v>
      </c>
      <c r="K698" t="n">
        <v>0</v>
      </c>
      <c r="L698" t="n">
        <v>0</v>
      </c>
      <c r="M698" t="n">
        <v>0</v>
      </c>
      <c r="N698" t="n">
        <v>0</v>
      </c>
      <c r="O698" t="n">
        <v>0</v>
      </c>
      <c r="P698" t="n">
        <v>0</v>
      </c>
      <c r="Q698" t="n">
        <v>0</v>
      </c>
      <c r="R698" s="2" t="inlineStr"/>
    </row>
    <row r="699" ht="15" customHeight="1">
      <c r="A699" t="inlineStr">
        <is>
          <t>A 7195-2023</t>
        </is>
      </c>
      <c r="B699" s="1" t="n">
        <v>44970</v>
      </c>
      <c r="C699" s="1" t="n">
        <v>46084</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26774-2023</t>
        </is>
      </c>
      <c r="B700" s="1" t="n">
        <v>45093.47947916666</v>
      </c>
      <c r="C700" s="1" t="n">
        <v>46084</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17644-2025</t>
        </is>
      </c>
      <c r="B701" s="1" t="n">
        <v>45758.32645833334</v>
      </c>
      <c r="C701" s="1" t="n">
        <v>46084</v>
      </c>
      <c r="D701" t="inlineStr">
        <is>
          <t>UPPSALA LÄN</t>
        </is>
      </c>
      <c r="E701" t="inlineStr">
        <is>
          <t>ÖSTHAMMAR</t>
        </is>
      </c>
      <c r="F701" t="inlineStr">
        <is>
          <t>Bergvik skog väst AB</t>
        </is>
      </c>
      <c r="G701" t="n">
        <v>6.1</v>
      </c>
      <c r="H701" t="n">
        <v>0</v>
      </c>
      <c r="I701" t="n">
        <v>0</v>
      </c>
      <c r="J701" t="n">
        <v>0</v>
      </c>
      <c r="K701" t="n">
        <v>0</v>
      </c>
      <c r="L701" t="n">
        <v>0</v>
      </c>
      <c r="M701" t="n">
        <v>0</v>
      </c>
      <c r="N701" t="n">
        <v>0</v>
      </c>
      <c r="O701" t="n">
        <v>0</v>
      </c>
      <c r="P701" t="n">
        <v>0</v>
      </c>
      <c r="Q701" t="n">
        <v>0</v>
      </c>
      <c r="R701" s="2" t="inlineStr"/>
    </row>
    <row r="702" ht="15" customHeight="1">
      <c r="A702" t="inlineStr">
        <is>
          <t>A 20324-2021</t>
        </is>
      </c>
      <c r="B702" s="1" t="n">
        <v>44308</v>
      </c>
      <c r="C702" s="1" t="n">
        <v>46084</v>
      </c>
      <c r="D702" t="inlineStr">
        <is>
          <t>UPPSALA LÄN</t>
        </is>
      </c>
      <c r="E702" t="inlineStr">
        <is>
          <t>ÖSTHAMMAR</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17652-2025</t>
        </is>
      </c>
      <c r="B703" s="1" t="n">
        <v>45758.33583333333</v>
      </c>
      <c r="C703" s="1" t="n">
        <v>46084</v>
      </c>
      <c r="D703" t="inlineStr">
        <is>
          <t>UPPSALA LÄN</t>
        </is>
      </c>
      <c r="E703" t="inlineStr">
        <is>
          <t>ÖSTHAMMAR</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6120-2024</t>
        </is>
      </c>
      <c r="B704" s="1" t="n">
        <v>45337.41784722222</v>
      </c>
      <c r="C704" s="1" t="n">
        <v>46084</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12528-2024</t>
        </is>
      </c>
      <c r="B705" s="1" t="n">
        <v>45379.61878472222</v>
      </c>
      <c r="C705" s="1" t="n">
        <v>46084</v>
      </c>
      <c r="D705" t="inlineStr">
        <is>
          <t>UPPSALA LÄN</t>
        </is>
      </c>
      <c r="E705" t="inlineStr">
        <is>
          <t>ÖSTHAMMAR</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357-2025</t>
        </is>
      </c>
      <c r="B706" s="1" t="n">
        <v>45659</v>
      </c>
      <c r="C706" s="1" t="n">
        <v>46084</v>
      </c>
      <c r="D706" t="inlineStr">
        <is>
          <t>UPPSALA LÄN</t>
        </is>
      </c>
      <c r="E706" t="inlineStr">
        <is>
          <t>ÖSTHAMMAR</t>
        </is>
      </c>
      <c r="G706" t="n">
        <v>15.8</v>
      </c>
      <c r="H706" t="n">
        <v>0</v>
      </c>
      <c r="I706" t="n">
        <v>0</v>
      </c>
      <c r="J706" t="n">
        <v>0</v>
      </c>
      <c r="K706" t="n">
        <v>0</v>
      </c>
      <c r="L706" t="n">
        <v>0</v>
      </c>
      <c r="M706" t="n">
        <v>0</v>
      </c>
      <c r="N706" t="n">
        <v>0</v>
      </c>
      <c r="O706" t="n">
        <v>0</v>
      </c>
      <c r="P706" t="n">
        <v>0</v>
      </c>
      <c r="Q706" t="n">
        <v>0</v>
      </c>
      <c r="R706" s="2" t="inlineStr"/>
    </row>
    <row r="707" ht="15" customHeight="1">
      <c r="A707" t="inlineStr">
        <is>
          <t>A 9267-2024</t>
        </is>
      </c>
      <c r="B707" s="1" t="n">
        <v>45358</v>
      </c>
      <c r="C707" s="1" t="n">
        <v>46084</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33601-2024</t>
        </is>
      </c>
      <c r="B708" s="1" t="n">
        <v>45520</v>
      </c>
      <c r="C708" s="1" t="n">
        <v>46084</v>
      </c>
      <c r="D708" t="inlineStr">
        <is>
          <t>UPPSALA LÄN</t>
        </is>
      </c>
      <c r="E708" t="inlineStr">
        <is>
          <t>ÖSTHAMMAR</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23197-2023</t>
        </is>
      </c>
      <c r="B709" s="1" t="n">
        <v>45075</v>
      </c>
      <c r="C709" s="1" t="n">
        <v>46084</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52478-2024</t>
        </is>
      </c>
      <c r="B710" s="1" t="n">
        <v>45609.55065972222</v>
      </c>
      <c r="C710" s="1" t="n">
        <v>46084</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13044-2022</t>
        </is>
      </c>
      <c r="B711" s="1" t="n">
        <v>44643</v>
      </c>
      <c r="C711" s="1" t="n">
        <v>46084</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2947-2025</t>
        </is>
      </c>
      <c r="B712" s="1" t="n">
        <v>45678</v>
      </c>
      <c r="C712" s="1" t="n">
        <v>46084</v>
      </c>
      <c r="D712" t="inlineStr">
        <is>
          <t>UPPSALA LÄN</t>
        </is>
      </c>
      <c r="E712" t="inlineStr">
        <is>
          <t>ÖSTHAMMAR</t>
        </is>
      </c>
      <c r="G712" t="n">
        <v>3.6</v>
      </c>
      <c r="H712" t="n">
        <v>0</v>
      </c>
      <c r="I712" t="n">
        <v>0</v>
      </c>
      <c r="J712" t="n">
        <v>0</v>
      </c>
      <c r="K712" t="n">
        <v>0</v>
      </c>
      <c r="L712" t="n">
        <v>0</v>
      </c>
      <c r="M712" t="n">
        <v>0</v>
      </c>
      <c r="N712" t="n">
        <v>0</v>
      </c>
      <c r="O712" t="n">
        <v>0</v>
      </c>
      <c r="P712" t="n">
        <v>0</v>
      </c>
      <c r="Q712" t="n">
        <v>0</v>
      </c>
      <c r="R712" s="2" t="inlineStr"/>
    </row>
    <row r="713" ht="15" customHeight="1">
      <c r="A713" t="inlineStr">
        <is>
          <t>A 17433-2025</t>
        </is>
      </c>
      <c r="B713" s="1" t="n">
        <v>45757.40733796296</v>
      </c>
      <c r="C713" s="1" t="n">
        <v>46084</v>
      </c>
      <c r="D713" t="inlineStr">
        <is>
          <t>UPPSALA LÄN</t>
        </is>
      </c>
      <c r="E713" t="inlineStr">
        <is>
          <t>ÖSTHAMMAR</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12756-2024</t>
        </is>
      </c>
      <c r="B714" s="1" t="n">
        <v>45384</v>
      </c>
      <c r="C714" s="1" t="n">
        <v>46084</v>
      </c>
      <c r="D714" t="inlineStr">
        <is>
          <t>UPPSALA LÄN</t>
        </is>
      </c>
      <c r="E714" t="inlineStr">
        <is>
          <t>ÖSTHAMMAR</t>
        </is>
      </c>
      <c r="G714" t="n">
        <v>1.3</v>
      </c>
      <c r="H714" t="n">
        <v>0</v>
      </c>
      <c r="I714" t="n">
        <v>0</v>
      </c>
      <c r="J714" t="n">
        <v>0</v>
      </c>
      <c r="K714" t="n">
        <v>0</v>
      </c>
      <c r="L714" t="n">
        <v>0</v>
      </c>
      <c r="M714" t="n">
        <v>0</v>
      </c>
      <c r="N714" t="n">
        <v>0</v>
      </c>
      <c r="O714" t="n">
        <v>0</v>
      </c>
      <c r="P714" t="n">
        <v>0</v>
      </c>
      <c r="Q714" t="n">
        <v>0</v>
      </c>
      <c r="R714" s="2" t="inlineStr"/>
    </row>
    <row r="715" ht="15" customHeight="1">
      <c r="A715" t="inlineStr">
        <is>
          <t>A 15928-2022</t>
        </is>
      </c>
      <c r="B715" s="1" t="n">
        <v>44664</v>
      </c>
      <c r="C715" s="1" t="n">
        <v>46084</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8708-2022</t>
        </is>
      </c>
      <c r="B716" s="1" t="n">
        <v>44613.77238425926</v>
      </c>
      <c r="C716" s="1" t="n">
        <v>46084</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1063-2025</t>
        </is>
      </c>
      <c r="B717" s="1" t="n">
        <v>45666</v>
      </c>
      <c r="C717" s="1" t="n">
        <v>46084</v>
      </c>
      <c r="D717" t="inlineStr">
        <is>
          <t>UPPSALA LÄN</t>
        </is>
      </c>
      <c r="E717" t="inlineStr">
        <is>
          <t>ÖSTHAMMAR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33760-2024</t>
        </is>
      </c>
      <c r="B718" s="1" t="n">
        <v>45520</v>
      </c>
      <c r="C718" s="1" t="n">
        <v>46084</v>
      </c>
      <c r="D718" t="inlineStr">
        <is>
          <t>UPPSALA LÄN</t>
        </is>
      </c>
      <c r="E718" t="inlineStr">
        <is>
          <t>ÖSTHAMMAR</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8592-2022</t>
        </is>
      </c>
      <c r="B719" s="1" t="n">
        <v>44613</v>
      </c>
      <c r="C719" s="1" t="n">
        <v>46084</v>
      </c>
      <c r="D719" t="inlineStr">
        <is>
          <t>UPPSALA LÄN</t>
        </is>
      </c>
      <c r="E719" t="inlineStr">
        <is>
          <t>ÖSTHAMMAR</t>
        </is>
      </c>
      <c r="G719" t="n">
        <v>1.4</v>
      </c>
      <c r="H719" t="n">
        <v>0</v>
      </c>
      <c r="I719" t="n">
        <v>0</v>
      </c>
      <c r="J719" t="n">
        <v>0</v>
      </c>
      <c r="K719" t="n">
        <v>0</v>
      </c>
      <c r="L719" t="n">
        <v>0</v>
      </c>
      <c r="M719" t="n">
        <v>0</v>
      </c>
      <c r="N719" t="n">
        <v>0</v>
      </c>
      <c r="O719" t="n">
        <v>0</v>
      </c>
      <c r="P719" t="n">
        <v>0</v>
      </c>
      <c r="Q719" t="n">
        <v>0</v>
      </c>
      <c r="R719" s="2" t="inlineStr"/>
    </row>
    <row r="720" ht="15" customHeight="1">
      <c r="A720" t="inlineStr">
        <is>
          <t>A 52629-2023</t>
        </is>
      </c>
      <c r="B720" s="1" t="n">
        <v>45225</v>
      </c>
      <c r="C720" s="1" t="n">
        <v>46084</v>
      </c>
      <c r="D720" t="inlineStr">
        <is>
          <t>UPPSALA LÄN</t>
        </is>
      </c>
      <c r="E720" t="inlineStr">
        <is>
          <t>ÖSTHAMMAR</t>
        </is>
      </c>
      <c r="G720" t="n">
        <v>1.2</v>
      </c>
      <c r="H720" t="n">
        <v>0</v>
      </c>
      <c r="I720" t="n">
        <v>0</v>
      </c>
      <c r="J720" t="n">
        <v>0</v>
      </c>
      <c r="K720" t="n">
        <v>0</v>
      </c>
      <c r="L720" t="n">
        <v>0</v>
      </c>
      <c r="M720" t="n">
        <v>0</v>
      </c>
      <c r="N720" t="n">
        <v>0</v>
      </c>
      <c r="O720" t="n">
        <v>0</v>
      </c>
      <c r="P720" t="n">
        <v>0</v>
      </c>
      <c r="Q720" t="n">
        <v>0</v>
      </c>
      <c r="R720" s="2" t="inlineStr"/>
    </row>
    <row r="721" ht="15" customHeight="1">
      <c r="A721" t="inlineStr">
        <is>
          <t>A 35918-2023</t>
        </is>
      </c>
      <c r="B721" s="1" t="n">
        <v>45148.64976851852</v>
      </c>
      <c r="C721" s="1" t="n">
        <v>46084</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4292-2025</t>
        </is>
      </c>
      <c r="B722" s="1" t="n">
        <v>45685.66459490741</v>
      </c>
      <c r="C722" s="1" t="n">
        <v>46084</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4356-2025</t>
        </is>
      </c>
      <c r="B723" s="1" t="n">
        <v>45686</v>
      </c>
      <c r="C723" s="1" t="n">
        <v>46084</v>
      </c>
      <c r="D723" t="inlineStr">
        <is>
          <t>UPPSALA LÄN</t>
        </is>
      </c>
      <c r="E723" t="inlineStr">
        <is>
          <t>ÖSTHAMMAR</t>
        </is>
      </c>
      <c r="F723" t="inlineStr">
        <is>
          <t>Övriga Aktiebolag</t>
        </is>
      </c>
      <c r="G723" t="n">
        <v>24.6</v>
      </c>
      <c r="H723" t="n">
        <v>0</v>
      </c>
      <c r="I723" t="n">
        <v>0</v>
      </c>
      <c r="J723" t="n">
        <v>0</v>
      </c>
      <c r="K723" t="n">
        <v>0</v>
      </c>
      <c r="L723" t="n">
        <v>0</v>
      </c>
      <c r="M723" t="n">
        <v>0</v>
      </c>
      <c r="N723" t="n">
        <v>0</v>
      </c>
      <c r="O723" t="n">
        <v>0</v>
      </c>
      <c r="P723" t="n">
        <v>0</v>
      </c>
      <c r="Q723" t="n">
        <v>0</v>
      </c>
      <c r="R723" s="2" t="inlineStr"/>
    </row>
    <row r="724" ht="15" customHeight="1">
      <c r="A724" t="inlineStr">
        <is>
          <t>A 6661-2024</t>
        </is>
      </c>
      <c r="B724" s="1" t="n">
        <v>45341.70582175926</v>
      </c>
      <c r="C724" s="1" t="n">
        <v>46084</v>
      </c>
      <c r="D724" t="inlineStr">
        <is>
          <t>UPPSALA LÄN</t>
        </is>
      </c>
      <c r="E724" t="inlineStr">
        <is>
          <t>ÖSTHAMMAR</t>
        </is>
      </c>
      <c r="G724" t="n">
        <v>0.2</v>
      </c>
      <c r="H724" t="n">
        <v>0</v>
      </c>
      <c r="I724" t="n">
        <v>0</v>
      </c>
      <c r="J724" t="n">
        <v>0</v>
      </c>
      <c r="K724" t="n">
        <v>0</v>
      </c>
      <c r="L724" t="n">
        <v>0</v>
      </c>
      <c r="M724" t="n">
        <v>0</v>
      </c>
      <c r="N724" t="n">
        <v>0</v>
      </c>
      <c r="O724" t="n">
        <v>0</v>
      </c>
      <c r="P724" t="n">
        <v>0</v>
      </c>
      <c r="Q724" t="n">
        <v>0</v>
      </c>
      <c r="R724" s="2" t="inlineStr"/>
    </row>
    <row r="725" ht="15" customHeight="1">
      <c r="A725" t="inlineStr">
        <is>
          <t>A 17646-2025</t>
        </is>
      </c>
      <c r="B725" s="1" t="n">
        <v>45758.32872685185</v>
      </c>
      <c r="C725" s="1" t="n">
        <v>46084</v>
      </c>
      <c r="D725" t="inlineStr">
        <is>
          <t>UPPSALA LÄN</t>
        </is>
      </c>
      <c r="E725" t="inlineStr">
        <is>
          <t>ÖSTHAMMAR</t>
        </is>
      </c>
      <c r="F725" t="inlineStr">
        <is>
          <t>Bergvik skog väst AB</t>
        </is>
      </c>
      <c r="G725" t="n">
        <v>3.4</v>
      </c>
      <c r="H725" t="n">
        <v>0</v>
      </c>
      <c r="I725" t="n">
        <v>0</v>
      </c>
      <c r="J725" t="n">
        <v>0</v>
      </c>
      <c r="K725" t="n">
        <v>0</v>
      </c>
      <c r="L725" t="n">
        <v>0</v>
      </c>
      <c r="M725" t="n">
        <v>0</v>
      </c>
      <c r="N725" t="n">
        <v>0</v>
      </c>
      <c r="O725" t="n">
        <v>0</v>
      </c>
      <c r="P725" t="n">
        <v>0</v>
      </c>
      <c r="Q725" t="n">
        <v>0</v>
      </c>
      <c r="R725" s="2" t="inlineStr"/>
    </row>
    <row r="726" ht="15" customHeight="1">
      <c r="A726" t="inlineStr">
        <is>
          <t>A 17648-2025</t>
        </is>
      </c>
      <c r="B726" s="1" t="n">
        <v>45758.33064814815</v>
      </c>
      <c r="C726" s="1" t="n">
        <v>46084</v>
      </c>
      <c r="D726" t="inlineStr">
        <is>
          <t>UPPSALA LÄN</t>
        </is>
      </c>
      <c r="E726" t="inlineStr">
        <is>
          <t>ÖSTHAMMAR</t>
        </is>
      </c>
      <c r="F726" t="inlineStr">
        <is>
          <t>Bergvik skog väst AB</t>
        </is>
      </c>
      <c r="G726" t="n">
        <v>1.3</v>
      </c>
      <c r="H726" t="n">
        <v>0</v>
      </c>
      <c r="I726" t="n">
        <v>0</v>
      </c>
      <c r="J726" t="n">
        <v>0</v>
      </c>
      <c r="K726" t="n">
        <v>0</v>
      </c>
      <c r="L726" t="n">
        <v>0</v>
      </c>
      <c r="M726" t="n">
        <v>0</v>
      </c>
      <c r="N726" t="n">
        <v>0</v>
      </c>
      <c r="O726" t="n">
        <v>0</v>
      </c>
      <c r="P726" t="n">
        <v>0</v>
      </c>
      <c r="Q726" t="n">
        <v>0</v>
      </c>
      <c r="R726" s="2" t="inlineStr"/>
    </row>
    <row r="727" ht="15" customHeight="1">
      <c r="A727" t="inlineStr">
        <is>
          <t>A 56903-2023</t>
        </is>
      </c>
      <c r="B727" s="1" t="n">
        <v>45244.56943287037</v>
      </c>
      <c r="C727" s="1" t="n">
        <v>46084</v>
      </c>
      <c r="D727" t="inlineStr">
        <is>
          <t>UPPSALA LÄN</t>
        </is>
      </c>
      <c r="E727" t="inlineStr">
        <is>
          <t>ÖSTHAMMAR</t>
        </is>
      </c>
      <c r="G727" t="n">
        <v>3.1</v>
      </c>
      <c r="H727" t="n">
        <v>0</v>
      </c>
      <c r="I727" t="n">
        <v>0</v>
      </c>
      <c r="J727" t="n">
        <v>0</v>
      </c>
      <c r="K727" t="n">
        <v>0</v>
      </c>
      <c r="L727" t="n">
        <v>0</v>
      </c>
      <c r="M727" t="n">
        <v>0</v>
      </c>
      <c r="N727" t="n">
        <v>0</v>
      </c>
      <c r="O727" t="n">
        <v>0</v>
      </c>
      <c r="P727" t="n">
        <v>0</v>
      </c>
      <c r="Q727" t="n">
        <v>0</v>
      </c>
      <c r="R727" s="2" t="inlineStr"/>
    </row>
    <row r="728" ht="15" customHeight="1">
      <c r="A728" t="inlineStr">
        <is>
          <t>A 28420-2023</t>
        </is>
      </c>
      <c r="B728" s="1" t="n">
        <v>45102.33054398148</v>
      </c>
      <c r="C728" s="1" t="n">
        <v>46084</v>
      </c>
      <c r="D728" t="inlineStr">
        <is>
          <t>UPPSALA LÄN</t>
        </is>
      </c>
      <c r="E728" t="inlineStr">
        <is>
          <t>ÖSTHAMMAR</t>
        </is>
      </c>
      <c r="F728" t="inlineStr">
        <is>
          <t>Bergvik skog öst AB</t>
        </is>
      </c>
      <c r="G728" t="n">
        <v>3.2</v>
      </c>
      <c r="H728" t="n">
        <v>0</v>
      </c>
      <c r="I728" t="n">
        <v>0</v>
      </c>
      <c r="J728" t="n">
        <v>0</v>
      </c>
      <c r="K728" t="n">
        <v>0</v>
      </c>
      <c r="L728" t="n">
        <v>0</v>
      </c>
      <c r="M728" t="n">
        <v>0</v>
      </c>
      <c r="N728" t="n">
        <v>0</v>
      </c>
      <c r="O728" t="n">
        <v>0</v>
      </c>
      <c r="P728" t="n">
        <v>0</v>
      </c>
      <c r="Q728" t="n">
        <v>0</v>
      </c>
      <c r="R728" s="2" t="inlineStr"/>
    </row>
    <row r="729" ht="15" customHeight="1">
      <c r="A729" t="inlineStr">
        <is>
          <t>A 28432-2023</t>
        </is>
      </c>
      <c r="B729" s="1" t="n">
        <v>45102.59896990741</v>
      </c>
      <c r="C729" s="1" t="n">
        <v>46084</v>
      </c>
      <c r="D729" t="inlineStr">
        <is>
          <t>UPPSALA LÄN</t>
        </is>
      </c>
      <c r="E729" t="inlineStr">
        <is>
          <t>ÖSTHAMMAR</t>
        </is>
      </c>
      <c r="F729" t="inlineStr">
        <is>
          <t>Bergvik skog öst AB</t>
        </is>
      </c>
      <c r="G729" t="n">
        <v>3.9</v>
      </c>
      <c r="H729" t="n">
        <v>0</v>
      </c>
      <c r="I729" t="n">
        <v>0</v>
      </c>
      <c r="J729" t="n">
        <v>0</v>
      </c>
      <c r="K729" t="n">
        <v>0</v>
      </c>
      <c r="L729" t="n">
        <v>0</v>
      </c>
      <c r="M729" t="n">
        <v>0</v>
      </c>
      <c r="N729" t="n">
        <v>0</v>
      </c>
      <c r="O729" t="n">
        <v>0</v>
      </c>
      <c r="P729" t="n">
        <v>0</v>
      </c>
      <c r="Q729" t="n">
        <v>0</v>
      </c>
      <c r="R729" s="2" t="inlineStr"/>
    </row>
    <row r="730" ht="15" customHeight="1">
      <c r="A730" t="inlineStr">
        <is>
          <t>A 56969-2022</t>
        </is>
      </c>
      <c r="B730" s="1" t="n">
        <v>44894.68043981482</v>
      </c>
      <c r="C730" s="1" t="n">
        <v>46084</v>
      </c>
      <c r="D730" t="inlineStr">
        <is>
          <t>UPPSALA LÄN</t>
        </is>
      </c>
      <c r="E730" t="inlineStr">
        <is>
          <t>ÖSTHAMMAR</t>
        </is>
      </c>
      <c r="G730" t="n">
        <v>5.5</v>
      </c>
      <c r="H730" t="n">
        <v>0</v>
      </c>
      <c r="I730" t="n">
        <v>0</v>
      </c>
      <c r="J730" t="n">
        <v>0</v>
      </c>
      <c r="K730" t="n">
        <v>0</v>
      </c>
      <c r="L730" t="n">
        <v>0</v>
      </c>
      <c r="M730" t="n">
        <v>0</v>
      </c>
      <c r="N730" t="n">
        <v>0</v>
      </c>
      <c r="O730" t="n">
        <v>0</v>
      </c>
      <c r="P730" t="n">
        <v>0</v>
      </c>
      <c r="Q730" t="n">
        <v>0</v>
      </c>
      <c r="R730" s="2" t="inlineStr"/>
    </row>
    <row r="731" ht="15" customHeight="1">
      <c r="A731" t="inlineStr">
        <is>
          <t>A 60584-2021</t>
        </is>
      </c>
      <c r="B731" s="1" t="n">
        <v>44496</v>
      </c>
      <c r="C731" s="1" t="n">
        <v>46084</v>
      </c>
      <c r="D731" t="inlineStr">
        <is>
          <t>UPPSALA LÄN</t>
        </is>
      </c>
      <c r="E731" t="inlineStr">
        <is>
          <t>ÖSTHAMMAR</t>
        </is>
      </c>
      <c r="G731" t="n">
        <v>1.4</v>
      </c>
      <c r="H731" t="n">
        <v>0</v>
      </c>
      <c r="I731" t="n">
        <v>0</v>
      </c>
      <c r="J731" t="n">
        <v>0</v>
      </c>
      <c r="K731" t="n">
        <v>0</v>
      </c>
      <c r="L731" t="n">
        <v>0</v>
      </c>
      <c r="M731" t="n">
        <v>0</v>
      </c>
      <c r="N731" t="n">
        <v>0</v>
      </c>
      <c r="O731" t="n">
        <v>0</v>
      </c>
      <c r="P731" t="n">
        <v>0</v>
      </c>
      <c r="Q731" t="n">
        <v>0</v>
      </c>
      <c r="R731" s="2" t="inlineStr"/>
    </row>
    <row r="732" ht="15" customHeight="1">
      <c r="A732" t="inlineStr">
        <is>
          <t>A 44152-2024</t>
        </is>
      </c>
      <c r="B732" s="1" t="n">
        <v>45572</v>
      </c>
      <c r="C732" s="1" t="n">
        <v>46084</v>
      </c>
      <c r="D732" t="inlineStr">
        <is>
          <t>UPPSALA LÄN</t>
        </is>
      </c>
      <c r="E732" t="inlineStr">
        <is>
          <t>ÖSTHAMMAR</t>
        </is>
      </c>
      <c r="G732" t="n">
        <v>1.6</v>
      </c>
      <c r="H732" t="n">
        <v>0</v>
      </c>
      <c r="I732" t="n">
        <v>0</v>
      </c>
      <c r="J732" t="n">
        <v>0</v>
      </c>
      <c r="K732" t="n">
        <v>0</v>
      </c>
      <c r="L732" t="n">
        <v>0</v>
      </c>
      <c r="M732" t="n">
        <v>0</v>
      </c>
      <c r="N732" t="n">
        <v>0</v>
      </c>
      <c r="O732" t="n">
        <v>0</v>
      </c>
      <c r="P732" t="n">
        <v>0</v>
      </c>
      <c r="Q732" t="n">
        <v>0</v>
      </c>
      <c r="R732" s="2" t="inlineStr"/>
    </row>
    <row r="733" ht="15" customHeight="1">
      <c r="A733" t="inlineStr">
        <is>
          <t>A 48856-2024</t>
        </is>
      </c>
      <c r="B733" s="1" t="n">
        <v>45593</v>
      </c>
      <c r="C733" s="1" t="n">
        <v>46084</v>
      </c>
      <c r="D733" t="inlineStr">
        <is>
          <t>UPPSALA LÄN</t>
        </is>
      </c>
      <c r="E733" t="inlineStr">
        <is>
          <t>ÖSTHAMMAR</t>
        </is>
      </c>
      <c r="G733" t="n">
        <v>1.5</v>
      </c>
      <c r="H733" t="n">
        <v>0</v>
      </c>
      <c r="I733" t="n">
        <v>0</v>
      </c>
      <c r="J733" t="n">
        <v>0</v>
      </c>
      <c r="K733" t="n">
        <v>0</v>
      </c>
      <c r="L733" t="n">
        <v>0</v>
      </c>
      <c r="M733" t="n">
        <v>0</v>
      </c>
      <c r="N733" t="n">
        <v>0</v>
      </c>
      <c r="O733" t="n">
        <v>0</v>
      </c>
      <c r="P733" t="n">
        <v>0</v>
      </c>
      <c r="Q733" t="n">
        <v>0</v>
      </c>
      <c r="R733" s="2" t="inlineStr"/>
    </row>
    <row r="734" ht="15" customHeight="1">
      <c r="A734" t="inlineStr">
        <is>
          <t>A 47390-2023</t>
        </is>
      </c>
      <c r="B734" s="1" t="n">
        <v>45202</v>
      </c>
      <c r="C734" s="1" t="n">
        <v>46084</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5877-2023</t>
        </is>
      </c>
      <c r="B735" s="1" t="n">
        <v>44963.62001157407</v>
      </c>
      <c r="C735" s="1" t="n">
        <v>46084</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52389-2022</t>
        </is>
      </c>
      <c r="B736" s="1" t="n">
        <v>44874.38325231482</v>
      </c>
      <c r="C736" s="1" t="n">
        <v>46084</v>
      </c>
      <c r="D736" t="inlineStr">
        <is>
          <t>UPPSALA LÄN</t>
        </is>
      </c>
      <c r="E736" t="inlineStr">
        <is>
          <t>ÖSTHAMMAR</t>
        </is>
      </c>
      <c r="G736" t="n">
        <v>3.1</v>
      </c>
      <c r="H736" t="n">
        <v>0</v>
      </c>
      <c r="I736" t="n">
        <v>0</v>
      </c>
      <c r="J736" t="n">
        <v>0</v>
      </c>
      <c r="K736" t="n">
        <v>0</v>
      </c>
      <c r="L736" t="n">
        <v>0</v>
      </c>
      <c r="M736" t="n">
        <v>0</v>
      </c>
      <c r="N736" t="n">
        <v>0</v>
      </c>
      <c r="O736" t="n">
        <v>0</v>
      </c>
      <c r="P736" t="n">
        <v>0</v>
      </c>
      <c r="Q736" t="n">
        <v>0</v>
      </c>
      <c r="R736" s="2" t="inlineStr"/>
    </row>
    <row r="737" ht="15" customHeight="1">
      <c r="A737" t="inlineStr">
        <is>
          <t>A 25033-2021</t>
        </is>
      </c>
      <c r="B737" s="1" t="n">
        <v>44341.590625</v>
      </c>
      <c r="C737" s="1" t="n">
        <v>46084</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57453-2022</t>
        </is>
      </c>
      <c r="B738" s="1" t="n">
        <v>44896.56266203704</v>
      </c>
      <c r="C738" s="1" t="n">
        <v>46084</v>
      </c>
      <c r="D738" t="inlineStr">
        <is>
          <t>UPPSALA LÄN</t>
        </is>
      </c>
      <c r="E738" t="inlineStr">
        <is>
          <t>ÖSTHAMMAR</t>
        </is>
      </c>
      <c r="G738" t="n">
        <v>1.7</v>
      </c>
      <c r="H738" t="n">
        <v>0</v>
      </c>
      <c r="I738" t="n">
        <v>0</v>
      </c>
      <c r="J738" t="n">
        <v>0</v>
      </c>
      <c r="K738" t="n">
        <v>0</v>
      </c>
      <c r="L738" t="n">
        <v>0</v>
      </c>
      <c r="M738" t="n">
        <v>0</v>
      </c>
      <c r="N738" t="n">
        <v>0</v>
      </c>
      <c r="O738" t="n">
        <v>0</v>
      </c>
      <c r="P738" t="n">
        <v>0</v>
      </c>
      <c r="Q738" t="n">
        <v>0</v>
      </c>
      <c r="R738" s="2" t="inlineStr"/>
    </row>
    <row r="739" ht="15" customHeight="1">
      <c r="A739" t="inlineStr">
        <is>
          <t>A 57462-2022</t>
        </is>
      </c>
      <c r="B739" s="1" t="n">
        <v>44896.57527777777</v>
      </c>
      <c r="C739" s="1" t="n">
        <v>46084</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6039-2025</t>
        </is>
      </c>
      <c r="B740" s="1" t="n">
        <v>45695</v>
      </c>
      <c r="C740" s="1" t="n">
        <v>46084</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51364-2021</t>
        </is>
      </c>
      <c r="B741" s="1" t="n">
        <v>44461</v>
      </c>
      <c r="C741" s="1" t="n">
        <v>46084</v>
      </c>
      <c r="D741" t="inlineStr">
        <is>
          <t>UPPSALA LÄN</t>
        </is>
      </c>
      <c r="E741" t="inlineStr">
        <is>
          <t>ÖSTHAMMAR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43915-2023</t>
        </is>
      </c>
      <c r="B742" s="1" t="n">
        <v>45187.71274305556</v>
      </c>
      <c r="C742" s="1" t="n">
        <v>46084</v>
      </c>
      <c r="D742" t="inlineStr">
        <is>
          <t>UPPSALA LÄN</t>
        </is>
      </c>
      <c r="E742" t="inlineStr">
        <is>
          <t>ÖSTHAMMAR</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19501-2025</t>
        </is>
      </c>
      <c r="B743" s="1" t="n">
        <v>45770.4015625</v>
      </c>
      <c r="C743" s="1" t="n">
        <v>46084</v>
      </c>
      <c r="D743" t="inlineStr">
        <is>
          <t>UPPSALA LÄN</t>
        </is>
      </c>
      <c r="E743" t="inlineStr">
        <is>
          <t>ÖSTHAMMAR</t>
        </is>
      </c>
      <c r="F743" t="inlineStr">
        <is>
          <t>Övriga Aktiebolag</t>
        </is>
      </c>
      <c r="G743" t="n">
        <v>17.3</v>
      </c>
      <c r="H743" t="n">
        <v>0</v>
      </c>
      <c r="I743" t="n">
        <v>0</v>
      </c>
      <c r="J743" t="n">
        <v>0</v>
      </c>
      <c r="K743" t="n">
        <v>0</v>
      </c>
      <c r="L743" t="n">
        <v>0</v>
      </c>
      <c r="M743" t="n">
        <v>0</v>
      </c>
      <c r="N743" t="n">
        <v>0</v>
      </c>
      <c r="O743" t="n">
        <v>0</v>
      </c>
      <c r="P743" t="n">
        <v>0</v>
      </c>
      <c r="Q743" t="n">
        <v>0</v>
      </c>
      <c r="R743" s="2" t="inlineStr"/>
    </row>
    <row r="744" ht="15" customHeight="1">
      <c r="A744" t="inlineStr">
        <is>
          <t>A 3119-2025</t>
        </is>
      </c>
      <c r="B744" s="1" t="n">
        <v>45678</v>
      </c>
      <c r="C744" s="1" t="n">
        <v>46084</v>
      </c>
      <c r="D744" t="inlineStr">
        <is>
          <t>UPPSALA LÄN</t>
        </is>
      </c>
      <c r="E744" t="inlineStr">
        <is>
          <t>ÖSTHAMMAR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28421-2023</t>
        </is>
      </c>
      <c r="B745" s="1" t="n">
        <v>45102</v>
      </c>
      <c r="C745" s="1" t="n">
        <v>46084</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17931-2025</t>
        </is>
      </c>
      <c r="B746" s="1" t="n">
        <v>45759.56894675926</v>
      </c>
      <c r="C746" s="1" t="n">
        <v>46084</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17938-2025</t>
        </is>
      </c>
      <c r="B747" s="1" t="n">
        <v>45760.55626157407</v>
      </c>
      <c r="C747" s="1" t="n">
        <v>46084</v>
      </c>
      <c r="D747" t="inlineStr">
        <is>
          <t>UPPSALA LÄN</t>
        </is>
      </c>
      <c r="E747" t="inlineStr">
        <is>
          <t>ÖSTHAMMAR</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8763-2025</t>
        </is>
      </c>
      <c r="B748" s="1" t="n">
        <v>45712.57872685185</v>
      </c>
      <c r="C748" s="1" t="n">
        <v>46084</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54368-2023</t>
        </is>
      </c>
      <c r="B749" s="1" t="n">
        <v>45233.33221064815</v>
      </c>
      <c r="C749" s="1" t="n">
        <v>46084</v>
      </c>
      <c r="D749" t="inlineStr">
        <is>
          <t>UPPSALA LÄN</t>
        </is>
      </c>
      <c r="E749" t="inlineStr">
        <is>
          <t>ÖSTHAMMAR</t>
        </is>
      </c>
      <c r="F749" t="inlineStr">
        <is>
          <t>Bergvik skog öst AB</t>
        </is>
      </c>
      <c r="G749" t="n">
        <v>3</v>
      </c>
      <c r="H749" t="n">
        <v>0</v>
      </c>
      <c r="I749" t="n">
        <v>0</v>
      </c>
      <c r="J749" t="n">
        <v>0</v>
      </c>
      <c r="K749" t="n">
        <v>0</v>
      </c>
      <c r="L749" t="n">
        <v>0</v>
      </c>
      <c r="M749" t="n">
        <v>0</v>
      </c>
      <c r="N749" t="n">
        <v>0</v>
      </c>
      <c r="O749" t="n">
        <v>0</v>
      </c>
      <c r="P749" t="n">
        <v>0</v>
      </c>
      <c r="Q749" t="n">
        <v>0</v>
      </c>
      <c r="R749" s="2" t="inlineStr"/>
    </row>
    <row r="750" ht="15" customHeight="1">
      <c r="A750" t="inlineStr">
        <is>
          <t>A 32815-2024</t>
        </is>
      </c>
      <c r="B750" s="1" t="n">
        <v>45516.57682870371</v>
      </c>
      <c r="C750" s="1" t="n">
        <v>46084</v>
      </c>
      <c r="D750" t="inlineStr">
        <is>
          <t>UPPSALA LÄN</t>
        </is>
      </c>
      <c r="E750" t="inlineStr">
        <is>
          <t>ÖSTHAMMAR</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5429-2023</t>
        </is>
      </c>
      <c r="B751" s="1" t="n">
        <v>44959.83037037037</v>
      </c>
      <c r="C751" s="1" t="n">
        <v>46084</v>
      </c>
      <c r="D751" t="inlineStr">
        <is>
          <t>UPPSALA LÄN</t>
        </is>
      </c>
      <c r="E751" t="inlineStr">
        <is>
          <t>ÖSTHAMMAR</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11008-2023</t>
        </is>
      </c>
      <c r="B752" s="1" t="n">
        <v>44991</v>
      </c>
      <c r="C752" s="1" t="n">
        <v>46084</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60047-2021</t>
        </is>
      </c>
      <c r="B753" s="1" t="n">
        <v>44495</v>
      </c>
      <c r="C753" s="1" t="n">
        <v>46084</v>
      </c>
      <c r="D753" t="inlineStr">
        <is>
          <t>UPPSALA LÄN</t>
        </is>
      </c>
      <c r="E753" t="inlineStr">
        <is>
          <t>ÖSTHAMMAR</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8623-2025</t>
        </is>
      </c>
      <c r="B754" s="1" t="n">
        <v>45711.51902777778</v>
      </c>
      <c r="C754" s="1" t="n">
        <v>46084</v>
      </c>
      <c r="D754" t="inlineStr">
        <is>
          <t>UPPSALA LÄN</t>
        </is>
      </c>
      <c r="E754" t="inlineStr">
        <is>
          <t>ÖSTHAMMAR</t>
        </is>
      </c>
      <c r="F754" t="inlineStr">
        <is>
          <t>Bergvik skog väst AB</t>
        </is>
      </c>
      <c r="G754" t="n">
        <v>3.5</v>
      </c>
      <c r="H754" t="n">
        <v>0</v>
      </c>
      <c r="I754" t="n">
        <v>0</v>
      </c>
      <c r="J754" t="n">
        <v>0</v>
      </c>
      <c r="K754" t="n">
        <v>0</v>
      </c>
      <c r="L754" t="n">
        <v>0</v>
      </c>
      <c r="M754" t="n">
        <v>0</v>
      </c>
      <c r="N754" t="n">
        <v>0</v>
      </c>
      <c r="O754" t="n">
        <v>0</v>
      </c>
      <c r="P754" t="n">
        <v>0</v>
      </c>
      <c r="Q754" t="n">
        <v>0</v>
      </c>
      <c r="R754" s="2" t="inlineStr"/>
    </row>
    <row r="755" ht="15" customHeight="1">
      <c r="A755" t="inlineStr">
        <is>
          <t>A 8626-2025</t>
        </is>
      </c>
      <c r="B755" s="1" t="n">
        <v>45711.53565972222</v>
      </c>
      <c r="C755" s="1" t="n">
        <v>46084</v>
      </c>
      <c r="D755" t="inlineStr">
        <is>
          <t>UPPSALA LÄN</t>
        </is>
      </c>
      <c r="E755" t="inlineStr">
        <is>
          <t>ÖSTHAMMAR</t>
        </is>
      </c>
      <c r="F755" t="inlineStr">
        <is>
          <t>Bergvik skog väst AB</t>
        </is>
      </c>
      <c r="G755" t="n">
        <v>1.3</v>
      </c>
      <c r="H755" t="n">
        <v>0</v>
      </c>
      <c r="I755" t="n">
        <v>0</v>
      </c>
      <c r="J755" t="n">
        <v>0</v>
      </c>
      <c r="K755" t="n">
        <v>0</v>
      </c>
      <c r="L755" t="n">
        <v>0</v>
      </c>
      <c r="M755" t="n">
        <v>0</v>
      </c>
      <c r="N755" t="n">
        <v>0</v>
      </c>
      <c r="O755" t="n">
        <v>0</v>
      </c>
      <c r="P755" t="n">
        <v>0</v>
      </c>
      <c r="Q755" t="n">
        <v>0</v>
      </c>
      <c r="R755" s="2" t="inlineStr"/>
    </row>
    <row r="756" ht="15" customHeight="1">
      <c r="A756" t="inlineStr">
        <is>
          <t>A 3514-2023</t>
        </is>
      </c>
      <c r="B756" s="1" t="n">
        <v>44950</v>
      </c>
      <c r="C756" s="1" t="n">
        <v>46084</v>
      </c>
      <c r="D756" t="inlineStr">
        <is>
          <t>UPPSALA LÄN</t>
        </is>
      </c>
      <c r="E756" t="inlineStr">
        <is>
          <t>ÖSTHAMMAR</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24128-2023</t>
        </is>
      </c>
      <c r="B757" s="1" t="n">
        <v>45079.50289351852</v>
      </c>
      <c r="C757" s="1" t="n">
        <v>46084</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33552-2024</t>
        </is>
      </c>
      <c r="B758" s="1" t="n">
        <v>45519</v>
      </c>
      <c r="C758" s="1" t="n">
        <v>46084</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33553-2024</t>
        </is>
      </c>
      <c r="B759" s="1" t="n">
        <v>45519</v>
      </c>
      <c r="C759" s="1" t="n">
        <v>46084</v>
      </c>
      <c r="D759" t="inlineStr">
        <is>
          <t>UPPSALA LÄN</t>
        </is>
      </c>
      <c r="E759" t="inlineStr">
        <is>
          <t>ÖSTHAMMAR</t>
        </is>
      </c>
      <c r="F759" t="inlineStr">
        <is>
          <t>Bergvik skog öst AB</t>
        </is>
      </c>
      <c r="G759" t="n">
        <v>1.4</v>
      </c>
      <c r="H759" t="n">
        <v>0</v>
      </c>
      <c r="I759" t="n">
        <v>0</v>
      </c>
      <c r="J759" t="n">
        <v>0</v>
      </c>
      <c r="K759" t="n">
        <v>0</v>
      </c>
      <c r="L759" t="n">
        <v>0</v>
      </c>
      <c r="M759" t="n">
        <v>0</v>
      </c>
      <c r="N759" t="n">
        <v>0</v>
      </c>
      <c r="O759" t="n">
        <v>0</v>
      </c>
      <c r="P759" t="n">
        <v>0</v>
      </c>
      <c r="Q759" t="n">
        <v>0</v>
      </c>
      <c r="R759" s="2" t="inlineStr"/>
    </row>
    <row r="760" ht="15" customHeight="1">
      <c r="A760" t="inlineStr">
        <is>
          <t>A 24181-2022</t>
        </is>
      </c>
      <c r="B760" s="1" t="n">
        <v>44725</v>
      </c>
      <c r="C760" s="1" t="n">
        <v>46084</v>
      </c>
      <c r="D760" t="inlineStr">
        <is>
          <t>UPPSALA LÄN</t>
        </is>
      </c>
      <c r="E760" t="inlineStr">
        <is>
          <t>ÖSTHAMMAR</t>
        </is>
      </c>
      <c r="G760" t="n">
        <v>1.4</v>
      </c>
      <c r="H760" t="n">
        <v>0</v>
      </c>
      <c r="I760" t="n">
        <v>0</v>
      </c>
      <c r="J760" t="n">
        <v>0</v>
      </c>
      <c r="K760" t="n">
        <v>0</v>
      </c>
      <c r="L760" t="n">
        <v>0</v>
      </c>
      <c r="M760" t="n">
        <v>0</v>
      </c>
      <c r="N760" t="n">
        <v>0</v>
      </c>
      <c r="O760" t="n">
        <v>0</v>
      </c>
      <c r="P760" t="n">
        <v>0</v>
      </c>
      <c r="Q760" t="n">
        <v>0</v>
      </c>
      <c r="R760" s="2" t="inlineStr"/>
    </row>
    <row r="761" ht="15" customHeight="1">
      <c r="A761" t="inlineStr">
        <is>
          <t>A 19947-2024</t>
        </is>
      </c>
      <c r="B761" s="1" t="n">
        <v>45433</v>
      </c>
      <c r="C761" s="1" t="n">
        <v>46084</v>
      </c>
      <c r="D761" t="inlineStr">
        <is>
          <t>UPPSALA LÄN</t>
        </is>
      </c>
      <c r="E761" t="inlineStr">
        <is>
          <t>ÖSTHAMMAR</t>
        </is>
      </c>
      <c r="G761" t="n">
        <v>0.3</v>
      </c>
      <c r="H761" t="n">
        <v>0</v>
      </c>
      <c r="I761" t="n">
        <v>0</v>
      </c>
      <c r="J761" t="n">
        <v>0</v>
      </c>
      <c r="K761" t="n">
        <v>0</v>
      </c>
      <c r="L761" t="n">
        <v>0</v>
      </c>
      <c r="M761" t="n">
        <v>0</v>
      </c>
      <c r="N761" t="n">
        <v>0</v>
      </c>
      <c r="O761" t="n">
        <v>0</v>
      </c>
      <c r="P761" t="n">
        <v>0</v>
      </c>
      <c r="Q761" t="n">
        <v>0</v>
      </c>
      <c r="R761" s="2" t="inlineStr"/>
    </row>
    <row r="762" ht="15" customHeight="1">
      <c r="A762" t="inlineStr">
        <is>
          <t>A 16240-2025</t>
        </is>
      </c>
      <c r="B762" s="1" t="n">
        <v>45746</v>
      </c>
      <c r="C762" s="1" t="n">
        <v>46084</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57-2023</t>
        </is>
      </c>
      <c r="B763" s="1" t="n">
        <v>44928.40917824074</v>
      </c>
      <c r="C763" s="1" t="n">
        <v>46084</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59-2023</t>
        </is>
      </c>
      <c r="B764" s="1" t="n">
        <v>44928.41822916667</v>
      </c>
      <c r="C764" s="1" t="n">
        <v>46084</v>
      </c>
      <c r="D764" t="inlineStr">
        <is>
          <t>UPPSALA LÄN</t>
        </is>
      </c>
      <c r="E764" t="inlineStr">
        <is>
          <t>ÖSTHAMMAR</t>
        </is>
      </c>
      <c r="G764" t="n">
        <v>1.5</v>
      </c>
      <c r="H764" t="n">
        <v>0</v>
      </c>
      <c r="I764" t="n">
        <v>0</v>
      </c>
      <c r="J764" t="n">
        <v>0</v>
      </c>
      <c r="K764" t="n">
        <v>0</v>
      </c>
      <c r="L764" t="n">
        <v>0</v>
      </c>
      <c r="M764" t="n">
        <v>0</v>
      </c>
      <c r="N764" t="n">
        <v>0</v>
      </c>
      <c r="O764" t="n">
        <v>0</v>
      </c>
      <c r="P764" t="n">
        <v>0</v>
      </c>
      <c r="Q764" t="n">
        <v>0</v>
      </c>
      <c r="R764" s="2" t="inlineStr"/>
    </row>
    <row r="765" ht="15" customHeight="1">
      <c r="A765" t="inlineStr">
        <is>
          <t>A 55079-2024</t>
        </is>
      </c>
      <c r="B765" s="1" t="n">
        <v>45621.42747685185</v>
      </c>
      <c r="C765" s="1" t="n">
        <v>46084</v>
      </c>
      <c r="D765" t="inlineStr">
        <is>
          <t>UPPSALA LÄN</t>
        </is>
      </c>
      <c r="E765" t="inlineStr">
        <is>
          <t>ÖSTHAMMAR</t>
        </is>
      </c>
      <c r="F765" t="inlineStr">
        <is>
          <t>Sveaskog</t>
        </is>
      </c>
      <c r="G765" t="n">
        <v>2.7</v>
      </c>
      <c r="H765" t="n">
        <v>0</v>
      </c>
      <c r="I765" t="n">
        <v>0</v>
      </c>
      <c r="J765" t="n">
        <v>0</v>
      </c>
      <c r="K765" t="n">
        <v>0</v>
      </c>
      <c r="L765" t="n">
        <v>0</v>
      </c>
      <c r="M765" t="n">
        <v>0</v>
      </c>
      <c r="N765" t="n">
        <v>0</v>
      </c>
      <c r="O765" t="n">
        <v>0</v>
      </c>
      <c r="P765" t="n">
        <v>0</v>
      </c>
      <c r="Q765" t="n">
        <v>0</v>
      </c>
      <c r="R765" s="2" t="inlineStr"/>
    </row>
    <row r="766" ht="15" customHeight="1">
      <c r="A766" t="inlineStr">
        <is>
          <t>A 33680-2024</t>
        </is>
      </c>
      <c r="B766" s="1" t="n">
        <v>45520.50712962963</v>
      </c>
      <c r="C766" s="1" t="n">
        <v>46084</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33550-2024</t>
        </is>
      </c>
      <c r="B767" s="1" t="n">
        <v>45519.81043981481</v>
      </c>
      <c r="C767" s="1" t="n">
        <v>46084</v>
      </c>
      <c r="D767" t="inlineStr">
        <is>
          <t>UPPSALA LÄN</t>
        </is>
      </c>
      <c r="E767" t="inlineStr">
        <is>
          <t>ÖSTHAMMAR</t>
        </is>
      </c>
      <c r="F767" t="inlineStr">
        <is>
          <t>Bergvik skog öst AB</t>
        </is>
      </c>
      <c r="G767" t="n">
        <v>1.8</v>
      </c>
      <c r="H767" t="n">
        <v>0</v>
      </c>
      <c r="I767" t="n">
        <v>0</v>
      </c>
      <c r="J767" t="n">
        <v>0</v>
      </c>
      <c r="K767" t="n">
        <v>0</v>
      </c>
      <c r="L767" t="n">
        <v>0</v>
      </c>
      <c r="M767" t="n">
        <v>0</v>
      </c>
      <c r="N767" t="n">
        <v>0</v>
      </c>
      <c r="O767" t="n">
        <v>0</v>
      </c>
      <c r="P767" t="n">
        <v>0</v>
      </c>
      <c r="Q767" t="n">
        <v>0</v>
      </c>
      <c r="R767" s="2" t="inlineStr"/>
    </row>
    <row r="768" ht="15" customHeight="1">
      <c r="A768" t="inlineStr">
        <is>
          <t>A 30811-2023</t>
        </is>
      </c>
      <c r="B768" s="1" t="n">
        <v>45112.86422453704</v>
      </c>
      <c r="C768" s="1" t="n">
        <v>46084</v>
      </c>
      <c r="D768" t="inlineStr">
        <is>
          <t>UPPSALA LÄN</t>
        </is>
      </c>
      <c r="E768" t="inlineStr">
        <is>
          <t>ÖSTHAMMAR</t>
        </is>
      </c>
      <c r="F768" t="inlineStr">
        <is>
          <t>Bergvik skog öst AB</t>
        </is>
      </c>
      <c r="G768" t="n">
        <v>0.7</v>
      </c>
      <c r="H768" t="n">
        <v>0</v>
      </c>
      <c r="I768" t="n">
        <v>0</v>
      </c>
      <c r="J768" t="n">
        <v>0</v>
      </c>
      <c r="K768" t="n">
        <v>0</v>
      </c>
      <c r="L768" t="n">
        <v>0</v>
      </c>
      <c r="M768" t="n">
        <v>0</v>
      </c>
      <c r="N768" t="n">
        <v>0</v>
      </c>
      <c r="O768" t="n">
        <v>0</v>
      </c>
      <c r="P768" t="n">
        <v>0</v>
      </c>
      <c r="Q768" t="n">
        <v>0</v>
      </c>
      <c r="R768" s="2" t="inlineStr"/>
    </row>
    <row r="769" ht="15" customHeight="1">
      <c r="A769" t="inlineStr">
        <is>
          <t>A 55646-2021</t>
        </is>
      </c>
      <c r="B769" s="1" t="n">
        <v>44476.3632175926</v>
      </c>
      <c r="C769" s="1" t="n">
        <v>46084</v>
      </c>
      <c r="D769" t="inlineStr">
        <is>
          <t>UPPSALA LÄN</t>
        </is>
      </c>
      <c r="E769" t="inlineStr">
        <is>
          <t>ÖSTHAMMAR</t>
        </is>
      </c>
      <c r="F769" t="inlineStr">
        <is>
          <t>Bergvik skog öst AB</t>
        </is>
      </c>
      <c r="G769" t="n">
        <v>0.2</v>
      </c>
      <c r="H769" t="n">
        <v>0</v>
      </c>
      <c r="I769" t="n">
        <v>0</v>
      </c>
      <c r="J769" t="n">
        <v>0</v>
      </c>
      <c r="K769" t="n">
        <v>0</v>
      </c>
      <c r="L769" t="n">
        <v>0</v>
      </c>
      <c r="M769" t="n">
        <v>0</v>
      </c>
      <c r="N769" t="n">
        <v>0</v>
      </c>
      <c r="O769" t="n">
        <v>0</v>
      </c>
      <c r="P769" t="n">
        <v>0</v>
      </c>
      <c r="Q769" t="n">
        <v>0</v>
      </c>
      <c r="R769" s="2" t="inlineStr"/>
    </row>
    <row r="770" ht="15" customHeight="1">
      <c r="A770" t="inlineStr">
        <is>
          <t>A 61443-2024</t>
        </is>
      </c>
      <c r="B770" s="1" t="n">
        <v>45646.47936342593</v>
      </c>
      <c r="C770" s="1" t="n">
        <v>46084</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13279-2022</t>
        </is>
      </c>
      <c r="B771" s="1" t="n">
        <v>44644</v>
      </c>
      <c r="C771" s="1" t="n">
        <v>46084</v>
      </c>
      <c r="D771" t="inlineStr">
        <is>
          <t>UPPSALA LÄN</t>
        </is>
      </c>
      <c r="E771" t="inlineStr">
        <is>
          <t>ÖSTHAMMAR</t>
        </is>
      </c>
      <c r="G771" t="n">
        <v>1.4</v>
      </c>
      <c r="H771" t="n">
        <v>0</v>
      </c>
      <c r="I771" t="n">
        <v>0</v>
      </c>
      <c r="J771" t="n">
        <v>0</v>
      </c>
      <c r="K771" t="n">
        <v>0</v>
      </c>
      <c r="L771" t="n">
        <v>0</v>
      </c>
      <c r="M771" t="n">
        <v>0</v>
      </c>
      <c r="N771" t="n">
        <v>0</v>
      </c>
      <c r="O771" t="n">
        <v>0</v>
      </c>
      <c r="P771" t="n">
        <v>0</v>
      </c>
      <c r="Q771" t="n">
        <v>0</v>
      </c>
      <c r="R771" s="2" t="inlineStr"/>
    </row>
    <row r="772" ht="15" customHeight="1">
      <c r="A772" t="inlineStr">
        <is>
          <t>A 6046-2025</t>
        </is>
      </c>
      <c r="B772" s="1" t="n">
        <v>45695</v>
      </c>
      <c r="C772" s="1" t="n">
        <v>46084</v>
      </c>
      <c r="D772" t="inlineStr">
        <is>
          <t>UPPSALA LÄN</t>
        </is>
      </c>
      <c r="E772" t="inlineStr">
        <is>
          <t>ÖSTHAMMAR</t>
        </is>
      </c>
      <c r="G772" t="n">
        <v>0.8</v>
      </c>
      <c r="H772" t="n">
        <v>0</v>
      </c>
      <c r="I772" t="n">
        <v>0</v>
      </c>
      <c r="J772" t="n">
        <v>0</v>
      </c>
      <c r="K772" t="n">
        <v>0</v>
      </c>
      <c r="L772" t="n">
        <v>0</v>
      </c>
      <c r="M772" t="n">
        <v>0</v>
      </c>
      <c r="N772" t="n">
        <v>0</v>
      </c>
      <c r="O772" t="n">
        <v>0</v>
      </c>
      <c r="P772" t="n">
        <v>0</v>
      </c>
      <c r="Q772" t="n">
        <v>0</v>
      </c>
      <c r="R772" s="2" t="inlineStr"/>
      <c r="U772">
        <f>HYPERLINK("https://klasma.github.io/Logging_0382/knärot/A 6046-2025 karta knärot.png", "A 6046-2025")</f>
        <v/>
      </c>
      <c r="V772">
        <f>HYPERLINK("https://klasma.github.io/Logging_0382/klagomål/A 6046-2025 FSC-klagomål.docx", "A 6046-2025")</f>
        <v/>
      </c>
      <c r="W772">
        <f>HYPERLINK("https://klasma.github.io/Logging_0382/klagomålsmail/A 6046-2025 FSC-klagomål mail.docx", "A 6046-2025")</f>
        <v/>
      </c>
      <c r="X772">
        <f>HYPERLINK("https://klasma.github.io/Logging_0382/tillsyn/A 6046-2025 tillsynsbegäran.docx", "A 6046-2025")</f>
        <v/>
      </c>
      <c r="Y772">
        <f>HYPERLINK("https://klasma.github.io/Logging_0382/tillsynsmail/A 6046-2025 tillsynsbegäran mail.docx", "A 6046-2025")</f>
        <v/>
      </c>
    </row>
    <row r="773" ht="15" customHeight="1">
      <c r="A773" t="inlineStr">
        <is>
          <t>A 45102-2024</t>
        </is>
      </c>
      <c r="B773" s="1" t="n">
        <v>45575.58836805556</v>
      </c>
      <c r="C773" s="1" t="n">
        <v>46084</v>
      </c>
      <c r="D773" t="inlineStr">
        <is>
          <t>UPPSALA LÄN</t>
        </is>
      </c>
      <c r="E773" t="inlineStr">
        <is>
          <t>ÖSTHAMMAR</t>
        </is>
      </c>
      <c r="G773" t="n">
        <v>8.6</v>
      </c>
      <c r="H773" t="n">
        <v>0</v>
      </c>
      <c r="I773" t="n">
        <v>0</v>
      </c>
      <c r="J773" t="n">
        <v>0</v>
      </c>
      <c r="K773" t="n">
        <v>0</v>
      </c>
      <c r="L773" t="n">
        <v>0</v>
      </c>
      <c r="M773" t="n">
        <v>0</v>
      </c>
      <c r="N773" t="n">
        <v>0</v>
      </c>
      <c r="O773" t="n">
        <v>0</v>
      </c>
      <c r="P773" t="n">
        <v>0</v>
      </c>
      <c r="Q773" t="n">
        <v>0</v>
      </c>
      <c r="R773" s="2" t="inlineStr"/>
    </row>
    <row r="774" ht="15" customHeight="1">
      <c r="A774" t="inlineStr">
        <is>
          <t>A 18731-2022</t>
        </is>
      </c>
      <c r="B774" s="1" t="n">
        <v>44687.78673611111</v>
      </c>
      <c r="C774" s="1" t="n">
        <v>46084</v>
      </c>
      <c r="D774" t="inlineStr">
        <is>
          <t>UPPSALA LÄN</t>
        </is>
      </c>
      <c r="E774" t="inlineStr">
        <is>
          <t>ÖSTHAMMAR</t>
        </is>
      </c>
      <c r="G774" t="n">
        <v>4.9</v>
      </c>
      <c r="H774" t="n">
        <v>0</v>
      </c>
      <c r="I774" t="n">
        <v>0</v>
      </c>
      <c r="J774" t="n">
        <v>0</v>
      </c>
      <c r="K774" t="n">
        <v>0</v>
      </c>
      <c r="L774" t="n">
        <v>0</v>
      </c>
      <c r="M774" t="n">
        <v>0</v>
      </c>
      <c r="N774" t="n">
        <v>0</v>
      </c>
      <c r="O774" t="n">
        <v>0</v>
      </c>
      <c r="P774" t="n">
        <v>0</v>
      </c>
      <c r="Q774" t="n">
        <v>0</v>
      </c>
      <c r="R774" s="2" t="inlineStr"/>
    </row>
    <row r="775" ht="15" customHeight="1">
      <c r="A775" t="inlineStr">
        <is>
          <t>A 11385-2024</t>
        </is>
      </c>
      <c r="B775" s="1" t="n">
        <v>45372</v>
      </c>
      <c r="C775" s="1" t="n">
        <v>46084</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9642-2024</t>
        </is>
      </c>
      <c r="B776" s="1" t="n">
        <v>45362.36296296296</v>
      </c>
      <c r="C776" s="1" t="n">
        <v>46084</v>
      </c>
      <c r="D776" t="inlineStr">
        <is>
          <t>UPPSALA LÄN</t>
        </is>
      </c>
      <c r="E776" t="inlineStr">
        <is>
          <t>ÖSTHAMMAR</t>
        </is>
      </c>
      <c r="G776" t="n">
        <v>3.1</v>
      </c>
      <c r="H776" t="n">
        <v>0</v>
      </c>
      <c r="I776" t="n">
        <v>0</v>
      </c>
      <c r="J776" t="n">
        <v>0</v>
      </c>
      <c r="K776" t="n">
        <v>0</v>
      </c>
      <c r="L776" t="n">
        <v>0</v>
      </c>
      <c r="M776" t="n">
        <v>0</v>
      </c>
      <c r="N776" t="n">
        <v>0</v>
      </c>
      <c r="O776" t="n">
        <v>0</v>
      </c>
      <c r="P776" t="n">
        <v>0</v>
      </c>
      <c r="Q776" t="n">
        <v>0</v>
      </c>
      <c r="R776" s="2" t="inlineStr"/>
    </row>
    <row r="777" ht="15" customHeight="1">
      <c r="A777" t="inlineStr">
        <is>
          <t>A 18401-2025</t>
        </is>
      </c>
      <c r="B777" s="1" t="n">
        <v>45762.5966087963</v>
      </c>
      <c r="C777" s="1" t="n">
        <v>46084</v>
      </c>
      <c r="D777" t="inlineStr">
        <is>
          <t>UPPSALA LÄN</t>
        </is>
      </c>
      <c r="E777" t="inlineStr">
        <is>
          <t>ÖSTHAMMAR</t>
        </is>
      </c>
      <c r="G777" t="n">
        <v>1.7</v>
      </c>
      <c r="H777" t="n">
        <v>0</v>
      </c>
      <c r="I777" t="n">
        <v>0</v>
      </c>
      <c r="J777" t="n">
        <v>0</v>
      </c>
      <c r="K777" t="n">
        <v>0</v>
      </c>
      <c r="L777" t="n">
        <v>0</v>
      </c>
      <c r="M777" t="n">
        <v>0</v>
      </c>
      <c r="N777" t="n">
        <v>0</v>
      </c>
      <c r="O777" t="n">
        <v>0</v>
      </c>
      <c r="P777" t="n">
        <v>0</v>
      </c>
      <c r="Q777" t="n">
        <v>0</v>
      </c>
      <c r="R777" s="2" t="inlineStr"/>
    </row>
    <row r="778" ht="15" customHeight="1">
      <c r="A778" t="inlineStr">
        <is>
          <t>A 28429-2023</t>
        </is>
      </c>
      <c r="B778" s="1" t="n">
        <v>45102.58728009259</v>
      </c>
      <c r="C778" s="1" t="n">
        <v>46084</v>
      </c>
      <c r="D778" t="inlineStr">
        <is>
          <t>UPPSALA LÄN</t>
        </is>
      </c>
      <c r="E778" t="inlineStr">
        <is>
          <t>ÖSTHAMMAR</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58878-2022</t>
        </is>
      </c>
      <c r="B779" s="1" t="n">
        <v>44903</v>
      </c>
      <c r="C779" s="1" t="n">
        <v>46084</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30755-2024</t>
        </is>
      </c>
      <c r="B780" s="1" t="n">
        <v>45496</v>
      </c>
      <c r="C780" s="1" t="n">
        <v>46084</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4562-2022</t>
        </is>
      </c>
      <c r="B781" s="1" t="n">
        <v>44591</v>
      </c>
      <c r="C781" s="1" t="n">
        <v>46084</v>
      </c>
      <c r="D781" t="inlineStr">
        <is>
          <t>UPPSALA LÄN</t>
        </is>
      </c>
      <c r="E781" t="inlineStr">
        <is>
          <t>ÖSTHAMMAR</t>
        </is>
      </c>
      <c r="G781" t="n">
        <v>3.4</v>
      </c>
      <c r="H781" t="n">
        <v>0</v>
      </c>
      <c r="I781" t="n">
        <v>0</v>
      </c>
      <c r="J781" t="n">
        <v>0</v>
      </c>
      <c r="K781" t="n">
        <v>0</v>
      </c>
      <c r="L781" t="n">
        <v>0</v>
      </c>
      <c r="M781" t="n">
        <v>0</v>
      </c>
      <c r="N781" t="n">
        <v>0</v>
      </c>
      <c r="O781" t="n">
        <v>0</v>
      </c>
      <c r="P781" t="n">
        <v>0</v>
      </c>
      <c r="Q781" t="n">
        <v>0</v>
      </c>
      <c r="R781" s="2" t="inlineStr"/>
    </row>
    <row r="782" ht="15" customHeight="1">
      <c r="A782" t="inlineStr">
        <is>
          <t>A 53733-2023</t>
        </is>
      </c>
      <c r="B782" s="1" t="n">
        <v>45230.76862268519</v>
      </c>
      <c r="C782" s="1" t="n">
        <v>46084</v>
      </c>
      <c r="D782" t="inlineStr">
        <is>
          <t>UPPSALA LÄN</t>
        </is>
      </c>
      <c r="E782" t="inlineStr">
        <is>
          <t>ÖSTHAMMAR</t>
        </is>
      </c>
      <c r="G782" t="n">
        <v>1.1</v>
      </c>
      <c r="H782" t="n">
        <v>0</v>
      </c>
      <c r="I782" t="n">
        <v>0</v>
      </c>
      <c r="J782" t="n">
        <v>0</v>
      </c>
      <c r="K782" t="n">
        <v>0</v>
      </c>
      <c r="L782" t="n">
        <v>0</v>
      </c>
      <c r="M782" t="n">
        <v>0</v>
      </c>
      <c r="N782" t="n">
        <v>0</v>
      </c>
      <c r="O782" t="n">
        <v>0</v>
      </c>
      <c r="P782" t="n">
        <v>0</v>
      </c>
      <c r="Q782" t="n">
        <v>0</v>
      </c>
      <c r="R782" s="2" t="inlineStr"/>
    </row>
    <row r="783" ht="15" customHeight="1">
      <c r="A783" t="inlineStr">
        <is>
          <t>A 41308-2023</t>
        </is>
      </c>
      <c r="B783" s="1" t="n">
        <v>45174.62788194444</v>
      </c>
      <c r="C783" s="1" t="n">
        <v>46084</v>
      </c>
      <c r="D783" t="inlineStr">
        <is>
          <t>UPPSALA LÄN</t>
        </is>
      </c>
      <c r="E783" t="inlineStr">
        <is>
          <t>ÖSTHAMMAR</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17969-2023</t>
        </is>
      </c>
      <c r="B784" s="1" t="n">
        <v>45040.47081018519</v>
      </c>
      <c r="C784" s="1" t="n">
        <v>46084</v>
      </c>
      <c r="D784" t="inlineStr">
        <is>
          <t>UPPSALA LÄN</t>
        </is>
      </c>
      <c r="E784" t="inlineStr">
        <is>
          <t>ÖSTHAMMAR</t>
        </is>
      </c>
      <c r="G784" t="n">
        <v>5.4</v>
      </c>
      <c r="H784" t="n">
        <v>0</v>
      </c>
      <c r="I784" t="n">
        <v>0</v>
      </c>
      <c r="J784" t="n">
        <v>0</v>
      </c>
      <c r="K784" t="n">
        <v>0</v>
      </c>
      <c r="L784" t="n">
        <v>0</v>
      </c>
      <c r="M784" t="n">
        <v>0</v>
      </c>
      <c r="N784" t="n">
        <v>0</v>
      </c>
      <c r="O784" t="n">
        <v>0</v>
      </c>
      <c r="P784" t="n">
        <v>0</v>
      </c>
      <c r="Q784" t="n">
        <v>0</v>
      </c>
      <c r="R784" s="2" t="inlineStr"/>
    </row>
    <row r="785" ht="15" customHeight="1">
      <c r="A785" t="inlineStr">
        <is>
          <t>A 25969-2023</t>
        </is>
      </c>
      <c r="B785" s="1" t="n">
        <v>45090</v>
      </c>
      <c r="C785" s="1" t="n">
        <v>46084</v>
      </c>
      <c r="D785" t="inlineStr">
        <is>
          <t>UPPSALA LÄN</t>
        </is>
      </c>
      <c r="E785" t="inlineStr">
        <is>
          <t>ÖSTHAMMAR</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50998-2023</t>
        </is>
      </c>
      <c r="B786" s="1" t="n">
        <v>45218.5586574074</v>
      </c>
      <c r="C786" s="1" t="n">
        <v>46084</v>
      </c>
      <c r="D786" t="inlineStr">
        <is>
          <t>UPPSALA LÄN</t>
        </is>
      </c>
      <c r="E786" t="inlineStr">
        <is>
          <t>ÖSTHAMMAR</t>
        </is>
      </c>
      <c r="G786" t="n">
        <v>3.6</v>
      </c>
      <c r="H786" t="n">
        <v>0</v>
      </c>
      <c r="I786" t="n">
        <v>0</v>
      </c>
      <c r="J786" t="n">
        <v>0</v>
      </c>
      <c r="K786" t="n">
        <v>0</v>
      </c>
      <c r="L786" t="n">
        <v>0</v>
      </c>
      <c r="M786" t="n">
        <v>0</v>
      </c>
      <c r="N786" t="n">
        <v>0</v>
      </c>
      <c r="O786" t="n">
        <v>0</v>
      </c>
      <c r="P786" t="n">
        <v>0</v>
      </c>
      <c r="Q786" t="n">
        <v>0</v>
      </c>
      <c r="R786" s="2" t="inlineStr"/>
    </row>
    <row r="787" ht="15" customHeight="1">
      <c r="A787" t="inlineStr">
        <is>
          <t>A 55837-2023</t>
        </is>
      </c>
      <c r="B787" s="1" t="n">
        <v>45239</v>
      </c>
      <c r="C787" s="1" t="n">
        <v>46084</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18838-2023</t>
        </is>
      </c>
      <c r="B788" s="1" t="n">
        <v>45044</v>
      </c>
      <c r="C788" s="1" t="n">
        <v>46084</v>
      </c>
      <c r="D788" t="inlineStr">
        <is>
          <t>UPPSALA LÄN</t>
        </is>
      </c>
      <c r="E788" t="inlineStr">
        <is>
          <t>ÖSTHAMMAR</t>
        </is>
      </c>
      <c r="G788" t="n">
        <v>2.8</v>
      </c>
      <c r="H788" t="n">
        <v>0</v>
      </c>
      <c r="I788" t="n">
        <v>0</v>
      </c>
      <c r="J788" t="n">
        <v>0</v>
      </c>
      <c r="K788" t="n">
        <v>0</v>
      </c>
      <c r="L788" t="n">
        <v>0</v>
      </c>
      <c r="M788" t="n">
        <v>0</v>
      </c>
      <c r="N788" t="n">
        <v>0</v>
      </c>
      <c r="O788" t="n">
        <v>0</v>
      </c>
      <c r="P788" t="n">
        <v>0</v>
      </c>
      <c r="Q788" t="n">
        <v>0</v>
      </c>
      <c r="R788" s="2" t="inlineStr"/>
    </row>
    <row r="789" ht="15" customHeight="1">
      <c r="A789" t="inlineStr">
        <is>
          <t>A 59382-2022</t>
        </is>
      </c>
      <c r="B789" s="1" t="n">
        <v>44905.50363425926</v>
      </c>
      <c r="C789" s="1" t="n">
        <v>46084</v>
      </c>
      <c r="D789" t="inlineStr">
        <is>
          <t>UPPSALA LÄN</t>
        </is>
      </c>
      <c r="E789" t="inlineStr">
        <is>
          <t>ÖSTHAMMAR</t>
        </is>
      </c>
      <c r="G789" t="n">
        <v>2.9</v>
      </c>
      <c r="H789" t="n">
        <v>0</v>
      </c>
      <c r="I789" t="n">
        <v>0</v>
      </c>
      <c r="J789" t="n">
        <v>0</v>
      </c>
      <c r="K789" t="n">
        <v>0</v>
      </c>
      <c r="L789" t="n">
        <v>0</v>
      </c>
      <c r="M789" t="n">
        <v>0</v>
      </c>
      <c r="N789" t="n">
        <v>0</v>
      </c>
      <c r="O789" t="n">
        <v>0</v>
      </c>
      <c r="P789" t="n">
        <v>0</v>
      </c>
      <c r="Q789" t="n">
        <v>0</v>
      </c>
      <c r="R789" s="2" t="inlineStr"/>
    </row>
    <row r="790" ht="15" customHeight="1">
      <c r="A790" t="inlineStr">
        <is>
          <t>A 17085-2025</t>
        </is>
      </c>
      <c r="B790" s="1" t="n">
        <v>45755.64612268518</v>
      </c>
      <c r="C790" s="1" t="n">
        <v>46084</v>
      </c>
      <c r="D790" t="inlineStr">
        <is>
          <t>UPPSALA LÄN</t>
        </is>
      </c>
      <c r="E790" t="inlineStr">
        <is>
          <t>ÖSTHAMMAR</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29231-2024</t>
        </is>
      </c>
      <c r="B791" s="1" t="n">
        <v>45482</v>
      </c>
      <c r="C791" s="1" t="n">
        <v>46084</v>
      </c>
      <c r="D791" t="inlineStr">
        <is>
          <t>UPPSALA LÄN</t>
        </is>
      </c>
      <c r="E791" t="inlineStr">
        <is>
          <t>ÖSTHAMMAR</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44184-2024</t>
        </is>
      </c>
      <c r="B792" s="1" t="n">
        <v>45572</v>
      </c>
      <c r="C792" s="1" t="n">
        <v>46084</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9264-2024</t>
        </is>
      </c>
      <c r="B793" s="1" t="n">
        <v>45358</v>
      </c>
      <c r="C793" s="1" t="n">
        <v>46084</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33784-2024</t>
        </is>
      </c>
      <c r="B794" s="1" t="n">
        <v>45520</v>
      </c>
      <c r="C794" s="1" t="n">
        <v>46084</v>
      </c>
      <c r="D794" t="inlineStr">
        <is>
          <t>UPPSALA LÄN</t>
        </is>
      </c>
      <c r="E794" t="inlineStr">
        <is>
          <t>ÖSTHAMMAR</t>
        </is>
      </c>
      <c r="F794" t="inlineStr">
        <is>
          <t>Naturvårdsverket</t>
        </is>
      </c>
      <c r="G794" t="n">
        <v>0.6</v>
      </c>
      <c r="H794" t="n">
        <v>0</v>
      </c>
      <c r="I794" t="n">
        <v>0</v>
      </c>
      <c r="J794" t="n">
        <v>0</v>
      </c>
      <c r="K794" t="n">
        <v>0</v>
      </c>
      <c r="L794" t="n">
        <v>0</v>
      </c>
      <c r="M794" t="n">
        <v>0</v>
      </c>
      <c r="N794" t="n">
        <v>0</v>
      </c>
      <c r="O794" t="n">
        <v>0</v>
      </c>
      <c r="P794" t="n">
        <v>0</v>
      </c>
      <c r="Q794" t="n">
        <v>0</v>
      </c>
      <c r="R794" s="2" t="inlineStr"/>
    </row>
    <row r="795" ht="15" customHeight="1">
      <c r="A795" t="inlineStr">
        <is>
          <t>A 11643-2022</t>
        </is>
      </c>
      <c r="B795" s="1" t="n">
        <v>44631.92662037037</v>
      </c>
      <c r="C795" s="1" t="n">
        <v>46084</v>
      </c>
      <c r="D795" t="inlineStr">
        <is>
          <t>UPPSALA LÄN</t>
        </is>
      </c>
      <c r="E795" t="inlineStr">
        <is>
          <t>ÖSTHAMMAR</t>
        </is>
      </c>
      <c r="F795" t="inlineStr">
        <is>
          <t>Bergvik skog öst AB</t>
        </is>
      </c>
      <c r="G795" t="n">
        <v>1.1</v>
      </c>
      <c r="H795" t="n">
        <v>0</v>
      </c>
      <c r="I795" t="n">
        <v>0</v>
      </c>
      <c r="J795" t="n">
        <v>0</v>
      </c>
      <c r="K795" t="n">
        <v>0</v>
      </c>
      <c r="L795" t="n">
        <v>0</v>
      </c>
      <c r="M795" t="n">
        <v>0</v>
      </c>
      <c r="N795" t="n">
        <v>0</v>
      </c>
      <c r="O795" t="n">
        <v>0</v>
      </c>
      <c r="P795" t="n">
        <v>0</v>
      </c>
      <c r="Q795" t="n">
        <v>0</v>
      </c>
      <c r="R795" s="2" t="inlineStr"/>
    </row>
    <row r="796" ht="15" customHeight="1">
      <c r="A796" t="inlineStr">
        <is>
          <t>A 37865-2023</t>
        </is>
      </c>
      <c r="B796" s="1" t="n">
        <v>45160</v>
      </c>
      <c r="C796" s="1" t="n">
        <v>46084</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34607-2023</t>
        </is>
      </c>
      <c r="B797" s="1" t="n">
        <v>45138</v>
      </c>
      <c r="C797" s="1" t="n">
        <v>46084</v>
      </c>
      <c r="D797" t="inlineStr">
        <is>
          <t>UPPSALA LÄN</t>
        </is>
      </c>
      <c r="E797" t="inlineStr">
        <is>
          <t>ÖSTHAMMAR</t>
        </is>
      </c>
      <c r="G797" t="n">
        <v>4.7</v>
      </c>
      <c r="H797" t="n">
        <v>0</v>
      </c>
      <c r="I797" t="n">
        <v>0</v>
      </c>
      <c r="J797" t="n">
        <v>0</v>
      </c>
      <c r="K797" t="n">
        <v>0</v>
      </c>
      <c r="L797" t="n">
        <v>0</v>
      </c>
      <c r="M797" t="n">
        <v>0</v>
      </c>
      <c r="N797" t="n">
        <v>0</v>
      </c>
      <c r="O797" t="n">
        <v>0</v>
      </c>
      <c r="P797" t="n">
        <v>0</v>
      </c>
      <c r="Q797" t="n">
        <v>0</v>
      </c>
      <c r="R797" s="2" t="inlineStr"/>
    </row>
    <row r="798" ht="15" customHeight="1">
      <c r="A798" t="inlineStr">
        <is>
          <t>A 5215-2025</t>
        </is>
      </c>
      <c r="B798" s="1" t="n">
        <v>45691</v>
      </c>
      <c r="C798" s="1" t="n">
        <v>46084</v>
      </c>
      <c r="D798" t="inlineStr">
        <is>
          <t>UPPSALA LÄN</t>
        </is>
      </c>
      <c r="E798" t="inlineStr">
        <is>
          <t>ÖSTHAMMAR</t>
        </is>
      </c>
      <c r="G798" t="n">
        <v>0.5</v>
      </c>
      <c r="H798" t="n">
        <v>0</v>
      </c>
      <c r="I798" t="n">
        <v>0</v>
      </c>
      <c r="J798" t="n">
        <v>0</v>
      </c>
      <c r="K798" t="n">
        <v>0</v>
      </c>
      <c r="L798" t="n">
        <v>0</v>
      </c>
      <c r="M798" t="n">
        <v>0</v>
      </c>
      <c r="N798" t="n">
        <v>0</v>
      </c>
      <c r="O798" t="n">
        <v>0</v>
      </c>
      <c r="P798" t="n">
        <v>0</v>
      </c>
      <c r="Q798" t="n">
        <v>0</v>
      </c>
      <c r="R798" s="2" t="inlineStr"/>
    </row>
    <row r="799" ht="15" customHeight="1">
      <c r="A799" t="inlineStr">
        <is>
          <t>A 2733-2023</t>
        </is>
      </c>
      <c r="B799" s="1" t="n">
        <v>44943</v>
      </c>
      <c r="C799" s="1" t="n">
        <v>46084</v>
      </c>
      <c r="D799" t="inlineStr">
        <is>
          <t>UPPSALA LÄN</t>
        </is>
      </c>
      <c r="E799" t="inlineStr">
        <is>
          <t>ÖSTHAMMAR</t>
        </is>
      </c>
      <c r="G799" t="n">
        <v>2.6</v>
      </c>
      <c r="H799" t="n">
        <v>0</v>
      </c>
      <c r="I799" t="n">
        <v>0</v>
      </c>
      <c r="J799" t="n">
        <v>0</v>
      </c>
      <c r="K799" t="n">
        <v>0</v>
      </c>
      <c r="L799" t="n">
        <v>0</v>
      </c>
      <c r="M799" t="n">
        <v>0</v>
      </c>
      <c r="N799" t="n">
        <v>0</v>
      </c>
      <c r="O799" t="n">
        <v>0</v>
      </c>
      <c r="P799" t="n">
        <v>0</v>
      </c>
      <c r="Q799" t="n">
        <v>0</v>
      </c>
      <c r="R799" s="2" t="inlineStr"/>
    </row>
    <row r="800" ht="15" customHeight="1">
      <c r="A800" t="inlineStr">
        <is>
          <t>A 8769-2025</t>
        </is>
      </c>
      <c r="B800" s="1" t="n">
        <v>45712.59412037037</v>
      </c>
      <c r="C800" s="1" t="n">
        <v>46084</v>
      </c>
      <c r="D800" t="inlineStr">
        <is>
          <t>UPPSALA LÄN</t>
        </is>
      </c>
      <c r="E800" t="inlineStr">
        <is>
          <t>ÖSTHAMMAR</t>
        </is>
      </c>
      <c r="G800" t="n">
        <v>1.9</v>
      </c>
      <c r="H800" t="n">
        <v>0</v>
      </c>
      <c r="I800" t="n">
        <v>0</v>
      </c>
      <c r="J800" t="n">
        <v>0</v>
      </c>
      <c r="K800" t="n">
        <v>0</v>
      </c>
      <c r="L800" t="n">
        <v>0</v>
      </c>
      <c r="M800" t="n">
        <v>0</v>
      </c>
      <c r="N800" t="n">
        <v>0</v>
      </c>
      <c r="O800" t="n">
        <v>0</v>
      </c>
      <c r="P800" t="n">
        <v>0</v>
      </c>
      <c r="Q800" t="n">
        <v>0</v>
      </c>
      <c r="R800" s="2" t="inlineStr"/>
    </row>
    <row r="801" ht="15" customHeight="1">
      <c r="A801" t="inlineStr">
        <is>
          <t>A 34971-2022</t>
        </is>
      </c>
      <c r="B801" s="1" t="n">
        <v>44796.66613425926</v>
      </c>
      <c r="C801" s="1" t="n">
        <v>46084</v>
      </c>
      <c r="D801" t="inlineStr">
        <is>
          <t>UPPSALA LÄN</t>
        </is>
      </c>
      <c r="E801" t="inlineStr">
        <is>
          <t>ÖSTHAMMAR</t>
        </is>
      </c>
      <c r="F801" t="inlineStr">
        <is>
          <t>Bergvik skog öst AB</t>
        </is>
      </c>
      <c r="G801" t="n">
        <v>2.3</v>
      </c>
      <c r="H801" t="n">
        <v>0</v>
      </c>
      <c r="I801" t="n">
        <v>0</v>
      </c>
      <c r="J801" t="n">
        <v>0</v>
      </c>
      <c r="K801" t="n">
        <v>0</v>
      </c>
      <c r="L801" t="n">
        <v>0</v>
      </c>
      <c r="M801" t="n">
        <v>0</v>
      </c>
      <c r="N801" t="n">
        <v>0</v>
      </c>
      <c r="O801" t="n">
        <v>0</v>
      </c>
      <c r="P801" t="n">
        <v>0</v>
      </c>
      <c r="Q801" t="n">
        <v>0</v>
      </c>
      <c r="R801" s="2" t="inlineStr"/>
    </row>
    <row r="802" ht="15" customHeight="1">
      <c r="A802" t="inlineStr">
        <is>
          <t>A 3725-2022</t>
        </is>
      </c>
      <c r="B802" s="1" t="n">
        <v>44586</v>
      </c>
      <c r="C802" s="1" t="n">
        <v>46084</v>
      </c>
      <c r="D802" t="inlineStr">
        <is>
          <t>UPPSALA LÄN</t>
        </is>
      </c>
      <c r="E802" t="inlineStr">
        <is>
          <t>ÖSTHAMMAR</t>
        </is>
      </c>
      <c r="G802" t="n">
        <v>2</v>
      </c>
      <c r="H802" t="n">
        <v>0</v>
      </c>
      <c r="I802" t="n">
        <v>0</v>
      </c>
      <c r="J802" t="n">
        <v>0</v>
      </c>
      <c r="K802" t="n">
        <v>0</v>
      </c>
      <c r="L802" t="n">
        <v>0</v>
      </c>
      <c r="M802" t="n">
        <v>0</v>
      </c>
      <c r="N802" t="n">
        <v>0</v>
      </c>
      <c r="O802" t="n">
        <v>0</v>
      </c>
      <c r="P802" t="n">
        <v>0</v>
      </c>
      <c r="Q802" t="n">
        <v>0</v>
      </c>
      <c r="R802" s="2" t="inlineStr"/>
    </row>
    <row r="803" ht="15" customHeight="1">
      <c r="A803" t="inlineStr">
        <is>
          <t>A 12812-2024</t>
        </is>
      </c>
      <c r="B803" s="1" t="n">
        <v>45384.65465277778</v>
      </c>
      <c r="C803" s="1" t="n">
        <v>46084</v>
      </c>
      <c r="D803" t="inlineStr">
        <is>
          <t>UPPSALA LÄN</t>
        </is>
      </c>
      <c r="E803" t="inlineStr">
        <is>
          <t>ÖSTHAMMAR</t>
        </is>
      </c>
      <c r="G803" t="n">
        <v>0.4</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46084</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7876-2023</t>
        </is>
      </c>
      <c r="B805" s="1" t="n">
        <v>44973.57263888889</v>
      </c>
      <c r="C805" s="1" t="n">
        <v>46084</v>
      </c>
      <c r="D805" t="inlineStr">
        <is>
          <t>UPPSALA LÄN</t>
        </is>
      </c>
      <c r="E805" t="inlineStr">
        <is>
          <t>ÖSTHAMMAR</t>
        </is>
      </c>
      <c r="G805" t="n">
        <v>0.9</v>
      </c>
      <c r="H805" t="n">
        <v>0</v>
      </c>
      <c r="I805" t="n">
        <v>0</v>
      </c>
      <c r="J805" t="n">
        <v>0</v>
      </c>
      <c r="K805" t="n">
        <v>0</v>
      </c>
      <c r="L805" t="n">
        <v>0</v>
      </c>
      <c r="M805" t="n">
        <v>0</v>
      </c>
      <c r="N805" t="n">
        <v>0</v>
      </c>
      <c r="O805" t="n">
        <v>0</v>
      </c>
      <c r="P805" t="n">
        <v>0</v>
      </c>
      <c r="Q805" t="n">
        <v>0</v>
      </c>
      <c r="R805" s="2" t="inlineStr"/>
    </row>
    <row r="806" ht="15" customHeight="1">
      <c r="A806" t="inlineStr">
        <is>
          <t>A 14433-2024</t>
        </is>
      </c>
      <c r="B806" s="1" t="n">
        <v>45394.46115740741</v>
      </c>
      <c r="C806" s="1" t="n">
        <v>46084</v>
      </c>
      <c r="D806" t="inlineStr">
        <is>
          <t>UPPSALA LÄN</t>
        </is>
      </c>
      <c r="E806" t="inlineStr">
        <is>
          <t>ÖSTHAMMAR</t>
        </is>
      </c>
      <c r="G806" t="n">
        <v>1.2</v>
      </c>
      <c r="H806" t="n">
        <v>0</v>
      </c>
      <c r="I806" t="n">
        <v>0</v>
      </c>
      <c r="J806" t="n">
        <v>0</v>
      </c>
      <c r="K806" t="n">
        <v>0</v>
      </c>
      <c r="L806" t="n">
        <v>0</v>
      </c>
      <c r="M806" t="n">
        <v>0</v>
      </c>
      <c r="N806" t="n">
        <v>0</v>
      </c>
      <c r="O806" t="n">
        <v>0</v>
      </c>
      <c r="P806" t="n">
        <v>0</v>
      </c>
      <c r="Q806" t="n">
        <v>0</v>
      </c>
      <c r="R806" s="2" t="inlineStr"/>
    </row>
    <row r="807" ht="15" customHeight="1">
      <c r="A807" t="inlineStr">
        <is>
          <t>A 20038-2023</t>
        </is>
      </c>
      <c r="B807" s="1" t="n">
        <v>45054.65834490741</v>
      </c>
      <c r="C807" s="1" t="n">
        <v>46084</v>
      </c>
      <c r="D807" t="inlineStr">
        <is>
          <t>UPPSALA LÄN</t>
        </is>
      </c>
      <c r="E807" t="inlineStr">
        <is>
          <t>ÖSTHAMMAR</t>
        </is>
      </c>
      <c r="G807" t="n">
        <v>0.4</v>
      </c>
      <c r="H807" t="n">
        <v>0</v>
      </c>
      <c r="I807" t="n">
        <v>0</v>
      </c>
      <c r="J807" t="n">
        <v>0</v>
      </c>
      <c r="K807" t="n">
        <v>0</v>
      </c>
      <c r="L807" t="n">
        <v>0</v>
      </c>
      <c r="M807" t="n">
        <v>0</v>
      </c>
      <c r="N807" t="n">
        <v>0</v>
      </c>
      <c r="O807" t="n">
        <v>0</v>
      </c>
      <c r="P807" t="n">
        <v>0</v>
      </c>
      <c r="Q807" t="n">
        <v>0</v>
      </c>
      <c r="R807" s="2" t="inlineStr"/>
    </row>
    <row r="808" ht="15" customHeight="1">
      <c r="A808" t="inlineStr">
        <is>
          <t>A 15031-2025</t>
        </is>
      </c>
      <c r="B808" s="1" t="n">
        <v>45743.67333333333</v>
      </c>
      <c r="C808" s="1" t="n">
        <v>46084</v>
      </c>
      <c r="D808" t="inlineStr">
        <is>
          <t>UPPSALA LÄN</t>
        </is>
      </c>
      <c r="E808" t="inlineStr">
        <is>
          <t>ÖSTHAMMAR</t>
        </is>
      </c>
      <c r="G808" t="n">
        <v>9.6</v>
      </c>
      <c r="H808" t="n">
        <v>0</v>
      </c>
      <c r="I808" t="n">
        <v>0</v>
      </c>
      <c r="J808" t="n">
        <v>0</v>
      </c>
      <c r="K808" t="n">
        <v>0</v>
      </c>
      <c r="L808" t="n">
        <v>0</v>
      </c>
      <c r="M808" t="n">
        <v>0</v>
      </c>
      <c r="N808" t="n">
        <v>0</v>
      </c>
      <c r="O808" t="n">
        <v>0</v>
      </c>
      <c r="P808" t="n">
        <v>0</v>
      </c>
      <c r="Q808" t="n">
        <v>0</v>
      </c>
      <c r="R808" s="2" t="inlineStr"/>
    </row>
    <row r="809" ht="15" customHeight="1">
      <c r="A809" t="inlineStr">
        <is>
          <t>A 13738-2023</t>
        </is>
      </c>
      <c r="B809" s="1" t="n">
        <v>45007.37081018519</v>
      </c>
      <c r="C809" s="1" t="n">
        <v>46084</v>
      </c>
      <c r="D809" t="inlineStr">
        <is>
          <t>UPPSALA LÄN</t>
        </is>
      </c>
      <c r="E809" t="inlineStr">
        <is>
          <t>ÖSTHAMMAR</t>
        </is>
      </c>
      <c r="G809" t="n">
        <v>0.7</v>
      </c>
      <c r="H809" t="n">
        <v>0</v>
      </c>
      <c r="I809" t="n">
        <v>0</v>
      </c>
      <c r="J809" t="n">
        <v>0</v>
      </c>
      <c r="K809" t="n">
        <v>0</v>
      </c>
      <c r="L809" t="n">
        <v>0</v>
      </c>
      <c r="M809" t="n">
        <v>0</v>
      </c>
      <c r="N809" t="n">
        <v>0</v>
      </c>
      <c r="O809" t="n">
        <v>0</v>
      </c>
      <c r="P809" t="n">
        <v>0</v>
      </c>
      <c r="Q809" t="n">
        <v>0</v>
      </c>
      <c r="R809" s="2" t="inlineStr"/>
    </row>
    <row r="810">
      <c r="A810" t="inlineStr">
        <is>
          <t>A 43439-2024</t>
        </is>
      </c>
      <c r="B810" s="1" t="n">
        <v>45568</v>
      </c>
      <c r="C810" s="1" t="n">
        <v>46084</v>
      </c>
      <c r="D810" t="inlineStr">
        <is>
          <t>UPPSALA LÄN</t>
        </is>
      </c>
      <c r="E810" t="inlineStr">
        <is>
          <t>ÖSTHAMMAR</t>
        </is>
      </c>
      <c r="G810" t="n">
        <v>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2026-03-03T11:09:36Z</dcterms:created>
  <dcterms:modified xmlns:dcterms="http://purl.org/dc/terms/" xmlns:xsi="http://www.w3.org/2001/XMLSchema-instance" xsi:type="dcterms:W3CDTF">2026-03-03T11:09:37Z</dcterms:modified>
</cp:coreProperties>
</file>