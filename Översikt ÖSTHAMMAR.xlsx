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45807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45807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45807</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45807</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45807</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45807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45807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45807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45807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45807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45807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45807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45807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45807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45807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45807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45807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45807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45807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45807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45807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45807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45807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45807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45807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45807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45807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45807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45807</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45807</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45807</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45807</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45807</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45807</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45807</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45807</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45807</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45807</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45807</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45807</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45807</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45807</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45807</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45807</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45807</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45807</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45807</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45807</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45807</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45807</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45807</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45807</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45807</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45807</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45807</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45807</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45807</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45807</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45807</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45807</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45807</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45807</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45807</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45807</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45807</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45807</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45807</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45807</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45807</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45807</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45807</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45807</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45807</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45807</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45807</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45807</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45807</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45807</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45807</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45807</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45807</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45807</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45807</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45807</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45807</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45807</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45807</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45807</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45807</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45807</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45807</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45807</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45807</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45807</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45807</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45807</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45807</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45807</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45807</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45807</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45807</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45807</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45807</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45807</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45807</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45807</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45807</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45807</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45807</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45807</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45807</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45807</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45807</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45807</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45807</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45807</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45807</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45807</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45807</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45807</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45807</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45807</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45807</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45807</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45807</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45807</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45807</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45807</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45807</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45807</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45807</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45807</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45807</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45807</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45807</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45807</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45807</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45807</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45807</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45807</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45807</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45807</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45807</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45807</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45807</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45807</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45807</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45807</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45807</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45807</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45807</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45807</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45807</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45807</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45807</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45807</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14706-2023</t>
        </is>
      </c>
      <c r="B159" s="1" t="n">
        <v>45013</v>
      </c>
      <c r="C159" s="1" t="n">
        <v>45807</v>
      </c>
      <c r="D159" t="inlineStr">
        <is>
          <t>UPPSALA LÄN</t>
        </is>
      </c>
      <c r="E159" t="inlineStr">
        <is>
          <t>ÖSTHAMMAR</t>
        </is>
      </c>
      <c r="G159" t="n">
        <v>0.9</v>
      </c>
      <c r="H159" t="n">
        <v>0</v>
      </c>
      <c r="I159" t="n">
        <v>1</v>
      </c>
      <c r="J159" t="n">
        <v>0</v>
      </c>
      <c r="K159" t="n">
        <v>0</v>
      </c>
      <c r="L159" t="n">
        <v>0</v>
      </c>
      <c r="M159" t="n">
        <v>0</v>
      </c>
      <c r="N159" t="n">
        <v>0</v>
      </c>
      <c r="O159" t="n">
        <v>0</v>
      </c>
      <c r="P159" t="n">
        <v>0</v>
      </c>
      <c r="Q159" t="n">
        <v>1</v>
      </c>
      <c r="R159" s="2" t="inlineStr">
        <is>
          <t>Olivspindling</t>
        </is>
      </c>
      <c r="S159">
        <f>HYPERLINK("https://klasma.github.io/Logging_0382/artfynd/A 14706-2023 artfynd.xlsx", "A 14706-2023")</f>
        <v/>
      </c>
      <c r="T159">
        <f>HYPERLINK("https://klasma.github.io/Logging_0382/kartor/A 14706-2023 karta.png", "A 14706-2023")</f>
        <v/>
      </c>
      <c r="V159">
        <f>HYPERLINK("https://klasma.github.io/Logging_0382/klagomål/A 14706-2023 FSC-klagomål.docx", "A 14706-2023")</f>
        <v/>
      </c>
      <c r="W159">
        <f>HYPERLINK("https://klasma.github.io/Logging_0382/klagomålsmail/A 14706-2023 FSC-klagomål mail.docx", "A 14706-2023")</f>
        <v/>
      </c>
      <c r="X159">
        <f>HYPERLINK("https://klasma.github.io/Logging_0382/tillsyn/A 14706-2023 tillsynsbegäran.docx", "A 14706-2023")</f>
        <v/>
      </c>
      <c r="Y159">
        <f>HYPERLINK("https://klasma.github.io/Logging_0382/tillsynsmail/A 14706-2023 tillsynsbegäran mail.docx", "A 14706-2023")</f>
        <v/>
      </c>
    </row>
    <row r="160" ht="15" customHeight="1">
      <c r="A160" t="inlineStr">
        <is>
          <t>A 15628-2023</t>
        </is>
      </c>
      <c r="B160" s="1" t="n">
        <v>45021</v>
      </c>
      <c r="C160" s="1" t="n">
        <v>45807</v>
      </c>
      <c r="D160" t="inlineStr">
        <is>
          <t>UPPSALA LÄN</t>
        </is>
      </c>
      <c r="E160" t="inlineStr">
        <is>
          <t>ÖSTHAMMAR</t>
        </is>
      </c>
      <c r="F160" t="inlineStr">
        <is>
          <t>Övriga Aktiebolag</t>
        </is>
      </c>
      <c r="G160" t="n">
        <v>14.8</v>
      </c>
      <c r="H160" t="n">
        <v>1</v>
      </c>
      <c r="I160" t="n">
        <v>0</v>
      </c>
      <c r="J160" t="n">
        <v>0</v>
      </c>
      <c r="K160" t="n">
        <v>1</v>
      </c>
      <c r="L160" t="n">
        <v>0</v>
      </c>
      <c r="M160" t="n">
        <v>0</v>
      </c>
      <c r="N160" t="n">
        <v>0</v>
      </c>
      <c r="O160" t="n">
        <v>1</v>
      </c>
      <c r="P160" t="n">
        <v>1</v>
      </c>
      <c r="Q160" t="n">
        <v>1</v>
      </c>
      <c r="R160" s="2" t="inlineStr">
        <is>
          <t>Knärot</t>
        </is>
      </c>
      <c r="S160">
        <f>HYPERLINK("https://klasma.github.io/Logging_0382/artfynd/A 15628-2023 artfynd.xlsx", "A 15628-2023")</f>
        <v/>
      </c>
      <c r="T160">
        <f>HYPERLINK("https://klasma.github.io/Logging_0382/kartor/A 15628-2023 karta.png", "A 15628-2023")</f>
        <v/>
      </c>
      <c r="U160">
        <f>HYPERLINK("https://klasma.github.io/Logging_0382/knärot/A 15628-2023 karta knärot.png", "A 15628-2023")</f>
        <v/>
      </c>
      <c r="V160">
        <f>HYPERLINK("https://klasma.github.io/Logging_0382/klagomål/A 15628-2023 FSC-klagomål.docx", "A 15628-2023")</f>
        <v/>
      </c>
      <c r="W160">
        <f>HYPERLINK("https://klasma.github.io/Logging_0382/klagomålsmail/A 15628-2023 FSC-klagomål mail.docx", "A 15628-2023")</f>
        <v/>
      </c>
      <c r="X160">
        <f>HYPERLINK("https://klasma.github.io/Logging_0382/tillsyn/A 15628-2023 tillsynsbegäran.docx", "A 15628-2023")</f>
        <v/>
      </c>
      <c r="Y160">
        <f>HYPERLINK("https://klasma.github.io/Logging_0382/tillsynsmail/A 15628-2023 tillsynsbegäran mail.docx", "A 15628-2023")</f>
        <v/>
      </c>
    </row>
    <row r="161" ht="15" customHeight="1">
      <c r="A161" t="inlineStr">
        <is>
          <t>A 19100-2023</t>
        </is>
      </c>
      <c r="B161" s="1" t="n">
        <v>45048</v>
      </c>
      <c r="C161" s="1" t="n">
        <v>45807</v>
      </c>
      <c r="D161" t="inlineStr">
        <is>
          <t>UPPSALA LÄN</t>
        </is>
      </c>
      <c r="E161" t="inlineStr">
        <is>
          <t>ÖSTHAMMAR</t>
        </is>
      </c>
      <c r="F161" t="inlineStr">
        <is>
          <t>Bergvik skog öst AB</t>
        </is>
      </c>
      <c r="G161" t="n">
        <v>2.1</v>
      </c>
      <c r="H161" t="n">
        <v>1</v>
      </c>
      <c r="I161" t="n">
        <v>0</v>
      </c>
      <c r="J161" t="n">
        <v>0</v>
      </c>
      <c r="K161" t="n">
        <v>0</v>
      </c>
      <c r="L161" t="n">
        <v>0</v>
      </c>
      <c r="M161" t="n">
        <v>0</v>
      </c>
      <c r="N161" t="n">
        <v>0</v>
      </c>
      <c r="O161" t="n">
        <v>0</v>
      </c>
      <c r="P161" t="n">
        <v>0</v>
      </c>
      <c r="Q161" t="n">
        <v>1</v>
      </c>
      <c r="R161" s="2" t="inlineStr">
        <is>
          <t>Blåsippa</t>
        </is>
      </c>
      <c r="S161">
        <f>HYPERLINK("https://klasma.github.io/Logging_0382/artfynd/A 19100-2023 artfynd.xlsx", "A 19100-2023")</f>
        <v/>
      </c>
      <c r="T161">
        <f>HYPERLINK("https://klasma.github.io/Logging_0382/kartor/A 19100-2023 karta.png", "A 19100-2023")</f>
        <v/>
      </c>
      <c r="V161">
        <f>HYPERLINK("https://klasma.github.io/Logging_0382/klagomål/A 19100-2023 FSC-klagomål.docx", "A 19100-2023")</f>
        <v/>
      </c>
      <c r="W161">
        <f>HYPERLINK("https://klasma.github.io/Logging_0382/klagomålsmail/A 19100-2023 FSC-klagomål mail.docx", "A 19100-2023")</f>
        <v/>
      </c>
      <c r="X161">
        <f>HYPERLINK("https://klasma.github.io/Logging_0382/tillsyn/A 19100-2023 tillsynsbegäran.docx", "A 19100-2023")</f>
        <v/>
      </c>
      <c r="Y161">
        <f>HYPERLINK("https://klasma.github.io/Logging_0382/tillsynsmail/A 19100-2023 tillsynsbegäran mail.docx", "A 19100-2023")</f>
        <v/>
      </c>
    </row>
    <row r="162" ht="15" customHeight="1">
      <c r="A162" t="inlineStr">
        <is>
          <t>A 21628-2023</t>
        </is>
      </c>
      <c r="B162" s="1" t="n">
        <v>45063</v>
      </c>
      <c r="C162" s="1" t="n">
        <v>45807</v>
      </c>
      <c r="D162" t="inlineStr">
        <is>
          <t>UPPSALA LÄN</t>
        </is>
      </c>
      <c r="E162" t="inlineStr">
        <is>
          <t>ÖSTHAMMAR</t>
        </is>
      </c>
      <c r="F162" t="inlineStr">
        <is>
          <t>Sveaskog</t>
        </is>
      </c>
      <c r="G162" t="n">
        <v>4.9</v>
      </c>
      <c r="H162" t="n">
        <v>1</v>
      </c>
      <c r="I162" t="n">
        <v>0</v>
      </c>
      <c r="J162" t="n">
        <v>1</v>
      </c>
      <c r="K162" t="n">
        <v>0</v>
      </c>
      <c r="L162" t="n">
        <v>0</v>
      </c>
      <c r="M162" t="n">
        <v>0</v>
      </c>
      <c r="N162" t="n">
        <v>0</v>
      </c>
      <c r="O162" t="n">
        <v>1</v>
      </c>
      <c r="P162" t="n">
        <v>0</v>
      </c>
      <c r="Q162" t="n">
        <v>1</v>
      </c>
      <c r="R162" s="2" t="inlineStr">
        <is>
          <t>Slaguggla</t>
        </is>
      </c>
      <c r="S162">
        <f>HYPERLINK("https://klasma.github.io/Logging_0382/artfynd/A 21628-2023 artfynd.xlsx", "A 21628-2023")</f>
        <v/>
      </c>
      <c r="T162">
        <f>HYPERLINK("https://klasma.github.io/Logging_0382/kartor/A 21628-2023 karta.png", "A 21628-2023")</f>
        <v/>
      </c>
      <c r="V162">
        <f>HYPERLINK("https://klasma.github.io/Logging_0382/klagomål/A 21628-2023 FSC-klagomål.docx", "A 21628-2023")</f>
        <v/>
      </c>
      <c r="W162">
        <f>HYPERLINK("https://klasma.github.io/Logging_0382/klagomålsmail/A 21628-2023 FSC-klagomål mail.docx", "A 21628-2023")</f>
        <v/>
      </c>
      <c r="X162">
        <f>HYPERLINK("https://klasma.github.io/Logging_0382/tillsyn/A 21628-2023 tillsynsbegäran.docx", "A 21628-2023")</f>
        <v/>
      </c>
      <c r="Y162">
        <f>HYPERLINK("https://klasma.github.io/Logging_0382/tillsynsmail/A 21628-2023 tillsynsbegäran mail.docx", "A 21628-2023")</f>
        <v/>
      </c>
      <c r="Z162">
        <f>HYPERLINK("https://klasma.github.io/Logging_0382/fåglar/A 21628-2023 prioriterade fågelarter.docx", "A 21628-2023")</f>
        <v/>
      </c>
    </row>
    <row r="163" ht="15" customHeight="1">
      <c r="A163" t="inlineStr">
        <is>
          <t>A 22307-2023</t>
        </is>
      </c>
      <c r="B163" s="1" t="n">
        <v>45070</v>
      </c>
      <c r="C163" s="1" t="n">
        <v>45807</v>
      </c>
      <c r="D163" t="inlineStr">
        <is>
          <t>UPPSALA LÄN</t>
        </is>
      </c>
      <c r="E163" t="inlineStr">
        <is>
          <t>ÖSTHAMMAR</t>
        </is>
      </c>
      <c r="F163" t="inlineStr">
        <is>
          <t>Bergvik skog öst AB</t>
        </is>
      </c>
      <c r="G163" t="n">
        <v>13.9</v>
      </c>
      <c r="H163" t="n">
        <v>0</v>
      </c>
      <c r="I163" t="n">
        <v>1</v>
      </c>
      <c r="J163" t="n">
        <v>0</v>
      </c>
      <c r="K163" t="n">
        <v>0</v>
      </c>
      <c r="L163" t="n">
        <v>0</v>
      </c>
      <c r="M163" t="n">
        <v>0</v>
      </c>
      <c r="N163" t="n">
        <v>0</v>
      </c>
      <c r="O163" t="n">
        <v>0</v>
      </c>
      <c r="P163" t="n">
        <v>0</v>
      </c>
      <c r="Q163" t="n">
        <v>1</v>
      </c>
      <c r="R163" s="2" t="inlineStr">
        <is>
          <t>Myskmadra</t>
        </is>
      </c>
      <c r="S163">
        <f>HYPERLINK("https://klasma.github.io/Logging_0382/artfynd/A 22307-2023 artfynd.xlsx", "A 22307-2023")</f>
        <v/>
      </c>
      <c r="T163">
        <f>HYPERLINK("https://klasma.github.io/Logging_0382/kartor/A 22307-2023 karta.png", "A 22307-2023")</f>
        <v/>
      </c>
      <c r="V163">
        <f>HYPERLINK("https://klasma.github.io/Logging_0382/klagomål/A 22307-2023 FSC-klagomål.docx", "A 22307-2023")</f>
        <v/>
      </c>
      <c r="W163">
        <f>HYPERLINK("https://klasma.github.io/Logging_0382/klagomålsmail/A 22307-2023 FSC-klagomål mail.docx", "A 22307-2023")</f>
        <v/>
      </c>
      <c r="X163">
        <f>HYPERLINK("https://klasma.github.io/Logging_0382/tillsyn/A 22307-2023 tillsynsbegäran.docx", "A 22307-2023")</f>
        <v/>
      </c>
      <c r="Y163">
        <f>HYPERLINK("https://klasma.github.io/Logging_0382/tillsynsmail/A 22307-2023 tillsynsbegäran mail.docx", "A 22307-2023")</f>
        <v/>
      </c>
    </row>
    <row r="164" ht="15" customHeight="1">
      <c r="A164" t="inlineStr">
        <is>
          <t>A 22287-2023</t>
        </is>
      </c>
      <c r="B164" s="1" t="n">
        <v>45070</v>
      </c>
      <c r="C164" s="1" t="n">
        <v>45807</v>
      </c>
      <c r="D164" t="inlineStr">
        <is>
          <t>UPPSALA LÄN</t>
        </is>
      </c>
      <c r="E164" t="inlineStr">
        <is>
          <t>ÖSTHAMMAR</t>
        </is>
      </c>
      <c r="G164" t="n">
        <v>6.3</v>
      </c>
      <c r="H164" t="n">
        <v>1</v>
      </c>
      <c r="I164" t="n">
        <v>1</v>
      </c>
      <c r="J164" t="n">
        <v>0</v>
      </c>
      <c r="K164" t="n">
        <v>0</v>
      </c>
      <c r="L164" t="n">
        <v>0</v>
      </c>
      <c r="M164" t="n">
        <v>0</v>
      </c>
      <c r="N164" t="n">
        <v>0</v>
      </c>
      <c r="O164" t="n">
        <v>0</v>
      </c>
      <c r="P164" t="n">
        <v>0</v>
      </c>
      <c r="Q164" t="n">
        <v>1</v>
      </c>
      <c r="R164" s="2" t="inlineStr">
        <is>
          <t>Guckusko</t>
        </is>
      </c>
      <c r="S164">
        <f>HYPERLINK("https://klasma.github.io/Logging_0382/artfynd/A 22287-2023 artfynd.xlsx", "A 22287-2023")</f>
        <v/>
      </c>
      <c r="T164">
        <f>HYPERLINK("https://klasma.github.io/Logging_0382/kartor/A 22287-2023 karta.png", "A 22287-2023")</f>
        <v/>
      </c>
      <c r="V164">
        <f>HYPERLINK("https://klasma.github.io/Logging_0382/klagomål/A 22287-2023 FSC-klagomål.docx", "A 22287-2023")</f>
        <v/>
      </c>
      <c r="W164">
        <f>HYPERLINK("https://klasma.github.io/Logging_0382/klagomålsmail/A 22287-2023 FSC-klagomål mail.docx", "A 22287-2023")</f>
        <v/>
      </c>
      <c r="X164">
        <f>HYPERLINK("https://klasma.github.io/Logging_0382/tillsyn/A 22287-2023 tillsynsbegäran.docx", "A 22287-2023")</f>
        <v/>
      </c>
      <c r="Y164">
        <f>HYPERLINK("https://klasma.github.io/Logging_0382/tillsynsmail/A 22287-2023 tillsynsbegäran mail.docx", "A 22287-2023")</f>
        <v/>
      </c>
    </row>
    <row r="165" ht="15" customHeight="1">
      <c r="A165" t="inlineStr">
        <is>
          <t>A 22688-2023</t>
        </is>
      </c>
      <c r="B165" s="1" t="n">
        <v>45071</v>
      </c>
      <c r="C165" s="1" t="n">
        <v>45807</v>
      </c>
      <c r="D165" t="inlineStr">
        <is>
          <t>UPPSALA LÄN</t>
        </is>
      </c>
      <c r="E165" t="inlineStr">
        <is>
          <t>ÖSTHAMMAR</t>
        </is>
      </c>
      <c r="G165" t="n">
        <v>3</v>
      </c>
      <c r="H165" t="n">
        <v>1</v>
      </c>
      <c r="I165" t="n">
        <v>1</v>
      </c>
      <c r="J165" t="n">
        <v>0</v>
      </c>
      <c r="K165" t="n">
        <v>0</v>
      </c>
      <c r="L165" t="n">
        <v>0</v>
      </c>
      <c r="M165" t="n">
        <v>0</v>
      </c>
      <c r="N165" t="n">
        <v>0</v>
      </c>
      <c r="O165" t="n">
        <v>0</v>
      </c>
      <c r="P165" t="n">
        <v>0</v>
      </c>
      <c r="Q165" t="n">
        <v>1</v>
      </c>
      <c r="R165" s="2" t="inlineStr">
        <is>
          <t>Nästrot</t>
        </is>
      </c>
      <c r="S165">
        <f>HYPERLINK("https://klasma.github.io/Logging_0382/artfynd/A 22688-2023 artfynd.xlsx", "A 22688-2023")</f>
        <v/>
      </c>
      <c r="T165">
        <f>HYPERLINK("https://klasma.github.io/Logging_0382/kartor/A 22688-2023 karta.png", "A 22688-2023")</f>
        <v/>
      </c>
      <c r="V165">
        <f>HYPERLINK("https://klasma.github.io/Logging_0382/klagomål/A 22688-2023 FSC-klagomål.docx", "A 22688-2023")</f>
        <v/>
      </c>
      <c r="W165">
        <f>HYPERLINK("https://klasma.github.io/Logging_0382/klagomålsmail/A 22688-2023 FSC-klagomål mail.docx", "A 22688-2023")</f>
        <v/>
      </c>
      <c r="X165">
        <f>HYPERLINK("https://klasma.github.io/Logging_0382/tillsyn/A 22688-2023 tillsynsbegäran.docx", "A 22688-2023")</f>
        <v/>
      </c>
      <c r="Y165">
        <f>HYPERLINK("https://klasma.github.io/Logging_0382/tillsynsmail/A 22688-2023 tillsynsbegäran mail.docx", "A 22688-2023")</f>
        <v/>
      </c>
    </row>
    <row r="166" ht="15" customHeight="1">
      <c r="A166" t="inlineStr">
        <is>
          <t>A 23128-2023</t>
        </is>
      </c>
      <c r="B166" s="1" t="n">
        <v>45075</v>
      </c>
      <c r="C166" s="1" t="n">
        <v>45807</v>
      </c>
      <c r="D166" t="inlineStr">
        <is>
          <t>UPPSALA LÄN</t>
        </is>
      </c>
      <c r="E166" t="inlineStr">
        <is>
          <t>ÖSTHAMMAR</t>
        </is>
      </c>
      <c r="G166" t="n">
        <v>6</v>
      </c>
      <c r="H166" t="n">
        <v>0</v>
      </c>
      <c r="I166" t="n">
        <v>0</v>
      </c>
      <c r="J166" t="n">
        <v>1</v>
      </c>
      <c r="K166" t="n">
        <v>0</v>
      </c>
      <c r="L166" t="n">
        <v>0</v>
      </c>
      <c r="M166" t="n">
        <v>0</v>
      </c>
      <c r="N166" t="n">
        <v>0</v>
      </c>
      <c r="O166" t="n">
        <v>1</v>
      </c>
      <c r="P166" t="n">
        <v>0</v>
      </c>
      <c r="Q166" t="n">
        <v>1</v>
      </c>
      <c r="R166" s="2" t="inlineStr">
        <is>
          <t>Grönhjon</t>
        </is>
      </c>
      <c r="S166">
        <f>HYPERLINK("https://klasma.github.io/Logging_0382/artfynd/A 23128-2023 artfynd.xlsx", "A 23128-2023")</f>
        <v/>
      </c>
      <c r="T166">
        <f>HYPERLINK("https://klasma.github.io/Logging_0382/kartor/A 23128-2023 karta.png", "A 23128-2023")</f>
        <v/>
      </c>
      <c r="V166">
        <f>HYPERLINK("https://klasma.github.io/Logging_0382/klagomål/A 23128-2023 FSC-klagomål.docx", "A 23128-2023")</f>
        <v/>
      </c>
      <c r="W166">
        <f>HYPERLINK("https://klasma.github.io/Logging_0382/klagomålsmail/A 23128-2023 FSC-klagomål mail.docx", "A 23128-2023")</f>
        <v/>
      </c>
      <c r="X166">
        <f>HYPERLINK("https://klasma.github.io/Logging_0382/tillsyn/A 23128-2023 tillsynsbegäran.docx", "A 23128-2023")</f>
        <v/>
      </c>
      <c r="Y166">
        <f>HYPERLINK("https://klasma.github.io/Logging_0382/tillsynsmail/A 23128-2023 tillsynsbegäran mail.docx", "A 23128-2023")</f>
        <v/>
      </c>
    </row>
    <row r="167" ht="15" customHeight="1">
      <c r="A167" t="inlineStr">
        <is>
          <t>A 25179-2023</t>
        </is>
      </c>
      <c r="B167" s="1" t="n">
        <v>45078</v>
      </c>
      <c r="C167" s="1" t="n">
        <v>45807</v>
      </c>
      <c r="D167" t="inlineStr">
        <is>
          <t>UPPSALA LÄN</t>
        </is>
      </c>
      <c r="E167" t="inlineStr">
        <is>
          <t>ÖSTHAMMAR</t>
        </is>
      </c>
      <c r="G167" t="n">
        <v>3.2</v>
      </c>
      <c r="H167" t="n">
        <v>0</v>
      </c>
      <c r="I167" t="n">
        <v>0</v>
      </c>
      <c r="J167" t="n">
        <v>1</v>
      </c>
      <c r="K167" t="n">
        <v>0</v>
      </c>
      <c r="L167" t="n">
        <v>0</v>
      </c>
      <c r="M167" t="n">
        <v>0</v>
      </c>
      <c r="N167" t="n">
        <v>0</v>
      </c>
      <c r="O167" t="n">
        <v>1</v>
      </c>
      <c r="P167" t="n">
        <v>0</v>
      </c>
      <c r="Q167" t="n">
        <v>1</v>
      </c>
      <c r="R167" s="2" t="inlineStr">
        <is>
          <t>Grantaggsvamp</t>
        </is>
      </c>
      <c r="S167">
        <f>HYPERLINK("https://klasma.github.io/Logging_0382/artfynd/A 25179-2023 artfynd.xlsx", "A 25179-2023")</f>
        <v/>
      </c>
      <c r="T167">
        <f>HYPERLINK("https://klasma.github.io/Logging_0382/kartor/A 25179-2023 karta.png", "A 25179-2023")</f>
        <v/>
      </c>
      <c r="V167">
        <f>HYPERLINK("https://klasma.github.io/Logging_0382/klagomål/A 25179-2023 FSC-klagomål.docx", "A 25179-2023")</f>
        <v/>
      </c>
      <c r="W167">
        <f>HYPERLINK("https://klasma.github.io/Logging_0382/klagomålsmail/A 25179-2023 FSC-klagomål mail.docx", "A 25179-2023")</f>
        <v/>
      </c>
      <c r="X167">
        <f>HYPERLINK("https://klasma.github.io/Logging_0382/tillsyn/A 25179-2023 tillsynsbegäran.docx", "A 25179-2023")</f>
        <v/>
      </c>
      <c r="Y167">
        <f>HYPERLINK("https://klasma.github.io/Logging_0382/tillsynsmail/A 25179-2023 tillsynsbegäran mail.docx", "A 25179-2023")</f>
        <v/>
      </c>
    </row>
    <row r="168" ht="15" customHeight="1">
      <c r="A168" t="inlineStr">
        <is>
          <t>A 26896-2023</t>
        </is>
      </c>
      <c r="B168" s="1" t="n">
        <v>45093</v>
      </c>
      <c r="C168" s="1" t="n">
        <v>45807</v>
      </c>
      <c r="D168" t="inlineStr">
        <is>
          <t>UPPSALA LÄN</t>
        </is>
      </c>
      <c r="E168" t="inlineStr">
        <is>
          <t>ÖSTHAMMAR</t>
        </is>
      </c>
      <c r="G168" t="n">
        <v>3.2</v>
      </c>
      <c r="H168" t="n">
        <v>0</v>
      </c>
      <c r="I168" t="n">
        <v>1</v>
      </c>
      <c r="J168" t="n">
        <v>0</v>
      </c>
      <c r="K168" t="n">
        <v>0</v>
      </c>
      <c r="L168" t="n">
        <v>0</v>
      </c>
      <c r="M168" t="n">
        <v>0</v>
      </c>
      <c r="N168" t="n">
        <v>0</v>
      </c>
      <c r="O168" t="n">
        <v>0</v>
      </c>
      <c r="P168" t="n">
        <v>0</v>
      </c>
      <c r="Q168" t="n">
        <v>1</v>
      </c>
      <c r="R168" s="2" t="inlineStr">
        <is>
          <t>Mörk husmossa</t>
        </is>
      </c>
      <c r="S168">
        <f>HYPERLINK("https://klasma.github.io/Logging_0382/artfynd/A 26896-2023 artfynd.xlsx", "A 26896-2023")</f>
        <v/>
      </c>
      <c r="T168">
        <f>HYPERLINK("https://klasma.github.io/Logging_0382/kartor/A 26896-2023 karta.png", "A 26896-2023")</f>
        <v/>
      </c>
      <c r="V168">
        <f>HYPERLINK("https://klasma.github.io/Logging_0382/klagomål/A 26896-2023 FSC-klagomål.docx", "A 26896-2023")</f>
        <v/>
      </c>
      <c r="W168">
        <f>HYPERLINK("https://klasma.github.io/Logging_0382/klagomålsmail/A 26896-2023 FSC-klagomål mail.docx", "A 26896-2023")</f>
        <v/>
      </c>
      <c r="X168">
        <f>HYPERLINK("https://klasma.github.io/Logging_0382/tillsyn/A 26896-2023 tillsynsbegäran.docx", "A 26896-2023")</f>
        <v/>
      </c>
      <c r="Y168">
        <f>HYPERLINK("https://klasma.github.io/Logging_0382/tillsynsmail/A 26896-2023 tillsynsbegäran mail.docx", "A 26896-2023")</f>
        <v/>
      </c>
    </row>
    <row r="169" ht="15" customHeight="1">
      <c r="A169" t="inlineStr">
        <is>
          <t>A 29564-2023</t>
        </is>
      </c>
      <c r="B169" s="1" t="n">
        <v>45106</v>
      </c>
      <c r="C169" s="1" t="n">
        <v>45807</v>
      </c>
      <c r="D169" t="inlineStr">
        <is>
          <t>UPPSALA LÄN</t>
        </is>
      </c>
      <c r="E169" t="inlineStr">
        <is>
          <t>ÖSTHAMMAR</t>
        </is>
      </c>
      <c r="F169" t="inlineStr">
        <is>
          <t>Naturvårdsverket</t>
        </is>
      </c>
      <c r="G169" t="n">
        <v>1.2</v>
      </c>
      <c r="H169" t="n">
        <v>1</v>
      </c>
      <c r="I169" t="n">
        <v>0</v>
      </c>
      <c r="J169" t="n">
        <v>0</v>
      </c>
      <c r="K169" t="n">
        <v>0</v>
      </c>
      <c r="L169" t="n">
        <v>0</v>
      </c>
      <c r="M169" t="n">
        <v>0</v>
      </c>
      <c r="N169" t="n">
        <v>0</v>
      </c>
      <c r="O169" t="n">
        <v>0</v>
      </c>
      <c r="P169" t="n">
        <v>0</v>
      </c>
      <c r="Q169" t="n">
        <v>1</v>
      </c>
      <c r="R169" s="2" t="inlineStr">
        <is>
          <t>Blåsippa</t>
        </is>
      </c>
      <c r="S169">
        <f>HYPERLINK("https://klasma.github.io/Logging_0382/artfynd/A 29564-2023 artfynd.xlsx", "A 29564-2023")</f>
        <v/>
      </c>
      <c r="T169">
        <f>HYPERLINK("https://klasma.github.io/Logging_0382/kartor/A 29564-2023 karta.png", "A 29564-2023")</f>
        <v/>
      </c>
      <c r="V169">
        <f>HYPERLINK("https://klasma.github.io/Logging_0382/klagomål/A 29564-2023 FSC-klagomål.docx", "A 29564-2023")</f>
        <v/>
      </c>
      <c r="W169">
        <f>HYPERLINK("https://klasma.github.io/Logging_0382/klagomålsmail/A 29564-2023 FSC-klagomål mail.docx", "A 29564-2023")</f>
        <v/>
      </c>
      <c r="X169">
        <f>HYPERLINK("https://klasma.github.io/Logging_0382/tillsyn/A 29564-2023 tillsynsbegäran.docx", "A 29564-2023")</f>
        <v/>
      </c>
      <c r="Y169">
        <f>HYPERLINK("https://klasma.github.io/Logging_0382/tillsynsmail/A 29564-2023 tillsynsbegäran mail.docx", "A 29564-2023")</f>
        <v/>
      </c>
    </row>
    <row r="170" ht="15" customHeight="1">
      <c r="A170" t="inlineStr">
        <is>
          <t>A 29679-2023</t>
        </is>
      </c>
      <c r="B170" s="1" t="n">
        <v>45107</v>
      </c>
      <c r="C170" s="1" t="n">
        <v>45807</v>
      </c>
      <c r="D170" t="inlineStr">
        <is>
          <t>UPPSALA LÄN</t>
        </is>
      </c>
      <c r="E170" t="inlineStr">
        <is>
          <t>ÖSTHAMMAR</t>
        </is>
      </c>
      <c r="F170" t="inlineStr">
        <is>
          <t>Övriga Aktiebolag</t>
        </is>
      </c>
      <c r="G170" t="n">
        <v>7.3</v>
      </c>
      <c r="H170" t="n">
        <v>0</v>
      </c>
      <c r="I170" t="n">
        <v>0</v>
      </c>
      <c r="J170" t="n">
        <v>1</v>
      </c>
      <c r="K170" t="n">
        <v>0</v>
      </c>
      <c r="L170" t="n">
        <v>0</v>
      </c>
      <c r="M170" t="n">
        <v>0</v>
      </c>
      <c r="N170" t="n">
        <v>0</v>
      </c>
      <c r="O170" t="n">
        <v>1</v>
      </c>
      <c r="P170" t="n">
        <v>0</v>
      </c>
      <c r="Q170" t="n">
        <v>1</v>
      </c>
      <c r="R170" s="2" t="inlineStr">
        <is>
          <t>Vintertagging</t>
        </is>
      </c>
      <c r="S170">
        <f>HYPERLINK("https://klasma.github.io/Logging_0382/artfynd/A 29679-2023 artfynd.xlsx", "A 29679-2023")</f>
        <v/>
      </c>
      <c r="T170">
        <f>HYPERLINK("https://klasma.github.io/Logging_0382/kartor/A 29679-2023 karta.png", "A 29679-2023")</f>
        <v/>
      </c>
      <c r="V170">
        <f>HYPERLINK("https://klasma.github.io/Logging_0382/klagomål/A 29679-2023 FSC-klagomål.docx", "A 29679-2023")</f>
        <v/>
      </c>
      <c r="W170">
        <f>HYPERLINK("https://klasma.github.io/Logging_0382/klagomålsmail/A 29679-2023 FSC-klagomål mail.docx", "A 29679-2023")</f>
        <v/>
      </c>
      <c r="X170">
        <f>HYPERLINK("https://klasma.github.io/Logging_0382/tillsyn/A 29679-2023 tillsynsbegäran.docx", "A 29679-2023")</f>
        <v/>
      </c>
      <c r="Y170">
        <f>HYPERLINK("https://klasma.github.io/Logging_0382/tillsynsmail/A 29679-2023 tillsynsbegäran mail.docx", "A 29679-2023")</f>
        <v/>
      </c>
    </row>
    <row r="171" ht="15" customHeight="1">
      <c r="A171" t="inlineStr">
        <is>
          <t>A 32518-2023</t>
        </is>
      </c>
      <c r="B171" s="1" t="n">
        <v>45121</v>
      </c>
      <c r="C171" s="1" t="n">
        <v>45807</v>
      </c>
      <c r="D171" t="inlineStr">
        <is>
          <t>UPPSALA LÄN</t>
        </is>
      </c>
      <c r="E171" t="inlineStr">
        <is>
          <t>ÖSTHAMMAR</t>
        </is>
      </c>
      <c r="G171" t="n">
        <v>11.1</v>
      </c>
      <c r="H171" t="n">
        <v>0</v>
      </c>
      <c r="I171" t="n">
        <v>1</v>
      </c>
      <c r="J171" t="n">
        <v>0</v>
      </c>
      <c r="K171" t="n">
        <v>0</v>
      </c>
      <c r="L171" t="n">
        <v>0</v>
      </c>
      <c r="M171" t="n">
        <v>0</v>
      </c>
      <c r="N171" t="n">
        <v>0</v>
      </c>
      <c r="O171" t="n">
        <v>0</v>
      </c>
      <c r="P171" t="n">
        <v>0</v>
      </c>
      <c r="Q171" t="n">
        <v>1</v>
      </c>
      <c r="R171" s="2" t="inlineStr">
        <is>
          <t>Olivspindling</t>
        </is>
      </c>
      <c r="S171">
        <f>HYPERLINK("https://klasma.github.io/Logging_0382/artfynd/A 32518-2023 artfynd.xlsx", "A 32518-2023")</f>
        <v/>
      </c>
      <c r="T171">
        <f>HYPERLINK("https://klasma.github.io/Logging_0382/kartor/A 32518-2023 karta.png", "A 32518-2023")</f>
        <v/>
      </c>
      <c r="V171">
        <f>HYPERLINK("https://klasma.github.io/Logging_0382/klagomål/A 32518-2023 FSC-klagomål.docx", "A 32518-2023")</f>
        <v/>
      </c>
      <c r="W171">
        <f>HYPERLINK("https://klasma.github.io/Logging_0382/klagomålsmail/A 32518-2023 FSC-klagomål mail.docx", "A 32518-2023")</f>
        <v/>
      </c>
      <c r="X171">
        <f>HYPERLINK("https://klasma.github.io/Logging_0382/tillsyn/A 32518-2023 tillsynsbegäran.docx", "A 32518-2023")</f>
        <v/>
      </c>
      <c r="Y171">
        <f>HYPERLINK("https://klasma.github.io/Logging_0382/tillsynsmail/A 32518-2023 tillsynsbegäran mail.docx", "A 32518-2023")</f>
        <v/>
      </c>
    </row>
    <row r="172" ht="15" customHeight="1">
      <c r="A172" t="inlineStr">
        <is>
          <t>A 34090-2023</t>
        </is>
      </c>
      <c r="B172" s="1" t="n">
        <v>45135</v>
      </c>
      <c r="C172" s="1" t="n">
        <v>45807</v>
      </c>
      <c r="D172" t="inlineStr">
        <is>
          <t>UPPSALA LÄN</t>
        </is>
      </c>
      <c r="E172" t="inlineStr">
        <is>
          <t>ÖSTHAMMAR</t>
        </is>
      </c>
      <c r="F172" t="inlineStr">
        <is>
          <t>Bergvik skog öst AB</t>
        </is>
      </c>
      <c r="G172" t="n">
        <v>5.7</v>
      </c>
      <c r="H172" t="n">
        <v>1</v>
      </c>
      <c r="I172" t="n">
        <v>0</v>
      </c>
      <c r="J172" t="n">
        <v>1</v>
      </c>
      <c r="K172" t="n">
        <v>0</v>
      </c>
      <c r="L172" t="n">
        <v>0</v>
      </c>
      <c r="M172" t="n">
        <v>0</v>
      </c>
      <c r="N172" t="n">
        <v>0</v>
      </c>
      <c r="O172" t="n">
        <v>1</v>
      </c>
      <c r="P172" t="n">
        <v>0</v>
      </c>
      <c r="Q172" t="n">
        <v>1</v>
      </c>
      <c r="R172" s="2" t="inlineStr">
        <is>
          <t>Spillkråka</t>
        </is>
      </c>
      <c r="S172">
        <f>HYPERLINK("https://klasma.github.io/Logging_0382/artfynd/A 34090-2023 artfynd.xlsx", "A 34090-2023")</f>
        <v/>
      </c>
      <c r="T172">
        <f>HYPERLINK("https://klasma.github.io/Logging_0382/kartor/A 34090-2023 karta.png", "A 34090-2023")</f>
        <v/>
      </c>
      <c r="V172">
        <f>HYPERLINK("https://klasma.github.io/Logging_0382/klagomål/A 34090-2023 FSC-klagomål.docx", "A 34090-2023")</f>
        <v/>
      </c>
      <c r="W172">
        <f>HYPERLINK("https://klasma.github.io/Logging_0382/klagomålsmail/A 34090-2023 FSC-klagomål mail.docx", "A 34090-2023")</f>
        <v/>
      </c>
      <c r="X172">
        <f>HYPERLINK("https://klasma.github.io/Logging_0382/tillsyn/A 34090-2023 tillsynsbegäran.docx", "A 34090-2023")</f>
        <v/>
      </c>
      <c r="Y172">
        <f>HYPERLINK("https://klasma.github.io/Logging_0382/tillsynsmail/A 34090-2023 tillsynsbegäran mail.docx", "A 34090-2023")</f>
        <v/>
      </c>
      <c r="Z172">
        <f>HYPERLINK("https://klasma.github.io/Logging_0382/fåglar/A 34090-2023 prioriterade fågelarter.docx", "A 34090-2023")</f>
        <v/>
      </c>
    </row>
    <row r="173" ht="15" customHeight="1">
      <c r="A173" t="inlineStr">
        <is>
          <t>A 36864-2023</t>
        </is>
      </c>
      <c r="B173" s="1" t="n">
        <v>45154</v>
      </c>
      <c r="C173" s="1" t="n">
        <v>45807</v>
      </c>
      <c r="D173" t="inlineStr">
        <is>
          <t>UPPSALA LÄN</t>
        </is>
      </c>
      <c r="E173" t="inlineStr">
        <is>
          <t>ÖSTHAMMAR</t>
        </is>
      </c>
      <c r="G173" t="n">
        <v>3.1</v>
      </c>
      <c r="H173" t="n">
        <v>0</v>
      </c>
      <c r="I173" t="n">
        <v>1</v>
      </c>
      <c r="J173" t="n">
        <v>0</v>
      </c>
      <c r="K173" t="n">
        <v>0</v>
      </c>
      <c r="L173" t="n">
        <v>0</v>
      </c>
      <c r="M173" t="n">
        <v>0</v>
      </c>
      <c r="N173" t="n">
        <v>0</v>
      </c>
      <c r="O173" t="n">
        <v>0</v>
      </c>
      <c r="P173" t="n">
        <v>0</v>
      </c>
      <c r="Q173" t="n">
        <v>1</v>
      </c>
      <c r="R173" s="2" t="inlineStr">
        <is>
          <t>Bronshjon</t>
        </is>
      </c>
      <c r="S173">
        <f>HYPERLINK("https://klasma.github.io/Logging_0382/artfynd/A 36864-2023 artfynd.xlsx", "A 36864-2023")</f>
        <v/>
      </c>
      <c r="T173">
        <f>HYPERLINK("https://klasma.github.io/Logging_0382/kartor/A 36864-2023 karta.png", "A 36864-2023")</f>
        <v/>
      </c>
      <c r="V173">
        <f>HYPERLINK("https://klasma.github.io/Logging_0382/klagomål/A 36864-2023 FSC-klagomål.docx", "A 36864-2023")</f>
        <v/>
      </c>
      <c r="W173">
        <f>HYPERLINK("https://klasma.github.io/Logging_0382/klagomålsmail/A 36864-2023 FSC-klagomål mail.docx", "A 36864-2023")</f>
        <v/>
      </c>
      <c r="X173">
        <f>HYPERLINK("https://klasma.github.io/Logging_0382/tillsyn/A 36864-2023 tillsynsbegäran.docx", "A 36864-2023")</f>
        <v/>
      </c>
      <c r="Y173">
        <f>HYPERLINK("https://klasma.github.io/Logging_0382/tillsynsmail/A 36864-2023 tillsynsbegäran mail.docx", "A 36864-2023")</f>
        <v/>
      </c>
    </row>
    <row r="174" ht="15" customHeight="1">
      <c r="A174" t="inlineStr">
        <is>
          <t>A 37296-2023</t>
        </is>
      </c>
      <c r="B174" s="1" t="n">
        <v>45156</v>
      </c>
      <c r="C174" s="1" t="n">
        <v>45807</v>
      </c>
      <c r="D174" t="inlineStr">
        <is>
          <t>UPPSALA LÄN</t>
        </is>
      </c>
      <c r="E174" t="inlineStr">
        <is>
          <t>ÖSTHAMMAR</t>
        </is>
      </c>
      <c r="G174" t="n">
        <v>4.7</v>
      </c>
      <c r="H174" t="n">
        <v>1</v>
      </c>
      <c r="I174" t="n">
        <v>0</v>
      </c>
      <c r="J174" t="n">
        <v>0</v>
      </c>
      <c r="K174" t="n">
        <v>1</v>
      </c>
      <c r="L174" t="n">
        <v>0</v>
      </c>
      <c r="M174" t="n">
        <v>0</v>
      </c>
      <c r="N174" t="n">
        <v>0</v>
      </c>
      <c r="O174" t="n">
        <v>1</v>
      </c>
      <c r="P174" t="n">
        <v>1</v>
      </c>
      <c r="Q174" t="n">
        <v>1</v>
      </c>
      <c r="R174" s="2" t="inlineStr">
        <is>
          <t>Backsippa</t>
        </is>
      </c>
      <c r="S174">
        <f>HYPERLINK("https://klasma.github.io/Logging_0382/artfynd/A 37296-2023 artfynd.xlsx", "A 37296-2023")</f>
        <v/>
      </c>
      <c r="T174">
        <f>HYPERLINK("https://klasma.github.io/Logging_0382/kartor/A 37296-2023 karta.png", "A 37296-2023")</f>
        <v/>
      </c>
      <c r="V174">
        <f>HYPERLINK("https://klasma.github.io/Logging_0382/klagomål/A 37296-2023 FSC-klagomål.docx", "A 37296-2023")</f>
        <v/>
      </c>
      <c r="W174">
        <f>HYPERLINK("https://klasma.github.io/Logging_0382/klagomålsmail/A 37296-2023 FSC-klagomål mail.docx", "A 37296-2023")</f>
        <v/>
      </c>
      <c r="X174">
        <f>HYPERLINK("https://klasma.github.io/Logging_0382/tillsyn/A 37296-2023 tillsynsbegäran.docx", "A 37296-2023")</f>
        <v/>
      </c>
      <c r="Y174">
        <f>HYPERLINK("https://klasma.github.io/Logging_0382/tillsynsmail/A 37296-2023 tillsynsbegäran mail.docx", "A 37296-2023")</f>
        <v/>
      </c>
    </row>
    <row r="175" ht="15" customHeight="1">
      <c r="A175" t="inlineStr">
        <is>
          <t>A 53706-2023</t>
        </is>
      </c>
      <c r="B175" s="1" t="n">
        <v>45230</v>
      </c>
      <c r="C175" s="1" t="n">
        <v>45807</v>
      </c>
      <c r="D175" t="inlineStr">
        <is>
          <t>UPPSALA LÄN</t>
        </is>
      </c>
      <c r="E175" t="inlineStr">
        <is>
          <t>ÖSTHAMMAR</t>
        </is>
      </c>
      <c r="G175" t="n">
        <v>2.9</v>
      </c>
      <c r="H175" t="n">
        <v>0</v>
      </c>
      <c r="I175" t="n">
        <v>1</v>
      </c>
      <c r="J175" t="n">
        <v>0</v>
      </c>
      <c r="K175" t="n">
        <v>0</v>
      </c>
      <c r="L175" t="n">
        <v>0</v>
      </c>
      <c r="M175" t="n">
        <v>0</v>
      </c>
      <c r="N175" t="n">
        <v>0</v>
      </c>
      <c r="O175" t="n">
        <v>0</v>
      </c>
      <c r="P175" t="n">
        <v>0</v>
      </c>
      <c r="Q175" t="n">
        <v>1</v>
      </c>
      <c r="R175" s="2" t="inlineStr">
        <is>
          <t>Dofttråding</t>
        </is>
      </c>
      <c r="S175">
        <f>HYPERLINK("https://klasma.github.io/Logging_0382/artfynd/A 53706-2023 artfynd.xlsx", "A 53706-2023")</f>
        <v/>
      </c>
      <c r="T175">
        <f>HYPERLINK("https://klasma.github.io/Logging_0382/kartor/A 53706-2023 karta.png", "A 53706-2023")</f>
        <v/>
      </c>
      <c r="V175">
        <f>HYPERLINK("https://klasma.github.io/Logging_0382/klagomål/A 53706-2023 FSC-klagomål.docx", "A 53706-2023")</f>
        <v/>
      </c>
      <c r="W175">
        <f>HYPERLINK("https://klasma.github.io/Logging_0382/klagomålsmail/A 53706-2023 FSC-klagomål mail.docx", "A 53706-2023")</f>
        <v/>
      </c>
      <c r="X175">
        <f>HYPERLINK("https://klasma.github.io/Logging_0382/tillsyn/A 53706-2023 tillsynsbegäran.docx", "A 53706-2023")</f>
        <v/>
      </c>
      <c r="Y175">
        <f>HYPERLINK("https://klasma.github.io/Logging_0382/tillsynsmail/A 53706-2023 tillsynsbegäran mail.docx", "A 53706-2023")</f>
        <v/>
      </c>
    </row>
    <row r="176" ht="15" customHeight="1">
      <c r="A176" t="inlineStr">
        <is>
          <t>A 53729-2023</t>
        </is>
      </c>
      <c r="B176" s="1" t="n">
        <v>45230</v>
      </c>
      <c r="C176" s="1" t="n">
        <v>45807</v>
      </c>
      <c r="D176" t="inlineStr">
        <is>
          <t>UPPSALA LÄN</t>
        </is>
      </c>
      <c r="E176" t="inlineStr">
        <is>
          <t>ÖSTHAMMAR</t>
        </is>
      </c>
      <c r="G176" t="n">
        <v>2.6</v>
      </c>
      <c r="H176" t="n">
        <v>1</v>
      </c>
      <c r="I176" t="n">
        <v>0</v>
      </c>
      <c r="J176" t="n">
        <v>0</v>
      </c>
      <c r="K176" t="n">
        <v>0</v>
      </c>
      <c r="L176" t="n">
        <v>0</v>
      </c>
      <c r="M176" t="n">
        <v>0</v>
      </c>
      <c r="N176" t="n">
        <v>0</v>
      </c>
      <c r="O176" t="n">
        <v>0</v>
      </c>
      <c r="P176" t="n">
        <v>0</v>
      </c>
      <c r="Q176" t="n">
        <v>1</v>
      </c>
      <c r="R176" s="2" t="inlineStr">
        <is>
          <t>Gullviva</t>
        </is>
      </c>
      <c r="S176">
        <f>HYPERLINK("https://klasma.github.io/Logging_0382/artfynd/A 53729-2023 artfynd.xlsx", "A 53729-2023")</f>
        <v/>
      </c>
      <c r="T176">
        <f>HYPERLINK("https://klasma.github.io/Logging_0382/kartor/A 53729-2023 karta.png", "A 53729-2023")</f>
        <v/>
      </c>
      <c r="V176">
        <f>HYPERLINK("https://klasma.github.io/Logging_0382/klagomål/A 53729-2023 FSC-klagomål.docx", "A 53729-2023")</f>
        <v/>
      </c>
      <c r="W176">
        <f>HYPERLINK("https://klasma.github.io/Logging_0382/klagomålsmail/A 53729-2023 FSC-klagomål mail.docx", "A 53729-2023")</f>
        <v/>
      </c>
      <c r="X176">
        <f>HYPERLINK("https://klasma.github.io/Logging_0382/tillsyn/A 53729-2023 tillsynsbegäran.docx", "A 53729-2023")</f>
        <v/>
      </c>
      <c r="Y176">
        <f>HYPERLINK("https://klasma.github.io/Logging_0382/tillsynsmail/A 53729-2023 tillsynsbegäran mail.docx", "A 53729-2023")</f>
        <v/>
      </c>
    </row>
    <row r="177" ht="15" customHeight="1">
      <c r="A177" t="inlineStr">
        <is>
          <t>A 55492-2023</t>
        </is>
      </c>
      <c r="B177" s="1" t="n">
        <v>45238</v>
      </c>
      <c r="C177" s="1" t="n">
        <v>45807</v>
      </c>
      <c r="D177" t="inlineStr">
        <is>
          <t>UPPSALA LÄN</t>
        </is>
      </c>
      <c r="E177" t="inlineStr">
        <is>
          <t>ÖSTHAMMAR</t>
        </is>
      </c>
      <c r="G177" t="n">
        <v>3.1</v>
      </c>
      <c r="H177" t="n">
        <v>0</v>
      </c>
      <c r="I177" t="n">
        <v>0</v>
      </c>
      <c r="J177" t="n">
        <v>0</v>
      </c>
      <c r="K177" t="n">
        <v>1</v>
      </c>
      <c r="L177" t="n">
        <v>0</v>
      </c>
      <c r="M177" t="n">
        <v>0</v>
      </c>
      <c r="N177" t="n">
        <v>0</v>
      </c>
      <c r="O177" t="n">
        <v>1</v>
      </c>
      <c r="P177" t="n">
        <v>1</v>
      </c>
      <c r="Q177" t="n">
        <v>1</v>
      </c>
      <c r="R177" s="2" t="inlineStr">
        <is>
          <t>Violgubbe</t>
        </is>
      </c>
      <c r="S177">
        <f>HYPERLINK("https://klasma.github.io/Logging_0382/artfynd/A 55492-2023 artfynd.xlsx", "A 55492-2023")</f>
        <v/>
      </c>
      <c r="T177">
        <f>HYPERLINK("https://klasma.github.io/Logging_0382/kartor/A 55492-2023 karta.png", "A 55492-2023")</f>
        <v/>
      </c>
      <c r="V177">
        <f>HYPERLINK("https://klasma.github.io/Logging_0382/klagomål/A 55492-2023 FSC-klagomål.docx", "A 55492-2023")</f>
        <v/>
      </c>
      <c r="W177">
        <f>HYPERLINK("https://klasma.github.io/Logging_0382/klagomålsmail/A 55492-2023 FSC-klagomål mail.docx", "A 55492-2023")</f>
        <v/>
      </c>
      <c r="X177">
        <f>HYPERLINK("https://klasma.github.io/Logging_0382/tillsyn/A 55492-2023 tillsynsbegäran.docx", "A 55492-2023")</f>
        <v/>
      </c>
      <c r="Y177">
        <f>HYPERLINK("https://klasma.github.io/Logging_0382/tillsynsmail/A 55492-2023 tillsynsbegäran mail.docx", "A 55492-2023")</f>
        <v/>
      </c>
    </row>
    <row r="178" ht="15" customHeight="1">
      <c r="A178" t="inlineStr">
        <is>
          <t>A 57598-2023</t>
        </is>
      </c>
      <c r="B178" s="1" t="n">
        <v>45246</v>
      </c>
      <c r="C178" s="1" t="n">
        <v>45807</v>
      </c>
      <c r="D178" t="inlineStr">
        <is>
          <t>UPPSALA LÄN</t>
        </is>
      </c>
      <c r="E178" t="inlineStr">
        <is>
          <t>ÖSTHAMMAR</t>
        </is>
      </c>
      <c r="F178" t="inlineStr">
        <is>
          <t>Bergvik skog öst AB</t>
        </is>
      </c>
      <c r="G178" t="n">
        <v>1</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57598-2023 artfynd.xlsx", "A 57598-2023")</f>
        <v/>
      </c>
      <c r="T178">
        <f>HYPERLINK("https://klasma.github.io/Logging_0382/kartor/A 57598-2023 karta.png", "A 57598-2023")</f>
        <v/>
      </c>
      <c r="V178">
        <f>HYPERLINK("https://klasma.github.io/Logging_0382/klagomål/A 57598-2023 FSC-klagomål.docx", "A 57598-2023")</f>
        <v/>
      </c>
      <c r="W178">
        <f>HYPERLINK("https://klasma.github.io/Logging_0382/klagomålsmail/A 57598-2023 FSC-klagomål mail.docx", "A 57598-2023")</f>
        <v/>
      </c>
      <c r="X178">
        <f>HYPERLINK("https://klasma.github.io/Logging_0382/tillsyn/A 57598-2023 tillsynsbegäran.docx", "A 57598-2023")</f>
        <v/>
      </c>
      <c r="Y178">
        <f>HYPERLINK("https://klasma.github.io/Logging_0382/tillsynsmail/A 57598-2023 tillsynsbegäran mail.docx", "A 57598-2023")</f>
        <v/>
      </c>
    </row>
    <row r="179" ht="15" customHeight="1">
      <c r="A179" t="inlineStr">
        <is>
          <t>A 57607-2023</t>
        </is>
      </c>
      <c r="B179" s="1" t="n">
        <v>45246</v>
      </c>
      <c r="C179" s="1" t="n">
        <v>45807</v>
      </c>
      <c r="D179" t="inlineStr">
        <is>
          <t>UPPSALA LÄN</t>
        </is>
      </c>
      <c r="E179" t="inlineStr">
        <is>
          <t>ÖSTHAMMAR</t>
        </is>
      </c>
      <c r="F179" t="inlineStr">
        <is>
          <t>Bergvik skog öst AB</t>
        </is>
      </c>
      <c r="G179" t="n">
        <v>5.8</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57607-2023 artfynd.xlsx", "A 57607-2023")</f>
        <v/>
      </c>
      <c r="T179">
        <f>HYPERLINK("https://klasma.github.io/Logging_0382/kartor/A 57607-2023 karta.png", "A 57607-2023")</f>
        <v/>
      </c>
      <c r="V179">
        <f>HYPERLINK("https://klasma.github.io/Logging_0382/klagomål/A 57607-2023 FSC-klagomål.docx", "A 57607-2023")</f>
        <v/>
      </c>
      <c r="W179">
        <f>HYPERLINK("https://klasma.github.io/Logging_0382/klagomålsmail/A 57607-2023 FSC-klagomål mail.docx", "A 57607-2023")</f>
        <v/>
      </c>
      <c r="X179">
        <f>HYPERLINK("https://klasma.github.io/Logging_0382/tillsyn/A 57607-2023 tillsynsbegäran.docx", "A 57607-2023")</f>
        <v/>
      </c>
      <c r="Y179">
        <f>HYPERLINK("https://klasma.github.io/Logging_0382/tillsynsmail/A 57607-2023 tillsynsbegäran mail.docx", "A 57607-2023")</f>
        <v/>
      </c>
    </row>
    <row r="180" ht="15" customHeight="1">
      <c r="A180" t="inlineStr">
        <is>
          <t>A 57640-2023</t>
        </is>
      </c>
      <c r="B180" s="1" t="n">
        <v>45246</v>
      </c>
      <c r="C180" s="1" t="n">
        <v>45807</v>
      </c>
      <c r="D180" t="inlineStr">
        <is>
          <t>UPPSALA LÄN</t>
        </is>
      </c>
      <c r="E180" t="inlineStr">
        <is>
          <t>ÖSTHAMMAR</t>
        </is>
      </c>
      <c r="F180" t="inlineStr">
        <is>
          <t>Bergvik skog öst AB</t>
        </is>
      </c>
      <c r="G180" t="n">
        <v>2.3</v>
      </c>
      <c r="H180" t="n">
        <v>0</v>
      </c>
      <c r="I180" t="n">
        <v>1</v>
      </c>
      <c r="J180" t="n">
        <v>0</v>
      </c>
      <c r="K180" t="n">
        <v>0</v>
      </c>
      <c r="L180" t="n">
        <v>0</v>
      </c>
      <c r="M180" t="n">
        <v>0</v>
      </c>
      <c r="N180" t="n">
        <v>0</v>
      </c>
      <c r="O180" t="n">
        <v>0</v>
      </c>
      <c r="P180" t="n">
        <v>0</v>
      </c>
      <c r="Q180" t="n">
        <v>1</v>
      </c>
      <c r="R180" s="2" t="inlineStr">
        <is>
          <t>Svavelriska</t>
        </is>
      </c>
      <c r="S180">
        <f>HYPERLINK("https://klasma.github.io/Logging_0382/artfynd/A 57640-2023 artfynd.xlsx", "A 57640-2023")</f>
        <v/>
      </c>
      <c r="T180">
        <f>HYPERLINK("https://klasma.github.io/Logging_0382/kartor/A 57640-2023 karta.png", "A 57640-2023")</f>
        <v/>
      </c>
      <c r="V180">
        <f>HYPERLINK("https://klasma.github.io/Logging_0382/klagomål/A 57640-2023 FSC-klagomål.docx", "A 57640-2023")</f>
        <v/>
      </c>
      <c r="W180">
        <f>HYPERLINK("https://klasma.github.io/Logging_0382/klagomålsmail/A 57640-2023 FSC-klagomål mail.docx", "A 57640-2023")</f>
        <v/>
      </c>
      <c r="X180">
        <f>HYPERLINK("https://klasma.github.io/Logging_0382/tillsyn/A 57640-2023 tillsynsbegäran.docx", "A 57640-2023")</f>
        <v/>
      </c>
      <c r="Y180">
        <f>HYPERLINK("https://klasma.github.io/Logging_0382/tillsynsmail/A 57640-2023 tillsynsbegäran mail.docx", "A 57640-2023")</f>
        <v/>
      </c>
    </row>
    <row r="181" ht="15" customHeight="1">
      <c r="A181" t="inlineStr">
        <is>
          <t>A 4048-2024</t>
        </is>
      </c>
      <c r="B181" s="1" t="n">
        <v>45323</v>
      </c>
      <c r="C181" s="1" t="n">
        <v>45807</v>
      </c>
      <c r="D181" t="inlineStr">
        <is>
          <t>UPPSALA LÄN</t>
        </is>
      </c>
      <c r="E181" t="inlineStr">
        <is>
          <t>ÖSTHAMMAR</t>
        </is>
      </c>
      <c r="F181" t="inlineStr">
        <is>
          <t>Övriga Aktiebolag</t>
        </is>
      </c>
      <c r="G181" t="n">
        <v>21.2</v>
      </c>
      <c r="H181" t="n">
        <v>0</v>
      </c>
      <c r="I181" t="n">
        <v>0</v>
      </c>
      <c r="J181" t="n">
        <v>1</v>
      </c>
      <c r="K181" t="n">
        <v>0</v>
      </c>
      <c r="L181" t="n">
        <v>0</v>
      </c>
      <c r="M181" t="n">
        <v>0</v>
      </c>
      <c r="N181" t="n">
        <v>0</v>
      </c>
      <c r="O181" t="n">
        <v>1</v>
      </c>
      <c r="P181" t="n">
        <v>0</v>
      </c>
      <c r="Q181" t="n">
        <v>1</v>
      </c>
      <c r="R181" s="2" t="inlineStr">
        <is>
          <t>Slåtterfibbla</t>
        </is>
      </c>
      <c r="S181">
        <f>HYPERLINK("https://klasma.github.io/Logging_0382/artfynd/A 4048-2024 artfynd.xlsx", "A 4048-2024")</f>
        <v/>
      </c>
      <c r="T181">
        <f>HYPERLINK("https://klasma.github.io/Logging_0382/kartor/A 4048-2024 karta.png", "A 4048-2024")</f>
        <v/>
      </c>
      <c r="V181">
        <f>HYPERLINK("https://klasma.github.io/Logging_0382/klagomål/A 4048-2024 FSC-klagomål.docx", "A 4048-2024")</f>
        <v/>
      </c>
      <c r="W181">
        <f>HYPERLINK("https://klasma.github.io/Logging_0382/klagomålsmail/A 4048-2024 FSC-klagomål mail.docx", "A 4048-2024")</f>
        <v/>
      </c>
      <c r="X181">
        <f>HYPERLINK("https://klasma.github.io/Logging_0382/tillsyn/A 4048-2024 tillsynsbegäran.docx", "A 4048-2024")</f>
        <v/>
      </c>
      <c r="Y181">
        <f>HYPERLINK("https://klasma.github.io/Logging_0382/tillsynsmail/A 4048-2024 tillsynsbegäran mail.docx", "A 4048-2024")</f>
        <v/>
      </c>
    </row>
    <row r="182" ht="15" customHeight="1">
      <c r="A182" t="inlineStr">
        <is>
          <t>A 10210-2024</t>
        </is>
      </c>
      <c r="B182" s="1" t="n">
        <v>45364</v>
      </c>
      <c r="C182" s="1" t="n">
        <v>45807</v>
      </c>
      <c r="D182" t="inlineStr">
        <is>
          <t>UPPSALA LÄN</t>
        </is>
      </c>
      <c r="E182" t="inlineStr">
        <is>
          <t>ÖSTHAMMAR</t>
        </is>
      </c>
      <c r="F182" t="inlineStr">
        <is>
          <t>Bergvik skog öst AB</t>
        </is>
      </c>
      <c r="G182" t="n">
        <v>18</v>
      </c>
      <c r="H182" t="n">
        <v>1</v>
      </c>
      <c r="I182" t="n">
        <v>0</v>
      </c>
      <c r="J182" t="n">
        <v>0</v>
      </c>
      <c r="K182" t="n">
        <v>0</v>
      </c>
      <c r="L182" t="n">
        <v>0</v>
      </c>
      <c r="M182" t="n">
        <v>0</v>
      </c>
      <c r="N182" t="n">
        <v>0</v>
      </c>
      <c r="O182" t="n">
        <v>0</v>
      </c>
      <c r="P182" t="n">
        <v>0</v>
      </c>
      <c r="Q182" t="n">
        <v>1</v>
      </c>
      <c r="R182" s="2" t="inlineStr">
        <is>
          <t>Tjäder</t>
        </is>
      </c>
      <c r="S182">
        <f>HYPERLINK("https://klasma.github.io/Logging_0382/artfynd/A 10210-2024 artfynd.xlsx", "A 10210-2024")</f>
        <v/>
      </c>
      <c r="T182">
        <f>HYPERLINK("https://klasma.github.io/Logging_0382/kartor/A 10210-2024 karta.png", "A 10210-2024")</f>
        <v/>
      </c>
      <c r="V182">
        <f>HYPERLINK("https://klasma.github.io/Logging_0382/klagomål/A 10210-2024 FSC-klagomål.docx", "A 10210-2024")</f>
        <v/>
      </c>
      <c r="W182">
        <f>HYPERLINK("https://klasma.github.io/Logging_0382/klagomålsmail/A 10210-2024 FSC-klagomål mail.docx", "A 10210-2024")</f>
        <v/>
      </c>
      <c r="X182">
        <f>HYPERLINK("https://klasma.github.io/Logging_0382/tillsyn/A 10210-2024 tillsynsbegäran.docx", "A 10210-2024")</f>
        <v/>
      </c>
      <c r="Y182">
        <f>HYPERLINK("https://klasma.github.io/Logging_0382/tillsynsmail/A 10210-2024 tillsynsbegäran mail.docx", "A 10210-2024")</f>
        <v/>
      </c>
      <c r="Z182">
        <f>HYPERLINK("https://klasma.github.io/Logging_0382/fåglar/A 10210-2024 prioriterade fågelarter.docx", "A 10210-2024")</f>
        <v/>
      </c>
    </row>
    <row r="183" ht="15" customHeight="1">
      <c r="A183" t="inlineStr">
        <is>
          <t>A 12753-2024</t>
        </is>
      </c>
      <c r="B183" s="1" t="n">
        <v>45384</v>
      </c>
      <c r="C183" s="1" t="n">
        <v>45807</v>
      </c>
      <c r="D183" t="inlineStr">
        <is>
          <t>UPPSALA LÄN</t>
        </is>
      </c>
      <c r="E183" t="inlineStr">
        <is>
          <t>ÖSTHAMMAR</t>
        </is>
      </c>
      <c r="G183" t="n">
        <v>1.7</v>
      </c>
      <c r="H183" t="n">
        <v>0</v>
      </c>
      <c r="I183" t="n">
        <v>0</v>
      </c>
      <c r="J183" t="n">
        <v>1</v>
      </c>
      <c r="K183" t="n">
        <v>0</v>
      </c>
      <c r="L183" t="n">
        <v>0</v>
      </c>
      <c r="M183" t="n">
        <v>0</v>
      </c>
      <c r="N183" t="n">
        <v>0</v>
      </c>
      <c r="O183" t="n">
        <v>1</v>
      </c>
      <c r="P183" t="n">
        <v>0</v>
      </c>
      <c r="Q183" t="n">
        <v>1</v>
      </c>
      <c r="R183" s="2" t="inlineStr">
        <is>
          <t>Flattoppad klubbsvamp</t>
        </is>
      </c>
      <c r="S183">
        <f>HYPERLINK("https://klasma.github.io/Logging_0382/artfynd/A 12753-2024 artfynd.xlsx", "A 12753-2024")</f>
        <v/>
      </c>
      <c r="T183">
        <f>HYPERLINK("https://klasma.github.io/Logging_0382/kartor/A 12753-2024 karta.png", "A 12753-2024")</f>
        <v/>
      </c>
      <c r="V183">
        <f>HYPERLINK("https://klasma.github.io/Logging_0382/klagomål/A 12753-2024 FSC-klagomål.docx", "A 12753-2024")</f>
        <v/>
      </c>
      <c r="W183">
        <f>HYPERLINK("https://klasma.github.io/Logging_0382/klagomålsmail/A 12753-2024 FSC-klagomål mail.docx", "A 12753-2024")</f>
        <v/>
      </c>
      <c r="X183">
        <f>HYPERLINK("https://klasma.github.io/Logging_0382/tillsyn/A 12753-2024 tillsynsbegäran.docx", "A 12753-2024")</f>
        <v/>
      </c>
      <c r="Y183">
        <f>HYPERLINK("https://klasma.github.io/Logging_0382/tillsynsmail/A 12753-2024 tillsynsbegäran mail.docx", "A 12753-2024")</f>
        <v/>
      </c>
    </row>
    <row r="184" ht="15" customHeight="1">
      <c r="A184" t="inlineStr">
        <is>
          <t>A 14203-2024</t>
        </is>
      </c>
      <c r="B184" s="1" t="n">
        <v>45393</v>
      </c>
      <c r="C184" s="1" t="n">
        <v>45807</v>
      </c>
      <c r="D184" t="inlineStr">
        <is>
          <t>UPPSALA LÄN</t>
        </is>
      </c>
      <c r="E184" t="inlineStr">
        <is>
          <t>ÖSTHAMMAR</t>
        </is>
      </c>
      <c r="G184" t="n">
        <v>1.4</v>
      </c>
      <c r="H184" t="n">
        <v>0</v>
      </c>
      <c r="I184" t="n">
        <v>0</v>
      </c>
      <c r="J184" t="n">
        <v>1</v>
      </c>
      <c r="K184" t="n">
        <v>0</v>
      </c>
      <c r="L184" t="n">
        <v>0</v>
      </c>
      <c r="M184" t="n">
        <v>0</v>
      </c>
      <c r="N184" t="n">
        <v>0</v>
      </c>
      <c r="O184" t="n">
        <v>1</v>
      </c>
      <c r="P184" t="n">
        <v>0</v>
      </c>
      <c r="Q184" t="n">
        <v>1</v>
      </c>
      <c r="R184" s="2" t="inlineStr">
        <is>
          <t>Scharlakansvaxing</t>
        </is>
      </c>
      <c r="S184">
        <f>HYPERLINK("https://klasma.github.io/Logging_0382/artfynd/A 14203-2024 artfynd.xlsx", "A 14203-2024")</f>
        <v/>
      </c>
      <c r="T184">
        <f>HYPERLINK("https://klasma.github.io/Logging_0382/kartor/A 14203-2024 karta.png", "A 14203-2024")</f>
        <v/>
      </c>
      <c r="V184">
        <f>HYPERLINK("https://klasma.github.io/Logging_0382/klagomål/A 14203-2024 FSC-klagomål.docx", "A 14203-2024")</f>
        <v/>
      </c>
      <c r="W184">
        <f>HYPERLINK("https://klasma.github.io/Logging_0382/klagomålsmail/A 14203-2024 FSC-klagomål mail.docx", "A 14203-2024")</f>
        <v/>
      </c>
      <c r="X184">
        <f>HYPERLINK("https://klasma.github.io/Logging_0382/tillsyn/A 14203-2024 tillsynsbegäran.docx", "A 14203-2024")</f>
        <v/>
      </c>
      <c r="Y184">
        <f>HYPERLINK("https://klasma.github.io/Logging_0382/tillsynsmail/A 14203-2024 tillsynsbegäran mail.docx", "A 14203-2024")</f>
        <v/>
      </c>
    </row>
    <row r="185" ht="15" customHeight="1">
      <c r="A185" t="inlineStr">
        <is>
          <t>A 22375-2024</t>
        </is>
      </c>
      <c r="B185" s="1" t="n">
        <v>45446</v>
      </c>
      <c r="C185" s="1" t="n">
        <v>45807</v>
      </c>
      <c r="D185" t="inlineStr">
        <is>
          <t>UPPSALA LÄN</t>
        </is>
      </c>
      <c r="E185" t="inlineStr">
        <is>
          <t>ÖSTHAMMAR</t>
        </is>
      </c>
      <c r="F185" t="inlineStr">
        <is>
          <t>Bergvik skog öst AB</t>
        </is>
      </c>
      <c r="G185" t="n">
        <v>2.2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22375-2024 artfynd.xlsx", "A 22375-2024")</f>
        <v/>
      </c>
      <c r="T185">
        <f>HYPERLINK("https://klasma.github.io/Logging_0382/kartor/A 22375-2024 karta.png", "A 22375-2024")</f>
        <v/>
      </c>
      <c r="V185">
        <f>HYPERLINK("https://klasma.github.io/Logging_0382/klagomål/A 22375-2024 FSC-klagomål.docx", "A 22375-2024")</f>
        <v/>
      </c>
      <c r="W185">
        <f>HYPERLINK("https://klasma.github.io/Logging_0382/klagomålsmail/A 22375-2024 FSC-klagomål mail.docx", "A 22375-2024")</f>
        <v/>
      </c>
      <c r="X185">
        <f>HYPERLINK("https://klasma.github.io/Logging_0382/tillsyn/A 22375-2024 tillsynsbegäran.docx", "A 22375-2024")</f>
        <v/>
      </c>
      <c r="Y185">
        <f>HYPERLINK("https://klasma.github.io/Logging_0382/tillsynsmail/A 22375-2024 tillsynsbegäran mail.docx", "A 22375-2024")</f>
        <v/>
      </c>
    </row>
    <row r="186" ht="15" customHeight="1">
      <c r="A186" t="inlineStr">
        <is>
          <t>A 36622-2024</t>
        </is>
      </c>
      <c r="B186" s="1" t="n">
        <v>45537</v>
      </c>
      <c r="C186" s="1" t="n">
        <v>45807</v>
      </c>
      <c r="D186" t="inlineStr">
        <is>
          <t>UPPSALA LÄN</t>
        </is>
      </c>
      <c r="E186" t="inlineStr">
        <is>
          <t>ÖSTHAMMAR</t>
        </is>
      </c>
      <c r="F186" t="inlineStr">
        <is>
          <t>Bergvik skog väst AB</t>
        </is>
      </c>
      <c r="G186" t="n">
        <v>5.2</v>
      </c>
      <c r="H186" t="n">
        <v>1</v>
      </c>
      <c r="I186" t="n">
        <v>0</v>
      </c>
      <c r="J186" t="n">
        <v>0</v>
      </c>
      <c r="K186" t="n">
        <v>0</v>
      </c>
      <c r="L186" t="n">
        <v>0</v>
      </c>
      <c r="M186" t="n">
        <v>0</v>
      </c>
      <c r="N186" t="n">
        <v>0</v>
      </c>
      <c r="O186" t="n">
        <v>0</v>
      </c>
      <c r="P186" t="n">
        <v>0</v>
      </c>
      <c r="Q186" t="n">
        <v>1</v>
      </c>
      <c r="R186" s="2" t="inlineStr">
        <is>
          <t>Blåsippa</t>
        </is>
      </c>
      <c r="S186">
        <f>HYPERLINK("https://klasma.github.io/Logging_0382/artfynd/A 36622-2024 artfynd.xlsx", "A 36622-2024")</f>
        <v/>
      </c>
      <c r="T186">
        <f>HYPERLINK("https://klasma.github.io/Logging_0382/kartor/A 36622-2024 karta.png", "A 36622-2024")</f>
        <v/>
      </c>
      <c r="V186">
        <f>HYPERLINK("https://klasma.github.io/Logging_0382/klagomål/A 36622-2024 FSC-klagomål.docx", "A 36622-2024")</f>
        <v/>
      </c>
      <c r="W186">
        <f>HYPERLINK("https://klasma.github.io/Logging_0382/klagomålsmail/A 36622-2024 FSC-klagomål mail.docx", "A 36622-2024")</f>
        <v/>
      </c>
      <c r="X186">
        <f>HYPERLINK("https://klasma.github.io/Logging_0382/tillsyn/A 36622-2024 tillsynsbegäran.docx", "A 36622-2024")</f>
        <v/>
      </c>
      <c r="Y186">
        <f>HYPERLINK("https://klasma.github.io/Logging_0382/tillsynsmail/A 36622-2024 tillsynsbegäran mail.docx", "A 36622-2024")</f>
        <v/>
      </c>
    </row>
    <row r="187" ht="15" customHeight="1">
      <c r="A187" t="inlineStr">
        <is>
          <t>A 46632-2024</t>
        </is>
      </c>
      <c r="B187" s="1" t="n">
        <v>45583</v>
      </c>
      <c r="C187" s="1" t="n">
        <v>45807</v>
      </c>
      <c r="D187" t="inlineStr">
        <is>
          <t>UPPSALA LÄN</t>
        </is>
      </c>
      <c r="E187" t="inlineStr">
        <is>
          <t>ÖSTHAMMAR</t>
        </is>
      </c>
      <c r="F187" t="inlineStr">
        <is>
          <t>Bergvik skog öst AB</t>
        </is>
      </c>
      <c r="G187" t="n">
        <v>5.3</v>
      </c>
      <c r="H187" t="n">
        <v>0</v>
      </c>
      <c r="I187" t="n">
        <v>0</v>
      </c>
      <c r="J187" t="n">
        <v>1</v>
      </c>
      <c r="K187" t="n">
        <v>0</v>
      </c>
      <c r="L187" t="n">
        <v>0</v>
      </c>
      <c r="M187" t="n">
        <v>0</v>
      </c>
      <c r="N187" t="n">
        <v>0</v>
      </c>
      <c r="O187" t="n">
        <v>1</v>
      </c>
      <c r="P187" t="n">
        <v>0</v>
      </c>
      <c r="Q187" t="n">
        <v>1</v>
      </c>
      <c r="R187" s="2" t="inlineStr">
        <is>
          <t>Sexfläckig bastardsvärmare</t>
        </is>
      </c>
      <c r="S187">
        <f>HYPERLINK("https://klasma.github.io/Logging_0382/artfynd/A 46632-2024 artfynd.xlsx", "A 46632-2024")</f>
        <v/>
      </c>
      <c r="T187">
        <f>HYPERLINK("https://klasma.github.io/Logging_0382/kartor/A 46632-2024 karta.png", "A 46632-2024")</f>
        <v/>
      </c>
      <c r="V187">
        <f>HYPERLINK("https://klasma.github.io/Logging_0382/klagomål/A 46632-2024 FSC-klagomål.docx", "A 46632-2024")</f>
        <v/>
      </c>
      <c r="W187">
        <f>HYPERLINK("https://klasma.github.io/Logging_0382/klagomålsmail/A 46632-2024 FSC-klagomål mail.docx", "A 46632-2024")</f>
        <v/>
      </c>
      <c r="X187">
        <f>HYPERLINK("https://klasma.github.io/Logging_0382/tillsyn/A 46632-2024 tillsynsbegäran.docx", "A 46632-2024")</f>
        <v/>
      </c>
      <c r="Y187">
        <f>HYPERLINK("https://klasma.github.io/Logging_0382/tillsynsmail/A 46632-2024 tillsynsbegäran mail.docx", "A 46632-2024")</f>
        <v/>
      </c>
    </row>
    <row r="188" ht="15" customHeight="1">
      <c r="A188" t="inlineStr">
        <is>
          <t>A 46629-2024</t>
        </is>
      </c>
      <c r="B188" s="1" t="n">
        <v>45583</v>
      </c>
      <c r="C188" s="1" t="n">
        <v>45807</v>
      </c>
      <c r="D188" t="inlineStr">
        <is>
          <t>UPPSALA LÄN</t>
        </is>
      </c>
      <c r="E188" t="inlineStr">
        <is>
          <t>ÖSTHAMMAR</t>
        </is>
      </c>
      <c r="F188" t="inlineStr">
        <is>
          <t>Bergvik skog öst AB</t>
        </is>
      </c>
      <c r="G188" t="n">
        <v>0.7</v>
      </c>
      <c r="H188" t="n">
        <v>0</v>
      </c>
      <c r="I188" t="n">
        <v>0</v>
      </c>
      <c r="J188" t="n">
        <v>1</v>
      </c>
      <c r="K188" t="n">
        <v>0</v>
      </c>
      <c r="L188" t="n">
        <v>0</v>
      </c>
      <c r="M188" t="n">
        <v>0</v>
      </c>
      <c r="N188" t="n">
        <v>0</v>
      </c>
      <c r="O188" t="n">
        <v>1</v>
      </c>
      <c r="P188" t="n">
        <v>0</v>
      </c>
      <c r="Q188" t="n">
        <v>1</v>
      </c>
      <c r="R188" s="2" t="inlineStr">
        <is>
          <t>Slåtterfibbla</t>
        </is>
      </c>
      <c r="S188">
        <f>HYPERLINK("https://klasma.github.io/Logging_0382/artfynd/A 46629-2024 artfynd.xlsx", "A 46629-2024")</f>
        <v/>
      </c>
      <c r="T188">
        <f>HYPERLINK("https://klasma.github.io/Logging_0382/kartor/A 46629-2024 karta.png", "A 46629-2024")</f>
        <v/>
      </c>
      <c r="V188">
        <f>HYPERLINK("https://klasma.github.io/Logging_0382/klagomål/A 46629-2024 FSC-klagomål.docx", "A 46629-2024")</f>
        <v/>
      </c>
      <c r="W188">
        <f>HYPERLINK("https://klasma.github.io/Logging_0382/klagomålsmail/A 46629-2024 FSC-klagomål mail.docx", "A 46629-2024")</f>
        <v/>
      </c>
      <c r="X188">
        <f>HYPERLINK("https://klasma.github.io/Logging_0382/tillsyn/A 46629-2024 tillsynsbegäran.docx", "A 46629-2024")</f>
        <v/>
      </c>
      <c r="Y188">
        <f>HYPERLINK("https://klasma.github.io/Logging_0382/tillsynsmail/A 46629-2024 tillsynsbegäran mail.docx", "A 46629-2024")</f>
        <v/>
      </c>
    </row>
    <row r="189" ht="15" customHeight="1">
      <c r="A189" t="inlineStr">
        <is>
          <t>A 55169-2024</t>
        </is>
      </c>
      <c r="B189" s="1" t="n">
        <v>45621</v>
      </c>
      <c r="C189" s="1" t="n">
        <v>45807</v>
      </c>
      <c r="D189" t="inlineStr">
        <is>
          <t>UPPSALA LÄN</t>
        </is>
      </c>
      <c r="E189" t="inlineStr">
        <is>
          <t>ÖSTHAMMAR</t>
        </is>
      </c>
      <c r="G189" t="n">
        <v>1.1</v>
      </c>
      <c r="H189" t="n">
        <v>0</v>
      </c>
      <c r="I189" t="n">
        <v>1</v>
      </c>
      <c r="J189" t="n">
        <v>0</v>
      </c>
      <c r="K189" t="n">
        <v>0</v>
      </c>
      <c r="L189" t="n">
        <v>0</v>
      </c>
      <c r="M189" t="n">
        <v>0</v>
      </c>
      <c r="N189" t="n">
        <v>0</v>
      </c>
      <c r="O189" t="n">
        <v>0</v>
      </c>
      <c r="P189" t="n">
        <v>0</v>
      </c>
      <c r="Q189" t="n">
        <v>1</v>
      </c>
      <c r="R189" s="2" t="inlineStr">
        <is>
          <t>Svavelriska</t>
        </is>
      </c>
      <c r="S189">
        <f>HYPERLINK("https://klasma.github.io/Logging_0382/artfynd/A 55169-2024 artfynd.xlsx", "A 55169-2024")</f>
        <v/>
      </c>
      <c r="T189">
        <f>HYPERLINK("https://klasma.github.io/Logging_0382/kartor/A 55169-2024 karta.png", "A 55169-2024")</f>
        <v/>
      </c>
      <c r="V189">
        <f>HYPERLINK("https://klasma.github.io/Logging_0382/klagomål/A 55169-2024 FSC-klagomål.docx", "A 55169-2024")</f>
        <v/>
      </c>
      <c r="W189">
        <f>HYPERLINK("https://klasma.github.io/Logging_0382/klagomålsmail/A 55169-2024 FSC-klagomål mail.docx", "A 55169-2024")</f>
        <v/>
      </c>
      <c r="X189">
        <f>HYPERLINK("https://klasma.github.io/Logging_0382/tillsyn/A 55169-2024 tillsynsbegäran.docx", "A 55169-2024")</f>
        <v/>
      </c>
      <c r="Y189">
        <f>HYPERLINK("https://klasma.github.io/Logging_0382/tillsynsmail/A 55169-2024 tillsynsbegäran mail.docx", "A 55169-2024")</f>
        <v/>
      </c>
    </row>
    <row r="190" ht="15" customHeight="1">
      <c r="A190" t="inlineStr">
        <is>
          <t>A 6143-2025</t>
        </is>
      </c>
      <c r="B190" s="1" t="n">
        <v>45698</v>
      </c>
      <c r="C190" s="1" t="n">
        <v>45807</v>
      </c>
      <c r="D190" t="inlineStr">
        <is>
          <t>UPPSALA LÄN</t>
        </is>
      </c>
      <c r="E190" t="inlineStr">
        <is>
          <t>ÖSTHAMMAR</t>
        </is>
      </c>
      <c r="F190" t="inlineStr">
        <is>
          <t>Bergvik skog öst AB</t>
        </is>
      </c>
      <c r="G190" t="n">
        <v>3.6</v>
      </c>
      <c r="H190" t="n">
        <v>0</v>
      </c>
      <c r="I190" t="n">
        <v>1</v>
      </c>
      <c r="J190" t="n">
        <v>0</v>
      </c>
      <c r="K190" t="n">
        <v>0</v>
      </c>
      <c r="L190" t="n">
        <v>0</v>
      </c>
      <c r="M190" t="n">
        <v>0</v>
      </c>
      <c r="N190" t="n">
        <v>0</v>
      </c>
      <c r="O190" t="n">
        <v>0</v>
      </c>
      <c r="P190" t="n">
        <v>0</v>
      </c>
      <c r="Q190" t="n">
        <v>1</v>
      </c>
      <c r="R190" s="2" t="inlineStr">
        <is>
          <t>Svavelriska</t>
        </is>
      </c>
      <c r="S190">
        <f>HYPERLINK("https://klasma.github.io/Logging_0382/artfynd/A 6143-2025 artfynd.xlsx", "A 6143-2025")</f>
        <v/>
      </c>
      <c r="T190">
        <f>HYPERLINK("https://klasma.github.io/Logging_0382/kartor/A 6143-2025 karta.png", "A 6143-2025")</f>
        <v/>
      </c>
      <c r="V190">
        <f>HYPERLINK("https://klasma.github.io/Logging_0382/klagomål/A 6143-2025 FSC-klagomål.docx", "A 6143-2025")</f>
        <v/>
      </c>
      <c r="W190">
        <f>HYPERLINK("https://klasma.github.io/Logging_0382/klagomålsmail/A 6143-2025 FSC-klagomål mail.docx", "A 6143-2025")</f>
        <v/>
      </c>
      <c r="X190">
        <f>HYPERLINK("https://klasma.github.io/Logging_0382/tillsyn/A 6143-2025 tillsynsbegäran.docx", "A 6143-2025")</f>
        <v/>
      </c>
      <c r="Y190">
        <f>HYPERLINK("https://klasma.github.io/Logging_0382/tillsynsmail/A 6143-2025 tillsynsbegäran mail.docx", "A 6143-2025")</f>
        <v/>
      </c>
    </row>
    <row r="191" ht="15" customHeight="1">
      <c r="A191" t="inlineStr">
        <is>
          <t>A 17141-2025</t>
        </is>
      </c>
      <c r="B191" s="1" t="n">
        <v>45755</v>
      </c>
      <c r="C191" s="1" t="n">
        <v>45807</v>
      </c>
      <c r="D191" t="inlineStr">
        <is>
          <t>UPPSALA LÄN</t>
        </is>
      </c>
      <c r="E191" t="inlineStr">
        <is>
          <t>ÖSTHAMMAR</t>
        </is>
      </c>
      <c r="F191" t="inlineStr">
        <is>
          <t>Bergvik skog öst AB</t>
        </is>
      </c>
      <c r="G191" t="n">
        <v>7</v>
      </c>
      <c r="H191" t="n">
        <v>1</v>
      </c>
      <c r="I191" t="n">
        <v>1</v>
      </c>
      <c r="J191" t="n">
        <v>0</v>
      </c>
      <c r="K191" t="n">
        <v>0</v>
      </c>
      <c r="L191" t="n">
        <v>0</v>
      </c>
      <c r="M191" t="n">
        <v>0</v>
      </c>
      <c r="N191" t="n">
        <v>0</v>
      </c>
      <c r="O191" t="n">
        <v>0</v>
      </c>
      <c r="P191" t="n">
        <v>0</v>
      </c>
      <c r="Q191" t="n">
        <v>1</v>
      </c>
      <c r="R191" s="2" t="inlineStr">
        <is>
          <t>Grönkulla</t>
        </is>
      </c>
      <c r="S191">
        <f>HYPERLINK("https://klasma.github.io/Logging_030382/artfynd/A 17141-2025 artfynd.xlsx", "A 17141-2025")</f>
        <v/>
      </c>
      <c r="T191">
        <f>HYPERLINK("https://klasma.github.io/Logging_030382/kartor/A 17141-2025 karta.png", "A 17141-2025")</f>
        <v/>
      </c>
      <c r="V191">
        <f>HYPERLINK("https://klasma.github.io/Logging_030382/klagomål/A 17141-2025 FSC-klagomål.docx", "A 17141-2025")</f>
        <v/>
      </c>
      <c r="W191">
        <f>HYPERLINK("https://klasma.github.io/Logging_030382/klagomålsmail/A 17141-2025 FSC-klagomål mail.docx", "A 17141-2025")</f>
        <v/>
      </c>
      <c r="X191">
        <f>HYPERLINK("https://klasma.github.io/Logging_030382/tillsyn/A 17141-2025 tillsynsbegäran.docx", "A 17141-2025")</f>
        <v/>
      </c>
      <c r="Y191">
        <f>HYPERLINK("https://klasma.github.io/Logging_030382/tillsynsmail/A 17141-2025 tillsynsbegäran mail.docx", "A 17141-2025")</f>
        <v/>
      </c>
    </row>
    <row r="192" ht="15" customHeight="1">
      <c r="A192" t="inlineStr">
        <is>
          <t>A 18596-2019</t>
        </is>
      </c>
      <c r="B192" s="1" t="n">
        <v>43560</v>
      </c>
      <c r="C192" s="1" t="n">
        <v>45807</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18781-2019</t>
        </is>
      </c>
      <c r="B193" s="1" t="n">
        <v>43561</v>
      </c>
      <c r="C193" s="1" t="n">
        <v>45807</v>
      </c>
      <c r="D193" t="inlineStr">
        <is>
          <t>UPPSALA LÄN</t>
        </is>
      </c>
      <c r="E193" t="inlineStr">
        <is>
          <t>ÖSTHAMMAR</t>
        </is>
      </c>
      <c r="F193" t="inlineStr">
        <is>
          <t>Bergvik skog öst AB</t>
        </is>
      </c>
      <c r="G193" t="n">
        <v>0.7</v>
      </c>
      <c r="H193" t="n">
        <v>0</v>
      </c>
      <c r="I193" t="n">
        <v>0</v>
      </c>
      <c r="J193" t="n">
        <v>0</v>
      </c>
      <c r="K193" t="n">
        <v>0</v>
      </c>
      <c r="L193" t="n">
        <v>0</v>
      </c>
      <c r="M193" t="n">
        <v>0</v>
      </c>
      <c r="N193" t="n">
        <v>0</v>
      </c>
      <c r="O193" t="n">
        <v>0</v>
      </c>
      <c r="P193" t="n">
        <v>0</v>
      </c>
      <c r="Q193" t="n">
        <v>0</v>
      </c>
      <c r="R193" s="2" t="inlineStr"/>
    </row>
    <row r="194" ht="15" customHeight="1">
      <c r="A194" t="inlineStr">
        <is>
          <t>A 18792-2019</t>
        </is>
      </c>
      <c r="B194" s="1" t="n">
        <v>43562</v>
      </c>
      <c r="C194" s="1" t="n">
        <v>45807</v>
      </c>
      <c r="D194" t="inlineStr">
        <is>
          <t>UPPSALA LÄN</t>
        </is>
      </c>
      <c r="E194" t="inlineStr">
        <is>
          <t>ÖSTHAMMAR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18800-2019</t>
        </is>
      </c>
      <c r="B195" s="1" t="n">
        <v>43562</v>
      </c>
      <c r="C195" s="1" t="n">
        <v>45807</v>
      </c>
      <c r="D195" t="inlineStr">
        <is>
          <t>UPPSALA LÄN</t>
        </is>
      </c>
      <c r="E195" t="inlineStr">
        <is>
          <t>ÖSTHAMMAR</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20683-2019</t>
        </is>
      </c>
      <c r="B196" s="1" t="n">
        <v>43573</v>
      </c>
      <c r="C196" s="1" t="n">
        <v>45807</v>
      </c>
      <c r="D196" t="inlineStr">
        <is>
          <t>UPPSALA LÄN</t>
        </is>
      </c>
      <c r="E196" t="inlineStr">
        <is>
          <t>ÖSTHAMMAR</t>
        </is>
      </c>
      <c r="G196" t="n">
        <v>2.6</v>
      </c>
      <c r="H196" t="n">
        <v>0</v>
      </c>
      <c r="I196" t="n">
        <v>0</v>
      </c>
      <c r="J196" t="n">
        <v>0</v>
      </c>
      <c r="K196" t="n">
        <v>0</v>
      </c>
      <c r="L196" t="n">
        <v>0</v>
      </c>
      <c r="M196" t="n">
        <v>0</v>
      </c>
      <c r="N196" t="n">
        <v>0</v>
      </c>
      <c r="O196" t="n">
        <v>0</v>
      </c>
      <c r="P196" t="n">
        <v>0</v>
      </c>
      <c r="Q196" t="n">
        <v>0</v>
      </c>
      <c r="R196" s="2" t="inlineStr"/>
    </row>
    <row r="197" ht="15" customHeight="1">
      <c r="A197" t="inlineStr">
        <is>
          <t>A 21471-2019</t>
        </is>
      </c>
      <c r="B197" s="1" t="n">
        <v>43580</v>
      </c>
      <c r="C197" s="1" t="n">
        <v>45807</v>
      </c>
      <c r="D197" t="inlineStr">
        <is>
          <t>UPPSALA LÄN</t>
        </is>
      </c>
      <c r="E197" t="inlineStr">
        <is>
          <t>ÖSTHAMMAR</t>
        </is>
      </c>
      <c r="F197" t="inlineStr">
        <is>
          <t>Bergvik skog öst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22800-2019</t>
        </is>
      </c>
      <c r="B198" s="1" t="n">
        <v>43590</v>
      </c>
      <c r="C198" s="1" t="n">
        <v>45807</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c r="U198">
        <f>HYPERLINK("https://klasma.github.io/Logging_0382/knärot/A 22800-2019 karta knärot.png", "A 22800-2019")</f>
        <v/>
      </c>
      <c r="V198">
        <f>HYPERLINK("https://klasma.github.io/Logging_0382/klagomål/A 22800-2019 FSC-klagomål.docx", "A 22800-2019")</f>
        <v/>
      </c>
      <c r="W198">
        <f>HYPERLINK("https://klasma.github.io/Logging_0382/klagomålsmail/A 22800-2019 FSC-klagomål mail.docx", "A 22800-2019")</f>
        <v/>
      </c>
      <c r="X198">
        <f>HYPERLINK("https://klasma.github.io/Logging_0382/tillsyn/A 22800-2019 tillsynsbegäran.docx", "A 22800-2019")</f>
        <v/>
      </c>
      <c r="Y198">
        <f>HYPERLINK("https://klasma.github.io/Logging_0382/tillsynsmail/A 22800-2019 tillsynsbegäran mail.docx", "A 22800-2019")</f>
        <v/>
      </c>
    </row>
    <row r="199" ht="15" customHeight="1">
      <c r="A199" t="inlineStr">
        <is>
          <t>A 22801-2019</t>
        </is>
      </c>
      <c r="B199" s="1" t="n">
        <v>43590</v>
      </c>
      <c r="C199" s="1" t="n">
        <v>45807</v>
      </c>
      <c r="D199" t="inlineStr">
        <is>
          <t>UPPSALA LÄN</t>
        </is>
      </c>
      <c r="E199" t="inlineStr">
        <is>
          <t>ÖSTHAMMAR</t>
        </is>
      </c>
      <c r="G199" t="n">
        <v>2.2</v>
      </c>
      <c r="H199" t="n">
        <v>0</v>
      </c>
      <c r="I199" t="n">
        <v>0</v>
      </c>
      <c r="J199" t="n">
        <v>0</v>
      </c>
      <c r="K199" t="n">
        <v>0</v>
      </c>
      <c r="L199" t="n">
        <v>0</v>
      </c>
      <c r="M199" t="n">
        <v>0</v>
      </c>
      <c r="N199" t="n">
        <v>0</v>
      </c>
      <c r="O199" t="n">
        <v>0</v>
      </c>
      <c r="P199" t="n">
        <v>0</v>
      </c>
      <c r="Q199" t="n">
        <v>0</v>
      </c>
      <c r="R199" s="2" t="inlineStr"/>
    </row>
    <row r="200" ht="15" customHeight="1">
      <c r="A200" t="inlineStr">
        <is>
          <t>A 23008-2019</t>
        </is>
      </c>
      <c r="B200" s="1" t="n">
        <v>43591</v>
      </c>
      <c r="C200" s="1" t="n">
        <v>45807</v>
      </c>
      <c r="D200" t="inlineStr">
        <is>
          <t>UPPSALA LÄN</t>
        </is>
      </c>
      <c r="E200" t="inlineStr">
        <is>
          <t>ÖSTHAMMAR</t>
        </is>
      </c>
      <c r="G200" t="n">
        <v>4.5</v>
      </c>
      <c r="H200" t="n">
        <v>0</v>
      </c>
      <c r="I200" t="n">
        <v>0</v>
      </c>
      <c r="J200" t="n">
        <v>0</v>
      </c>
      <c r="K200" t="n">
        <v>0</v>
      </c>
      <c r="L200" t="n">
        <v>0</v>
      </c>
      <c r="M200" t="n">
        <v>0</v>
      </c>
      <c r="N200" t="n">
        <v>0</v>
      </c>
      <c r="O200" t="n">
        <v>0</v>
      </c>
      <c r="P200" t="n">
        <v>0</v>
      </c>
      <c r="Q200" t="n">
        <v>0</v>
      </c>
      <c r="R200" s="2" t="inlineStr"/>
    </row>
    <row r="201" ht="15" customHeight="1">
      <c r="A201" t="inlineStr">
        <is>
          <t>A 25874-2019</t>
        </is>
      </c>
      <c r="B201" s="1" t="n">
        <v>43605</v>
      </c>
      <c r="C201" s="1" t="n">
        <v>45807</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25703-2019</t>
        </is>
      </c>
      <c r="B202" s="1" t="n">
        <v>43607</v>
      </c>
      <c r="C202" s="1" t="n">
        <v>45807</v>
      </c>
      <c r="D202" t="inlineStr">
        <is>
          <t>UPPSALA LÄN</t>
        </is>
      </c>
      <c r="E202" t="inlineStr">
        <is>
          <t>ÖSTHAMMAR</t>
        </is>
      </c>
      <c r="F202" t="inlineStr">
        <is>
          <t>Bergvik skog öst AB</t>
        </is>
      </c>
      <c r="G202" t="n">
        <v>2.2</v>
      </c>
      <c r="H202" t="n">
        <v>0</v>
      </c>
      <c r="I202" t="n">
        <v>0</v>
      </c>
      <c r="J202" t="n">
        <v>0</v>
      </c>
      <c r="K202" t="n">
        <v>0</v>
      </c>
      <c r="L202" t="n">
        <v>0</v>
      </c>
      <c r="M202" t="n">
        <v>0</v>
      </c>
      <c r="N202" t="n">
        <v>0</v>
      </c>
      <c r="O202" t="n">
        <v>0</v>
      </c>
      <c r="P202" t="n">
        <v>0</v>
      </c>
      <c r="Q202" t="n">
        <v>0</v>
      </c>
      <c r="R202" s="2" t="inlineStr"/>
    </row>
    <row r="203" ht="15" customHeight="1">
      <c r="A203" t="inlineStr">
        <is>
          <t>A 25708-2019</t>
        </is>
      </c>
      <c r="B203" s="1" t="n">
        <v>43607</v>
      </c>
      <c r="C203" s="1" t="n">
        <v>45807</v>
      </c>
      <c r="D203" t="inlineStr">
        <is>
          <t>UPPSALA LÄN</t>
        </is>
      </c>
      <c r="E203" t="inlineStr">
        <is>
          <t>ÖSTHAMMAR</t>
        </is>
      </c>
      <c r="F203" t="inlineStr">
        <is>
          <t>Bergvik skog öst AB</t>
        </is>
      </c>
      <c r="G203" t="n">
        <v>1.3</v>
      </c>
      <c r="H203" t="n">
        <v>0</v>
      </c>
      <c r="I203" t="n">
        <v>0</v>
      </c>
      <c r="J203" t="n">
        <v>0</v>
      </c>
      <c r="K203" t="n">
        <v>0</v>
      </c>
      <c r="L203" t="n">
        <v>0</v>
      </c>
      <c r="M203" t="n">
        <v>0</v>
      </c>
      <c r="N203" t="n">
        <v>0</v>
      </c>
      <c r="O203" t="n">
        <v>0</v>
      </c>
      <c r="P203" t="n">
        <v>0</v>
      </c>
      <c r="Q203" t="n">
        <v>0</v>
      </c>
      <c r="R203" s="2" t="inlineStr"/>
    </row>
    <row r="204" ht="15" customHeight="1">
      <c r="A204" t="inlineStr">
        <is>
          <t>A 25706-2019</t>
        </is>
      </c>
      <c r="B204" s="1" t="n">
        <v>43607</v>
      </c>
      <c r="C204" s="1" t="n">
        <v>45807</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26562-2019</t>
        </is>
      </c>
      <c r="B205" s="1" t="n">
        <v>43612</v>
      </c>
      <c r="C205" s="1" t="n">
        <v>45807</v>
      </c>
      <c r="D205" t="inlineStr">
        <is>
          <t>UPPSALA LÄN</t>
        </is>
      </c>
      <c r="E205" t="inlineStr">
        <is>
          <t>ÖSTHAMMAR</t>
        </is>
      </c>
      <c r="G205" t="n">
        <v>3.2</v>
      </c>
      <c r="H205" t="n">
        <v>0</v>
      </c>
      <c r="I205" t="n">
        <v>0</v>
      </c>
      <c r="J205" t="n">
        <v>0</v>
      </c>
      <c r="K205" t="n">
        <v>0</v>
      </c>
      <c r="L205" t="n">
        <v>0</v>
      </c>
      <c r="M205" t="n">
        <v>0</v>
      </c>
      <c r="N205" t="n">
        <v>0</v>
      </c>
      <c r="O205" t="n">
        <v>0</v>
      </c>
      <c r="P205" t="n">
        <v>0</v>
      </c>
      <c r="Q205" t="n">
        <v>0</v>
      </c>
      <c r="R205" s="2" t="inlineStr"/>
    </row>
    <row r="206" ht="15" customHeight="1">
      <c r="A206" t="inlineStr">
        <is>
          <t>A 26724-2019</t>
        </is>
      </c>
      <c r="B206" s="1" t="n">
        <v>43613</v>
      </c>
      <c r="C206" s="1" t="n">
        <v>45807</v>
      </c>
      <c r="D206" t="inlineStr">
        <is>
          <t>UPPSALA LÄN</t>
        </is>
      </c>
      <c r="E206" t="inlineStr">
        <is>
          <t>ÖSTHAMMAR</t>
        </is>
      </c>
      <c r="F206" t="inlineStr">
        <is>
          <t>Bergvik skog öst AB</t>
        </is>
      </c>
      <c r="G206" t="n">
        <v>1.5</v>
      </c>
      <c r="H206" t="n">
        <v>0</v>
      </c>
      <c r="I206" t="n">
        <v>0</v>
      </c>
      <c r="J206" t="n">
        <v>0</v>
      </c>
      <c r="K206" t="n">
        <v>0</v>
      </c>
      <c r="L206" t="n">
        <v>0</v>
      </c>
      <c r="M206" t="n">
        <v>0</v>
      </c>
      <c r="N206" t="n">
        <v>0</v>
      </c>
      <c r="O206" t="n">
        <v>0</v>
      </c>
      <c r="P206" t="n">
        <v>0</v>
      </c>
      <c r="Q206" t="n">
        <v>0</v>
      </c>
      <c r="R206" s="2" t="inlineStr"/>
    </row>
    <row r="207" ht="15" customHeight="1">
      <c r="A207" t="inlineStr">
        <is>
          <t>A 26796-2019</t>
        </is>
      </c>
      <c r="B207" s="1" t="n">
        <v>43613</v>
      </c>
      <c r="C207" s="1" t="n">
        <v>45807</v>
      </c>
      <c r="D207" t="inlineStr">
        <is>
          <t>UPPSALA LÄN</t>
        </is>
      </c>
      <c r="E207" t="inlineStr">
        <is>
          <t>ÖSTHAMMAR</t>
        </is>
      </c>
      <c r="F207" t="inlineStr">
        <is>
          <t>Bergvik skog öst AB</t>
        </is>
      </c>
      <c r="G207" t="n">
        <v>4.4</v>
      </c>
      <c r="H207" t="n">
        <v>0</v>
      </c>
      <c r="I207" t="n">
        <v>0</v>
      </c>
      <c r="J207" t="n">
        <v>0</v>
      </c>
      <c r="K207" t="n">
        <v>0</v>
      </c>
      <c r="L207" t="n">
        <v>0</v>
      </c>
      <c r="M207" t="n">
        <v>0</v>
      </c>
      <c r="N207" t="n">
        <v>0</v>
      </c>
      <c r="O207" t="n">
        <v>0</v>
      </c>
      <c r="P207" t="n">
        <v>0</v>
      </c>
      <c r="Q207" t="n">
        <v>0</v>
      </c>
      <c r="R207" s="2" t="inlineStr"/>
    </row>
    <row r="208" ht="15" customHeight="1">
      <c r="A208" t="inlineStr">
        <is>
          <t>A 27458-2019</t>
        </is>
      </c>
      <c r="B208" s="1" t="n">
        <v>43618</v>
      </c>
      <c r="C208" s="1" t="n">
        <v>45807</v>
      </c>
      <c r="D208" t="inlineStr">
        <is>
          <t>UPPSALA LÄN</t>
        </is>
      </c>
      <c r="E208" t="inlineStr">
        <is>
          <t>ÖSTHAMMAR</t>
        </is>
      </c>
      <c r="F208" t="inlineStr">
        <is>
          <t>Bergvik skog öst AB</t>
        </is>
      </c>
      <c r="G208" t="n">
        <v>1.8</v>
      </c>
      <c r="H208" t="n">
        <v>0</v>
      </c>
      <c r="I208" t="n">
        <v>0</v>
      </c>
      <c r="J208" t="n">
        <v>0</v>
      </c>
      <c r="K208" t="n">
        <v>0</v>
      </c>
      <c r="L208" t="n">
        <v>0</v>
      </c>
      <c r="M208" t="n">
        <v>0</v>
      </c>
      <c r="N208" t="n">
        <v>0</v>
      </c>
      <c r="O208" t="n">
        <v>0</v>
      </c>
      <c r="P208" t="n">
        <v>0</v>
      </c>
      <c r="Q208" t="n">
        <v>0</v>
      </c>
      <c r="R208" s="2" t="inlineStr"/>
    </row>
    <row r="209" ht="15" customHeight="1">
      <c r="A209" t="inlineStr">
        <is>
          <t>A 29204-2019</t>
        </is>
      </c>
      <c r="B209" s="1" t="n">
        <v>43623</v>
      </c>
      <c r="C209" s="1" t="n">
        <v>45807</v>
      </c>
      <c r="D209" t="inlineStr">
        <is>
          <t>UPPSALA LÄN</t>
        </is>
      </c>
      <c r="E209" t="inlineStr">
        <is>
          <t>ÖSTHAMMAR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31106-2019</t>
        </is>
      </c>
      <c r="B210" s="1" t="n">
        <v>43635</v>
      </c>
      <c r="C210" s="1" t="n">
        <v>45807</v>
      </c>
      <c r="D210" t="inlineStr">
        <is>
          <t>UPPSALA LÄN</t>
        </is>
      </c>
      <c r="E210" t="inlineStr">
        <is>
          <t>ÖSTHAMMAR</t>
        </is>
      </c>
      <c r="F210" t="inlineStr">
        <is>
          <t>Övriga statliga verk och myndigheter</t>
        </is>
      </c>
      <c r="G210" t="n">
        <v>1.5</v>
      </c>
      <c r="H210" t="n">
        <v>0</v>
      </c>
      <c r="I210" t="n">
        <v>0</v>
      </c>
      <c r="J210" t="n">
        <v>0</v>
      </c>
      <c r="K210" t="n">
        <v>0</v>
      </c>
      <c r="L210" t="n">
        <v>0</v>
      </c>
      <c r="M210" t="n">
        <v>0</v>
      </c>
      <c r="N210" t="n">
        <v>0</v>
      </c>
      <c r="O210" t="n">
        <v>0</v>
      </c>
      <c r="P210" t="n">
        <v>0</v>
      </c>
      <c r="Q210" t="n">
        <v>0</v>
      </c>
      <c r="R210" s="2" t="inlineStr"/>
    </row>
    <row r="211" ht="15" customHeight="1">
      <c r="A211" t="inlineStr">
        <is>
          <t>A 31716-2019</t>
        </is>
      </c>
      <c r="B211" s="1" t="n">
        <v>43642</v>
      </c>
      <c r="C211" s="1" t="n">
        <v>45807</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31882-2019</t>
        </is>
      </c>
      <c r="B212" s="1" t="n">
        <v>43642</v>
      </c>
      <c r="C212" s="1" t="n">
        <v>45807</v>
      </c>
      <c r="D212" t="inlineStr">
        <is>
          <t>UPPSALA LÄN</t>
        </is>
      </c>
      <c r="E212" t="inlineStr">
        <is>
          <t>ÖSTHAMMAR</t>
        </is>
      </c>
      <c r="G212" t="n">
        <v>3.5</v>
      </c>
      <c r="H212" t="n">
        <v>0</v>
      </c>
      <c r="I212" t="n">
        <v>0</v>
      </c>
      <c r="J212" t="n">
        <v>0</v>
      </c>
      <c r="K212" t="n">
        <v>0</v>
      </c>
      <c r="L212" t="n">
        <v>0</v>
      </c>
      <c r="M212" t="n">
        <v>0</v>
      </c>
      <c r="N212" t="n">
        <v>0</v>
      </c>
      <c r="O212" t="n">
        <v>0</v>
      </c>
      <c r="P212" t="n">
        <v>0</v>
      </c>
      <c r="Q212" t="n">
        <v>0</v>
      </c>
      <c r="R212" s="2" t="inlineStr"/>
    </row>
    <row r="213" ht="15" customHeight="1">
      <c r="A213" t="inlineStr">
        <is>
          <t>A 32718-2019</t>
        </is>
      </c>
      <c r="B213" s="1" t="n">
        <v>43647</v>
      </c>
      <c r="C213" s="1" t="n">
        <v>45807</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33532-2019</t>
        </is>
      </c>
      <c r="B214" s="1" t="n">
        <v>43651</v>
      </c>
      <c r="C214" s="1" t="n">
        <v>45807</v>
      </c>
      <c r="D214" t="inlineStr">
        <is>
          <t>UPPSALA LÄN</t>
        </is>
      </c>
      <c r="E214" t="inlineStr">
        <is>
          <t>ÖSTHAMMAR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33544-2019</t>
        </is>
      </c>
      <c r="B215" s="1" t="n">
        <v>43651</v>
      </c>
      <c r="C215" s="1" t="n">
        <v>45807</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33539-2019</t>
        </is>
      </c>
      <c r="B216" s="1" t="n">
        <v>43651</v>
      </c>
      <c r="C216" s="1" t="n">
        <v>45807</v>
      </c>
      <c r="D216" t="inlineStr">
        <is>
          <t>UPPSALA LÄN</t>
        </is>
      </c>
      <c r="E216" t="inlineStr">
        <is>
          <t>ÖSTHAMMAR</t>
        </is>
      </c>
      <c r="G216" t="n">
        <v>4.6</v>
      </c>
      <c r="H216" t="n">
        <v>0</v>
      </c>
      <c r="I216" t="n">
        <v>0</v>
      </c>
      <c r="J216" t="n">
        <v>0</v>
      </c>
      <c r="K216" t="n">
        <v>0</v>
      </c>
      <c r="L216" t="n">
        <v>0</v>
      </c>
      <c r="M216" t="n">
        <v>0</v>
      </c>
      <c r="N216" t="n">
        <v>0</v>
      </c>
      <c r="O216" t="n">
        <v>0</v>
      </c>
      <c r="P216" t="n">
        <v>0</v>
      </c>
      <c r="Q216" t="n">
        <v>0</v>
      </c>
      <c r="R216" s="2" t="inlineStr"/>
    </row>
    <row r="217" ht="15" customHeight="1">
      <c r="A217" t="inlineStr">
        <is>
          <t>A 33551-2019</t>
        </is>
      </c>
      <c r="B217" s="1" t="n">
        <v>43651</v>
      </c>
      <c r="C217" s="1" t="n">
        <v>45807</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33784-2019</t>
        </is>
      </c>
      <c r="B218" s="1" t="n">
        <v>43651</v>
      </c>
      <c r="C218" s="1" t="n">
        <v>45807</v>
      </c>
      <c r="D218" t="inlineStr">
        <is>
          <t>UPPSALA LÄN</t>
        </is>
      </c>
      <c r="E218" t="inlineStr">
        <is>
          <t>ÖSTHAMMAR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39582-2019</t>
        </is>
      </c>
      <c r="B219" s="1" t="n">
        <v>43686</v>
      </c>
      <c r="C219" s="1" t="n">
        <v>45807</v>
      </c>
      <c r="D219" t="inlineStr">
        <is>
          <t>UPPSALA LÄN</t>
        </is>
      </c>
      <c r="E219" t="inlineStr">
        <is>
          <t>ÖSTHAMMAR</t>
        </is>
      </c>
      <c r="G219" t="n">
        <v>12.2</v>
      </c>
      <c r="H219" t="n">
        <v>0</v>
      </c>
      <c r="I219" t="n">
        <v>0</v>
      </c>
      <c r="J219" t="n">
        <v>0</v>
      </c>
      <c r="K219" t="n">
        <v>0</v>
      </c>
      <c r="L219" t="n">
        <v>0</v>
      </c>
      <c r="M219" t="n">
        <v>0</v>
      </c>
      <c r="N219" t="n">
        <v>0</v>
      </c>
      <c r="O219" t="n">
        <v>0</v>
      </c>
      <c r="P219" t="n">
        <v>0</v>
      </c>
      <c r="Q219" t="n">
        <v>0</v>
      </c>
      <c r="R219" s="2" t="inlineStr"/>
    </row>
    <row r="220" ht="15" customHeight="1">
      <c r="A220" t="inlineStr">
        <is>
          <t>A 39910-2019</t>
        </is>
      </c>
      <c r="B220" s="1" t="n">
        <v>43692</v>
      </c>
      <c r="C220" s="1" t="n">
        <v>45807</v>
      </c>
      <c r="D220" t="inlineStr">
        <is>
          <t>UPPSALA LÄN</t>
        </is>
      </c>
      <c r="E220" t="inlineStr">
        <is>
          <t>ÖSTHAMMAR</t>
        </is>
      </c>
      <c r="G220" t="n">
        <v>3.9</v>
      </c>
      <c r="H220" t="n">
        <v>0</v>
      </c>
      <c r="I220" t="n">
        <v>0</v>
      </c>
      <c r="J220" t="n">
        <v>0</v>
      </c>
      <c r="K220" t="n">
        <v>0</v>
      </c>
      <c r="L220" t="n">
        <v>0</v>
      </c>
      <c r="M220" t="n">
        <v>0</v>
      </c>
      <c r="N220" t="n">
        <v>0</v>
      </c>
      <c r="O220" t="n">
        <v>0</v>
      </c>
      <c r="P220" t="n">
        <v>0</v>
      </c>
      <c r="Q220" t="n">
        <v>0</v>
      </c>
      <c r="R220" s="2" t="inlineStr"/>
    </row>
    <row r="221" ht="15" customHeight="1">
      <c r="A221" t="inlineStr">
        <is>
          <t>A 41697-2019</t>
        </is>
      </c>
      <c r="B221" s="1" t="n">
        <v>43699</v>
      </c>
      <c r="C221" s="1" t="n">
        <v>45807</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41539-2019</t>
        </is>
      </c>
      <c r="B222" s="1" t="n">
        <v>43699</v>
      </c>
      <c r="C222" s="1" t="n">
        <v>45807</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43426-2019</t>
        </is>
      </c>
      <c r="B223" s="1" t="n">
        <v>43706</v>
      </c>
      <c r="C223" s="1" t="n">
        <v>45807</v>
      </c>
      <c r="D223" t="inlineStr">
        <is>
          <t>UPPSALA LÄN</t>
        </is>
      </c>
      <c r="E223" t="inlineStr">
        <is>
          <t>ÖSTHAMMAR</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45140-2019</t>
        </is>
      </c>
      <c r="B224" s="1" t="n">
        <v>43713</v>
      </c>
      <c r="C224" s="1" t="n">
        <v>45807</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45681-2019</t>
        </is>
      </c>
      <c r="B225" s="1" t="n">
        <v>43717</v>
      </c>
      <c r="C225" s="1" t="n">
        <v>45807</v>
      </c>
      <c r="D225" t="inlineStr">
        <is>
          <t>UPPSALA LÄN</t>
        </is>
      </c>
      <c r="E225" t="inlineStr">
        <is>
          <t>ÖSTHAMMAR</t>
        </is>
      </c>
      <c r="F225" t="inlineStr">
        <is>
          <t>Bergvik skog öst AB</t>
        </is>
      </c>
      <c r="G225" t="n">
        <v>3</v>
      </c>
      <c r="H225" t="n">
        <v>0</v>
      </c>
      <c r="I225" t="n">
        <v>0</v>
      </c>
      <c r="J225" t="n">
        <v>0</v>
      </c>
      <c r="K225" t="n">
        <v>0</v>
      </c>
      <c r="L225" t="n">
        <v>0</v>
      </c>
      <c r="M225" t="n">
        <v>0</v>
      </c>
      <c r="N225" t="n">
        <v>0</v>
      </c>
      <c r="O225" t="n">
        <v>0</v>
      </c>
      <c r="P225" t="n">
        <v>0</v>
      </c>
      <c r="Q225" t="n">
        <v>0</v>
      </c>
      <c r="R225" s="2" t="inlineStr"/>
    </row>
    <row r="226" ht="15" customHeight="1">
      <c r="A226" t="inlineStr">
        <is>
          <t>A 47440-2019</t>
        </is>
      </c>
      <c r="B226" s="1" t="n">
        <v>43723</v>
      </c>
      <c r="C226" s="1" t="n">
        <v>45807</v>
      </c>
      <c r="D226" t="inlineStr">
        <is>
          <t>UPPSALA LÄN</t>
        </is>
      </c>
      <c r="E226" t="inlineStr">
        <is>
          <t>ÖSTHAMMAR</t>
        </is>
      </c>
      <c r="G226" t="n">
        <v>0.1</v>
      </c>
      <c r="H226" t="n">
        <v>0</v>
      </c>
      <c r="I226" t="n">
        <v>0</v>
      </c>
      <c r="J226" t="n">
        <v>0</v>
      </c>
      <c r="K226" t="n">
        <v>0</v>
      </c>
      <c r="L226" t="n">
        <v>0</v>
      </c>
      <c r="M226" t="n">
        <v>0</v>
      </c>
      <c r="N226" t="n">
        <v>0</v>
      </c>
      <c r="O226" t="n">
        <v>0</v>
      </c>
      <c r="P226" t="n">
        <v>0</v>
      </c>
      <c r="Q226" t="n">
        <v>0</v>
      </c>
      <c r="R226" s="2" t="inlineStr"/>
    </row>
    <row r="227" ht="15" customHeight="1">
      <c r="A227" t="inlineStr">
        <is>
          <t>A 47436-2019</t>
        </is>
      </c>
      <c r="B227" s="1" t="n">
        <v>43723</v>
      </c>
      <c r="C227" s="1" t="n">
        <v>45807</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51025-2019</t>
        </is>
      </c>
      <c r="B228" s="1" t="n">
        <v>43739</v>
      </c>
      <c r="C228" s="1" t="n">
        <v>45807</v>
      </c>
      <c r="D228" t="inlineStr">
        <is>
          <t>UPPSALA LÄN</t>
        </is>
      </c>
      <c r="E228" t="inlineStr">
        <is>
          <t>ÖSTHAMMAR</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53442-2019</t>
        </is>
      </c>
      <c r="B229" s="1" t="n">
        <v>43748</v>
      </c>
      <c r="C229" s="1" t="n">
        <v>45807</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55382-2019</t>
        </is>
      </c>
      <c r="B230" s="1" t="n">
        <v>43755</v>
      </c>
      <c r="C230" s="1" t="n">
        <v>45807</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57686-2019</t>
        </is>
      </c>
      <c r="B231" s="1" t="n">
        <v>43761</v>
      </c>
      <c r="C231" s="1" t="n">
        <v>45807</v>
      </c>
      <c r="D231" t="inlineStr">
        <is>
          <t>UPPSALA LÄN</t>
        </is>
      </c>
      <c r="E231" t="inlineStr">
        <is>
          <t>ÖSTHAMMAR</t>
        </is>
      </c>
      <c r="G231" t="n">
        <v>5.7</v>
      </c>
      <c r="H231" t="n">
        <v>0</v>
      </c>
      <c r="I231" t="n">
        <v>0</v>
      </c>
      <c r="J231" t="n">
        <v>0</v>
      </c>
      <c r="K231" t="n">
        <v>0</v>
      </c>
      <c r="L231" t="n">
        <v>0</v>
      </c>
      <c r="M231" t="n">
        <v>0</v>
      </c>
      <c r="N231" t="n">
        <v>0</v>
      </c>
      <c r="O231" t="n">
        <v>0</v>
      </c>
      <c r="P231" t="n">
        <v>0</v>
      </c>
      <c r="Q231" t="n">
        <v>0</v>
      </c>
      <c r="R231" s="2" t="inlineStr"/>
    </row>
    <row r="232" ht="15" customHeight="1">
      <c r="A232" t="inlineStr">
        <is>
          <t>A 57304-2019</t>
        </is>
      </c>
      <c r="B232" s="1" t="n">
        <v>43767</v>
      </c>
      <c r="C232" s="1" t="n">
        <v>45807</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58665-2019</t>
        </is>
      </c>
      <c r="B233" s="1" t="n">
        <v>43773</v>
      </c>
      <c r="C233" s="1" t="n">
        <v>45807</v>
      </c>
      <c r="D233" t="inlineStr">
        <is>
          <t>UPPSALA LÄN</t>
        </is>
      </c>
      <c r="E233" t="inlineStr">
        <is>
          <t>ÖSTHAMMAR</t>
        </is>
      </c>
      <c r="G233" t="n">
        <v>2</v>
      </c>
      <c r="H233" t="n">
        <v>0</v>
      </c>
      <c r="I233" t="n">
        <v>0</v>
      </c>
      <c r="J233" t="n">
        <v>0</v>
      </c>
      <c r="K233" t="n">
        <v>0</v>
      </c>
      <c r="L233" t="n">
        <v>0</v>
      </c>
      <c r="M233" t="n">
        <v>0</v>
      </c>
      <c r="N233" t="n">
        <v>0</v>
      </c>
      <c r="O233" t="n">
        <v>0</v>
      </c>
      <c r="P233" t="n">
        <v>0</v>
      </c>
      <c r="Q233" t="n">
        <v>0</v>
      </c>
      <c r="R233" s="2" t="inlineStr"/>
    </row>
    <row r="234" ht="15" customHeight="1">
      <c r="A234" t="inlineStr">
        <is>
          <t>A 60977-2019</t>
        </is>
      </c>
      <c r="B234" s="1" t="n">
        <v>43782</v>
      </c>
      <c r="C234" s="1" t="n">
        <v>45807</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61866-2019</t>
        </is>
      </c>
      <c r="B235" s="1" t="n">
        <v>43787</v>
      </c>
      <c r="C235" s="1" t="n">
        <v>45807</v>
      </c>
      <c r="D235" t="inlineStr">
        <is>
          <t>UPPSALA LÄN</t>
        </is>
      </c>
      <c r="E235" t="inlineStr">
        <is>
          <t>ÖSTHAMMAR</t>
        </is>
      </c>
      <c r="F235" t="inlineStr">
        <is>
          <t>Bergvik skog öst AB</t>
        </is>
      </c>
      <c r="G235" t="n">
        <v>6.6</v>
      </c>
      <c r="H235" t="n">
        <v>0</v>
      </c>
      <c r="I235" t="n">
        <v>0</v>
      </c>
      <c r="J235" t="n">
        <v>0</v>
      </c>
      <c r="K235" t="n">
        <v>0</v>
      </c>
      <c r="L235" t="n">
        <v>0</v>
      </c>
      <c r="M235" t="n">
        <v>0</v>
      </c>
      <c r="N235" t="n">
        <v>0</v>
      </c>
      <c r="O235" t="n">
        <v>0</v>
      </c>
      <c r="P235" t="n">
        <v>0</v>
      </c>
      <c r="Q235" t="n">
        <v>0</v>
      </c>
      <c r="R235" s="2" t="inlineStr"/>
    </row>
    <row r="236" ht="15" customHeight="1">
      <c r="A236" t="inlineStr">
        <is>
          <t>A 62808-2019</t>
        </is>
      </c>
      <c r="B236" s="1" t="n">
        <v>43790</v>
      </c>
      <c r="C236" s="1" t="n">
        <v>45807</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63564-2019</t>
        </is>
      </c>
      <c r="B237" s="1" t="n">
        <v>43795</v>
      </c>
      <c r="C237" s="1" t="n">
        <v>45807</v>
      </c>
      <c r="D237" t="inlineStr">
        <is>
          <t>UPPSALA LÄN</t>
        </is>
      </c>
      <c r="E237" t="inlineStr">
        <is>
          <t>ÖSTHAMMAR</t>
        </is>
      </c>
      <c r="F237" t="inlineStr">
        <is>
          <t>Övriga Aktiebolag</t>
        </is>
      </c>
      <c r="G237" t="n">
        <v>4.7</v>
      </c>
      <c r="H237" t="n">
        <v>0</v>
      </c>
      <c r="I237" t="n">
        <v>0</v>
      </c>
      <c r="J237" t="n">
        <v>0</v>
      </c>
      <c r="K237" t="n">
        <v>0</v>
      </c>
      <c r="L237" t="n">
        <v>0</v>
      </c>
      <c r="M237" t="n">
        <v>0</v>
      </c>
      <c r="N237" t="n">
        <v>0</v>
      </c>
      <c r="O237" t="n">
        <v>0</v>
      </c>
      <c r="P237" t="n">
        <v>0</v>
      </c>
      <c r="Q237" t="n">
        <v>0</v>
      </c>
      <c r="R237" s="2" t="inlineStr"/>
    </row>
    <row r="238" ht="15" customHeight="1">
      <c r="A238" t="inlineStr">
        <is>
          <t>A 64344-2019</t>
        </is>
      </c>
      <c r="B238" s="1" t="n">
        <v>43797</v>
      </c>
      <c r="C238" s="1" t="n">
        <v>45807</v>
      </c>
      <c r="D238" t="inlineStr">
        <is>
          <t>UPPSALA LÄN</t>
        </is>
      </c>
      <c r="E238" t="inlineStr">
        <is>
          <t>ÖSTHAMMAR</t>
        </is>
      </c>
      <c r="G238" t="n">
        <v>3.1</v>
      </c>
      <c r="H238" t="n">
        <v>0</v>
      </c>
      <c r="I238" t="n">
        <v>0</v>
      </c>
      <c r="J238" t="n">
        <v>0</v>
      </c>
      <c r="K238" t="n">
        <v>0</v>
      </c>
      <c r="L238" t="n">
        <v>0</v>
      </c>
      <c r="M238" t="n">
        <v>0</v>
      </c>
      <c r="N238" t="n">
        <v>0</v>
      </c>
      <c r="O238" t="n">
        <v>0</v>
      </c>
      <c r="P238" t="n">
        <v>0</v>
      </c>
      <c r="Q238" t="n">
        <v>0</v>
      </c>
      <c r="R238" s="2" t="inlineStr"/>
    </row>
    <row r="239" ht="15" customHeight="1">
      <c r="A239" t="inlineStr">
        <is>
          <t>A 65107-2019</t>
        </is>
      </c>
      <c r="B239" s="1" t="n">
        <v>43802</v>
      </c>
      <c r="C239" s="1" t="n">
        <v>45807</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67647-2019</t>
        </is>
      </c>
      <c r="B240" s="1" t="n">
        <v>43808</v>
      </c>
      <c r="C240" s="1" t="n">
        <v>45807</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66802-2019</t>
        </is>
      </c>
      <c r="B241" s="1" t="n">
        <v>43810</v>
      </c>
      <c r="C241" s="1" t="n">
        <v>45807</v>
      </c>
      <c r="D241" t="inlineStr">
        <is>
          <t>UPPSALA LÄN</t>
        </is>
      </c>
      <c r="E241" t="inlineStr">
        <is>
          <t>ÖSTHAMMAR</t>
        </is>
      </c>
      <c r="F241" t="inlineStr">
        <is>
          <t>Bergvik skog öst AB</t>
        </is>
      </c>
      <c r="G241" t="n">
        <v>34.8</v>
      </c>
      <c r="H241" t="n">
        <v>0</v>
      </c>
      <c r="I241" t="n">
        <v>0</v>
      </c>
      <c r="J241" t="n">
        <v>0</v>
      </c>
      <c r="K241" t="n">
        <v>0</v>
      </c>
      <c r="L241" t="n">
        <v>0</v>
      </c>
      <c r="M241" t="n">
        <v>0</v>
      </c>
      <c r="N241" t="n">
        <v>0</v>
      </c>
      <c r="O241" t="n">
        <v>0</v>
      </c>
      <c r="P241" t="n">
        <v>0</v>
      </c>
      <c r="Q241" t="n">
        <v>0</v>
      </c>
      <c r="R241" s="2" t="inlineStr"/>
    </row>
    <row r="242" ht="15" customHeight="1">
      <c r="A242" t="inlineStr">
        <is>
          <t>A 67254-2019</t>
        </is>
      </c>
      <c r="B242" s="1" t="n">
        <v>43812</v>
      </c>
      <c r="C242" s="1" t="n">
        <v>45807</v>
      </c>
      <c r="D242" t="inlineStr">
        <is>
          <t>UPPSALA LÄN</t>
        </is>
      </c>
      <c r="E242" t="inlineStr">
        <is>
          <t>ÖSTHAMMAR</t>
        </is>
      </c>
      <c r="F242" t="inlineStr">
        <is>
          <t>Allmännings- och besparingsskogar</t>
        </is>
      </c>
      <c r="G242" t="n">
        <v>0.8</v>
      </c>
      <c r="H242" t="n">
        <v>0</v>
      </c>
      <c r="I242" t="n">
        <v>0</v>
      </c>
      <c r="J242" t="n">
        <v>0</v>
      </c>
      <c r="K242" t="n">
        <v>0</v>
      </c>
      <c r="L242" t="n">
        <v>0</v>
      </c>
      <c r="M242" t="n">
        <v>0</v>
      </c>
      <c r="N242" t="n">
        <v>0</v>
      </c>
      <c r="O242" t="n">
        <v>0</v>
      </c>
      <c r="P242" t="n">
        <v>0</v>
      </c>
      <c r="Q242" t="n">
        <v>0</v>
      </c>
      <c r="R242" s="2" t="inlineStr"/>
    </row>
    <row r="243" ht="15" customHeight="1">
      <c r="A243" t="inlineStr">
        <is>
          <t>A 618-2020</t>
        </is>
      </c>
      <c r="B243" s="1" t="n">
        <v>43817</v>
      </c>
      <c r="C243" s="1" t="n">
        <v>45807</v>
      </c>
      <c r="D243" t="inlineStr">
        <is>
          <t>UPPSALA LÄN</t>
        </is>
      </c>
      <c r="E243" t="inlineStr">
        <is>
          <t>ÖSTHAMMAR</t>
        </is>
      </c>
      <c r="G243" t="n">
        <v>3.2</v>
      </c>
      <c r="H243" t="n">
        <v>0</v>
      </c>
      <c r="I243" t="n">
        <v>0</v>
      </c>
      <c r="J243" t="n">
        <v>0</v>
      </c>
      <c r="K243" t="n">
        <v>0</v>
      </c>
      <c r="L243" t="n">
        <v>0</v>
      </c>
      <c r="M243" t="n">
        <v>0</v>
      </c>
      <c r="N243" t="n">
        <v>0</v>
      </c>
      <c r="O243" t="n">
        <v>0</v>
      </c>
      <c r="P243" t="n">
        <v>0</v>
      </c>
      <c r="Q243" t="n">
        <v>0</v>
      </c>
      <c r="R243" s="2" t="inlineStr"/>
    </row>
    <row r="244" ht="15" customHeight="1">
      <c r="A244" t="inlineStr">
        <is>
          <t>A 68870-2019</t>
        </is>
      </c>
      <c r="B244" s="1" t="n">
        <v>43821</v>
      </c>
      <c r="C244" s="1" t="n">
        <v>45807</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68871-2019</t>
        </is>
      </c>
      <c r="B245" s="1" t="n">
        <v>43821</v>
      </c>
      <c r="C245" s="1" t="n">
        <v>45807</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68868-2019</t>
        </is>
      </c>
      <c r="B246" s="1" t="n">
        <v>43821</v>
      </c>
      <c r="C246" s="1" t="n">
        <v>45807</v>
      </c>
      <c r="D246" t="inlineStr">
        <is>
          <t>UPPSALA LÄN</t>
        </is>
      </c>
      <c r="E246" t="inlineStr">
        <is>
          <t>ÖSTHAMMAR</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685-2020</t>
        </is>
      </c>
      <c r="B247" s="1" t="n">
        <v>43838</v>
      </c>
      <c r="C247" s="1" t="n">
        <v>45807</v>
      </c>
      <c r="D247" t="inlineStr">
        <is>
          <t>UPPSALA LÄN</t>
        </is>
      </c>
      <c r="E247" t="inlineStr">
        <is>
          <t>ÖSTHAMMAR</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1685-2020</t>
        </is>
      </c>
      <c r="B248" s="1" t="n">
        <v>43844</v>
      </c>
      <c r="C248" s="1" t="n">
        <v>45807</v>
      </c>
      <c r="D248" t="inlineStr">
        <is>
          <t>UPPSALA LÄN</t>
        </is>
      </c>
      <c r="E248" t="inlineStr">
        <is>
          <t>ÖSTHAMMAR</t>
        </is>
      </c>
      <c r="F248" t="inlineStr">
        <is>
          <t>Övriga Aktiebolag</t>
        </is>
      </c>
      <c r="G248" t="n">
        <v>4.3</v>
      </c>
      <c r="H248" t="n">
        <v>0</v>
      </c>
      <c r="I248" t="n">
        <v>0</v>
      </c>
      <c r="J248" t="n">
        <v>0</v>
      </c>
      <c r="K248" t="n">
        <v>0</v>
      </c>
      <c r="L248" t="n">
        <v>0</v>
      </c>
      <c r="M248" t="n">
        <v>0</v>
      </c>
      <c r="N248" t="n">
        <v>0</v>
      </c>
      <c r="O248" t="n">
        <v>0</v>
      </c>
      <c r="P248" t="n">
        <v>0</v>
      </c>
      <c r="Q248" t="n">
        <v>0</v>
      </c>
      <c r="R248" s="2" t="inlineStr"/>
    </row>
    <row r="249" ht="15" customHeight="1">
      <c r="A249" t="inlineStr">
        <is>
          <t>A 1681-2020</t>
        </is>
      </c>
      <c r="B249" s="1" t="n">
        <v>43844</v>
      </c>
      <c r="C249" s="1" t="n">
        <v>45807</v>
      </c>
      <c r="D249" t="inlineStr">
        <is>
          <t>UPPSALA LÄN</t>
        </is>
      </c>
      <c r="E249" t="inlineStr">
        <is>
          <t>ÖSTHAMMAR</t>
        </is>
      </c>
      <c r="F249" t="inlineStr">
        <is>
          <t>Övriga Aktiebolag</t>
        </is>
      </c>
      <c r="G249" t="n">
        <v>1.6</v>
      </c>
      <c r="H249" t="n">
        <v>0</v>
      </c>
      <c r="I249" t="n">
        <v>0</v>
      </c>
      <c r="J249" t="n">
        <v>0</v>
      </c>
      <c r="K249" t="n">
        <v>0</v>
      </c>
      <c r="L249" t="n">
        <v>0</v>
      </c>
      <c r="M249" t="n">
        <v>0</v>
      </c>
      <c r="N249" t="n">
        <v>0</v>
      </c>
      <c r="O249" t="n">
        <v>0</v>
      </c>
      <c r="P249" t="n">
        <v>0</v>
      </c>
      <c r="Q249" t="n">
        <v>0</v>
      </c>
      <c r="R249" s="2" t="inlineStr"/>
    </row>
    <row r="250" ht="15" customHeight="1">
      <c r="A250" t="inlineStr">
        <is>
          <t>A 4473-2020</t>
        </is>
      </c>
      <c r="B250" s="1" t="n">
        <v>43850</v>
      </c>
      <c r="C250" s="1" t="n">
        <v>45807</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3334-2020</t>
        </is>
      </c>
      <c r="B251" s="1" t="n">
        <v>43852</v>
      </c>
      <c r="C251" s="1" t="n">
        <v>45807</v>
      </c>
      <c r="D251" t="inlineStr">
        <is>
          <t>UPPSALA LÄN</t>
        </is>
      </c>
      <c r="E251" t="inlineStr">
        <is>
          <t>ÖSTHAMMAR</t>
        </is>
      </c>
      <c r="G251" t="n">
        <v>2.5</v>
      </c>
      <c r="H251" t="n">
        <v>0</v>
      </c>
      <c r="I251" t="n">
        <v>0</v>
      </c>
      <c r="J251" t="n">
        <v>0</v>
      </c>
      <c r="K251" t="n">
        <v>0</v>
      </c>
      <c r="L251" t="n">
        <v>0</v>
      </c>
      <c r="M251" t="n">
        <v>0</v>
      </c>
      <c r="N251" t="n">
        <v>0</v>
      </c>
      <c r="O251" t="n">
        <v>0</v>
      </c>
      <c r="P251" t="n">
        <v>0</v>
      </c>
      <c r="Q251" t="n">
        <v>0</v>
      </c>
      <c r="R251" s="2" t="inlineStr"/>
    </row>
    <row r="252" ht="15" customHeight="1">
      <c r="A252" t="inlineStr">
        <is>
          <t>A 3984-2020</t>
        </is>
      </c>
      <c r="B252" s="1" t="n">
        <v>43855</v>
      </c>
      <c r="C252" s="1" t="n">
        <v>45807</v>
      </c>
      <c r="D252" t="inlineStr">
        <is>
          <t>UPPSALA LÄN</t>
        </is>
      </c>
      <c r="E252" t="inlineStr">
        <is>
          <t>ÖSTHAMMAR</t>
        </is>
      </c>
      <c r="F252" t="inlineStr">
        <is>
          <t>Bergvik skog öst AB</t>
        </is>
      </c>
      <c r="G252" t="n">
        <v>1.1</v>
      </c>
      <c r="H252" t="n">
        <v>0</v>
      </c>
      <c r="I252" t="n">
        <v>0</v>
      </c>
      <c r="J252" t="n">
        <v>0</v>
      </c>
      <c r="K252" t="n">
        <v>0</v>
      </c>
      <c r="L252" t="n">
        <v>0</v>
      </c>
      <c r="M252" t="n">
        <v>0</v>
      </c>
      <c r="N252" t="n">
        <v>0</v>
      </c>
      <c r="O252" t="n">
        <v>0</v>
      </c>
      <c r="P252" t="n">
        <v>0</v>
      </c>
      <c r="Q252" t="n">
        <v>0</v>
      </c>
      <c r="R252" s="2" t="inlineStr"/>
    </row>
    <row r="253" ht="15" customHeight="1">
      <c r="A253" t="inlineStr">
        <is>
          <t>A 6052-2020</t>
        </is>
      </c>
      <c r="B253" s="1" t="n">
        <v>43864</v>
      </c>
      <c r="C253" s="1" t="n">
        <v>45807</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6026-2020</t>
        </is>
      </c>
      <c r="B254" s="1" t="n">
        <v>43865</v>
      </c>
      <c r="C254" s="1" t="n">
        <v>45807</v>
      </c>
      <c r="D254" t="inlineStr">
        <is>
          <t>UPPSALA LÄN</t>
        </is>
      </c>
      <c r="E254" t="inlineStr">
        <is>
          <t>ÖSTHAMMAR</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6791-2020</t>
        </is>
      </c>
      <c r="B255" s="1" t="n">
        <v>43867</v>
      </c>
      <c r="C255" s="1" t="n">
        <v>45807</v>
      </c>
      <c r="D255" t="inlineStr">
        <is>
          <t>UPPSALA LÄN</t>
        </is>
      </c>
      <c r="E255" t="inlineStr">
        <is>
          <t>ÖSTHAMMAR</t>
        </is>
      </c>
      <c r="G255" t="n">
        <v>3</v>
      </c>
      <c r="H255" t="n">
        <v>0</v>
      </c>
      <c r="I255" t="n">
        <v>0</v>
      </c>
      <c r="J255" t="n">
        <v>0</v>
      </c>
      <c r="K255" t="n">
        <v>0</v>
      </c>
      <c r="L255" t="n">
        <v>0</v>
      </c>
      <c r="M255" t="n">
        <v>0</v>
      </c>
      <c r="N255" t="n">
        <v>0</v>
      </c>
      <c r="O255" t="n">
        <v>0</v>
      </c>
      <c r="P255" t="n">
        <v>0</v>
      </c>
      <c r="Q255" t="n">
        <v>0</v>
      </c>
      <c r="R255" s="2" t="inlineStr"/>
    </row>
    <row r="256" ht="15" customHeight="1">
      <c r="A256" t="inlineStr">
        <is>
          <t>A 7847-2020</t>
        </is>
      </c>
      <c r="B256" s="1" t="n">
        <v>43873</v>
      </c>
      <c r="C256" s="1" t="n">
        <v>45807</v>
      </c>
      <c r="D256" t="inlineStr">
        <is>
          <t>UPPSALA LÄN</t>
        </is>
      </c>
      <c r="E256" t="inlineStr">
        <is>
          <t>ÖSTHAMMAR</t>
        </is>
      </c>
      <c r="F256" t="inlineStr">
        <is>
          <t>Övriga Aktiebolag</t>
        </is>
      </c>
      <c r="G256" t="n">
        <v>15.3</v>
      </c>
      <c r="H256" t="n">
        <v>0</v>
      </c>
      <c r="I256" t="n">
        <v>0</v>
      </c>
      <c r="J256" t="n">
        <v>0</v>
      </c>
      <c r="K256" t="n">
        <v>0</v>
      </c>
      <c r="L256" t="n">
        <v>0</v>
      </c>
      <c r="M256" t="n">
        <v>0</v>
      </c>
      <c r="N256" t="n">
        <v>0</v>
      </c>
      <c r="O256" t="n">
        <v>0</v>
      </c>
      <c r="P256" t="n">
        <v>0</v>
      </c>
      <c r="Q256" t="n">
        <v>0</v>
      </c>
      <c r="R256" s="2" t="inlineStr"/>
    </row>
    <row r="257" ht="15" customHeight="1">
      <c r="A257" t="inlineStr">
        <is>
          <t>A 10008-2020</t>
        </is>
      </c>
      <c r="B257" s="1" t="n">
        <v>43882</v>
      </c>
      <c r="C257" s="1" t="n">
        <v>45807</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10345-2020</t>
        </is>
      </c>
      <c r="B258" s="1" t="n">
        <v>43885</v>
      </c>
      <c r="C258" s="1" t="n">
        <v>45807</v>
      </c>
      <c r="D258" t="inlineStr">
        <is>
          <t>UPPSALA LÄN</t>
        </is>
      </c>
      <c r="E258" t="inlineStr">
        <is>
          <t>ÖSTHAMMAR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10347-2020</t>
        </is>
      </c>
      <c r="B259" s="1" t="n">
        <v>43885</v>
      </c>
      <c r="C259" s="1" t="n">
        <v>45807</v>
      </c>
      <c r="D259" t="inlineStr">
        <is>
          <t>UPPSALA LÄN</t>
        </is>
      </c>
      <c r="E259" t="inlineStr">
        <is>
          <t>ÖSTHAMMAR</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12080-2020</t>
        </is>
      </c>
      <c r="B260" s="1" t="n">
        <v>43895</v>
      </c>
      <c r="C260" s="1" t="n">
        <v>45807</v>
      </c>
      <c r="D260" t="inlineStr">
        <is>
          <t>UPPSALA LÄN</t>
        </is>
      </c>
      <c r="E260" t="inlineStr">
        <is>
          <t>ÖSTHAMMAR</t>
        </is>
      </c>
      <c r="F260" t="inlineStr">
        <is>
          <t>Övriga Aktiebolag</t>
        </is>
      </c>
      <c r="G260" t="n">
        <v>13.9</v>
      </c>
      <c r="H260" t="n">
        <v>0</v>
      </c>
      <c r="I260" t="n">
        <v>0</v>
      </c>
      <c r="J260" t="n">
        <v>0</v>
      </c>
      <c r="K260" t="n">
        <v>0</v>
      </c>
      <c r="L260" t="n">
        <v>0</v>
      </c>
      <c r="M260" t="n">
        <v>0</v>
      </c>
      <c r="N260" t="n">
        <v>0</v>
      </c>
      <c r="O260" t="n">
        <v>0</v>
      </c>
      <c r="P260" t="n">
        <v>0</v>
      </c>
      <c r="Q260" t="n">
        <v>0</v>
      </c>
      <c r="R260" s="2" t="inlineStr"/>
    </row>
    <row r="261" ht="15" customHeight="1">
      <c r="A261" t="inlineStr">
        <is>
          <t>A 13112-2020</t>
        </is>
      </c>
      <c r="B261" s="1" t="n">
        <v>43901</v>
      </c>
      <c r="C261" s="1" t="n">
        <v>45807</v>
      </c>
      <c r="D261" t="inlineStr">
        <is>
          <t>UPPSALA LÄN</t>
        </is>
      </c>
      <c r="E261" t="inlineStr">
        <is>
          <t>ÖSTHAMMAR</t>
        </is>
      </c>
      <c r="F261" t="inlineStr">
        <is>
          <t>Övriga Aktiebolag</t>
        </is>
      </c>
      <c r="G261" t="n">
        <v>6.5</v>
      </c>
      <c r="H261" t="n">
        <v>0</v>
      </c>
      <c r="I261" t="n">
        <v>0</v>
      </c>
      <c r="J261" t="n">
        <v>0</v>
      </c>
      <c r="K261" t="n">
        <v>0</v>
      </c>
      <c r="L261" t="n">
        <v>0</v>
      </c>
      <c r="M261" t="n">
        <v>0</v>
      </c>
      <c r="N261" t="n">
        <v>0</v>
      </c>
      <c r="O261" t="n">
        <v>0</v>
      </c>
      <c r="P261" t="n">
        <v>0</v>
      </c>
      <c r="Q261" t="n">
        <v>0</v>
      </c>
      <c r="R261" s="2" t="inlineStr"/>
    </row>
    <row r="262" ht="15" customHeight="1">
      <c r="A262" t="inlineStr">
        <is>
          <t>A 13310-2020</t>
        </is>
      </c>
      <c r="B262" s="1" t="n">
        <v>43902</v>
      </c>
      <c r="C262" s="1" t="n">
        <v>45807</v>
      </c>
      <c r="D262" t="inlineStr">
        <is>
          <t>UPPSALA LÄN</t>
        </is>
      </c>
      <c r="E262" t="inlineStr">
        <is>
          <t>ÖSTHAMMAR</t>
        </is>
      </c>
      <c r="F262" t="inlineStr">
        <is>
          <t>Bergvik skog öst AB</t>
        </is>
      </c>
      <c r="G262" t="n">
        <v>14.4</v>
      </c>
      <c r="H262" t="n">
        <v>0</v>
      </c>
      <c r="I262" t="n">
        <v>0</v>
      </c>
      <c r="J262" t="n">
        <v>0</v>
      </c>
      <c r="K262" t="n">
        <v>0</v>
      </c>
      <c r="L262" t="n">
        <v>0</v>
      </c>
      <c r="M262" t="n">
        <v>0</v>
      </c>
      <c r="N262" t="n">
        <v>0</v>
      </c>
      <c r="O262" t="n">
        <v>0</v>
      </c>
      <c r="P262" t="n">
        <v>0</v>
      </c>
      <c r="Q262" t="n">
        <v>0</v>
      </c>
      <c r="R262" s="2" t="inlineStr"/>
    </row>
    <row r="263" ht="15" customHeight="1">
      <c r="A263" t="inlineStr">
        <is>
          <t>A 13595-2020</t>
        </is>
      </c>
      <c r="B263" s="1" t="n">
        <v>43903</v>
      </c>
      <c r="C263" s="1" t="n">
        <v>45807</v>
      </c>
      <c r="D263" t="inlineStr">
        <is>
          <t>UPPSALA LÄN</t>
        </is>
      </c>
      <c r="E263" t="inlineStr">
        <is>
          <t>ÖSTHAMMAR</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13945-2020</t>
        </is>
      </c>
      <c r="B264" s="1" t="n">
        <v>43906</v>
      </c>
      <c r="C264" s="1" t="n">
        <v>45807</v>
      </c>
      <c r="D264" t="inlineStr">
        <is>
          <t>UPPSALA LÄN</t>
        </is>
      </c>
      <c r="E264" t="inlineStr">
        <is>
          <t>ÖSTHAMMAR</t>
        </is>
      </c>
      <c r="G264" t="n">
        <v>3.5</v>
      </c>
      <c r="H264" t="n">
        <v>0</v>
      </c>
      <c r="I264" t="n">
        <v>0</v>
      </c>
      <c r="J264" t="n">
        <v>0</v>
      </c>
      <c r="K264" t="n">
        <v>0</v>
      </c>
      <c r="L264" t="n">
        <v>0</v>
      </c>
      <c r="M264" t="n">
        <v>0</v>
      </c>
      <c r="N264" t="n">
        <v>0</v>
      </c>
      <c r="O264" t="n">
        <v>0</v>
      </c>
      <c r="P264" t="n">
        <v>0</v>
      </c>
      <c r="Q264" t="n">
        <v>0</v>
      </c>
      <c r="R264" s="2" t="inlineStr"/>
    </row>
    <row r="265" ht="15" customHeight="1">
      <c r="A265" t="inlineStr">
        <is>
          <t>A 14802-2020</t>
        </is>
      </c>
      <c r="B265" s="1" t="n">
        <v>43909</v>
      </c>
      <c r="C265" s="1" t="n">
        <v>45807</v>
      </c>
      <c r="D265" t="inlineStr">
        <is>
          <t>UPPSALA LÄN</t>
        </is>
      </c>
      <c r="E265" t="inlineStr">
        <is>
          <t>ÖSTHAMMAR</t>
        </is>
      </c>
      <c r="F265" t="inlineStr">
        <is>
          <t>Allmännings- och besparingsskogar</t>
        </is>
      </c>
      <c r="G265" t="n">
        <v>0.9</v>
      </c>
      <c r="H265" t="n">
        <v>0</v>
      </c>
      <c r="I265" t="n">
        <v>0</v>
      </c>
      <c r="J265" t="n">
        <v>0</v>
      </c>
      <c r="K265" t="n">
        <v>0</v>
      </c>
      <c r="L265" t="n">
        <v>0</v>
      </c>
      <c r="M265" t="n">
        <v>0</v>
      </c>
      <c r="N265" t="n">
        <v>0</v>
      </c>
      <c r="O265" t="n">
        <v>0</v>
      </c>
      <c r="P265" t="n">
        <v>0</v>
      </c>
      <c r="Q265" t="n">
        <v>0</v>
      </c>
      <c r="R265" s="2" t="inlineStr"/>
    </row>
    <row r="266" ht="15" customHeight="1">
      <c r="A266" t="inlineStr">
        <is>
          <t>A 14817-2020</t>
        </is>
      </c>
      <c r="B266" s="1" t="n">
        <v>43909</v>
      </c>
      <c r="C266" s="1" t="n">
        <v>45807</v>
      </c>
      <c r="D266" t="inlineStr">
        <is>
          <t>UPPSALA LÄN</t>
        </is>
      </c>
      <c r="E266" t="inlineStr">
        <is>
          <t>ÖSTHAMMAR</t>
        </is>
      </c>
      <c r="F266" t="inlineStr">
        <is>
          <t>Bergvik skog öst AB</t>
        </is>
      </c>
      <c r="G266" t="n">
        <v>3.1</v>
      </c>
      <c r="H266" t="n">
        <v>0</v>
      </c>
      <c r="I266" t="n">
        <v>0</v>
      </c>
      <c r="J266" t="n">
        <v>0</v>
      </c>
      <c r="K266" t="n">
        <v>0</v>
      </c>
      <c r="L266" t="n">
        <v>0</v>
      </c>
      <c r="M266" t="n">
        <v>0</v>
      </c>
      <c r="N266" t="n">
        <v>0</v>
      </c>
      <c r="O266" t="n">
        <v>0</v>
      </c>
      <c r="P266" t="n">
        <v>0</v>
      </c>
      <c r="Q266" t="n">
        <v>0</v>
      </c>
      <c r="R266" s="2" t="inlineStr"/>
    </row>
    <row r="267" ht="15" customHeight="1">
      <c r="A267" t="inlineStr">
        <is>
          <t>A 15067-2020</t>
        </is>
      </c>
      <c r="B267" s="1" t="n">
        <v>43910</v>
      </c>
      <c r="C267" s="1" t="n">
        <v>45807</v>
      </c>
      <c r="D267" t="inlineStr">
        <is>
          <t>UPPSALA LÄN</t>
        </is>
      </c>
      <c r="E267" t="inlineStr">
        <is>
          <t>ÖSTHAMMAR</t>
        </is>
      </c>
      <c r="F267" t="inlineStr">
        <is>
          <t>Bergvik skog öst AB</t>
        </is>
      </c>
      <c r="G267" t="n">
        <v>20.5</v>
      </c>
      <c r="H267" t="n">
        <v>0</v>
      </c>
      <c r="I267" t="n">
        <v>0</v>
      </c>
      <c r="J267" t="n">
        <v>0</v>
      </c>
      <c r="K267" t="n">
        <v>0</v>
      </c>
      <c r="L267" t="n">
        <v>0</v>
      </c>
      <c r="M267" t="n">
        <v>0</v>
      </c>
      <c r="N267" t="n">
        <v>0</v>
      </c>
      <c r="O267" t="n">
        <v>0</v>
      </c>
      <c r="P267" t="n">
        <v>0</v>
      </c>
      <c r="Q267" t="n">
        <v>0</v>
      </c>
      <c r="R267" s="2" t="inlineStr"/>
    </row>
    <row r="268" ht="15" customHeight="1">
      <c r="A268" t="inlineStr">
        <is>
          <t>A 17549-2020</t>
        </is>
      </c>
      <c r="B268" s="1" t="n">
        <v>43920</v>
      </c>
      <c r="C268" s="1" t="n">
        <v>45807</v>
      </c>
      <c r="D268" t="inlineStr">
        <is>
          <t>UPPSALA LÄN</t>
        </is>
      </c>
      <c r="E268" t="inlineStr">
        <is>
          <t>ÖSTHAMMAR</t>
        </is>
      </c>
      <c r="G268" t="n">
        <v>1.5</v>
      </c>
      <c r="H268" t="n">
        <v>0</v>
      </c>
      <c r="I268" t="n">
        <v>0</v>
      </c>
      <c r="J268" t="n">
        <v>0</v>
      </c>
      <c r="K268" t="n">
        <v>0</v>
      </c>
      <c r="L268" t="n">
        <v>0</v>
      </c>
      <c r="M268" t="n">
        <v>0</v>
      </c>
      <c r="N268" t="n">
        <v>0</v>
      </c>
      <c r="O268" t="n">
        <v>0</v>
      </c>
      <c r="P268" t="n">
        <v>0</v>
      </c>
      <c r="Q268" t="n">
        <v>0</v>
      </c>
      <c r="R268" s="2" t="inlineStr"/>
    </row>
    <row r="269" ht="15" customHeight="1">
      <c r="A269" t="inlineStr">
        <is>
          <t>A 19556-2020</t>
        </is>
      </c>
      <c r="B269" s="1" t="n">
        <v>43936</v>
      </c>
      <c r="C269" s="1" t="n">
        <v>45807</v>
      </c>
      <c r="D269" t="inlineStr">
        <is>
          <t>UPPSALA LÄN</t>
        </is>
      </c>
      <c r="E269" t="inlineStr">
        <is>
          <t>ÖSTHAMMAR</t>
        </is>
      </c>
      <c r="G269" t="n">
        <v>6.3</v>
      </c>
      <c r="H269" t="n">
        <v>0</v>
      </c>
      <c r="I269" t="n">
        <v>0</v>
      </c>
      <c r="J269" t="n">
        <v>0</v>
      </c>
      <c r="K269" t="n">
        <v>0</v>
      </c>
      <c r="L269" t="n">
        <v>0</v>
      </c>
      <c r="M269" t="n">
        <v>0</v>
      </c>
      <c r="N269" t="n">
        <v>0</v>
      </c>
      <c r="O269" t="n">
        <v>0</v>
      </c>
      <c r="P269" t="n">
        <v>0</v>
      </c>
      <c r="Q269" t="n">
        <v>0</v>
      </c>
      <c r="R269" s="2" t="inlineStr"/>
    </row>
    <row r="270" ht="15" customHeight="1">
      <c r="A270" t="inlineStr">
        <is>
          <t>A 23621-2020</t>
        </is>
      </c>
      <c r="B270" s="1" t="n">
        <v>43969</v>
      </c>
      <c r="C270" s="1" t="n">
        <v>45807</v>
      </c>
      <c r="D270" t="inlineStr">
        <is>
          <t>UPPSALA LÄN</t>
        </is>
      </c>
      <c r="E270" t="inlineStr">
        <is>
          <t>ÖSTHAMMAR</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26198-2020</t>
        </is>
      </c>
      <c r="B271" s="1" t="n">
        <v>43986</v>
      </c>
      <c r="C271" s="1" t="n">
        <v>45807</v>
      </c>
      <c r="D271" t="inlineStr">
        <is>
          <t>UPPSALA LÄN</t>
        </is>
      </c>
      <c r="E271" t="inlineStr">
        <is>
          <t>ÖSTHAMMAR</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30338-2020</t>
        </is>
      </c>
      <c r="B272" s="1" t="n">
        <v>44007</v>
      </c>
      <c r="C272" s="1" t="n">
        <v>45807</v>
      </c>
      <c r="D272" t="inlineStr">
        <is>
          <t>UPPSALA LÄN</t>
        </is>
      </c>
      <c r="E272" t="inlineStr">
        <is>
          <t>ÖSTHAMMAR</t>
        </is>
      </c>
      <c r="G272" t="n">
        <v>2.1</v>
      </c>
      <c r="H272" t="n">
        <v>0</v>
      </c>
      <c r="I272" t="n">
        <v>0</v>
      </c>
      <c r="J272" t="n">
        <v>0</v>
      </c>
      <c r="K272" t="n">
        <v>0</v>
      </c>
      <c r="L272" t="n">
        <v>0</v>
      </c>
      <c r="M272" t="n">
        <v>0</v>
      </c>
      <c r="N272" t="n">
        <v>0</v>
      </c>
      <c r="O272" t="n">
        <v>0</v>
      </c>
      <c r="P272" t="n">
        <v>0</v>
      </c>
      <c r="Q272" t="n">
        <v>0</v>
      </c>
      <c r="R272" s="2" t="inlineStr"/>
    </row>
    <row r="273" ht="15" customHeight="1">
      <c r="A273" t="inlineStr">
        <is>
          <t>A 30419-2020</t>
        </is>
      </c>
      <c r="B273" s="1" t="n">
        <v>44007</v>
      </c>
      <c r="C273" s="1" t="n">
        <v>45807</v>
      </c>
      <c r="D273" t="inlineStr">
        <is>
          <t>UPPSALA LÄN</t>
        </is>
      </c>
      <c r="E273" t="inlineStr">
        <is>
          <t>ÖSTHAMMAR</t>
        </is>
      </c>
      <c r="G273" t="n">
        <v>5.6</v>
      </c>
      <c r="H273" t="n">
        <v>0</v>
      </c>
      <c r="I273" t="n">
        <v>0</v>
      </c>
      <c r="J273" t="n">
        <v>0</v>
      </c>
      <c r="K273" t="n">
        <v>0</v>
      </c>
      <c r="L273" t="n">
        <v>0</v>
      </c>
      <c r="M273" t="n">
        <v>0</v>
      </c>
      <c r="N273" t="n">
        <v>0</v>
      </c>
      <c r="O273" t="n">
        <v>0</v>
      </c>
      <c r="P273" t="n">
        <v>0</v>
      </c>
      <c r="Q273" t="n">
        <v>0</v>
      </c>
      <c r="R273" s="2" t="inlineStr"/>
    </row>
    <row r="274" ht="15" customHeight="1">
      <c r="A274" t="inlineStr">
        <is>
          <t>A 32192-2020</t>
        </is>
      </c>
      <c r="B274" s="1" t="n">
        <v>44015</v>
      </c>
      <c r="C274" s="1" t="n">
        <v>45807</v>
      </c>
      <c r="D274" t="inlineStr">
        <is>
          <t>UPPSALA LÄN</t>
        </is>
      </c>
      <c r="E274" t="inlineStr">
        <is>
          <t>ÖSTHAMMAR</t>
        </is>
      </c>
      <c r="G274" t="n">
        <v>1.6</v>
      </c>
      <c r="H274" t="n">
        <v>0</v>
      </c>
      <c r="I274" t="n">
        <v>0</v>
      </c>
      <c r="J274" t="n">
        <v>0</v>
      </c>
      <c r="K274" t="n">
        <v>0</v>
      </c>
      <c r="L274" t="n">
        <v>0</v>
      </c>
      <c r="M274" t="n">
        <v>0</v>
      </c>
      <c r="N274" t="n">
        <v>0</v>
      </c>
      <c r="O274" t="n">
        <v>0</v>
      </c>
      <c r="P274" t="n">
        <v>0</v>
      </c>
      <c r="Q274" t="n">
        <v>0</v>
      </c>
      <c r="R274" s="2" t="inlineStr"/>
    </row>
    <row r="275" ht="15" customHeight="1">
      <c r="A275" t="inlineStr">
        <is>
          <t>A 33098-2020</t>
        </is>
      </c>
      <c r="B275" s="1" t="n">
        <v>44021</v>
      </c>
      <c r="C275" s="1" t="n">
        <v>45807</v>
      </c>
      <c r="D275" t="inlineStr">
        <is>
          <t>UPPSALA LÄN</t>
        </is>
      </c>
      <c r="E275" t="inlineStr">
        <is>
          <t>ÖSTHAMMAR</t>
        </is>
      </c>
      <c r="G275" t="n">
        <v>3.8</v>
      </c>
      <c r="H275" t="n">
        <v>0</v>
      </c>
      <c r="I275" t="n">
        <v>0</v>
      </c>
      <c r="J275" t="n">
        <v>0</v>
      </c>
      <c r="K275" t="n">
        <v>0</v>
      </c>
      <c r="L275" t="n">
        <v>0</v>
      </c>
      <c r="M275" t="n">
        <v>0</v>
      </c>
      <c r="N275" t="n">
        <v>0</v>
      </c>
      <c r="O275" t="n">
        <v>0</v>
      </c>
      <c r="P275" t="n">
        <v>0</v>
      </c>
      <c r="Q275" t="n">
        <v>0</v>
      </c>
      <c r="R275" s="2" t="inlineStr"/>
    </row>
    <row r="276" ht="15" customHeight="1">
      <c r="A276" t="inlineStr">
        <is>
          <t>A 34943-2020</t>
        </is>
      </c>
      <c r="B276" s="1" t="n">
        <v>44038</v>
      </c>
      <c r="C276" s="1" t="n">
        <v>45807</v>
      </c>
      <c r="D276" t="inlineStr">
        <is>
          <t>UPPSALA LÄN</t>
        </is>
      </c>
      <c r="E276" t="inlineStr">
        <is>
          <t>ÖSTHAMMAR</t>
        </is>
      </c>
      <c r="F276" t="inlineStr">
        <is>
          <t>Bergvik skog öst AB</t>
        </is>
      </c>
      <c r="G276" t="n">
        <v>4.2</v>
      </c>
      <c r="H276" t="n">
        <v>0</v>
      </c>
      <c r="I276" t="n">
        <v>0</v>
      </c>
      <c r="J276" t="n">
        <v>0</v>
      </c>
      <c r="K276" t="n">
        <v>0</v>
      </c>
      <c r="L276" t="n">
        <v>0</v>
      </c>
      <c r="M276" t="n">
        <v>0</v>
      </c>
      <c r="N276" t="n">
        <v>0</v>
      </c>
      <c r="O276" t="n">
        <v>0</v>
      </c>
      <c r="P276" t="n">
        <v>0</v>
      </c>
      <c r="Q276" t="n">
        <v>0</v>
      </c>
      <c r="R276" s="2" t="inlineStr"/>
    </row>
    <row r="277" ht="15" customHeight="1">
      <c r="A277" t="inlineStr">
        <is>
          <t>A 34941-2020</t>
        </is>
      </c>
      <c r="B277" s="1" t="n">
        <v>44038</v>
      </c>
      <c r="C277" s="1" t="n">
        <v>45807</v>
      </c>
      <c r="D277" t="inlineStr">
        <is>
          <t>UPPSALA LÄN</t>
        </is>
      </c>
      <c r="E277" t="inlineStr">
        <is>
          <t>ÖSTHAMMAR</t>
        </is>
      </c>
      <c r="F277" t="inlineStr">
        <is>
          <t>Bergvik skog öst AB</t>
        </is>
      </c>
      <c r="G277" t="n">
        <v>1.8</v>
      </c>
      <c r="H277" t="n">
        <v>0</v>
      </c>
      <c r="I277" t="n">
        <v>0</v>
      </c>
      <c r="J277" t="n">
        <v>0</v>
      </c>
      <c r="K277" t="n">
        <v>0</v>
      </c>
      <c r="L277" t="n">
        <v>0</v>
      </c>
      <c r="M277" t="n">
        <v>0</v>
      </c>
      <c r="N277" t="n">
        <v>0</v>
      </c>
      <c r="O277" t="n">
        <v>0</v>
      </c>
      <c r="P277" t="n">
        <v>0</v>
      </c>
      <c r="Q277" t="n">
        <v>0</v>
      </c>
      <c r="R277" s="2" t="inlineStr"/>
    </row>
    <row r="278" ht="15" customHeight="1">
      <c r="A278" t="inlineStr">
        <is>
          <t>A 34940-2020</t>
        </is>
      </c>
      <c r="B278" s="1" t="n">
        <v>44038</v>
      </c>
      <c r="C278" s="1" t="n">
        <v>45807</v>
      </c>
      <c r="D278" t="inlineStr">
        <is>
          <t>UPPSALA LÄN</t>
        </is>
      </c>
      <c r="E278" t="inlineStr">
        <is>
          <t>ÖSTHAMMAR</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35094-2020</t>
        </is>
      </c>
      <c r="B279" s="1" t="n">
        <v>44040</v>
      </c>
      <c r="C279" s="1" t="n">
        <v>45807</v>
      </c>
      <c r="D279" t="inlineStr">
        <is>
          <t>UPPSALA LÄN</t>
        </is>
      </c>
      <c r="E279" t="inlineStr">
        <is>
          <t>ÖSTHAMMAR</t>
        </is>
      </c>
      <c r="F279" t="inlineStr">
        <is>
          <t>Bergvik skog öst AB</t>
        </is>
      </c>
      <c r="G279" t="n">
        <v>14.5</v>
      </c>
      <c r="H279" t="n">
        <v>0</v>
      </c>
      <c r="I279" t="n">
        <v>0</v>
      </c>
      <c r="J279" t="n">
        <v>0</v>
      </c>
      <c r="K279" t="n">
        <v>0</v>
      </c>
      <c r="L279" t="n">
        <v>0</v>
      </c>
      <c r="M279" t="n">
        <v>0</v>
      </c>
      <c r="N279" t="n">
        <v>0</v>
      </c>
      <c r="O279" t="n">
        <v>0</v>
      </c>
      <c r="P279" t="n">
        <v>0</v>
      </c>
      <c r="Q279" t="n">
        <v>0</v>
      </c>
      <c r="R279" s="2" t="inlineStr"/>
    </row>
    <row r="280" ht="15" customHeight="1">
      <c r="A280" t="inlineStr">
        <is>
          <t>A 35096-2020</t>
        </is>
      </c>
      <c r="B280" s="1" t="n">
        <v>44040</v>
      </c>
      <c r="C280" s="1" t="n">
        <v>45807</v>
      </c>
      <c r="D280" t="inlineStr">
        <is>
          <t>UPPSALA LÄN</t>
        </is>
      </c>
      <c r="E280" t="inlineStr">
        <is>
          <t>ÖSTHAMMAR</t>
        </is>
      </c>
      <c r="F280" t="inlineStr">
        <is>
          <t>Bergvik skog öst AB</t>
        </is>
      </c>
      <c r="G280" t="n">
        <v>7.6</v>
      </c>
      <c r="H280" t="n">
        <v>0</v>
      </c>
      <c r="I280" t="n">
        <v>0</v>
      </c>
      <c r="J280" t="n">
        <v>0</v>
      </c>
      <c r="K280" t="n">
        <v>0</v>
      </c>
      <c r="L280" t="n">
        <v>0</v>
      </c>
      <c r="M280" t="n">
        <v>0</v>
      </c>
      <c r="N280" t="n">
        <v>0</v>
      </c>
      <c r="O280" t="n">
        <v>0</v>
      </c>
      <c r="P280" t="n">
        <v>0</v>
      </c>
      <c r="Q280" t="n">
        <v>0</v>
      </c>
      <c r="R280" s="2" t="inlineStr"/>
    </row>
    <row r="281" ht="15" customHeight="1">
      <c r="A281" t="inlineStr">
        <is>
          <t>A 38285-2020</t>
        </is>
      </c>
      <c r="B281" s="1" t="n">
        <v>44060</v>
      </c>
      <c r="C281" s="1" t="n">
        <v>45807</v>
      </c>
      <c r="D281" t="inlineStr">
        <is>
          <t>UPPSALA LÄN</t>
        </is>
      </c>
      <c r="E281" t="inlineStr">
        <is>
          <t>ÖSTHAMMAR</t>
        </is>
      </c>
      <c r="G281" t="n">
        <v>4.7</v>
      </c>
      <c r="H281" t="n">
        <v>0</v>
      </c>
      <c r="I281" t="n">
        <v>0</v>
      </c>
      <c r="J281" t="n">
        <v>0</v>
      </c>
      <c r="K281" t="n">
        <v>0</v>
      </c>
      <c r="L281" t="n">
        <v>0</v>
      </c>
      <c r="M281" t="n">
        <v>0</v>
      </c>
      <c r="N281" t="n">
        <v>0</v>
      </c>
      <c r="O281" t="n">
        <v>0</v>
      </c>
      <c r="P281" t="n">
        <v>0</v>
      </c>
      <c r="Q281" t="n">
        <v>0</v>
      </c>
      <c r="R281" s="2" t="inlineStr"/>
    </row>
    <row r="282" ht="15" customHeight="1">
      <c r="A282" t="inlineStr">
        <is>
          <t>A 38630-2020</t>
        </is>
      </c>
      <c r="B282" s="1" t="n">
        <v>44061</v>
      </c>
      <c r="C282" s="1" t="n">
        <v>45807</v>
      </c>
      <c r="D282" t="inlineStr">
        <is>
          <t>UPPSALA LÄN</t>
        </is>
      </c>
      <c r="E282" t="inlineStr">
        <is>
          <t>ÖSTHAMMAR</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39640-2020</t>
        </is>
      </c>
      <c r="B283" s="1" t="n">
        <v>44064</v>
      </c>
      <c r="C283" s="1" t="n">
        <v>45807</v>
      </c>
      <c r="D283" t="inlineStr">
        <is>
          <t>UPPSALA LÄN</t>
        </is>
      </c>
      <c r="E283" t="inlineStr">
        <is>
          <t>ÖSTHAMMAR</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41849-2020</t>
        </is>
      </c>
      <c r="B284" s="1" t="n">
        <v>44074</v>
      </c>
      <c r="C284" s="1" t="n">
        <v>45807</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42549-2020</t>
        </is>
      </c>
      <c r="B285" s="1" t="n">
        <v>44077</v>
      </c>
      <c r="C285" s="1" t="n">
        <v>45807</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46311-2020</t>
        </is>
      </c>
      <c r="B286" s="1" t="n">
        <v>44092</v>
      </c>
      <c r="C286" s="1" t="n">
        <v>45807</v>
      </c>
      <c r="D286" t="inlineStr">
        <is>
          <t>UPPSALA LÄN</t>
        </is>
      </c>
      <c r="E286" t="inlineStr">
        <is>
          <t>ÖSTHAMMAR</t>
        </is>
      </c>
      <c r="F286" t="inlineStr">
        <is>
          <t>Bergvik skog öst AB</t>
        </is>
      </c>
      <c r="G286" t="n">
        <v>4</v>
      </c>
      <c r="H286" t="n">
        <v>0</v>
      </c>
      <c r="I286" t="n">
        <v>0</v>
      </c>
      <c r="J286" t="n">
        <v>0</v>
      </c>
      <c r="K286" t="n">
        <v>0</v>
      </c>
      <c r="L286" t="n">
        <v>0</v>
      </c>
      <c r="M286" t="n">
        <v>0</v>
      </c>
      <c r="N286" t="n">
        <v>0</v>
      </c>
      <c r="O286" t="n">
        <v>0</v>
      </c>
      <c r="P286" t="n">
        <v>0</v>
      </c>
      <c r="Q286" t="n">
        <v>0</v>
      </c>
      <c r="R286" s="2" t="inlineStr"/>
    </row>
    <row r="287" ht="15" customHeight="1">
      <c r="A287" t="inlineStr">
        <is>
          <t>A 46423-2020</t>
        </is>
      </c>
      <c r="B287" s="1" t="n">
        <v>44095</v>
      </c>
      <c r="C287" s="1" t="n">
        <v>45807</v>
      </c>
      <c r="D287" t="inlineStr">
        <is>
          <t>UPPSALA LÄN</t>
        </is>
      </c>
      <c r="E287" t="inlineStr">
        <is>
          <t>ÖSTHAMMAR</t>
        </is>
      </c>
      <c r="G287" t="n">
        <v>3</v>
      </c>
      <c r="H287" t="n">
        <v>0</v>
      </c>
      <c r="I287" t="n">
        <v>0</v>
      </c>
      <c r="J287" t="n">
        <v>0</v>
      </c>
      <c r="K287" t="n">
        <v>0</v>
      </c>
      <c r="L287" t="n">
        <v>0</v>
      </c>
      <c r="M287" t="n">
        <v>0</v>
      </c>
      <c r="N287" t="n">
        <v>0</v>
      </c>
      <c r="O287" t="n">
        <v>0</v>
      </c>
      <c r="P287" t="n">
        <v>0</v>
      </c>
      <c r="Q287" t="n">
        <v>0</v>
      </c>
      <c r="R287" s="2" t="inlineStr"/>
    </row>
    <row r="288" ht="15" customHeight="1">
      <c r="A288" t="inlineStr">
        <is>
          <t>A 47481-2020</t>
        </is>
      </c>
      <c r="B288" s="1" t="n">
        <v>44098</v>
      </c>
      <c r="C288" s="1" t="n">
        <v>45807</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49206-2020</t>
        </is>
      </c>
      <c r="B289" s="1" t="n">
        <v>44105</v>
      </c>
      <c r="C289" s="1" t="n">
        <v>45807</v>
      </c>
      <c r="D289" t="inlineStr">
        <is>
          <t>UPPSALA LÄN</t>
        </is>
      </c>
      <c r="E289" t="inlineStr">
        <is>
          <t>ÖSTHAMMAR</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49336-2020</t>
        </is>
      </c>
      <c r="B290" s="1" t="n">
        <v>44105</v>
      </c>
      <c r="C290" s="1" t="n">
        <v>45807</v>
      </c>
      <c r="D290" t="inlineStr">
        <is>
          <t>UPPSALA LÄN</t>
        </is>
      </c>
      <c r="E290" t="inlineStr">
        <is>
          <t>ÖSTHAMMAR</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52432-2020</t>
        </is>
      </c>
      <c r="B291" s="1" t="n">
        <v>44118</v>
      </c>
      <c r="C291" s="1" t="n">
        <v>45807</v>
      </c>
      <c r="D291" t="inlineStr">
        <is>
          <t>UPPSALA LÄN</t>
        </is>
      </c>
      <c r="E291" t="inlineStr">
        <is>
          <t>ÖSTHAMMAR</t>
        </is>
      </c>
      <c r="G291" t="n">
        <v>2.7</v>
      </c>
      <c r="H291" t="n">
        <v>0</v>
      </c>
      <c r="I291" t="n">
        <v>0</v>
      </c>
      <c r="J291" t="n">
        <v>0</v>
      </c>
      <c r="K291" t="n">
        <v>0</v>
      </c>
      <c r="L291" t="n">
        <v>0</v>
      </c>
      <c r="M291" t="n">
        <v>0</v>
      </c>
      <c r="N291" t="n">
        <v>0</v>
      </c>
      <c r="O291" t="n">
        <v>0</v>
      </c>
      <c r="P291" t="n">
        <v>0</v>
      </c>
      <c r="Q291" t="n">
        <v>0</v>
      </c>
      <c r="R291" s="2" t="inlineStr"/>
    </row>
    <row r="292" ht="15" customHeight="1">
      <c r="A292" t="inlineStr">
        <is>
          <t>A 52434-2020</t>
        </is>
      </c>
      <c r="B292" s="1" t="n">
        <v>44118</v>
      </c>
      <c r="C292" s="1" t="n">
        <v>45807</v>
      </c>
      <c r="D292" t="inlineStr">
        <is>
          <t>UPPSALA LÄN</t>
        </is>
      </c>
      <c r="E292" t="inlineStr">
        <is>
          <t>ÖSTHAMMAR</t>
        </is>
      </c>
      <c r="G292" t="n">
        <v>2.8</v>
      </c>
      <c r="H292" t="n">
        <v>0</v>
      </c>
      <c r="I292" t="n">
        <v>0</v>
      </c>
      <c r="J292" t="n">
        <v>0</v>
      </c>
      <c r="K292" t="n">
        <v>0</v>
      </c>
      <c r="L292" t="n">
        <v>0</v>
      </c>
      <c r="M292" t="n">
        <v>0</v>
      </c>
      <c r="N292" t="n">
        <v>0</v>
      </c>
      <c r="O292" t="n">
        <v>0</v>
      </c>
      <c r="P292" t="n">
        <v>0</v>
      </c>
      <c r="Q292" t="n">
        <v>0</v>
      </c>
      <c r="R292" s="2" t="inlineStr"/>
    </row>
    <row r="293" ht="15" customHeight="1">
      <c r="A293" t="inlineStr">
        <is>
          <t>A 53137-2020</t>
        </is>
      </c>
      <c r="B293" s="1" t="n">
        <v>44120</v>
      </c>
      <c r="C293" s="1" t="n">
        <v>45807</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55389-2020</t>
        </is>
      </c>
      <c r="B294" s="1" t="n">
        <v>44131</v>
      </c>
      <c r="C294" s="1" t="n">
        <v>45807</v>
      </c>
      <c r="D294" t="inlineStr">
        <is>
          <t>UPPSALA LÄN</t>
        </is>
      </c>
      <c r="E294" t="inlineStr">
        <is>
          <t>ÖSTHAMMAR</t>
        </is>
      </c>
      <c r="G294" t="n">
        <v>1.3</v>
      </c>
      <c r="H294" t="n">
        <v>0</v>
      </c>
      <c r="I294" t="n">
        <v>0</v>
      </c>
      <c r="J294" t="n">
        <v>0</v>
      </c>
      <c r="K294" t="n">
        <v>0</v>
      </c>
      <c r="L294" t="n">
        <v>0</v>
      </c>
      <c r="M294" t="n">
        <v>0</v>
      </c>
      <c r="N294" t="n">
        <v>0</v>
      </c>
      <c r="O294" t="n">
        <v>0</v>
      </c>
      <c r="P294" t="n">
        <v>0</v>
      </c>
      <c r="Q294" t="n">
        <v>0</v>
      </c>
      <c r="R294" s="2" t="inlineStr"/>
    </row>
    <row r="295" ht="15" customHeight="1">
      <c r="A295" t="inlineStr">
        <is>
          <t>A 56041-2020</t>
        </is>
      </c>
      <c r="B295" s="1" t="n">
        <v>44133</v>
      </c>
      <c r="C295" s="1" t="n">
        <v>45807</v>
      </c>
      <c r="D295" t="inlineStr">
        <is>
          <t>UPPSALA LÄN</t>
        </is>
      </c>
      <c r="E295" t="inlineStr">
        <is>
          <t>ÖSTHAMMAR</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56079-2020</t>
        </is>
      </c>
      <c r="B296" s="1" t="n">
        <v>44133</v>
      </c>
      <c r="C296" s="1" t="n">
        <v>45807</v>
      </c>
      <c r="D296" t="inlineStr">
        <is>
          <t>UPPSALA LÄN</t>
        </is>
      </c>
      <c r="E296" t="inlineStr">
        <is>
          <t>ÖSTHAMMAR</t>
        </is>
      </c>
      <c r="F296" t="inlineStr">
        <is>
          <t>Bergvik skog öst AB</t>
        </is>
      </c>
      <c r="G296" t="n">
        <v>2.9</v>
      </c>
      <c r="H296" t="n">
        <v>0</v>
      </c>
      <c r="I296" t="n">
        <v>0</v>
      </c>
      <c r="J296" t="n">
        <v>0</v>
      </c>
      <c r="K296" t="n">
        <v>0</v>
      </c>
      <c r="L296" t="n">
        <v>0</v>
      </c>
      <c r="M296" t="n">
        <v>0</v>
      </c>
      <c r="N296" t="n">
        <v>0</v>
      </c>
      <c r="O296" t="n">
        <v>0</v>
      </c>
      <c r="P296" t="n">
        <v>0</v>
      </c>
      <c r="Q296" t="n">
        <v>0</v>
      </c>
      <c r="R296" s="2" t="inlineStr"/>
    </row>
    <row r="297" ht="15" customHeight="1">
      <c r="A297" t="inlineStr">
        <is>
          <t>A 56089-2020</t>
        </is>
      </c>
      <c r="B297" s="1" t="n">
        <v>44133</v>
      </c>
      <c r="C297" s="1" t="n">
        <v>45807</v>
      </c>
      <c r="D297" t="inlineStr">
        <is>
          <t>UPPSALA LÄN</t>
        </is>
      </c>
      <c r="E297" t="inlineStr">
        <is>
          <t>ÖSTHAMMAR</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57408-2020</t>
        </is>
      </c>
      <c r="B298" s="1" t="n">
        <v>44140</v>
      </c>
      <c r="C298" s="1" t="n">
        <v>45807</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59432-2020</t>
        </is>
      </c>
      <c r="B299" s="1" t="n">
        <v>44148</v>
      </c>
      <c r="C299" s="1" t="n">
        <v>45807</v>
      </c>
      <c r="D299" t="inlineStr">
        <is>
          <t>UPPSALA LÄN</t>
        </is>
      </c>
      <c r="E299" t="inlineStr">
        <is>
          <t>ÖSTHAMMAR</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59414-2020</t>
        </is>
      </c>
      <c r="B300" s="1" t="n">
        <v>44148</v>
      </c>
      <c r="C300" s="1" t="n">
        <v>45807</v>
      </c>
      <c r="D300" t="inlineStr">
        <is>
          <t>UPPSALA LÄN</t>
        </is>
      </c>
      <c r="E300" t="inlineStr">
        <is>
          <t>ÖSTHAMMAR</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59417-2020</t>
        </is>
      </c>
      <c r="B301" s="1" t="n">
        <v>44148</v>
      </c>
      <c r="C301" s="1" t="n">
        <v>45807</v>
      </c>
      <c r="D301" t="inlineStr">
        <is>
          <t>UPPSALA LÄN</t>
        </is>
      </c>
      <c r="E301" t="inlineStr">
        <is>
          <t>ÖSTHAMMAR</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59714-2020</t>
        </is>
      </c>
      <c r="B302" s="1" t="n">
        <v>44151</v>
      </c>
      <c r="C302" s="1" t="n">
        <v>45807</v>
      </c>
      <c r="D302" t="inlineStr">
        <is>
          <t>UPPSALA LÄN</t>
        </is>
      </c>
      <c r="E302" t="inlineStr">
        <is>
          <t>ÖSTHAMMAR</t>
        </is>
      </c>
      <c r="F302" t="inlineStr">
        <is>
          <t>Bergvik skog öst AB</t>
        </is>
      </c>
      <c r="G302" t="n">
        <v>2.5</v>
      </c>
      <c r="H302" t="n">
        <v>0</v>
      </c>
      <c r="I302" t="n">
        <v>0</v>
      </c>
      <c r="J302" t="n">
        <v>0</v>
      </c>
      <c r="K302" t="n">
        <v>0</v>
      </c>
      <c r="L302" t="n">
        <v>0</v>
      </c>
      <c r="M302" t="n">
        <v>0</v>
      </c>
      <c r="N302" t="n">
        <v>0</v>
      </c>
      <c r="O302" t="n">
        <v>0</v>
      </c>
      <c r="P302" t="n">
        <v>0</v>
      </c>
      <c r="Q302" t="n">
        <v>0</v>
      </c>
      <c r="R302" s="2" t="inlineStr"/>
    </row>
    <row r="303" ht="15" customHeight="1">
      <c r="A303" t="inlineStr">
        <is>
          <t>A 59807-2020</t>
        </is>
      </c>
      <c r="B303" s="1" t="n">
        <v>44151</v>
      </c>
      <c r="C303" s="1" t="n">
        <v>45807</v>
      </c>
      <c r="D303" t="inlineStr">
        <is>
          <t>UPPSALA LÄN</t>
        </is>
      </c>
      <c r="E303" t="inlineStr">
        <is>
          <t>ÖSTHAMMAR</t>
        </is>
      </c>
      <c r="G303" t="n">
        <v>3.4</v>
      </c>
      <c r="H303" t="n">
        <v>0</v>
      </c>
      <c r="I303" t="n">
        <v>0</v>
      </c>
      <c r="J303" t="n">
        <v>0</v>
      </c>
      <c r="K303" t="n">
        <v>0</v>
      </c>
      <c r="L303" t="n">
        <v>0</v>
      </c>
      <c r="M303" t="n">
        <v>0</v>
      </c>
      <c r="N303" t="n">
        <v>0</v>
      </c>
      <c r="O303" t="n">
        <v>0</v>
      </c>
      <c r="P303" t="n">
        <v>0</v>
      </c>
      <c r="Q303" t="n">
        <v>0</v>
      </c>
      <c r="R303" s="2" t="inlineStr"/>
    </row>
    <row r="304" ht="15" customHeight="1">
      <c r="A304" t="inlineStr">
        <is>
          <t>A 61193-2020</t>
        </is>
      </c>
      <c r="B304" s="1" t="n">
        <v>44155</v>
      </c>
      <c r="C304" s="1" t="n">
        <v>45807</v>
      </c>
      <c r="D304" t="inlineStr">
        <is>
          <t>UPPSALA LÄN</t>
        </is>
      </c>
      <c r="E304" t="inlineStr">
        <is>
          <t>ÖSTHAMMAR</t>
        </is>
      </c>
      <c r="F304" t="inlineStr">
        <is>
          <t>Övriga Aktiebolag</t>
        </is>
      </c>
      <c r="G304" t="n">
        <v>2.1</v>
      </c>
      <c r="H304" t="n">
        <v>0</v>
      </c>
      <c r="I304" t="n">
        <v>0</v>
      </c>
      <c r="J304" t="n">
        <v>0</v>
      </c>
      <c r="K304" t="n">
        <v>0</v>
      </c>
      <c r="L304" t="n">
        <v>0</v>
      </c>
      <c r="M304" t="n">
        <v>0</v>
      </c>
      <c r="N304" t="n">
        <v>0</v>
      </c>
      <c r="O304" t="n">
        <v>0</v>
      </c>
      <c r="P304" t="n">
        <v>0</v>
      </c>
      <c r="Q304" t="n">
        <v>0</v>
      </c>
      <c r="R304" s="2" t="inlineStr"/>
    </row>
    <row r="305" ht="15" customHeight="1">
      <c r="A305" t="inlineStr">
        <is>
          <t>A 62484-2020</t>
        </is>
      </c>
      <c r="B305" s="1" t="n">
        <v>44160</v>
      </c>
      <c r="C305" s="1" t="n">
        <v>45807</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63637-2020</t>
        </is>
      </c>
      <c r="B306" s="1" t="n">
        <v>44162</v>
      </c>
      <c r="C306" s="1" t="n">
        <v>45807</v>
      </c>
      <c r="D306" t="inlineStr">
        <is>
          <t>UPPSALA LÄN</t>
        </is>
      </c>
      <c r="E306" t="inlineStr">
        <is>
          <t>ÖSTHAMMAR</t>
        </is>
      </c>
      <c r="G306" t="n">
        <v>4</v>
      </c>
      <c r="H306" t="n">
        <v>0</v>
      </c>
      <c r="I306" t="n">
        <v>0</v>
      </c>
      <c r="J306" t="n">
        <v>0</v>
      </c>
      <c r="K306" t="n">
        <v>0</v>
      </c>
      <c r="L306" t="n">
        <v>0</v>
      </c>
      <c r="M306" t="n">
        <v>0</v>
      </c>
      <c r="N306" t="n">
        <v>0</v>
      </c>
      <c r="O306" t="n">
        <v>0</v>
      </c>
      <c r="P306" t="n">
        <v>0</v>
      </c>
      <c r="Q306" t="n">
        <v>0</v>
      </c>
      <c r="R306" s="2" t="inlineStr"/>
    </row>
    <row r="307" ht="15" customHeight="1">
      <c r="A307" t="inlineStr">
        <is>
          <t>A 63577-2020</t>
        </is>
      </c>
      <c r="B307" s="1" t="n">
        <v>44165</v>
      </c>
      <c r="C307" s="1" t="n">
        <v>45807</v>
      </c>
      <c r="D307" t="inlineStr">
        <is>
          <t>UPPSALA LÄN</t>
        </is>
      </c>
      <c r="E307" t="inlineStr">
        <is>
          <t>ÖSTHAMMAR</t>
        </is>
      </c>
      <c r="G307" t="n">
        <v>0.9</v>
      </c>
      <c r="H307" t="n">
        <v>0</v>
      </c>
      <c r="I307" t="n">
        <v>0</v>
      </c>
      <c r="J307" t="n">
        <v>0</v>
      </c>
      <c r="K307" t="n">
        <v>0</v>
      </c>
      <c r="L307" t="n">
        <v>0</v>
      </c>
      <c r="M307" t="n">
        <v>0</v>
      </c>
      <c r="N307" t="n">
        <v>0</v>
      </c>
      <c r="O307" t="n">
        <v>0</v>
      </c>
      <c r="P307" t="n">
        <v>0</v>
      </c>
      <c r="Q307" t="n">
        <v>0</v>
      </c>
      <c r="R307" s="2" t="inlineStr"/>
    </row>
    <row r="308" ht="15" customHeight="1">
      <c r="A308" t="inlineStr">
        <is>
          <t>A 63987-2020</t>
        </is>
      </c>
      <c r="B308" s="1" t="n">
        <v>44167</v>
      </c>
      <c r="C308" s="1" t="n">
        <v>45807</v>
      </c>
      <c r="D308" t="inlineStr">
        <is>
          <t>UPPSALA LÄN</t>
        </is>
      </c>
      <c r="E308" t="inlineStr">
        <is>
          <t>ÖSTHAMMAR</t>
        </is>
      </c>
      <c r="G308" t="n">
        <v>5.9</v>
      </c>
      <c r="H308" t="n">
        <v>0</v>
      </c>
      <c r="I308" t="n">
        <v>0</v>
      </c>
      <c r="J308" t="n">
        <v>0</v>
      </c>
      <c r="K308" t="n">
        <v>0</v>
      </c>
      <c r="L308" t="n">
        <v>0</v>
      </c>
      <c r="M308" t="n">
        <v>0</v>
      </c>
      <c r="N308" t="n">
        <v>0</v>
      </c>
      <c r="O308" t="n">
        <v>0</v>
      </c>
      <c r="P308" t="n">
        <v>0</v>
      </c>
      <c r="Q308" t="n">
        <v>0</v>
      </c>
      <c r="R308" s="2" t="inlineStr"/>
    </row>
    <row r="309" ht="15" customHeight="1">
      <c r="A309" t="inlineStr">
        <is>
          <t>A 65361-2020</t>
        </is>
      </c>
      <c r="B309" s="1" t="n">
        <v>44173</v>
      </c>
      <c r="C309" s="1" t="n">
        <v>45807</v>
      </c>
      <c r="D309" t="inlineStr">
        <is>
          <t>UPPSALA LÄN</t>
        </is>
      </c>
      <c r="E309" t="inlineStr">
        <is>
          <t>ÖSTHAMMAR</t>
        </is>
      </c>
      <c r="G309" t="n">
        <v>3.6</v>
      </c>
      <c r="H309" t="n">
        <v>0</v>
      </c>
      <c r="I309" t="n">
        <v>0</v>
      </c>
      <c r="J309" t="n">
        <v>0</v>
      </c>
      <c r="K309" t="n">
        <v>0</v>
      </c>
      <c r="L309" t="n">
        <v>0</v>
      </c>
      <c r="M309" t="n">
        <v>0</v>
      </c>
      <c r="N309" t="n">
        <v>0</v>
      </c>
      <c r="O309" t="n">
        <v>0</v>
      </c>
      <c r="P309" t="n">
        <v>0</v>
      </c>
      <c r="Q309" t="n">
        <v>0</v>
      </c>
      <c r="R309" s="2" t="inlineStr"/>
    </row>
    <row r="310" ht="15" customHeight="1">
      <c r="A310" t="inlineStr">
        <is>
          <t>A 68243-2020</t>
        </is>
      </c>
      <c r="B310" s="1" t="n">
        <v>44183</v>
      </c>
      <c r="C310" s="1" t="n">
        <v>45807</v>
      </c>
      <c r="D310" t="inlineStr">
        <is>
          <t>UPPSALA LÄN</t>
        </is>
      </c>
      <c r="E310" t="inlineStr">
        <is>
          <t>ÖSTHAMMAR</t>
        </is>
      </c>
      <c r="G310" t="n">
        <v>8.5</v>
      </c>
      <c r="H310" t="n">
        <v>0</v>
      </c>
      <c r="I310" t="n">
        <v>0</v>
      </c>
      <c r="J310" t="n">
        <v>0</v>
      </c>
      <c r="K310" t="n">
        <v>0</v>
      </c>
      <c r="L310" t="n">
        <v>0</v>
      </c>
      <c r="M310" t="n">
        <v>0</v>
      </c>
      <c r="N310" t="n">
        <v>0</v>
      </c>
      <c r="O310" t="n">
        <v>0</v>
      </c>
      <c r="P310" t="n">
        <v>0</v>
      </c>
      <c r="Q310" t="n">
        <v>0</v>
      </c>
      <c r="R310" s="2" t="inlineStr"/>
    </row>
    <row r="311" ht="15" customHeight="1">
      <c r="A311" t="inlineStr">
        <is>
          <t>A 68828-2020</t>
        </is>
      </c>
      <c r="B311" s="1" t="n">
        <v>44186</v>
      </c>
      <c r="C311" s="1" t="n">
        <v>45807</v>
      </c>
      <c r="D311" t="inlineStr">
        <is>
          <t>UPPSALA LÄN</t>
        </is>
      </c>
      <c r="E311" t="inlineStr">
        <is>
          <t>ÖSTHAMMAR</t>
        </is>
      </c>
      <c r="G311" t="n">
        <v>1.5</v>
      </c>
      <c r="H311" t="n">
        <v>0</v>
      </c>
      <c r="I311" t="n">
        <v>0</v>
      </c>
      <c r="J311" t="n">
        <v>0</v>
      </c>
      <c r="K311" t="n">
        <v>0</v>
      </c>
      <c r="L311" t="n">
        <v>0</v>
      </c>
      <c r="M311" t="n">
        <v>0</v>
      </c>
      <c r="N311" t="n">
        <v>0</v>
      </c>
      <c r="O311" t="n">
        <v>0</v>
      </c>
      <c r="P311" t="n">
        <v>0</v>
      </c>
      <c r="Q311" t="n">
        <v>0</v>
      </c>
      <c r="R311" s="2" t="inlineStr"/>
    </row>
    <row r="312" ht="15" customHeight="1">
      <c r="A312" t="inlineStr">
        <is>
          <t>A 69681-2020</t>
        </is>
      </c>
      <c r="B312" s="1" t="n">
        <v>44196</v>
      </c>
      <c r="C312" s="1" t="n">
        <v>45807</v>
      </c>
      <c r="D312" t="inlineStr">
        <is>
          <t>UPPSALA LÄN</t>
        </is>
      </c>
      <c r="E312" t="inlineStr">
        <is>
          <t>ÖSTHAMMAR</t>
        </is>
      </c>
      <c r="F312" t="inlineStr">
        <is>
          <t>Bergvik skog öst AB</t>
        </is>
      </c>
      <c r="G312" t="n">
        <v>21.9</v>
      </c>
      <c r="H312" t="n">
        <v>0</v>
      </c>
      <c r="I312" t="n">
        <v>0</v>
      </c>
      <c r="J312" t="n">
        <v>0</v>
      </c>
      <c r="K312" t="n">
        <v>0</v>
      </c>
      <c r="L312" t="n">
        <v>0</v>
      </c>
      <c r="M312" t="n">
        <v>0</v>
      </c>
      <c r="N312" t="n">
        <v>0</v>
      </c>
      <c r="O312" t="n">
        <v>0</v>
      </c>
      <c r="P312" t="n">
        <v>0</v>
      </c>
      <c r="Q312" t="n">
        <v>0</v>
      </c>
      <c r="R312" s="2" t="inlineStr"/>
    </row>
    <row r="313" ht="15" customHeight="1">
      <c r="A313" t="inlineStr">
        <is>
          <t>A 3693-2021</t>
        </is>
      </c>
      <c r="B313" s="1" t="n">
        <v>44221</v>
      </c>
      <c r="C313" s="1" t="n">
        <v>45807</v>
      </c>
      <c r="D313" t="inlineStr">
        <is>
          <t>UPPSALA LÄN</t>
        </is>
      </c>
      <c r="E313" t="inlineStr">
        <is>
          <t>ÖSTHAMMAR</t>
        </is>
      </c>
      <c r="G313" t="n">
        <v>0.3</v>
      </c>
      <c r="H313" t="n">
        <v>0</v>
      </c>
      <c r="I313" t="n">
        <v>0</v>
      </c>
      <c r="J313" t="n">
        <v>0</v>
      </c>
      <c r="K313" t="n">
        <v>0</v>
      </c>
      <c r="L313" t="n">
        <v>0</v>
      </c>
      <c r="M313" t="n">
        <v>0</v>
      </c>
      <c r="N313" t="n">
        <v>0</v>
      </c>
      <c r="O313" t="n">
        <v>0</v>
      </c>
      <c r="P313" t="n">
        <v>0</v>
      </c>
      <c r="Q313" t="n">
        <v>0</v>
      </c>
      <c r="R313" s="2" t="inlineStr"/>
    </row>
    <row r="314" ht="15" customHeight="1">
      <c r="A314" t="inlineStr">
        <is>
          <t>A 4151-2021</t>
        </is>
      </c>
      <c r="B314" s="1" t="n">
        <v>44221</v>
      </c>
      <c r="C314" s="1" t="n">
        <v>45807</v>
      </c>
      <c r="D314" t="inlineStr">
        <is>
          <t>UPPSALA LÄN</t>
        </is>
      </c>
      <c r="E314" t="inlineStr">
        <is>
          <t>ÖSTHAMMAR</t>
        </is>
      </c>
      <c r="G314" t="n">
        <v>2.9</v>
      </c>
      <c r="H314" t="n">
        <v>0</v>
      </c>
      <c r="I314" t="n">
        <v>0</v>
      </c>
      <c r="J314" t="n">
        <v>0</v>
      </c>
      <c r="K314" t="n">
        <v>0</v>
      </c>
      <c r="L314" t="n">
        <v>0</v>
      </c>
      <c r="M314" t="n">
        <v>0</v>
      </c>
      <c r="N314" t="n">
        <v>0</v>
      </c>
      <c r="O314" t="n">
        <v>0</v>
      </c>
      <c r="P314" t="n">
        <v>0</v>
      </c>
      <c r="Q314" t="n">
        <v>0</v>
      </c>
      <c r="R314" s="2" t="inlineStr"/>
    </row>
    <row r="315" ht="15" customHeight="1">
      <c r="A315" t="inlineStr">
        <is>
          <t>A 4590-2021</t>
        </is>
      </c>
      <c r="B315" s="1" t="n">
        <v>44224</v>
      </c>
      <c r="C315" s="1" t="n">
        <v>45807</v>
      </c>
      <c r="D315" t="inlineStr">
        <is>
          <t>UPPSALA LÄN</t>
        </is>
      </c>
      <c r="E315" t="inlineStr">
        <is>
          <t>ÖSTHAMMAR</t>
        </is>
      </c>
      <c r="F315" t="inlineStr">
        <is>
          <t>Bergvik skog öst AB</t>
        </is>
      </c>
      <c r="G315" t="n">
        <v>2.4</v>
      </c>
      <c r="H315" t="n">
        <v>0</v>
      </c>
      <c r="I315" t="n">
        <v>0</v>
      </c>
      <c r="J315" t="n">
        <v>0</v>
      </c>
      <c r="K315" t="n">
        <v>0</v>
      </c>
      <c r="L315" t="n">
        <v>0</v>
      </c>
      <c r="M315" t="n">
        <v>0</v>
      </c>
      <c r="N315" t="n">
        <v>0</v>
      </c>
      <c r="O315" t="n">
        <v>0</v>
      </c>
      <c r="P315" t="n">
        <v>0</v>
      </c>
      <c r="Q315" t="n">
        <v>0</v>
      </c>
      <c r="R315" s="2" t="inlineStr"/>
    </row>
    <row r="316" ht="15" customHeight="1">
      <c r="A316" t="inlineStr">
        <is>
          <t>A 6221-2021</t>
        </is>
      </c>
      <c r="B316" s="1" t="n">
        <v>44235</v>
      </c>
      <c r="C316" s="1" t="n">
        <v>45807</v>
      </c>
      <c r="D316" t="inlineStr">
        <is>
          <t>UPPSALA LÄN</t>
        </is>
      </c>
      <c r="E316" t="inlineStr">
        <is>
          <t>ÖSTHAMMAR</t>
        </is>
      </c>
      <c r="G316" t="n">
        <v>0.8</v>
      </c>
      <c r="H316" t="n">
        <v>0</v>
      </c>
      <c r="I316" t="n">
        <v>0</v>
      </c>
      <c r="J316" t="n">
        <v>0</v>
      </c>
      <c r="K316" t="n">
        <v>0</v>
      </c>
      <c r="L316" t="n">
        <v>0</v>
      </c>
      <c r="M316" t="n">
        <v>0</v>
      </c>
      <c r="N316" t="n">
        <v>0</v>
      </c>
      <c r="O316" t="n">
        <v>0</v>
      </c>
      <c r="P316" t="n">
        <v>0</v>
      </c>
      <c r="Q316" t="n">
        <v>0</v>
      </c>
      <c r="R316" s="2" t="inlineStr"/>
    </row>
    <row r="317" ht="15" customHeight="1">
      <c r="A317" t="inlineStr">
        <is>
          <t>A 7113-2021</t>
        </is>
      </c>
      <c r="B317" s="1" t="n">
        <v>44238</v>
      </c>
      <c r="C317" s="1" t="n">
        <v>45807</v>
      </c>
      <c r="D317" t="inlineStr">
        <is>
          <t>UPPSALA LÄN</t>
        </is>
      </c>
      <c r="E317" t="inlineStr">
        <is>
          <t>ÖSTHAMMAR</t>
        </is>
      </c>
      <c r="F317" t="inlineStr">
        <is>
          <t>Bergvik skog öst AB</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8009-2021</t>
        </is>
      </c>
      <c r="B318" s="1" t="n">
        <v>44243</v>
      </c>
      <c r="C318" s="1" t="n">
        <v>45807</v>
      </c>
      <c r="D318" t="inlineStr">
        <is>
          <t>UPPSALA LÄN</t>
        </is>
      </c>
      <c r="E318" t="inlineStr">
        <is>
          <t>ÖSTHAMMAR</t>
        </is>
      </c>
      <c r="G318" t="n">
        <v>9.9</v>
      </c>
      <c r="H318" t="n">
        <v>0</v>
      </c>
      <c r="I318" t="n">
        <v>0</v>
      </c>
      <c r="J318" t="n">
        <v>0</v>
      </c>
      <c r="K318" t="n">
        <v>0</v>
      </c>
      <c r="L318" t="n">
        <v>0</v>
      </c>
      <c r="M318" t="n">
        <v>0</v>
      </c>
      <c r="N318" t="n">
        <v>0</v>
      </c>
      <c r="O318" t="n">
        <v>0</v>
      </c>
      <c r="P318" t="n">
        <v>0</v>
      </c>
      <c r="Q318" t="n">
        <v>0</v>
      </c>
      <c r="R318" s="2" t="inlineStr"/>
    </row>
    <row r="319" ht="15" customHeight="1">
      <c r="A319" t="inlineStr">
        <is>
          <t>A 10316-2021</t>
        </is>
      </c>
      <c r="B319" s="1" t="n">
        <v>44257</v>
      </c>
      <c r="C319" s="1" t="n">
        <v>45807</v>
      </c>
      <c r="D319" t="inlineStr">
        <is>
          <t>UPPSALA LÄN</t>
        </is>
      </c>
      <c r="E319" t="inlineStr">
        <is>
          <t>ÖSTHAMMAR</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10498-2021</t>
        </is>
      </c>
      <c r="B320" s="1" t="n">
        <v>44258</v>
      </c>
      <c r="C320" s="1" t="n">
        <v>45807</v>
      </c>
      <c r="D320" t="inlineStr">
        <is>
          <t>UPPSALA LÄN</t>
        </is>
      </c>
      <c r="E320" t="inlineStr">
        <is>
          <t>ÖSTHAMMAR</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14248-2021</t>
        </is>
      </c>
      <c r="B321" s="1" t="n">
        <v>44278</v>
      </c>
      <c r="C321" s="1" t="n">
        <v>45807</v>
      </c>
      <c r="D321" t="inlineStr">
        <is>
          <t>UPPSALA LÄN</t>
        </is>
      </c>
      <c r="E321" t="inlineStr">
        <is>
          <t>ÖSTHAMMAR</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14525-2021</t>
        </is>
      </c>
      <c r="B322" s="1" t="n">
        <v>44279</v>
      </c>
      <c r="C322" s="1" t="n">
        <v>45807</v>
      </c>
      <c r="D322" t="inlineStr">
        <is>
          <t>UPPSALA LÄN</t>
        </is>
      </c>
      <c r="E322" t="inlineStr">
        <is>
          <t>ÖSTHAMMAR</t>
        </is>
      </c>
      <c r="F322" t="inlineStr">
        <is>
          <t>Bergvik skog öst AB</t>
        </is>
      </c>
      <c r="G322" t="n">
        <v>2.1</v>
      </c>
      <c r="H322" t="n">
        <v>0</v>
      </c>
      <c r="I322" t="n">
        <v>0</v>
      </c>
      <c r="J322" t="n">
        <v>0</v>
      </c>
      <c r="K322" t="n">
        <v>0</v>
      </c>
      <c r="L322" t="n">
        <v>0</v>
      </c>
      <c r="M322" t="n">
        <v>0</v>
      </c>
      <c r="N322" t="n">
        <v>0</v>
      </c>
      <c r="O322" t="n">
        <v>0</v>
      </c>
      <c r="P322" t="n">
        <v>0</v>
      </c>
      <c r="Q322" t="n">
        <v>0</v>
      </c>
      <c r="R322" s="2" t="inlineStr"/>
    </row>
    <row r="323" ht="15" customHeight="1">
      <c r="A323" t="inlineStr">
        <is>
          <t>A 16212-2021</t>
        </is>
      </c>
      <c r="B323" s="1" t="n">
        <v>44287</v>
      </c>
      <c r="C323" s="1" t="n">
        <v>45807</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16209-2021</t>
        </is>
      </c>
      <c r="B324" s="1" t="n">
        <v>44287</v>
      </c>
      <c r="C324" s="1" t="n">
        <v>45807</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row>
    <row r="325" ht="15" customHeight="1">
      <c r="A325" t="inlineStr">
        <is>
          <t>A 17009-2021</t>
        </is>
      </c>
      <c r="B325" s="1" t="n">
        <v>44295</v>
      </c>
      <c r="C325" s="1" t="n">
        <v>45807</v>
      </c>
      <c r="D325" t="inlineStr">
        <is>
          <t>UPPSALA LÄN</t>
        </is>
      </c>
      <c r="E325" t="inlineStr">
        <is>
          <t>ÖSTHAMMAR</t>
        </is>
      </c>
      <c r="F325" t="inlineStr">
        <is>
          <t>Bergvik skog öst AB</t>
        </is>
      </c>
      <c r="G325" t="n">
        <v>3.2</v>
      </c>
      <c r="H325" t="n">
        <v>0</v>
      </c>
      <c r="I325" t="n">
        <v>0</v>
      </c>
      <c r="J325" t="n">
        <v>0</v>
      </c>
      <c r="K325" t="n">
        <v>0</v>
      </c>
      <c r="L325" t="n">
        <v>0</v>
      </c>
      <c r="M325" t="n">
        <v>0</v>
      </c>
      <c r="N325" t="n">
        <v>0</v>
      </c>
      <c r="O325" t="n">
        <v>0</v>
      </c>
      <c r="P325" t="n">
        <v>0</v>
      </c>
      <c r="Q325" t="n">
        <v>0</v>
      </c>
      <c r="R325" s="2" t="inlineStr"/>
    </row>
    <row r="326" ht="15" customHeight="1">
      <c r="A326" t="inlineStr">
        <is>
          <t>A 17022-2021</t>
        </is>
      </c>
      <c r="B326" s="1" t="n">
        <v>44295</v>
      </c>
      <c r="C326" s="1" t="n">
        <v>45807</v>
      </c>
      <c r="D326" t="inlineStr">
        <is>
          <t>UPPSALA LÄN</t>
        </is>
      </c>
      <c r="E326" t="inlineStr">
        <is>
          <t>ÖSTHAMMAR</t>
        </is>
      </c>
      <c r="F326" t="inlineStr">
        <is>
          <t>Bergvik skog öst AB</t>
        </is>
      </c>
      <c r="G326" t="n">
        <v>0.3</v>
      </c>
      <c r="H326" t="n">
        <v>0</v>
      </c>
      <c r="I326" t="n">
        <v>0</v>
      </c>
      <c r="J326" t="n">
        <v>0</v>
      </c>
      <c r="K326" t="n">
        <v>0</v>
      </c>
      <c r="L326" t="n">
        <v>0</v>
      </c>
      <c r="M326" t="n">
        <v>0</v>
      </c>
      <c r="N326" t="n">
        <v>0</v>
      </c>
      <c r="O326" t="n">
        <v>0</v>
      </c>
      <c r="P326" t="n">
        <v>0</v>
      </c>
      <c r="Q326" t="n">
        <v>0</v>
      </c>
      <c r="R326" s="2" t="inlineStr"/>
    </row>
    <row r="327" ht="15" customHeight="1">
      <c r="A327" t="inlineStr">
        <is>
          <t>A 17033-2021</t>
        </is>
      </c>
      <c r="B327" s="1" t="n">
        <v>44295</v>
      </c>
      <c r="C327" s="1" t="n">
        <v>45807</v>
      </c>
      <c r="D327" t="inlineStr">
        <is>
          <t>UPPSALA LÄN</t>
        </is>
      </c>
      <c r="E327" t="inlineStr">
        <is>
          <t>ÖSTHAMMAR</t>
        </is>
      </c>
      <c r="F327" t="inlineStr">
        <is>
          <t>Bergvik skog öst AB</t>
        </is>
      </c>
      <c r="G327" t="n">
        <v>4.7</v>
      </c>
      <c r="H327" t="n">
        <v>0</v>
      </c>
      <c r="I327" t="n">
        <v>0</v>
      </c>
      <c r="J327" t="n">
        <v>0</v>
      </c>
      <c r="K327" t="n">
        <v>0</v>
      </c>
      <c r="L327" t="n">
        <v>0</v>
      </c>
      <c r="M327" t="n">
        <v>0</v>
      </c>
      <c r="N327" t="n">
        <v>0</v>
      </c>
      <c r="O327" t="n">
        <v>0</v>
      </c>
      <c r="P327" t="n">
        <v>0</v>
      </c>
      <c r="Q327" t="n">
        <v>0</v>
      </c>
      <c r="R327" s="2" t="inlineStr"/>
    </row>
    <row r="328" ht="15" customHeight="1">
      <c r="A328" t="inlineStr">
        <is>
          <t>A 17349-2021</t>
        </is>
      </c>
      <c r="B328" s="1" t="n">
        <v>44298</v>
      </c>
      <c r="C328" s="1" t="n">
        <v>45807</v>
      </c>
      <c r="D328" t="inlineStr">
        <is>
          <t>UPPSALA LÄN</t>
        </is>
      </c>
      <c r="E328" t="inlineStr">
        <is>
          <t>ÖSTHAMMAR</t>
        </is>
      </c>
      <c r="F328" t="inlineStr">
        <is>
          <t>Bergvik skog öst AB</t>
        </is>
      </c>
      <c r="G328" t="n">
        <v>4.2</v>
      </c>
      <c r="H328" t="n">
        <v>0</v>
      </c>
      <c r="I328" t="n">
        <v>0</v>
      </c>
      <c r="J328" t="n">
        <v>0</v>
      </c>
      <c r="K328" t="n">
        <v>0</v>
      </c>
      <c r="L328" t="n">
        <v>0</v>
      </c>
      <c r="M328" t="n">
        <v>0</v>
      </c>
      <c r="N328" t="n">
        <v>0</v>
      </c>
      <c r="O328" t="n">
        <v>0</v>
      </c>
      <c r="P328" t="n">
        <v>0</v>
      </c>
      <c r="Q328" t="n">
        <v>0</v>
      </c>
      <c r="R328" s="2" t="inlineStr"/>
    </row>
    <row r="329" ht="15" customHeight="1">
      <c r="A329" t="inlineStr">
        <is>
          <t>A 18944-2021</t>
        </is>
      </c>
      <c r="B329" s="1" t="n">
        <v>44308</v>
      </c>
      <c r="C329" s="1" t="n">
        <v>45807</v>
      </c>
      <c r="D329" t="inlineStr">
        <is>
          <t>UPPSALA LÄN</t>
        </is>
      </c>
      <c r="E329" t="inlineStr">
        <is>
          <t>ÖSTHAMMAR</t>
        </is>
      </c>
      <c r="F329" t="inlineStr">
        <is>
          <t>Bergvik skog öst AB</t>
        </is>
      </c>
      <c r="G329" t="n">
        <v>12.5</v>
      </c>
      <c r="H329" t="n">
        <v>0</v>
      </c>
      <c r="I329" t="n">
        <v>0</v>
      </c>
      <c r="J329" t="n">
        <v>0</v>
      </c>
      <c r="K329" t="n">
        <v>0</v>
      </c>
      <c r="L329" t="n">
        <v>0</v>
      </c>
      <c r="M329" t="n">
        <v>0</v>
      </c>
      <c r="N329" t="n">
        <v>0</v>
      </c>
      <c r="O329" t="n">
        <v>0</v>
      </c>
      <c r="P329" t="n">
        <v>0</v>
      </c>
      <c r="Q329" t="n">
        <v>0</v>
      </c>
      <c r="R329" s="2" t="inlineStr"/>
    </row>
    <row r="330" ht="15" customHeight="1">
      <c r="A330" t="inlineStr">
        <is>
          <t>A 20326-2021</t>
        </is>
      </c>
      <c r="B330" s="1" t="n">
        <v>44308</v>
      </c>
      <c r="C330" s="1" t="n">
        <v>45807</v>
      </c>
      <c r="D330" t="inlineStr">
        <is>
          <t>UPPSALA LÄN</t>
        </is>
      </c>
      <c r="E330" t="inlineStr">
        <is>
          <t>ÖSTHAMMAR</t>
        </is>
      </c>
      <c r="G330" t="n">
        <v>7.8</v>
      </c>
      <c r="H330" t="n">
        <v>0</v>
      </c>
      <c r="I330" t="n">
        <v>0</v>
      </c>
      <c r="J330" t="n">
        <v>0</v>
      </c>
      <c r="K330" t="n">
        <v>0</v>
      </c>
      <c r="L330" t="n">
        <v>0</v>
      </c>
      <c r="M330" t="n">
        <v>0</v>
      </c>
      <c r="N330" t="n">
        <v>0</v>
      </c>
      <c r="O330" t="n">
        <v>0</v>
      </c>
      <c r="P330" t="n">
        <v>0</v>
      </c>
      <c r="Q330" t="n">
        <v>0</v>
      </c>
      <c r="R330" s="2" t="inlineStr"/>
    </row>
    <row r="331" ht="15" customHeight="1">
      <c r="A331" t="inlineStr">
        <is>
          <t>A 20325-2021</t>
        </is>
      </c>
      <c r="B331" s="1" t="n">
        <v>44308</v>
      </c>
      <c r="C331" s="1" t="n">
        <v>45807</v>
      </c>
      <c r="D331" t="inlineStr">
        <is>
          <t>UPPSALA LÄN</t>
        </is>
      </c>
      <c r="E331" t="inlineStr">
        <is>
          <t>ÖSTHAMMAR</t>
        </is>
      </c>
      <c r="G331" t="n">
        <v>5</v>
      </c>
      <c r="H331" t="n">
        <v>0</v>
      </c>
      <c r="I331" t="n">
        <v>0</v>
      </c>
      <c r="J331" t="n">
        <v>0</v>
      </c>
      <c r="K331" t="n">
        <v>0</v>
      </c>
      <c r="L331" t="n">
        <v>0</v>
      </c>
      <c r="M331" t="n">
        <v>0</v>
      </c>
      <c r="N331" t="n">
        <v>0</v>
      </c>
      <c r="O331" t="n">
        <v>0</v>
      </c>
      <c r="P331" t="n">
        <v>0</v>
      </c>
      <c r="Q331" t="n">
        <v>0</v>
      </c>
      <c r="R331" s="2" t="inlineStr"/>
    </row>
    <row r="332" ht="15" customHeight="1">
      <c r="A332" t="inlineStr">
        <is>
          <t>A 20324-2021</t>
        </is>
      </c>
      <c r="B332" s="1" t="n">
        <v>44308</v>
      </c>
      <c r="C332" s="1" t="n">
        <v>45807</v>
      </c>
      <c r="D332" t="inlineStr">
        <is>
          <t>UPPSALA LÄN</t>
        </is>
      </c>
      <c r="E332" t="inlineStr">
        <is>
          <t>ÖSTHAMMAR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19214-2021</t>
        </is>
      </c>
      <c r="B333" s="1" t="n">
        <v>44309</v>
      </c>
      <c r="C333" s="1" t="n">
        <v>45807</v>
      </c>
      <c r="D333" t="inlineStr">
        <is>
          <t>UPPSALA LÄN</t>
        </is>
      </c>
      <c r="E333" t="inlineStr">
        <is>
          <t>ÖSTHAMMAR</t>
        </is>
      </c>
      <c r="F333" t="inlineStr">
        <is>
          <t>Bergvik skog öst AB</t>
        </is>
      </c>
      <c r="G333" t="n">
        <v>6</v>
      </c>
      <c r="H333" t="n">
        <v>0</v>
      </c>
      <c r="I333" t="n">
        <v>0</v>
      </c>
      <c r="J333" t="n">
        <v>0</v>
      </c>
      <c r="K333" t="n">
        <v>0</v>
      </c>
      <c r="L333" t="n">
        <v>0</v>
      </c>
      <c r="M333" t="n">
        <v>0</v>
      </c>
      <c r="N333" t="n">
        <v>0</v>
      </c>
      <c r="O333" t="n">
        <v>0</v>
      </c>
      <c r="P333" t="n">
        <v>0</v>
      </c>
      <c r="Q333" t="n">
        <v>0</v>
      </c>
      <c r="R333" s="2" t="inlineStr"/>
    </row>
    <row r="334" ht="15" customHeight="1">
      <c r="A334" t="inlineStr">
        <is>
          <t>A 19552-2021</t>
        </is>
      </c>
      <c r="B334" s="1" t="n">
        <v>44312</v>
      </c>
      <c r="C334" s="1" t="n">
        <v>45807</v>
      </c>
      <c r="D334" t="inlineStr">
        <is>
          <t>UPPSALA LÄN</t>
        </is>
      </c>
      <c r="E334" t="inlineStr">
        <is>
          <t>ÖSTHAMMAR</t>
        </is>
      </c>
      <c r="G334" t="n">
        <v>4.5</v>
      </c>
      <c r="H334" t="n">
        <v>0</v>
      </c>
      <c r="I334" t="n">
        <v>0</v>
      </c>
      <c r="J334" t="n">
        <v>0</v>
      </c>
      <c r="K334" t="n">
        <v>0</v>
      </c>
      <c r="L334" t="n">
        <v>0</v>
      </c>
      <c r="M334" t="n">
        <v>0</v>
      </c>
      <c r="N334" t="n">
        <v>0</v>
      </c>
      <c r="O334" t="n">
        <v>0</v>
      </c>
      <c r="P334" t="n">
        <v>0</v>
      </c>
      <c r="Q334" t="n">
        <v>0</v>
      </c>
      <c r="R334" s="2" t="inlineStr"/>
    </row>
    <row r="335" ht="15" customHeight="1">
      <c r="A335" t="inlineStr">
        <is>
          <t>A 22709-2021</t>
        </is>
      </c>
      <c r="B335" s="1" t="n">
        <v>44327</v>
      </c>
      <c r="C335" s="1" t="n">
        <v>45807</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23120-2021</t>
        </is>
      </c>
      <c r="B336" s="1" t="n">
        <v>44330</v>
      </c>
      <c r="C336" s="1" t="n">
        <v>45807</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24062-2021</t>
        </is>
      </c>
      <c r="B337" s="1" t="n">
        <v>44336</v>
      </c>
      <c r="C337" s="1" t="n">
        <v>45807</v>
      </c>
      <c r="D337" t="inlineStr">
        <is>
          <t>UPPSALA LÄN</t>
        </is>
      </c>
      <c r="E337" t="inlineStr">
        <is>
          <t>ÖSTHAMMAR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24316-2021</t>
        </is>
      </c>
      <c r="B338" s="1" t="n">
        <v>44337</v>
      </c>
      <c r="C338" s="1" t="n">
        <v>45807</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25033-2021</t>
        </is>
      </c>
      <c r="B339" s="1" t="n">
        <v>44341</v>
      </c>
      <c r="C339" s="1" t="n">
        <v>45807</v>
      </c>
      <c r="D339" t="inlineStr">
        <is>
          <t>UPPSALA LÄN</t>
        </is>
      </c>
      <c r="E339" t="inlineStr">
        <is>
          <t>ÖSTHAMMAR</t>
        </is>
      </c>
      <c r="F339" t="inlineStr">
        <is>
          <t>Bergvik skog öst AB</t>
        </is>
      </c>
      <c r="G339" t="n">
        <v>1</v>
      </c>
      <c r="H339" t="n">
        <v>0</v>
      </c>
      <c r="I339" t="n">
        <v>0</v>
      </c>
      <c r="J339" t="n">
        <v>0</v>
      </c>
      <c r="K339" t="n">
        <v>0</v>
      </c>
      <c r="L339" t="n">
        <v>0</v>
      </c>
      <c r="M339" t="n">
        <v>0</v>
      </c>
      <c r="N339" t="n">
        <v>0</v>
      </c>
      <c r="O339" t="n">
        <v>0</v>
      </c>
      <c r="P339" t="n">
        <v>0</v>
      </c>
      <c r="Q339" t="n">
        <v>0</v>
      </c>
      <c r="R339" s="2" t="inlineStr"/>
    </row>
    <row r="340" ht="15" customHeight="1">
      <c r="A340" t="inlineStr">
        <is>
          <t>A 25378-2021</t>
        </is>
      </c>
      <c r="B340" s="1" t="n">
        <v>44342</v>
      </c>
      <c r="C340" s="1" t="n">
        <v>45807</v>
      </c>
      <c r="D340" t="inlineStr">
        <is>
          <t>UPPSALA LÄN</t>
        </is>
      </c>
      <c r="E340" t="inlineStr">
        <is>
          <t>ÖSTHAMMAR</t>
        </is>
      </c>
      <c r="F340" t="inlineStr">
        <is>
          <t>Övriga Aktiebolag</t>
        </is>
      </c>
      <c r="G340" t="n">
        <v>2.3</v>
      </c>
      <c r="H340" t="n">
        <v>0</v>
      </c>
      <c r="I340" t="n">
        <v>0</v>
      </c>
      <c r="J340" t="n">
        <v>0</v>
      </c>
      <c r="K340" t="n">
        <v>0</v>
      </c>
      <c r="L340" t="n">
        <v>0</v>
      </c>
      <c r="M340" t="n">
        <v>0</v>
      </c>
      <c r="N340" t="n">
        <v>0</v>
      </c>
      <c r="O340" t="n">
        <v>0</v>
      </c>
      <c r="P340" t="n">
        <v>0</v>
      </c>
      <c r="Q340" t="n">
        <v>0</v>
      </c>
      <c r="R340" s="2" t="inlineStr"/>
    </row>
    <row r="341" ht="15" customHeight="1">
      <c r="A341" t="inlineStr">
        <is>
          <t>A 25395-2021</t>
        </is>
      </c>
      <c r="B341" s="1" t="n">
        <v>44342</v>
      </c>
      <c r="C341" s="1" t="n">
        <v>45807</v>
      </c>
      <c r="D341" t="inlineStr">
        <is>
          <t>UPPSALA LÄN</t>
        </is>
      </c>
      <c r="E341" t="inlineStr">
        <is>
          <t>ÖSTHAMMAR</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26257-2021</t>
        </is>
      </c>
      <c r="B342" s="1" t="n">
        <v>44347</v>
      </c>
      <c r="C342" s="1" t="n">
        <v>45807</v>
      </c>
      <c r="D342" t="inlineStr">
        <is>
          <t>UPPSALA LÄN</t>
        </is>
      </c>
      <c r="E342" t="inlineStr">
        <is>
          <t>ÖSTHAMMAR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27939-2021</t>
        </is>
      </c>
      <c r="B343" s="1" t="n">
        <v>44354</v>
      </c>
      <c r="C343" s="1" t="n">
        <v>45807</v>
      </c>
      <c r="D343" t="inlineStr">
        <is>
          <t>UPPSALA LÄN</t>
        </is>
      </c>
      <c r="E343" t="inlineStr">
        <is>
          <t>ÖSTHAMMAR</t>
        </is>
      </c>
      <c r="G343" t="n">
        <v>1</v>
      </c>
      <c r="H343" t="n">
        <v>0</v>
      </c>
      <c r="I343" t="n">
        <v>0</v>
      </c>
      <c r="J343" t="n">
        <v>0</v>
      </c>
      <c r="K343" t="n">
        <v>0</v>
      </c>
      <c r="L343" t="n">
        <v>0</v>
      </c>
      <c r="M343" t="n">
        <v>0</v>
      </c>
      <c r="N343" t="n">
        <v>0</v>
      </c>
      <c r="O343" t="n">
        <v>0</v>
      </c>
      <c r="P343" t="n">
        <v>0</v>
      </c>
      <c r="Q343" t="n">
        <v>0</v>
      </c>
      <c r="R343" s="2" t="inlineStr"/>
    </row>
    <row r="344" ht="15" customHeight="1">
      <c r="A344" t="inlineStr">
        <is>
          <t>A 27940-2021</t>
        </is>
      </c>
      <c r="B344" s="1" t="n">
        <v>44354</v>
      </c>
      <c r="C344" s="1" t="n">
        <v>45807</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29282-2021</t>
        </is>
      </c>
      <c r="B345" s="1" t="n">
        <v>44361</v>
      </c>
      <c r="C345" s="1" t="n">
        <v>45807</v>
      </c>
      <c r="D345" t="inlineStr">
        <is>
          <t>UPPSALA LÄN</t>
        </is>
      </c>
      <c r="E345" t="inlineStr">
        <is>
          <t>ÖSTHAMMAR</t>
        </is>
      </c>
      <c r="G345" t="n">
        <v>2.4</v>
      </c>
      <c r="H345" t="n">
        <v>0</v>
      </c>
      <c r="I345" t="n">
        <v>0</v>
      </c>
      <c r="J345" t="n">
        <v>0</v>
      </c>
      <c r="K345" t="n">
        <v>0</v>
      </c>
      <c r="L345" t="n">
        <v>0</v>
      </c>
      <c r="M345" t="n">
        <v>0</v>
      </c>
      <c r="N345" t="n">
        <v>0</v>
      </c>
      <c r="O345" t="n">
        <v>0</v>
      </c>
      <c r="P345" t="n">
        <v>0</v>
      </c>
      <c r="Q345" t="n">
        <v>0</v>
      </c>
      <c r="R345" s="2" t="inlineStr"/>
    </row>
    <row r="346" ht="15" customHeight="1">
      <c r="A346" t="inlineStr">
        <is>
          <t>A 30927-2021</t>
        </is>
      </c>
      <c r="B346" s="1" t="n">
        <v>44365</v>
      </c>
      <c r="C346" s="1" t="n">
        <v>45807</v>
      </c>
      <c r="D346" t="inlineStr">
        <is>
          <t>UPPSALA LÄN</t>
        </is>
      </c>
      <c r="E346" t="inlineStr">
        <is>
          <t>ÖSTHAMMAR</t>
        </is>
      </c>
      <c r="F346" t="inlineStr">
        <is>
          <t>Bergvik skog öst AB</t>
        </is>
      </c>
      <c r="G346" t="n">
        <v>1.6</v>
      </c>
      <c r="H346" t="n">
        <v>0</v>
      </c>
      <c r="I346" t="n">
        <v>0</v>
      </c>
      <c r="J346" t="n">
        <v>0</v>
      </c>
      <c r="K346" t="n">
        <v>0</v>
      </c>
      <c r="L346" t="n">
        <v>0</v>
      </c>
      <c r="M346" t="n">
        <v>0</v>
      </c>
      <c r="N346" t="n">
        <v>0</v>
      </c>
      <c r="O346" t="n">
        <v>0</v>
      </c>
      <c r="P346" t="n">
        <v>0</v>
      </c>
      <c r="Q346" t="n">
        <v>0</v>
      </c>
      <c r="R346" s="2" t="inlineStr"/>
    </row>
    <row r="347" ht="15" customHeight="1">
      <c r="A347" t="inlineStr">
        <is>
          <t>A 30931-2021</t>
        </is>
      </c>
      <c r="B347" s="1" t="n">
        <v>44365</v>
      </c>
      <c r="C347" s="1" t="n">
        <v>45807</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31263-2021</t>
        </is>
      </c>
      <c r="B348" s="1" t="n">
        <v>44368</v>
      </c>
      <c r="C348" s="1" t="n">
        <v>45807</v>
      </c>
      <c r="D348" t="inlineStr">
        <is>
          <t>UPPSALA LÄN</t>
        </is>
      </c>
      <c r="E348" t="inlineStr">
        <is>
          <t>ÖSTHAMMAR</t>
        </is>
      </c>
      <c r="G348" t="n">
        <v>1.9</v>
      </c>
      <c r="H348" t="n">
        <v>0</v>
      </c>
      <c r="I348" t="n">
        <v>0</v>
      </c>
      <c r="J348" t="n">
        <v>0</v>
      </c>
      <c r="K348" t="n">
        <v>0</v>
      </c>
      <c r="L348" t="n">
        <v>0</v>
      </c>
      <c r="M348" t="n">
        <v>0</v>
      </c>
      <c r="N348" t="n">
        <v>0</v>
      </c>
      <c r="O348" t="n">
        <v>0</v>
      </c>
      <c r="P348" t="n">
        <v>0</v>
      </c>
      <c r="Q348" t="n">
        <v>0</v>
      </c>
      <c r="R348" s="2" t="inlineStr"/>
    </row>
    <row r="349" ht="15" customHeight="1">
      <c r="A349" t="inlineStr">
        <is>
          <t>A 32244-2021</t>
        </is>
      </c>
      <c r="B349" s="1" t="n">
        <v>44371</v>
      </c>
      <c r="C349" s="1" t="n">
        <v>45807</v>
      </c>
      <c r="D349" t="inlineStr">
        <is>
          <t>UPPSALA LÄN</t>
        </is>
      </c>
      <c r="E349" t="inlineStr">
        <is>
          <t>ÖSTHAMMAR</t>
        </is>
      </c>
      <c r="F349" t="inlineStr">
        <is>
          <t>Bergvik skog öst AB</t>
        </is>
      </c>
      <c r="G349" t="n">
        <v>2.6</v>
      </c>
      <c r="H349" t="n">
        <v>0</v>
      </c>
      <c r="I349" t="n">
        <v>0</v>
      </c>
      <c r="J349" t="n">
        <v>0</v>
      </c>
      <c r="K349" t="n">
        <v>0</v>
      </c>
      <c r="L349" t="n">
        <v>0</v>
      </c>
      <c r="M349" t="n">
        <v>0</v>
      </c>
      <c r="N349" t="n">
        <v>0</v>
      </c>
      <c r="O349" t="n">
        <v>0</v>
      </c>
      <c r="P349" t="n">
        <v>0</v>
      </c>
      <c r="Q349" t="n">
        <v>0</v>
      </c>
      <c r="R349" s="2" t="inlineStr"/>
    </row>
    <row r="350" ht="15" customHeight="1">
      <c r="A350" t="inlineStr">
        <is>
          <t>A 32939-2021</t>
        </is>
      </c>
      <c r="B350" s="1" t="n">
        <v>44376</v>
      </c>
      <c r="C350" s="1" t="n">
        <v>45807</v>
      </c>
      <c r="D350" t="inlineStr">
        <is>
          <t>UPPSALA LÄN</t>
        </is>
      </c>
      <c r="E350" t="inlineStr">
        <is>
          <t>ÖSTHAMMAR</t>
        </is>
      </c>
      <c r="F350" t="inlineStr">
        <is>
          <t>Bergvik skog öst AB</t>
        </is>
      </c>
      <c r="G350" t="n">
        <v>0.7</v>
      </c>
      <c r="H350" t="n">
        <v>0</v>
      </c>
      <c r="I350" t="n">
        <v>0</v>
      </c>
      <c r="J350" t="n">
        <v>0</v>
      </c>
      <c r="K350" t="n">
        <v>0</v>
      </c>
      <c r="L350" t="n">
        <v>0</v>
      </c>
      <c r="M350" t="n">
        <v>0</v>
      </c>
      <c r="N350" t="n">
        <v>0</v>
      </c>
      <c r="O350" t="n">
        <v>0</v>
      </c>
      <c r="P350" t="n">
        <v>0</v>
      </c>
      <c r="Q350" t="n">
        <v>0</v>
      </c>
      <c r="R350" s="2" t="inlineStr"/>
    </row>
    <row r="351" ht="15" customHeight="1">
      <c r="A351" t="inlineStr">
        <is>
          <t>A 32948-2021</t>
        </is>
      </c>
      <c r="B351" s="1" t="n">
        <v>44376</v>
      </c>
      <c r="C351" s="1" t="n">
        <v>45807</v>
      </c>
      <c r="D351" t="inlineStr">
        <is>
          <t>UPPSALA LÄN</t>
        </is>
      </c>
      <c r="E351" t="inlineStr">
        <is>
          <t>ÖSTHAMMAR</t>
        </is>
      </c>
      <c r="F351" t="inlineStr">
        <is>
          <t>Bergvik skog öst AB</t>
        </is>
      </c>
      <c r="G351" t="n">
        <v>13.5</v>
      </c>
      <c r="H351" t="n">
        <v>0</v>
      </c>
      <c r="I351" t="n">
        <v>0</v>
      </c>
      <c r="J351" t="n">
        <v>0</v>
      </c>
      <c r="K351" t="n">
        <v>0</v>
      </c>
      <c r="L351" t="n">
        <v>0</v>
      </c>
      <c r="M351" t="n">
        <v>0</v>
      </c>
      <c r="N351" t="n">
        <v>0</v>
      </c>
      <c r="O351" t="n">
        <v>0</v>
      </c>
      <c r="P351" t="n">
        <v>0</v>
      </c>
      <c r="Q351" t="n">
        <v>0</v>
      </c>
      <c r="R351" s="2" t="inlineStr"/>
    </row>
    <row r="352" ht="15" customHeight="1">
      <c r="A352" t="inlineStr">
        <is>
          <t>A 33062-2021</t>
        </is>
      </c>
      <c r="B352" s="1" t="n">
        <v>44376</v>
      </c>
      <c r="C352" s="1" t="n">
        <v>45807</v>
      </c>
      <c r="D352" t="inlineStr">
        <is>
          <t>UPPSALA LÄN</t>
        </is>
      </c>
      <c r="E352" t="inlineStr">
        <is>
          <t>ÖSTHAMMAR</t>
        </is>
      </c>
      <c r="G352" t="n">
        <v>12</v>
      </c>
      <c r="H352" t="n">
        <v>0</v>
      </c>
      <c r="I352" t="n">
        <v>0</v>
      </c>
      <c r="J352" t="n">
        <v>0</v>
      </c>
      <c r="K352" t="n">
        <v>0</v>
      </c>
      <c r="L352" t="n">
        <v>0</v>
      </c>
      <c r="M352" t="n">
        <v>0</v>
      </c>
      <c r="N352" t="n">
        <v>0</v>
      </c>
      <c r="O352" t="n">
        <v>0</v>
      </c>
      <c r="P352" t="n">
        <v>0</v>
      </c>
      <c r="Q352" t="n">
        <v>0</v>
      </c>
      <c r="R352" s="2" t="inlineStr"/>
    </row>
    <row r="353" ht="15" customHeight="1">
      <c r="A353" t="inlineStr">
        <is>
          <t>A 33056-2021</t>
        </is>
      </c>
      <c r="B353" s="1" t="n">
        <v>44376</v>
      </c>
      <c r="C353" s="1" t="n">
        <v>45807</v>
      </c>
      <c r="D353" t="inlineStr">
        <is>
          <t>UPPSALA LÄN</t>
        </is>
      </c>
      <c r="E353" t="inlineStr">
        <is>
          <t>ÖSTHAMMAR</t>
        </is>
      </c>
      <c r="G353" t="n">
        <v>0.6</v>
      </c>
      <c r="H353" t="n">
        <v>0</v>
      </c>
      <c r="I353" t="n">
        <v>0</v>
      </c>
      <c r="J353" t="n">
        <v>0</v>
      </c>
      <c r="K353" t="n">
        <v>0</v>
      </c>
      <c r="L353" t="n">
        <v>0</v>
      </c>
      <c r="M353" t="n">
        <v>0</v>
      </c>
      <c r="N353" t="n">
        <v>0</v>
      </c>
      <c r="O353" t="n">
        <v>0</v>
      </c>
      <c r="P353" t="n">
        <v>0</v>
      </c>
      <c r="Q353" t="n">
        <v>0</v>
      </c>
      <c r="R353" s="2" t="inlineStr"/>
    </row>
    <row r="354" ht="15" customHeight="1">
      <c r="A354" t="inlineStr">
        <is>
          <t>A 33271-2021</t>
        </is>
      </c>
      <c r="B354" s="1" t="n">
        <v>44377</v>
      </c>
      <c r="C354" s="1" t="n">
        <v>45807</v>
      </c>
      <c r="D354" t="inlineStr">
        <is>
          <t>UPPSALA LÄN</t>
        </is>
      </c>
      <c r="E354" t="inlineStr">
        <is>
          <t>ÖSTHAMMAR</t>
        </is>
      </c>
      <c r="F354" t="inlineStr">
        <is>
          <t>Bergvik skog öst AB</t>
        </is>
      </c>
      <c r="G354" t="n">
        <v>3.9</v>
      </c>
      <c r="H354" t="n">
        <v>0</v>
      </c>
      <c r="I354" t="n">
        <v>0</v>
      </c>
      <c r="J354" t="n">
        <v>0</v>
      </c>
      <c r="K354" t="n">
        <v>0</v>
      </c>
      <c r="L354" t="n">
        <v>0</v>
      </c>
      <c r="M354" t="n">
        <v>0</v>
      </c>
      <c r="N354" t="n">
        <v>0</v>
      </c>
      <c r="O354" t="n">
        <v>0</v>
      </c>
      <c r="P354" t="n">
        <v>0</v>
      </c>
      <c r="Q354" t="n">
        <v>0</v>
      </c>
      <c r="R354" s="2" t="inlineStr"/>
    </row>
    <row r="355" ht="15" customHeight="1">
      <c r="A355" t="inlineStr">
        <is>
          <t>A 38411-2021</t>
        </is>
      </c>
      <c r="B355" s="1" t="n">
        <v>44406</v>
      </c>
      <c r="C355" s="1" t="n">
        <v>45807</v>
      </c>
      <c r="D355" t="inlineStr">
        <is>
          <t>UPPSALA LÄN</t>
        </is>
      </c>
      <c r="E355" t="inlineStr">
        <is>
          <t>ÖSTHAMMAR</t>
        </is>
      </c>
      <c r="F355" t="inlineStr">
        <is>
          <t>Bergvik skog öst AB</t>
        </is>
      </c>
      <c r="G355" t="n">
        <v>20.6</v>
      </c>
      <c r="H355" t="n">
        <v>0</v>
      </c>
      <c r="I355" t="n">
        <v>0</v>
      </c>
      <c r="J355" t="n">
        <v>0</v>
      </c>
      <c r="K355" t="n">
        <v>0</v>
      </c>
      <c r="L355" t="n">
        <v>0</v>
      </c>
      <c r="M355" t="n">
        <v>0</v>
      </c>
      <c r="N355" t="n">
        <v>0</v>
      </c>
      <c r="O355" t="n">
        <v>0</v>
      </c>
      <c r="P355" t="n">
        <v>0</v>
      </c>
      <c r="Q355" t="n">
        <v>0</v>
      </c>
      <c r="R355" s="2" t="inlineStr"/>
    </row>
    <row r="356" ht="15" customHeight="1">
      <c r="A356" t="inlineStr">
        <is>
          <t>A 40606-2021</t>
        </is>
      </c>
      <c r="B356" s="1" t="n">
        <v>44420</v>
      </c>
      <c r="C356" s="1" t="n">
        <v>45807</v>
      </c>
      <c r="D356" t="inlineStr">
        <is>
          <t>UPPSALA LÄN</t>
        </is>
      </c>
      <c r="E356" t="inlineStr">
        <is>
          <t>ÖSTHAMMAR</t>
        </is>
      </c>
      <c r="G356" t="n">
        <v>0.8</v>
      </c>
      <c r="H356" t="n">
        <v>0</v>
      </c>
      <c r="I356" t="n">
        <v>0</v>
      </c>
      <c r="J356" t="n">
        <v>0</v>
      </c>
      <c r="K356" t="n">
        <v>0</v>
      </c>
      <c r="L356" t="n">
        <v>0</v>
      </c>
      <c r="M356" t="n">
        <v>0</v>
      </c>
      <c r="N356" t="n">
        <v>0</v>
      </c>
      <c r="O356" t="n">
        <v>0</v>
      </c>
      <c r="P356" t="n">
        <v>0</v>
      </c>
      <c r="Q356" t="n">
        <v>0</v>
      </c>
      <c r="R356" s="2" t="inlineStr"/>
    </row>
    <row r="357" ht="15" customHeight="1">
      <c r="A357" t="inlineStr">
        <is>
          <t>A 41531-2021</t>
        </is>
      </c>
      <c r="B357" s="1" t="n">
        <v>44425</v>
      </c>
      <c r="C357" s="1" t="n">
        <v>45807</v>
      </c>
      <c r="D357" t="inlineStr">
        <is>
          <t>UPPSALA LÄN</t>
        </is>
      </c>
      <c r="E357" t="inlineStr">
        <is>
          <t>ÖSTHAMMAR</t>
        </is>
      </c>
      <c r="F357" t="inlineStr">
        <is>
          <t>Bergvik skog öst AB</t>
        </is>
      </c>
      <c r="G357" t="n">
        <v>2.8</v>
      </c>
      <c r="H357" t="n">
        <v>0</v>
      </c>
      <c r="I357" t="n">
        <v>0</v>
      </c>
      <c r="J357" t="n">
        <v>0</v>
      </c>
      <c r="K357" t="n">
        <v>0</v>
      </c>
      <c r="L357" t="n">
        <v>0</v>
      </c>
      <c r="M357" t="n">
        <v>0</v>
      </c>
      <c r="N357" t="n">
        <v>0</v>
      </c>
      <c r="O357" t="n">
        <v>0</v>
      </c>
      <c r="P357" t="n">
        <v>0</v>
      </c>
      <c r="Q357" t="n">
        <v>0</v>
      </c>
      <c r="R357" s="2" t="inlineStr"/>
    </row>
    <row r="358" ht="15" customHeight="1">
      <c r="A358" t="inlineStr">
        <is>
          <t>A 41558-2021</t>
        </is>
      </c>
      <c r="B358" s="1" t="n">
        <v>44425</v>
      </c>
      <c r="C358" s="1" t="n">
        <v>45807</v>
      </c>
      <c r="D358" t="inlineStr">
        <is>
          <t>UPPSALA LÄN</t>
        </is>
      </c>
      <c r="E358" t="inlineStr">
        <is>
          <t>ÖSTHAMMAR</t>
        </is>
      </c>
      <c r="F358" t="inlineStr">
        <is>
          <t>Bergvik skog öst AB</t>
        </is>
      </c>
      <c r="G358" t="n">
        <v>1.4</v>
      </c>
      <c r="H358" t="n">
        <v>0</v>
      </c>
      <c r="I358" t="n">
        <v>0</v>
      </c>
      <c r="J358" t="n">
        <v>0</v>
      </c>
      <c r="K358" t="n">
        <v>0</v>
      </c>
      <c r="L358" t="n">
        <v>0</v>
      </c>
      <c r="M358" t="n">
        <v>0</v>
      </c>
      <c r="N358" t="n">
        <v>0</v>
      </c>
      <c r="O358" t="n">
        <v>0</v>
      </c>
      <c r="P358" t="n">
        <v>0</v>
      </c>
      <c r="Q358" t="n">
        <v>0</v>
      </c>
      <c r="R358" s="2" t="inlineStr"/>
    </row>
    <row r="359" ht="15" customHeight="1">
      <c r="A359" t="inlineStr">
        <is>
          <t>A 41538-2021</t>
        </is>
      </c>
      <c r="B359" s="1" t="n">
        <v>44425</v>
      </c>
      <c r="C359" s="1" t="n">
        <v>45807</v>
      </c>
      <c r="D359" t="inlineStr">
        <is>
          <t>UPPSALA LÄN</t>
        </is>
      </c>
      <c r="E359" t="inlineStr">
        <is>
          <t>ÖSTHAMMAR</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41744-2021</t>
        </is>
      </c>
      <c r="B360" s="1" t="n">
        <v>44425</v>
      </c>
      <c r="C360" s="1" t="n">
        <v>45807</v>
      </c>
      <c r="D360" t="inlineStr">
        <is>
          <t>UPPSALA LÄN</t>
        </is>
      </c>
      <c r="E360" t="inlineStr">
        <is>
          <t>ÖSTHAMMAR</t>
        </is>
      </c>
      <c r="F360" t="inlineStr">
        <is>
          <t>Bergvik skog öst AB</t>
        </is>
      </c>
      <c r="G360" t="n">
        <v>2.7</v>
      </c>
      <c r="H360" t="n">
        <v>0</v>
      </c>
      <c r="I360" t="n">
        <v>0</v>
      </c>
      <c r="J360" t="n">
        <v>0</v>
      </c>
      <c r="K360" t="n">
        <v>0</v>
      </c>
      <c r="L360" t="n">
        <v>0</v>
      </c>
      <c r="M360" t="n">
        <v>0</v>
      </c>
      <c r="N360" t="n">
        <v>0</v>
      </c>
      <c r="O360" t="n">
        <v>0</v>
      </c>
      <c r="P360" t="n">
        <v>0</v>
      </c>
      <c r="Q360" t="n">
        <v>0</v>
      </c>
      <c r="R360" s="2" t="inlineStr"/>
    </row>
    <row r="361" ht="15" customHeight="1">
      <c r="A361" t="inlineStr">
        <is>
          <t>A 43469-2021</t>
        </is>
      </c>
      <c r="B361" s="1" t="n">
        <v>44432</v>
      </c>
      <c r="C361" s="1" t="n">
        <v>45807</v>
      </c>
      <c r="D361" t="inlineStr">
        <is>
          <t>UPPSALA LÄN</t>
        </is>
      </c>
      <c r="E361" t="inlineStr">
        <is>
          <t>ÖSTHAMMAR</t>
        </is>
      </c>
      <c r="G361" t="n">
        <v>3.9</v>
      </c>
      <c r="H361" t="n">
        <v>0</v>
      </c>
      <c r="I361" t="n">
        <v>0</v>
      </c>
      <c r="J361" t="n">
        <v>0</v>
      </c>
      <c r="K361" t="n">
        <v>0</v>
      </c>
      <c r="L361" t="n">
        <v>0</v>
      </c>
      <c r="M361" t="n">
        <v>0</v>
      </c>
      <c r="N361" t="n">
        <v>0</v>
      </c>
      <c r="O361" t="n">
        <v>0</v>
      </c>
      <c r="P361" t="n">
        <v>0</v>
      </c>
      <c r="Q361" t="n">
        <v>0</v>
      </c>
      <c r="R361" s="2" t="inlineStr"/>
    </row>
    <row r="362" ht="15" customHeight="1">
      <c r="A362" t="inlineStr">
        <is>
          <t>A 48308-2021</t>
        </is>
      </c>
      <c r="B362" s="1" t="n">
        <v>44450</v>
      </c>
      <c r="C362" s="1" t="n">
        <v>45807</v>
      </c>
      <c r="D362" t="inlineStr">
        <is>
          <t>UPPSALA LÄN</t>
        </is>
      </c>
      <c r="E362" t="inlineStr">
        <is>
          <t>ÖSTHAMMAR</t>
        </is>
      </c>
      <c r="G362" t="n">
        <v>3.5</v>
      </c>
      <c r="H362" t="n">
        <v>0</v>
      </c>
      <c r="I362" t="n">
        <v>0</v>
      </c>
      <c r="J362" t="n">
        <v>0</v>
      </c>
      <c r="K362" t="n">
        <v>0</v>
      </c>
      <c r="L362" t="n">
        <v>0</v>
      </c>
      <c r="M362" t="n">
        <v>0</v>
      </c>
      <c r="N362" t="n">
        <v>0</v>
      </c>
      <c r="O362" t="n">
        <v>0</v>
      </c>
      <c r="P362" t="n">
        <v>0</v>
      </c>
      <c r="Q362" t="n">
        <v>0</v>
      </c>
      <c r="R362" s="2" t="inlineStr"/>
    </row>
    <row r="363" ht="15" customHeight="1">
      <c r="A363" t="inlineStr">
        <is>
          <t>A 51010-2021</t>
        </is>
      </c>
      <c r="B363" s="1" t="n">
        <v>44460</v>
      </c>
      <c r="C363" s="1" t="n">
        <v>45807</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51412-2021</t>
        </is>
      </c>
      <c r="B364" s="1" t="n">
        <v>44461</v>
      </c>
      <c r="C364" s="1" t="n">
        <v>45807</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51364-2021</t>
        </is>
      </c>
      <c r="B365" s="1" t="n">
        <v>44461</v>
      </c>
      <c r="C365" s="1" t="n">
        <v>45807</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51612-2021</t>
        </is>
      </c>
      <c r="B366" s="1" t="n">
        <v>44462</v>
      </c>
      <c r="C366" s="1" t="n">
        <v>45807</v>
      </c>
      <c r="D366" t="inlineStr">
        <is>
          <t>UPPSALA LÄN</t>
        </is>
      </c>
      <c r="E366" t="inlineStr">
        <is>
          <t>ÖSTHAMMAR</t>
        </is>
      </c>
      <c r="G366" t="n">
        <v>2.7</v>
      </c>
      <c r="H366" t="n">
        <v>0</v>
      </c>
      <c r="I366" t="n">
        <v>0</v>
      </c>
      <c r="J366" t="n">
        <v>0</v>
      </c>
      <c r="K366" t="n">
        <v>0</v>
      </c>
      <c r="L366" t="n">
        <v>0</v>
      </c>
      <c r="M366" t="n">
        <v>0</v>
      </c>
      <c r="N366" t="n">
        <v>0</v>
      </c>
      <c r="O366" t="n">
        <v>0</v>
      </c>
      <c r="P366" t="n">
        <v>0</v>
      </c>
      <c r="Q366" t="n">
        <v>0</v>
      </c>
      <c r="R366" s="2" t="inlineStr"/>
    </row>
    <row r="367" ht="15" customHeight="1">
      <c r="A367" t="inlineStr">
        <is>
          <t>A 52659-2021</t>
        </is>
      </c>
      <c r="B367" s="1" t="n">
        <v>44466</v>
      </c>
      <c r="C367" s="1" t="n">
        <v>45807</v>
      </c>
      <c r="D367" t="inlineStr">
        <is>
          <t>UPPSALA LÄN</t>
        </is>
      </c>
      <c r="E367" t="inlineStr">
        <is>
          <t>ÖSTHAMMAR</t>
        </is>
      </c>
      <c r="G367" t="n">
        <v>13</v>
      </c>
      <c r="H367" t="n">
        <v>0</v>
      </c>
      <c r="I367" t="n">
        <v>0</v>
      </c>
      <c r="J367" t="n">
        <v>0</v>
      </c>
      <c r="K367" t="n">
        <v>0</v>
      </c>
      <c r="L367" t="n">
        <v>0</v>
      </c>
      <c r="M367" t="n">
        <v>0</v>
      </c>
      <c r="N367" t="n">
        <v>0</v>
      </c>
      <c r="O367" t="n">
        <v>0</v>
      </c>
      <c r="P367" t="n">
        <v>0</v>
      </c>
      <c r="Q367" t="n">
        <v>0</v>
      </c>
      <c r="R367" s="2" t="inlineStr"/>
    </row>
    <row r="368" ht="15" customHeight="1">
      <c r="A368" t="inlineStr">
        <is>
          <t>A 52544-2021</t>
        </is>
      </c>
      <c r="B368" s="1" t="n">
        <v>44466</v>
      </c>
      <c r="C368" s="1" t="n">
        <v>45807</v>
      </c>
      <c r="D368" t="inlineStr">
        <is>
          <t>UPPSALA LÄN</t>
        </is>
      </c>
      <c r="E368" t="inlineStr">
        <is>
          <t>ÖSTHAMMAR</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52898-2021</t>
        </is>
      </c>
      <c r="B369" s="1" t="n">
        <v>44467</v>
      </c>
      <c r="C369" s="1" t="n">
        <v>45807</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55646-2021</t>
        </is>
      </c>
      <c r="B370" s="1" t="n">
        <v>44476</v>
      </c>
      <c r="C370" s="1" t="n">
        <v>45807</v>
      </c>
      <c r="D370" t="inlineStr">
        <is>
          <t>UPPSALA LÄN</t>
        </is>
      </c>
      <c r="E370" t="inlineStr">
        <is>
          <t>ÖSTHAMMAR</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55872-2021</t>
        </is>
      </c>
      <c r="B371" s="1" t="n">
        <v>44476</v>
      </c>
      <c r="C371" s="1" t="n">
        <v>45807</v>
      </c>
      <c r="D371" t="inlineStr">
        <is>
          <t>UPPSALA LÄN</t>
        </is>
      </c>
      <c r="E371" t="inlineStr">
        <is>
          <t>ÖSTHAMMAR</t>
        </is>
      </c>
      <c r="F371" t="inlineStr">
        <is>
          <t>Bergvik skog öst AB</t>
        </is>
      </c>
      <c r="G371" t="n">
        <v>13.7</v>
      </c>
      <c r="H371" t="n">
        <v>0</v>
      </c>
      <c r="I371" t="n">
        <v>0</v>
      </c>
      <c r="J371" t="n">
        <v>0</v>
      </c>
      <c r="K371" t="n">
        <v>0</v>
      </c>
      <c r="L371" t="n">
        <v>0</v>
      </c>
      <c r="M371" t="n">
        <v>0</v>
      </c>
      <c r="N371" t="n">
        <v>0</v>
      </c>
      <c r="O371" t="n">
        <v>0</v>
      </c>
      <c r="P371" t="n">
        <v>0</v>
      </c>
      <c r="Q371" t="n">
        <v>0</v>
      </c>
      <c r="R371" s="2" t="inlineStr"/>
    </row>
    <row r="372" ht="15" customHeight="1">
      <c r="A372" t="inlineStr">
        <is>
          <t>A 57003-2021</t>
        </is>
      </c>
      <c r="B372" s="1" t="n">
        <v>44482</v>
      </c>
      <c r="C372" s="1" t="n">
        <v>45807</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57080-2021</t>
        </is>
      </c>
      <c r="B373" s="1" t="n">
        <v>44482</v>
      </c>
      <c r="C373" s="1" t="n">
        <v>45807</v>
      </c>
      <c r="D373" t="inlineStr">
        <is>
          <t>UPPSALA LÄN</t>
        </is>
      </c>
      <c r="E373" t="inlineStr">
        <is>
          <t>ÖSTHAMMAR</t>
        </is>
      </c>
      <c r="F373" t="inlineStr">
        <is>
          <t>Bergvik skog öst AB</t>
        </is>
      </c>
      <c r="G373" t="n">
        <v>13.4</v>
      </c>
      <c r="H373" t="n">
        <v>0</v>
      </c>
      <c r="I373" t="n">
        <v>0</v>
      </c>
      <c r="J373" t="n">
        <v>0</v>
      </c>
      <c r="K373" t="n">
        <v>0</v>
      </c>
      <c r="L373" t="n">
        <v>0</v>
      </c>
      <c r="M373" t="n">
        <v>0</v>
      </c>
      <c r="N373" t="n">
        <v>0</v>
      </c>
      <c r="O373" t="n">
        <v>0</v>
      </c>
      <c r="P373" t="n">
        <v>0</v>
      </c>
      <c r="Q373" t="n">
        <v>0</v>
      </c>
      <c r="R373" s="2" t="inlineStr"/>
    </row>
    <row r="374" ht="15" customHeight="1">
      <c r="A374" t="inlineStr">
        <is>
          <t>A 58334-2021</t>
        </is>
      </c>
      <c r="B374" s="1" t="n">
        <v>44488</v>
      </c>
      <c r="C374" s="1" t="n">
        <v>45807</v>
      </c>
      <c r="D374" t="inlineStr">
        <is>
          <t>UPPSALA LÄN</t>
        </is>
      </c>
      <c r="E374" t="inlineStr">
        <is>
          <t>ÖSTHAMMAR</t>
        </is>
      </c>
      <c r="G374" t="n">
        <v>5.7</v>
      </c>
      <c r="H374" t="n">
        <v>0</v>
      </c>
      <c r="I374" t="n">
        <v>0</v>
      </c>
      <c r="J374" t="n">
        <v>0</v>
      </c>
      <c r="K374" t="n">
        <v>0</v>
      </c>
      <c r="L374" t="n">
        <v>0</v>
      </c>
      <c r="M374" t="n">
        <v>0</v>
      </c>
      <c r="N374" t="n">
        <v>0</v>
      </c>
      <c r="O374" t="n">
        <v>0</v>
      </c>
      <c r="P374" t="n">
        <v>0</v>
      </c>
      <c r="Q374" t="n">
        <v>0</v>
      </c>
      <c r="R374" s="2" t="inlineStr"/>
    </row>
    <row r="375" ht="15" customHeight="1">
      <c r="A375" t="inlineStr">
        <is>
          <t>A 59360-2021</t>
        </is>
      </c>
      <c r="B375" s="1" t="n">
        <v>44491</v>
      </c>
      <c r="C375" s="1" t="n">
        <v>45807</v>
      </c>
      <c r="D375" t="inlineStr">
        <is>
          <t>UPPSALA LÄN</t>
        </is>
      </c>
      <c r="E375" t="inlineStr">
        <is>
          <t>ÖSTHAMMAR</t>
        </is>
      </c>
      <c r="F375" t="inlineStr">
        <is>
          <t>Bergvik skog öst AB</t>
        </is>
      </c>
      <c r="G375" t="n">
        <v>8</v>
      </c>
      <c r="H375" t="n">
        <v>0</v>
      </c>
      <c r="I375" t="n">
        <v>0</v>
      </c>
      <c r="J375" t="n">
        <v>0</v>
      </c>
      <c r="K375" t="n">
        <v>0</v>
      </c>
      <c r="L375" t="n">
        <v>0</v>
      </c>
      <c r="M375" t="n">
        <v>0</v>
      </c>
      <c r="N375" t="n">
        <v>0</v>
      </c>
      <c r="O375" t="n">
        <v>0</v>
      </c>
      <c r="P375" t="n">
        <v>0</v>
      </c>
      <c r="Q375" t="n">
        <v>0</v>
      </c>
      <c r="R375" s="2" t="inlineStr"/>
    </row>
    <row r="376" ht="15" customHeight="1">
      <c r="A376" t="inlineStr">
        <is>
          <t>A 59498-2021</t>
        </is>
      </c>
      <c r="B376" s="1" t="n">
        <v>44491</v>
      </c>
      <c r="C376" s="1" t="n">
        <v>45807</v>
      </c>
      <c r="D376" t="inlineStr">
        <is>
          <t>UPPSALA LÄN</t>
        </is>
      </c>
      <c r="E376" t="inlineStr">
        <is>
          <t>ÖSTHAMMAR</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60047-2021</t>
        </is>
      </c>
      <c r="B377" s="1" t="n">
        <v>44495</v>
      </c>
      <c r="C377" s="1" t="n">
        <v>45807</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60577-2021</t>
        </is>
      </c>
      <c r="B378" s="1" t="n">
        <v>44496</v>
      </c>
      <c r="C378" s="1" t="n">
        <v>45807</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60584-2021</t>
        </is>
      </c>
      <c r="B379" s="1" t="n">
        <v>44496</v>
      </c>
      <c r="C379" s="1" t="n">
        <v>45807</v>
      </c>
      <c r="D379" t="inlineStr">
        <is>
          <t>UPPSALA LÄN</t>
        </is>
      </c>
      <c r="E379" t="inlineStr">
        <is>
          <t>ÖSTHAMMAR</t>
        </is>
      </c>
      <c r="G379" t="n">
        <v>1.4</v>
      </c>
      <c r="H379" t="n">
        <v>0</v>
      </c>
      <c r="I379" t="n">
        <v>0</v>
      </c>
      <c r="J379" t="n">
        <v>0</v>
      </c>
      <c r="K379" t="n">
        <v>0</v>
      </c>
      <c r="L379" t="n">
        <v>0</v>
      </c>
      <c r="M379" t="n">
        <v>0</v>
      </c>
      <c r="N379" t="n">
        <v>0</v>
      </c>
      <c r="O379" t="n">
        <v>0</v>
      </c>
      <c r="P379" t="n">
        <v>0</v>
      </c>
      <c r="Q379" t="n">
        <v>0</v>
      </c>
      <c r="R379" s="2" t="inlineStr"/>
    </row>
    <row r="380" ht="15" customHeight="1">
      <c r="A380" t="inlineStr">
        <is>
          <t>A 61746-2021</t>
        </is>
      </c>
      <c r="B380" s="1" t="n">
        <v>44498</v>
      </c>
      <c r="C380" s="1" t="n">
        <v>45807</v>
      </c>
      <c r="D380" t="inlineStr">
        <is>
          <t>UPPSALA LÄN</t>
        </is>
      </c>
      <c r="E380" t="inlineStr">
        <is>
          <t>ÖSTHAMMAR</t>
        </is>
      </c>
      <c r="G380" t="n">
        <v>5.6</v>
      </c>
      <c r="H380" t="n">
        <v>0</v>
      </c>
      <c r="I380" t="n">
        <v>0</v>
      </c>
      <c r="J380" t="n">
        <v>0</v>
      </c>
      <c r="K380" t="n">
        <v>0</v>
      </c>
      <c r="L380" t="n">
        <v>0</v>
      </c>
      <c r="M380" t="n">
        <v>0</v>
      </c>
      <c r="N380" t="n">
        <v>0</v>
      </c>
      <c r="O380" t="n">
        <v>0</v>
      </c>
      <c r="P380" t="n">
        <v>0</v>
      </c>
      <c r="Q380" t="n">
        <v>0</v>
      </c>
      <c r="R380" s="2" t="inlineStr"/>
    </row>
    <row r="381" ht="15" customHeight="1">
      <c r="A381" t="inlineStr">
        <is>
          <t>A 61555-2021</t>
        </is>
      </c>
      <c r="B381" s="1" t="n">
        <v>44501</v>
      </c>
      <c r="C381" s="1" t="n">
        <v>45807</v>
      </c>
      <c r="D381" t="inlineStr">
        <is>
          <t>UPPSALA LÄN</t>
        </is>
      </c>
      <c r="E381" t="inlineStr">
        <is>
          <t>ÖSTHAMMAR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61560-2021</t>
        </is>
      </c>
      <c r="B382" s="1" t="n">
        <v>44501</v>
      </c>
      <c r="C382" s="1" t="n">
        <v>45807</v>
      </c>
      <c r="D382" t="inlineStr">
        <is>
          <t>UPPSALA LÄN</t>
        </is>
      </c>
      <c r="E382" t="inlineStr">
        <is>
          <t>ÖSTHAMMAR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61817-2021</t>
        </is>
      </c>
      <c r="B383" s="1" t="n">
        <v>44501</v>
      </c>
      <c r="C383" s="1" t="n">
        <v>45807</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62854-2021</t>
        </is>
      </c>
      <c r="B384" s="1" t="n">
        <v>44504</v>
      </c>
      <c r="C384" s="1" t="n">
        <v>45807</v>
      </c>
      <c r="D384" t="inlineStr">
        <is>
          <t>UPPSALA LÄN</t>
        </is>
      </c>
      <c r="E384" t="inlineStr">
        <is>
          <t>ÖSTHAMMAR</t>
        </is>
      </c>
      <c r="F384" t="inlineStr">
        <is>
          <t>Bergvik skog öst AB</t>
        </is>
      </c>
      <c r="G384" t="n">
        <v>10.3</v>
      </c>
      <c r="H384" t="n">
        <v>0</v>
      </c>
      <c r="I384" t="n">
        <v>0</v>
      </c>
      <c r="J384" t="n">
        <v>0</v>
      </c>
      <c r="K384" t="n">
        <v>0</v>
      </c>
      <c r="L384" t="n">
        <v>0</v>
      </c>
      <c r="M384" t="n">
        <v>0</v>
      </c>
      <c r="N384" t="n">
        <v>0</v>
      </c>
      <c r="O384" t="n">
        <v>0</v>
      </c>
      <c r="P384" t="n">
        <v>0</v>
      </c>
      <c r="Q384" t="n">
        <v>0</v>
      </c>
      <c r="R384" s="2" t="inlineStr"/>
    </row>
    <row r="385" ht="15" customHeight="1">
      <c r="A385" t="inlineStr">
        <is>
          <t>A 62782-2021</t>
        </is>
      </c>
      <c r="B385" s="1" t="n">
        <v>44504</v>
      </c>
      <c r="C385" s="1" t="n">
        <v>45807</v>
      </c>
      <c r="D385" t="inlineStr">
        <is>
          <t>UPPSALA LÄN</t>
        </is>
      </c>
      <c r="E385" t="inlineStr">
        <is>
          <t>ÖSTHAMMAR</t>
        </is>
      </c>
      <c r="G385" t="n">
        <v>2.6</v>
      </c>
      <c r="H385" t="n">
        <v>0</v>
      </c>
      <c r="I385" t="n">
        <v>0</v>
      </c>
      <c r="J385" t="n">
        <v>0</v>
      </c>
      <c r="K385" t="n">
        <v>0</v>
      </c>
      <c r="L385" t="n">
        <v>0</v>
      </c>
      <c r="M385" t="n">
        <v>0</v>
      </c>
      <c r="N385" t="n">
        <v>0</v>
      </c>
      <c r="O385" t="n">
        <v>0</v>
      </c>
      <c r="P385" t="n">
        <v>0</v>
      </c>
      <c r="Q385" t="n">
        <v>0</v>
      </c>
      <c r="R385" s="2" t="inlineStr"/>
    </row>
    <row r="386" ht="15" customHeight="1">
      <c r="A386" t="inlineStr">
        <is>
          <t>A 64586-2021</t>
        </is>
      </c>
      <c r="B386" s="1" t="n">
        <v>44511</v>
      </c>
      <c r="C386" s="1" t="n">
        <v>45807</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64811-2021</t>
        </is>
      </c>
      <c r="B387" s="1" t="n">
        <v>44512</v>
      </c>
      <c r="C387" s="1" t="n">
        <v>45807</v>
      </c>
      <c r="D387" t="inlineStr">
        <is>
          <t>UPPSALA LÄN</t>
        </is>
      </c>
      <c r="E387" t="inlineStr">
        <is>
          <t>ÖSTHAMMAR</t>
        </is>
      </c>
      <c r="G387" t="n">
        <v>4.2</v>
      </c>
      <c r="H387" t="n">
        <v>0</v>
      </c>
      <c r="I387" t="n">
        <v>0</v>
      </c>
      <c r="J387" t="n">
        <v>0</v>
      </c>
      <c r="K387" t="n">
        <v>0</v>
      </c>
      <c r="L387" t="n">
        <v>0</v>
      </c>
      <c r="M387" t="n">
        <v>0</v>
      </c>
      <c r="N387" t="n">
        <v>0</v>
      </c>
      <c r="O387" t="n">
        <v>0</v>
      </c>
      <c r="P387" t="n">
        <v>0</v>
      </c>
      <c r="Q387" t="n">
        <v>0</v>
      </c>
      <c r="R387" s="2" t="inlineStr"/>
    </row>
    <row r="388" ht="15" customHeight="1">
      <c r="A388" t="inlineStr">
        <is>
          <t>A 64872-2021</t>
        </is>
      </c>
      <c r="B388" s="1" t="n">
        <v>44512</v>
      </c>
      <c r="C388" s="1" t="n">
        <v>45807</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64885-2021</t>
        </is>
      </c>
      <c r="B389" s="1" t="n">
        <v>44512</v>
      </c>
      <c r="C389" s="1" t="n">
        <v>45807</v>
      </c>
      <c r="D389" t="inlineStr">
        <is>
          <t>UPPSALA LÄN</t>
        </is>
      </c>
      <c r="E389" t="inlineStr">
        <is>
          <t>ÖSTHAMMAR</t>
        </is>
      </c>
      <c r="G389" t="n">
        <v>2.1</v>
      </c>
      <c r="H389" t="n">
        <v>0</v>
      </c>
      <c r="I389" t="n">
        <v>0</v>
      </c>
      <c r="J389" t="n">
        <v>0</v>
      </c>
      <c r="K389" t="n">
        <v>0</v>
      </c>
      <c r="L389" t="n">
        <v>0</v>
      </c>
      <c r="M389" t="n">
        <v>0</v>
      </c>
      <c r="N389" t="n">
        <v>0</v>
      </c>
      <c r="O389" t="n">
        <v>0</v>
      </c>
      <c r="P389" t="n">
        <v>0</v>
      </c>
      <c r="Q389" t="n">
        <v>0</v>
      </c>
      <c r="R389" s="2" t="inlineStr"/>
    </row>
    <row r="390" ht="15" customHeight="1">
      <c r="A390" t="inlineStr">
        <is>
          <t>A 65020-2021</t>
        </is>
      </c>
      <c r="B390" s="1" t="n">
        <v>44515</v>
      </c>
      <c r="C390" s="1" t="n">
        <v>45807</v>
      </c>
      <c r="D390" t="inlineStr">
        <is>
          <t>UPPSALA LÄN</t>
        </is>
      </c>
      <c r="E390" t="inlineStr">
        <is>
          <t>ÖSTHAMMAR</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65104-2021</t>
        </is>
      </c>
      <c r="B391" s="1" t="n">
        <v>44515</v>
      </c>
      <c r="C391" s="1" t="n">
        <v>45807</v>
      </c>
      <c r="D391" t="inlineStr">
        <is>
          <t>UPPSALA LÄN</t>
        </is>
      </c>
      <c r="E391" t="inlineStr">
        <is>
          <t>ÖSTHAMMAR</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65028-2021</t>
        </is>
      </c>
      <c r="B392" s="1" t="n">
        <v>44515</v>
      </c>
      <c r="C392" s="1" t="n">
        <v>45807</v>
      </c>
      <c r="D392" t="inlineStr">
        <is>
          <t>UPPSALA LÄN</t>
        </is>
      </c>
      <c r="E392" t="inlineStr">
        <is>
          <t>ÖSTHAMMAR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66549-2021</t>
        </is>
      </c>
      <c r="B393" s="1" t="n">
        <v>44519</v>
      </c>
      <c r="C393" s="1" t="n">
        <v>45807</v>
      </c>
      <c r="D393" t="inlineStr">
        <is>
          <t>UPPSALA LÄN</t>
        </is>
      </c>
      <c r="E393" t="inlineStr">
        <is>
          <t>ÖSTHAMMAR</t>
        </is>
      </c>
      <c r="F393" t="inlineStr">
        <is>
          <t>Bergvik skog öst AB</t>
        </is>
      </c>
      <c r="G393" t="n">
        <v>2.8</v>
      </c>
      <c r="H393" t="n">
        <v>0</v>
      </c>
      <c r="I393" t="n">
        <v>0</v>
      </c>
      <c r="J393" t="n">
        <v>0</v>
      </c>
      <c r="K393" t="n">
        <v>0</v>
      </c>
      <c r="L393" t="n">
        <v>0</v>
      </c>
      <c r="M393" t="n">
        <v>0</v>
      </c>
      <c r="N393" t="n">
        <v>0</v>
      </c>
      <c r="O393" t="n">
        <v>0</v>
      </c>
      <c r="P393" t="n">
        <v>0</v>
      </c>
      <c r="Q393" t="n">
        <v>0</v>
      </c>
      <c r="R393" s="2" t="inlineStr"/>
    </row>
    <row r="394" ht="15" customHeight="1">
      <c r="A394" t="inlineStr">
        <is>
          <t>A 66779-2021</t>
        </is>
      </c>
      <c r="B394" s="1" t="n">
        <v>44522</v>
      </c>
      <c r="C394" s="1" t="n">
        <v>45807</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67033-2021</t>
        </is>
      </c>
      <c r="B395" s="1" t="n">
        <v>44522</v>
      </c>
      <c r="C395" s="1" t="n">
        <v>45807</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67030-2021</t>
        </is>
      </c>
      <c r="B396" s="1" t="n">
        <v>44522</v>
      </c>
      <c r="C396" s="1" t="n">
        <v>45807</v>
      </c>
      <c r="D396" t="inlineStr">
        <is>
          <t>UPPSALA LÄN</t>
        </is>
      </c>
      <c r="E396" t="inlineStr">
        <is>
          <t>ÖSTHAMMAR</t>
        </is>
      </c>
      <c r="G396" t="n">
        <v>8.6</v>
      </c>
      <c r="H396" t="n">
        <v>0</v>
      </c>
      <c r="I396" t="n">
        <v>0</v>
      </c>
      <c r="J396" t="n">
        <v>0</v>
      </c>
      <c r="K396" t="n">
        <v>0</v>
      </c>
      <c r="L396" t="n">
        <v>0</v>
      </c>
      <c r="M396" t="n">
        <v>0</v>
      </c>
      <c r="N396" t="n">
        <v>0</v>
      </c>
      <c r="O396" t="n">
        <v>0</v>
      </c>
      <c r="P396" t="n">
        <v>0</v>
      </c>
      <c r="Q396" t="n">
        <v>0</v>
      </c>
      <c r="R396" s="2" t="inlineStr"/>
    </row>
    <row r="397" ht="15" customHeight="1">
      <c r="A397" t="inlineStr">
        <is>
          <t>A 67151-2021</t>
        </is>
      </c>
      <c r="B397" s="1" t="n">
        <v>44523</v>
      </c>
      <c r="C397" s="1" t="n">
        <v>45807</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67199-2021</t>
        </is>
      </c>
      <c r="B398" s="1" t="n">
        <v>44523</v>
      </c>
      <c r="C398" s="1" t="n">
        <v>45807</v>
      </c>
      <c r="D398" t="inlineStr">
        <is>
          <t>UPPSALA LÄN</t>
        </is>
      </c>
      <c r="E398" t="inlineStr">
        <is>
          <t>ÖSTHAMMAR</t>
        </is>
      </c>
      <c r="G398" t="n">
        <v>2.3</v>
      </c>
      <c r="H398" t="n">
        <v>0</v>
      </c>
      <c r="I398" t="n">
        <v>0</v>
      </c>
      <c r="J398" t="n">
        <v>0</v>
      </c>
      <c r="K398" t="n">
        <v>0</v>
      </c>
      <c r="L398" t="n">
        <v>0</v>
      </c>
      <c r="M398" t="n">
        <v>0</v>
      </c>
      <c r="N398" t="n">
        <v>0</v>
      </c>
      <c r="O398" t="n">
        <v>0</v>
      </c>
      <c r="P398" t="n">
        <v>0</v>
      </c>
      <c r="Q398" t="n">
        <v>0</v>
      </c>
      <c r="R398" s="2" t="inlineStr"/>
    </row>
    <row r="399" ht="15" customHeight="1">
      <c r="A399" t="inlineStr">
        <is>
          <t>A 67217-2021</t>
        </is>
      </c>
      <c r="B399" s="1" t="n">
        <v>44523</v>
      </c>
      <c r="C399" s="1" t="n">
        <v>45807</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67859-2021</t>
        </is>
      </c>
      <c r="B400" s="1" t="n">
        <v>44525</v>
      </c>
      <c r="C400" s="1" t="n">
        <v>45807</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67848-2021</t>
        </is>
      </c>
      <c r="B401" s="1" t="n">
        <v>44525</v>
      </c>
      <c r="C401" s="1" t="n">
        <v>45807</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69505-2021</t>
        </is>
      </c>
      <c r="B402" s="1" t="n">
        <v>44531</v>
      </c>
      <c r="C402" s="1" t="n">
        <v>45807</v>
      </c>
      <c r="D402" t="inlineStr">
        <is>
          <t>UPPSALA LÄN</t>
        </is>
      </c>
      <c r="E402" t="inlineStr">
        <is>
          <t>ÖSTHAMMAR</t>
        </is>
      </c>
      <c r="F402" t="inlineStr">
        <is>
          <t>Bergvik skog öst AB</t>
        </is>
      </c>
      <c r="G402" t="n">
        <v>5.4</v>
      </c>
      <c r="H402" t="n">
        <v>0</v>
      </c>
      <c r="I402" t="n">
        <v>0</v>
      </c>
      <c r="J402" t="n">
        <v>0</v>
      </c>
      <c r="K402" t="n">
        <v>0</v>
      </c>
      <c r="L402" t="n">
        <v>0</v>
      </c>
      <c r="M402" t="n">
        <v>0</v>
      </c>
      <c r="N402" t="n">
        <v>0</v>
      </c>
      <c r="O402" t="n">
        <v>0</v>
      </c>
      <c r="P402" t="n">
        <v>0</v>
      </c>
      <c r="Q402" t="n">
        <v>0</v>
      </c>
      <c r="R402" s="2" t="inlineStr"/>
    </row>
    <row r="403" ht="15" customHeight="1">
      <c r="A403" t="inlineStr">
        <is>
          <t>A 69411-2021</t>
        </is>
      </c>
      <c r="B403" s="1" t="n">
        <v>44531</v>
      </c>
      <c r="C403" s="1" t="n">
        <v>45807</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69518-2021</t>
        </is>
      </c>
      <c r="B404" s="1" t="n">
        <v>44531</v>
      </c>
      <c r="C404" s="1" t="n">
        <v>45807</v>
      </c>
      <c r="D404" t="inlineStr">
        <is>
          <t>UPPSALA LÄN</t>
        </is>
      </c>
      <c r="E404" t="inlineStr">
        <is>
          <t>ÖSTHAMMAR</t>
        </is>
      </c>
      <c r="G404" t="n">
        <v>4.5</v>
      </c>
      <c r="H404" t="n">
        <v>0</v>
      </c>
      <c r="I404" t="n">
        <v>0</v>
      </c>
      <c r="J404" t="n">
        <v>0</v>
      </c>
      <c r="K404" t="n">
        <v>0</v>
      </c>
      <c r="L404" t="n">
        <v>0</v>
      </c>
      <c r="M404" t="n">
        <v>0</v>
      </c>
      <c r="N404" t="n">
        <v>0</v>
      </c>
      <c r="O404" t="n">
        <v>0</v>
      </c>
      <c r="P404" t="n">
        <v>0</v>
      </c>
      <c r="Q404" t="n">
        <v>0</v>
      </c>
      <c r="R404" s="2" t="inlineStr"/>
    </row>
    <row r="405" ht="15" customHeight="1">
      <c r="A405" t="inlineStr">
        <is>
          <t>A 70008-2021</t>
        </is>
      </c>
      <c r="B405" s="1" t="n">
        <v>44533</v>
      </c>
      <c r="C405" s="1" t="n">
        <v>45807</v>
      </c>
      <c r="D405" t="inlineStr">
        <is>
          <t>UPPSALA LÄN</t>
        </is>
      </c>
      <c r="E405" t="inlineStr">
        <is>
          <t>ÖSTHAMMAR</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70408-2021</t>
        </is>
      </c>
      <c r="B406" s="1" t="n">
        <v>44536</v>
      </c>
      <c r="C406" s="1" t="n">
        <v>45807</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72627-2021</t>
        </is>
      </c>
      <c r="B407" s="1" t="n">
        <v>44546</v>
      </c>
      <c r="C407" s="1" t="n">
        <v>45807</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72637-2021</t>
        </is>
      </c>
      <c r="B408" s="1" t="n">
        <v>44546</v>
      </c>
      <c r="C408" s="1" t="n">
        <v>45807</v>
      </c>
      <c r="D408" t="inlineStr">
        <is>
          <t>UPPSALA LÄN</t>
        </is>
      </c>
      <c r="E408" t="inlineStr">
        <is>
          <t>ÖSTHAMMAR</t>
        </is>
      </c>
      <c r="G408" t="n">
        <v>2.5</v>
      </c>
      <c r="H408" t="n">
        <v>0</v>
      </c>
      <c r="I408" t="n">
        <v>0</v>
      </c>
      <c r="J408" t="n">
        <v>0</v>
      </c>
      <c r="K408" t="n">
        <v>0</v>
      </c>
      <c r="L408" t="n">
        <v>0</v>
      </c>
      <c r="M408" t="n">
        <v>0</v>
      </c>
      <c r="N408" t="n">
        <v>0</v>
      </c>
      <c r="O408" t="n">
        <v>0</v>
      </c>
      <c r="P408" t="n">
        <v>0</v>
      </c>
      <c r="Q408" t="n">
        <v>0</v>
      </c>
      <c r="R408" s="2" t="inlineStr"/>
    </row>
    <row r="409" ht="15" customHeight="1">
      <c r="A409" t="inlineStr">
        <is>
          <t>A 72969-2021</t>
        </is>
      </c>
      <c r="B409" s="1" t="n">
        <v>44548</v>
      </c>
      <c r="C409" s="1" t="n">
        <v>45807</v>
      </c>
      <c r="D409" t="inlineStr">
        <is>
          <t>UPPSALA LÄN</t>
        </is>
      </c>
      <c r="E409" t="inlineStr">
        <is>
          <t>ÖSTHAMMAR</t>
        </is>
      </c>
      <c r="F409" t="inlineStr">
        <is>
          <t>Bergvik skog öst AB</t>
        </is>
      </c>
      <c r="G409" t="n">
        <v>8</v>
      </c>
      <c r="H409" t="n">
        <v>0</v>
      </c>
      <c r="I409" t="n">
        <v>0</v>
      </c>
      <c r="J409" t="n">
        <v>0</v>
      </c>
      <c r="K409" t="n">
        <v>0</v>
      </c>
      <c r="L409" t="n">
        <v>0</v>
      </c>
      <c r="M409" t="n">
        <v>0</v>
      </c>
      <c r="N409" t="n">
        <v>0</v>
      </c>
      <c r="O409" t="n">
        <v>0</v>
      </c>
      <c r="P409" t="n">
        <v>0</v>
      </c>
      <c r="Q409" t="n">
        <v>0</v>
      </c>
      <c r="R409" s="2" t="inlineStr"/>
    </row>
    <row r="410" ht="15" customHeight="1">
      <c r="A410" t="inlineStr">
        <is>
          <t>A 73483-2021</t>
        </is>
      </c>
      <c r="B410" s="1" t="n">
        <v>44550</v>
      </c>
      <c r="C410" s="1" t="n">
        <v>45807</v>
      </c>
      <c r="D410" t="inlineStr">
        <is>
          <t>UPPSALA LÄN</t>
        </is>
      </c>
      <c r="E410" t="inlineStr">
        <is>
          <t>ÖSTHAMMAR</t>
        </is>
      </c>
      <c r="G410" t="n">
        <v>2.8</v>
      </c>
      <c r="H410" t="n">
        <v>0</v>
      </c>
      <c r="I410" t="n">
        <v>0</v>
      </c>
      <c r="J410" t="n">
        <v>0</v>
      </c>
      <c r="K410" t="n">
        <v>0</v>
      </c>
      <c r="L410" t="n">
        <v>0</v>
      </c>
      <c r="M410" t="n">
        <v>0</v>
      </c>
      <c r="N410" t="n">
        <v>0</v>
      </c>
      <c r="O410" t="n">
        <v>0</v>
      </c>
      <c r="P410" t="n">
        <v>0</v>
      </c>
      <c r="Q410" t="n">
        <v>0</v>
      </c>
      <c r="R410" s="2" t="inlineStr"/>
    </row>
    <row r="411" ht="15" customHeight="1">
      <c r="A411" t="inlineStr">
        <is>
          <t>A 73592-2021</t>
        </is>
      </c>
      <c r="B411" s="1" t="n">
        <v>44552</v>
      </c>
      <c r="C411" s="1" t="n">
        <v>45807</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73965-2021</t>
        </is>
      </c>
      <c r="B412" s="1" t="n">
        <v>44553</v>
      </c>
      <c r="C412" s="1" t="n">
        <v>45807</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73982-2021</t>
        </is>
      </c>
      <c r="B413" s="1" t="n">
        <v>44555</v>
      </c>
      <c r="C413" s="1" t="n">
        <v>45807</v>
      </c>
      <c r="D413" t="inlineStr">
        <is>
          <t>UPPSALA LÄN</t>
        </is>
      </c>
      <c r="E413" t="inlineStr">
        <is>
          <t>ÖSTHAMMAR</t>
        </is>
      </c>
      <c r="G413" t="n">
        <v>0.9</v>
      </c>
      <c r="H413" t="n">
        <v>0</v>
      </c>
      <c r="I413" t="n">
        <v>0</v>
      </c>
      <c r="J413" t="n">
        <v>0</v>
      </c>
      <c r="K413" t="n">
        <v>0</v>
      </c>
      <c r="L413" t="n">
        <v>0</v>
      </c>
      <c r="M413" t="n">
        <v>0</v>
      </c>
      <c r="N413" t="n">
        <v>0</v>
      </c>
      <c r="O413" t="n">
        <v>0</v>
      </c>
      <c r="P413" t="n">
        <v>0</v>
      </c>
      <c r="Q413" t="n">
        <v>0</v>
      </c>
      <c r="R413" s="2" t="inlineStr"/>
    </row>
    <row r="414" ht="15" customHeight="1">
      <c r="A414" t="inlineStr">
        <is>
          <t>A 73983-2021</t>
        </is>
      </c>
      <c r="B414" s="1" t="n">
        <v>44555</v>
      </c>
      <c r="C414" s="1" t="n">
        <v>45807</v>
      </c>
      <c r="D414" t="inlineStr">
        <is>
          <t>UPPSALA LÄN</t>
        </is>
      </c>
      <c r="E414" t="inlineStr">
        <is>
          <t>ÖSTHAMMAR</t>
        </is>
      </c>
      <c r="G414" t="n">
        <v>0.6</v>
      </c>
      <c r="H414" t="n">
        <v>0</v>
      </c>
      <c r="I414" t="n">
        <v>0</v>
      </c>
      <c r="J414" t="n">
        <v>0</v>
      </c>
      <c r="K414" t="n">
        <v>0</v>
      </c>
      <c r="L414" t="n">
        <v>0</v>
      </c>
      <c r="M414" t="n">
        <v>0</v>
      </c>
      <c r="N414" t="n">
        <v>0</v>
      </c>
      <c r="O414" t="n">
        <v>0</v>
      </c>
      <c r="P414" t="n">
        <v>0</v>
      </c>
      <c r="Q414" t="n">
        <v>0</v>
      </c>
      <c r="R414" s="2" t="inlineStr"/>
    </row>
    <row r="415" ht="15" customHeight="1">
      <c r="A415" t="inlineStr">
        <is>
          <t>A 74429-2021</t>
        </is>
      </c>
      <c r="B415" s="1" t="n">
        <v>44560</v>
      </c>
      <c r="C415" s="1" t="n">
        <v>45807</v>
      </c>
      <c r="D415" t="inlineStr">
        <is>
          <t>UPPSALA LÄN</t>
        </is>
      </c>
      <c r="E415" t="inlineStr">
        <is>
          <t>ÖSTHAMMAR</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74467-2021</t>
        </is>
      </c>
      <c r="B416" s="1" t="n">
        <v>44560</v>
      </c>
      <c r="C416" s="1" t="n">
        <v>45807</v>
      </c>
      <c r="D416" t="inlineStr">
        <is>
          <t>UPPSALA LÄN</t>
        </is>
      </c>
      <c r="E416" t="inlineStr">
        <is>
          <t>ÖSTHAMMAR</t>
        </is>
      </c>
      <c r="F416" t="inlineStr">
        <is>
          <t>Bergvik skog öst AB</t>
        </is>
      </c>
      <c r="G416" t="n">
        <v>2.6</v>
      </c>
      <c r="H416" t="n">
        <v>0</v>
      </c>
      <c r="I416" t="n">
        <v>0</v>
      </c>
      <c r="J416" t="n">
        <v>0</v>
      </c>
      <c r="K416" t="n">
        <v>0</v>
      </c>
      <c r="L416" t="n">
        <v>0</v>
      </c>
      <c r="M416" t="n">
        <v>0</v>
      </c>
      <c r="N416" t="n">
        <v>0</v>
      </c>
      <c r="O416" t="n">
        <v>0</v>
      </c>
      <c r="P416" t="n">
        <v>0</v>
      </c>
      <c r="Q416" t="n">
        <v>0</v>
      </c>
      <c r="R416" s="2" t="inlineStr"/>
    </row>
    <row r="417" ht="15" customHeight="1">
      <c r="A417" t="inlineStr">
        <is>
          <t>A 74428-2021</t>
        </is>
      </c>
      <c r="B417" s="1" t="n">
        <v>44560</v>
      </c>
      <c r="C417" s="1" t="n">
        <v>45807</v>
      </c>
      <c r="D417" t="inlineStr">
        <is>
          <t>UPPSALA LÄN</t>
        </is>
      </c>
      <c r="E417" t="inlineStr">
        <is>
          <t>ÖSTHAMMAR</t>
        </is>
      </c>
      <c r="F417" t="inlineStr">
        <is>
          <t>Bergvik skog öst AB</t>
        </is>
      </c>
      <c r="G417" t="n">
        <v>1.2</v>
      </c>
      <c r="H417" t="n">
        <v>0</v>
      </c>
      <c r="I417" t="n">
        <v>0</v>
      </c>
      <c r="J417" t="n">
        <v>0</v>
      </c>
      <c r="K417" t="n">
        <v>0</v>
      </c>
      <c r="L417" t="n">
        <v>0</v>
      </c>
      <c r="M417" t="n">
        <v>0</v>
      </c>
      <c r="N417" t="n">
        <v>0</v>
      </c>
      <c r="O417" t="n">
        <v>0</v>
      </c>
      <c r="P417" t="n">
        <v>0</v>
      </c>
      <c r="Q417" t="n">
        <v>0</v>
      </c>
      <c r="R417" s="2" t="inlineStr"/>
    </row>
    <row r="418" ht="15" customHeight="1">
      <c r="A418" t="inlineStr">
        <is>
          <t>A 74436-2021</t>
        </is>
      </c>
      <c r="B418" s="1" t="n">
        <v>44560</v>
      </c>
      <c r="C418" s="1" t="n">
        <v>45807</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1238-2022</t>
        </is>
      </c>
      <c r="B419" s="1" t="n">
        <v>44572</v>
      </c>
      <c r="C419" s="1" t="n">
        <v>45807</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1609-2022</t>
        </is>
      </c>
      <c r="B420" s="1" t="n">
        <v>44573</v>
      </c>
      <c r="C420" s="1" t="n">
        <v>45807</v>
      </c>
      <c r="D420" t="inlineStr">
        <is>
          <t>UPPSALA LÄN</t>
        </is>
      </c>
      <c r="E420" t="inlineStr">
        <is>
          <t>ÖSTHAMMAR</t>
        </is>
      </c>
      <c r="G420" t="n">
        <v>5.3</v>
      </c>
      <c r="H420" t="n">
        <v>0</v>
      </c>
      <c r="I420" t="n">
        <v>0</v>
      </c>
      <c r="J420" t="n">
        <v>0</v>
      </c>
      <c r="K420" t="n">
        <v>0</v>
      </c>
      <c r="L420" t="n">
        <v>0</v>
      </c>
      <c r="M420" t="n">
        <v>0</v>
      </c>
      <c r="N420" t="n">
        <v>0</v>
      </c>
      <c r="O420" t="n">
        <v>0</v>
      </c>
      <c r="P420" t="n">
        <v>0</v>
      </c>
      <c r="Q420" t="n">
        <v>0</v>
      </c>
      <c r="R420" s="2" t="inlineStr"/>
    </row>
    <row r="421" ht="15" customHeight="1">
      <c r="A421" t="inlineStr">
        <is>
          <t>A 2085-2022</t>
        </is>
      </c>
      <c r="B421" s="1" t="n">
        <v>44576</v>
      </c>
      <c r="C421" s="1" t="n">
        <v>45807</v>
      </c>
      <c r="D421" t="inlineStr">
        <is>
          <t>UPPSALA LÄN</t>
        </is>
      </c>
      <c r="E421" t="inlineStr">
        <is>
          <t>ÖSTHAMMAR</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2108-2022</t>
        </is>
      </c>
      <c r="B422" s="1" t="n">
        <v>44577</v>
      </c>
      <c r="C422" s="1" t="n">
        <v>45807</v>
      </c>
      <c r="D422" t="inlineStr">
        <is>
          <t>UPPSALA LÄN</t>
        </is>
      </c>
      <c r="E422" t="inlineStr">
        <is>
          <t>ÖSTHAMMAR</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2168-2022</t>
        </is>
      </c>
      <c r="B423" s="1" t="n">
        <v>44578</v>
      </c>
      <c r="C423" s="1" t="n">
        <v>45807</v>
      </c>
      <c r="D423" t="inlineStr">
        <is>
          <t>UPPSALA LÄN</t>
        </is>
      </c>
      <c r="E423" t="inlineStr">
        <is>
          <t>ÖSTHAMMAR</t>
        </is>
      </c>
      <c r="G423" t="n">
        <v>2.9</v>
      </c>
      <c r="H423" t="n">
        <v>0</v>
      </c>
      <c r="I423" t="n">
        <v>0</v>
      </c>
      <c r="J423" t="n">
        <v>0</v>
      </c>
      <c r="K423" t="n">
        <v>0</v>
      </c>
      <c r="L423" t="n">
        <v>0</v>
      </c>
      <c r="M423" t="n">
        <v>0</v>
      </c>
      <c r="N423" t="n">
        <v>0</v>
      </c>
      <c r="O423" t="n">
        <v>0</v>
      </c>
      <c r="P423" t="n">
        <v>0</v>
      </c>
      <c r="Q423" t="n">
        <v>0</v>
      </c>
      <c r="R423" s="2" t="inlineStr"/>
    </row>
    <row r="424" ht="15" customHeight="1">
      <c r="A424" t="inlineStr">
        <is>
          <t>A 3638-2022</t>
        </is>
      </c>
      <c r="B424" s="1" t="n">
        <v>44578</v>
      </c>
      <c r="C424" s="1" t="n">
        <v>45807</v>
      </c>
      <c r="D424" t="inlineStr">
        <is>
          <t>UPPSALA LÄN</t>
        </is>
      </c>
      <c r="E424" t="inlineStr">
        <is>
          <t>ÖSTHAMMAR</t>
        </is>
      </c>
      <c r="G424" t="n">
        <v>1.7</v>
      </c>
      <c r="H424" t="n">
        <v>0</v>
      </c>
      <c r="I424" t="n">
        <v>0</v>
      </c>
      <c r="J424" t="n">
        <v>0</v>
      </c>
      <c r="K424" t="n">
        <v>0</v>
      </c>
      <c r="L424" t="n">
        <v>0</v>
      </c>
      <c r="M424" t="n">
        <v>0</v>
      </c>
      <c r="N424" t="n">
        <v>0</v>
      </c>
      <c r="O424" t="n">
        <v>0</v>
      </c>
      <c r="P424" t="n">
        <v>0</v>
      </c>
      <c r="Q424" t="n">
        <v>0</v>
      </c>
      <c r="R424" s="2" t="inlineStr"/>
    </row>
    <row r="425" ht="15" customHeight="1">
      <c r="A425" t="inlineStr">
        <is>
          <t>A 3725-2022</t>
        </is>
      </c>
      <c r="B425" s="1" t="n">
        <v>44586</v>
      </c>
      <c r="C425" s="1" t="n">
        <v>45807</v>
      </c>
      <c r="D425" t="inlineStr">
        <is>
          <t>UPPSALA LÄN</t>
        </is>
      </c>
      <c r="E425" t="inlineStr">
        <is>
          <t>ÖSTHAMMAR</t>
        </is>
      </c>
      <c r="G425" t="n">
        <v>2</v>
      </c>
      <c r="H425" t="n">
        <v>0</v>
      </c>
      <c r="I425" t="n">
        <v>0</v>
      </c>
      <c r="J425" t="n">
        <v>0</v>
      </c>
      <c r="K425" t="n">
        <v>0</v>
      </c>
      <c r="L425" t="n">
        <v>0</v>
      </c>
      <c r="M425" t="n">
        <v>0</v>
      </c>
      <c r="N425" t="n">
        <v>0</v>
      </c>
      <c r="O425" t="n">
        <v>0</v>
      </c>
      <c r="P425" t="n">
        <v>0</v>
      </c>
      <c r="Q425" t="n">
        <v>0</v>
      </c>
      <c r="R425" s="2" t="inlineStr"/>
    </row>
    <row r="426" ht="15" customHeight="1">
      <c r="A426" t="inlineStr">
        <is>
          <t>A 3732-2022</t>
        </is>
      </c>
      <c r="B426" s="1" t="n">
        <v>44586</v>
      </c>
      <c r="C426" s="1" t="n">
        <v>45807</v>
      </c>
      <c r="D426" t="inlineStr">
        <is>
          <t>UPPSALA LÄN</t>
        </is>
      </c>
      <c r="E426" t="inlineStr">
        <is>
          <t>ÖSTHAMMAR</t>
        </is>
      </c>
      <c r="F426" t="inlineStr">
        <is>
          <t>Bergvik skog öst AB</t>
        </is>
      </c>
      <c r="G426" t="n">
        <v>3.6</v>
      </c>
      <c r="H426" t="n">
        <v>0</v>
      </c>
      <c r="I426" t="n">
        <v>0</v>
      </c>
      <c r="J426" t="n">
        <v>0</v>
      </c>
      <c r="K426" t="n">
        <v>0</v>
      </c>
      <c r="L426" t="n">
        <v>0</v>
      </c>
      <c r="M426" t="n">
        <v>0</v>
      </c>
      <c r="N426" t="n">
        <v>0</v>
      </c>
      <c r="O426" t="n">
        <v>0</v>
      </c>
      <c r="P426" t="n">
        <v>0</v>
      </c>
      <c r="Q426" t="n">
        <v>0</v>
      </c>
      <c r="R426" s="2" t="inlineStr"/>
    </row>
    <row r="427" ht="15" customHeight="1">
      <c r="A427" t="inlineStr">
        <is>
          <t>A 3740-2022</t>
        </is>
      </c>
      <c r="B427" s="1" t="n">
        <v>44586</v>
      </c>
      <c r="C427" s="1" t="n">
        <v>45807</v>
      </c>
      <c r="D427" t="inlineStr">
        <is>
          <t>UPPSALA LÄN</t>
        </is>
      </c>
      <c r="E427" t="inlineStr">
        <is>
          <t>ÖSTHAMMAR</t>
        </is>
      </c>
      <c r="F427" t="inlineStr">
        <is>
          <t>Bergvik skog öst AB</t>
        </is>
      </c>
      <c r="G427" t="n">
        <v>7.7</v>
      </c>
      <c r="H427" t="n">
        <v>0</v>
      </c>
      <c r="I427" t="n">
        <v>0</v>
      </c>
      <c r="J427" t="n">
        <v>0</v>
      </c>
      <c r="K427" t="n">
        <v>0</v>
      </c>
      <c r="L427" t="n">
        <v>0</v>
      </c>
      <c r="M427" t="n">
        <v>0</v>
      </c>
      <c r="N427" t="n">
        <v>0</v>
      </c>
      <c r="O427" t="n">
        <v>0</v>
      </c>
      <c r="P427" t="n">
        <v>0</v>
      </c>
      <c r="Q427" t="n">
        <v>0</v>
      </c>
      <c r="R427" s="2" t="inlineStr"/>
    </row>
    <row r="428" ht="15" customHeight="1">
      <c r="A428" t="inlineStr">
        <is>
          <t>A 3991-2022</t>
        </is>
      </c>
      <c r="B428" s="1" t="n">
        <v>44587</v>
      </c>
      <c r="C428" s="1" t="n">
        <v>45807</v>
      </c>
      <c r="D428" t="inlineStr">
        <is>
          <t>UPPSALA LÄN</t>
        </is>
      </c>
      <c r="E428" t="inlineStr">
        <is>
          <t>ÖSTHAMMAR</t>
        </is>
      </c>
      <c r="F428" t="inlineStr">
        <is>
          <t>Bergvik skog öst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4101-2022</t>
        </is>
      </c>
      <c r="B429" s="1" t="n">
        <v>44588</v>
      </c>
      <c r="C429" s="1" t="n">
        <v>45807</v>
      </c>
      <c r="D429" t="inlineStr">
        <is>
          <t>UPPSALA LÄN</t>
        </is>
      </c>
      <c r="E429" t="inlineStr">
        <is>
          <t>ÖSTHAMMAR</t>
        </is>
      </c>
      <c r="G429" t="n">
        <v>4.4</v>
      </c>
      <c r="H429" t="n">
        <v>0</v>
      </c>
      <c r="I429" t="n">
        <v>0</v>
      </c>
      <c r="J429" t="n">
        <v>0</v>
      </c>
      <c r="K429" t="n">
        <v>0</v>
      </c>
      <c r="L429" t="n">
        <v>0</v>
      </c>
      <c r="M429" t="n">
        <v>0</v>
      </c>
      <c r="N429" t="n">
        <v>0</v>
      </c>
      <c r="O429" t="n">
        <v>0</v>
      </c>
      <c r="P429" t="n">
        <v>0</v>
      </c>
      <c r="Q429" t="n">
        <v>0</v>
      </c>
      <c r="R429" s="2" t="inlineStr"/>
    </row>
    <row r="430" ht="15" customHeight="1">
      <c r="A430" t="inlineStr">
        <is>
          <t>A 4318-2022</t>
        </is>
      </c>
      <c r="B430" s="1" t="n">
        <v>44588</v>
      </c>
      <c r="C430" s="1" t="n">
        <v>45807</v>
      </c>
      <c r="D430" t="inlineStr">
        <is>
          <t>UPPSALA LÄN</t>
        </is>
      </c>
      <c r="E430" t="inlineStr">
        <is>
          <t>ÖSTHAMMAR</t>
        </is>
      </c>
      <c r="F430" t="inlineStr">
        <is>
          <t>Bergvik skog öst AB</t>
        </is>
      </c>
      <c r="G430" t="n">
        <v>9.6</v>
      </c>
      <c r="H430" t="n">
        <v>0</v>
      </c>
      <c r="I430" t="n">
        <v>0</v>
      </c>
      <c r="J430" t="n">
        <v>0</v>
      </c>
      <c r="K430" t="n">
        <v>0</v>
      </c>
      <c r="L430" t="n">
        <v>0</v>
      </c>
      <c r="M430" t="n">
        <v>0</v>
      </c>
      <c r="N430" t="n">
        <v>0</v>
      </c>
      <c r="O430" t="n">
        <v>0</v>
      </c>
      <c r="P430" t="n">
        <v>0</v>
      </c>
      <c r="Q430" t="n">
        <v>0</v>
      </c>
      <c r="R430" s="2" t="inlineStr"/>
    </row>
    <row r="431" ht="15" customHeight="1">
      <c r="A431" t="inlineStr">
        <is>
          <t>A 4315-2022</t>
        </is>
      </c>
      <c r="B431" s="1" t="n">
        <v>44588</v>
      </c>
      <c r="C431" s="1" t="n">
        <v>45807</v>
      </c>
      <c r="D431" t="inlineStr">
        <is>
          <t>UPPSALA LÄN</t>
        </is>
      </c>
      <c r="E431" t="inlineStr">
        <is>
          <t>ÖSTHAMMAR</t>
        </is>
      </c>
      <c r="F431" t="inlineStr">
        <is>
          <t>Bergvik skog öst AB</t>
        </is>
      </c>
      <c r="G431" t="n">
        <v>0.5</v>
      </c>
      <c r="H431" t="n">
        <v>0</v>
      </c>
      <c r="I431" t="n">
        <v>0</v>
      </c>
      <c r="J431" t="n">
        <v>0</v>
      </c>
      <c r="K431" t="n">
        <v>0</v>
      </c>
      <c r="L431" t="n">
        <v>0</v>
      </c>
      <c r="M431" t="n">
        <v>0</v>
      </c>
      <c r="N431" t="n">
        <v>0</v>
      </c>
      <c r="O431" t="n">
        <v>0</v>
      </c>
      <c r="P431" t="n">
        <v>0</v>
      </c>
      <c r="Q431" t="n">
        <v>0</v>
      </c>
      <c r="R431" s="2" t="inlineStr"/>
    </row>
    <row r="432" ht="15" customHeight="1">
      <c r="A432" t="inlineStr">
        <is>
          <t>A 4491-2022</t>
        </is>
      </c>
      <c r="B432" s="1" t="n">
        <v>44589</v>
      </c>
      <c r="C432" s="1" t="n">
        <v>45807</v>
      </c>
      <c r="D432" t="inlineStr">
        <is>
          <t>UPPSALA LÄN</t>
        </is>
      </c>
      <c r="E432" t="inlineStr">
        <is>
          <t>ÖSTHAMMAR</t>
        </is>
      </c>
      <c r="G432" t="n">
        <v>1.4</v>
      </c>
      <c r="H432" t="n">
        <v>0</v>
      </c>
      <c r="I432" t="n">
        <v>0</v>
      </c>
      <c r="J432" t="n">
        <v>0</v>
      </c>
      <c r="K432" t="n">
        <v>0</v>
      </c>
      <c r="L432" t="n">
        <v>0</v>
      </c>
      <c r="M432" t="n">
        <v>0</v>
      </c>
      <c r="N432" t="n">
        <v>0</v>
      </c>
      <c r="O432" t="n">
        <v>0</v>
      </c>
      <c r="P432" t="n">
        <v>0</v>
      </c>
      <c r="Q432" t="n">
        <v>0</v>
      </c>
      <c r="R432" s="2" t="inlineStr"/>
    </row>
    <row r="433" ht="15" customHeight="1">
      <c r="A433" t="inlineStr">
        <is>
          <t>A 4357-2022</t>
        </is>
      </c>
      <c r="B433" s="1" t="n">
        <v>44589</v>
      </c>
      <c r="C433" s="1" t="n">
        <v>45807</v>
      </c>
      <c r="D433" t="inlineStr">
        <is>
          <t>UPPSALA LÄN</t>
        </is>
      </c>
      <c r="E433" t="inlineStr">
        <is>
          <t>ÖSTHAMMAR</t>
        </is>
      </c>
      <c r="G433" t="n">
        <v>0.7</v>
      </c>
      <c r="H433" t="n">
        <v>0</v>
      </c>
      <c r="I433" t="n">
        <v>0</v>
      </c>
      <c r="J433" t="n">
        <v>0</v>
      </c>
      <c r="K433" t="n">
        <v>0</v>
      </c>
      <c r="L433" t="n">
        <v>0</v>
      </c>
      <c r="M433" t="n">
        <v>0</v>
      </c>
      <c r="N433" t="n">
        <v>0</v>
      </c>
      <c r="O433" t="n">
        <v>0</v>
      </c>
      <c r="P433" t="n">
        <v>0</v>
      </c>
      <c r="Q433" t="n">
        <v>0</v>
      </c>
      <c r="R433" s="2" t="inlineStr"/>
    </row>
    <row r="434" ht="15" customHeight="1">
      <c r="A434" t="inlineStr">
        <is>
          <t>A 4563-2022</t>
        </is>
      </c>
      <c r="B434" s="1" t="n">
        <v>44591</v>
      </c>
      <c r="C434" s="1" t="n">
        <v>45807</v>
      </c>
      <c r="D434" t="inlineStr">
        <is>
          <t>UPPSALA LÄN</t>
        </is>
      </c>
      <c r="E434" t="inlineStr">
        <is>
          <t>ÖSTHAMMAR</t>
        </is>
      </c>
      <c r="F434" t="inlineStr">
        <is>
          <t>Bergvik skog öst AB</t>
        </is>
      </c>
      <c r="G434" t="n">
        <v>1.9</v>
      </c>
      <c r="H434" t="n">
        <v>0</v>
      </c>
      <c r="I434" t="n">
        <v>0</v>
      </c>
      <c r="J434" t="n">
        <v>0</v>
      </c>
      <c r="K434" t="n">
        <v>0</v>
      </c>
      <c r="L434" t="n">
        <v>0</v>
      </c>
      <c r="M434" t="n">
        <v>0</v>
      </c>
      <c r="N434" t="n">
        <v>0</v>
      </c>
      <c r="O434" t="n">
        <v>0</v>
      </c>
      <c r="P434" t="n">
        <v>0</v>
      </c>
      <c r="Q434" t="n">
        <v>0</v>
      </c>
      <c r="R434" s="2" t="inlineStr"/>
    </row>
    <row r="435" ht="15" customHeight="1">
      <c r="A435" t="inlineStr">
        <is>
          <t>A 4562-2022</t>
        </is>
      </c>
      <c r="B435" s="1" t="n">
        <v>44591</v>
      </c>
      <c r="C435" s="1" t="n">
        <v>45807</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4561-2022</t>
        </is>
      </c>
      <c r="B436" s="1" t="n">
        <v>44591</v>
      </c>
      <c r="C436" s="1" t="n">
        <v>45807</v>
      </c>
      <c r="D436" t="inlineStr">
        <is>
          <t>UPPSALA LÄN</t>
        </is>
      </c>
      <c r="E436" t="inlineStr">
        <is>
          <t>ÖSTHAMMAR</t>
        </is>
      </c>
      <c r="F436" t="inlineStr">
        <is>
          <t>Bergvik skog öst AB</t>
        </is>
      </c>
      <c r="G436" t="n">
        <v>1.5</v>
      </c>
      <c r="H436" t="n">
        <v>0</v>
      </c>
      <c r="I436" t="n">
        <v>0</v>
      </c>
      <c r="J436" t="n">
        <v>0</v>
      </c>
      <c r="K436" t="n">
        <v>0</v>
      </c>
      <c r="L436" t="n">
        <v>0</v>
      </c>
      <c r="M436" t="n">
        <v>0</v>
      </c>
      <c r="N436" t="n">
        <v>0</v>
      </c>
      <c r="O436" t="n">
        <v>0</v>
      </c>
      <c r="P436" t="n">
        <v>0</v>
      </c>
      <c r="Q436" t="n">
        <v>0</v>
      </c>
      <c r="R436" s="2" t="inlineStr"/>
    </row>
    <row r="437" ht="15" customHeight="1">
      <c r="A437" t="inlineStr">
        <is>
          <t>A 4559-2022</t>
        </is>
      </c>
      <c r="B437" s="1" t="n">
        <v>44591</v>
      </c>
      <c r="C437" s="1" t="n">
        <v>45807</v>
      </c>
      <c r="D437" t="inlineStr">
        <is>
          <t>UPPSALA LÄN</t>
        </is>
      </c>
      <c r="E437" t="inlineStr">
        <is>
          <t>ÖSTHAMMAR</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4565-2022</t>
        </is>
      </c>
      <c r="B438" s="1" t="n">
        <v>44591</v>
      </c>
      <c r="C438" s="1" t="n">
        <v>45807</v>
      </c>
      <c r="D438" t="inlineStr">
        <is>
          <t>UPPSALA LÄN</t>
        </is>
      </c>
      <c r="E438" t="inlineStr">
        <is>
          <t>ÖSTHAMMAR</t>
        </is>
      </c>
      <c r="F438" t="inlineStr">
        <is>
          <t>Bergvik skog öst AB</t>
        </is>
      </c>
      <c r="G438" t="n">
        <v>5.3</v>
      </c>
      <c r="H438" t="n">
        <v>0</v>
      </c>
      <c r="I438" t="n">
        <v>0</v>
      </c>
      <c r="J438" t="n">
        <v>0</v>
      </c>
      <c r="K438" t="n">
        <v>0</v>
      </c>
      <c r="L438" t="n">
        <v>0</v>
      </c>
      <c r="M438" t="n">
        <v>0</v>
      </c>
      <c r="N438" t="n">
        <v>0</v>
      </c>
      <c r="O438" t="n">
        <v>0</v>
      </c>
      <c r="P438" t="n">
        <v>0</v>
      </c>
      <c r="Q438" t="n">
        <v>0</v>
      </c>
      <c r="R438" s="2" t="inlineStr"/>
    </row>
    <row r="439" ht="15" customHeight="1">
      <c r="A439" t="inlineStr">
        <is>
          <t>A 5855-2022</t>
        </is>
      </c>
      <c r="B439" s="1" t="n">
        <v>44596</v>
      </c>
      <c r="C439" s="1" t="n">
        <v>45807</v>
      </c>
      <c r="D439" t="inlineStr">
        <is>
          <t>UPPSALA LÄN</t>
        </is>
      </c>
      <c r="E439" t="inlineStr">
        <is>
          <t>ÖSTHAMMAR</t>
        </is>
      </c>
      <c r="G439" t="n">
        <v>0.9</v>
      </c>
      <c r="H439" t="n">
        <v>0</v>
      </c>
      <c r="I439" t="n">
        <v>0</v>
      </c>
      <c r="J439" t="n">
        <v>0</v>
      </c>
      <c r="K439" t="n">
        <v>0</v>
      </c>
      <c r="L439" t="n">
        <v>0</v>
      </c>
      <c r="M439" t="n">
        <v>0</v>
      </c>
      <c r="N439" t="n">
        <v>0</v>
      </c>
      <c r="O439" t="n">
        <v>0</v>
      </c>
      <c r="P439" t="n">
        <v>0</v>
      </c>
      <c r="Q439" t="n">
        <v>0</v>
      </c>
      <c r="R439" s="2" t="inlineStr"/>
    </row>
    <row r="440" ht="15" customHeight="1">
      <c r="A440" t="inlineStr">
        <is>
          <t>A 5974-2022</t>
        </is>
      </c>
      <c r="B440" s="1" t="n">
        <v>44597</v>
      </c>
      <c r="C440" s="1" t="n">
        <v>45807</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5933-2022</t>
        </is>
      </c>
      <c r="B441" s="1" t="n">
        <v>44598</v>
      </c>
      <c r="C441" s="1" t="n">
        <v>45807</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5934-2022</t>
        </is>
      </c>
      <c r="B442" s="1" t="n">
        <v>44598</v>
      </c>
      <c r="C442" s="1" t="n">
        <v>45807</v>
      </c>
      <c r="D442" t="inlineStr">
        <is>
          <t>UPPSALA LÄN</t>
        </is>
      </c>
      <c r="E442" t="inlineStr">
        <is>
          <t>ÖSTHAMMAR</t>
        </is>
      </c>
      <c r="F442" t="inlineStr">
        <is>
          <t>Bergvik skog öst AB</t>
        </is>
      </c>
      <c r="G442" t="n">
        <v>2.4</v>
      </c>
      <c r="H442" t="n">
        <v>0</v>
      </c>
      <c r="I442" t="n">
        <v>0</v>
      </c>
      <c r="J442" t="n">
        <v>0</v>
      </c>
      <c r="K442" t="n">
        <v>0</v>
      </c>
      <c r="L442" t="n">
        <v>0</v>
      </c>
      <c r="M442" t="n">
        <v>0</v>
      </c>
      <c r="N442" t="n">
        <v>0</v>
      </c>
      <c r="O442" t="n">
        <v>0</v>
      </c>
      <c r="P442" t="n">
        <v>0</v>
      </c>
      <c r="Q442" t="n">
        <v>0</v>
      </c>
      <c r="R442" s="2" t="inlineStr"/>
    </row>
    <row r="443" ht="15" customHeight="1">
      <c r="A443" t="inlineStr">
        <is>
          <t>A 5932-2022</t>
        </is>
      </c>
      <c r="B443" s="1" t="n">
        <v>44598</v>
      </c>
      <c r="C443" s="1" t="n">
        <v>45807</v>
      </c>
      <c r="D443" t="inlineStr">
        <is>
          <t>UPPSALA LÄN</t>
        </is>
      </c>
      <c r="E443" t="inlineStr">
        <is>
          <t>ÖSTHAMMAR</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5931-2022</t>
        </is>
      </c>
      <c r="B444" s="1" t="n">
        <v>44598</v>
      </c>
      <c r="C444" s="1" t="n">
        <v>45807</v>
      </c>
      <c r="D444" t="inlineStr">
        <is>
          <t>UPPSALA LÄN</t>
        </is>
      </c>
      <c r="E444" t="inlineStr">
        <is>
          <t>ÖSTHAMMAR</t>
        </is>
      </c>
      <c r="F444" t="inlineStr">
        <is>
          <t>Bergvik skog öst AB</t>
        </is>
      </c>
      <c r="G444" t="n">
        <v>0.7</v>
      </c>
      <c r="H444" t="n">
        <v>0</v>
      </c>
      <c r="I444" t="n">
        <v>0</v>
      </c>
      <c r="J444" t="n">
        <v>0</v>
      </c>
      <c r="K444" t="n">
        <v>0</v>
      </c>
      <c r="L444" t="n">
        <v>0</v>
      </c>
      <c r="M444" t="n">
        <v>0</v>
      </c>
      <c r="N444" t="n">
        <v>0</v>
      </c>
      <c r="O444" t="n">
        <v>0</v>
      </c>
      <c r="P444" t="n">
        <v>0</v>
      </c>
      <c r="Q444" t="n">
        <v>0</v>
      </c>
      <c r="R444" s="2" t="inlineStr"/>
    </row>
    <row r="445" ht="15" customHeight="1">
      <c r="A445" t="inlineStr">
        <is>
          <t>A 6143-2022</t>
        </is>
      </c>
      <c r="B445" s="1" t="n">
        <v>44599</v>
      </c>
      <c r="C445" s="1" t="n">
        <v>45807</v>
      </c>
      <c r="D445" t="inlineStr">
        <is>
          <t>UPPSALA LÄN</t>
        </is>
      </c>
      <c r="E445" t="inlineStr">
        <is>
          <t>ÖSTHAMMAR</t>
        </is>
      </c>
      <c r="G445" t="n">
        <v>3.4</v>
      </c>
      <c r="H445" t="n">
        <v>0</v>
      </c>
      <c r="I445" t="n">
        <v>0</v>
      </c>
      <c r="J445" t="n">
        <v>0</v>
      </c>
      <c r="K445" t="n">
        <v>0</v>
      </c>
      <c r="L445" t="n">
        <v>0</v>
      </c>
      <c r="M445" t="n">
        <v>0</v>
      </c>
      <c r="N445" t="n">
        <v>0</v>
      </c>
      <c r="O445" t="n">
        <v>0</v>
      </c>
      <c r="P445" t="n">
        <v>0</v>
      </c>
      <c r="Q445" t="n">
        <v>0</v>
      </c>
      <c r="R445" s="2" t="inlineStr"/>
    </row>
    <row r="446" ht="15" customHeight="1">
      <c r="A446" t="inlineStr">
        <is>
          <t>A 6153-2022</t>
        </is>
      </c>
      <c r="B446" s="1" t="n">
        <v>44599</v>
      </c>
      <c r="C446" s="1" t="n">
        <v>45807</v>
      </c>
      <c r="D446" t="inlineStr">
        <is>
          <t>UPPSALA LÄN</t>
        </is>
      </c>
      <c r="E446" t="inlineStr">
        <is>
          <t>ÖSTHAMMAR</t>
        </is>
      </c>
      <c r="G446" t="n">
        <v>1.2</v>
      </c>
      <c r="H446" t="n">
        <v>0</v>
      </c>
      <c r="I446" t="n">
        <v>0</v>
      </c>
      <c r="J446" t="n">
        <v>0</v>
      </c>
      <c r="K446" t="n">
        <v>0</v>
      </c>
      <c r="L446" t="n">
        <v>0</v>
      </c>
      <c r="M446" t="n">
        <v>0</v>
      </c>
      <c r="N446" t="n">
        <v>0</v>
      </c>
      <c r="O446" t="n">
        <v>0</v>
      </c>
      <c r="P446" t="n">
        <v>0</v>
      </c>
      <c r="Q446" t="n">
        <v>0</v>
      </c>
      <c r="R446" s="2" t="inlineStr"/>
    </row>
    <row r="447" ht="15" customHeight="1">
      <c r="A447" t="inlineStr">
        <is>
          <t>A 6206-2022</t>
        </is>
      </c>
      <c r="B447" s="1" t="n">
        <v>44600</v>
      </c>
      <c r="C447" s="1" t="n">
        <v>45807</v>
      </c>
      <c r="D447" t="inlineStr">
        <is>
          <t>UPPSALA LÄN</t>
        </is>
      </c>
      <c r="E447" t="inlineStr">
        <is>
          <t>ÖSTHAMMAR</t>
        </is>
      </c>
      <c r="G447" t="n">
        <v>7.4</v>
      </c>
      <c r="H447" t="n">
        <v>0</v>
      </c>
      <c r="I447" t="n">
        <v>0</v>
      </c>
      <c r="J447" t="n">
        <v>0</v>
      </c>
      <c r="K447" t="n">
        <v>0</v>
      </c>
      <c r="L447" t="n">
        <v>0</v>
      </c>
      <c r="M447" t="n">
        <v>0</v>
      </c>
      <c r="N447" t="n">
        <v>0</v>
      </c>
      <c r="O447" t="n">
        <v>0</v>
      </c>
      <c r="P447" t="n">
        <v>0</v>
      </c>
      <c r="Q447" t="n">
        <v>0</v>
      </c>
      <c r="R447" s="2" t="inlineStr"/>
    </row>
    <row r="448" ht="15" customHeight="1">
      <c r="A448" t="inlineStr">
        <is>
          <t>A 6313-2022</t>
        </is>
      </c>
      <c r="B448" s="1" t="n">
        <v>44600</v>
      </c>
      <c r="C448" s="1" t="n">
        <v>45807</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6892-2022</t>
        </is>
      </c>
      <c r="B449" s="1" t="n">
        <v>44602</v>
      </c>
      <c r="C449" s="1" t="n">
        <v>45807</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7181-2022</t>
        </is>
      </c>
      <c r="B450" s="1" t="n">
        <v>44605</v>
      </c>
      <c r="C450" s="1" t="n">
        <v>45807</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7302-2022</t>
        </is>
      </c>
      <c r="B451" s="1" t="n">
        <v>44606</v>
      </c>
      <c r="C451" s="1" t="n">
        <v>45807</v>
      </c>
      <c r="D451" t="inlineStr">
        <is>
          <t>UPPSALA LÄN</t>
        </is>
      </c>
      <c r="E451" t="inlineStr">
        <is>
          <t>ÖSTHAMMAR</t>
        </is>
      </c>
      <c r="G451" t="n">
        <v>4</v>
      </c>
      <c r="H451" t="n">
        <v>0</v>
      </c>
      <c r="I451" t="n">
        <v>0</v>
      </c>
      <c r="J451" t="n">
        <v>0</v>
      </c>
      <c r="K451" t="n">
        <v>0</v>
      </c>
      <c r="L451" t="n">
        <v>0</v>
      </c>
      <c r="M451" t="n">
        <v>0</v>
      </c>
      <c r="N451" t="n">
        <v>0</v>
      </c>
      <c r="O451" t="n">
        <v>0</v>
      </c>
      <c r="P451" t="n">
        <v>0</v>
      </c>
      <c r="Q451" t="n">
        <v>0</v>
      </c>
      <c r="R451" s="2" t="inlineStr"/>
    </row>
    <row r="452" ht="15" customHeight="1">
      <c r="A452" t="inlineStr">
        <is>
          <t>A 7475-2022</t>
        </is>
      </c>
      <c r="B452" s="1" t="n">
        <v>44607</v>
      </c>
      <c r="C452" s="1" t="n">
        <v>45807</v>
      </c>
      <c r="D452" t="inlineStr">
        <is>
          <t>UPPSALA LÄN</t>
        </is>
      </c>
      <c r="E452" t="inlineStr">
        <is>
          <t>ÖSTHAMMAR</t>
        </is>
      </c>
      <c r="G452" t="n">
        <v>2.2</v>
      </c>
      <c r="H452" t="n">
        <v>0</v>
      </c>
      <c r="I452" t="n">
        <v>0</v>
      </c>
      <c r="J452" t="n">
        <v>0</v>
      </c>
      <c r="K452" t="n">
        <v>0</v>
      </c>
      <c r="L452" t="n">
        <v>0</v>
      </c>
      <c r="M452" t="n">
        <v>0</v>
      </c>
      <c r="N452" t="n">
        <v>0</v>
      </c>
      <c r="O452" t="n">
        <v>0</v>
      </c>
      <c r="P452" t="n">
        <v>0</v>
      </c>
      <c r="Q452" t="n">
        <v>0</v>
      </c>
      <c r="R452" s="2" t="inlineStr"/>
    </row>
    <row r="453" ht="15" customHeight="1">
      <c r="A453" t="inlineStr">
        <is>
          <t>A 7488-2022</t>
        </is>
      </c>
      <c r="B453" s="1" t="n">
        <v>44607</v>
      </c>
      <c r="C453" s="1" t="n">
        <v>45807</v>
      </c>
      <c r="D453" t="inlineStr">
        <is>
          <t>UPPSALA LÄN</t>
        </is>
      </c>
      <c r="E453" t="inlineStr">
        <is>
          <t>ÖSTHAMMAR</t>
        </is>
      </c>
      <c r="G453" t="n">
        <v>2.3</v>
      </c>
      <c r="H453" t="n">
        <v>0</v>
      </c>
      <c r="I453" t="n">
        <v>0</v>
      </c>
      <c r="J453" t="n">
        <v>0</v>
      </c>
      <c r="K453" t="n">
        <v>0</v>
      </c>
      <c r="L453" t="n">
        <v>0</v>
      </c>
      <c r="M453" t="n">
        <v>0</v>
      </c>
      <c r="N453" t="n">
        <v>0</v>
      </c>
      <c r="O453" t="n">
        <v>0</v>
      </c>
      <c r="P453" t="n">
        <v>0</v>
      </c>
      <c r="Q453" t="n">
        <v>0</v>
      </c>
      <c r="R453" s="2" t="inlineStr"/>
    </row>
    <row r="454" ht="15" customHeight="1">
      <c r="A454" t="inlineStr">
        <is>
          <t>A 7858-2022</t>
        </is>
      </c>
      <c r="B454" s="1" t="n">
        <v>44608</v>
      </c>
      <c r="C454" s="1" t="n">
        <v>45807</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7871-2022</t>
        </is>
      </c>
      <c r="B455" s="1" t="n">
        <v>44608</v>
      </c>
      <c r="C455" s="1" t="n">
        <v>45807</v>
      </c>
      <c r="D455" t="inlineStr">
        <is>
          <t>UPPSALA LÄN</t>
        </is>
      </c>
      <c r="E455" t="inlineStr">
        <is>
          <t>ÖSTHAMMAR</t>
        </is>
      </c>
      <c r="G455" t="n">
        <v>1.1</v>
      </c>
      <c r="H455" t="n">
        <v>0</v>
      </c>
      <c r="I455" t="n">
        <v>0</v>
      </c>
      <c r="J455" t="n">
        <v>0</v>
      </c>
      <c r="K455" t="n">
        <v>0</v>
      </c>
      <c r="L455" t="n">
        <v>0</v>
      </c>
      <c r="M455" t="n">
        <v>0</v>
      </c>
      <c r="N455" t="n">
        <v>0</v>
      </c>
      <c r="O455" t="n">
        <v>0</v>
      </c>
      <c r="P455" t="n">
        <v>0</v>
      </c>
      <c r="Q455" t="n">
        <v>0</v>
      </c>
      <c r="R455" s="2" t="inlineStr"/>
    </row>
    <row r="456" ht="15" customHeight="1">
      <c r="A456" t="inlineStr">
        <is>
          <t>A 7997-2022</t>
        </is>
      </c>
      <c r="B456" s="1" t="n">
        <v>44609</v>
      </c>
      <c r="C456" s="1" t="n">
        <v>45807</v>
      </c>
      <c r="D456" t="inlineStr">
        <is>
          <t>UPPSALA LÄN</t>
        </is>
      </c>
      <c r="E456" t="inlineStr">
        <is>
          <t>ÖSTHAMMAR</t>
        </is>
      </c>
      <c r="G456" t="n">
        <v>1.8</v>
      </c>
      <c r="H456" t="n">
        <v>0</v>
      </c>
      <c r="I456" t="n">
        <v>0</v>
      </c>
      <c r="J456" t="n">
        <v>0</v>
      </c>
      <c r="K456" t="n">
        <v>0</v>
      </c>
      <c r="L456" t="n">
        <v>0</v>
      </c>
      <c r="M456" t="n">
        <v>0</v>
      </c>
      <c r="N456" t="n">
        <v>0</v>
      </c>
      <c r="O456" t="n">
        <v>0</v>
      </c>
      <c r="P456" t="n">
        <v>0</v>
      </c>
      <c r="Q456" t="n">
        <v>0</v>
      </c>
      <c r="R456" s="2" t="inlineStr"/>
    </row>
    <row r="457" ht="15" customHeight="1">
      <c r="A457" t="inlineStr">
        <is>
          <t>A 8283-2022</t>
        </is>
      </c>
      <c r="B457" s="1" t="n">
        <v>44610</v>
      </c>
      <c r="C457" s="1" t="n">
        <v>45807</v>
      </c>
      <c r="D457" t="inlineStr">
        <is>
          <t>UPPSALA LÄN</t>
        </is>
      </c>
      <c r="E457" t="inlineStr">
        <is>
          <t>ÖSTHAMMAR</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8592-2022</t>
        </is>
      </c>
      <c r="B458" s="1" t="n">
        <v>44613</v>
      </c>
      <c r="C458" s="1" t="n">
        <v>45807</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8708-2022</t>
        </is>
      </c>
      <c r="B459" s="1" t="n">
        <v>44613</v>
      </c>
      <c r="C459" s="1" t="n">
        <v>45807</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8710-2022</t>
        </is>
      </c>
      <c r="B460" s="1" t="n">
        <v>44613</v>
      </c>
      <c r="C460" s="1" t="n">
        <v>45807</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8537-2022</t>
        </is>
      </c>
      <c r="B461" s="1" t="n">
        <v>44613</v>
      </c>
      <c r="C461" s="1" t="n">
        <v>45807</v>
      </c>
      <c r="D461" t="inlineStr">
        <is>
          <t>UPPSALA LÄN</t>
        </is>
      </c>
      <c r="E461" t="inlineStr">
        <is>
          <t>ÖSTHAMMAR</t>
        </is>
      </c>
      <c r="G461" t="n">
        <v>1.2</v>
      </c>
      <c r="H461" t="n">
        <v>0</v>
      </c>
      <c r="I461" t="n">
        <v>0</v>
      </c>
      <c r="J461" t="n">
        <v>0</v>
      </c>
      <c r="K461" t="n">
        <v>0</v>
      </c>
      <c r="L461" t="n">
        <v>0</v>
      </c>
      <c r="M461" t="n">
        <v>0</v>
      </c>
      <c r="N461" t="n">
        <v>0</v>
      </c>
      <c r="O461" t="n">
        <v>0</v>
      </c>
      <c r="P461" t="n">
        <v>0</v>
      </c>
      <c r="Q461" t="n">
        <v>0</v>
      </c>
      <c r="R461" s="2" t="inlineStr"/>
    </row>
    <row r="462" ht="15" customHeight="1">
      <c r="A462" t="inlineStr">
        <is>
          <t>A 8554-2022</t>
        </is>
      </c>
      <c r="B462" s="1" t="n">
        <v>44613</v>
      </c>
      <c r="C462" s="1" t="n">
        <v>45807</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8556-2022</t>
        </is>
      </c>
      <c r="B463" s="1" t="n">
        <v>44613</v>
      </c>
      <c r="C463" s="1" t="n">
        <v>45807</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8775-2022</t>
        </is>
      </c>
      <c r="B464" s="1" t="n">
        <v>44614</v>
      </c>
      <c r="C464" s="1" t="n">
        <v>45807</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8750-2022</t>
        </is>
      </c>
      <c r="B465" s="1" t="n">
        <v>44614</v>
      </c>
      <c r="C465" s="1" t="n">
        <v>45807</v>
      </c>
      <c r="D465" t="inlineStr">
        <is>
          <t>UPPSALA LÄN</t>
        </is>
      </c>
      <c r="E465" t="inlineStr">
        <is>
          <t>ÖSTHAMMAR</t>
        </is>
      </c>
      <c r="G465" t="n">
        <v>1.6</v>
      </c>
      <c r="H465" t="n">
        <v>0</v>
      </c>
      <c r="I465" t="n">
        <v>0</v>
      </c>
      <c r="J465" t="n">
        <v>0</v>
      </c>
      <c r="K465" t="n">
        <v>0</v>
      </c>
      <c r="L465" t="n">
        <v>0</v>
      </c>
      <c r="M465" t="n">
        <v>0</v>
      </c>
      <c r="N465" t="n">
        <v>0</v>
      </c>
      <c r="O465" t="n">
        <v>0</v>
      </c>
      <c r="P465" t="n">
        <v>0</v>
      </c>
      <c r="Q465" t="n">
        <v>0</v>
      </c>
      <c r="R465" s="2" t="inlineStr"/>
    </row>
    <row r="466" ht="15" customHeight="1">
      <c r="A466" t="inlineStr">
        <is>
          <t>A 9755-2022</t>
        </is>
      </c>
      <c r="B466" s="1" t="n">
        <v>44618</v>
      </c>
      <c r="C466" s="1" t="n">
        <v>45807</v>
      </c>
      <c r="D466" t="inlineStr">
        <is>
          <t>UPPSALA LÄN</t>
        </is>
      </c>
      <c r="E466" t="inlineStr">
        <is>
          <t>ÖSTHAMMAR</t>
        </is>
      </c>
      <c r="F466" t="inlineStr">
        <is>
          <t>Bergvik skog öst AB</t>
        </is>
      </c>
      <c r="G466" t="n">
        <v>13.9</v>
      </c>
      <c r="H466" t="n">
        <v>0</v>
      </c>
      <c r="I466" t="n">
        <v>0</v>
      </c>
      <c r="J466" t="n">
        <v>0</v>
      </c>
      <c r="K466" t="n">
        <v>0</v>
      </c>
      <c r="L466" t="n">
        <v>0</v>
      </c>
      <c r="M466" t="n">
        <v>0</v>
      </c>
      <c r="N466" t="n">
        <v>0</v>
      </c>
      <c r="O466" t="n">
        <v>0</v>
      </c>
      <c r="P466" t="n">
        <v>0</v>
      </c>
      <c r="Q466" t="n">
        <v>0</v>
      </c>
      <c r="R466" s="2" t="inlineStr"/>
    </row>
    <row r="467" ht="15" customHeight="1">
      <c r="A467" t="inlineStr">
        <is>
          <t>A 9789-2022</t>
        </is>
      </c>
      <c r="B467" s="1" t="n">
        <v>44620</v>
      </c>
      <c r="C467" s="1" t="n">
        <v>45807</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9795-2022</t>
        </is>
      </c>
      <c r="B468" s="1" t="n">
        <v>44620</v>
      </c>
      <c r="C468" s="1" t="n">
        <v>45807</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10287-2022</t>
        </is>
      </c>
      <c r="B469" s="1" t="n">
        <v>44622</v>
      </c>
      <c r="C469" s="1" t="n">
        <v>45807</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10294-2022</t>
        </is>
      </c>
      <c r="B470" s="1" t="n">
        <v>44622</v>
      </c>
      <c r="C470" s="1" t="n">
        <v>45807</v>
      </c>
      <c r="D470" t="inlineStr">
        <is>
          <t>UPPSALA LÄN</t>
        </is>
      </c>
      <c r="E470" t="inlineStr">
        <is>
          <t>ÖSTHAMMAR</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10288-2022</t>
        </is>
      </c>
      <c r="B471" s="1" t="n">
        <v>44622</v>
      </c>
      <c r="C471" s="1" t="n">
        <v>45807</v>
      </c>
      <c r="D471" t="inlineStr">
        <is>
          <t>UPPSALA LÄN</t>
        </is>
      </c>
      <c r="E471" t="inlineStr">
        <is>
          <t>ÖSTHAMMAR</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10298-2022</t>
        </is>
      </c>
      <c r="B472" s="1" t="n">
        <v>44622</v>
      </c>
      <c r="C472" s="1" t="n">
        <v>45807</v>
      </c>
      <c r="D472" t="inlineStr">
        <is>
          <t>UPPSALA LÄN</t>
        </is>
      </c>
      <c r="E472" t="inlineStr">
        <is>
          <t>ÖSTHAMMAR</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10980-2022</t>
        </is>
      </c>
      <c r="B473" s="1" t="n">
        <v>44628</v>
      </c>
      <c r="C473" s="1" t="n">
        <v>45807</v>
      </c>
      <c r="D473" t="inlineStr">
        <is>
          <t>UPPSALA LÄN</t>
        </is>
      </c>
      <c r="E473" t="inlineStr">
        <is>
          <t>ÖSTHAMMAR</t>
        </is>
      </c>
      <c r="G473" t="n">
        <v>7.4</v>
      </c>
      <c r="H473" t="n">
        <v>0</v>
      </c>
      <c r="I473" t="n">
        <v>0</v>
      </c>
      <c r="J473" t="n">
        <v>0</v>
      </c>
      <c r="K473" t="n">
        <v>0</v>
      </c>
      <c r="L473" t="n">
        <v>0</v>
      </c>
      <c r="M473" t="n">
        <v>0</v>
      </c>
      <c r="N473" t="n">
        <v>0</v>
      </c>
      <c r="O473" t="n">
        <v>0</v>
      </c>
      <c r="P473" t="n">
        <v>0</v>
      </c>
      <c r="Q473" t="n">
        <v>0</v>
      </c>
      <c r="R473" s="2" t="inlineStr"/>
    </row>
    <row r="474" ht="15" customHeight="1">
      <c r="A474" t="inlineStr">
        <is>
          <t>A 11547-2022</t>
        </is>
      </c>
      <c r="B474" s="1" t="n">
        <v>44631</v>
      </c>
      <c r="C474" s="1" t="n">
        <v>45807</v>
      </c>
      <c r="D474" t="inlineStr">
        <is>
          <t>UPPSALA LÄN</t>
        </is>
      </c>
      <c r="E474" t="inlineStr">
        <is>
          <t>ÖSTHAMMAR</t>
        </is>
      </c>
      <c r="G474" t="n">
        <v>4.4</v>
      </c>
      <c r="H474" t="n">
        <v>0</v>
      </c>
      <c r="I474" t="n">
        <v>0</v>
      </c>
      <c r="J474" t="n">
        <v>0</v>
      </c>
      <c r="K474" t="n">
        <v>0</v>
      </c>
      <c r="L474" t="n">
        <v>0</v>
      </c>
      <c r="M474" t="n">
        <v>0</v>
      </c>
      <c r="N474" t="n">
        <v>0</v>
      </c>
      <c r="O474" t="n">
        <v>0</v>
      </c>
      <c r="P474" t="n">
        <v>0</v>
      </c>
      <c r="Q474" t="n">
        <v>0</v>
      </c>
      <c r="R474" s="2" t="inlineStr"/>
    </row>
    <row r="475" ht="15" customHeight="1">
      <c r="A475" t="inlineStr">
        <is>
          <t>A 11643-2022</t>
        </is>
      </c>
      <c r="B475" s="1" t="n">
        <v>44631</v>
      </c>
      <c r="C475" s="1" t="n">
        <v>45807</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11884-2022</t>
        </is>
      </c>
      <c r="B476" s="1" t="n">
        <v>44635</v>
      </c>
      <c r="C476" s="1" t="n">
        <v>45807</v>
      </c>
      <c r="D476" t="inlineStr">
        <is>
          <t>UPPSALA LÄN</t>
        </is>
      </c>
      <c r="E476" t="inlineStr">
        <is>
          <t>ÖSTHAMMAR</t>
        </is>
      </c>
      <c r="G476" t="n">
        <v>0.8</v>
      </c>
      <c r="H476" t="n">
        <v>0</v>
      </c>
      <c r="I476" t="n">
        <v>0</v>
      </c>
      <c r="J476" t="n">
        <v>0</v>
      </c>
      <c r="K476" t="n">
        <v>0</v>
      </c>
      <c r="L476" t="n">
        <v>0</v>
      </c>
      <c r="M476" t="n">
        <v>0</v>
      </c>
      <c r="N476" t="n">
        <v>0</v>
      </c>
      <c r="O476" t="n">
        <v>0</v>
      </c>
      <c r="P476" t="n">
        <v>0</v>
      </c>
      <c r="Q476" t="n">
        <v>0</v>
      </c>
      <c r="R476" s="2" t="inlineStr"/>
    </row>
    <row r="477" ht="15" customHeight="1">
      <c r="A477" t="inlineStr">
        <is>
          <t>A 11987-2022</t>
        </is>
      </c>
      <c r="B477" s="1" t="n">
        <v>44635</v>
      </c>
      <c r="C477" s="1" t="n">
        <v>45807</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11986-2022</t>
        </is>
      </c>
      <c r="B478" s="1" t="n">
        <v>44635</v>
      </c>
      <c r="C478" s="1" t="n">
        <v>45807</v>
      </c>
      <c r="D478" t="inlineStr">
        <is>
          <t>UPPSALA LÄN</t>
        </is>
      </c>
      <c r="E478" t="inlineStr">
        <is>
          <t>ÖSTHAMMAR</t>
        </is>
      </c>
      <c r="F478" t="inlineStr">
        <is>
          <t>Bergvik skog öst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12176-2022</t>
        </is>
      </c>
      <c r="B479" s="1" t="n">
        <v>44636</v>
      </c>
      <c r="C479" s="1" t="n">
        <v>45807</v>
      </c>
      <c r="D479" t="inlineStr">
        <is>
          <t>UPPSALA LÄN</t>
        </is>
      </c>
      <c r="E479" t="inlineStr">
        <is>
          <t>ÖSTHAMMAR</t>
        </is>
      </c>
      <c r="G479" t="n">
        <v>3.5</v>
      </c>
      <c r="H479" t="n">
        <v>0</v>
      </c>
      <c r="I479" t="n">
        <v>0</v>
      </c>
      <c r="J479" t="n">
        <v>0</v>
      </c>
      <c r="K479" t="n">
        <v>0</v>
      </c>
      <c r="L479" t="n">
        <v>0</v>
      </c>
      <c r="M479" t="n">
        <v>0</v>
      </c>
      <c r="N479" t="n">
        <v>0</v>
      </c>
      <c r="O479" t="n">
        <v>0</v>
      </c>
      <c r="P479" t="n">
        <v>0</v>
      </c>
      <c r="Q479" t="n">
        <v>0</v>
      </c>
      <c r="R479" s="2" t="inlineStr"/>
    </row>
    <row r="480" ht="15" customHeight="1">
      <c r="A480" t="inlineStr">
        <is>
          <t>A 12999-2022</t>
        </is>
      </c>
      <c r="B480" s="1" t="n">
        <v>44643</v>
      </c>
      <c r="C480" s="1" t="n">
        <v>45807</v>
      </c>
      <c r="D480" t="inlineStr">
        <is>
          <t>UPPSALA LÄN</t>
        </is>
      </c>
      <c r="E480" t="inlineStr">
        <is>
          <t>ÖSTHAMMAR</t>
        </is>
      </c>
      <c r="G480" t="n">
        <v>0.5</v>
      </c>
      <c r="H480" t="n">
        <v>0</v>
      </c>
      <c r="I480" t="n">
        <v>0</v>
      </c>
      <c r="J480" t="n">
        <v>0</v>
      </c>
      <c r="K480" t="n">
        <v>0</v>
      </c>
      <c r="L480" t="n">
        <v>0</v>
      </c>
      <c r="M480" t="n">
        <v>0</v>
      </c>
      <c r="N480" t="n">
        <v>0</v>
      </c>
      <c r="O480" t="n">
        <v>0</v>
      </c>
      <c r="P480" t="n">
        <v>0</v>
      </c>
      <c r="Q480" t="n">
        <v>0</v>
      </c>
      <c r="R480" s="2" t="inlineStr"/>
    </row>
    <row r="481" ht="15" customHeight="1">
      <c r="A481" t="inlineStr">
        <is>
          <t>A 13044-2022</t>
        </is>
      </c>
      <c r="B481" s="1" t="n">
        <v>44643</v>
      </c>
      <c r="C481" s="1" t="n">
        <v>45807</v>
      </c>
      <c r="D481" t="inlineStr">
        <is>
          <t>UPPSALA LÄN</t>
        </is>
      </c>
      <c r="E481" t="inlineStr">
        <is>
          <t>ÖSTHAMMAR</t>
        </is>
      </c>
      <c r="G481" t="n">
        <v>2.5</v>
      </c>
      <c r="H481" t="n">
        <v>0</v>
      </c>
      <c r="I481" t="n">
        <v>0</v>
      </c>
      <c r="J481" t="n">
        <v>0</v>
      </c>
      <c r="K481" t="n">
        <v>0</v>
      </c>
      <c r="L481" t="n">
        <v>0</v>
      </c>
      <c r="M481" t="n">
        <v>0</v>
      </c>
      <c r="N481" t="n">
        <v>0</v>
      </c>
      <c r="O481" t="n">
        <v>0</v>
      </c>
      <c r="P481" t="n">
        <v>0</v>
      </c>
      <c r="Q481" t="n">
        <v>0</v>
      </c>
      <c r="R481" s="2" t="inlineStr"/>
    </row>
    <row r="482" ht="15" customHeight="1">
      <c r="A482" t="inlineStr">
        <is>
          <t>A 13093-2022</t>
        </is>
      </c>
      <c r="B482" s="1" t="n">
        <v>44643</v>
      </c>
      <c r="C482" s="1" t="n">
        <v>45807</v>
      </c>
      <c r="D482" t="inlineStr">
        <is>
          <t>UPPSALA LÄN</t>
        </is>
      </c>
      <c r="E482" t="inlineStr">
        <is>
          <t>ÖSTHAMMAR</t>
        </is>
      </c>
      <c r="F482" t="inlineStr">
        <is>
          <t>Bergvik skog öst AB</t>
        </is>
      </c>
      <c r="G482" t="n">
        <v>3.2</v>
      </c>
      <c r="H482" t="n">
        <v>0</v>
      </c>
      <c r="I482" t="n">
        <v>0</v>
      </c>
      <c r="J482" t="n">
        <v>0</v>
      </c>
      <c r="K482" t="n">
        <v>0</v>
      </c>
      <c r="L482" t="n">
        <v>0</v>
      </c>
      <c r="M482" t="n">
        <v>0</v>
      </c>
      <c r="N482" t="n">
        <v>0</v>
      </c>
      <c r="O482" t="n">
        <v>0</v>
      </c>
      <c r="P482" t="n">
        <v>0</v>
      </c>
      <c r="Q482" t="n">
        <v>0</v>
      </c>
      <c r="R482" s="2" t="inlineStr"/>
    </row>
    <row r="483" ht="15" customHeight="1">
      <c r="A483" t="inlineStr">
        <is>
          <t>A 13238-2022</t>
        </is>
      </c>
      <c r="B483" s="1" t="n">
        <v>44644</v>
      </c>
      <c r="C483" s="1" t="n">
        <v>45807</v>
      </c>
      <c r="D483" t="inlineStr">
        <is>
          <t>UPPSALA LÄN</t>
        </is>
      </c>
      <c r="E483" t="inlineStr">
        <is>
          <t>ÖSTHAMMAR</t>
        </is>
      </c>
      <c r="G483" t="n">
        <v>6.5</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45807</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13867-2022</t>
        </is>
      </c>
      <c r="B485" s="1" t="n">
        <v>44649</v>
      </c>
      <c r="C485" s="1" t="n">
        <v>45807</v>
      </c>
      <c r="D485" t="inlineStr">
        <is>
          <t>UPPSALA LÄN</t>
        </is>
      </c>
      <c r="E485" t="inlineStr">
        <is>
          <t>ÖSTHAMMAR</t>
        </is>
      </c>
      <c r="F485" t="inlineStr">
        <is>
          <t>Bergvik skog öst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14272-2022</t>
        </is>
      </c>
      <c r="B486" s="1" t="n">
        <v>44651</v>
      </c>
      <c r="C486" s="1" t="n">
        <v>45807</v>
      </c>
      <c r="D486" t="inlineStr">
        <is>
          <t>UPPSALA LÄN</t>
        </is>
      </c>
      <c r="E486" t="inlineStr">
        <is>
          <t>ÖSTHAMMAR</t>
        </is>
      </c>
      <c r="F486" t="inlineStr">
        <is>
          <t>Bergvik skog öst AB</t>
        </is>
      </c>
      <c r="G486" t="n">
        <v>3.1</v>
      </c>
      <c r="H486" t="n">
        <v>0</v>
      </c>
      <c r="I486" t="n">
        <v>0</v>
      </c>
      <c r="J486" t="n">
        <v>0</v>
      </c>
      <c r="K486" t="n">
        <v>0</v>
      </c>
      <c r="L486" t="n">
        <v>0</v>
      </c>
      <c r="M486" t="n">
        <v>0</v>
      </c>
      <c r="N486" t="n">
        <v>0</v>
      </c>
      <c r="O486" t="n">
        <v>0</v>
      </c>
      <c r="P486" t="n">
        <v>0</v>
      </c>
      <c r="Q486" t="n">
        <v>0</v>
      </c>
      <c r="R486" s="2" t="inlineStr"/>
    </row>
    <row r="487" ht="15" customHeight="1">
      <c r="A487" t="inlineStr">
        <is>
          <t>A 14124-2022</t>
        </is>
      </c>
      <c r="B487" s="1" t="n">
        <v>44651</v>
      </c>
      <c r="C487" s="1" t="n">
        <v>45807</v>
      </c>
      <c r="D487" t="inlineStr">
        <is>
          <t>UPPSALA LÄN</t>
        </is>
      </c>
      <c r="E487" t="inlineStr">
        <is>
          <t>ÖSTHAMMAR</t>
        </is>
      </c>
      <c r="F487" t="inlineStr">
        <is>
          <t>Bergvik skog öst AB</t>
        </is>
      </c>
      <c r="G487" t="n">
        <v>0.9</v>
      </c>
      <c r="H487" t="n">
        <v>0</v>
      </c>
      <c r="I487" t="n">
        <v>0</v>
      </c>
      <c r="J487" t="n">
        <v>0</v>
      </c>
      <c r="K487" t="n">
        <v>0</v>
      </c>
      <c r="L487" t="n">
        <v>0</v>
      </c>
      <c r="M487" t="n">
        <v>0</v>
      </c>
      <c r="N487" t="n">
        <v>0</v>
      </c>
      <c r="O487" t="n">
        <v>0</v>
      </c>
      <c r="P487" t="n">
        <v>0</v>
      </c>
      <c r="Q487" t="n">
        <v>0</v>
      </c>
      <c r="R487" s="2" t="inlineStr"/>
    </row>
    <row r="488" ht="15" customHeight="1">
      <c r="A488" t="inlineStr">
        <is>
          <t>A 14187-2022</t>
        </is>
      </c>
      <c r="B488" s="1" t="n">
        <v>44651</v>
      </c>
      <c r="C488" s="1" t="n">
        <v>45807</v>
      </c>
      <c r="D488" t="inlineStr">
        <is>
          <t>UPPSALA LÄN</t>
        </is>
      </c>
      <c r="E488" t="inlineStr">
        <is>
          <t>ÖSTHAMMAR</t>
        </is>
      </c>
      <c r="F488" t="inlineStr">
        <is>
          <t>Övriga Aktiebolag</t>
        </is>
      </c>
      <c r="G488" t="n">
        <v>14.1</v>
      </c>
      <c r="H488" t="n">
        <v>0</v>
      </c>
      <c r="I488" t="n">
        <v>0</v>
      </c>
      <c r="J488" t="n">
        <v>0</v>
      </c>
      <c r="K488" t="n">
        <v>0</v>
      </c>
      <c r="L488" t="n">
        <v>0</v>
      </c>
      <c r="M488" t="n">
        <v>0</v>
      </c>
      <c r="N488" t="n">
        <v>0</v>
      </c>
      <c r="O488" t="n">
        <v>0</v>
      </c>
      <c r="P488" t="n">
        <v>0</v>
      </c>
      <c r="Q488" t="n">
        <v>0</v>
      </c>
      <c r="R488" s="2" t="inlineStr"/>
    </row>
    <row r="489" ht="15" customHeight="1">
      <c r="A489" t="inlineStr">
        <is>
          <t>A 14271-2022</t>
        </is>
      </c>
      <c r="B489" s="1" t="n">
        <v>44651</v>
      </c>
      <c r="C489" s="1" t="n">
        <v>45807</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14671-2022</t>
        </is>
      </c>
      <c r="B490" s="1" t="n">
        <v>44655</v>
      </c>
      <c r="C490" s="1" t="n">
        <v>45807</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15064-2022</t>
        </is>
      </c>
      <c r="B491" s="1" t="n">
        <v>44657</v>
      </c>
      <c r="C491" s="1" t="n">
        <v>45807</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15311-2022</t>
        </is>
      </c>
      <c r="B492" s="1" t="n">
        <v>44659</v>
      </c>
      <c r="C492" s="1" t="n">
        <v>45807</v>
      </c>
      <c r="D492" t="inlineStr">
        <is>
          <t>UPPSALA LÄN</t>
        </is>
      </c>
      <c r="E492" t="inlineStr">
        <is>
          <t>ÖSTHAMMAR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15334-2022</t>
        </is>
      </c>
      <c r="B493" s="1" t="n">
        <v>44659</v>
      </c>
      <c r="C493" s="1" t="n">
        <v>45807</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15447-2022</t>
        </is>
      </c>
      <c r="B494" s="1" t="n">
        <v>44660</v>
      </c>
      <c r="C494" s="1" t="n">
        <v>45807</v>
      </c>
      <c r="D494" t="inlineStr">
        <is>
          <t>UPPSALA LÄN</t>
        </is>
      </c>
      <c r="E494" t="inlineStr">
        <is>
          <t>ÖSTHAMMAR</t>
        </is>
      </c>
      <c r="F494" t="inlineStr">
        <is>
          <t>Bergvik skog öst AB</t>
        </is>
      </c>
      <c r="G494" t="n">
        <v>2.2</v>
      </c>
      <c r="H494" t="n">
        <v>0</v>
      </c>
      <c r="I494" t="n">
        <v>0</v>
      </c>
      <c r="J494" t="n">
        <v>0</v>
      </c>
      <c r="K494" t="n">
        <v>0</v>
      </c>
      <c r="L494" t="n">
        <v>0</v>
      </c>
      <c r="M494" t="n">
        <v>0</v>
      </c>
      <c r="N494" t="n">
        <v>0</v>
      </c>
      <c r="O494" t="n">
        <v>0</v>
      </c>
      <c r="P494" t="n">
        <v>0</v>
      </c>
      <c r="Q494" t="n">
        <v>0</v>
      </c>
      <c r="R494" s="2" t="inlineStr"/>
    </row>
    <row r="495" ht="15" customHeight="1">
      <c r="A495" t="inlineStr">
        <is>
          <t>A 15445-2022</t>
        </is>
      </c>
      <c r="B495" s="1" t="n">
        <v>44660</v>
      </c>
      <c r="C495" s="1" t="n">
        <v>45807</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15449-2022</t>
        </is>
      </c>
      <c r="B496" s="1" t="n">
        <v>44660</v>
      </c>
      <c r="C496" s="1" t="n">
        <v>45807</v>
      </c>
      <c r="D496" t="inlineStr">
        <is>
          <t>UPPSALA LÄN</t>
        </is>
      </c>
      <c r="E496" t="inlineStr">
        <is>
          <t>ÖSTHAMMAR</t>
        </is>
      </c>
      <c r="F496" t="inlineStr">
        <is>
          <t>Bergvik skog öst AB</t>
        </is>
      </c>
      <c r="G496" t="n">
        <v>2</v>
      </c>
      <c r="H496" t="n">
        <v>0</v>
      </c>
      <c r="I496" t="n">
        <v>0</v>
      </c>
      <c r="J496" t="n">
        <v>0</v>
      </c>
      <c r="K496" t="n">
        <v>0</v>
      </c>
      <c r="L496" t="n">
        <v>0</v>
      </c>
      <c r="M496" t="n">
        <v>0</v>
      </c>
      <c r="N496" t="n">
        <v>0</v>
      </c>
      <c r="O496" t="n">
        <v>0</v>
      </c>
      <c r="P496" t="n">
        <v>0</v>
      </c>
      <c r="Q496" t="n">
        <v>0</v>
      </c>
      <c r="R496" s="2" t="inlineStr"/>
    </row>
    <row r="497" ht="15" customHeight="1">
      <c r="A497" t="inlineStr">
        <is>
          <t>A 15456-2022</t>
        </is>
      </c>
      <c r="B497" s="1" t="n">
        <v>44661</v>
      </c>
      <c r="C497" s="1" t="n">
        <v>45807</v>
      </c>
      <c r="D497" t="inlineStr">
        <is>
          <t>UPPSALA LÄN</t>
        </is>
      </c>
      <c r="E497" t="inlineStr">
        <is>
          <t>ÖSTHAMMAR</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15457-2022</t>
        </is>
      </c>
      <c r="B498" s="1" t="n">
        <v>44661</v>
      </c>
      <c r="C498" s="1" t="n">
        <v>45807</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15847-2022</t>
        </is>
      </c>
      <c r="B499" s="1" t="n">
        <v>44664</v>
      </c>
      <c r="C499" s="1" t="n">
        <v>45807</v>
      </c>
      <c r="D499" t="inlineStr">
        <is>
          <t>UPPSALA LÄN</t>
        </is>
      </c>
      <c r="E499" t="inlineStr">
        <is>
          <t>ÖSTHAMMAR</t>
        </is>
      </c>
      <c r="G499" t="n">
        <v>0.3</v>
      </c>
      <c r="H499" t="n">
        <v>0</v>
      </c>
      <c r="I499" t="n">
        <v>0</v>
      </c>
      <c r="J499" t="n">
        <v>0</v>
      </c>
      <c r="K499" t="n">
        <v>0</v>
      </c>
      <c r="L499" t="n">
        <v>0</v>
      </c>
      <c r="M499" t="n">
        <v>0</v>
      </c>
      <c r="N499" t="n">
        <v>0</v>
      </c>
      <c r="O499" t="n">
        <v>0</v>
      </c>
      <c r="P499" t="n">
        <v>0</v>
      </c>
      <c r="Q499" t="n">
        <v>0</v>
      </c>
      <c r="R499" s="2" t="inlineStr"/>
    </row>
    <row r="500" ht="15" customHeight="1">
      <c r="A500" t="inlineStr">
        <is>
          <t>A 15845-2022</t>
        </is>
      </c>
      <c r="B500" s="1" t="n">
        <v>44664</v>
      </c>
      <c r="C500" s="1" t="n">
        <v>45807</v>
      </c>
      <c r="D500" t="inlineStr">
        <is>
          <t>UPPSALA LÄN</t>
        </is>
      </c>
      <c r="E500" t="inlineStr">
        <is>
          <t>ÖSTHAMMAR</t>
        </is>
      </c>
      <c r="G500" t="n">
        <v>4.5</v>
      </c>
      <c r="H500" t="n">
        <v>0</v>
      </c>
      <c r="I500" t="n">
        <v>0</v>
      </c>
      <c r="J500" t="n">
        <v>0</v>
      </c>
      <c r="K500" t="n">
        <v>0</v>
      </c>
      <c r="L500" t="n">
        <v>0</v>
      </c>
      <c r="M500" t="n">
        <v>0</v>
      </c>
      <c r="N500" t="n">
        <v>0</v>
      </c>
      <c r="O500" t="n">
        <v>0</v>
      </c>
      <c r="P500" t="n">
        <v>0</v>
      </c>
      <c r="Q500" t="n">
        <v>0</v>
      </c>
      <c r="R500" s="2" t="inlineStr"/>
    </row>
    <row r="501" ht="15" customHeight="1">
      <c r="A501" t="inlineStr">
        <is>
          <t>A 15928-2022</t>
        </is>
      </c>
      <c r="B501" s="1" t="n">
        <v>44664</v>
      </c>
      <c r="C501" s="1" t="n">
        <v>45807</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16141-2022</t>
        </is>
      </c>
      <c r="B502" s="1" t="n">
        <v>44665</v>
      </c>
      <c r="C502" s="1" t="n">
        <v>45807</v>
      </c>
      <c r="D502" t="inlineStr">
        <is>
          <t>UPPSALA LÄN</t>
        </is>
      </c>
      <c r="E502" t="inlineStr">
        <is>
          <t>ÖSTHAMMAR</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16142-2022</t>
        </is>
      </c>
      <c r="B503" s="1" t="n">
        <v>44665</v>
      </c>
      <c r="C503" s="1" t="n">
        <v>45807</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16167-2022</t>
        </is>
      </c>
      <c r="B504" s="1" t="n">
        <v>44667</v>
      </c>
      <c r="C504" s="1" t="n">
        <v>45807</v>
      </c>
      <c r="D504" t="inlineStr">
        <is>
          <t>UPPSALA LÄN</t>
        </is>
      </c>
      <c r="E504" t="inlineStr">
        <is>
          <t>ÖSTHAMMAR</t>
        </is>
      </c>
      <c r="F504" t="inlineStr">
        <is>
          <t>Bergvik skog öst AB</t>
        </is>
      </c>
      <c r="G504" t="n">
        <v>18.7</v>
      </c>
      <c r="H504" t="n">
        <v>0</v>
      </c>
      <c r="I504" t="n">
        <v>0</v>
      </c>
      <c r="J504" t="n">
        <v>0</v>
      </c>
      <c r="K504" t="n">
        <v>0</v>
      </c>
      <c r="L504" t="n">
        <v>0</v>
      </c>
      <c r="M504" t="n">
        <v>0</v>
      </c>
      <c r="N504" t="n">
        <v>0</v>
      </c>
      <c r="O504" t="n">
        <v>0</v>
      </c>
      <c r="P504" t="n">
        <v>0</v>
      </c>
      <c r="Q504" t="n">
        <v>0</v>
      </c>
      <c r="R504" s="2" t="inlineStr"/>
    </row>
    <row r="505" ht="15" customHeight="1">
      <c r="A505" t="inlineStr">
        <is>
          <t>A 16185-2022</t>
        </is>
      </c>
      <c r="B505" s="1" t="n">
        <v>44669</v>
      </c>
      <c r="C505" s="1" t="n">
        <v>45807</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16184-2022</t>
        </is>
      </c>
      <c r="B506" s="1" t="n">
        <v>44669</v>
      </c>
      <c r="C506" s="1" t="n">
        <v>45807</v>
      </c>
      <c r="D506" t="inlineStr">
        <is>
          <t>UPPSALA LÄN</t>
        </is>
      </c>
      <c r="E506" t="inlineStr">
        <is>
          <t>ÖSTHAMMAR</t>
        </is>
      </c>
      <c r="F506" t="inlineStr">
        <is>
          <t>Bergvik skog öst AB</t>
        </is>
      </c>
      <c r="G506" t="n">
        <v>0.8</v>
      </c>
      <c r="H506" t="n">
        <v>0</v>
      </c>
      <c r="I506" t="n">
        <v>0</v>
      </c>
      <c r="J506" t="n">
        <v>0</v>
      </c>
      <c r="K506" t="n">
        <v>0</v>
      </c>
      <c r="L506" t="n">
        <v>0</v>
      </c>
      <c r="M506" t="n">
        <v>0</v>
      </c>
      <c r="N506" t="n">
        <v>0</v>
      </c>
      <c r="O506" t="n">
        <v>0</v>
      </c>
      <c r="P506" t="n">
        <v>0</v>
      </c>
      <c r="Q506" t="n">
        <v>0</v>
      </c>
      <c r="R506" s="2" t="inlineStr"/>
    </row>
    <row r="507" ht="15" customHeight="1">
      <c r="A507" t="inlineStr">
        <is>
          <t>A 16254-2022</t>
        </is>
      </c>
      <c r="B507" s="1" t="n">
        <v>44670</v>
      </c>
      <c r="C507" s="1" t="n">
        <v>45807</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16933-2022</t>
        </is>
      </c>
      <c r="B508" s="1" t="n">
        <v>44676</v>
      </c>
      <c r="C508" s="1" t="n">
        <v>45807</v>
      </c>
      <c r="D508" t="inlineStr">
        <is>
          <t>UPPSALA LÄN</t>
        </is>
      </c>
      <c r="E508" t="inlineStr">
        <is>
          <t>ÖSTHAMMAR</t>
        </is>
      </c>
      <c r="G508" t="n">
        <v>1.3</v>
      </c>
      <c r="H508" t="n">
        <v>0</v>
      </c>
      <c r="I508" t="n">
        <v>0</v>
      </c>
      <c r="J508" t="n">
        <v>0</v>
      </c>
      <c r="K508" t="n">
        <v>0</v>
      </c>
      <c r="L508" t="n">
        <v>0</v>
      </c>
      <c r="M508" t="n">
        <v>0</v>
      </c>
      <c r="N508" t="n">
        <v>0</v>
      </c>
      <c r="O508" t="n">
        <v>0</v>
      </c>
      <c r="P508" t="n">
        <v>0</v>
      </c>
      <c r="Q508" t="n">
        <v>0</v>
      </c>
      <c r="R508" s="2" t="inlineStr"/>
    </row>
    <row r="509" ht="15" customHeight="1">
      <c r="A509" t="inlineStr">
        <is>
          <t>A 17013-2022</t>
        </is>
      </c>
      <c r="B509" s="1" t="n">
        <v>44676</v>
      </c>
      <c r="C509" s="1" t="n">
        <v>45807</v>
      </c>
      <c r="D509" t="inlineStr">
        <is>
          <t>UPPSALA LÄN</t>
        </is>
      </c>
      <c r="E509" t="inlineStr">
        <is>
          <t>ÖSTHAMMAR</t>
        </is>
      </c>
      <c r="F509" t="inlineStr">
        <is>
          <t>Bergvik skog öst AB</t>
        </is>
      </c>
      <c r="G509" t="n">
        <v>0.2</v>
      </c>
      <c r="H509" t="n">
        <v>0</v>
      </c>
      <c r="I509" t="n">
        <v>0</v>
      </c>
      <c r="J509" t="n">
        <v>0</v>
      </c>
      <c r="K509" t="n">
        <v>0</v>
      </c>
      <c r="L509" t="n">
        <v>0</v>
      </c>
      <c r="M509" t="n">
        <v>0</v>
      </c>
      <c r="N509" t="n">
        <v>0</v>
      </c>
      <c r="O509" t="n">
        <v>0</v>
      </c>
      <c r="P509" t="n">
        <v>0</v>
      </c>
      <c r="Q509" t="n">
        <v>0</v>
      </c>
      <c r="R509" s="2" t="inlineStr"/>
    </row>
    <row r="510" ht="15" customHeight="1">
      <c r="A510" t="inlineStr">
        <is>
          <t>A 17947-2022</t>
        </is>
      </c>
      <c r="B510" s="1" t="n">
        <v>44683</v>
      </c>
      <c r="C510" s="1" t="n">
        <v>45807</v>
      </c>
      <c r="D510" t="inlineStr">
        <is>
          <t>UPPSALA LÄN</t>
        </is>
      </c>
      <c r="E510" t="inlineStr">
        <is>
          <t>ÖSTHAMMAR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18183-2022</t>
        </is>
      </c>
      <c r="B511" s="1" t="n">
        <v>44684</v>
      </c>
      <c r="C511" s="1" t="n">
        <v>45807</v>
      </c>
      <c r="D511" t="inlineStr">
        <is>
          <t>UPPSALA LÄN</t>
        </is>
      </c>
      <c r="E511" t="inlineStr">
        <is>
          <t>ÖSTHAMMAR</t>
        </is>
      </c>
      <c r="G511" t="n">
        <v>0.2</v>
      </c>
      <c r="H511" t="n">
        <v>0</v>
      </c>
      <c r="I511" t="n">
        <v>0</v>
      </c>
      <c r="J511" t="n">
        <v>0</v>
      </c>
      <c r="K511" t="n">
        <v>0</v>
      </c>
      <c r="L511" t="n">
        <v>0</v>
      </c>
      <c r="M511" t="n">
        <v>0</v>
      </c>
      <c r="N511" t="n">
        <v>0</v>
      </c>
      <c r="O511" t="n">
        <v>0</v>
      </c>
      <c r="P511" t="n">
        <v>0</v>
      </c>
      <c r="Q511" t="n">
        <v>0</v>
      </c>
      <c r="R511" s="2" t="inlineStr"/>
    </row>
    <row r="512" ht="15" customHeight="1">
      <c r="A512" t="inlineStr">
        <is>
          <t>A 18732-2022</t>
        </is>
      </c>
      <c r="B512" s="1" t="n">
        <v>44687</v>
      </c>
      <c r="C512" s="1" t="n">
        <v>45807</v>
      </c>
      <c r="D512" t="inlineStr">
        <is>
          <t>UPPSALA LÄN</t>
        </is>
      </c>
      <c r="E512" t="inlineStr">
        <is>
          <t>ÖSTHAMMAR</t>
        </is>
      </c>
      <c r="G512" t="n">
        <v>10.5</v>
      </c>
      <c r="H512" t="n">
        <v>0</v>
      </c>
      <c r="I512" t="n">
        <v>0</v>
      </c>
      <c r="J512" t="n">
        <v>0</v>
      </c>
      <c r="K512" t="n">
        <v>0</v>
      </c>
      <c r="L512" t="n">
        <v>0</v>
      </c>
      <c r="M512" t="n">
        <v>0</v>
      </c>
      <c r="N512" t="n">
        <v>0</v>
      </c>
      <c r="O512" t="n">
        <v>0</v>
      </c>
      <c r="P512" t="n">
        <v>0</v>
      </c>
      <c r="Q512" t="n">
        <v>0</v>
      </c>
      <c r="R512" s="2" t="inlineStr"/>
    </row>
    <row r="513" ht="15" customHeight="1">
      <c r="A513" t="inlineStr">
        <is>
          <t>A 18727-2022</t>
        </is>
      </c>
      <c r="B513" s="1" t="n">
        <v>44687</v>
      </c>
      <c r="C513" s="1" t="n">
        <v>45807</v>
      </c>
      <c r="D513" t="inlineStr">
        <is>
          <t>UPPSALA LÄN</t>
        </is>
      </c>
      <c r="E513" t="inlineStr">
        <is>
          <t>ÖSTHAMMAR</t>
        </is>
      </c>
      <c r="G513" t="n">
        <v>0.4</v>
      </c>
      <c r="H513" t="n">
        <v>0</v>
      </c>
      <c r="I513" t="n">
        <v>0</v>
      </c>
      <c r="J513" t="n">
        <v>0</v>
      </c>
      <c r="K513" t="n">
        <v>0</v>
      </c>
      <c r="L513" t="n">
        <v>0</v>
      </c>
      <c r="M513" t="n">
        <v>0</v>
      </c>
      <c r="N513" t="n">
        <v>0</v>
      </c>
      <c r="O513" t="n">
        <v>0</v>
      </c>
      <c r="P513" t="n">
        <v>0</v>
      </c>
      <c r="Q513" t="n">
        <v>0</v>
      </c>
      <c r="R513" s="2" t="inlineStr"/>
    </row>
    <row r="514" ht="15" customHeight="1">
      <c r="A514" t="inlineStr">
        <is>
          <t>A 18728-2022</t>
        </is>
      </c>
      <c r="B514" s="1" t="n">
        <v>44687</v>
      </c>
      <c r="C514" s="1" t="n">
        <v>45807</v>
      </c>
      <c r="D514" t="inlineStr">
        <is>
          <t>UPPSALA LÄN</t>
        </is>
      </c>
      <c r="E514" t="inlineStr">
        <is>
          <t>ÖSTHAMMAR</t>
        </is>
      </c>
      <c r="G514" t="n">
        <v>8.1</v>
      </c>
      <c r="H514" t="n">
        <v>0</v>
      </c>
      <c r="I514" t="n">
        <v>0</v>
      </c>
      <c r="J514" t="n">
        <v>0</v>
      </c>
      <c r="K514" t="n">
        <v>0</v>
      </c>
      <c r="L514" t="n">
        <v>0</v>
      </c>
      <c r="M514" t="n">
        <v>0</v>
      </c>
      <c r="N514" t="n">
        <v>0</v>
      </c>
      <c r="O514" t="n">
        <v>0</v>
      </c>
      <c r="P514" t="n">
        <v>0</v>
      </c>
      <c r="Q514" t="n">
        <v>0</v>
      </c>
      <c r="R514" s="2" t="inlineStr"/>
    </row>
    <row r="515" ht="15" customHeight="1">
      <c r="A515" t="inlineStr">
        <is>
          <t>A 18734-2022</t>
        </is>
      </c>
      <c r="B515" s="1" t="n">
        <v>44687</v>
      </c>
      <c r="C515" s="1" t="n">
        <v>45807</v>
      </c>
      <c r="D515" t="inlineStr">
        <is>
          <t>UPPSALA LÄN</t>
        </is>
      </c>
      <c r="E515" t="inlineStr">
        <is>
          <t>ÖSTHAMMAR</t>
        </is>
      </c>
      <c r="F515" t="inlineStr">
        <is>
          <t>Bergvik skog öst AB</t>
        </is>
      </c>
      <c r="G515" t="n">
        <v>0.3</v>
      </c>
      <c r="H515" t="n">
        <v>0</v>
      </c>
      <c r="I515" t="n">
        <v>0</v>
      </c>
      <c r="J515" t="n">
        <v>0</v>
      </c>
      <c r="K515" t="n">
        <v>0</v>
      </c>
      <c r="L515" t="n">
        <v>0</v>
      </c>
      <c r="M515" t="n">
        <v>0</v>
      </c>
      <c r="N515" t="n">
        <v>0</v>
      </c>
      <c r="O515" t="n">
        <v>0</v>
      </c>
      <c r="P515" t="n">
        <v>0</v>
      </c>
      <c r="Q515" t="n">
        <v>0</v>
      </c>
      <c r="R515" s="2" t="inlineStr"/>
    </row>
    <row r="516" ht="15" customHeight="1">
      <c r="A516" t="inlineStr">
        <is>
          <t>A 18731-2022</t>
        </is>
      </c>
      <c r="B516" s="1" t="n">
        <v>44687</v>
      </c>
      <c r="C516" s="1" t="n">
        <v>45807</v>
      </c>
      <c r="D516" t="inlineStr">
        <is>
          <t>UPPSALA LÄN</t>
        </is>
      </c>
      <c r="E516" t="inlineStr">
        <is>
          <t>ÖSTHAMMAR</t>
        </is>
      </c>
      <c r="G516" t="n">
        <v>4.9</v>
      </c>
      <c r="H516" t="n">
        <v>0</v>
      </c>
      <c r="I516" t="n">
        <v>0</v>
      </c>
      <c r="J516" t="n">
        <v>0</v>
      </c>
      <c r="K516" t="n">
        <v>0</v>
      </c>
      <c r="L516" t="n">
        <v>0</v>
      </c>
      <c r="M516" t="n">
        <v>0</v>
      </c>
      <c r="N516" t="n">
        <v>0</v>
      </c>
      <c r="O516" t="n">
        <v>0</v>
      </c>
      <c r="P516" t="n">
        <v>0</v>
      </c>
      <c r="Q516" t="n">
        <v>0</v>
      </c>
      <c r="R516" s="2" t="inlineStr"/>
    </row>
    <row r="517" ht="15" customHeight="1">
      <c r="A517" t="inlineStr">
        <is>
          <t>A 18736-2022</t>
        </is>
      </c>
      <c r="B517" s="1" t="n">
        <v>44687</v>
      </c>
      <c r="C517" s="1" t="n">
        <v>45807</v>
      </c>
      <c r="D517" t="inlineStr">
        <is>
          <t>UPPSALA LÄN</t>
        </is>
      </c>
      <c r="E517" t="inlineStr">
        <is>
          <t>ÖSTHAMMAR</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19174-2022</t>
        </is>
      </c>
      <c r="B518" s="1" t="n">
        <v>44691</v>
      </c>
      <c r="C518" s="1" t="n">
        <v>45807</v>
      </c>
      <c r="D518" t="inlineStr">
        <is>
          <t>UPPSALA LÄN</t>
        </is>
      </c>
      <c r="E518" t="inlineStr">
        <is>
          <t>ÖSTHAMMAR</t>
        </is>
      </c>
      <c r="G518" t="n">
        <v>0.8</v>
      </c>
      <c r="H518" t="n">
        <v>0</v>
      </c>
      <c r="I518" t="n">
        <v>0</v>
      </c>
      <c r="J518" t="n">
        <v>0</v>
      </c>
      <c r="K518" t="n">
        <v>0</v>
      </c>
      <c r="L518" t="n">
        <v>0</v>
      </c>
      <c r="M518" t="n">
        <v>0</v>
      </c>
      <c r="N518" t="n">
        <v>0</v>
      </c>
      <c r="O518" t="n">
        <v>0</v>
      </c>
      <c r="P518" t="n">
        <v>0</v>
      </c>
      <c r="Q518" t="n">
        <v>0</v>
      </c>
      <c r="R518" s="2" t="inlineStr"/>
    </row>
    <row r="519" ht="15" customHeight="1">
      <c r="A519" t="inlineStr">
        <is>
          <t>A 19181-2022</t>
        </is>
      </c>
      <c r="B519" s="1" t="n">
        <v>44691</v>
      </c>
      <c r="C519" s="1" t="n">
        <v>45807</v>
      </c>
      <c r="D519" t="inlineStr">
        <is>
          <t>UPPSALA LÄN</t>
        </is>
      </c>
      <c r="E519" t="inlineStr">
        <is>
          <t>ÖSTHAMMAR</t>
        </is>
      </c>
      <c r="G519" t="n">
        <v>0.6</v>
      </c>
      <c r="H519" t="n">
        <v>0</v>
      </c>
      <c r="I519" t="n">
        <v>0</v>
      </c>
      <c r="J519" t="n">
        <v>0</v>
      </c>
      <c r="K519" t="n">
        <v>0</v>
      </c>
      <c r="L519" t="n">
        <v>0</v>
      </c>
      <c r="M519" t="n">
        <v>0</v>
      </c>
      <c r="N519" t="n">
        <v>0</v>
      </c>
      <c r="O519" t="n">
        <v>0</v>
      </c>
      <c r="P519" t="n">
        <v>0</v>
      </c>
      <c r="Q519" t="n">
        <v>0</v>
      </c>
      <c r="R519" s="2" t="inlineStr"/>
    </row>
    <row r="520" ht="15" customHeight="1">
      <c r="A520" t="inlineStr">
        <is>
          <t>A 19287-2022</t>
        </is>
      </c>
      <c r="B520" s="1" t="n">
        <v>44692</v>
      </c>
      <c r="C520" s="1" t="n">
        <v>45807</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19707-2022</t>
        </is>
      </c>
      <c r="B521" s="1" t="n">
        <v>44694</v>
      </c>
      <c r="C521" s="1" t="n">
        <v>45807</v>
      </c>
      <c r="D521" t="inlineStr">
        <is>
          <t>UPPSALA LÄN</t>
        </is>
      </c>
      <c r="E521" t="inlineStr">
        <is>
          <t>ÖSTHAMMAR</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20468-2022</t>
        </is>
      </c>
      <c r="B522" s="1" t="n">
        <v>44699</v>
      </c>
      <c r="C522" s="1" t="n">
        <v>45807</v>
      </c>
      <c r="D522" t="inlineStr">
        <is>
          <t>UPPSALA LÄN</t>
        </is>
      </c>
      <c r="E522" t="inlineStr">
        <is>
          <t>ÖSTHAMMAR</t>
        </is>
      </c>
      <c r="G522" t="n">
        <v>3.7</v>
      </c>
      <c r="H522" t="n">
        <v>0</v>
      </c>
      <c r="I522" t="n">
        <v>0</v>
      </c>
      <c r="J522" t="n">
        <v>0</v>
      </c>
      <c r="K522" t="n">
        <v>0</v>
      </c>
      <c r="L522" t="n">
        <v>0</v>
      </c>
      <c r="M522" t="n">
        <v>0</v>
      </c>
      <c r="N522" t="n">
        <v>0</v>
      </c>
      <c r="O522" t="n">
        <v>0</v>
      </c>
      <c r="P522" t="n">
        <v>0</v>
      </c>
      <c r="Q522" t="n">
        <v>0</v>
      </c>
      <c r="R522" s="2" t="inlineStr"/>
    </row>
    <row r="523" ht="15" customHeight="1">
      <c r="A523" t="inlineStr">
        <is>
          <t>A 21522-2022</t>
        </is>
      </c>
      <c r="B523" s="1" t="n">
        <v>44706</v>
      </c>
      <c r="C523" s="1" t="n">
        <v>45807</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21830-2022</t>
        </is>
      </c>
      <c r="B524" s="1" t="n">
        <v>44710</v>
      </c>
      <c r="C524" s="1" t="n">
        <v>45807</v>
      </c>
      <c r="D524" t="inlineStr">
        <is>
          <t>UPPSALA LÄN</t>
        </is>
      </c>
      <c r="E524" t="inlineStr">
        <is>
          <t>ÖSTHAMMAR</t>
        </is>
      </c>
      <c r="F524" t="inlineStr">
        <is>
          <t>Bergvik skog öst AB</t>
        </is>
      </c>
      <c r="G524" t="n">
        <v>3.6</v>
      </c>
      <c r="H524" t="n">
        <v>0</v>
      </c>
      <c r="I524" t="n">
        <v>0</v>
      </c>
      <c r="J524" t="n">
        <v>0</v>
      </c>
      <c r="K524" t="n">
        <v>0</v>
      </c>
      <c r="L524" t="n">
        <v>0</v>
      </c>
      <c r="M524" t="n">
        <v>0</v>
      </c>
      <c r="N524" t="n">
        <v>0</v>
      </c>
      <c r="O524" t="n">
        <v>0</v>
      </c>
      <c r="P524" t="n">
        <v>0</v>
      </c>
      <c r="Q524" t="n">
        <v>0</v>
      </c>
      <c r="R524" s="2" t="inlineStr"/>
    </row>
    <row r="525" ht="15" customHeight="1">
      <c r="A525" t="inlineStr">
        <is>
          <t>A 21829-2022</t>
        </is>
      </c>
      <c r="B525" s="1" t="n">
        <v>44710</v>
      </c>
      <c r="C525" s="1" t="n">
        <v>45807</v>
      </c>
      <c r="D525" t="inlineStr">
        <is>
          <t>UPPSALA LÄN</t>
        </is>
      </c>
      <c r="E525" t="inlineStr">
        <is>
          <t>ÖSTHAMMAR</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22207-2022</t>
        </is>
      </c>
      <c r="B526" s="1" t="n">
        <v>44712</v>
      </c>
      <c r="C526" s="1" t="n">
        <v>45807</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22619-2022</t>
        </is>
      </c>
      <c r="B527" s="1" t="n">
        <v>44714</v>
      </c>
      <c r="C527" s="1" t="n">
        <v>45807</v>
      </c>
      <c r="D527" t="inlineStr">
        <is>
          <t>UPPSALA LÄN</t>
        </is>
      </c>
      <c r="E527" t="inlineStr">
        <is>
          <t>ÖSTHAMMAR</t>
        </is>
      </c>
      <c r="G527" t="n">
        <v>0.7</v>
      </c>
      <c r="H527" t="n">
        <v>0</v>
      </c>
      <c r="I527" t="n">
        <v>0</v>
      </c>
      <c r="J527" t="n">
        <v>0</v>
      </c>
      <c r="K527" t="n">
        <v>0</v>
      </c>
      <c r="L527" t="n">
        <v>0</v>
      </c>
      <c r="M527" t="n">
        <v>0</v>
      </c>
      <c r="N527" t="n">
        <v>0</v>
      </c>
      <c r="O527" t="n">
        <v>0</v>
      </c>
      <c r="P527" t="n">
        <v>0</v>
      </c>
      <c r="Q527" t="n">
        <v>0</v>
      </c>
      <c r="R527" s="2" t="inlineStr"/>
    </row>
    <row r="528" ht="15" customHeight="1">
      <c r="A528" t="inlineStr">
        <is>
          <t>A 22804-2022</t>
        </is>
      </c>
      <c r="B528" s="1" t="n">
        <v>44715</v>
      </c>
      <c r="C528" s="1" t="n">
        <v>45807</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22887-2022</t>
        </is>
      </c>
      <c r="B529" s="1" t="n">
        <v>44715</v>
      </c>
      <c r="C529" s="1" t="n">
        <v>45807</v>
      </c>
      <c r="D529" t="inlineStr">
        <is>
          <t>UPPSALA LÄN</t>
        </is>
      </c>
      <c r="E529" t="inlineStr">
        <is>
          <t>ÖSTHAMMAR</t>
        </is>
      </c>
      <c r="G529" t="n">
        <v>0.2</v>
      </c>
      <c r="H529" t="n">
        <v>0</v>
      </c>
      <c r="I529" t="n">
        <v>0</v>
      </c>
      <c r="J529" t="n">
        <v>0</v>
      </c>
      <c r="K529" t="n">
        <v>0</v>
      </c>
      <c r="L529" t="n">
        <v>0</v>
      </c>
      <c r="M529" t="n">
        <v>0</v>
      </c>
      <c r="N529" t="n">
        <v>0</v>
      </c>
      <c r="O529" t="n">
        <v>0</v>
      </c>
      <c r="P529" t="n">
        <v>0</v>
      </c>
      <c r="Q529" t="n">
        <v>0</v>
      </c>
      <c r="R529" s="2" t="inlineStr"/>
    </row>
    <row r="530" ht="15" customHeight="1">
      <c r="A530" t="inlineStr">
        <is>
          <t>A 22945-2022</t>
        </is>
      </c>
      <c r="B530" s="1" t="n">
        <v>44715</v>
      </c>
      <c r="C530" s="1" t="n">
        <v>45807</v>
      </c>
      <c r="D530" t="inlineStr">
        <is>
          <t>UPPSALA LÄN</t>
        </is>
      </c>
      <c r="E530" t="inlineStr">
        <is>
          <t>ÖSTHAMMAR</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22993-2022</t>
        </is>
      </c>
      <c r="B531" s="1" t="n">
        <v>44718</v>
      </c>
      <c r="C531" s="1" t="n">
        <v>45807</v>
      </c>
      <c r="D531" t="inlineStr">
        <is>
          <t>UPPSALA LÄN</t>
        </is>
      </c>
      <c r="E531" t="inlineStr">
        <is>
          <t>ÖSTHAMMAR</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22994-2022</t>
        </is>
      </c>
      <c r="B532" s="1" t="n">
        <v>44718</v>
      </c>
      <c r="C532" s="1" t="n">
        <v>45807</v>
      </c>
      <c r="D532" t="inlineStr">
        <is>
          <t>UPPSALA LÄN</t>
        </is>
      </c>
      <c r="E532" t="inlineStr">
        <is>
          <t>ÖSTHAMMAR</t>
        </is>
      </c>
      <c r="F532" t="inlineStr">
        <is>
          <t>Bergvik skog öst AB</t>
        </is>
      </c>
      <c r="G532" t="n">
        <v>29.9</v>
      </c>
      <c r="H532" t="n">
        <v>0</v>
      </c>
      <c r="I532" t="n">
        <v>0</v>
      </c>
      <c r="J532" t="n">
        <v>0</v>
      </c>
      <c r="K532" t="n">
        <v>0</v>
      </c>
      <c r="L532" t="n">
        <v>0</v>
      </c>
      <c r="M532" t="n">
        <v>0</v>
      </c>
      <c r="N532" t="n">
        <v>0</v>
      </c>
      <c r="O532" t="n">
        <v>0</v>
      </c>
      <c r="P532" t="n">
        <v>0</v>
      </c>
      <c r="Q532" t="n">
        <v>0</v>
      </c>
      <c r="R532" s="2" t="inlineStr"/>
    </row>
    <row r="533" ht="15" customHeight="1">
      <c r="A533" t="inlineStr">
        <is>
          <t>A 23603-2022</t>
        </is>
      </c>
      <c r="B533" s="1" t="n">
        <v>44721</v>
      </c>
      <c r="C533" s="1" t="n">
        <v>45807</v>
      </c>
      <c r="D533" t="inlineStr">
        <is>
          <t>UPPSALA LÄN</t>
        </is>
      </c>
      <c r="E533" t="inlineStr">
        <is>
          <t>ÖSTHAMMAR</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24138-2022</t>
        </is>
      </c>
      <c r="B534" s="1" t="n">
        <v>44725</v>
      </c>
      <c r="C534" s="1" t="n">
        <v>45807</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24149-2022</t>
        </is>
      </c>
      <c r="B535" s="1" t="n">
        <v>44725</v>
      </c>
      <c r="C535" s="1" t="n">
        <v>45807</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24181-2022</t>
        </is>
      </c>
      <c r="B536" s="1" t="n">
        <v>44725</v>
      </c>
      <c r="C536" s="1" t="n">
        <v>45807</v>
      </c>
      <c r="D536" t="inlineStr">
        <is>
          <t>UPPSALA LÄN</t>
        </is>
      </c>
      <c r="E536" t="inlineStr">
        <is>
          <t>ÖSTHAMMAR</t>
        </is>
      </c>
      <c r="G536" t="n">
        <v>1.4</v>
      </c>
      <c r="H536" t="n">
        <v>0</v>
      </c>
      <c r="I536" t="n">
        <v>0</v>
      </c>
      <c r="J536" t="n">
        <v>0</v>
      </c>
      <c r="K536" t="n">
        <v>0</v>
      </c>
      <c r="L536" t="n">
        <v>0</v>
      </c>
      <c r="M536" t="n">
        <v>0</v>
      </c>
      <c r="N536" t="n">
        <v>0</v>
      </c>
      <c r="O536" t="n">
        <v>0</v>
      </c>
      <c r="P536" t="n">
        <v>0</v>
      </c>
      <c r="Q536" t="n">
        <v>0</v>
      </c>
      <c r="R536" s="2" t="inlineStr"/>
    </row>
    <row r="537" ht="15" customHeight="1">
      <c r="A537" t="inlineStr">
        <is>
          <t>A 24259-2022</t>
        </is>
      </c>
      <c r="B537" s="1" t="n">
        <v>44725</v>
      </c>
      <c r="C537" s="1" t="n">
        <v>45807</v>
      </c>
      <c r="D537" t="inlineStr">
        <is>
          <t>UPPSALA LÄN</t>
        </is>
      </c>
      <c r="E537" t="inlineStr">
        <is>
          <t>ÖSTHAMMAR</t>
        </is>
      </c>
      <c r="G537" t="n">
        <v>2.4</v>
      </c>
      <c r="H537" t="n">
        <v>0</v>
      </c>
      <c r="I537" t="n">
        <v>0</v>
      </c>
      <c r="J537" t="n">
        <v>0</v>
      </c>
      <c r="K537" t="n">
        <v>0</v>
      </c>
      <c r="L537" t="n">
        <v>0</v>
      </c>
      <c r="M537" t="n">
        <v>0</v>
      </c>
      <c r="N537" t="n">
        <v>0</v>
      </c>
      <c r="O537" t="n">
        <v>0</v>
      </c>
      <c r="P537" t="n">
        <v>0</v>
      </c>
      <c r="Q537" t="n">
        <v>0</v>
      </c>
      <c r="R537" s="2" t="inlineStr"/>
    </row>
    <row r="538" ht="15" customHeight="1">
      <c r="A538" t="inlineStr">
        <is>
          <t>A 24447-2022</t>
        </is>
      </c>
      <c r="B538" s="1" t="n">
        <v>44726</v>
      </c>
      <c r="C538" s="1" t="n">
        <v>45807</v>
      </c>
      <c r="D538" t="inlineStr">
        <is>
          <t>UPPSALA LÄN</t>
        </is>
      </c>
      <c r="E538" t="inlineStr">
        <is>
          <t>ÖSTHAMMAR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24367-2022</t>
        </is>
      </c>
      <c r="B539" s="1" t="n">
        <v>44726</v>
      </c>
      <c r="C539" s="1" t="n">
        <v>45807</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24817-2022</t>
        </is>
      </c>
      <c r="B540" s="1" t="n">
        <v>44728</v>
      </c>
      <c r="C540" s="1" t="n">
        <v>45807</v>
      </c>
      <c r="D540" t="inlineStr">
        <is>
          <t>UPPSALA LÄN</t>
        </is>
      </c>
      <c r="E540" t="inlineStr">
        <is>
          <t>ÖSTHAMMAR</t>
        </is>
      </c>
      <c r="F540" t="inlineStr">
        <is>
          <t>Sveaskog</t>
        </is>
      </c>
      <c r="G540" t="n">
        <v>0.2</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45807</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25418-2022</t>
        </is>
      </c>
      <c r="B542" s="1" t="n">
        <v>44732</v>
      </c>
      <c r="C542" s="1" t="n">
        <v>45807</v>
      </c>
      <c r="D542" t="inlineStr">
        <is>
          <t>UPPSALA LÄN</t>
        </is>
      </c>
      <c r="E542" t="inlineStr">
        <is>
          <t>ÖSTHAMMAR</t>
        </is>
      </c>
      <c r="G542" t="n">
        <v>2.8</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v>
      </c>
      <c r="C543" s="1" t="n">
        <v>45807</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26008-2022</t>
        </is>
      </c>
      <c r="B544" s="1" t="n">
        <v>44734</v>
      </c>
      <c r="C544" s="1" t="n">
        <v>45807</v>
      </c>
      <c r="D544" t="inlineStr">
        <is>
          <t>UPPSALA LÄN</t>
        </is>
      </c>
      <c r="E544" t="inlineStr">
        <is>
          <t>ÖSTHAMMAR</t>
        </is>
      </c>
      <c r="F544" t="inlineStr">
        <is>
          <t>Bergvik skog öst AB</t>
        </is>
      </c>
      <c r="G544" t="n">
        <v>8.4</v>
      </c>
      <c r="H544" t="n">
        <v>0</v>
      </c>
      <c r="I544" t="n">
        <v>0</v>
      </c>
      <c r="J544" t="n">
        <v>0</v>
      </c>
      <c r="K544" t="n">
        <v>0</v>
      </c>
      <c r="L544" t="n">
        <v>0</v>
      </c>
      <c r="M544" t="n">
        <v>0</v>
      </c>
      <c r="N544" t="n">
        <v>0</v>
      </c>
      <c r="O544" t="n">
        <v>0</v>
      </c>
      <c r="P544" t="n">
        <v>0</v>
      </c>
      <c r="Q544" t="n">
        <v>0</v>
      </c>
      <c r="R544" s="2" t="inlineStr"/>
    </row>
    <row r="545" ht="15" customHeight="1">
      <c r="A545" t="inlineStr">
        <is>
          <t>A 25987-2022</t>
        </is>
      </c>
      <c r="B545" s="1" t="n">
        <v>44734</v>
      </c>
      <c r="C545" s="1" t="n">
        <v>45807</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25983-2022</t>
        </is>
      </c>
      <c r="B546" s="1" t="n">
        <v>44734</v>
      </c>
      <c r="C546" s="1" t="n">
        <v>45807</v>
      </c>
      <c r="D546" t="inlineStr">
        <is>
          <t>UPPSALA LÄN</t>
        </is>
      </c>
      <c r="E546" t="inlineStr">
        <is>
          <t>ÖSTHAMMAR</t>
        </is>
      </c>
      <c r="G546" t="n">
        <v>4.7</v>
      </c>
      <c r="H546" t="n">
        <v>0</v>
      </c>
      <c r="I546" t="n">
        <v>0</v>
      </c>
      <c r="J546" t="n">
        <v>0</v>
      </c>
      <c r="K546" t="n">
        <v>0</v>
      </c>
      <c r="L546" t="n">
        <v>0</v>
      </c>
      <c r="M546" t="n">
        <v>0</v>
      </c>
      <c r="N546" t="n">
        <v>0</v>
      </c>
      <c r="O546" t="n">
        <v>0</v>
      </c>
      <c r="P546" t="n">
        <v>0</v>
      </c>
      <c r="Q546" t="n">
        <v>0</v>
      </c>
      <c r="R546" s="2" t="inlineStr"/>
    </row>
    <row r="547" ht="15" customHeight="1">
      <c r="A547" t="inlineStr">
        <is>
          <t>A 26004-2022</t>
        </is>
      </c>
      <c r="B547" s="1" t="n">
        <v>44734</v>
      </c>
      <c r="C547" s="1" t="n">
        <v>45807</v>
      </c>
      <c r="D547" t="inlineStr">
        <is>
          <t>UPPSALA LÄN</t>
        </is>
      </c>
      <c r="E547" t="inlineStr">
        <is>
          <t>ÖSTHAMMAR</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26534-2022</t>
        </is>
      </c>
      <c r="B548" s="1" t="n">
        <v>44739</v>
      </c>
      <c r="C548" s="1" t="n">
        <v>45807</v>
      </c>
      <c r="D548" t="inlineStr">
        <is>
          <t>UPPSALA LÄN</t>
        </is>
      </c>
      <c r="E548" t="inlineStr">
        <is>
          <t>ÖSTHAMMAR</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26552-2022</t>
        </is>
      </c>
      <c r="B549" s="1" t="n">
        <v>44739</v>
      </c>
      <c r="C549" s="1" t="n">
        <v>45807</v>
      </c>
      <c r="D549" t="inlineStr">
        <is>
          <t>UPPSALA LÄN</t>
        </is>
      </c>
      <c r="E549" t="inlineStr">
        <is>
          <t>ÖSTHAMMAR</t>
        </is>
      </c>
      <c r="G549" t="n">
        <v>2.2</v>
      </c>
      <c r="H549" t="n">
        <v>0</v>
      </c>
      <c r="I549" t="n">
        <v>0</v>
      </c>
      <c r="J549" t="n">
        <v>0</v>
      </c>
      <c r="K549" t="n">
        <v>0</v>
      </c>
      <c r="L549" t="n">
        <v>0</v>
      </c>
      <c r="M549" t="n">
        <v>0</v>
      </c>
      <c r="N549" t="n">
        <v>0</v>
      </c>
      <c r="O549" t="n">
        <v>0</v>
      </c>
      <c r="P549" t="n">
        <v>0</v>
      </c>
      <c r="Q549" t="n">
        <v>0</v>
      </c>
      <c r="R549" s="2" t="inlineStr"/>
    </row>
    <row r="550" ht="15" customHeight="1">
      <c r="A550" t="inlineStr">
        <is>
          <t>A 26561-2022</t>
        </is>
      </c>
      <c r="B550" s="1" t="n">
        <v>44739</v>
      </c>
      <c r="C550" s="1" t="n">
        <v>45807</v>
      </c>
      <c r="D550" t="inlineStr">
        <is>
          <t>UPPSALA LÄN</t>
        </is>
      </c>
      <c r="E550" t="inlineStr">
        <is>
          <t>ÖSTHAMMAR</t>
        </is>
      </c>
      <c r="G550" t="n">
        <v>3.7</v>
      </c>
      <c r="H550" t="n">
        <v>0</v>
      </c>
      <c r="I550" t="n">
        <v>0</v>
      </c>
      <c r="J550" t="n">
        <v>0</v>
      </c>
      <c r="K550" t="n">
        <v>0</v>
      </c>
      <c r="L550" t="n">
        <v>0</v>
      </c>
      <c r="M550" t="n">
        <v>0</v>
      </c>
      <c r="N550" t="n">
        <v>0</v>
      </c>
      <c r="O550" t="n">
        <v>0</v>
      </c>
      <c r="P550" t="n">
        <v>0</v>
      </c>
      <c r="Q550" t="n">
        <v>0</v>
      </c>
      <c r="R550" s="2" t="inlineStr"/>
    </row>
    <row r="551" ht="15" customHeight="1">
      <c r="A551" t="inlineStr">
        <is>
          <t>A 28228-2022</t>
        </is>
      </c>
      <c r="B551" s="1" t="n">
        <v>44746</v>
      </c>
      <c r="C551" s="1" t="n">
        <v>45807</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29753-2022</t>
        </is>
      </c>
      <c r="B552" s="1" t="n">
        <v>44755</v>
      </c>
      <c r="C552" s="1" t="n">
        <v>45807</v>
      </c>
      <c r="D552" t="inlineStr">
        <is>
          <t>UPPSALA LÄN</t>
        </is>
      </c>
      <c r="E552" t="inlineStr">
        <is>
          <t>ÖSTHAMMAR</t>
        </is>
      </c>
      <c r="G552" t="n">
        <v>9.4</v>
      </c>
      <c r="H552" t="n">
        <v>0</v>
      </c>
      <c r="I552" t="n">
        <v>0</v>
      </c>
      <c r="J552" t="n">
        <v>0</v>
      </c>
      <c r="K552" t="n">
        <v>0</v>
      </c>
      <c r="L552" t="n">
        <v>0</v>
      </c>
      <c r="M552" t="n">
        <v>0</v>
      </c>
      <c r="N552" t="n">
        <v>0</v>
      </c>
      <c r="O552" t="n">
        <v>0</v>
      </c>
      <c r="P552" t="n">
        <v>0</v>
      </c>
      <c r="Q552" t="n">
        <v>0</v>
      </c>
      <c r="R552" s="2" t="inlineStr"/>
    </row>
    <row r="553" ht="15" customHeight="1">
      <c r="A553" t="inlineStr">
        <is>
          <t>A 30212-2022</t>
        </is>
      </c>
      <c r="B553" s="1" t="n">
        <v>44757</v>
      </c>
      <c r="C553" s="1" t="n">
        <v>45807</v>
      </c>
      <c r="D553" t="inlineStr">
        <is>
          <t>UPPSALA LÄN</t>
        </is>
      </c>
      <c r="E553" t="inlineStr">
        <is>
          <t>ÖSTHAMMAR</t>
        </is>
      </c>
      <c r="F553" t="inlineStr">
        <is>
          <t>Bergvik skog öst AB</t>
        </is>
      </c>
      <c r="G553" t="n">
        <v>13.6</v>
      </c>
      <c r="H553" t="n">
        <v>0</v>
      </c>
      <c r="I553" t="n">
        <v>0</v>
      </c>
      <c r="J553" t="n">
        <v>0</v>
      </c>
      <c r="K553" t="n">
        <v>0</v>
      </c>
      <c r="L553" t="n">
        <v>0</v>
      </c>
      <c r="M553" t="n">
        <v>0</v>
      </c>
      <c r="N553" t="n">
        <v>0</v>
      </c>
      <c r="O553" t="n">
        <v>0</v>
      </c>
      <c r="P553" t="n">
        <v>0</v>
      </c>
      <c r="Q553" t="n">
        <v>0</v>
      </c>
      <c r="R553" s="2" t="inlineStr"/>
    </row>
    <row r="554" ht="15" customHeight="1">
      <c r="A554" t="inlineStr">
        <is>
          <t>A 30209-2022</t>
        </is>
      </c>
      <c r="B554" s="1" t="n">
        <v>44757</v>
      </c>
      <c r="C554" s="1" t="n">
        <v>45807</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30549-2022</t>
        </is>
      </c>
      <c r="B555" s="1" t="n">
        <v>44762</v>
      </c>
      <c r="C555" s="1" t="n">
        <v>45807</v>
      </c>
      <c r="D555" t="inlineStr">
        <is>
          <t>UPPSALA LÄN</t>
        </is>
      </c>
      <c r="E555" t="inlineStr">
        <is>
          <t>ÖSTHAMMAR</t>
        </is>
      </c>
      <c r="F555" t="inlineStr">
        <is>
          <t>Bergvik skog öst AB</t>
        </is>
      </c>
      <c r="G555" t="n">
        <v>6.2</v>
      </c>
      <c r="H555" t="n">
        <v>0</v>
      </c>
      <c r="I555" t="n">
        <v>0</v>
      </c>
      <c r="J555" t="n">
        <v>0</v>
      </c>
      <c r="K555" t="n">
        <v>0</v>
      </c>
      <c r="L555" t="n">
        <v>0</v>
      </c>
      <c r="M555" t="n">
        <v>0</v>
      </c>
      <c r="N555" t="n">
        <v>0</v>
      </c>
      <c r="O555" t="n">
        <v>0</v>
      </c>
      <c r="P555" t="n">
        <v>0</v>
      </c>
      <c r="Q555" t="n">
        <v>0</v>
      </c>
      <c r="R555" s="2" t="inlineStr"/>
    </row>
    <row r="556" ht="15" customHeight="1">
      <c r="A556" t="inlineStr">
        <is>
          <t>A 31027-2022</t>
        </is>
      </c>
      <c r="B556" s="1" t="n">
        <v>44768</v>
      </c>
      <c r="C556" s="1" t="n">
        <v>45807</v>
      </c>
      <c r="D556" t="inlineStr">
        <is>
          <t>UPPSALA LÄN</t>
        </is>
      </c>
      <c r="E556" t="inlineStr">
        <is>
          <t>ÖSTHAMMAR</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31035-2022</t>
        </is>
      </c>
      <c r="B557" s="1" t="n">
        <v>44768</v>
      </c>
      <c r="C557" s="1" t="n">
        <v>45807</v>
      </c>
      <c r="D557" t="inlineStr">
        <is>
          <t>UPPSALA LÄN</t>
        </is>
      </c>
      <c r="E557" t="inlineStr">
        <is>
          <t>ÖSTHAMMAR</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31026-2022</t>
        </is>
      </c>
      <c r="B558" s="1" t="n">
        <v>44768</v>
      </c>
      <c r="C558" s="1" t="n">
        <v>45807</v>
      </c>
      <c r="D558" t="inlineStr">
        <is>
          <t>UPPSALA LÄN</t>
        </is>
      </c>
      <c r="E558" t="inlineStr">
        <is>
          <t>ÖSTHAMMAR</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31182-2022</t>
        </is>
      </c>
      <c r="B559" s="1" t="n">
        <v>44770</v>
      </c>
      <c r="C559" s="1" t="n">
        <v>45807</v>
      </c>
      <c r="D559" t="inlineStr">
        <is>
          <t>UPPSALA LÄN</t>
        </is>
      </c>
      <c r="E559" t="inlineStr">
        <is>
          <t>ÖSTHAMMAR</t>
        </is>
      </c>
      <c r="F559" t="inlineStr">
        <is>
          <t>Bergvik skog öst AB</t>
        </is>
      </c>
      <c r="G559" t="n">
        <v>0.3</v>
      </c>
      <c r="H559" t="n">
        <v>0</v>
      </c>
      <c r="I559" t="n">
        <v>0</v>
      </c>
      <c r="J559" t="n">
        <v>0</v>
      </c>
      <c r="K559" t="n">
        <v>0</v>
      </c>
      <c r="L559" t="n">
        <v>0</v>
      </c>
      <c r="M559" t="n">
        <v>0</v>
      </c>
      <c r="N559" t="n">
        <v>0</v>
      </c>
      <c r="O559" t="n">
        <v>0</v>
      </c>
      <c r="P559" t="n">
        <v>0</v>
      </c>
      <c r="Q559" t="n">
        <v>0</v>
      </c>
      <c r="R559" s="2" t="inlineStr"/>
    </row>
    <row r="560" ht="15" customHeight="1">
      <c r="A560" t="inlineStr">
        <is>
          <t>A 31140-2022</t>
        </is>
      </c>
      <c r="B560" s="1" t="n">
        <v>44770</v>
      </c>
      <c r="C560" s="1" t="n">
        <v>45807</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31137-2022</t>
        </is>
      </c>
      <c r="B561" s="1" t="n">
        <v>44770</v>
      </c>
      <c r="C561" s="1" t="n">
        <v>45807</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31282-2022</t>
        </is>
      </c>
      <c r="B562" s="1" t="n">
        <v>44771</v>
      </c>
      <c r="C562" s="1" t="n">
        <v>45807</v>
      </c>
      <c r="D562" t="inlineStr">
        <is>
          <t>UPPSALA LÄN</t>
        </is>
      </c>
      <c r="E562" t="inlineStr">
        <is>
          <t>ÖSTHAMMAR</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31574-2022</t>
        </is>
      </c>
      <c r="B563" s="1" t="n">
        <v>44775</v>
      </c>
      <c r="C563" s="1" t="n">
        <v>45807</v>
      </c>
      <c r="D563" t="inlineStr">
        <is>
          <t>UPPSALA LÄN</t>
        </is>
      </c>
      <c r="E563" t="inlineStr">
        <is>
          <t>ÖSTHAMMAR</t>
        </is>
      </c>
      <c r="G563" t="n">
        <v>29.7</v>
      </c>
      <c r="H563" t="n">
        <v>0</v>
      </c>
      <c r="I563" t="n">
        <v>0</v>
      </c>
      <c r="J563" t="n">
        <v>0</v>
      </c>
      <c r="K563" t="n">
        <v>0</v>
      </c>
      <c r="L563" t="n">
        <v>0</v>
      </c>
      <c r="M563" t="n">
        <v>0</v>
      </c>
      <c r="N563" t="n">
        <v>0</v>
      </c>
      <c r="O563" t="n">
        <v>0</v>
      </c>
      <c r="P563" t="n">
        <v>0</v>
      </c>
      <c r="Q563" t="n">
        <v>0</v>
      </c>
      <c r="R563" s="2" t="inlineStr"/>
    </row>
    <row r="564" ht="15" customHeight="1">
      <c r="A564" t="inlineStr">
        <is>
          <t>A 31549-2022</t>
        </is>
      </c>
      <c r="B564" s="1" t="n">
        <v>44775</v>
      </c>
      <c r="C564" s="1" t="n">
        <v>45807</v>
      </c>
      <c r="D564" t="inlineStr">
        <is>
          <t>UPPSALA LÄN</t>
        </is>
      </c>
      <c r="E564" t="inlineStr">
        <is>
          <t>ÖSTHAMMAR</t>
        </is>
      </c>
      <c r="G564" t="n">
        <v>1.5</v>
      </c>
      <c r="H564" t="n">
        <v>0</v>
      </c>
      <c r="I564" t="n">
        <v>0</v>
      </c>
      <c r="J564" t="n">
        <v>0</v>
      </c>
      <c r="K564" t="n">
        <v>0</v>
      </c>
      <c r="L564" t="n">
        <v>0</v>
      </c>
      <c r="M564" t="n">
        <v>0</v>
      </c>
      <c r="N564" t="n">
        <v>0</v>
      </c>
      <c r="O564" t="n">
        <v>0</v>
      </c>
      <c r="P564" t="n">
        <v>0</v>
      </c>
      <c r="Q564" t="n">
        <v>0</v>
      </c>
      <c r="R564" s="2" t="inlineStr"/>
    </row>
    <row r="565" ht="15" customHeight="1">
      <c r="A565" t="inlineStr">
        <is>
          <t>A 31669-2022</t>
        </is>
      </c>
      <c r="B565" s="1" t="n">
        <v>44775</v>
      </c>
      <c r="C565" s="1" t="n">
        <v>45807</v>
      </c>
      <c r="D565" t="inlineStr">
        <is>
          <t>UPPSALA LÄN</t>
        </is>
      </c>
      <c r="E565" t="inlineStr">
        <is>
          <t>ÖSTHAMMAR</t>
        </is>
      </c>
      <c r="G565" t="n">
        <v>6</v>
      </c>
      <c r="H565" t="n">
        <v>0</v>
      </c>
      <c r="I565" t="n">
        <v>0</v>
      </c>
      <c r="J565" t="n">
        <v>0</v>
      </c>
      <c r="K565" t="n">
        <v>0</v>
      </c>
      <c r="L565" t="n">
        <v>0</v>
      </c>
      <c r="M565" t="n">
        <v>0</v>
      </c>
      <c r="N565" t="n">
        <v>0</v>
      </c>
      <c r="O565" t="n">
        <v>0</v>
      </c>
      <c r="P565" t="n">
        <v>0</v>
      </c>
      <c r="Q565" t="n">
        <v>0</v>
      </c>
      <c r="R565" s="2" t="inlineStr"/>
    </row>
    <row r="566" ht="15" customHeight="1">
      <c r="A566" t="inlineStr">
        <is>
          <t>A 32678-2022</t>
        </is>
      </c>
      <c r="B566" s="1" t="n">
        <v>44783</v>
      </c>
      <c r="C566" s="1" t="n">
        <v>45807</v>
      </c>
      <c r="D566" t="inlineStr">
        <is>
          <t>UPPSALA LÄN</t>
        </is>
      </c>
      <c r="E566" t="inlineStr">
        <is>
          <t>ÖSTHAMMAR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32742-2022</t>
        </is>
      </c>
      <c r="B567" s="1" t="n">
        <v>44783</v>
      </c>
      <c r="C567" s="1" t="n">
        <v>45807</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32744-2022</t>
        </is>
      </c>
      <c r="B568" s="1" t="n">
        <v>44783</v>
      </c>
      <c r="C568" s="1" t="n">
        <v>45807</v>
      </c>
      <c r="D568" t="inlineStr">
        <is>
          <t>UPPSALA LÄN</t>
        </is>
      </c>
      <c r="E568" t="inlineStr">
        <is>
          <t>ÖSTHAMMAR</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34418-2022</t>
        </is>
      </c>
      <c r="B569" s="1" t="n">
        <v>44792</v>
      </c>
      <c r="C569" s="1" t="n">
        <v>45807</v>
      </c>
      <c r="D569" t="inlineStr">
        <is>
          <t>UPPSALA LÄN</t>
        </is>
      </c>
      <c r="E569" t="inlineStr">
        <is>
          <t>ÖSTHAMMAR</t>
        </is>
      </c>
      <c r="G569" t="n">
        <v>0.3</v>
      </c>
      <c r="H569" t="n">
        <v>0</v>
      </c>
      <c r="I569" t="n">
        <v>0</v>
      </c>
      <c r="J569" t="n">
        <v>0</v>
      </c>
      <c r="K569" t="n">
        <v>0</v>
      </c>
      <c r="L569" t="n">
        <v>0</v>
      </c>
      <c r="M569" t="n">
        <v>0</v>
      </c>
      <c r="N569" t="n">
        <v>0</v>
      </c>
      <c r="O569" t="n">
        <v>0</v>
      </c>
      <c r="P569" t="n">
        <v>0</v>
      </c>
      <c r="Q569" t="n">
        <v>0</v>
      </c>
      <c r="R569" s="2" t="inlineStr"/>
    </row>
    <row r="570" ht="15" customHeight="1">
      <c r="A570" t="inlineStr">
        <is>
          <t>A 34742-2022</t>
        </is>
      </c>
      <c r="B570" s="1" t="n">
        <v>44795</v>
      </c>
      <c r="C570" s="1" t="n">
        <v>45807</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34971-2022</t>
        </is>
      </c>
      <c r="B571" s="1" t="n">
        <v>44796</v>
      </c>
      <c r="C571" s="1" t="n">
        <v>45807</v>
      </c>
      <c r="D571" t="inlineStr">
        <is>
          <t>UPPSALA LÄN</t>
        </is>
      </c>
      <c r="E571" t="inlineStr">
        <is>
          <t>ÖSTHAMMAR</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34994-2022</t>
        </is>
      </c>
      <c r="B572" s="1" t="n">
        <v>44796</v>
      </c>
      <c r="C572" s="1" t="n">
        <v>45807</v>
      </c>
      <c r="D572" t="inlineStr">
        <is>
          <t>UPPSALA LÄN</t>
        </is>
      </c>
      <c r="E572" t="inlineStr">
        <is>
          <t>ÖSTHAMMAR</t>
        </is>
      </c>
      <c r="F572" t="inlineStr">
        <is>
          <t>Bergvik skog öst AB</t>
        </is>
      </c>
      <c r="G572" t="n">
        <v>3.7</v>
      </c>
      <c r="H572" t="n">
        <v>0</v>
      </c>
      <c r="I572" t="n">
        <v>0</v>
      </c>
      <c r="J572" t="n">
        <v>0</v>
      </c>
      <c r="K572" t="n">
        <v>0</v>
      </c>
      <c r="L572" t="n">
        <v>0</v>
      </c>
      <c r="M572" t="n">
        <v>0</v>
      </c>
      <c r="N572" t="n">
        <v>0</v>
      </c>
      <c r="O572" t="n">
        <v>0</v>
      </c>
      <c r="P572" t="n">
        <v>0</v>
      </c>
      <c r="Q572" t="n">
        <v>0</v>
      </c>
      <c r="R572" s="2" t="inlineStr"/>
    </row>
    <row r="573" ht="15" customHeight="1">
      <c r="A573" t="inlineStr">
        <is>
          <t>A 36343-2022</t>
        </is>
      </c>
      <c r="B573" s="1" t="n">
        <v>44803</v>
      </c>
      <c r="C573" s="1" t="n">
        <v>45807</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36873-2022</t>
        </is>
      </c>
      <c r="B574" s="1" t="n">
        <v>44805</v>
      </c>
      <c r="C574" s="1" t="n">
        <v>45807</v>
      </c>
      <c r="D574" t="inlineStr">
        <is>
          <t>UPPSALA LÄN</t>
        </is>
      </c>
      <c r="E574" t="inlineStr">
        <is>
          <t>ÖSTHAMMAR</t>
        </is>
      </c>
      <c r="G574" t="n">
        <v>2.5</v>
      </c>
      <c r="H574" t="n">
        <v>0</v>
      </c>
      <c r="I574" t="n">
        <v>0</v>
      </c>
      <c r="J574" t="n">
        <v>0</v>
      </c>
      <c r="K574" t="n">
        <v>0</v>
      </c>
      <c r="L574" t="n">
        <v>0</v>
      </c>
      <c r="M574" t="n">
        <v>0</v>
      </c>
      <c r="N574" t="n">
        <v>0</v>
      </c>
      <c r="O574" t="n">
        <v>0</v>
      </c>
      <c r="P574" t="n">
        <v>0</v>
      </c>
      <c r="Q574" t="n">
        <v>0</v>
      </c>
      <c r="R574" s="2" t="inlineStr"/>
    </row>
    <row r="575" ht="15" customHeight="1">
      <c r="A575" t="inlineStr">
        <is>
          <t>A 37545-2022</t>
        </is>
      </c>
      <c r="B575" s="1" t="n">
        <v>44809</v>
      </c>
      <c r="C575" s="1" t="n">
        <v>45807</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37570-2022</t>
        </is>
      </c>
      <c r="B576" s="1" t="n">
        <v>44809</v>
      </c>
      <c r="C576" s="1" t="n">
        <v>45807</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37813-2022</t>
        </is>
      </c>
      <c r="B577" s="1" t="n">
        <v>44810</v>
      </c>
      <c r="C577" s="1" t="n">
        <v>45807</v>
      </c>
      <c r="D577" t="inlineStr">
        <is>
          <t>UPPSALA LÄN</t>
        </is>
      </c>
      <c r="E577" t="inlineStr">
        <is>
          <t>ÖSTHAMMAR</t>
        </is>
      </c>
      <c r="G577" t="n">
        <v>0.5</v>
      </c>
      <c r="H577" t="n">
        <v>0</v>
      </c>
      <c r="I577" t="n">
        <v>0</v>
      </c>
      <c r="J577" t="n">
        <v>0</v>
      </c>
      <c r="K577" t="n">
        <v>0</v>
      </c>
      <c r="L577" t="n">
        <v>0</v>
      </c>
      <c r="M577" t="n">
        <v>0</v>
      </c>
      <c r="N577" t="n">
        <v>0</v>
      </c>
      <c r="O577" t="n">
        <v>0</v>
      </c>
      <c r="P577" t="n">
        <v>0</v>
      </c>
      <c r="Q577" t="n">
        <v>0</v>
      </c>
      <c r="R577" s="2" t="inlineStr"/>
    </row>
    <row r="578" ht="15" customHeight="1">
      <c r="A578" t="inlineStr">
        <is>
          <t>A 37812-2022</t>
        </is>
      </c>
      <c r="B578" s="1" t="n">
        <v>44810</v>
      </c>
      <c r="C578" s="1" t="n">
        <v>45807</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38501-2022</t>
        </is>
      </c>
      <c r="B579" s="1" t="n">
        <v>44813</v>
      </c>
      <c r="C579" s="1" t="n">
        <v>45807</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38702-2022</t>
        </is>
      </c>
      <c r="B580" s="1" t="n">
        <v>44814</v>
      </c>
      <c r="C580" s="1" t="n">
        <v>45807</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39480-2022</t>
        </is>
      </c>
      <c r="B581" s="1" t="n">
        <v>44818</v>
      </c>
      <c r="C581" s="1" t="n">
        <v>45807</v>
      </c>
      <c r="D581" t="inlineStr">
        <is>
          <t>UPPSALA LÄN</t>
        </is>
      </c>
      <c r="E581" t="inlineStr">
        <is>
          <t>ÖSTHAMMAR</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40336-2022</t>
        </is>
      </c>
      <c r="B582" s="1" t="n">
        <v>44823</v>
      </c>
      <c r="C582" s="1" t="n">
        <v>45807</v>
      </c>
      <c r="D582" t="inlineStr">
        <is>
          <t>UPPSALA LÄN</t>
        </is>
      </c>
      <c r="E582" t="inlineStr">
        <is>
          <t>ÖSTHAMMAR</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40637-2022</t>
        </is>
      </c>
      <c r="B583" s="1" t="n">
        <v>44824</v>
      </c>
      <c r="C583" s="1" t="n">
        <v>45807</v>
      </c>
      <c r="D583" t="inlineStr">
        <is>
          <t>UPPSALA LÄN</t>
        </is>
      </c>
      <c r="E583" t="inlineStr">
        <is>
          <t>ÖSTHAMMAR</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40681-2022</t>
        </is>
      </c>
      <c r="B584" s="1" t="n">
        <v>44824</v>
      </c>
      <c r="C584" s="1" t="n">
        <v>45807</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41033-2022</t>
        </is>
      </c>
      <c r="B585" s="1" t="n">
        <v>44825</v>
      </c>
      <c r="C585" s="1" t="n">
        <v>45807</v>
      </c>
      <c r="D585" t="inlineStr">
        <is>
          <t>UPPSALA LÄN</t>
        </is>
      </c>
      <c r="E585" t="inlineStr">
        <is>
          <t>ÖSTHAMMAR</t>
        </is>
      </c>
      <c r="F585" t="inlineStr">
        <is>
          <t>Kyrkan</t>
        </is>
      </c>
      <c r="G585" t="n">
        <v>0.7</v>
      </c>
      <c r="H585" t="n">
        <v>0</v>
      </c>
      <c r="I585" t="n">
        <v>0</v>
      </c>
      <c r="J585" t="n">
        <v>0</v>
      </c>
      <c r="K585" t="n">
        <v>0</v>
      </c>
      <c r="L585" t="n">
        <v>0</v>
      </c>
      <c r="M585" t="n">
        <v>0</v>
      </c>
      <c r="N585" t="n">
        <v>0</v>
      </c>
      <c r="O585" t="n">
        <v>0</v>
      </c>
      <c r="P585" t="n">
        <v>0</v>
      </c>
      <c r="Q585" t="n">
        <v>0</v>
      </c>
      <c r="R585" s="2" t="inlineStr"/>
    </row>
    <row r="586" ht="15" customHeight="1">
      <c r="A586" t="inlineStr">
        <is>
          <t>A 41423-2022</t>
        </is>
      </c>
      <c r="B586" s="1" t="n">
        <v>44826</v>
      </c>
      <c r="C586" s="1" t="n">
        <v>45807</v>
      </c>
      <c r="D586" t="inlineStr">
        <is>
          <t>UPPSALA LÄN</t>
        </is>
      </c>
      <c r="E586" t="inlineStr">
        <is>
          <t>ÖSTHAMMAR</t>
        </is>
      </c>
      <c r="F586" t="inlineStr">
        <is>
          <t>Övriga Aktiebolag</t>
        </is>
      </c>
      <c r="G586" t="n">
        <v>1.6</v>
      </c>
      <c r="H586" t="n">
        <v>0</v>
      </c>
      <c r="I586" t="n">
        <v>0</v>
      </c>
      <c r="J586" t="n">
        <v>0</v>
      </c>
      <c r="K586" t="n">
        <v>0</v>
      </c>
      <c r="L586" t="n">
        <v>0</v>
      </c>
      <c r="M586" t="n">
        <v>0</v>
      </c>
      <c r="N586" t="n">
        <v>0</v>
      </c>
      <c r="O586" t="n">
        <v>0</v>
      </c>
      <c r="P586" t="n">
        <v>0</v>
      </c>
      <c r="Q586" t="n">
        <v>0</v>
      </c>
      <c r="R586" s="2" t="inlineStr"/>
    </row>
    <row r="587" ht="15" customHeight="1">
      <c r="A587" t="inlineStr">
        <is>
          <t>A 44020-2022</t>
        </is>
      </c>
      <c r="B587" s="1" t="n">
        <v>44838</v>
      </c>
      <c r="C587" s="1" t="n">
        <v>45807</v>
      </c>
      <c r="D587" t="inlineStr">
        <is>
          <t>UPPSALA LÄN</t>
        </is>
      </c>
      <c r="E587" t="inlineStr">
        <is>
          <t>ÖSTHAMMAR</t>
        </is>
      </c>
      <c r="F587" t="inlineStr">
        <is>
          <t>Bergvik skog öst AB</t>
        </is>
      </c>
      <c r="G587" t="n">
        <v>12.1</v>
      </c>
      <c r="H587" t="n">
        <v>0</v>
      </c>
      <c r="I587" t="n">
        <v>0</v>
      </c>
      <c r="J587" t="n">
        <v>0</v>
      </c>
      <c r="K587" t="n">
        <v>0</v>
      </c>
      <c r="L587" t="n">
        <v>0</v>
      </c>
      <c r="M587" t="n">
        <v>0</v>
      </c>
      <c r="N587" t="n">
        <v>0</v>
      </c>
      <c r="O587" t="n">
        <v>0</v>
      </c>
      <c r="P587" t="n">
        <v>0</v>
      </c>
      <c r="Q587" t="n">
        <v>0</v>
      </c>
      <c r="R587" s="2" t="inlineStr"/>
    </row>
    <row r="588" ht="15" customHeight="1">
      <c r="A588" t="inlineStr">
        <is>
          <t>A 44019-2022</t>
        </is>
      </c>
      <c r="B588" s="1" t="n">
        <v>44838</v>
      </c>
      <c r="C588" s="1" t="n">
        <v>45807</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44354-2022</t>
        </is>
      </c>
      <c r="B589" s="1" t="n">
        <v>44839</v>
      </c>
      <c r="C589" s="1" t="n">
        <v>45807</v>
      </c>
      <c r="D589" t="inlineStr">
        <is>
          <t>UPPSALA LÄN</t>
        </is>
      </c>
      <c r="E589" t="inlineStr">
        <is>
          <t>ÖSTHAMMAR</t>
        </is>
      </c>
      <c r="G589" t="n">
        <v>5.4</v>
      </c>
      <c r="H589" t="n">
        <v>0</v>
      </c>
      <c r="I589" t="n">
        <v>0</v>
      </c>
      <c r="J589" t="n">
        <v>0</v>
      </c>
      <c r="K589" t="n">
        <v>0</v>
      </c>
      <c r="L589" t="n">
        <v>0</v>
      </c>
      <c r="M589" t="n">
        <v>0</v>
      </c>
      <c r="N589" t="n">
        <v>0</v>
      </c>
      <c r="O589" t="n">
        <v>0</v>
      </c>
      <c r="P589" t="n">
        <v>0</v>
      </c>
      <c r="Q589" t="n">
        <v>0</v>
      </c>
      <c r="R589" s="2" t="inlineStr"/>
    </row>
    <row r="590" ht="15" customHeight="1">
      <c r="A590" t="inlineStr">
        <is>
          <t>A 44366-2022</t>
        </is>
      </c>
      <c r="B590" s="1" t="n">
        <v>44839</v>
      </c>
      <c r="C590" s="1" t="n">
        <v>45807</v>
      </c>
      <c r="D590" t="inlineStr">
        <is>
          <t>UPPSALA LÄN</t>
        </is>
      </c>
      <c r="E590" t="inlineStr">
        <is>
          <t>ÖSTHAMMAR</t>
        </is>
      </c>
      <c r="G590" t="n">
        <v>8.1</v>
      </c>
      <c r="H590" t="n">
        <v>0</v>
      </c>
      <c r="I590" t="n">
        <v>0</v>
      </c>
      <c r="J590" t="n">
        <v>0</v>
      </c>
      <c r="K590" t="n">
        <v>0</v>
      </c>
      <c r="L590" t="n">
        <v>0</v>
      </c>
      <c r="M590" t="n">
        <v>0</v>
      </c>
      <c r="N590" t="n">
        <v>0</v>
      </c>
      <c r="O590" t="n">
        <v>0</v>
      </c>
      <c r="P590" t="n">
        <v>0</v>
      </c>
      <c r="Q590" t="n">
        <v>0</v>
      </c>
      <c r="R590" s="2" t="inlineStr"/>
    </row>
    <row r="591" ht="15" customHeight="1">
      <c r="A591" t="inlineStr">
        <is>
          <t>A 44184-2022</t>
        </is>
      </c>
      <c r="B591" s="1" t="n">
        <v>44839</v>
      </c>
      <c r="C591" s="1" t="n">
        <v>45807</v>
      </c>
      <c r="D591" t="inlineStr">
        <is>
          <t>UPPSALA LÄN</t>
        </is>
      </c>
      <c r="E591" t="inlineStr">
        <is>
          <t>ÖSTHAMMAR</t>
        </is>
      </c>
      <c r="G591" t="n">
        <v>4.2</v>
      </c>
      <c r="H591" t="n">
        <v>0</v>
      </c>
      <c r="I591" t="n">
        <v>0</v>
      </c>
      <c r="J591" t="n">
        <v>0</v>
      </c>
      <c r="K591" t="n">
        <v>0</v>
      </c>
      <c r="L591" t="n">
        <v>0</v>
      </c>
      <c r="M591" t="n">
        <v>0</v>
      </c>
      <c r="N591" t="n">
        <v>0</v>
      </c>
      <c r="O591" t="n">
        <v>0</v>
      </c>
      <c r="P591" t="n">
        <v>0</v>
      </c>
      <c r="Q591" t="n">
        <v>0</v>
      </c>
      <c r="R591" s="2" t="inlineStr"/>
    </row>
    <row r="592" ht="15" customHeight="1">
      <c r="A592" t="inlineStr">
        <is>
          <t>A 44617-2022</t>
        </is>
      </c>
      <c r="B592" s="1" t="n">
        <v>44840</v>
      </c>
      <c r="C592" s="1" t="n">
        <v>45807</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44945-2022</t>
        </is>
      </c>
      <c r="B593" s="1" t="n">
        <v>44841</v>
      </c>
      <c r="C593" s="1" t="n">
        <v>45807</v>
      </c>
      <c r="D593" t="inlineStr">
        <is>
          <t>UPPSALA LÄN</t>
        </is>
      </c>
      <c r="E593" t="inlineStr">
        <is>
          <t>ÖSTHAMMAR</t>
        </is>
      </c>
      <c r="G593" t="n">
        <v>1.5</v>
      </c>
      <c r="H593" t="n">
        <v>0</v>
      </c>
      <c r="I593" t="n">
        <v>0</v>
      </c>
      <c r="J593" t="n">
        <v>0</v>
      </c>
      <c r="K593" t="n">
        <v>0</v>
      </c>
      <c r="L593" t="n">
        <v>0</v>
      </c>
      <c r="M593" t="n">
        <v>0</v>
      </c>
      <c r="N593" t="n">
        <v>0</v>
      </c>
      <c r="O593" t="n">
        <v>0</v>
      </c>
      <c r="P593" t="n">
        <v>0</v>
      </c>
      <c r="Q593" t="n">
        <v>0</v>
      </c>
      <c r="R593" s="2" t="inlineStr"/>
    </row>
    <row r="594" ht="15" customHeight="1">
      <c r="A594" t="inlineStr">
        <is>
          <t>A 44815-2022</t>
        </is>
      </c>
      <c r="B594" s="1" t="n">
        <v>44841</v>
      </c>
      <c r="C594" s="1" t="n">
        <v>45807</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45788-2022</t>
        </is>
      </c>
      <c r="B595" s="1" t="n">
        <v>44846</v>
      </c>
      <c r="C595" s="1" t="n">
        <v>45807</v>
      </c>
      <c r="D595" t="inlineStr">
        <is>
          <t>UPPSALA LÄN</t>
        </is>
      </c>
      <c r="E595" t="inlineStr">
        <is>
          <t>ÖSTHAMMAR</t>
        </is>
      </c>
      <c r="F595" t="inlineStr">
        <is>
          <t>Övriga Aktiebolag</t>
        </is>
      </c>
      <c r="G595" t="n">
        <v>3.3</v>
      </c>
      <c r="H595" t="n">
        <v>0</v>
      </c>
      <c r="I595" t="n">
        <v>0</v>
      </c>
      <c r="J595" t="n">
        <v>0</v>
      </c>
      <c r="K595" t="n">
        <v>0</v>
      </c>
      <c r="L595" t="n">
        <v>0</v>
      </c>
      <c r="M595" t="n">
        <v>0</v>
      </c>
      <c r="N595" t="n">
        <v>0</v>
      </c>
      <c r="O595" t="n">
        <v>0</v>
      </c>
      <c r="P595" t="n">
        <v>0</v>
      </c>
      <c r="Q595" t="n">
        <v>0</v>
      </c>
      <c r="R595" s="2" t="inlineStr"/>
    </row>
    <row r="596" ht="15" customHeight="1">
      <c r="A596" t="inlineStr">
        <is>
          <t>A 46448-2022</t>
        </is>
      </c>
      <c r="B596" s="1" t="n">
        <v>44848</v>
      </c>
      <c r="C596" s="1" t="n">
        <v>45807</v>
      </c>
      <c r="D596" t="inlineStr">
        <is>
          <t>UPPSALA LÄN</t>
        </is>
      </c>
      <c r="E596" t="inlineStr">
        <is>
          <t>ÖSTHAMMAR</t>
        </is>
      </c>
      <c r="G596" t="n">
        <v>2.6</v>
      </c>
      <c r="H596" t="n">
        <v>0</v>
      </c>
      <c r="I596" t="n">
        <v>0</v>
      </c>
      <c r="J596" t="n">
        <v>0</v>
      </c>
      <c r="K596" t="n">
        <v>0</v>
      </c>
      <c r="L596" t="n">
        <v>0</v>
      </c>
      <c r="M596" t="n">
        <v>0</v>
      </c>
      <c r="N596" t="n">
        <v>0</v>
      </c>
      <c r="O596" t="n">
        <v>0</v>
      </c>
      <c r="P596" t="n">
        <v>0</v>
      </c>
      <c r="Q596" t="n">
        <v>0</v>
      </c>
      <c r="R596" s="2" t="inlineStr"/>
    </row>
    <row r="597" ht="15" customHeight="1">
      <c r="A597" t="inlineStr">
        <is>
          <t>A 46915-2022</t>
        </is>
      </c>
      <c r="B597" s="1" t="n">
        <v>44851</v>
      </c>
      <c r="C597" s="1" t="n">
        <v>45807</v>
      </c>
      <c r="D597" t="inlineStr">
        <is>
          <t>UPPSALA LÄN</t>
        </is>
      </c>
      <c r="E597" t="inlineStr">
        <is>
          <t>ÖSTHAMMAR</t>
        </is>
      </c>
      <c r="F597" t="inlineStr">
        <is>
          <t>Bergvik skog öst AB</t>
        </is>
      </c>
      <c r="G597" t="n">
        <v>7.9</v>
      </c>
      <c r="H597" t="n">
        <v>0</v>
      </c>
      <c r="I597" t="n">
        <v>0</v>
      </c>
      <c r="J597" t="n">
        <v>0</v>
      </c>
      <c r="K597" t="n">
        <v>0</v>
      </c>
      <c r="L597" t="n">
        <v>0</v>
      </c>
      <c r="M597" t="n">
        <v>0</v>
      </c>
      <c r="N597" t="n">
        <v>0</v>
      </c>
      <c r="O597" t="n">
        <v>0</v>
      </c>
      <c r="P597" t="n">
        <v>0</v>
      </c>
      <c r="Q597" t="n">
        <v>0</v>
      </c>
      <c r="R597" s="2" t="inlineStr"/>
    </row>
    <row r="598" ht="15" customHeight="1">
      <c r="A598" t="inlineStr">
        <is>
          <t>A 47163-2022</t>
        </is>
      </c>
      <c r="B598" s="1" t="n">
        <v>44852</v>
      </c>
      <c r="C598" s="1" t="n">
        <v>45807</v>
      </c>
      <c r="D598" t="inlineStr">
        <is>
          <t>UPPSALA LÄN</t>
        </is>
      </c>
      <c r="E598" t="inlineStr">
        <is>
          <t>ÖSTHAMMAR</t>
        </is>
      </c>
      <c r="G598" t="n">
        <v>5.5</v>
      </c>
      <c r="H598" t="n">
        <v>0</v>
      </c>
      <c r="I598" t="n">
        <v>0</v>
      </c>
      <c r="J598" t="n">
        <v>0</v>
      </c>
      <c r="K598" t="n">
        <v>0</v>
      </c>
      <c r="L598" t="n">
        <v>0</v>
      </c>
      <c r="M598" t="n">
        <v>0</v>
      </c>
      <c r="N598" t="n">
        <v>0</v>
      </c>
      <c r="O598" t="n">
        <v>0</v>
      </c>
      <c r="P598" t="n">
        <v>0</v>
      </c>
      <c r="Q598" t="n">
        <v>0</v>
      </c>
      <c r="R598" s="2" t="inlineStr"/>
    </row>
    <row r="599" ht="15" customHeight="1">
      <c r="A599" t="inlineStr">
        <is>
          <t>A 48191-2022</t>
        </is>
      </c>
      <c r="B599" s="1" t="n">
        <v>44858</v>
      </c>
      <c r="C599" s="1" t="n">
        <v>45807</v>
      </c>
      <c r="D599" t="inlineStr">
        <is>
          <t>UPPSALA LÄN</t>
        </is>
      </c>
      <c r="E599" t="inlineStr">
        <is>
          <t>ÖSTHAMMAR</t>
        </is>
      </c>
      <c r="G599" t="n">
        <v>3.4</v>
      </c>
      <c r="H599" t="n">
        <v>0</v>
      </c>
      <c r="I599" t="n">
        <v>0</v>
      </c>
      <c r="J599" t="n">
        <v>0</v>
      </c>
      <c r="K599" t="n">
        <v>0</v>
      </c>
      <c r="L599" t="n">
        <v>0</v>
      </c>
      <c r="M599" t="n">
        <v>0</v>
      </c>
      <c r="N599" t="n">
        <v>0</v>
      </c>
      <c r="O599" t="n">
        <v>0</v>
      </c>
      <c r="P599" t="n">
        <v>0</v>
      </c>
      <c r="Q599" t="n">
        <v>0</v>
      </c>
      <c r="R599" s="2" t="inlineStr"/>
    </row>
    <row r="600" ht="15" customHeight="1">
      <c r="A600" t="inlineStr">
        <is>
          <t>A 48231-2022</t>
        </is>
      </c>
      <c r="B600" s="1" t="n">
        <v>44858</v>
      </c>
      <c r="C600" s="1" t="n">
        <v>45807</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49097-2022</t>
        </is>
      </c>
      <c r="B601" s="1" t="n">
        <v>44860</v>
      </c>
      <c r="C601" s="1" t="n">
        <v>45807</v>
      </c>
      <c r="D601" t="inlineStr">
        <is>
          <t>UPPSALA LÄN</t>
        </is>
      </c>
      <c r="E601" t="inlineStr">
        <is>
          <t>ÖSTHAMMAR</t>
        </is>
      </c>
      <c r="G601" t="n">
        <v>6.9</v>
      </c>
      <c r="H601" t="n">
        <v>0</v>
      </c>
      <c r="I601" t="n">
        <v>0</v>
      </c>
      <c r="J601" t="n">
        <v>0</v>
      </c>
      <c r="K601" t="n">
        <v>0</v>
      </c>
      <c r="L601" t="n">
        <v>0</v>
      </c>
      <c r="M601" t="n">
        <v>0</v>
      </c>
      <c r="N601" t="n">
        <v>0</v>
      </c>
      <c r="O601" t="n">
        <v>0</v>
      </c>
      <c r="P601" t="n">
        <v>0</v>
      </c>
      <c r="Q601" t="n">
        <v>0</v>
      </c>
      <c r="R601" s="2" t="inlineStr"/>
    </row>
    <row r="602" ht="15" customHeight="1">
      <c r="A602" t="inlineStr">
        <is>
          <t>A 49334-2022</t>
        </is>
      </c>
      <c r="B602" s="1" t="n">
        <v>44861</v>
      </c>
      <c r="C602" s="1" t="n">
        <v>45807</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49914-2022</t>
        </is>
      </c>
      <c r="B603" s="1" t="n">
        <v>44865</v>
      </c>
      <c r="C603" s="1" t="n">
        <v>45807</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50576-2022</t>
        </is>
      </c>
      <c r="B604" s="1" t="n">
        <v>44866</v>
      </c>
      <c r="C604" s="1" t="n">
        <v>45807</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51055-2022</t>
        </is>
      </c>
      <c r="B605" s="1" t="n">
        <v>44868</v>
      </c>
      <c r="C605" s="1" t="n">
        <v>45807</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51696-2022</t>
        </is>
      </c>
      <c r="B606" s="1" t="n">
        <v>44872</v>
      </c>
      <c r="C606" s="1" t="n">
        <v>45807</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51906-2022</t>
        </is>
      </c>
      <c r="B607" s="1" t="n">
        <v>44872</v>
      </c>
      <c r="C607" s="1" t="n">
        <v>45807</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52265-2022</t>
        </is>
      </c>
      <c r="B608" s="1" t="n">
        <v>44873</v>
      </c>
      <c r="C608" s="1" t="n">
        <v>45807</v>
      </c>
      <c r="D608" t="inlineStr">
        <is>
          <t>UPPSALA LÄN</t>
        </is>
      </c>
      <c r="E608" t="inlineStr">
        <is>
          <t>ÖSTHAMMAR</t>
        </is>
      </c>
      <c r="G608" t="n">
        <v>1</v>
      </c>
      <c r="H608" t="n">
        <v>0</v>
      </c>
      <c r="I608" t="n">
        <v>0</v>
      </c>
      <c r="J608" t="n">
        <v>0</v>
      </c>
      <c r="K608" t="n">
        <v>0</v>
      </c>
      <c r="L608" t="n">
        <v>0</v>
      </c>
      <c r="M608" t="n">
        <v>0</v>
      </c>
      <c r="N608" t="n">
        <v>0</v>
      </c>
      <c r="O608" t="n">
        <v>0</v>
      </c>
      <c r="P608" t="n">
        <v>0</v>
      </c>
      <c r="Q608" t="n">
        <v>0</v>
      </c>
      <c r="R608" s="2" t="inlineStr"/>
    </row>
    <row r="609" ht="15" customHeight="1">
      <c r="A609" t="inlineStr">
        <is>
          <t>A 52255-2022</t>
        </is>
      </c>
      <c r="B609" s="1" t="n">
        <v>44873</v>
      </c>
      <c r="C609" s="1" t="n">
        <v>45807</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52295-2022</t>
        </is>
      </c>
      <c r="B610" s="1" t="n">
        <v>44873</v>
      </c>
      <c r="C610" s="1" t="n">
        <v>45807</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52652-2022</t>
        </is>
      </c>
      <c r="B611" s="1" t="n">
        <v>44874</v>
      </c>
      <c r="C611" s="1" t="n">
        <v>45807</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52389-2022</t>
        </is>
      </c>
      <c r="B612" s="1" t="n">
        <v>44874</v>
      </c>
      <c r="C612" s="1" t="n">
        <v>45807</v>
      </c>
      <c r="D612" t="inlineStr">
        <is>
          <t>UPPSALA LÄN</t>
        </is>
      </c>
      <c r="E612" t="inlineStr">
        <is>
          <t>ÖSTHAMMAR</t>
        </is>
      </c>
      <c r="G612" t="n">
        <v>3.1</v>
      </c>
      <c r="H612" t="n">
        <v>0</v>
      </c>
      <c r="I612" t="n">
        <v>0</v>
      </c>
      <c r="J612" t="n">
        <v>0</v>
      </c>
      <c r="K612" t="n">
        <v>0</v>
      </c>
      <c r="L612" t="n">
        <v>0</v>
      </c>
      <c r="M612" t="n">
        <v>0</v>
      </c>
      <c r="N612" t="n">
        <v>0</v>
      </c>
      <c r="O612" t="n">
        <v>0</v>
      </c>
      <c r="P612" t="n">
        <v>0</v>
      </c>
      <c r="Q612" t="n">
        <v>0</v>
      </c>
      <c r="R612" s="2" t="inlineStr"/>
    </row>
    <row r="613" ht="15" customHeight="1">
      <c r="A613" t="inlineStr">
        <is>
          <t>A 52663-2022</t>
        </is>
      </c>
      <c r="B613" s="1" t="n">
        <v>44874</v>
      </c>
      <c r="C613" s="1" t="n">
        <v>45807</v>
      </c>
      <c r="D613" t="inlineStr">
        <is>
          <t>UPPSALA LÄN</t>
        </is>
      </c>
      <c r="E613" t="inlineStr">
        <is>
          <t>ÖSTHAMMAR</t>
        </is>
      </c>
      <c r="F613" t="inlineStr">
        <is>
          <t>Bergvik skog öst AB</t>
        </is>
      </c>
      <c r="G613" t="n">
        <v>2.6</v>
      </c>
      <c r="H613" t="n">
        <v>0</v>
      </c>
      <c r="I613" t="n">
        <v>0</v>
      </c>
      <c r="J613" t="n">
        <v>0</v>
      </c>
      <c r="K613" t="n">
        <v>0</v>
      </c>
      <c r="L613" t="n">
        <v>0</v>
      </c>
      <c r="M613" t="n">
        <v>0</v>
      </c>
      <c r="N613" t="n">
        <v>0</v>
      </c>
      <c r="O613" t="n">
        <v>0</v>
      </c>
      <c r="P613" t="n">
        <v>0</v>
      </c>
      <c r="Q613" t="n">
        <v>0</v>
      </c>
      <c r="R613" s="2" t="inlineStr"/>
    </row>
    <row r="614" ht="15" customHeight="1">
      <c r="A614" t="inlineStr">
        <is>
          <t>A 52650-2022</t>
        </is>
      </c>
      <c r="B614" s="1" t="n">
        <v>44874</v>
      </c>
      <c r="C614" s="1" t="n">
        <v>45807</v>
      </c>
      <c r="D614" t="inlineStr">
        <is>
          <t>UPPSALA LÄN</t>
        </is>
      </c>
      <c r="E614" t="inlineStr">
        <is>
          <t>ÖSTHAMMAR</t>
        </is>
      </c>
      <c r="F614" t="inlineStr">
        <is>
          <t>Bergvik skog öst AB</t>
        </is>
      </c>
      <c r="G614" t="n">
        <v>0.4</v>
      </c>
      <c r="H614" t="n">
        <v>0</v>
      </c>
      <c r="I614" t="n">
        <v>0</v>
      </c>
      <c r="J614" t="n">
        <v>0</v>
      </c>
      <c r="K614" t="n">
        <v>0</v>
      </c>
      <c r="L614" t="n">
        <v>0</v>
      </c>
      <c r="M614" t="n">
        <v>0</v>
      </c>
      <c r="N614" t="n">
        <v>0</v>
      </c>
      <c r="O614" t="n">
        <v>0</v>
      </c>
      <c r="P614" t="n">
        <v>0</v>
      </c>
      <c r="Q614" t="n">
        <v>0</v>
      </c>
      <c r="R614" s="2" t="inlineStr"/>
    </row>
    <row r="615" ht="15" customHeight="1">
      <c r="A615" t="inlineStr">
        <is>
          <t>A 52661-2022</t>
        </is>
      </c>
      <c r="B615" s="1" t="n">
        <v>44874</v>
      </c>
      <c r="C615" s="1" t="n">
        <v>45807</v>
      </c>
      <c r="D615" t="inlineStr">
        <is>
          <t>UPPSALA LÄN</t>
        </is>
      </c>
      <c r="E615" t="inlineStr">
        <is>
          <t>ÖSTHAMMAR</t>
        </is>
      </c>
      <c r="F615" t="inlineStr">
        <is>
          <t>Bergvik skog öst AB</t>
        </is>
      </c>
      <c r="G615" t="n">
        <v>0.2</v>
      </c>
      <c r="H615" t="n">
        <v>0</v>
      </c>
      <c r="I615" t="n">
        <v>0</v>
      </c>
      <c r="J615" t="n">
        <v>0</v>
      </c>
      <c r="K615" t="n">
        <v>0</v>
      </c>
      <c r="L615" t="n">
        <v>0</v>
      </c>
      <c r="M615" t="n">
        <v>0</v>
      </c>
      <c r="N615" t="n">
        <v>0</v>
      </c>
      <c r="O615" t="n">
        <v>0</v>
      </c>
      <c r="P615" t="n">
        <v>0</v>
      </c>
      <c r="Q615" t="n">
        <v>0</v>
      </c>
      <c r="R615" s="2" t="inlineStr"/>
    </row>
    <row r="616" ht="15" customHeight="1">
      <c r="A616" t="inlineStr">
        <is>
          <t>A 53180-2022</t>
        </is>
      </c>
      <c r="B616" s="1" t="n">
        <v>44876</v>
      </c>
      <c r="C616" s="1" t="n">
        <v>45807</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54666-2022</t>
        </is>
      </c>
      <c r="B617" s="1" t="n">
        <v>44883</v>
      </c>
      <c r="C617" s="1" t="n">
        <v>45807</v>
      </c>
      <c r="D617" t="inlineStr">
        <is>
          <t>UPPSALA LÄN</t>
        </is>
      </c>
      <c r="E617" t="inlineStr">
        <is>
          <t>ÖSTHAMMAR</t>
        </is>
      </c>
      <c r="G617" t="n">
        <v>14.3</v>
      </c>
      <c r="H617" t="n">
        <v>0</v>
      </c>
      <c r="I617" t="n">
        <v>0</v>
      </c>
      <c r="J617" t="n">
        <v>0</v>
      </c>
      <c r="K617" t="n">
        <v>0</v>
      </c>
      <c r="L617" t="n">
        <v>0</v>
      </c>
      <c r="M617" t="n">
        <v>0</v>
      </c>
      <c r="N617" t="n">
        <v>0</v>
      </c>
      <c r="O617" t="n">
        <v>0</v>
      </c>
      <c r="P617" t="n">
        <v>0</v>
      </c>
      <c r="Q617" t="n">
        <v>0</v>
      </c>
      <c r="R617" s="2" t="inlineStr"/>
    </row>
    <row r="618" ht="15" customHeight="1">
      <c r="A618" t="inlineStr">
        <is>
          <t>A 56260-2022</t>
        </is>
      </c>
      <c r="B618" s="1" t="n">
        <v>44890</v>
      </c>
      <c r="C618" s="1" t="n">
        <v>45807</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56969-2022</t>
        </is>
      </c>
      <c r="B619" s="1" t="n">
        <v>44894</v>
      </c>
      <c r="C619" s="1" t="n">
        <v>45807</v>
      </c>
      <c r="D619" t="inlineStr">
        <is>
          <t>UPPSALA LÄN</t>
        </is>
      </c>
      <c r="E619" t="inlineStr">
        <is>
          <t>ÖSTHAMMAR</t>
        </is>
      </c>
      <c r="G619" t="n">
        <v>5.5</v>
      </c>
      <c r="H619" t="n">
        <v>0</v>
      </c>
      <c r="I619" t="n">
        <v>0</v>
      </c>
      <c r="J619" t="n">
        <v>0</v>
      </c>
      <c r="K619" t="n">
        <v>0</v>
      </c>
      <c r="L619" t="n">
        <v>0</v>
      </c>
      <c r="M619" t="n">
        <v>0</v>
      </c>
      <c r="N619" t="n">
        <v>0</v>
      </c>
      <c r="O619" t="n">
        <v>0</v>
      </c>
      <c r="P619" t="n">
        <v>0</v>
      </c>
      <c r="Q619" t="n">
        <v>0</v>
      </c>
      <c r="R619" s="2" t="inlineStr"/>
    </row>
    <row r="620" ht="15" customHeight="1">
      <c r="A620" t="inlineStr">
        <is>
          <t>A 57462-2022</t>
        </is>
      </c>
      <c r="B620" s="1" t="n">
        <v>44896</v>
      </c>
      <c r="C620" s="1" t="n">
        <v>45807</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57453-2022</t>
        </is>
      </c>
      <c r="B621" s="1" t="n">
        <v>44896</v>
      </c>
      <c r="C621" s="1" t="n">
        <v>45807</v>
      </c>
      <c r="D621" t="inlineStr">
        <is>
          <t>UPPSALA LÄN</t>
        </is>
      </c>
      <c r="E621" t="inlineStr">
        <is>
          <t>ÖSTHAMMAR</t>
        </is>
      </c>
      <c r="G621" t="n">
        <v>1.7</v>
      </c>
      <c r="H621" t="n">
        <v>0</v>
      </c>
      <c r="I621" t="n">
        <v>0</v>
      </c>
      <c r="J621" t="n">
        <v>0</v>
      </c>
      <c r="K621" t="n">
        <v>0</v>
      </c>
      <c r="L621" t="n">
        <v>0</v>
      </c>
      <c r="M621" t="n">
        <v>0</v>
      </c>
      <c r="N621" t="n">
        <v>0</v>
      </c>
      <c r="O621" t="n">
        <v>0</v>
      </c>
      <c r="P621" t="n">
        <v>0</v>
      </c>
      <c r="Q621" t="n">
        <v>0</v>
      </c>
      <c r="R621" s="2" t="inlineStr"/>
    </row>
    <row r="622" ht="15" customHeight="1">
      <c r="A622" t="inlineStr">
        <is>
          <t>A 58127-2022</t>
        </is>
      </c>
      <c r="B622" s="1" t="n">
        <v>44900</v>
      </c>
      <c r="C622" s="1" t="n">
        <v>45807</v>
      </c>
      <c r="D622" t="inlineStr">
        <is>
          <t>UPPSALA LÄN</t>
        </is>
      </c>
      <c r="E622" t="inlineStr">
        <is>
          <t>ÖSTHAMMAR</t>
        </is>
      </c>
      <c r="F622" t="inlineStr">
        <is>
          <t>Bergvik skog öst AB</t>
        </is>
      </c>
      <c r="G622" t="n">
        <v>6.4</v>
      </c>
      <c r="H622" t="n">
        <v>0</v>
      </c>
      <c r="I622" t="n">
        <v>0</v>
      </c>
      <c r="J622" t="n">
        <v>0</v>
      </c>
      <c r="K622" t="n">
        <v>0</v>
      </c>
      <c r="L622" t="n">
        <v>0</v>
      </c>
      <c r="M622" t="n">
        <v>0</v>
      </c>
      <c r="N622" t="n">
        <v>0</v>
      </c>
      <c r="O622" t="n">
        <v>0</v>
      </c>
      <c r="P622" t="n">
        <v>0</v>
      </c>
      <c r="Q622" t="n">
        <v>0</v>
      </c>
      <c r="R622" s="2" t="inlineStr"/>
    </row>
    <row r="623" ht="15" customHeight="1">
      <c r="A623" t="inlineStr">
        <is>
          <t>A 58367-2022</t>
        </is>
      </c>
      <c r="B623" s="1" t="n">
        <v>44901</v>
      </c>
      <c r="C623" s="1" t="n">
        <v>45807</v>
      </c>
      <c r="D623" t="inlineStr">
        <is>
          <t>UPPSALA LÄN</t>
        </is>
      </c>
      <c r="E623" t="inlineStr">
        <is>
          <t>ÖSTHAMMAR</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58878-2022</t>
        </is>
      </c>
      <c r="B624" s="1" t="n">
        <v>44903</v>
      </c>
      <c r="C624" s="1" t="n">
        <v>45807</v>
      </c>
      <c r="D624" t="inlineStr">
        <is>
          <t>UPPSALA LÄN</t>
        </is>
      </c>
      <c r="E624" t="inlineStr">
        <is>
          <t>ÖSTHAMMAR</t>
        </is>
      </c>
      <c r="G624" t="n">
        <v>0.8</v>
      </c>
      <c r="H624" t="n">
        <v>0</v>
      </c>
      <c r="I624" t="n">
        <v>0</v>
      </c>
      <c r="J624" t="n">
        <v>0</v>
      </c>
      <c r="K624" t="n">
        <v>0</v>
      </c>
      <c r="L624" t="n">
        <v>0</v>
      </c>
      <c r="M624" t="n">
        <v>0</v>
      </c>
      <c r="N624" t="n">
        <v>0</v>
      </c>
      <c r="O624" t="n">
        <v>0</v>
      </c>
      <c r="P624" t="n">
        <v>0</v>
      </c>
      <c r="Q624" t="n">
        <v>0</v>
      </c>
      <c r="R624" s="2" t="inlineStr"/>
    </row>
    <row r="625" ht="15" customHeight="1">
      <c r="A625" t="inlineStr">
        <is>
          <t>A 60258-2022</t>
        </is>
      </c>
      <c r="B625" s="1" t="n">
        <v>44903</v>
      </c>
      <c r="C625" s="1" t="n">
        <v>45807</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59382-2022</t>
        </is>
      </c>
      <c r="B626" s="1" t="n">
        <v>44905</v>
      </c>
      <c r="C626" s="1" t="n">
        <v>45807</v>
      </c>
      <c r="D626" t="inlineStr">
        <is>
          <t>UPPSALA LÄN</t>
        </is>
      </c>
      <c r="E626" t="inlineStr">
        <is>
          <t>ÖSTHAMMAR</t>
        </is>
      </c>
      <c r="G626" t="n">
        <v>2.9</v>
      </c>
      <c r="H626" t="n">
        <v>0</v>
      </c>
      <c r="I626" t="n">
        <v>0</v>
      </c>
      <c r="J626" t="n">
        <v>0</v>
      </c>
      <c r="K626" t="n">
        <v>0</v>
      </c>
      <c r="L626" t="n">
        <v>0</v>
      </c>
      <c r="M626" t="n">
        <v>0</v>
      </c>
      <c r="N626" t="n">
        <v>0</v>
      </c>
      <c r="O626" t="n">
        <v>0</v>
      </c>
      <c r="P626" t="n">
        <v>0</v>
      </c>
      <c r="Q626" t="n">
        <v>0</v>
      </c>
      <c r="R626" s="2" t="inlineStr"/>
    </row>
    <row r="627" ht="15" customHeight="1">
      <c r="A627" t="inlineStr">
        <is>
          <t>A 59563-2022</t>
        </is>
      </c>
      <c r="B627" s="1" t="n">
        <v>44907</v>
      </c>
      <c r="C627" s="1" t="n">
        <v>45807</v>
      </c>
      <c r="D627" t="inlineStr">
        <is>
          <t>UPPSALA LÄN</t>
        </is>
      </c>
      <c r="E627" t="inlineStr">
        <is>
          <t>ÖSTHAMMAR</t>
        </is>
      </c>
      <c r="G627" t="n">
        <v>2.8</v>
      </c>
      <c r="H627" t="n">
        <v>0</v>
      </c>
      <c r="I627" t="n">
        <v>0</v>
      </c>
      <c r="J627" t="n">
        <v>0</v>
      </c>
      <c r="K627" t="n">
        <v>0</v>
      </c>
      <c r="L627" t="n">
        <v>0</v>
      </c>
      <c r="M627" t="n">
        <v>0</v>
      </c>
      <c r="N627" t="n">
        <v>0</v>
      </c>
      <c r="O627" t="n">
        <v>0</v>
      </c>
      <c r="P627" t="n">
        <v>0</v>
      </c>
      <c r="Q627" t="n">
        <v>0</v>
      </c>
      <c r="R627" s="2" t="inlineStr"/>
    </row>
    <row r="628" ht="15" customHeight="1">
      <c r="A628" t="inlineStr">
        <is>
          <t>A 59880-2022</t>
        </is>
      </c>
      <c r="B628" s="1" t="n">
        <v>44908</v>
      </c>
      <c r="C628" s="1" t="n">
        <v>45807</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60079-2022</t>
        </is>
      </c>
      <c r="B629" s="1" t="n">
        <v>44909</v>
      </c>
      <c r="C629" s="1" t="n">
        <v>45807</v>
      </c>
      <c r="D629" t="inlineStr">
        <is>
          <t>UPPSALA LÄN</t>
        </is>
      </c>
      <c r="E629" t="inlineStr">
        <is>
          <t>ÖSTHAMMAR</t>
        </is>
      </c>
      <c r="G629" t="n">
        <v>9.6</v>
      </c>
      <c r="H629" t="n">
        <v>0</v>
      </c>
      <c r="I629" t="n">
        <v>0</v>
      </c>
      <c r="J629" t="n">
        <v>0</v>
      </c>
      <c r="K629" t="n">
        <v>0</v>
      </c>
      <c r="L629" t="n">
        <v>0</v>
      </c>
      <c r="M629" t="n">
        <v>0</v>
      </c>
      <c r="N629" t="n">
        <v>0</v>
      </c>
      <c r="O629" t="n">
        <v>0</v>
      </c>
      <c r="P629" t="n">
        <v>0</v>
      </c>
      <c r="Q629" t="n">
        <v>0</v>
      </c>
      <c r="R629" s="2" t="inlineStr"/>
    </row>
    <row r="630" ht="15" customHeight="1">
      <c r="A630" t="inlineStr">
        <is>
          <t>A 60597-2022</t>
        </is>
      </c>
      <c r="B630" s="1" t="n">
        <v>44911</v>
      </c>
      <c r="C630" s="1" t="n">
        <v>45807</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61261-2022</t>
        </is>
      </c>
      <c r="B631" s="1" t="n">
        <v>44915</v>
      </c>
      <c r="C631" s="1" t="n">
        <v>45807</v>
      </c>
      <c r="D631" t="inlineStr">
        <is>
          <t>UPPSALA LÄN</t>
        </is>
      </c>
      <c r="E631" t="inlineStr">
        <is>
          <t>ÖSTHAMMAR</t>
        </is>
      </c>
      <c r="G631" t="n">
        <v>0.4</v>
      </c>
      <c r="H631" t="n">
        <v>0</v>
      </c>
      <c r="I631" t="n">
        <v>0</v>
      </c>
      <c r="J631" t="n">
        <v>0</v>
      </c>
      <c r="K631" t="n">
        <v>0</v>
      </c>
      <c r="L631" t="n">
        <v>0</v>
      </c>
      <c r="M631" t="n">
        <v>0</v>
      </c>
      <c r="N631" t="n">
        <v>0</v>
      </c>
      <c r="O631" t="n">
        <v>0</v>
      </c>
      <c r="P631" t="n">
        <v>0</v>
      </c>
      <c r="Q631" t="n">
        <v>0</v>
      </c>
      <c r="R631" s="2" t="inlineStr"/>
    </row>
    <row r="632" ht="15" customHeight="1">
      <c r="A632" t="inlineStr">
        <is>
          <t>A 61216-2022</t>
        </is>
      </c>
      <c r="B632" s="1" t="n">
        <v>44915</v>
      </c>
      <c r="C632" s="1" t="n">
        <v>45807</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61257-2022</t>
        </is>
      </c>
      <c r="B633" s="1" t="n">
        <v>44915</v>
      </c>
      <c r="C633" s="1" t="n">
        <v>45807</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62295-2022</t>
        </is>
      </c>
      <c r="B634" s="1" t="n">
        <v>44916</v>
      </c>
      <c r="C634" s="1" t="n">
        <v>45807</v>
      </c>
      <c r="D634" t="inlineStr">
        <is>
          <t>UPPSALA LÄN</t>
        </is>
      </c>
      <c r="E634" t="inlineStr">
        <is>
          <t>ÖSTHAMMAR</t>
        </is>
      </c>
      <c r="G634" t="n">
        <v>3.3</v>
      </c>
      <c r="H634" t="n">
        <v>0</v>
      </c>
      <c r="I634" t="n">
        <v>0</v>
      </c>
      <c r="J634" t="n">
        <v>0</v>
      </c>
      <c r="K634" t="n">
        <v>0</v>
      </c>
      <c r="L634" t="n">
        <v>0</v>
      </c>
      <c r="M634" t="n">
        <v>0</v>
      </c>
      <c r="N634" t="n">
        <v>0</v>
      </c>
      <c r="O634" t="n">
        <v>0</v>
      </c>
      <c r="P634" t="n">
        <v>0</v>
      </c>
      <c r="Q634" t="n">
        <v>0</v>
      </c>
      <c r="R634" s="2" t="inlineStr"/>
    </row>
    <row r="635" ht="15" customHeight="1">
      <c r="A635" t="inlineStr">
        <is>
          <t>A 62394-2022</t>
        </is>
      </c>
      <c r="B635" s="1" t="n">
        <v>44923</v>
      </c>
      <c r="C635" s="1" t="n">
        <v>45807</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62393-2022</t>
        </is>
      </c>
      <c r="B636" s="1" t="n">
        <v>44923</v>
      </c>
      <c r="C636" s="1" t="n">
        <v>45807</v>
      </c>
      <c r="D636" t="inlineStr">
        <is>
          <t>UPPSALA LÄN</t>
        </is>
      </c>
      <c r="E636" t="inlineStr">
        <is>
          <t>ÖSTHAMMAR</t>
        </is>
      </c>
      <c r="F636" t="inlineStr">
        <is>
          <t>Bergvik skog öst AB</t>
        </is>
      </c>
      <c r="G636" t="n">
        <v>2.7</v>
      </c>
      <c r="H636" t="n">
        <v>0</v>
      </c>
      <c r="I636" t="n">
        <v>0</v>
      </c>
      <c r="J636" t="n">
        <v>0</v>
      </c>
      <c r="K636" t="n">
        <v>0</v>
      </c>
      <c r="L636" t="n">
        <v>0</v>
      </c>
      <c r="M636" t="n">
        <v>0</v>
      </c>
      <c r="N636" t="n">
        <v>0</v>
      </c>
      <c r="O636" t="n">
        <v>0</v>
      </c>
      <c r="P636" t="n">
        <v>0</v>
      </c>
      <c r="Q636" t="n">
        <v>0</v>
      </c>
      <c r="R636" s="2" t="inlineStr"/>
    </row>
    <row r="637" ht="15" customHeight="1">
      <c r="A637" t="inlineStr">
        <is>
          <t>A 62392-2022</t>
        </is>
      </c>
      <c r="B637" s="1" t="n">
        <v>44923</v>
      </c>
      <c r="C637" s="1" t="n">
        <v>45807</v>
      </c>
      <c r="D637" t="inlineStr">
        <is>
          <t>UPPSALA LÄN</t>
        </is>
      </c>
      <c r="E637" t="inlineStr">
        <is>
          <t>ÖSTHAMMAR</t>
        </is>
      </c>
      <c r="F637" t="inlineStr">
        <is>
          <t>Bergvik skog öst AB</t>
        </is>
      </c>
      <c r="G637" t="n">
        <v>1.7</v>
      </c>
      <c r="H637" t="n">
        <v>0</v>
      </c>
      <c r="I637" t="n">
        <v>0</v>
      </c>
      <c r="J637" t="n">
        <v>0</v>
      </c>
      <c r="K637" t="n">
        <v>0</v>
      </c>
      <c r="L637" t="n">
        <v>0</v>
      </c>
      <c r="M637" t="n">
        <v>0</v>
      </c>
      <c r="N637" t="n">
        <v>0</v>
      </c>
      <c r="O637" t="n">
        <v>0</v>
      </c>
      <c r="P637" t="n">
        <v>0</v>
      </c>
      <c r="Q637" t="n">
        <v>0</v>
      </c>
      <c r="R637" s="2" t="inlineStr"/>
    </row>
    <row r="638" ht="15" customHeight="1">
      <c r="A638" t="inlineStr">
        <is>
          <t>A 62391-2022</t>
        </is>
      </c>
      <c r="B638" s="1" t="n">
        <v>44923</v>
      </c>
      <c r="C638" s="1" t="n">
        <v>45807</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57-2023</t>
        </is>
      </c>
      <c r="B639" s="1" t="n">
        <v>44928</v>
      </c>
      <c r="C639" s="1" t="n">
        <v>45807</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59-2023</t>
        </is>
      </c>
      <c r="B640" s="1" t="n">
        <v>44928</v>
      </c>
      <c r="C640" s="1" t="n">
        <v>45807</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390-2023</t>
        </is>
      </c>
      <c r="B641" s="1" t="n">
        <v>44929</v>
      </c>
      <c r="C641" s="1" t="n">
        <v>45807</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1791-2023</t>
        </is>
      </c>
      <c r="B642" s="1" t="n">
        <v>44938</v>
      </c>
      <c r="C642" s="1" t="n">
        <v>45807</v>
      </c>
      <c r="D642" t="inlineStr">
        <is>
          <t>UPPSALA LÄN</t>
        </is>
      </c>
      <c r="E642" t="inlineStr">
        <is>
          <t>ÖSTHAMMAR</t>
        </is>
      </c>
      <c r="G642" t="n">
        <v>2</v>
      </c>
      <c r="H642" t="n">
        <v>0</v>
      </c>
      <c r="I642" t="n">
        <v>0</v>
      </c>
      <c r="J642" t="n">
        <v>0</v>
      </c>
      <c r="K642" t="n">
        <v>0</v>
      </c>
      <c r="L642" t="n">
        <v>0</v>
      </c>
      <c r="M642" t="n">
        <v>0</v>
      </c>
      <c r="N642" t="n">
        <v>0</v>
      </c>
      <c r="O642" t="n">
        <v>0</v>
      </c>
      <c r="P642" t="n">
        <v>0</v>
      </c>
      <c r="Q642" t="n">
        <v>0</v>
      </c>
      <c r="R642" s="2" t="inlineStr"/>
    </row>
    <row r="643" ht="15" customHeight="1">
      <c r="A643" t="inlineStr">
        <is>
          <t>A 1800-2023</t>
        </is>
      </c>
      <c r="B643" s="1" t="n">
        <v>44938</v>
      </c>
      <c r="C643" s="1" t="n">
        <v>45807</v>
      </c>
      <c r="D643" t="inlineStr">
        <is>
          <t>UPPSALA LÄN</t>
        </is>
      </c>
      <c r="E643" t="inlineStr">
        <is>
          <t>ÖSTHAMMAR</t>
        </is>
      </c>
      <c r="G643" t="n">
        <v>1.4</v>
      </c>
      <c r="H643" t="n">
        <v>0</v>
      </c>
      <c r="I643" t="n">
        <v>0</v>
      </c>
      <c r="J643" t="n">
        <v>0</v>
      </c>
      <c r="K643" t="n">
        <v>0</v>
      </c>
      <c r="L643" t="n">
        <v>0</v>
      </c>
      <c r="M643" t="n">
        <v>0</v>
      </c>
      <c r="N643" t="n">
        <v>0</v>
      </c>
      <c r="O643" t="n">
        <v>0</v>
      </c>
      <c r="P643" t="n">
        <v>0</v>
      </c>
      <c r="Q643" t="n">
        <v>0</v>
      </c>
      <c r="R643" s="2" t="inlineStr"/>
    </row>
    <row r="644" ht="15" customHeight="1">
      <c r="A644" t="inlineStr">
        <is>
          <t>A 1796-2023</t>
        </is>
      </c>
      <c r="B644" s="1" t="n">
        <v>44938</v>
      </c>
      <c r="C644" s="1" t="n">
        <v>45807</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2733-2023</t>
        </is>
      </c>
      <c r="B645" s="1" t="n">
        <v>44943</v>
      </c>
      <c r="C645" s="1" t="n">
        <v>45807</v>
      </c>
      <c r="D645" t="inlineStr">
        <is>
          <t>UPPSALA LÄN</t>
        </is>
      </c>
      <c r="E645" t="inlineStr">
        <is>
          <t>ÖSTHAMMAR</t>
        </is>
      </c>
      <c r="G645" t="n">
        <v>2.6</v>
      </c>
      <c r="H645" t="n">
        <v>0</v>
      </c>
      <c r="I645" t="n">
        <v>0</v>
      </c>
      <c r="J645" t="n">
        <v>0</v>
      </c>
      <c r="K645" t="n">
        <v>0</v>
      </c>
      <c r="L645" t="n">
        <v>0</v>
      </c>
      <c r="M645" t="n">
        <v>0</v>
      </c>
      <c r="N645" t="n">
        <v>0</v>
      </c>
      <c r="O645" t="n">
        <v>0</v>
      </c>
      <c r="P645" t="n">
        <v>0</v>
      </c>
      <c r="Q645" t="n">
        <v>0</v>
      </c>
      <c r="R645" s="2" t="inlineStr"/>
    </row>
    <row r="646" ht="15" customHeight="1">
      <c r="A646" t="inlineStr">
        <is>
          <t>A 2967-2023</t>
        </is>
      </c>
      <c r="B646" s="1" t="n">
        <v>44945</v>
      </c>
      <c r="C646" s="1" t="n">
        <v>45807</v>
      </c>
      <c r="D646" t="inlineStr">
        <is>
          <t>UPPSALA LÄN</t>
        </is>
      </c>
      <c r="E646" t="inlineStr">
        <is>
          <t>ÖSTHAMMAR</t>
        </is>
      </c>
      <c r="F646" t="inlineStr">
        <is>
          <t>Övriga Aktiebolag</t>
        </is>
      </c>
      <c r="G646" t="n">
        <v>3.1</v>
      </c>
      <c r="H646" t="n">
        <v>0</v>
      </c>
      <c r="I646" t="n">
        <v>0</v>
      </c>
      <c r="J646" t="n">
        <v>0</v>
      </c>
      <c r="K646" t="n">
        <v>0</v>
      </c>
      <c r="L646" t="n">
        <v>0</v>
      </c>
      <c r="M646" t="n">
        <v>0</v>
      </c>
      <c r="N646" t="n">
        <v>0</v>
      </c>
      <c r="O646" t="n">
        <v>0</v>
      </c>
      <c r="P646" t="n">
        <v>0</v>
      </c>
      <c r="Q646" t="n">
        <v>0</v>
      </c>
      <c r="R646" s="2" t="inlineStr"/>
    </row>
    <row r="647" ht="15" customHeight="1">
      <c r="A647" t="inlineStr">
        <is>
          <t>A 3005-2023</t>
        </is>
      </c>
      <c r="B647" s="1" t="n">
        <v>44945</v>
      </c>
      <c r="C647" s="1" t="n">
        <v>45807</v>
      </c>
      <c r="D647" t="inlineStr">
        <is>
          <t>UPPSALA LÄN</t>
        </is>
      </c>
      <c r="E647" t="inlineStr">
        <is>
          <t>ÖSTHAMMAR</t>
        </is>
      </c>
      <c r="F647" t="inlineStr">
        <is>
          <t>Bergvik skog öst AB</t>
        </is>
      </c>
      <c r="G647" t="n">
        <v>6.5</v>
      </c>
      <c r="H647" t="n">
        <v>0</v>
      </c>
      <c r="I647" t="n">
        <v>0</v>
      </c>
      <c r="J647" t="n">
        <v>0</v>
      </c>
      <c r="K647" t="n">
        <v>0</v>
      </c>
      <c r="L647" t="n">
        <v>0</v>
      </c>
      <c r="M647" t="n">
        <v>0</v>
      </c>
      <c r="N647" t="n">
        <v>0</v>
      </c>
      <c r="O647" t="n">
        <v>0</v>
      </c>
      <c r="P647" t="n">
        <v>0</v>
      </c>
      <c r="Q647" t="n">
        <v>0</v>
      </c>
      <c r="R647" s="2" t="inlineStr"/>
    </row>
    <row r="648" ht="15" customHeight="1">
      <c r="A648" t="inlineStr">
        <is>
          <t>A 3743-2023</t>
        </is>
      </c>
      <c r="B648" s="1" t="n">
        <v>44948</v>
      </c>
      <c r="C648" s="1" t="n">
        <v>45807</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3327-2023</t>
        </is>
      </c>
      <c r="B649" s="1" t="n">
        <v>44949</v>
      </c>
      <c r="C649" s="1" t="n">
        <v>45807</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3514-2023</t>
        </is>
      </c>
      <c r="B650" s="1" t="n">
        <v>44950</v>
      </c>
      <c r="C650" s="1" t="n">
        <v>45807</v>
      </c>
      <c r="D650" t="inlineStr">
        <is>
          <t>UPPSALA LÄN</t>
        </is>
      </c>
      <c r="E650" t="inlineStr">
        <is>
          <t>ÖSTHAMMAR</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4004-2023</t>
        </is>
      </c>
      <c r="B651" s="1" t="n">
        <v>44952</v>
      </c>
      <c r="C651" s="1" t="n">
        <v>45807</v>
      </c>
      <c r="D651" t="inlineStr">
        <is>
          <t>UPPSALA LÄN</t>
        </is>
      </c>
      <c r="E651" t="inlineStr">
        <is>
          <t>ÖSTHAMMAR</t>
        </is>
      </c>
      <c r="G651" t="n">
        <v>4.1</v>
      </c>
      <c r="H651" t="n">
        <v>0</v>
      </c>
      <c r="I651" t="n">
        <v>0</v>
      </c>
      <c r="J651" t="n">
        <v>0</v>
      </c>
      <c r="K651" t="n">
        <v>0</v>
      </c>
      <c r="L651" t="n">
        <v>0</v>
      </c>
      <c r="M651" t="n">
        <v>0</v>
      </c>
      <c r="N651" t="n">
        <v>0</v>
      </c>
      <c r="O651" t="n">
        <v>0</v>
      </c>
      <c r="P651" t="n">
        <v>0</v>
      </c>
      <c r="Q651" t="n">
        <v>0</v>
      </c>
      <c r="R651" s="2" t="inlineStr"/>
    </row>
    <row r="652" ht="15" customHeight="1">
      <c r="A652" t="inlineStr">
        <is>
          <t>A 4054-2023</t>
        </is>
      </c>
      <c r="B652" s="1" t="n">
        <v>44952</v>
      </c>
      <c r="C652" s="1" t="n">
        <v>45807</v>
      </c>
      <c r="D652" t="inlineStr">
        <is>
          <t>UPPSALA LÄN</t>
        </is>
      </c>
      <c r="E652" t="inlineStr">
        <is>
          <t>ÖSTHAMMAR</t>
        </is>
      </c>
      <c r="F652" t="inlineStr">
        <is>
          <t>Övriga Aktiebolag</t>
        </is>
      </c>
      <c r="G652" t="n">
        <v>1.1</v>
      </c>
      <c r="H652" t="n">
        <v>0</v>
      </c>
      <c r="I652" t="n">
        <v>0</v>
      </c>
      <c r="J652" t="n">
        <v>0</v>
      </c>
      <c r="K652" t="n">
        <v>0</v>
      </c>
      <c r="L652" t="n">
        <v>0</v>
      </c>
      <c r="M652" t="n">
        <v>0</v>
      </c>
      <c r="N652" t="n">
        <v>0</v>
      </c>
      <c r="O652" t="n">
        <v>0</v>
      </c>
      <c r="P652" t="n">
        <v>0</v>
      </c>
      <c r="Q652" t="n">
        <v>0</v>
      </c>
      <c r="R652" s="2" t="inlineStr"/>
    </row>
    <row r="653" ht="15" customHeight="1">
      <c r="A653" t="inlineStr">
        <is>
          <t>A 4233-2023</t>
        </is>
      </c>
      <c r="B653" s="1" t="n">
        <v>44953</v>
      </c>
      <c r="C653" s="1" t="n">
        <v>45807</v>
      </c>
      <c r="D653" t="inlineStr">
        <is>
          <t>UPPSALA LÄN</t>
        </is>
      </c>
      <c r="E653" t="inlineStr">
        <is>
          <t>ÖSTHAMMAR</t>
        </is>
      </c>
      <c r="G653" t="n">
        <v>0.9</v>
      </c>
      <c r="H653" t="n">
        <v>0</v>
      </c>
      <c r="I653" t="n">
        <v>0</v>
      </c>
      <c r="J653" t="n">
        <v>0</v>
      </c>
      <c r="K653" t="n">
        <v>0</v>
      </c>
      <c r="L653" t="n">
        <v>0</v>
      </c>
      <c r="M653" t="n">
        <v>0</v>
      </c>
      <c r="N653" t="n">
        <v>0</v>
      </c>
      <c r="O653" t="n">
        <v>0</v>
      </c>
      <c r="P653" t="n">
        <v>0</v>
      </c>
      <c r="Q653" t="n">
        <v>0</v>
      </c>
      <c r="R653" s="2" t="inlineStr"/>
    </row>
    <row r="654" ht="15" customHeight="1">
      <c r="A654" t="inlineStr">
        <is>
          <t>A 4228-2023</t>
        </is>
      </c>
      <c r="B654" s="1" t="n">
        <v>44953</v>
      </c>
      <c r="C654" s="1" t="n">
        <v>45807</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4361-2023</t>
        </is>
      </c>
      <c r="B655" s="1" t="n">
        <v>44954</v>
      </c>
      <c r="C655" s="1" t="n">
        <v>45807</v>
      </c>
      <c r="D655" t="inlineStr">
        <is>
          <t>UPPSALA LÄN</t>
        </is>
      </c>
      <c r="E655" t="inlineStr">
        <is>
          <t>ÖSTHAMMAR</t>
        </is>
      </c>
      <c r="F655" t="inlineStr">
        <is>
          <t>Bergvik skog öst AB</t>
        </is>
      </c>
      <c r="G655" t="n">
        <v>18.3</v>
      </c>
      <c r="H655" t="n">
        <v>0</v>
      </c>
      <c r="I655" t="n">
        <v>0</v>
      </c>
      <c r="J655" t="n">
        <v>0</v>
      </c>
      <c r="K655" t="n">
        <v>0</v>
      </c>
      <c r="L655" t="n">
        <v>0</v>
      </c>
      <c r="M655" t="n">
        <v>0</v>
      </c>
      <c r="N655" t="n">
        <v>0</v>
      </c>
      <c r="O655" t="n">
        <v>0</v>
      </c>
      <c r="P655" t="n">
        <v>0</v>
      </c>
      <c r="Q655" t="n">
        <v>0</v>
      </c>
      <c r="R655" s="2" t="inlineStr"/>
    </row>
    <row r="656" ht="15" customHeight="1">
      <c r="A656" t="inlineStr">
        <is>
          <t>A 5404-2023</t>
        </is>
      </c>
      <c r="B656" s="1" t="n">
        <v>44957</v>
      </c>
      <c r="C656" s="1" t="n">
        <v>45807</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5429-2023</t>
        </is>
      </c>
      <c r="B657" s="1" t="n">
        <v>44959</v>
      </c>
      <c r="C657" s="1" t="n">
        <v>45807</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5430-2023</t>
        </is>
      </c>
      <c r="B658" s="1" t="n">
        <v>44959</v>
      </c>
      <c r="C658" s="1" t="n">
        <v>45807</v>
      </c>
      <c r="D658" t="inlineStr">
        <is>
          <t>UPPSALA LÄN</t>
        </is>
      </c>
      <c r="E658" t="inlineStr">
        <is>
          <t>ÖSTHAMMAR</t>
        </is>
      </c>
      <c r="F658" t="inlineStr">
        <is>
          <t>Bergvik skog öst AB</t>
        </is>
      </c>
      <c r="G658" t="n">
        <v>18.4</v>
      </c>
      <c r="H658" t="n">
        <v>0</v>
      </c>
      <c r="I658" t="n">
        <v>0</v>
      </c>
      <c r="J658" t="n">
        <v>0</v>
      </c>
      <c r="K658" t="n">
        <v>0</v>
      </c>
      <c r="L658" t="n">
        <v>0</v>
      </c>
      <c r="M658" t="n">
        <v>0</v>
      </c>
      <c r="N658" t="n">
        <v>0</v>
      </c>
      <c r="O658" t="n">
        <v>0</v>
      </c>
      <c r="P658" t="n">
        <v>0</v>
      </c>
      <c r="Q658" t="n">
        <v>0</v>
      </c>
      <c r="R658" s="2" t="inlineStr"/>
    </row>
    <row r="659" ht="15" customHeight="1">
      <c r="A659" t="inlineStr">
        <is>
          <t>A 5643-2023</t>
        </is>
      </c>
      <c r="B659" s="1" t="n">
        <v>44960</v>
      </c>
      <c r="C659" s="1" t="n">
        <v>45807</v>
      </c>
      <c r="D659" t="inlineStr">
        <is>
          <t>UPPSALA LÄN</t>
        </is>
      </c>
      <c r="E659" t="inlineStr">
        <is>
          <t>ÖSTHAMMAR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6629-2023</t>
        </is>
      </c>
      <c r="B660" s="1" t="n">
        <v>44960</v>
      </c>
      <c r="C660" s="1" t="n">
        <v>45807</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6635-2023</t>
        </is>
      </c>
      <c r="B661" s="1" t="n">
        <v>44960</v>
      </c>
      <c r="C661" s="1" t="n">
        <v>45807</v>
      </c>
      <c r="D661" t="inlineStr">
        <is>
          <t>UPPSALA LÄN</t>
        </is>
      </c>
      <c r="E661" t="inlineStr">
        <is>
          <t>ÖSTHAMMAR</t>
        </is>
      </c>
      <c r="G661" t="n">
        <v>4.6</v>
      </c>
      <c r="H661" t="n">
        <v>0</v>
      </c>
      <c r="I661" t="n">
        <v>0</v>
      </c>
      <c r="J661" t="n">
        <v>0</v>
      </c>
      <c r="K661" t="n">
        <v>0</v>
      </c>
      <c r="L661" t="n">
        <v>0</v>
      </c>
      <c r="M661" t="n">
        <v>0</v>
      </c>
      <c r="N661" t="n">
        <v>0</v>
      </c>
      <c r="O661" t="n">
        <v>0</v>
      </c>
      <c r="P661" t="n">
        <v>0</v>
      </c>
      <c r="Q661" t="n">
        <v>0</v>
      </c>
      <c r="R661" s="2" t="inlineStr"/>
    </row>
    <row r="662" ht="15" customHeight="1">
      <c r="A662" t="inlineStr">
        <is>
          <t>A 5832-2023</t>
        </is>
      </c>
      <c r="B662" s="1" t="n">
        <v>44963</v>
      </c>
      <c r="C662" s="1" t="n">
        <v>45807</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5836-2023</t>
        </is>
      </c>
      <c r="B663" s="1" t="n">
        <v>44963</v>
      </c>
      <c r="C663" s="1" t="n">
        <v>45807</v>
      </c>
      <c r="D663" t="inlineStr">
        <is>
          <t>UPPSALA LÄN</t>
        </is>
      </c>
      <c r="E663" t="inlineStr">
        <is>
          <t>ÖSTHAMMAR</t>
        </is>
      </c>
      <c r="G663" t="n">
        <v>1.7</v>
      </c>
      <c r="H663" t="n">
        <v>0</v>
      </c>
      <c r="I663" t="n">
        <v>0</v>
      </c>
      <c r="J663" t="n">
        <v>0</v>
      </c>
      <c r="K663" t="n">
        <v>0</v>
      </c>
      <c r="L663" t="n">
        <v>0</v>
      </c>
      <c r="M663" t="n">
        <v>0</v>
      </c>
      <c r="N663" t="n">
        <v>0</v>
      </c>
      <c r="O663" t="n">
        <v>0</v>
      </c>
      <c r="P663" t="n">
        <v>0</v>
      </c>
      <c r="Q663" t="n">
        <v>0</v>
      </c>
      <c r="R663" s="2" t="inlineStr"/>
    </row>
    <row r="664" ht="15" customHeight="1">
      <c r="A664" t="inlineStr">
        <is>
          <t>A 5831-2023</t>
        </is>
      </c>
      <c r="B664" s="1" t="n">
        <v>44963</v>
      </c>
      <c r="C664" s="1" t="n">
        <v>45807</v>
      </c>
      <c r="D664" t="inlineStr">
        <is>
          <t>UPPSALA LÄN</t>
        </is>
      </c>
      <c r="E664" t="inlineStr">
        <is>
          <t>ÖSTHAMMAR</t>
        </is>
      </c>
      <c r="G664" t="n">
        <v>8.1</v>
      </c>
      <c r="H664" t="n">
        <v>0</v>
      </c>
      <c r="I664" t="n">
        <v>0</v>
      </c>
      <c r="J664" t="n">
        <v>0</v>
      </c>
      <c r="K664" t="n">
        <v>0</v>
      </c>
      <c r="L664" t="n">
        <v>0</v>
      </c>
      <c r="M664" t="n">
        <v>0</v>
      </c>
      <c r="N664" t="n">
        <v>0</v>
      </c>
      <c r="O664" t="n">
        <v>0</v>
      </c>
      <c r="P664" t="n">
        <v>0</v>
      </c>
      <c r="Q664" t="n">
        <v>0</v>
      </c>
      <c r="R664" s="2" t="inlineStr"/>
    </row>
    <row r="665" ht="15" customHeight="1">
      <c r="A665" t="inlineStr">
        <is>
          <t>A 5857-2023</t>
        </is>
      </c>
      <c r="B665" s="1" t="n">
        <v>44963</v>
      </c>
      <c r="C665" s="1" t="n">
        <v>45807</v>
      </c>
      <c r="D665" t="inlineStr">
        <is>
          <t>UPPSALA LÄN</t>
        </is>
      </c>
      <c r="E665" t="inlineStr">
        <is>
          <t>ÖSTHAMMAR</t>
        </is>
      </c>
      <c r="G665" t="n">
        <v>1.6</v>
      </c>
      <c r="H665" t="n">
        <v>0</v>
      </c>
      <c r="I665" t="n">
        <v>0</v>
      </c>
      <c r="J665" t="n">
        <v>0</v>
      </c>
      <c r="K665" t="n">
        <v>0</v>
      </c>
      <c r="L665" t="n">
        <v>0</v>
      </c>
      <c r="M665" t="n">
        <v>0</v>
      </c>
      <c r="N665" t="n">
        <v>0</v>
      </c>
      <c r="O665" t="n">
        <v>0</v>
      </c>
      <c r="P665" t="n">
        <v>0</v>
      </c>
      <c r="Q665" t="n">
        <v>0</v>
      </c>
      <c r="R665" s="2" t="inlineStr"/>
    </row>
    <row r="666" ht="15" customHeight="1">
      <c r="A666" t="inlineStr">
        <is>
          <t>A 5884-2023</t>
        </is>
      </c>
      <c r="B666" s="1" t="n">
        <v>44963</v>
      </c>
      <c r="C666" s="1" t="n">
        <v>45807</v>
      </c>
      <c r="D666" t="inlineStr">
        <is>
          <t>UPPSALA LÄN</t>
        </is>
      </c>
      <c r="E666" t="inlineStr">
        <is>
          <t>ÖSTHAMMAR</t>
        </is>
      </c>
      <c r="G666" t="n">
        <v>0.6</v>
      </c>
      <c r="H666" t="n">
        <v>0</v>
      </c>
      <c r="I666" t="n">
        <v>0</v>
      </c>
      <c r="J666" t="n">
        <v>0</v>
      </c>
      <c r="K666" t="n">
        <v>0</v>
      </c>
      <c r="L666" t="n">
        <v>0</v>
      </c>
      <c r="M666" t="n">
        <v>0</v>
      </c>
      <c r="N666" t="n">
        <v>0</v>
      </c>
      <c r="O666" t="n">
        <v>0</v>
      </c>
      <c r="P666" t="n">
        <v>0</v>
      </c>
      <c r="Q666" t="n">
        <v>0</v>
      </c>
      <c r="R666" s="2" t="inlineStr"/>
    </row>
    <row r="667" ht="15" customHeight="1">
      <c r="A667" t="inlineStr">
        <is>
          <t>A 5877-2023</t>
        </is>
      </c>
      <c r="B667" s="1" t="n">
        <v>44963</v>
      </c>
      <c r="C667" s="1" t="n">
        <v>45807</v>
      </c>
      <c r="D667" t="inlineStr">
        <is>
          <t>UPPSALA LÄN</t>
        </is>
      </c>
      <c r="E667" t="inlineStr">
        <is>
          <t>ÖSTHAMMAR</t>
        </is>
      </c>
      <c r="G667" t="n">
        <v>0.7</v>
      </c>
      <c r="H667" t="n">
        <v>0</v>
      </c>
      <c r="I667" t="n">
        <v>0</v>
      </c>
      <c r="J667" t="n">
        <v>0</v>
      </c>
      <c r="K667" t="n">
        <v>0</v>
      </c>
      <c r="L667" t="n">
        <v>0</v>
      </c>
      <c r="M667" t="n">
        <v>0</v>
      </c>
      <c r="N667" t="n">
        <v>0</v>
      </c>
      <c r="O667" t="n">
        <v>0</v>
      </c>
      <c r="P667" t="n">
        <v>0</v>
      </c>
      <c r="Q667" t="n">
        <v>0</v>
      </c>
      <c r="R667" s="2" t="inlineStr"/>
    </row>
    <row r="668" ht="15" customHeight="1">
      <c r="A668" t="inlineStr">
        <is>
          <t>A 7195-2023</t>
        </is>
      </c>
      <c r="B668" s="1" t="n">
        <v>44970</v>
      </c>
      <c r="C668" s="1" t="n">
        <v>45807</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7206-2023</t>
        </is>
      </c>
      <c r="B669" s="1" t="n">
        <v>44970</v>
      </c>
      <c r="C669" s="1" t="n">
        <v>45807</v>
      </c>
      <c r="D669" t="inlineStr">
        <is>
          <t>UPPSALA LÄN</t>
        </is>
      </c>
      <c r="E669" t="inlineStr">
        <is>
          <t>ÖSTHAMMAR</t>
        </is>
      </c>
      <c r="G669" t="n">
        <v>1</v>
      </c>
      <c r="H669" t="n">
        <v>0</v>
      </c>
      <c r="I669" t="n">
        <v>0</v>
      </c>
      <c r="J669" t="n">
        <v>0</v>
      </c>
      <c r="K669" t="n">
        <v>0</v>
      </c>
      <c r="L669" t="n">
        <v>0</v>
      </c>
      <c r="M669" t="n">
        <v>0</v>
      </c>
      <c r="N669" t="n">
        <v>0</v>
      </c>
      <c r="O669" t="n">
        <v>0</v>
      </c>
      <c r="P669" t="n">
        <v>0</v>
      </c>
      <c r="Q669" t="n">
        <v>0</v>
      </c>
      <c r="R669" s="2" t="inlineStr"/>
    </row>
    <row r="670" ht="15" customHeight="1">
      <c r="A670" t="inlineStr">
        <is>
          <t>A 7118-2023</t>
        </is>
      </c>
      <c r="B670" s="1" t="n">
        <v>44970</v>
      </c>
      <c r="C670" s="1" t="n">
        <v>45807</v>
      </c>
      <c r="D670" t="inlineStr">
        <is>
          <t>UPPSALA LÄN</t>
        </is>
      </c>
      <c r="E670" t="inlineStr">
        <is>
          <t>ÖSTHAMMAR</t>
        </is>
      </c>
      <c r="G670" t="n">
        <v>2.1</v>
      </c>
      <c r="H670" t="n">
        <v>0</v>
      </c>
      <c r="I670" t="n">
        <v>0</v>
      </c>
      <c r="J670" t="n">
        <v>0</v>
      </c>
      <c r="K670" t="n">
        <v>0</v>
      </c>
      <c r="L670" t="n">
        <v>0</v>
      </c>
      <c r="M670" t="n">
        <v>0</v>
      </c>
      <c r="N670" t="n">
        <v>0</v>
      </c>
      <c r="O670" t="n">
        <v>0</v>
      </c>
      <c r="P670" t="n">
        <v>0</v>
      </c>
      <c r="Q670" t="n">
        <v>0</v>
      </c>
      <c r="R670" s="2" t="inlineStr"/>
    </row>
    <row r="671" ht="15" customHeight="1">
      <c r="A671" t="inlineStr">
        <is>
          <t>A 7546-2023</t>
        </is>
      </c>
      <c r="B671" s="1" t="n">
        <v>44972</v>
      </c>
      <c r="C671" s="1" t="n">
        <v>45807</v>
      </c>
      <c r="D671" t="inlineStr">
        <is>
          <t>UPPSALA LÄN</t>
        </is>
      </c>
      <c r="E671" t="inlineStr">
        <is>
          <t>ÖSTHAMMAR</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7543-2023</t>
        </is>
      </c>
      <c r="B672" s="1" t="n">
        <v>44972</v>
      </c>
      <c r="C672" s="1" t="n">
        <v>45807</v>
      </c>
      <c r="D672" t="inlineStr">
        <is>
          <t>UPPSALA LÄN</t>
        </is>
      </c>
      <c r="E672" t="inlineStr">
        <is>
          <t>ÖSTHAMMAR</t>
        </is>
      </c>
      <c r="F672" t="inlineStr">
        <is>
          <t>Bergvik skog öst AB</t>
        </is>
      </c>
      <c r="G672" t="n">
        <v>13.3</v>
      </c>
      <c r="H672" t="n">
        <v>0</v>
      </c>
      <c r="I672" t="n">
        <v>0</v>
      </c>
      <c r="J672" t="n">
        <v>0</v>
      </c>
      <c r="K672" t="n">
        <v>0</v>
      </c>
      <c r="L672" t="n">
        <v>0</v>
      </c>
      <c r="M672" t="n">
        <v>0</v>
      </c>
      <c r="N672" t="n">
        <v>0</v>
      </c>
      <c r="O672" t="n">
        <v>0</v>
      </c>
      <c r="P672" t="n">
        <v>0</v>
      </c>
      <c r="Q672" t="n">
        <v>0</v>
      </c>
      <c r="R672" s="2" t="inlineStr"/>
    </row>
    <row r="673" ht="15" customHeight="1">
      <c r="A673" t="inlineStr">
        <is>
          <t>A 7560-2023</t>
        </is>
      </c>
      <c r="B673" s="1" t="n">
        <v>44972</v>
      </c>
      <c r="C673" s="1" t="n">
        <v>45807</v>
      </c>
      <c r="D673" t="inlineStr">
        <is>
          <t>UPPSALA LÄN</t>
        </is>
      </c>
      <c r="E673" t="inlineStr">
        <is>
          <t>ÖSTHAMMAR</t>
        </is>
      </c>
      <c r="F673" t="inlineStr">
        <is>
          <t>Bergvik skog öst AB</t>
        </is>
      </c>
      <c r="G673" t="n">
        <v>1.3</v>
      </c>
      <c r="H673" t="n">
        <v>0</v>
      </c>
      <c r="I673" t="n">
        <v>0</v>
      </c>
      <c r="J673" t="n">
        <v>0</v>
      </c>
      <c r="K673" t="n">
        <v>0</v>
      </c>
      <c r="L673" t="n">
        <v>0</v>
      </c>
      <c r="M673" t="n">
        <v>0</v>
      </c>
      <c r="N673" t="n">
        <v>0</v>
      </c>
      <c r="O673" t="n">
        <v>0</v>
      </c>
      <c r="P673" t="n">
        <v>0</v>
      </c>
      <c r="Q673" t="n">
        <v>0</v>
      </c>
      <c r="R673" s="2" t="inlineStr"/>
    </row>
    <row r="674" ht="15" customHeight="1">
      <c r="A674" t="inlineStr">
        <is>
          <t>A 7876-2023</t>
        </is>
      </c>
      <c r="B674" s="1" t="n">
        <v>44973</v>
      </c>
      <c r="C674" s="1" t="n">
        <v>45807</v>
      </c>
      <c r="D674" t="inlineStr">
        <is>
          <t>UPPSALA LÄN</t>
        </is>
      </c>
      <c r="E674" t="inlineStr">
        <is>
          <t>ÖSTHAMMAR</t>
        </is>
      </c>
      <c r="G674" t="n">
        <v>0.9</v>
      </c>
      <c r="H674" t="n">
        <v>0</v>
      </c>
      <c r="I674" t="n">
        <v>0</v>
      </c>
      <c r="J674" t="n">
        <v>0</v>
      </c>
      <c r="K674" t="n">
        <v>0</v>
      </c>
      <c r="L674" t="n">
        <v>0</v>
      </c>
      <c r="M674" t="n">
        <v>0</v>
      </c>
      <c r="N674" t="n">
        <v>0</v>
      </c>
      <c r="O674" t="n">
        <v>0</v>
      </c>
      <c r="P674" t="n">
        <v>0</v>
      </c>
      <c r="Q674" t="n">
        <v>0</v>
      </c>
      <c r="R674" s="2" t="inlineStr"/>
    </row>
    <row r="675" ht="15" customHeight="1">
      <c r="A675" t="inlineStr">
        <is>
          <t>A 7944-2023</t>
        </is>
      </c>
      <c r="B675" s="1" t="n">
        <v>44973</v>
      </c>
      <c r="C675" s="1" t="n">
        <v>45807</v>
      </c>
      <c r="D675" t="inlineStr">
        <is>
          <t>UPPSALA LÄN</t>
        </is>
      </c>
      <c r="E675" t="inlineStr">
        <is>
          <t>ÖSTHAMMAR</t>
        </is>
      </c>
      <c r="G675" t="n">
        <v>4.6</v>
      </c>
      <c r="H675" t="n">
        <v>0</v>
      </c>
      <c r="I675" t="n">
        <v>0</v>
      </c>
      <c r="J675" t="n">
        <v>0</v>
      </c>
      <c r="K675" t="n">
        <v>0</v>
      </c>
      <c r="L675" t="n">
        <v>0</v>
      </c>
      <c r="M675" t="n">
        <v>0</v>
      </c>
      <c r="N675" t="n">
        <v>0</v>
      </c>
      <c r="O675" t="n">
        <v>0</v>
      </c>
      <c r="P675" t="n">
        <v>0</v>
      </c>
      <c r="Q675" t="n">
        <v>0</v>
      </c>
      <c r="R675" s="2" t="inlineStr"/>
    </row>
    <row r="676" ht="15" customHeight="1">
      <c r="A676" t="inlineStr">
        <is>
          <t>A 7975-2023</t>
        </is>
      </c>
      <c r="B676" s="1" t="n">
        <v>44973</v>
      </c>
      <c r="C676" s="1" t="n">
        <v>45807</v>
      </c>
      <c r="D676" t="inlineStr">
        <is>
          <t>UPPSALA LÄN</t>
        </is>
      </c>
      <c r="E676" t="inlineStr">
        <is>
          <t>ÖSTHAMMAR</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8006-2023</t>
        </is>
      </c>
      <c r="B677" s="1" t="n">
        <v>44973</v>
      </c>
      <c r="C677" s="1" t="n">
        <v>45807</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8616-2023</t>
        </is>
      </c>
      <c r="B678" s="1" t="n">
        <v>44977</v>
      </c>
      <c r="C678" s="1" t="n">
        <v>45807</v>
      </c>
      <c r="D678" t="inlineStr">
        <is>
          <t>UPPSALA LÄN</t>
        </is>
      </c>
      <c r="E678" t="inlineStr">
        <is>
          <t>ÖSTHAMMAR</t>
        </is>
      </c>
      <c r="F678" t="inlineStr">
        <is>
          <t>Bergvik skog öst AB</t>
        </is>
      </c>
      <c r="G678" t="n">
        <v>0.2</v>
      </c>
      <c r="H678" t="n">
        <v>0</v>
      </c>
      <c r="I678" t="n">
        <v>0</v>
      </c>
      <c r="J678" t="n">
        <v>0</v>
      </c>
      <c r="K678" t="n">
        <v>0</v>
      </c>
      <c r="L678" t="n">
        <v>0</v>
      </c>
      <c r="M678" t="n">
        <v>0</v>
      </c>
      <c r="N678" t="n">
        <v>0</v>
      </c>
      <c r="O678" t="n">
        <v>0</v>
      </c>
      <c r="P678" t="n">
        <v>0</v>
      </c>
      <c r="Q678" t="n">
        <v>0</v>
      </c>
      <c r="R678" s="2" t="inlineStr"/>
    </row>
    <row r="679" ht="15" customHeight="1">
      <c r="A679" t="inlineStr">
        <is>
          <t>A 8826-2023</t>
        </is>
      </c>
      <c r="B679" s="1" t="n">
        <v>44978</v>
      </c>
      <c r="C679" s="1" t="n">
        <v>45807</v>
      </c>
      <c r="D679" t="inlineStr">
        <is>
          <t>UPPSALA LÄN</t>
        </is>
      </c>
      <c r="E679" t="inlineStr">
        <is>
          <t>ÖSTHAMMAR</t>
        </is>
      </c>
      <c r="F679" t="inlineStr">
        <is>
          <t>Bergvik skog öst AB</t>
        </is>
      </c>
      <c r="G679" t="n">
        <v>4.3</v>
      </c>
      <c r="H679" t="n">
        <v>0</v>
      </c>
      <c r="I679" t="n">
        <v>0</v>
      </c>
      <c r="J679" t="n">
        <v>0</v>
      </c>
      <c r="K679" t="n">
        <v>0</v>
      </c>
      <c r="L679" t="n">
        <v>0</v>
      </c>
      <c r="M679" t="n">
        <v>0</v>
      </c>
      <c r="N679" t="n">
        <v>0</v>
      </c>
      <c r="O679" t="n">
        <v>0</v>
      </c>
      <c r="P679" t="n">
        <v>0</v>
      </c>
      <c r="Q679" t="n">
        <v>0</v>
      </c>
      <c r="R679" s="2" t="inlineStr"/>
    </row>
    <row r="680" ht="15" customHeight="1">
      <c r="A680" t="inlineStr">
        <is>
          <t>A 8830-2023</t>
        </is>
      </c>
      <c r="B680" s="1" t="n">
        <v>44978</v>
      </c>
      <c r="C680" s="1" t="n">
        <v>45807</v>
      </c>
      <c r="D680" t="inlineStr">
        <is>
          <t>UPPSALA LÄN</t>
        </is>
      </c>
      <c r="E680" t="inlineStr">
        <is>
          <t>ÖSTHAMMAR</t>
        </is>
      </c>
      <c r="F680" t="inlineStr">
        <is>
          <t>Bergvik skog öst AB</t>
        </is>
      </c>
      <c r="G680" t="n">
        <v>1.6</v>
      </c>
      <c r="H680" t="n">
        <v>0</v>
      </c>
      <c r="I680" t="n">
        <v>0</v>
      </c>
      <c r="J680" t="n">
        <v>0</v>
      </c>
      <c r="K680" t="n">
        <v>0</v>
      </c>
      <c r="L680" t="n">
        <v>0</v>
      </c>
      <c r="M680" t="n">
        <v>0</v>
      </c>
      <c r="N680" t="n">
        <v>0</v>
      </c>
      <c r="O680" t="n">
        <v>0</v>
      </c>
      <c r="P680" t="n">
        <v>0</v>
      </c>
      <c r="Q680" t="n">
        <v>0</v>
      </c>
      <c r="R680" s="2" t="inlineStr"/>
    </row>
    <row r="681" ht="15" customHeight="1">
      <c r="A681" t="inlineStr">
        <is>
          <t>A 9052-2023</t>
        </is>
      </c>
      <c r="B681" s="1" t="n">
        <v>44979</v>
      </c>
      <c r="C681" s="1" t="n">
        <v>45807</v>
      </c>
      <c r="D681" t="inlineStr">
        <is>
          <t>UPPSALA LÄN</t>
        </is>
      </c>
      <c r="E681" t="inlineStr">
        <is>
          <t>ÖSTHAMMAR</t>
        </is>
      </c>
      <c r="F681" t="inlineStr">
        <is>
          <t>Kyrkan</t>
        </is>
      </c>
      <c r="G681" t="n">
        <v>0.2</v>
      </c>
      <c r="H681" t="n">
        <v>0</v>
      </c>
      <c r="I681" t="n">
        <v>0</v>
      </c>
      <c r="J681" t="n">
        <v>0</v>
      </c>
      <c r="K681" t="n">
        <v>0</v>
      </c>
      <c r="L681" t="n">
        <v>0</v>
      </c>
      <c r="M681" t="n">
        <v>0</v>
      </c>
      <c r="N681" t="n">
        <v>0</v>
      </c>
      <c r="O681" t="n">
        <v>0</v>
      </c>
      <c r="P681" t="n">
        <v>0</v>
      </c>
      <c r="Q681" t="n">
        <v>0</v>
      </c>
      <c r="R681" s="2" t="inlineStr"/>
    </row>
    <row r="682" ht="15" customHeight="1">
      <c r="A682" t="inlineStr">
        <is>
          <t>A 9543-2023</t>
        </is>
      </c>
      <c r="B682" s="1" t="n">
        <v>44981</v>
      </c>
      <c r="C682" s="1" t="n">
        <v>45807</v>
      </c>
      <c r="D682" t="inlineStr">
        <is>
          <t>UPPSALA LÄN</t>
        </is>
      </c>
      <c r="E682" t="inlineStr">
        <is>
          <t>ÖSTHAMMAR</t>
        </is>
      </c>
      <c r="F682" t="inlineStr">
        <is>
          <t>Bergvik skog öst AB</t>
        </is>
      </c>
      <c r="G682" t="n">
        <v>5.9</v>
      </c>
      <c r="H682" t="n">
        <v>0</v>
      </c>
      <c r="I682" t="n">
        <v>0</v>
      </c>
      <c r="J682" t="n">
        <v>0</v>
      </c>
      <c r="K682" t="n">
        <v>0</v>
      </c>
      <c r="L682" t="n">
        <v>0</v>
      </c>
      <c r="M682" t="n">
        <v>0</v>
      </c>
      <c r="N682" t="n">
        <v>0</v>
      </c>
      <c r="O682" t="n">
        <v>0</v>
      </c>
      <c r="P682" t="n">
        <v>0</v>
      </c>
      <c r="Q682" t="n">
        <v>0</v>
      </c>
      <c r="R682" s="2" t="inlineStr"/>
    </row>
    <row r="683" ht="15" customHeight="1">
      <c r="A683" t="inlineStr">
        <is>
          <t>A 9542-2023</t>
        </is>
      </c>
      <c r="B683" s="1" t="n">
        <v>44981</v>
      </c>
      <c r="C683" s="1" t="n">
        <v>45807</v>
      </c>
      <c r="D683" t="inlineStr">
        <is>
          <t>UPPSALA LÄN</t>
        </is>
      </c>
      <c r="E683" t="inlineStr">
        <is>
          <t>ÖSTHAMMAR</t>
        </is>
      </c>
      <c r="F683" t="inlineStr">
        <is>
          <t>Bergvik skog öst AB</t>
        </is>
      </c>
      <c r="G683" t="n">
        <v>0.4</v>
      </c>
      <c r="H683" t="n">
        <v>0</v>
      </c>
      <c r="I683" t="n">
        <v>0</v>
      </c>
      <c r="J683" t="n">
        <v>0</v>
      </c>
      <c r="K683" t="n">
        <v>0</v>
      </c>
      <c r="L683" t="n">
        <v>0</v>
      </c>
      <c r="M683" t="n">
        <v>0</v>
      </c>
      <c r="N683" t="n">
        <v>0</v>
      </c>
      <c r="O683" t="n">
        <v>0</v>
      </c>
      <c r="P683" t="n">
        <v>0</v>
      </c>
      <c r="Q683" t="n">
        <v>0</v>
      </c>
      <c r="R683" s="2" t="inlineStr"/>
    </row>
    <row r="684" ht="15" customHeight="1">
      <c r="A684" t="inlineStr">
        <is>
          <t>A 10449-2023</t>
        </is>
      </c>
      <c r="B684" s="1" t="n">
        <v>44987</v>
      </c>
      <c r="C684" s="1" t="n">
        <v>45807</v>
      </c>
      <c r="D684" t="inlineStr">
        <is>
          <t>UPPSALA LÄN</t>
        </is>
      </c>
      <c r="E684" t="inlineStr">
        <is>
          <t>ÖSTHAMMAR</t>
        </is>
      </c>
      <c r="G684" t="n">
        <v>3.1</v>
      </c>
      <c r="H684" t="n">
        <v>0</v>
      </c>
      <c r="I684" t="n">
        <v>0</v>
      </c>
      <c r="J684" t="n">
        <v>0</v>
      </c>
      <c r="K684" t="n">
        <v>0</v>
      </c>
      <c r="L684" t="n">
        <v>0</v>
      </c>
      <c r="M684" t="n">
        <v>0</v>
      </c>
      <c r="N684" t="n">
        <v>0</v>
      </c>
      <c r="O684" t="n">
        <v>0</v>
      </c>
      <c r="P684" t="n">
        <v>0</v>
      </c>
      <c r="Q684" t="n">
        <v>0</v>
      </c>
      <c r="R684" s="2" t="inlineStr"/>
    </row>
    <row r="685" ht="15" customHeight="1">
      <c r="A685" t="inlineStr">
        <is>
          <t>A 11017-2023</t>
        </is>
      </c>
      <c r="B685" s="1" t="n">
        <v>44991</v>
      </c>
      <c r="C685" s="1" t="n">
        <v>45807</v>
      </c>
      <c r="D685" t="inlineStr">
        <is>
          <t>UPPSALA LÄN</t>
        </is>
      </c>
      <c r="E685" t="inlineStr">
        <is>
          <t>ÖSTHAMMAR</t>
        </is>
      </c>
      <c r="G685" t="n">
        <v>1.9</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v>
      </c>
      <c r="C686" s="1" t="n">
        <v>45807</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11008-2023</t>
        </is>
      </c>
      <c r="B687" s="1" t="n">
        <v>44991</v>
      </c>
      <c r="C687" s="1" t="n">
        <v>45807</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11015-2023</t>
        </is>
      </c>
      <c r="B688" s="1" t="n">
        <v>44991</v>
      </c>
      <c r="C688" s="1" t="n">
        <v>45807</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11036-2023</t>
        </is>
      </c>
      <c r="B689" s="1" t="n">
        <v>44991</v>
      </c>
      <c r="C689" s="1" t="n">
        <v>45807</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11009-2023</t>
        </is>
      </c>
      <c r="B690" s="1" t="n">
        <v>44991</v>
      </c>
      <c r="C690" s="1" t="n">
        <v>45807</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11033-2023</t>
        </is>
      </c>
      <c r="B691" s="1" t="n">
        <v>44991</v>
      </c>
      <c r="C691" s="1" t="n">
        <v>45807</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11282-2023</t>
        </is>
      </c>
      <c r="B692" s="1" t="n">
        <v>44992</v>
      </c>
      <c r="C692" s="1" t="n">
        <v>45807</v>
      </c>
      <c r="D692" t="inlineStr">
        <is>
          <t>UPPSALA LÄN</t>
        </is>
      </c>
      <c r="E692" t="inlineStr">
        <is>
          <t>ÖSTHAMMAR</t>
        </is>
      </c>
      <c r="F692" t="inlineStr">
        <is>
          <t>Bergvik skog öst AB</t>
        </is>
      </c>
      <c r="G692" t="n">
        <v>12.3</v>
      </c>
      <c r="H692" t="n">
        <v>0</v>
      </c>
      <c r="I692" t="n">
        <v>0</v>
      </c>
      <c r="J692" t="n">
        <v>0</v>
      </c>
      <c r="K692" t="n">
        <v>0</v>
      </c>
      <c r="L692" t="n">
        <v>0</v>
      </c>
      <c r="M692" t="n">
        <v>0</v>
      </c>
      <c r="N692" t="n">
        <v>0</v>
      </c>
      <c r="O692" t="n">
        <v>0</v>
      </c>
      <c r="P692" t="n">
        <v>0</v>
      </c>
      <c r="Q692" t="n">
        <v>0</v>
      </c>
      <c r="R692" s="2" t="inlineStr"/>
    </row>
    <row r="693" ht="15" customHeight="1">
      <c r="A693" t="inlineStr">
        <is>
          <t>A 11281-2023</t>
        </is>
      </c>
      <c r="B693" s="1" t="n">
        <v>44992</v>
      </c>
      <c r="C693" s="1" t="n">
        <v>45807</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v>
      </c>
      <c r="C694" s="1" t="n">
        <v>45807</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12190-2023</t>
        </is>
      </c>
      <c r="B695" s="1" t="n">
        <v>44995</v>
      </c>
      <c r="C695" s="1" t="n">
        <v>45807</v>
      </c>
      <c r="D695" t="inlineStr">
        <is>
          <t>UPPSALA LÄN</t>
        </is>
      </c>
      <c r="E695" t="inlineStr">
        <is>
          <t>ÖSTHAMMAR</t>
        </is>
      </c>
      <c r="G695" t="n">
        <v>1.6</v>
      </c>
      <c r="H695" t="n">
        <v>0</v>
      </c>
      <c r="I695" t="n">
        <v>0</v>
      </c>
      <c r="J695" t="n">
        <v>0</v>
      </c>
      <c r="K695" t="n">
        <v>0</v>
      </c>
      <c r="L695" t="n">
        <v>0</v>
      </c>
      <c r="M695" t="n">
        <v>0</v>
      </c>
      <c r="N695" t="n">
        <v>0</v>
      </c>
      <c r="O695" t="n">
        <v>0</v>
      </c>
      <c r="P695" t="n">
        <v>0</v>
      </c>
      <c r="Q695" t="n">
        <v>0</v>
      </c>
      <c r="R695" s="2" t="inlineStr"/>
    </row>
    <row r="696" ht="15" customHeight="1">
      <c r="A696" t="inlineStr">
        <is>
          <t>A 12186-2023</t>
        </is>
      </c>
      <c r="B696" s="1" t="n">
        <v>44995</v>
      </c>
      <c r="C696" s="1" t="n">
        <v>45807</v>
      </c>
      <c r="D696" t="inlineStr">
        <is>
          <t>UPPSALA LÄN</t>
        </is>
      </c>
      <c r="E696" t="inlineStr">
        <is>
          <t>ÖSTHAMMAR</t>
        </is>
      </c>
      <c r="G696" t="n">
        <v>5.7</v>
      </c>
      <c r="H696" t="n">
        <v>0</v>
      </c>
      <c r="I696" t="n">
        <v>0</v>
      </c>
      <c r="J696" t="n">
        <v>0</v>
      </c>
      <c r="K696" t="n">
        <v>0</v>
      </c>
      <c r="L696" t="n">
        <v>0</v>
      </c>
      <c r="M696" t="n">
        <v>0</v>
      </c>
      <c r="N696" t="n">
        <v>0</v>
      </c>
      <c r="O696" t="n">
        <v>0</v>
      </c>
      <c r="P696" t="n">
        <v>0</v>
      </c>
      <c r="Q696" t="n">
        <v>0</v>
      </c>
      <c r="R696" s="2" t="inlineStr"/>
    </row>
    <row r="697" ht="15" customHeight="1">
      <c r="A697" t="inlineStr">
        <is>
          <t>A 12262-2023</t>
        </is>
      </c>
      <c r="B697" s="1" t="n">
        <v>44998</v>
      </c>
      <c r="C697" s="1" t="n">
        <v>45807</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45807</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12497-2023</t>
        </is>
      </c>
      <c r="B699" s="1" t="n">
        <v>44999</v>
      </c>
      <c r="C699" s="1" t="n">
        <v>45807</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13336-2023</t>
        </is>
      </c>
      <c r="B700" s="1" t="n">
        <v>45005</v>
      </c>
      <c r="C700" s="1" t="n">
        <v>45807</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45807</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13643-2023</t>
        </is>
      </c>
      <c r="B702" s="1" t="n">
        <v>45006</v>
      </c>
      <c r="C702" s="1" t="n">
        <v>45807</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13580-2023</t>
        </is>
      </c>
      <c r="B703" s="1" t="n">
        <v>45006</v>
      </c>
      <c r="C703" s="1" t="n">
        <v>45807</v>
      </c>
      <c r="D703" t="inlineStr">
        <is>
          <t>UPPSALA LÄN</t>
        </is>
      </c>
      <c r="E703" t="inlineStr">
        <is>
          <t>ÖSTHAMMAR</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13584-2023</t>
        </is>
      </c>
      <c r="B704" s="1" t="n">
        <v>45006</v>
      </c>
      <c r="C704" s="1" t="n">
        <v>45807</v>
      </c>
      <c r="D704" t="inlineStr">
        <is>
          <t>UPPSALA LÄN</t>
        </is>
      </c>
      <c r="E704" t="inlineStr">
        <is>
          <t>ÖSTHAMMAR</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13738-2023</t>
        </is>
      </c>
      <c r="B705" s="1" t="n">
        <v>45007</v>
      </c>
      <c r="C705" s="1" t="n">
        <v>45807</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13767-2023</t>
        </is>
      </c>
      <c r="B706" s="1" t="n">
        <v>45007</v>
      </c>
      <c r="C706" s="1" t="n">
        <v>45807</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45807</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13771-2023</t>
        </is>
      </c>
      <c r="B708" s="1" t="n">
        <v>45007</v>
      </c>
      <c r="C708" s="1" t="n">
        <v>45807</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13736-2023</t>
        </is>
      </c>
      <c r="B709" s="1" t="n">
        <v>45007</v>
      </c>
      <c r="C709" s="1" t="n">
        <v>45807</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v>
      </c>
      <c r="C710" s="1" t="n">
        <v>45807</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14510-2023</t>
        </is>
      </c>
      <c r="B711" s="1" t="n">
        <v>45012</v>
      </c>
      <c r="C711" s="1" t="n">
        <v>45807</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14595-2023</t>
        </is>
      </c>
      <c r="B712" s="1" t="n">
        <v>45013</v>
      </c>
      <c r="C712" s="1" t="n">
        <v>45807</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14822-2023</t>
        </is>
      </c>
      <c r="B713" s="1" t="n">
        <v>45014</v>
      </c>
      <c r="C713" s="1" t="n">
        <v>45807</v>
      </c>
      <c r="D713" t="inlineStr">
        <is>
          <t>UPPSALA LÄN</t>
        </is>
      </c>
      <c r="E713" t="inlineStr">
        <is>
          <t>ÖSTHAMMAR</t>
        </is>
      </c>
      <c r="G713" t="n">
        <v>6.2</v>
      </c>
      <c r="H713" t="n">
        <v>0</v>
      </c>
      <c r="I713" t="n">
        <v>0</v>
      </c>
      <c r="J713" t="n">
        <v>0</v>
      </c>
      <c r="K713" t="n">
        <v>0</v>
      </c>
      <c r="L713" t="n">
        <v>0</v>
      </c>
      <c r="M713" t="n">
        <v>0</v>
      </c>
      <c r="N713" t="n">
        <v>0</v>
      </c>
      <c r="O713" t="n">
        <v>0</v>
      </c>
      <c r="P713" t="n">
        <v>0</v>
      </c>
      <c r="Q713" t="n">
        <v>0</v>
      </c>
      <c r="R713" s="2" t="inlineStr"/>
    </row>
    <row r="714" ht="15" customHeight="1">
      <c r="A714" t="inlineStr">
        <is>
          <t>A 14835-2023</t>
        </is>
      </c>
      <c r="B714" s="1" t="n">
        <v>45014</v>
      </c>
      <c r="C714" s="1" t="n">
        <v>45807</v>
      </c>
      <c r="D714" t="inlineStr">
        <is>
          <t>UPPSALA LÄN</t>
        </is>
      </c>
      <c r="E714" t="inlineStr">
        <is>
          <t>ÖSTHAMMAR</t>
        </is>
      </c>
      <c r="G714" t="n">
        <v>9.5</v>
      </c>
      <c r="H714" t="n">
        <v>0</v>
      </c>
      <c r="I714" t="n">
        <v>0</v>
      </c>
      <c r="J714" t="n">
        <v>0</v>
      </c>
      <c r="K714" t="n">
        <v>0</v>
      </c>
      <c r="L714" t="n">
        <v>0</v>
      </c>
      <c r="M714" t="n">
        <v>0</v>
      </c>
      <c r="N714" t="n">
        <v>0</v>
      </c>
      <c r="O714" t="n">
        <v>0</v>
      </c>
      <c r="P714" t="n">
        <v>0</v>
      </c>
      <c r="Q714" t="n">
        <v>0</v>
      </c>
      <c r="R714" s="2" t="inlineStr"/>
    </row>
    <row r="715" ht="15" customHeight="1">
      <c r="A715" t="inlineStr">
        <is>
          <t>A 14889-2023</t>
        </is>
      </c>
      <c r="B715" s="1" t="n">
        <v>45015</v>
      </c>
      <c r="C715" s="1" t="n">
        <v>45807</v>
      </c>
      <c r="D715" t="inlineStr">
        <is>
          <t>UPPSALA LÄN</t>
        </is>
      </c>
      <c r="E715" t="inlineStr">
        <is>
          <t>ÖSTHAMMAR</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14888-2023</t>
        </is>
      </c>
      <c r="B716" s="1" t="n">
        <v>45015</v>
      </c>
      <c r="C716" s="1" t="n">
        <v>45807</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14976-2023</t>
        </is>
      </c>
      <c r="B717" s="1" t="n">
        <v>45015</v>
      </c>
      <c r="C717" s="1" t="n">
        <v>45807</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15554-2023</t>
        </is>
      </c>
      <c r="B718" s="1" t="n">
        <v>45019</v>
      </c>
      <c r="C718" s="1" t="n">
        <v>45807</v>
      </c>
      <c r="D718" t="inlineStr">
        <is>
          <t>UPPSALA LÄN</t>
        </is>
      </c>
      <c r="E718" t="inlineStr">
        <is>
          <t>ÖSTHAMMAR</t>
        </is>
      </c>
      <c r="G718" t="n">
        <v>5.3</v>
      </c>
      <c r="H718" t="n">
        <v>0</v>
      </c>
      <c r="I718" t="n">
        <v>0</v>
      </c>
      <c r="J718" t="n">
        <v>0</v>
      </c>
      <c r="K718" t="n">
        <v>0</v>
      </c>
      <c r="L718" t="n">
        <v>0</v>
      </c>
      <c r="M718" t="n">
        <v>0</v>
      </c>
      <c r="N718" t="n">
        <v>0</v>
      </c>
      <c r="O718" t="n">
        <v>0</v>
      </c>
      <c r="P718" t="n">
        <v>0</v>
      </c>
      <c r="Q718" t="n">
        <v>0</v>
      </c>
      <c r="R718" s="2" t="inlineStr"/>
    </row>
    <row r="719" ht="15" customHeight="1">
      <c r="A719" t="inlineStr">
        <is>
          <t>A 16112-2023</t>
        </is>
      </c>
      <c r="B719" s="1" t="n">
        <v>45027</v>
      </c>
      <c r="C719" s="1" t="n">
        <v>45807</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16345-2023</t>
        </is>
      </c>
      <c r="B720" s="1" t="n">
        <v>45028</v>
      </c>
      <c r="C720" s="1" t="n">
        <v>45807</v>
      </c>
      <c r="D720" t="inlineStr">
        <is>
          <t>UPPSALA LÄN</t>
        </is>
      </c>
      <c r="E720" t="inlineStr">
        <is>
          <t>ÖSTHAMMAR</t>
        </is>
      </c>
      <c r="F720" t="inlineStr">
        <is>
          <t>Övriga Aktiebolag</t>
        </is>
      </c>
      <c r="G720" t="n">
        <v>10.1</v>
      </c>
      <c r="H720" t="n">
        <v>0</v>
      </c>
      <c r="I720" t="n">
        <v>0</v>
      </c>
      <c r="J720" t="n">
        <v>0</v>
      </c>
      <c r="K720" t="n">
        <v>0</v>
      </c>
      <c r="L720" t="n">
        <v>0</v>
      </c>
      <c r="M720" t="n">
        <v>0</v>
      </c>
      <c r="N720" t="n">
        <v>0</v>
      </c>
      <c r="O720" t="n">
        <v>0</v>
      </c>
      <c r="P720" t="n">
        <v>0</v>
      </c>
      <c r="Q720" t="n">
        <v>0</v>
      </c>
      <c r="R720" s="2" t="inlineStr"/>
    </row>
    <row r="721" ht="15" customHeight="1">
      <c r="A721" t="inlineStr">
        <is>
          <t>A 16701-2023</t>
        </is>
      </c>
      <c r="B721" s="1" t="n">
        <v>45030</v>
      </c>
      <c r="C721" s="1" t="n">
        <v>45807</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16954-2023</t>
        </is>
      </c>
      <c r="B722" s="1" t="n">
        <v>45033</v>
      </c>
      <c r="C722" s="1" t="n">
        <v>45807</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16948-2023</t>
        </is>
      </c>
      <c r="B723" s="1" t="n">
        <v>45033</v>
      </c>
      <c r="C723" s="1" t="n">
        <v>45807</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16966-2023</t>
        </is>
      </c>
      <c r="B724" s="1" t="n">
        <v>45033</v>
      </c>
      <c r="C724" s="1" t="n">
        <v>45807</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17028-2023</t>
        </is>
      </c>
      <c r="B725" s="1" t="n">
        <v>45034</v>
      </c>
      <c r="C725" s="1" t="n">
        <v>45807</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17631-2023</t>
        </is>
      </c>
      <c r="B726" s="1" t="n">
        <v>45036</v>
      </c>
      <c r="C726" s="1" t="n">
        <v>45807</v>
      </c>
      <c r="D726" t="inlineStr">
        <is>
          <t>UPPSALA LÄN</t>
        </is>
      </c>
      <c r="E726" t="inlineStr">
        <is>
          <t>ÖSTHAMMAR</t>
        </is>
      </c>
      <c r="G726" t="n">
        <v>5.1</v>
      </c>
      <c r="H726" t="n">
        <v>0</v>
      </c>
      <c r="I726" t="n">
        <v>0</v>
      </c>
      <c r="J726" t="n">
        <v>0</v>
      </c>
      <c r="K726" t="n">
        <v>0</v>
      </c>
      <c r="L726" t="n">
        <v>0</v>
      </c>
      <c r="M726" t="n">
        <v>0</v>
      </c>
      <c r="N726" t="n">
        <v>0</v>
      </c>
      <c r="O726" t="n">
        <v>0</v>
      </c>
      <c r="P726" t="n">
        <v>0</v>
      </c>
      <c r="Q726" t="n">
        <v>0</v>
      </c>
      <c r="R726" s="2" t="inlineStr"/>
    </row>
    <row r="727" ht="15" customHeight="1">
      <c r="A727" t="inlineStr">
        <is>
          <t>A 17850-2023</t>
        </is>
      </c>
      <c r="B727" s="1" t="n">
        <v>45037</v>
      </c>
      <c r="C727" s="1" t="n">
        <v>45807</v>
      </c>
      <c r="D727" t="inlineStr">
        <is>
          <t>UPPSALA LÄN</t>
        </is>
      </c>
      <c r="E727" t="inlineStr">
        <is>
          <t>ÖSTHAMMAR</t>
        </is>
      </c>
      <c r="G727" t="n">
        <v>3.2</v>
      </c>
      <c r="H727" t="n">
        <v>0</v>
      </c>
      <c r="I727" t="n">
        <v>0</v>
      </c>
      <c r="J727" t="n">
        <v>0</v>
      </c>
      <c r="K727" t="n">
        <v>0</v>
      </c>
      <c r="L727" t="n">
        <v>0</v>
      </c>
      <c r="M727" t="n">
        <v>0</v>
      </c>
      <c r="N727" t="n">
        <v>0</v>
      </c>
      <c r="O727" t="n">
        <v>0</v>
      </c>
      <c r="P727" t="n">
        <v>0</v>
      </c>
      <c r="Q727" t="n">
        <v>0</v>
      </c>
      <c r="R727" s="2" t="inlineStr"/>
    </row>
    <row r="728" ht="15" customHeight="1">
      <c r="A728" t="inlineStr">
        <is>
          <t>A 17851-2023</t>
        </is>
      </c>
      <c r="B728" s="1" t="n">
        <v>45037</v>
      </c>
      <c r="C728" s="1" t="n">
        <v>45807</v>
      </c>
      <c r="D728" t="inlineStr">
        <is>
          <t>UPPSALA LÄN</t>
        </is>
      </c>
      <c r="E728" t="inlineStr">
        <is>
          <t>ÖSTHAMMAR</t>
        </is>
      </c>
      <c r="G728" t="n">
        <v>2.5</v>
      </c>
      <c r="H728" t="n">
        <v>0</v>
      </c>
      <c r="I728" t="n">
        <v>0</v>
      </c>
      <c r="J728" t="n">
        <v>0</v>
      </c>
      <c r="K728" t="n">
        <v>0</v>
      </c>
      <c r="L728" t="n">
        <v>0</v>
      </c>
      <c r="M728" t="n">
        <v>0</v>
      </c>
      <c r="N728" t="n">
        <v>0</v>
      </c>
      <c r="O728" t="n">
        <v>0</v>
      </c>
      <c r="P728" t="n">
        <v>0</v>
      </c>
      <c r="Q728" t="n">
        <v>0</v>
      </c>
      <c r="R728" s="2" t="inlineStr"/>
    </row>
    <row r="729" ht="15" customHeight="1">
      <c r="A729" t="inlineStr">
        <is>
          <t>A 17854-2023</t>
        </is>
      </c>
      <c r="B729" s="1" t="n">
        <v>45037</v>
      </c>
      <c r="C729" s="1" t="n">
        <v>45807</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45807</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17970-2023</t>
        </is>
      </c>
      <c r="B731" s="1" t="n">
        <v>45040</v>
      </c>
      <c r="C731" s="1" t="n">
        <v>45807</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18074-2023</t>
        </is>
      </c>
      <c r="B732" s="1" t="n">
        <v>45040</v>
      </c>
      <c r="C732" s="1" t="n">
        <v>45807</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45807</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17969-2023</t>
        </is>
      </c>
      <c r="B734" s="1" t="n">
        <v>45040</v>
      </c>
      <c r="C734" s="1" t="n">
        <v>45807</v>
      </c>
      <c r="D734" t="inlineStr">
        <is>
          <t>UPPSALA LÄN</t>
        </is>
      </c>
      <c r="E734" t="inlineStr">
        <is>
          <t>ÖSTHAMMAR</t>
        </is>
      </c>
      <c r="G734" t="n">
        <v>5.4</v>
      </c>
      <c r="H734" t="n">
        <v>0</v>
      </c>
      <c r="I734" t="n">
        <v>0</v>
      </c>
      <c r="J734" t="n">
        <v>0</v>
      </c>
      <c r="K734" t="n">
        <v>0</v>
      </c>
      <c r="L734" t="n">
        <v>0</v>
      </c>
      <c r="M734" t="n">
        <v>0</v>
      </c>
      <c r="N734" t="n">
        <v>0</v>
      </c>
      <c r="O734" t="n">
        <v>0</v>
      </c>
      <c r="P734" t="n">
        <v>0</v>
      </c>
      <c r="Q734" t="n">
        <v>0</v>
      </c>
      <c r="R734" s="2" t="inlineStr"/>
    </row>
    <row r="735" ht="15" customHeight="1">
      <c r="A735" t="inlineStr">
        <is>
          <t>A 18219-2023</t>
        </is>
      </c>
      <c r="B735" s="1" t="n">
        <v>45041</v>
      </c>
      <c r="C735" s="1" t="n">
        <v>45807</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18536-2023</t>
        </is>
      </c>
      <c r="B736" s="1" t="n">
        <v>45042</v>
      </c>
      <c r="C736" s="1" t="n">
        <v>45807</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18386-2023</t>
        </is>
      </c>
      <c r="B737" s="1" t="n">
        <v>45042</v>
      </c>
      <c r="C737" s="1" t="n">
        <v>45807</v>
      </c>
      <c r="D737" t="inlineStr">
        <is>
          <t>UPPSALA LÄN</t>
        </is>
      </c>
      <c r="E737" t="inlineStr">
        <is>
          <t>ÖSTHAMMAR</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18535-2023</t>
        </is>
      </c>
      <c r="B738" s="1" t="n">
        <v>45042</v>
      </c>
      <c r="C738" s="1" t="n">
        <v>45807</v>
      </c>
      <c r="D738" t="inlineStr">
        <is>
          <t>UPPSALA LÄN</t>
        </is>
      </c>
      <c r="E738" t="inlineStr">
        <is>
          <t>ÖSTHAMMAR</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18534-2023</t>
        </is>
      </c>
      <c r="B739" s="1" t="n">
        <v>45042</v>
      </c>
      <c r="C739" s="1" t="n">
        <v>45807</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18538-2023</t>
        </is>
      </c>
      <c r="B740" s="1" t="n">
        <v>45042</v>
      </c>
      <c r="C740" s="1" t="n">
        <v>45807</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18838-2023</t>
        </is>
      </c>
      <c r="B741" s="1" t="n">
        <v>45044</v>
      </c>
      <c r="C741" s="1" t="n">
        <v>45807</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18839-2023</t>
        </is>
      </c>
      <c r="B742" s="1" t="n">
        <v>45044</v>
      </c>
      <c r="C742" s="1" t="n">
        <v>45807</v>
      </c>
      <c r="D742" t="inlineStr">
        <is>
          <t>UPPSALA LÄN</t>
        </is>
      </c>
      <c r="E742" t="inlineStr">
        <is>
          <t>ÖSTHAMMAR</t>
        </is>
      </c>
      <c r="G742" t="n">
        <v>2.5</v>
      </c>
      <c r="H742" t="n">
        <v>0</v>
      </c>
      <c r="I742" t="n">
        <v>0</v>
      </c>
      <c r="J742" t="n">
        <v>0</v>
      </c>
      <c r="K742" t="n">
        <v>0</v>
      </c>
      <c r="L742" t="n">
        <v>0</v>
      </c>
      <c r="M742" t="n">
        <v>0</v>
      </c>
      <c r="N742" t="n">
        <v>0</v>
      </c>
      <c r="O742" t="n">
        <v>0</v>
      </c>
      <c r="P742" t="n">
        <v>0</v>
      </c>
      <c r="Q742" t="n">
        <v>0</v>
      </c>
      <c r="R742" s="2" t="inlineStr"/>
    </row>
    <row r="743" ht="15" customHeight="1">
      <c r="A743" t="inlineStr">
        <is>
          <t>A 18841-2023</t>
        </is>
      </c>
      <c r="B743" s="1" t="n">
        <v>45044</v>
      </c>
      <c r="C743" s="1" t="n">
        <v>45807</v>
      </c>
      <c r="D743" t="inlineStr">
        <is>
          <t>UPPSALA LÄN</t>
        </is>
      </c>
      <c r="E743" t="inlineStr">
        <is>
          <t>ÖSTHAMMAR</t>
        </is>
      </c>
      <c r="G743" t="n">
        <v>3.9</v>
      </c>
      <c r="H743" t="n">
        <v>0</v>
      </c>
      <c r="I743" t="n">
        <v>0</v>
      </c>
      <c r="J743" t="n">
        <v>0</v>
      </c>
      <c r="K743" t="n">
        <v>0</v>
      </c>
      <c r="L743" t="n">
        <v>0</v>
      </c>
      <c r="M743" t="n">
        <v>0</v>
      </c>
      <c r="N743" t="n">
        <v>0</v>
      </c>
      <c r="O743" t="n">
        <v>0</v>
      </c>
      <c r="P743" t="n">
        <v>0</v>
      </c>
      <c r="Q743" t="n">
        <v>0</v>
      </c>
      <c r="R743" s="2" t="inlineStr"/>
    </row>
    <row r="744" ht="15" customHeight="1">
      <c r="A744" t="inlineStr">
        <is>
          <t>A 18945-2023</t>
        </is>
      </c>
      <c r="B744" s="1" t="n">
        <v>45044</v>
      </c>
      <c r="C744" s="1" t="n">
        <v>45807</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18946-2023</t>
        </is>
      </c>
      <c r="B745" s="1" t="n">
        <v>45044</v>
      </c>
      <c r="C745" s="1" t="n">
        <v>45807</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19012-2023</t>
        </is>
      </c>
      <c r="B746" s="1" t="n">
        <v>45045</v>
      </c>
      <c r="C746" s="1" t="n">
        <v>45807</v>
      </c>
      <c r="D746" t="inlineStr">
        <is>
          <t>UPPSALA LÄN</t>
        </is>
      </c>
      <c r="E746" t="inlineStr">
        <is>
          <t>ÖSTHAMMAR</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19015-2023</t>
        </is>
      </c>
      <c r="B747" s="1" t="n">
        <v>45045</v>
      </c>
      <c r="C747" s="1" t="n">
        <v>45807</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19010-2023</t>
        </is>
      </c>
      <c r="B748" s="1" t="n">
        <v>45045</v>
      </c>
      <c r="C748" s="1" t="n">
        <v>45807</v>
      </c>
      <c r="D748" t="inlineStr">
        <is>
          <t>UPPSALA LÄN</t>
        </is>
      </c>
      <c r="E748" t="inlineStr">
        <is>
          <t>ÖSTHAMMAR</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19014-2023</t>
        </is>
      </c>
      <c r="B749" s="1" t="n">
        <v>45045</v>
      </c>
      <c r="C749" s="1" t="n">
        <v>45807</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19009-2023</t>
        </is>
      </c>
      <c r="B750" s="1" t="n">
        <v>45045</v>
      </c>
      <c r="C750" s="1" t="n">
        <v>45807</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19041-2023</t>
        </is>
      </c>
      <c r="B751" s="1" t="n">
        <v>45047</v>
      </c>
      <c r="C751" s="1" t="n">
        <v>45807</v>
      </c>
      <c r="D751" t="inlineStr">
        <is>
          <t>UPPSALA LÄN</t>
        </is>
      </c>
      <c r="E751" t="inlineStr">
        <is>
          <t>ÖSTHAMMAR</t>
        </is>
      </c>
      <c r="F751" t="inlineStr">
        <is>
          <t>Bergvik skog öst AB</t>
        </is>
      </c>
      <c r="G751" t="n">
        <v>3.9</v>
      </c>
      <c r="H751" t="n">
        <v>0</v>
      </c>
      <c r="I751" t="n">
        <v>0</v>
      </c>
      <c r="J751" t="n">
        <v>0</v>
      </c>
      <c r="K751" t="n">
        <v>0</v>
      </c>
      <c r="L751" t="n">
        <v>0</v>
      </c>
      <c r="M751" t="n">
        <v>0</v>
      </c>
      <c r="N751" t="n">
        <v>0</v>
      </c>
      <c r="O751" t="n">
        <v>0</v>
      </c>
      <c r="P751" t="n">
        <v>0</v>
      </c>
      <c r="Q751" t="n">
        <v>0</v>
      </c>
      <c r="R751" s="2" t="inlineStr"/>
    </row>
    <row r="752" ht="15" customHeight="1">
      <c r="A752" t="inlineStr">
        <is>
          <t>A 19040-2023</t>
        </is>
      </c>
      <c r="B752" s="1" t="n">
        <v>45047</v>
      </c>
      <c r="C752" s="1" t="n">
        <v>45807</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19102-2023</t>
        </is>
      </c>
      <c r="B753" s="1" t="n">
        <v>45048</v>
      </c>
      <c r="C753" s="1" t="n">
        <v>45807</v>
      </c>
      <c r="D753" t="inlineStr">
        <is>
          <t>UPPSALA LÄN</t>
        </is>
      </c>
      <c r="E753" t="inlineStr">
        <is>
          <t>ÖSTHAMMAR</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19099-2023</t>
        </is>
      </c>
      <c r="B754" s="1" t="n">
        <v>45048</v>
      </c>
      <c r="C754" s="1" t="n">
        <v>45807</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19097-2023</t>
        </is>
      </c>
      <c r="B755" s="1" t="n">
        <v>45048</v>
      </c>
      <c r="C755" s="1" t="n">
        <v>45807</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19215-2023</t>
        </is>
      </c>
      <c r="B756" s="1" t="n">
        <v>45048</v>
      </c>
      <c r="C756" s="1" t="n">
        <v>45807</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19216-2023</t>
        </is>
      </c>
      <c r="B757" s="1" t="n">
        <v>45048</v>
      </c>
      <c r="C757" s="1" t="n">
        <v>45807</v>
      </c>
      <c r="D757" t="inlineStr">
        <is>
          <t>UPPSALA LÄN</t>
        </is>
      </c>
      <c r="E757" t="inlineStr">
        <is>
          <t>ÖSTHAMMAR</t>
        </is>
      </c>
      <c r="G757" t="n">
        <v>11.3</v>
      </c>
      <c r="H757" t="n">
        <v>0</v>
      </c>
      <c r="I757" t="n">
        <v>0</v>
      </c>
      <c r="J757" t="n">
        <v>0</v>
      </c>
      <c r="K757" t="n">
        <v>0</v>
      </c>
      <c r="L757" t="n">
        <v>0</v>
      </c>
      <c r="M757" t="n">
        <v>0</v>
      </c>
      <c r="N757" t="n">
        <v>0</v>
      </c>
      <c r="O757" t="n">
        <v>0</v>
      </c>
      <c r="P757" t="n">
        <v>0</v>
      </c>
      <c r="Q757" t="n">
        <v>0</v>
      </c>
      <c r="R757" s="2" t="inlineStr"/>
    </row>
    <row r="758" ht="15" customHeight="1">
      <c r="A758" t="inlineStr">
        <is>
          <t>A 19784-2023</t>
        </is>
      </c>
      <c r="B758" s="1" t="n">
        <v>45051</v>
      </c>
      <c r="C758" s="1" t="n">
        <v>45807</v>
      </c>
      <c r="D758" t="inlineStr">
        <is>
          <t>UPPSALA LÄN</t>
        </is>
      </c>
      <c r="E758" t="inlineStr">
        <is>
          <t>ÖSTHAMMAR</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19801-2023</t>
        </is>
      </c>
      <c r="B759" s="1" t="n">
        <v>45051</v>
      </c>
      <c r="C759" s="1" t="n">
        <v>45807</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19968-2023</t>
        </is>
      </c>
      <c r="B760" s="1" t="n">
        <v>45054</v>
      </c>
      <c r="C760" s="1" t="n">
        <v>45807</v>
      </c>
      <c r="D760" t="inlineStr">
        <is>
          <t>UPPSALA LÄN</t>
        </is>
      </c>
      <c r="E760" t="inlineStr">
        <is>
          <t>ÖSTHAMMAR</t>
        </is>
      </c>
      <c r="G760" t="n">
        <v>5.8</v>
      </c>
      <c r="H760" t="n">
        <v>0</v>
      </c>
      <c r="I760" t="n">
        <v>0</v>
      </c>
      <c r="J760" t="n">
        <v>0</v>
      </c>
      <c r="K760" t="n">
        <v>0</v>
      </c>
      <c r="L760" t="n">
        <v>0</v>
      </c>
      <c r="M760" t="n">
        <v>0</v>
      </c>
      <c r="N760" t="n">
        <v>0</v>
      </c>
      <c r="O760" t="n">
        <v>0</v>
      </c>
      <c r="P760" t="n">
        <v>0</v>
      </c>
      <c r="Q760" t="n">
        <v>0</v>
      </c>
      <c r="R760" s="2" t="inlineStr"/>
    </row>
    <row r="761" ht="15" customHeight="1">
      <c r="A761" t="inlineStr">
        <is>
          <t>A 20038-2023</t>
        </is>
      </c>
      <c r="B761" s="1" t="n">
        <v>45054</v>
      </c>
      <c r="C761" s="1" t="n">
        <v>45807</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20046-2023</t>
        </is>
      </c>
      <c r="B762" s="1" t="n">
        <v>45054</v>
      </c>
      <c r="C762" s="1" t="n">
        <v>45807</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20029-2023</t>
        </is>
      </c>
      <c r="B763" s="1" t="n">
        <v>45054</v>
      </c>
      <c r="C763" s="1" t="n">
        <v>45807</v>
      </c>
      <c r="D763" t="inlineStr">
        <is>
          <t>UPPSALA LÄN</t>
        </is>
      </c>
      <c r="E763" t="inlineStr">
        <is>
          <t>ÖSTHAMMAR</t>
        </is>
      </c>
      <c r="G763" t="n">
        <v>4.8</v>
      </c>
      <c r="H763" t="n">
        <v>0</v>
      </c>
      <c r="I763" t="n">
        <v>0</v>
      </c>
      <c r="J763" t="n">
        <v>0</v>
      </c>
      <c r="K763" t="n">
        <v>0</v>
      </c>
      <c r="L763" t="n">
        <v>0</v>
      </c>
      <c r="M763" t="n">
        <v>0</v>
      </c>
      <c r="N763" t="n">
        <v>0</v>
      </c>
      <c r="O763" t="n">
        <v>0</v>
      </c>
      <c r="P763" t="n">
        <v>0</v>
      </c>
      <c r="Q763" t="n">
        <v>0</v>
      </c>
      <c r="R763" s="2" t="inlineStr"/>
    </row>
    <row r="764" ht="15" customHeight="1">
      <c r="A764" t="inlineStr">
        <is>
          <t>A 20366-2023</t>
        </is>
      </c>
      <c r="B764" s="1" t="n">
        <v>45056</v>
      </c>
      <c r="C764" s="1" t="n">
        <v>45807</v>
      </c>
      <c r="D764" t="inlineStr">
        <is>
          <t>UPPSALA LÄN</t>
        </is>
      </c>
      <c r="E764" t="inlineStr">
        <is>
          <t>ÖSTHAMMAR</t>
        </is>
      </c>
      <c r="G764" t="n">
        <v>1.6</v>
      </c>
      <c r="H764" t="n">
        <v>0</v>
      </c>
      <c r="I764" t="n">
        <v>0</v>
      </c>
      <c r="J764" t="n">
        <v>0</v>
      </c>
      <c r="K764" t="n">
        <v>0</v>
      </c>
      <c r="L764" t="n">
        <v>0</v>
      </c>
      <c r="M764" t="n">
        <v>0</v>
      </c>
      <c r="N764" t="n">
        <v>0</v>
      </c>
      <c r="O764" t="n">
        <v>0</v>
      </c>
      <c r="P764" t="n">
        <v>0</v>
      </c>
      <c r="Q764" t="n">
        <v>0</v>
      </c>
      <c r="R764" s="2" t="inlineStr"/>
    </row>
    <row r="765" ht="15" customHeight="1">
      <c r="A765" t="inlineStr">
        <is>
          <t>A 20572-2023</t>
        </is>
      </c>
      <c r="B765" s="1" t="n">
        <v>45057</v>
      </c>
      <c r="C765" s="1" t="n">
        <v>45807</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20657-2023</t>
        </is>
      </c>
      <c r="B766" s="1" t="n">
        <v>45058</v>
      </c>
      <c r="C766" s="1" t="n">
        <v>45807</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20664-2023</t>
        </is>
      </c>
      <c r="B767" s="1" t="n">
        <v>45058</v>
      </c>
      <c r="C767" s="1" t="n">
        <v>45807</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20680-2023</t>
        </is>
      </c>
      <c r="B768" s="1" t="n">
        <v>45058</v>
      </c>
      <c r="C768" s="1" t="n">
        <v>45807</v>
      </c>
      <c r="D768" t="inlineStr">
        <is>
          <t>UPPSALA LÄN</t>
        </is>
      </c>
      <c r="E768" t="inlineStr">
        <is>
          <t>ÖSTHAMMAR</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20677-2023</t>
        </is>
      </c>
      <c r="B769" s="1" t="n">
        <v>45058</v>
      </c>
      <c r="C769" s="1" t="n">
        <v>45807</v>
      </c>
      <c r="D769" t="inlineStr">
        <is>
          <t>UPPSALA LÄN</t>
        </is>
      </c>
      <c r="E769" t="inlineStr">
        <is>
          <t>ÖSTHAMMAR</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21478-2023</t>
        </is>
      </c>
      <c r="B770" s="1" t="n">
        <v>45063</v>
      </c>
      <c r="C770" s="1" t="n">
        <v>45807</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21615-2023</t>
        </is>
      </c>
      <c r="B771" s="1" t="n">
        <v>45063</v>
      </c>
      <c r="C771" s="1" t="n">
        <v>45807</v>
      </c>
      <c r="D771" t="inlineStr">
        <is>
          <t>UPPSALA LÄN</t>
        </is>
      </c>
      <c r="E771" t="inlineStr">
        <is>
          <t>ÖSTHAMMAR</t>
        </is>
      </c>
      <c r="G771" t="n">
        <v>3.3</v>
      </c>
      <c r="H771" t="n">
        <v>0</v>
      </c>
      <c r="I771" t="n">
        <v>0</v>
      </c>
      <c r="J771" t="n">
        <v>0</v>
      </c>
      <c r="K771" t="n">
        <v>0</v>
      </c>
      <c r="L771" t="n">
        <v>0</v>
      </c>
      <c r="M771" t="n">
        <v>0</v>
      </c>
      <c r="N771" t="n">
        <v>0</v>
      </c>
      <c r="O771" t="n">
        <v>0</v>
      </c>
      <c r="P771" t="n">
        <v>0</v>
      </c>
      <c r="Q771" t="n">
        <v>0</v>
      </c>
      <c r="R771" s="2" t="inlineStr"/>
    </row>
    <row r="772" ht="15" customHeight="1">
      <c r="A772" t="inlineStr">
        <is>
          <t>A 21624-2023</t>
        </is>
      </c>
      <c r="B772" s="1" t="n">
        <v>45063</v>
      </c>
      <c r="C772" s="1" t="n">
        <v>45807</v>
      </c>
      <c r="D772" t="inlineStr">
        <is>
          <t>UPPSALA LÄN</t>
        </is>
      </c>
      <c r="E772" t="inlineStr">
        <is>
          <t>ÖSTHAMMAR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21862-2023</t>
        </is>
      </c>
      <c r="B773" s="1" t="n">
        <v>45068</v>
      </c>
      <c r="C773" s="1" t="n">
        <v>45807</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22405-2023</t>
        </is>
      </c>
      <c r="B774" s="1" t="n">
        <v>45070</v>
      </c>
      <c r="C774" s="1" t="n">
        <v>45807</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22413-2023</t>
        </is>
      </c>
      <c r="B775" s="1" t="n">
        <v>45070</v>
      </c>
      <c r="C775" s="1" t="n">
        <v>45807</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22322-2023</t>
        </is>
      </c>
      <c r="B776" s="1" t="n">
        <v>45070</v>
      </c>
      <c r="C776" s="1" t="n">
        <v>45807</v>
      </c>
      <c r="D776" t="inlineStr">
        <is>
          <t>UPPSALA LÄN</t>
        </is>
      </c>
      <c r="E776" t="inlineStr">
        <is>
          <t>ÖSTHAMMAR</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22701-2023</t>
        </is>
      </c>
      <c r="B777" s="1" t="n">
        <v>45071</v>
      </c>
      <c r="C777" s="1" t="n">
        <v>45807</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22794-2023</t>
        </is>
      </c>
      <c r="B778" s="1" t="n">
        <v>45072</v>
      </c>
      <c r="C778" s="1" t="n">
        <v>45807</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22798-2023</t>
        </is>
      </c>
      <c r="B779" s="1" t="n">
        <v>45072</v>
      </c>
      <c r="C779" s="1" t="n">
        <v>45807</v>
      </c>
      <c r="D779" t="inlineStr">
        <is>
          <t>UPPSALA LÄN</t>
        </is>
      </c>
      <c r="E779" t="inlineStr">
        <is>
          <t>ÖSTHAMMAR</t>
        </is>
      </c>
      <c r="G779" t="n">
        <v>1</v>
      </c>
      <c r="H779" t="n">
        <v>0</v>
      </c>
      <c r="I779" t="n">
        <v>0</v>
      </c>
      <c r="J779" t="n">
        <v>0</v>
      </c>
      <c r="K779" t="n">
        <v>0</v>
      </c>
      <c r="L779" t="n">
        <v>0</v>
      </c>
      <c r="M779" t="n">
        <v>0</v>
      </c>
      <c r="N779" t="n">
        <v>0</v>
      </c>
      <c r="O779" t="n">
        <v>0</v>
      </c>
      <c r="P779" t="n">
        <v>0</v>
      </c>
      <c r="Q779" t="n">
        <v>0</v>
      </c>
      <c r="R779" s="2" t="inlineStr"/>
    </row>
    <row r="780" ht="15" customHeight="1">
      <c r="A780" t="inlineStr">
        <is>
          <t>A 22796-2023</t>
        </is>
      </c>
      <c r="B780" s="1" t="n">
        <v>45072</v>
      </c>
      <c r="C780" s="1" t="n">
        <v>45807</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23083-2023</t>
        </is>
      </c>
      <c r="B781" s="1" t="n">
        <v>45075</v>
      </c>
      <c r="C781" s="1" t="n">
        <v>45807</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23064-2023</t>
        </is>
      </c>
      <c r="B782" s="1" t="n">
        <v>45075</v>
      </c>
      <c r="C782" s="1" t="n">
        <v>45807</v>
      </c>
      <c r="D782" t="inlineStr">
        <is>
          <t>UPPSALA LÄN</t>
        </is>
      </c>
      <c r="E782" t="inlineStr">
        <is>
          <t>ÖSTHAMMAR</t>
        </is>
      </c>
      <c r="F782" t="inlineStr">
        <is>
          <t>Kyrkan</t>
        </is>
      </c>
      <c r="G782" t="n">
        <v>16.6</v>
      </c>
      <c r="H782" t="n">
        <v>0</v>
      </c>
      <c r="I782" t="n">
        <v>0</v>
      </c>
      <c r="J782" t="n">
        <v>0</v>
      </c>
      <c r="K782" t="n">
        <v>0</v>
      </c>
      <c r="L782" t="n">
        <v>0</v>
      </c>
      <c r="M782" t="n">
        <v>0</v>
      </c>
      <c r="N782" t="n">
        <v>0</v>
      </c>
      <c r="O782" t="n">
        <v>0</v>
      </c>
      <c r="P782" t="n">
        <v>0</v>
      </c>
      <c r="Q782" t="n">
        <v>0</v>
      </c>
      <c r="R782" s="2" t="inlineStr"/>
    </row>
    <row r="783" ht="15" customHeight="1">
      <c r="A783" t="inlineStr">
        <is>
          <t>A 23197-2023</t>
        </is>
      </c>
      <c r="B783" s="1" t="n">
        <v>45075</v>
      </c>
      <c r="C783" s="1" t="n">
        <v>45807</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23142-2023</t>
        </is>
      </c>
      <c r="B784" s="1" t="n">
        <v>45075</v>
      </c>
      <c r="C784" s="1" t="n">
        <v>45807</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23059-2023</t>
        </is>
      </c>
      <c r="B785" s="1" t="n">
        <v>45075</v>
      </c>
      <c r="C785" s="1" t="n">
        <v>45807</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23363-2023</t>
        </is>
      </c>
      <c r="B786" s="1" t="n">
        <v>45076</v>
      </c>
      <c r="C786" s="1" t="n">
        <v>45807</v>
      </c>
      <c r="D786" t="inlineStr">
        <is>
          <t>UPPSALA LÄN</t>
        </is>
      </c>
      <c r="E786" t="inlineStr">
        <is>
          <t>ÖSTHAMMAR</t>
        </is>
      </c>
      <c r="G786" t="n">
        <v>3</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v>
      </c>
      <c r="C787" s="1" t="n">
        <v>45807</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45807</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24128-2023</t>
        </is>
      </c>
      <c r="B789" s="1" t="n">
        <v>45079</v>
      </c>
      <c r="C789" s="1" t="n">
        <v>45807</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24325-2023</t>
        </is>
      </c>
      <c r="B790" s="1" t="n">
        <v>45080</v>
      </c>
      <c r="C790" s="1" t="n">
        <v>45807</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24324-2023</t>
        </is>
      </c>
      <c r="B791" s="1" t="n">
        <v>45080</v>
      </c>
      <c r="C791" s="1" t="n">
        <v>45807</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24428-2023</t>
        </is>
      </c>
      <c r="B792" s="1" t="n">
        <v>45082</v>
      </c>
      <c r="C792" s="1" t="n">
        <v>45807</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24493-2023</t>
        </is>
      </c>
      <c r="B793" s="1" t="n">
        <v>45082</v>
      </c>
      <c r="C793" s="1" t="n">
        <v>45807</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24491-2023</t>
        </is>
      </c>
      <c r="B794" s="1" t="n">
        <v>45082</v>
      </c>
      <c r="C794" s="1" t="n">
        <v>45807</v>
      </c>
      <c r="D794" t="inlineStr">
        <is>
          <t>UPPSALA LÄN</t>
        </is>
      </c>
      <c r="E794" t="inlineStr">
        <is>
          <t>ÖSTHAMMAR</t>
        </is>
      </c>
      <c r="G794" t="n">
        <v>5.3</v>
      </c>
      <c r="H794" t="n">
        <v>0</v>
      </c>
      <c r="I794" t="n">
        <v>0</v>
      </c>
      <c r="J794" t="n">
        <v>0</v>
      </c>
      <c r="K794" t="n">
        <v>0</v>
      </c>
      <c r="L794" t="n">
        <v>0</v>
      </c>
      <c r="M794" t="n">
        <v>0</v>
      </c>
      <c r="N794" t="n">
        <v>0</v>
      </c>
      <c r="O794" t="n">
        <v>0</v>
      </c>
      <c r="P794" t="n">
        <v>0</v>
      </c>
      <c r="Q794" t="n">
        <v>0</v>
      </c>
      <c r="R794" s="2" t="inlineStr"/>
    </row>
    <row r="795" ht="15" customHeight="1">
      <c r="A795" t="inlineStr">
        <is>
          <t>A 24587-2023</t>
        </is>
      </c>
      <c r="B795" s="1" t="n">
        <v>45083</v>
      </c>
      <c r="C795" s="1" t="n">
        <v>45807</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24642-2023</t>
        </is>
      </c>
      <c r="B796" s="1" t="n">
        <v>45084</v>
      </c>
      <c r="C796" s="1" t="n">
        <v>45807</v>
      </c>
      <c r="D796" t="inlineStr">
        <is>
          <t>UPPSALA LÄN</t>
        </is>
      </c>
      <c r="E796" t="inlineStr">
        <is>
          <t>ÖSTHAMMAR</t>
        </is>
      </c>
      <c r="F796" t="inlineStr">
        <is>
          <t>Bergvik skog öst AB</t>
        </is>
      </c>
      <c r="G796" t="n">
        <v>7.2</v>
      </c>
      <c r="H796" t="n">
        <v>0</v>
      </c>
      <c r="I796" t="n">
        <v>0</v>
      </c>
      <c r="J796" t="n">
        <v>0</v>
      </c>
      <c r="K796" t="n">
        <v>0</v>
      </c>
      <c r="L796" t="n">
        <v>0</v>
      </c>
      <c r="M796" t="n">
        <v>0</v>
      </c>
      <c r="N796" t="n">
        <v>0</v>
      </c>
      <c r="O796" t="n">
        <v>0</v>
      </c>
      <c r="P796" t="n">
        <v>0</v>
      </c>
      <c r="Q796" t="n">
        <v>0</v>
      </c>
      <c r="R796" s="2" t="inlineStr"/>
    </row>
    <row r="797" ht="15" customHeight="1">
      <c r="A797" t="inlineStr">
        <is>
          <t>A 24648-2023</t>
        </is>
      </c>
      <c r="B797" s="1" t="n">
        <v>45084</v>
      </c>
      <c r="C797" s="1" t="n">
        <v>45807</v>
      </c>
      <c r="D797" t="inlineStr">
        <is>
          <t>UPPSALA LÄN</t>
        </is>
      </c>
      <c r="E797" t="inlineStr">
        <is>
          <t>ÖSTHAMMAR</t>
        </is>
      </c>
      <c r="F797" t="inlineStr">
        <is>
          <t>Bergvik skog öst AB</t>
        </is>
      </c>
      <c r="G797" t="n">
        <v>12.5</v>
      </c>
      <c r="H797" t="n">
        <v>0</v>
      </c>
      <c r="I797" t="n">
        <v>0</v>
      </c>
      <c r="J797" t="n">
        <v>0</v>
      </c>
      <c r="K797" t="n">
        <v>0</v>
      </c>
      <c r="L797" t="n">
        <v>0</v>
      </c>
      <c r="M797" t="n">
        <v>0</v>
      </c>
      <c r="N797" t="n">
        <v>0</v>
      </c>
      <c r="O797" t="n">
        <v>0</v>
      </c>
      <c r="P797" t="n">
        <v>0</v>
      </c>
      <c r="Q797" t="n">
        <v>0</v>
      </c>
      <c r="R797" s="2" t="inlineStr"/>
    </row>
    <row r="798" ht="15" customHeight="1">
      <c r="A798" t="inlineStr">
        <is>
          <t>A 24751-2023</t>
        </is>
      </c>
      <c r="B798" s="1" t="n">
        <v>45084</v>
      </c>
      <c r="C798" s="1" t="n">
        <v>45807</v>
      </c>
      <c r="D798" t="inlineStr">
        <is>
          <t>UPPSALA LÄN</t>
        </is>
      </c>
      <c r="E798" t="inlineStr">
        <is>
          <t>ÖSTHAMMAR</t>
        </is>
      </c>
      <c r="F798" t="inlineStr">
        <is>
          <t>Bergvik skog öst AB</t>
        </is>
      </c>
      <c r="G798" t="n">
        <v>6.2</v>
      </c>
      <c r="H798" t="n">
        <v>0</v>
      </c>
      <c r="I798" t="n">
        <v>0</v>
      </c>
      <c r="J798" t="n">
        <v>0</v>
      </c>
      <c r="K798" t="n">
        <v>0</v>
      </c>
      <c r="L798" t="n">
        <v>0</v>
      </c>
      <c r="M798" t="n">
        <v>0</v>
      </c>
      <c r="N798" t="n">
        <v>0</v>
      </c>
      <c r="O798" t="n">
        <v>0</v>
      </c>
      <c r="P798" t="n">
        <v>0</v>
      </c>
      <c r="Q798" t="n">
        <v>0</v>
      </c>
      <c r="R798" s="2" t="inlineStr"/>
    </row>
    <row r="799" ht="15" customHeight="1">
      <c r="A799" t="inlineStr">
        <is>
          <t>A 25194-2023</t>
        </is>
      </c>
      <c r="B799" s="1" t="n">
        <v>45086</v>
      </c>
      <c r="C799" s="1" t="n">
        <v>45807</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26612-2023</t>
        </is>
      </c>
      <c r="B800" s="1" t="n">
        <v>45089</v>
      </c>
      <c r="C800" s="1" t="n">
        <v>45807</v>
      </c>
      <c r="D800" t="inlineStr">
        <is>
          <t>UPPSALA LÄN</t>
        </is>
      </c>
      <c r="E800" t="inlineStr">
        <is>
          <t>ÖSTHAMMAR</t>
        </is>
      </c>
      <c r="G800" t="n">
        <v>2.1</v>
      </c>
      <c r="H800" t="n">
        <v>0</v>
      </c>
      <c r="I800" t="n">
        <v>0</v>
      </c>
      <c r="J800" t="n">
        <v>0</v>
      </c>
      <c r="K800" t="n">
        <v>0</v>
      </c>
      <c r="L800" t="n">
        <v>0</v>
      </c>
      <c r="M800" t="n">
        <v>0</v>
      </c>
      <c r="N800" t="n">
        <v>0</v>
      </c>
      <c r="O800" t="n">
        <v>0</v>
      </c>
      <c r="P800" t="n">
        <v>0</v>
      </c>
      <c r="Q800" t="n">
        <v>0</v>
      </c>
      <c r="R800" s="2" t="inlineStr"/>
    </row>
    <row r="801" ht="15" customHeight="1">
      <c r="A801" t="inlineStr">
        <is>
          <t>A 26610-2023</t>
        </is>
      </c>
      <c r="B801" s="1" t="n">
        <v>45089</v>
      </c>
      <c r="C801" s="1" t="n">
        <v>45807</v>
      </c>
      <c r="D801" t="inlineStr">
        <is>
          <t>UPPSALA LÄN</t>
        </is>
      </c>
      <c r="E801" t="inlineStr">
        <is>
          <t>ÖSTHAMMAR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25897-2023</t>
        </is>
      </c>
      <c r="B802" s="1" t="n">
        <v>45090</v>
      </c>
      <c r="C802" s="1" t="n">
        <v>45807</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25903-2023</t>
        </is>
      </c>
      <c r="B803" s="1" t="n">
        <v>45090</v>
      </c>
      <c r="C803" s="1" t="n">
        <v>45807</v>
      </c>
      <c r="D803" t="inlineStr">
        <is>
          <t>UPPSALA LÄN</t>
        </is>
      </c>
      <c r="E803" t="inlineStr">
        <is>
          <t>ÖSTHAMMAR</t>
        </is>
      </c>
      <c r="F803" t="inlineStr">
        <is>
          <t>Bergvik skog öst AB</t>
        </is>
      </c>
      <c r="G803" t="n">
        <v>29.2</v>
      </c>
      <c r="H803" t="n">
        <v>0</v>
      </c>
      <c r="I803" t="n">
        <v>0</v>
      </c>
      <c r="J803" t="n">
        <v>0</v>
      </c>
      <c r="K803" t="n">
        <v>0</v>
      </c>
      <c r="L803" t="n">
        <v>0</v>
      </c>
      <c r="M803" t="n">
        <v>0</v>
      </c>
      <c r="N803" t="n">
        <v>0</v>
      </c>
      <c r="O803" t="n">
        <v>0</v>
      </c>
      <c r="P803" t="n">
        <v>0</v>
      </c>
      <c r="Q803" t="n">
        <v>0</v>
      </c>
      <c r="R803" s="2" t="inlineStr"/>
    </row>
    <row r="804" ht="15" customHeight="1">
      <c r="A804" t="inlineStr">
        <is>
          <t>A 25970-2023</t>
        </is>
      </c>
      <c r="B804" s="1" t="n">
        <v>45090</v>
      </c>
      <c r="C804" s="1" t="n">
        <v>45807</v>
      </c>
      <c r="D804" t="inlineStr">
        <is>
          <t>UPPSALA LÄN</t>
        </is>
      </c>
      <c r="E804" t="inlineStr">
        <is>
          <t>ÖSTHAMMAR</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25968-2023</t>
        </is>
      </c>
      <c r="B805" s="1" t="n">
        <v>45090</v>
      </c>
      <c r="C805" s="1" t="n">
        <v>45807</v>
      </c>
      <c r="D805" t="inlineStr">
        <is>
          <t>UPPSALA LÄN</t>
        </is>
      </c>
      <c r="E805" t="inlineStr">
        <is>
          <t>ÖSTHAMMAR</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25969-2023</t>
        </is>
      </c>
      <c r="B806" s="1" t="n">
        <v>45090</v>
      </c>
      <c r="C806" s="1" t="n">
        <v>45807</v>
      </c>
      <c r="D806" t="inlineStr">
        <is>
          <t>UPPSALA LÄN</t>
        </is>
      </c>
      <c r="E806" t="inlineStr">
        <is>
          <t>ÖSTHAMMAR</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26774-2023</t>
        </is>
      </c>
      <c r="B807" s="1" t="n">
        <v>45093</v>
      </c>
      <c r="C807" s="1" t="n">
        <v>45807</v>
      </c>
      <c r="D807" t="inlineStr">
        <is>
          <t>UPPSALA LÄN</t>
        </is>
      </c>
      <c r="E807" t="inlineStr">
        <is>
          <t>ÖSTHAMMAR</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26734-2023</t>
        </is>
      </c>
      <c r="B808" s="1" t="n">
        <v>45093</v>
      </c>
      <c r="C808" s="1" t="n">
        <v>45807</v>
      </c>
      <c r="D808" t="inlineStr">
        <is>
          <t>UPPSALA LÄN</t>
        </is>
      </c>
      <c r="E808" t="inlineStr">
        <is>
          <t>ÖSTHAMMAR</t>
        </is>
      </c>
      <c r="F808" t="inlineStr">
        <is>
          <t>Bergvik skog öst AB</t>
        </is>
      </c>
      <c r="G808" t="n">
        <v>25.5</v>
      </c>
      <c r="H808" t="n">
        <v>0</v>
      </c>
      <c r="I808" t="n">
        <v>0</v>
      </c>
      <c r="J808" t="n">
        <v>0</v>
      </c>
      <c r="K808" t="n">
        <v>0</v>
      </c>
      <c r="L808" t="n">
        <v>0</v>
      </c>
      <c r="M808" t="n">
        <v>0</v>
      </c>
      <c r="N808" t="n">
        <v>0</v>
      </c>
      <c r="O808" t="n">
        <v>0</v>
      </c>
      <c r="P808" t="n">
        <v>0</v>
      </c>
      <c r="Q808" t="n">
        <v>0</v>
      </c>
      <c r="R808" s="2" t="inlineStr"/>
    </row>
    <row r="809" ht="15" customHeight="1">
      <c r="A809" t="inlineStr">
        <is>
          <t>A 28170-2023</t>
        </is>
      </c>
      <c r="B809" s="1" t="n">
        <v>45093</v>
      </c>
      <c r="C809" s="1" t="n">
        <v>45807</v>
      </c>
      <c r="D809" t="inlineStr">
        <is>
          <t>UPPSALA LÄN</t>
        </is>
      </c>
      <c r="E809" t="inlineStr">
        <is>
          <t>ÖSTHAMMAR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27150-2023</t>
        </is>
      </c>
      <c r="B810" s="1" t="n">
        <v>45096</v>
      </c>
      <c r="C810" s="1" t="n">
        <v>45807</v>
      </c>
      <c r="D810" t="inlineStr">
        <is>
          <t>UPPSALA LÄN</t>
        </is>
      </c>
      <c r="E810" t="inlineStr">
        <is>
          <t>ÖSTHAMMAR</t>
        </is>
      </c>
      <c r="F810" t="inlineStr">
        <is>
          <t>Bergvik skog öst AB</t>
        </is>
      </c>
      <c r="G810" t="n">
        <v>5</v>
      </c>
      <c r="H810" t="n">
        <v>0</v>
      </c>
      <c r="I810" t="n">
        <v>0</v>
      </c>
      <c r="J810" t="n">
        <v>0</v>
      </c>
      <c r="K810" t="n">
        <v>0</v>
      </c>
      <c r="L810" t="n">
        <v>0</v>
      </c>
      <c r="M810" t="n">
        <v>0</v>
      </c>
      <c r="N810" t="n">
        <v>0</v>
      </c>
      <c r="O810" t="n">
        <v>0</v>
      </c>
      <c r="P810" t="n">
        <v>0</v>
      </c>
      <c r="Q810" t="n">
        <v>0</v>
      </c>
      <c r="R810" s="2" t="inlineStr"/>
    </row>
    <row r="811" ht="15" customHeight="1">
      <c r="A811" t="inlineStr">
        <is>
          <t>A 27154-2023</t>
        </is>
      </c>
      <c r="B811" s="1" t="n">
        <v>45096</v>
      </c>
      <c r="C811" s="1" t="n">
        <v>45807</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v>
      </c>
      <c r="C812" s="1" t="n">
        <v>45807</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27660-2023</t>
        </is>
      </c>
      <c r="B813" s="1" t="n">
        <v>45097</v>
      </c>
      <c r="C813" s="1" t="n">
        <v>45807</v>
      </c>
      <c r="D813" t="inlineStr">
        <is>
          <t>UPPSALA LÄN</t>
        </is>
      </c>
      <c r="E813" t="inlineStr">
        <is>
          <t>ÖSTHAMMAR</t>
        </is>
      </c>
      <c r="G813" t="n">
        <v>2.8</v>
      </c>
      <c r="H813" t="n">
        <v>0</v>
      </c>
      <c r="I813" t="n">
        <v>0</v>
      </c>
      <c r="J813" t="n">
        <v>0</v>
      </c>
      <c r="K813" t="n">
        <v>0</v>
      </c>
      <c r="L813" t="n">
        <v>0</v>
      </c>
      <c r="M813" t="n">
        <v>0</v>
      </c>
      <c r="N813" t="n">
        <v>0</v>
      </c>
      <c r="O813" t="n">
        <v>0</v>
      </c>
      <c r="P813" t="n">
        <v>0</v>
      </c>
      <c r="Q813" t="n">
        <v>0</v>
      </c>
      <c r="R813" s="2" t="inlineStr"/>
    </row>
    <row r="814" ht="15" customHeight="1">
      <c r="A814" t="inlineStr">
        <is>
          <t>A 27659-2023</t>
        </is>
      </c>
      <c r="B814" s="1" t="n">
        <v>45097</v>
      </c>
      <c r="C814" s="1" t="n">
        <v>45807</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27801-2023</t>
        </is>
      </c>
      <c r="B815" s="1" t="n">
        <v>45098</v>
      </c>
      <c r="C815" s="1" t="n">
        <v>45807</v>
      </c>
      <c r="D815" t="inlineStr">
        <is>
          <t>UPPSALA LÄN</t>
        </is>
      </c>
      <c r="E815" t="inlineStr">
        <is>
          <t>ÖSTHAMMAR</t>
        </is>
      </c>
      <c r="F815" t="inlineStr">
        <is>
          <t>Kyrkan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28422-2023</t>
        </is>
      </c>
      <c r="B816" s="1" t="n">
        <v>45102</v>
      </c>
      <c r="C816" s="1" t="n">
        <v>45807</v>
      </c>
      <c r="D816" t="inlineStr">
        <is>
          <t>UPPSALA LÄN</t>
        </is>
      </c>
      <c r="E816" t="inlineStr">
        <is>
          <t>ÖSTHAMMAR</t>
        </is>
      </c>
      <c r="F816" t="inlineStr">
        <is>
          <t>Bergvik skog öst AB</t>
        </is>
      </c>
      <c r="G816" t="n">
        <v>3.1</v>
      </c>
      <c r="H816" t="n">
        <v>0</v>
      </c>
      <c r="I816" t="n">
        <v>0</v>
      </c>
      <c r="J816" t="n">
        <v>0</v>
      </c>
      <c r="K816" t="n">
        <v>0</v>
      </c>
      <c r="L816" t="n">
        <v>0</v>
      </c>
      <c r="M816" t="n">
        <v>0</v>
      </c>
      <c r="N816" t="n">
        <v>0</v>
      </c>
      <c r="O816" t="n">
        <v>0</v>
      </c>
      <c r="P816" t="n">
        <v>0</v>
      </c>
      <c r="Q816" t="n">
        <v>0</v>
      </c>
      <c r="R816" s="2" t="inlineStr"/>
    </row>
    <row r="817" ht="15" customHeight="1">
      <c r="A817" t="inlineStr">
        <is>
          <t>A 28430-2023</t>
        </is>
      </c>
      <c r="B817" s="1" t="n">
        <v>45102</v>
      </c>
      <c r="C817" s="1" t="n">
        <v>45807</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28434-2023</t>
        </is>
      </c>
      <c r="B818" s="1" t="n">
        <v>45102</v>
      </c>
      <c r="C818" s="1" t="n">
        <v>45807</v>
      </c>
      <c r="D818" t="inlineStr">
        <is>
          <t>UPPSALA LÄN</t>
        </is>
      </c>
      <c r="E818" t="inlineStr">
        <is>
          <t>ÖSTHAMMAR</t>
        </is>
      </c>
      <c r="F818" t="inlineStr">
        <is>
          <t>Bergvik skog öst AB</t>
        </is>
      </c>
      <c r="G818" t="n">
        <v>8.9</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v>
      </c>
      <c r="C819" s="1" t="n">
        <v>45807</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28432-2023</t>
        </is>
      </c>
      <c r="B820" s="1" t="n">
        <v>45102</v>
      </c>
      <c r="C820" s="1" t="n">
        <v>45807</v>
      </c>
      <c r="D820" t="inlineStr">
        <is>
          <t>UPPSALA LÄN</t>
        </is>
      </c>
      <c r="E820" t="inlineStr">
        <is>
          <t>ÖSTHAMMAR</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28421-2023</t>
        </is>
      </c>
      <c r="B821" s="1" t="n">
        <v>45102</v>
      </c>
      <c r="C821" s="1" t="n">
        <v>45807</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28429-2023</t>
        </is>
      </c>
      <c r="B822" s="1" t="n">
        <v>45102</v>
      </c>
      <c r="C822" s="1" t="n">
        <v>45807</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28482-2023</t>
        </is>
      </c>
      <c r="B823" s="1" t="n">
        <v>45103</v>
      </c>
      <c r="C823" s="1" t="n">
        <v>45807</v>
      </c>
      <c r="D823" t="inlineStr">
        <is>
          <t>UPPSALA LÄN</t>
        </is>
      </c>
      <c r="E823" t="inlineStr">
        <is>
          <t>ÖSTHAMMAR</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29873-2023</t>
        </is>
      </c>
      <c r="B824" s="1" t="n">
        <v>45107</v>
      </c>
      <c r="C824" s="1" t="n">
        <v>45807</v>
      </c>
      <c r="D824" t="inlineStr">
        <is>
          <t>UPPSALA LÄN</t>
        </is>
      </c>
      <c r="E824" t="inlineStr">
        <is>
          <t>ÖSTHAMMAR</t>
        </is>
      </c>
      <c r="F824" t="inlineStr">
        <is>
          <t>Naturvårdsverket</t>
        </is>
      </c>
      <c r="G824" t="n">
        <v>7.8</v>
      </c>
      <c r="H824" t="n">
        <v>0</v>
      </c>
      <c r="I824" t="n">
        <v>0</v>
      </c>
      <c r="J824" t="n">
        <v>0</v>
      </c>
      <c r="K824" t="n">
        <v>0</v>
      </c>
      <c r="L824" t="n">
        <v>0</v>
      </c>
      <c r="M824" t="n">
        <v>0</v>
      </c>
      <c r="N824" t="n">
        <v>0</v>
      </c>
      <c r="O824" t="n">
        <v>0</v>
      </c>
      <c r="P824" t="n">
        <v>0</v>
      </c>
      <c r="Q824" t="n">
        <v>0</v>
      </c>
      <c r="R824" s="2" t="inlineStr"/>
    </row>
    <row r="825" ht="15" customHeight="1">
      <c r="A825" t="inlineStr">
        <is>
          <t>A 29824-2023</t>
        </is>
      </c>
      <c r="B825" s="1" t="n">
        <v>45107</v>
      </c>
      <c r="C825" s="1" t="n">
        <v>45807</v>
      </c>
      <c r="D825" t="inlineStr">
        <is>
          <t>UPPSALA LÄN</t>
        </is>
      </c>
      <c r="E825" t="inlineStr">
        <is>
          <t>ÖSTHAMMAR</t>
        </is>
      </c>
      <c r="F825" t="inlineStr">
        <is>
          <t>Naturvårdsverket</t>
        </is>
      </c>
      <c r="G825" t="n">
        <v>1.6</v>
      </c>
      <c r="H825" t="n">
        <v>0</v>
      </c>
      <c r="I825" t="n">
        <v>0</v>
      </c>
      <c r="J825" t="n">
        <v>0</v>
      </c>
      <c r="K825" t="n">
        <v>0</v>
      </c>
      <c r="L825" t="n">
        <v>0</v>
      </c>
      <c r="M825" t="n">
        <v>0</v>
      </c>
      <c r="N825" t="n">
        <v>0</v>
      </c>
      <c r="O825" t="n">
        <v>0</v>
      </c>
      <c r="P825" t="n">
        <v>0</v>
      </c>
      <c r="Q825" t="n">
        <v>0</v>
      </c>
      <c r="R825" s="2" t="inlineStr"/>
    </row>
    <row r="826" ht="15" customHeight="1">
      <c r="A826" t="inlineStr">
        <is>
          <t>A 30086-2023</t>
        </is>
      </c>
      <c r="B826" s="1" t="n">
        <v>45110</v>
      </c>
      <c r="C826" s="1" t="n">
        <v>45807</v>
      </c>
      <c r="D826" t="inlineStr">
        <is>
          <t>UPPSALA LÄN</t>
        </is>
      </c>
      <c r="E826" t="inlineStr">
        <is>
          <t>ÖSTHAMMAR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30470-2023</t>
        </is>
      </c>
      <c r="B827" s="1" t="n">
        <v>45111</v>
      </c>
      <c r="C827" s="1" t="n">
        <v>45807</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30498-2023</t>
        </is>
      </c>
      <c r="B828" s="1" t="n">
        <v>45111</v>
      </c>
      <c r="C828" s="1" t="n">
        <v>45807</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30809-2023</t>
        </is>
      </c>
      <c r="B829" s="1" t="n">
        <v>45112</v>
      </c>
      <c r="C829" s="1" t="n">
        <v>45807</v>
      </c>
      <c r="D829" t="inlineStr">
        <is>
          <t>UPPSALA LÄN</t>
        </is>
      </c>
      <c r="E829" t="inlineStr">
        <is>
          <t>ÖSTHAMMAR</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30808-2023</t>
        </is>
      </c>
      <c r="B830" s="1" t="n">
        <v>45112</v>
      </c>
      <c r="C830" s="1" t="n">
        <v>45807</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30812-2023</t>
        </is>
      </c>
      <c r="B831" s="1" t="n">
        <v>45112</v>
      </c>
      <c r="C831" s="1" t="n">
        <v>45807</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30810-2023</t>
        </is>
      </c>
      <c r="B832" s="1" t="n">
        <v>45112</v>
      </c>
      <c r="C832" s="1" t="n">
        <v>45807</v>
      </c>
      <c r="D832" t="inlineStr">
        <is>
          <t>UPPSALA LÄN</t>
        </is>
      </c>
      <c r="E832" t="inlineStr">
        <is>
          <t>ÖSTHAMMAR</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30811-2023</t>
        </is>
      </c>
      <c r="B833" s="1" t="n">
        <v>45112</v>
      </c>
      <c r="C833" s="1" t="n">
        <v>45807</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31480-2023</t>
        </is>
      </c>
      <c r="B834" s="1" t="n">
        <v>45114</v>
      </c>
      <c r="C834" s="1" t="n">
        <v>45807</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31484-2023</t>
        </is>
      </c>
      <c r="B835" s="1" t="n">
        <v>45114</v>
      </c>
      <c r="C835" s="1" t="n">
        <v>45807</v>
      </c>
      <c r="D835" t="inlineStr">
        <is>
          <t>UPPSALA LÄN</t>
        </is>
      </c>
      <c r="E835" t="inlineStr">
        <is>
          <t>ÖSTHAMMAR</t>
        </is>
      </c>
      <c r="F835" t="inlineStr">
        <is>
          <t>Bergvik skog öst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31479-2023</t>
        </is>
      </c>
      <c r="B836" s="1" t="n">
        <v>45114</v>
      </c>
      <c r="C836" s="1" t="n">
        <v>45807</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31483-2023</t>
        </is>
      </c>
      <c r="B837" s="1" t="n">
        <v>45114</v>
      </c>
      <c r="C837" s="1" t="n">
        <v>45807</v>
      </c>
      <c r="D837" t="inlineStr">
        <is>
          <t>UPPSALA LÄN</t>
        </is>
      </c>
      <c r="E837" t="inlineStr">
        <is>
          <t>ÖSTHAMMAR</t>
        </is>
      </c>
      <c r="F837" t="inlineStr">
        <is>
          <t>Bergvik skog öst AB</t>
        </is>
      </c>
      <c r="G837" t="n">
        <v>4.5</v>
      </c>
      <c r="H837" t="n">
        <v>0</v>
      </c>
      <c r="I837" t="n">
        <v>0</v>
      </c>
      <c r="J837" t="n">
        <v>0</v>
      </c>
      <c r="K837" t="n">
        <v>0</v>
      </c>
      <c r="L837" t="n">
        <v>0</v>
      </c>
      <c r="M837" t="n">
        <v>0</v>
      </c>
      <c r="N837" t="n">
        <v>0</v>
      </c>
      <c r="O837" t="n">
        <v>0</v>
      </c>
      <c r="P837" t="n">
        <v>0</v>
      </c>
      <c r="Q837" t="n">
        <v>0</v>
      </c>
      <c r="R837" s="2" t="inlineStr"/>
    </row>
    <row r="838" ht="15" customHeight="1">
      <c r="A838" t="inlineStr">
        <is>
          <t>A 31482-2023</t>
        </is>
      </c>
      <c r="B838" s="1" t="n">
        <v>45114</v>
      </c>
      <c r="C838" s="1" t="n">
        <v>45807</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31486-2023</t>
        </is>
      </c>
      <c r="B839" s="1" t="n">
        <v>45114</v>
      </c>
      <c r="C839" s="1" t="n">
        <v>45807</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31481-2023</t>
        </is>
      </c>
      <c r="B840" s="1" t="n">
        <v>45114</v>
      </c>
      <c r="C840" s="1" t="n">
        <v>45807</v>
      </c>
      <c r="D840" t="inlineStr">
        <is>
          <t>UPPSALA LÄN</t>
        </is>
      </c>
      <c r="E840" t="inlineStr">
        <is>
          <t>ÖSTHAMMAR</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31485-2023</t>
        </is>
      </c>
      <c r="B841" s="1" t="n">
        <v>45114</v>
      </c>
      <c r="C841" s="1" t="n">
        <v>45807</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31688-2023</t>
        </is>
      </c>
      <c r="B842" s="1" t="n">
        <v>45117</v>
      </c>
      <c r="C842" s="1" t="n">
        <v>45807</v>
      </c>
      <c r="D842" t="inlineStr">
        <is>
          <t>UPPSALA LÄN</t>
        </is>
      </c>
      <c r="E842" t="inlineStr">
        <is>
          <t>ÖSTHAMMAR</t>
        </is>
      </c>
      <c r="F842" t="inlineStr">
        <is>
          <t>Bergvik skog öst AB</t>
        </is>
      </c>
      <c r="G842" t="n">
        <v>4.9</v>
      </c>
      <c r="H842" t="n">
        <v>0</v>
      </c>
      <c r="I842" t="n">
        <v>0</v>
      </c>
      <c r="J842" t="n">
        <v>0</v>
      </c>
      <c r="K842" t="n">
        <v>0</v>
      </c>
      <c r="L842" t="n">
        <v>0</v>
      </c>
      <c r="M842" t="n">
        <v>0</v>
      </c>
      <c r="N842" t="n">
        <v>0</v>
      </c>
      <c r="O842" t="n">
        <v>0</v>
      </c>
      <c r="P842" t="n">
        <v>0</v>
      </c>
      <c r="Q842" t="n">
        <v>0</v>
      </c>
      <c r="R842" s="2" t="inlineStr"/>
    </row>
    <row r="843" ht="15" customHeight="1">
      <c r="A843" t="inlineStr">
        <is>
          <t>A 32194-2023</t>
        </is>
      </c>
      <c r="B843" s="1" t="n">
        <v>45119</v>
      </c>
      <c r="C843" s="1" t="n">
        <v>45807</v>
      </c>
      <c r="D843" t="inlineStr">
        <is>
          <t>UPPSALA LÄN</t>
        </is>
      </c>
      <c r="E843" t="inlineStr">
        <is>
          <t>ÖSTHAMMAR</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32195-2023</t>
        </is>
      </c>
      <c r="B844" s="1" t="n">
        <v>45119</v>
      </c>
      <c r="C844" s="1" t="n">
        <v>45807</v>
      </c>
      <c r="D844" t="inlineStr">
        <is>
          <t>UPPSALA LÄN</t>
        </is>
      </c>
      <c r="E844" t="inlineStr">
        <is>
          <t>ÖSTHAMMAR</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32197-2023</t>
        </is>
      </c>
      <c r="B845" s="1" t="n">
        <v>45119</v>
      </c>
      <c r="C845" s="1" t="n">
        <v>45807</v>
      </c>
      <c r="D845" t="inlineStr">
        <is>
          <t>UPPSALA LÄN</t>
        </is>
      </c>
      <c r="E845" t="inlineStr">
        <is>
          <t>ÖSTHAMMAR</t>
        </is>
      </c>
      <c r="F845" t="inlineStr">
        <is>
          <t>Bergvik skog öst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32196-2023</t>
        </is>
      </c>
      <c r="B846" s="1" t="n">
        <v>45119</v>
      </c>
      <c r="C846" s="1" t="n">
        <v>45807</v>
      </c>
      <c r="D846" t="inlineStr">
        <is>
          <t>UPPSALA LÄN</t>
        </is>
      </c>
      <c r="E846" t="inlineStr">
        <is>
          <t>ÖSTHAMMAR</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32390-2023</t>
        </is>
      </c>
      <c r="B847" s="1" t="n">
        <v>45120</v>
      </c>
      <c r="C847" s="1" t="n">
        <v>45807</v>
      </c>
      <c r="D847" t="inlineStr">
        <is>
          <t>UPPSALA LÄN</t>
        </is>
      </c>
      <c r="E847" t="inlineStr">
        <is>
          <t>ÖSTHAMMAR</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32693-2023</t>
        </is>
      </c>
      <c r="B848" s="1" t="n">
        <v>45121</v>
      </c>
      <c r="C848" s="1" t="n">
        <v>45807</v>
      </c>
      <c r="D848" t="inlineStr">
        <is>
          <t>UPPSALA LÄN</t>
        </is>
      </c>
      <c r="E848" t="inlineStr">
        <is>
          <t>ÖSTHAMMAR</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32691-2023</t>
        </is>
      </c>
      <c r="B849" s="1" t="n">
        <v>45121</v>
      </c>
      <c r="C849" s="1" t="n">
        <v>45807</v>
      </c>
      <c r="D849" t="inlineStr">
        <is>
          <t>UPPSALA LÄN</t>
        </is>
      </c>
      <c r="E849" t="inlineStr">
        <is>
          <t>ÖSTHAMMAR</t>
        </is>
      </c>
      <c r="F849" t="inlineStr">
        <is>
          <t>Bergvik skog öst AB</t>
        </is>
      </c>
      <c r="G849" t="n">
        <v>20.2</v>
      </c>
      <c r="H849" t="n">
        <v>0</v>
      </c>
      <c r="I849" t="n">
        <v>0</v>
      </c>
      <c r="J849" t="n">
        <v>0</v>
      </c>
      <c r="K849" t="n">
        <v>0</v>
      </c>
      <c r="L849" t="n">
        <v>0</v>
      </c>
      <c r="M849" t="n">
        <v>0</v>
      </c>
      <c r="N849" t="n">
        <v>0</v>
      </c>
      <c r="O849" t="n">
        <v>0</v>
      </c>
      <c r="P849" t="n">
        <v>0</v>
      </c>
      <c r="Q849" t="n">
        <v>0</v>
      </c>
      <c r="R849" s="2" t="inlineStr"/>
    </row>
    <row r="850" ht="15" customHeight="1">
      <c r="A850" t="inlineStr">
        <is>
          <t>A 32752-2023</t>
        </is>
      </c>
      <c r="B850" s="1" t="n">
        <v>45122</v>
      </c>
      <c r="C850" s="1" t="n">
        <v>45807</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32779-2023</t>
        </is>
      </c>
      <c r="B851" s="1" t="n">
        <v>45123</v>
      </c>
      <c r="C851" s="1" t="n">
        <v>45807</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32778-2023</t>
        </is>
      </c>
      <c r="B852" s="1" t="n">
        <v>45123</v>
      </c>
      <c r="C852" s="1" t="n">
        <v>45807</v>
      </c>
      <c r="D852" t="inlineStr">
        <is>
          <t>UPPSALA LÄN</t>
        </is>
      </c>
      <c r="E852" t="inlineStr">
        <is>
          <t>ÖSTHAMMAR</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32895-2023</t>
        </is>
      </c>
      <c r="B853" s="1" t="n">
        <v>45124</v>
      </c>
      <c r="C853" s="1" t="n">
        <v>45807</v>
      </c>
      <c r="D853" t="inlineStr">
        <is>
          <t>UPPSALA LÄN</t>
        </is>
      </c>
      <c r="E853" t="inlineStr">
        <is>
          <t>ÖSTHAMMAR</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34108-2023</t>
        </is>
      </c>
      <c r="B854" s="1" t="n">
        <v>45135</v>
      </c>
      <c r="C854" s="1" t="n">
        <v>45807</v>
      </c>
      <c r="D854" t="inlineStr">
        <is>
          <t>UPPSALA LÄN</t>
        </is>
      </c>
      <c r="E854" t="inlineStr">
        <is>
          <t>ÖSTHAMMAR</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34607-2023</t>
        </is>
      </c>
      <c r="B855" s="1" t="n">
        <v>45138</v>
      </c>
      <c r="C855" s="1" t="n">
        <v>45807</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34412-2023</t>
        </is>
      </c>
      <c r="B856" s="1" t="n">
        <v>45139</v>
      </c>
      <c r="C856" s="1" t="n">
        <v>45807</v>
      </c>
      <c r="D856" t="inlineStr">
        <is>
          <t>UPPSALA LÄN</t>
        </is>
      </c>
      <c r="E856" t="inlineStr">
        <is>
          <t>ÖSTHAMMAR</t>
        </is>
      </c>
      <c r="F856" t="inlineStr">
        <is>
          <t>Bergvik skog öst AB</t>
        </is>
      </c>
      <c r="G856" t="n">
        <v>4</v>
      </c>
      <c r="H856" t="n">
        <v>0</v>
      </c>
      <c r="I856" t="n">
        <v>0</v>
      </c>
      <c r="J856" t="n">
        <v>0</v>
      </c>
      <c r="K856" t="n">
        <v>0</v>
      </c>
      <c r="L856" t="n">
        <v>0</v>
      </c>
      <c r="M856" t="n">
        <v>0</v>
      </c>
      <c r="N856" t="n">
        <v>0</v>
      </c>
      <c r="O856" t="n">
        <v>0</v>
      </c>
      <c r="P856" t="n">
        <v>0</v>
      </c>
      <c r="Q856" t="n">
        <v>0</v>
      </c>
      <c r="R856" s="2" t="inlineStr"/>
    </row>
    <row r="857" ht="15" customHeight="1">
      <c r="A857" t="inlineStr">
        <is>
          <t>A 34471-2023</t>
        </is>
      </c>
      <c r="B857" s="1" t="n">
        <v>45139</v>
      </c>
      <c r="C857" s="1" t="n">
        <v>45807</v>
      </c>
      <c r="D857" t="inlineStr">
        <is>
          <t>UPPSALA LÄN</t>
        </is>
      </c>
      <c r="E857" t="inlineStr">
        <is>
          <t>ÖSTHAMMAR</t>
        </is>
      </c>
      <c r="F857" t="inlineStr">
        <is>
          <t>Bergvik skog öst AB</t>
        </is>
      </c>
      <c r="G857" t="n">
        <v>4.5</v>
      </c>
      <c r="H857" t="n">
        <v>0</v>
      </c>
      <c r="I857" t="n">
        <v>0</v>
      </c>
      <c r="J857" t="n">
        <v>0</v>
      </c>
      <c r="K857" t="n">
        <v>0</v>
      </c>
      <c r="L857" t="n">
        <v>0</v>
      </c>
      <c r="M857" t="n">
        <v>0</v>
      </c>
      <c r="N857" t="n">
        <v>0</v>
      </c>
      <c r="O857" t="n">
        <v>0</v>
      </c>
      <c r="P857" t="n">
        <v>0</v>
      </c>
      <c r="Q857" t="n">
        <v>0</v>
      </c>
      <c r="R857" s="2" t="inlineStr"/>
    </row>
    <row r="858" ht="15" customHeight="1">
      <c r="A858" t="inlineStr">
        <is>
          <t>A 34920-2023</t>
        </is>
      </c>
      <c r="B858" s="1" t="n">
        <v>45142</v>
      </c>
      <c r="C858" s="1" t="n">
        <v>45807</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34923-2023</t>
        </is>
      </c>
      <c r="B859" s="1" t="n">
        <v>45142</v>
      </c>
      <c r="C859" s="1" t="n">
        <v>45807</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34951-2023</t>
        </is>
      </c>
      <c r="B860" s="1" t="n">
        <v>45142</v>
      </c>
      <c r="C860" s="1" t="n">
        <v>45807</v>
      </c>
      <c r="D860" t="inlineStr">
        <is>
          <t>UPPSALA LÄN</t>
        </is>
      </c>
      <c r="E860" t="inlineStr">
        <is>
          <t>ÖSTHAMMAR</t>
        </is>
      </c>
      <c r="F860" t="inlineStr">
        <is>
          <t>Naturvårdsverket</t>
        </is>
      </c>
      <c r="G860" t="n">
        <v>4.8</v>
      </c>
      <c r="H860" t="n">
        <v>0</v>
      </c>
      <c r="I860" t="n">
        <v>0</v>
      </c>
      <c r="J860" t="n">
        <v>0</v>
      </c>
      <c r="K860" t="n">
        <v>0</v>
      </c>
      <c r="L860" t="n">
        <v>0</v>
      </c>
      <c r="M860" t="n">
        <v>0</v>
      </c>
      <c r="N860" t="n">
        <v>0</v>
      </c>
      <c r="O860" t="n">
        <v>0</v>
      </c>
      <c r="P860" t="n">
        <v>0</v>
      </c>
      <c r="Q860" t="n">
        <v>0</v>
      </c>
      <c r="R860" s="2" t="inlineStr"/>
    </row>
    <row r="861" ht="15" customHeight="1">
      <c r="A861" t="inlineStr">
        <is>
          <t>A 34922-2023</t>
        </is>
      </c>
      <c r="B861" s="1" t="n">
        <v>45142</v>
      </c>
      <c r="C861" s="1" t="n">
        <v>45807</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35403-2023</t>
        </is>
      </c>
      <c r="B862" s="1" t="n">
        <v>45146</v>
      </c>
      <c r="C862" s="1" t="n">
        <v>45807</v>
      </c>
      <c r="D862" t="inlineStr">
        <is>
          <t>UPPSALA LÄN</t>
        </is>
      </c>
      <c r="E862" t="inlineStr">
        <is>
          <t>ÖSTHAMMAR</t>
        </is>
      </c>
      <c r="F862" t="inlineStr">
        <is>
          <t>Bergvik skog öst AB</t>
        </is>
      </c>
      <c r="G862" t="n">
        <v>3.6</v>
      </c>
      <c r="H862" t="n">
        <v>0</v>
      </c>
      <c r="I862" t="n">
        <v>0</v>
      </c>
      <c r="J862" t="n">
        <v>0</v>
      </c>
      <c r="K862" t="n">
        <v>0</v>
      </c>
      <c r="L862" t="n">
        <v>0</v>
      </c>
      <c r="M862" t="n">
        <v>0</v>
      </c>
      <c r="N862" t="n">
        <v>0</v>
      </c>
      <c r="O862" t="n">
        <v>0</v>
      </c>
      <c r="P862" t="n">
        <v>0</v>
      </c>
      <c r="Q862" t="n">
        <v>0</v>
      </c>
      <c r="R862" s="2" t="inlineStr"/>
    </row>
    <row r="863" ht="15" customHeight="1">
      <c r="A863" t="inlineStr">
        <is>
          <t>A 35309-2023</t>
        </is>
      </c>
      <c r="B863" s="1" t="n">
        <v>45146</v>
      </c>
      <c r="C863" s="1" t="n">
        <v>45807</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35413-2023</t>
        </is>
      </c>
      <c r="B864" s="1" t="n">
        <v>45146</v>
      </c>
      <c r="C864" s="1" t="n">
        <v>45807</v>
      </c>
      <c r="D864" t="inlineStr">
        <is>
          <t>UPPSALA LÄN</t>
        </is>
      </c>
      <c r="E864" t="inlineStr">
        <is>
          <t>ÖSTHAMMAR</t>
        </is>
      </c>
      <c r="F864" t="inlineStr">
        <is>
          <t>Bergvik skog öst AB</t>
        </is>
      </c>
      <c r="G864" t="n">
        <v>26.1</v>
      </c>
      <c r="H864" t="n">
        <v>0</v>
      </c>
      <c r="I864" t="n">
        <v>0</v>
      </c>
      <c r="J864" t="n">
        <v>0</v>
      </c>
      <c r="K864" t="n">
        <v>0</v>
      </c>
      <c r="L864" t="n">
        <v>0</v>
      </c>
      <c r="M864" t="n">
        <v>0</v>
      </c>
      <c r="N864" t="n">
        <v>0</v>
      </c>
      <c r="O864" t="n">
        <v>0</v>
      </c>
      <c r="P864" t="n">
        <v>0</v>
      </c>
      <c r="Q864" t="n">
        <v>0</v>
      </c>
      <c r="R864" s="2" t="inlineStr"/>
    </row>
    <row r="865" ht="15" customHeight="1">
      <c r="A865" t="inlineStr">
        <is>
          <t>A 35406-2023</t>
        </is>
      </c>
      <c r="B865" s="1" t="n">
        <v>45146</v>
      </c>
      <c r="C865" s="1" t="n">
        <v>45807</v>
      </c>
      <c r="D865" t="inlineStr">
        <is>
          <t>UPPSALA LÄN</t>
        </is>
      </c>
      <c r="E865" t="inlineStr">
        <is>
          <t>ÖSTHAMMAR</t>
        </is>
      </c>
      <c r="F865" t="inlineStr">
        <is>
          <t>Bergvik skog öst AB</t>
        </is>
      </c>
      <c r="G865" t="n">
        <v>1.7</v>
      </c>
      <c r="H865" t="n">
        <v>0</v>
      </c>
      <c r="I865" t="n">
        <v>0</v>
      </c>
      <c r="J865" t="n">
        <v>0</v>
      </c>
      <c r="K865" t="n">
        <v>0</v>
      </c>
      <c r="L865" t="n">
        <v>0</v>
      </c>
      <c r="M865" t="n">
        <v>0</v>
      </c>
      <c r="N865" t="n">
        <v>0</v>
      </c>
      <c r="O865" t="n">
        <v>0</v>
      </c>
      <c r="P865" t="n">
        <v>0</v>
      </c>
      <c r="Q865" t="n">
        <v>0</v>
      </c>
      <c r="R865" s="2" t="inlineStr"/>
    </row>
    <row r="866" ht="15" customHeight="1">
      <c r="A866" t="inlineStr">
        <is>
          <t>A 35410-2023</t>
        </is>
      </c>
      <c r="B866" s="1" t="n">
        <v>45146</v>
      </c>
      <c r="C866" s="1" t="n">
        <v>45807</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35474-2023</t>
        </is>
      </c>
      <c r="B867" s="1" t="n">
        <v>45146</v>
      </c>
      <c r="C867" s="1" t="n">
        <v>45807</v>
      </c>
      <c r="D867" t="inlineStr">
        <is>
          <t>UPPSALA LÄN</t>
        </is>
      </c>
      <c r="E867" t="inlineStr">
        <is>
          <t>ÖSTHAMMAR</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35476-2023</t>
        </is>
      </c>
      <c r="B868" s="1" t="n">
        <v>45146</v>
      </c>
      <c r="C868" s="1" t="n">
        <v>45807</v>
      </c>
      <c r="D868" t="inlineStr">
        <is>
          <t>UPPSALA LÄN</t>
        </is>
      </c>
      <c r="E868" t="inlineStr">
        <is>
          <t>ÖSTHAMMAR</t>
        </is>
      </c>
      <c r="G868" t="n">
        <v>2.4</v>
      </c>
      <c r="H868" t="n">
        <v>0</v>
      </c>
      <c r="I868" t="n">
        <v>0</v>
      </c>
      <c r="J868" t="n">
        <v>0</v>
      </c>
      <c r="K868" t="n">
        <v>0</v>
      </c>
      <c r="L868" t="n">
        <v>0</v>
      </c>
      <c r="M868" t="n">
        <v>0</v>
      </c>
      <c r="N868" t="n">
        <v>0</v>
      </c>
      <c r="O868" t="n">
        <v>0</v>
      </c>
      <c r="P868" t="n">
        <v>0</v>
      </c>
      <c r="Q868" t="n">
        <v>0</v>
      </c>
      <c r="R868" s="2" t="inlineStr"/>
    </row>
    <row r="869" ht="15" customHeight="1">
      <c r="A869" t="inlineStr">
        <is>
          <t>A 35539-2023</t>
        </is>
      </c>
      <c r="B869" s="1" t="n">
        <v>45147</v>
      </c>
      <c r="C869" s="1" t="n">
        <v>45807</v>
      </c>
      <c r="D869" t="inlineStr">
        <is>
          <t>UPPSALA LÄN</t>
        </is>
      </c>
      <c r="E869" t="inlineStr">
        <is>
          <t>ÖSTHAMMAR</t>
        </is>
      </c>
      <c r="G869" t="n">
        <v>1.4</v>
      </c>
      <c r="H869" t="n">
        <v>0</v>
      </c>
      <c r="I869" t="n">
        <v>0</v>
      </c>
      <c r="J869" t="n">
        <v>0</v>
      </c>
      <c r="K869" t="n">
        <v>0</v>
      </c>
      <c r="L869" t="n">
        <v>0</v>
      </c>
      <c r="M869" t="n">
        <v>0</v>
      </c>
      <c r="N869" t="n">
        <v>0</v>
      </c>
      <c r="O869" t="n">
        <v>0</v>
      </c>
      <c r="P869" t="n">
        <v>0</v>
      </c>
      <c r="Q869" t="n">
        <v>0</v>
      </c>
      <c r="R869" s="2" t="inlineStr"/>
    </row>
    <row r="870" ht="15" customHeight="1">
      <c r="A870" t="inlineStr">
        <is>
          <t>A 35918-2023</t>
        </is>
      </c>
      <c r="B870" s="1" t="n">
        <v>45148</v>
      </c>
      <c r="C870" s="1" t="n">
        <v>45807</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36020-2023</t>
        </is>
      </c>
      <c r="B871" s="1" t="n">
        <v>45149</v>
      </c>
      <c r="C871" s="1" t="n">
        <v>45807</v>
      </c>
      <c r="D871" t="inlineStr">
        <is>
          <t>UPPSALA LÄN</t>
        </is>
      </c>
      <c r="E871" t="inlineStr">
        <is>
          <t>ÖSTHAMMAR</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36301-2023</t>
        </is>
      </c>
      <c r="B872" s="1" t="n">
        <v>45152</v>
      </c>
      <c r="C872" s="1" t="n">
        <v>45807</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36447-2023</t>
        </is>
      </c>
      <c r="B873" s="1" t="n">
        <v>45152</v>
      </c>
      <c r="C873" s="1" t="n">
        <v>45807</v>
      </c>
      <c r="D873" t="inlineStr">
        <is>
          <t>UPPSALA LÄN</t>
        </is>
      </c>
      <c r="E873" t="inlineStr">
        <is>
          <t>ÖSTHAMMAR</t>
        </is>
      </c>
      <c r="F873" t="inlineStr">
        <is>
          <t>Bergvik skog öst AB</t>
        </is>
      </c>
      <c r="G873" t="n">
        <v>6.5</v>
      </c>
      <c r="H873" t="n">
        <v>0</v>
      </c>
      <c r="I873" t="n">
        <v>0</v>
      </c>
      <c r="J873" t="n">
        <v>0</v>
      </c>
      <c r="K873" t="n">
        <v>0</v>
      </c>
      <c r="L873" t="n">
        <v>0</v>
      </c>
      <c r="M873" t="n">
        <v>0</v>
      </c>
      <c r="N873" t="n">
        <v>0</v>
      </c>
      <c r="O873" t="n">
        <v>0</v>
      </c>
      <c r="P873" t="n">
        <v>0</v>
      </c>
      <c r="Q873" t="n">
        <v>0</v>
      </c>
      <c r="R873" s="2" t="inlineStr"/>
    </row>
    <row r="874" ht="15" customHeight="1">
      <c r="A874" t="inlineStr">
        <is>
          <t>A 36861-2023</t>
        </is>
      </c>
      <c r="B874" s="1" t="n">
        <v>45154</v>
      </c>
      <c r="C874" s="1" t="n">
        <v>45807</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36857-2023</t>
        </is>
      </c>
      <c r="B875" s="1" t="n">
        <v>45154</v>
      </c>
      <c r="C875" s="1" t="n">
        <v>45807</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36904-2023</t>
        </is>
      </c>
      <c r="B876" s="1" t="n">
        <v>45154</v>
      </c>
      <c r="C876" s="1" t="n">
        <v>45807</v>
      </c>
      <c r="D876" t="inlineStr">
        <is>
          <t>UPPSALA LÄN</t>
        </is>
      </c>
      <c r="E876" t="inlineStr">
        <is>
          <t>ÖSTHAMMAR</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37021-2023</t>
        </is>
      </c>
      <c r="B877" s="1" t="n">
        <v>45155</v>
      </c>
      <c r="C877" s="1" t="n">
        <v>45807</v>
      </c>
      <c r="D877" t="inlineStr">
        <is>
          <t>UPPSALA LÄN</t>
        </is>
      </c>
      <c r="E877" t="inlineStr">
        <is>
          <t>ÖSTHAMMAR</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37478-2023</t>
        </is>
      </c>
      <c r="B878" s="1" t="n">
        <v>45157</v>
      </c>
      <c r="C878" s="1" t="n">
        <v>45807</v>
      </c>
      <c r="D878" t="inlineStr">
        <is>
          <t>UPPSALA LÄN</t>
        </is>
      </c>
      <c r="E878" t="inlineStr">
        <is>
          <t>ÖSTHAMMAR</t>
        </is>
      </c>
      <c r="F878" t="inlineStr">
        <is>
          <t>Bergvik skog öst AB</t>
        </is>
      </c>
      <c r="G878" t="n">
        <v>2</v>
      </c>
      <c r="H878" t="n">
        <v>0</v>
      </c>
      <c r="I878" t="n">
        <v>0</v>
      </c>
      <c r="J878" t="n">
        <v>0</v>
      </c>
      <c r="K878" t="n">
        <v>0</v>
      </c>
      <c r="L878" t="n">
        <v>0</v>
      </c>
      <c r="M878" t="n">
        <v>0</v>
      </c>
      <c r="N878" t="n">
        <v>0</v>
      </c>
      <c r="O878" t="n">
        <v>0</v>
      </c>
      <c r="P878" t="n">
        <v>0</v>
      </c>
      <c r="Q878" t="n">
        <v>0</v>
      </c>
      <c r="R878" s="2" t="inlineStr"/>
    </row>
    <row r="879" ht="15" customHeight="1">
      <c r="A879" t="inlineStr">
        <is>
          <t>A 37493-2023</t>
        </is>
      </c>
      <c r="B879" s="1" t="n">
        <v>45157</v>
      </c>
      <c r="C879" s="1" t="n">
        <v>45807</v>
      </c>
      <c r="D879" t="inlineStr">
        <is>
          <t>UPPSALA LÄN</t>
        </is>
      </c>
      <c r="E879" t="inlineStr">
        <is>
          <t>ÖSTHAMMAR</t>
        </is>
      </c>
      <c r="F879" t="inlineStr">
        <is>
          <t>Bergvik skog öst AB</t>
        </is>
      </c>
      <c r="G879" t="n">
        <v>3.3</v>
      </c>
      <c r="H879" t="n">
        <v>0</v>
      </c>
      <c r="I879" t="n">
        <v>0</v>
      </c>
      <c r="J879" t="n">
        <v>0</v>
      </c>
      <c r="K879" t="n">
        <v>0</v>
      </c>
      <c r="L879" t="n">
        <v>0</v>
      </c>
      <c r="M879" t="n">
        <v>0</v>
      </c>
      <c r="N879" t="n">
        <v>0</v>
      </c>
      <c r="O879" t="n">
        <v>0</v>
      </c>
      <c r="P879" t="n">
        <v>0</v>
      </c>
      <c r="Q879" t="n">
        <v>0</v>
      </c>
      <c r="R879" s="2" t="inlineStr"/>
    </row>
    <row r="880" ht="15" customHeight="1">
      <c r="A880" t="inlineStr">
        <is>
          <t>A 37494-2023</t>
        </is>
      </c>
      <c r="B880" s="1" t="n">
        <v>45157</v>
      </c>
      <c r="C880" s="1" t="n">
        <v>45807</v>
      </c>
      <c r="D880" t="inlineStr">
        <is>
          <t>UPPSALA LÄN</t>
        </is>
      </c>
      <c r="E880" t="inlineStr">
        <is>
          <t>ÖSTHAMMAR</t>
        </is>
      </c>
      <c r="F880" t="inlineStr">
        <is>
          <t>Bergvik skog öst AB</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37863-2023</t>
        </is>
      </c>
      <c r="B881" s="1" t="n">
        <v>45160</v>
      </c>
      <c r="C881" s="1" t="n">
        <v>45807</v>
      </c>
      <c r="D881" t="inlineStr">
        <is>
          <t>UPPSALA LÄN</t>
        </is>
      </c>
      <c r="E881" t="inlineStr">
        <is>
          <t>ÖSTHAMMAR</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37865-2023</t>
        </is>
      </c>
      <c r="B882" s="1" t="n">
        <v>45160</v>
      </c>
      <c r="C882" s="1" t="n">
        <v>45807</v>
      </c>
      <c r="D882" t="inlineStr">
        <is>
          <t>UPPSALA LÄN</t>
        </is>
      </c>
      <c r="E882" t="inlineStr">
        <is>
          <t>ÖSTHAMMAR</t>
        </is>
      </c>
      <c r="G882" t="n">
        <v>1.4</v>
      </c>
      <c r="H882" t="n">
        <v>0</v>
      </c>
      <c r="I882" t="n">
        <v>0</v>
      </c>
      <c r="J882" t="n">
        <v>0</v>
      </c>
      <c r="K882" t="n">
        <v>0</v>
      </c>
      <c r="L882" t="n">
        <v>0</v>
      </c>
      <c r="M882" t="n">
        <v>0</v>
      </c>
      <c r="N882" t="n">
        <v>0</v>
      </c>
      <c r="O882" t="n">
        <v>0</v>
      </c>
      <c r="P882" t="n">
        <v>0</v>
      </c>
      <c r="Q882" t="n">
        <v>0</v>
      </c>
      <c r="R882" s="2" t="inlineStr"/>
    </row>
    <row r="883" ht="15" customHeight="1">
      <c r="A883" t="inlineStr">
        <is>
          <t>A 38039-2023</t>
        </is>
      </c>
      <c r="B883" s="1" t="n">
        <v>45160</v>
      </c>
      <c r="C883" s="1" t="n">
        <v>45807</v>
      </c>
      <c r="D883" t="inlineStr">
        <is>
          <t>UPPSALA LÄN</t>
        </is>
      </c>
      <c r="E883" t="inlineStr">
        <is>
          <t>ÖSTHAMMAR</t>
        </is>
      </c>
      <c r="F883" t="inlineStr">
        <is>
          <t>Bergvik skog öst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38228-2023</t>
        </is>
      </c>
      <c r="B884" s="1" t="n">
        <v>45160</v>
      </c>
      <c r="C884" s="1" t="n">
        <v>45807</v>
      </c>
      <c r="D884" t="inlineStr">
        <is>
          <t>UPPSALA LÄN</t>
        </is>
      </c>
      <c r="E884" t="inlineStr">
        <is>
          <t>ÖSTHAMMAR</t>
        </is>
      </c>
      <c r="G884" t="n">
        <v>19.2</v>
      </c>
      <c r="H884" t="n">
        <v>0</v>
      </c>
      <c r="I884" t="n">
        <v>0</v>
      </c>
      <c r="J884" t="n">
        <v>0</v>
      </c>
      <c r="K884" t="n">
        <v>0</v>
      </c>
      <c r="L884" t="n">
        <v>0</v>
      </c>
      <c r="M884" t="n">
        <v>0</v>
      </c>
      <c r="N884" t="n">
        <v>0</v>
      </c>
      <c r="O884" t="n">
        <v>0</v>
      </c>
      <c r="P884" t="n">
        <v>0</v>
      </c>
      <c r="Q884" t="n">
        <v>0</v>
      </c>
      <c r="R884" s="2" t="inlineStr"/>
    </row>
    <row r="885" ht="15" customHeight="1">
      <c r="A885" t="inlineStr">
        <is>
          <t>A 38127-2023</t>
        </is>
      </c>
      <c r="B885" s="1" t="n">
        <v>45161</v>
      </c>
      <c r="C885" s="1" t="n">
        <v>45807</v>
      </c>
      <c r="D885" t="inlineStr">
        <is>
          <t>UPPSALA LÄN</t>
        </is>
      </c>
      <c r="E885" t="inlineStr">
        <is>
          <t>ÖSTHAMMAR</t>
        </is>
      </c>
      <c r="G885" t="n">
        <v>1.5</v>
      </c>
      <c r="H885" t="n">
        <v>0</v>
      </c>
      <c r="I885" t="n">
        <v>0</v>
      </c>
      <c r="J885" t="n">
        <v>0</v>
      </c>
      <c r="K885" t="n">
        <v>0</v>
      </c>
      <c r="L885" t="n">
        <v>0</v>
      </c>
      <c r="M885" t="n">
        <v>0</v>
      </c>
      <c r="N885" t="n">
        <v>0</v>
      </c>
      <c r="O885" t="n">
        <v>0</v>
      </c>
      <c r="P885" t="n">
        <v>0</v>
      </c>
      <c r="Q885" t="n">
        <v>0</v>
      </c>
      <c r="R885" s="2" t="inlineStr"/>
    </row>
    <row r="886" ht="15" customHeight="1">
      <c r="A886" t="inlineStr">
        <is>
          <t>A 38162-2023</t>
        </is>
      </c>
      <c r="B886" s="1" t="n">
        <v>45161</v>
      </c>
      <c r="C886" s="1" t="n">
        <v>45807</v>
      </c>
      <c r="D886" t="inlineStr">
        <is>
          <t>UPPSALA LÄN</t>
        </is>
      </c>
      <c r="E886" t="inlineStr">
        <is>
          <t>ÖSTHAMMAR</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38128-2023</t>
        </is>
      </c>
      <c r="B887" s="1" t="n">
        <v>45161</v>
      </c>
      <c r="C887" s="1" t="n">
        <v>45807</v>
      </c>
      <c r="D887" t="inlineStr">
        <is>
          <t>UPPSALA LÄN</t>
        </is>
      </c>
      <c r="E887" t="inlineStr">
        <is>
          <t>ÖSTHAMMAR</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38600-2023</t>
        </is>
      </c>
      <c r="B888" s="1" t="n">
        <v>45162</v>
      </c>
      <c r="C888" s="1" t="n">
        <v>45807</v>
      </c>
      <c r="D888" t="inlineStr">
        <is>
          <t>UPPSALA LÄN</t>
        </is>
      </c>
      <c r="E888" t="inlineStr">
        <is>
          <t>ÖSTHAMMAR</t>
        </is>
      </c>
      <c r="F888" t="inlineStr">
        <is>
          <t>Bergvik skog väst AB</t>
        </is>
      </c>
      <c r="G888" t="n">
        <v>0.1</v>
      </c>
      <c r="H888" t="n">
        <v>0</v>
      </c>
      <c r="I888" t="n">
        <v>0</v>
      </c>
      <c r="J888" t="n">
        <v>0</v>
      </c>
      <c r="K888" t="n">
        <v>0</v>
      </c>
      <c r="L888" t="n">
        <v>0</v>
      </c>
      <c r="M888" t="n">
        <v>0</v>
      </c>
      <c r="N888" t="n">
        <v>0</v>
      </c>
      <c r="O888" t="n">
        <v>0</v>
      </c>
      <c r="P888" t="n">
        <v>0</v>
      </c>
      <c r="Q888" t="n">
        <v>0</v>
      </c>
      <c r="R888" s="2" t="inlineStr"/>
    </row>
    <row r="889" ht="15" customHeight="1">
      <c r="A889" t="inlineStr">
        <is>
          <t>A 38610-2023</t>
        </is>
      </c>
      <c r="B889" s="1" t="n">
        <v>45162</v>
      </c>
      <c r="C889" s="1" t="n">
        <v>45807</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38571-2023</t>
        </is>
      </c>
      <c r="B890" s="1" t="n">
        <v>45162</v>
      </c>
      <c r="C890" s="1" t="n">
        <v>45807</v>
      </c>
      <c r="D890" t="inlineStr">
        <is>
          <t>UPPSALA LÄN</t>
        </is>
      </c>
      <c r="E890" t="inlineStr">
        <is>
          <t>ÖSTHAMMAR</t>
        </is>
      </c>
      <c r="F890" t="inlineStr">
        <is>
          <t>Bergvik skog öst AB</t>
        </is>
      </c>
      <c r="G890" t="n">
        <v>1.1</v>
      </c>
      <c r="H890" t="n">
        <v>0</v>
      </c>
      <c r="I890" t="n">
        <v>0</v>
      </c>
      <c r="J890" t="n">
        <v>0</v>
      </c>
      <c r="K890" t="n">
        <v>0</v>
      </c>
      <c r="L890" t="n">
        <v>0</v>
      </c>
      <c r="M890" t="n">
        <v>0</v>
      </c>
      <c r="N890" t="n">
        <v>0</v>
      </c>
      <c r="O890" t="n">
        <v>0</v>
      </c>
      <c r="P890" t="n">
        <v>0</v>
      </c>
      <c r="Q890" t="n">
        <v>0</v>
      </c>
      <c r="R890" s="2" t="inlineStr"/>
    </row>
    <row r="891" ht="15" customHeight="1">
      <c r="A891" t="inlineStr">
        <is>
          <t>A 38711-2023</t>
        </is>
      </c>
      <c r="B891" s="1" t="n">
        <v>45163</v>
      </c>
      <c r="C891" s="1" t="n">
        <v>45807</v>
      </c>
      <c r="D891" t="inlineStr">
        <is>
          <t>UPPSALA LÄN</t>
        </is>
      </c>
      <c r="E891" t="inlineStr">
        <is>
          <t>ÖSTHAMMAR</t>
        </is>
      </c>
      <c r="G891" t="n">
        <v>5.4</v>
      </c>
      <c r="H891" t="n">
        <v>0</v>
      </c>
      <c r="I891" t="n">
        <v>0</v>
      </c>
      <c r="J891" t="n">
        <v>0</v>
      </c>
      <c r="K891" t="n">
        <v>0</v>
      </c>
      <c r="L891" t="n">
        <v>0</v>
      </c>
      <c r="M891" t="n">
        <v>0</v>
      </c>
      <c r="N891" t="n">
        <v>0</v>
      </c>
      <c r="O891" t="n">
        <v>0</v>
      </c>
      <c r="P891" t="n">
        <v>0</v>
      </c>
      <c r="Q891" t="n">
        <v>0</v>
      </c>
      <c r="R891" s="2" t="inlineStr"/>
    </row>
    <row r="892" ht="15" customHeight="1">
      <c r="A892" t="inlineStr">
        <is>
          <t>A 40176-2023</t>
        </is>
      </c>
      <c r="B892" s="1" t="n">
        <v>45169</v>
      </c>
      <c r="C892" s="1" t="n">
        <v>45807</v>
      </c>
      <c r="D892" t="inlineStr">
        <is>
          <t>UPPSALA LÄN</t>
        </is>
      </c>
      <c r="E892" t="inlineStr">
        <is>
          <t>ÖSTHAMMAR</t>
        </is>
      </c>
      <c r="F892" t="inlineStr">
        <is>
          <t>Bergvik skog öst AB</t>
        </is>
      </c>
      <c r="G892" t="n">
        <v>29.9</v>
      </c>
      <c r="H892" t="n">
        <v>0</v>
      </c>
      <c r="I892" t="n">
        <v>0</v>
      </c>
      <c r="J892" t="n">
        <v>0</v>
      </c>
      <c r="K892" t="n">
        <v>0</v>
      </c>
      <c r="L892" t="n">
        <v>0</v>
      </c>
      <c r="M892" t="n">
        <v>0</v>
      </c>
      <c r="N892" t="n">
        <v>0</v>
      </c>
      <c r="O892" t="n">
        <v>0</v>
      </c>
      <c r="P892" t="n">
        <v>0</v>
      </c>
      <c r="Q892" t="n">
        <v>0</v>
      </c>
      <c r="R892" s="2" t="inlineStr"/>
    </row>
    <row r="893" ht="15" customHeight="1">
      <c r="A893" t="inlineStr">
        <is>
          <t>A 40547-2023</t>
        </is>
      </c>
      <c r="B893" s="1" t="n">
        <v>45170</v>
      </c>
      <c r="C893" s="1" t="n">
        <v>45807</v>
      </c>
      <c r="D893" t="inlineStr">
        <is>
          <t>UPPSALA LÄN</t>
        </is>
      </c>
      <c r="E893" t="inlineStr">
        <is>
          <t>ÖSTHAMMAR</t>
        </is>
      </c>
      <c r="G893" t="n">
        <v>2.1</v>
      </c>
      <c r="H893" t="n">
        <v>0</v>
      </c>
      <c r="I893" t="n">
        <v>0</v>
      </c>
      <c r="J893" t="n">
        <v>0</v>
      </c>
      <c r="K893" t="n">
        <v>0</v>
      </c>
      <c r="L893" t="n">
        <v>0</v>
      </c>
      <c r="M893" t="n">
        <v>0</v>
      </c>
      <c r="N893" t="n">
        <v>0</v>
      </c>
      <c r="O893" t="n">
        <v>0</v>
      </c>
      <c r="P893" t="n">
        <v>0</v>
      </c>
      <c r="Q893" t="n">
        <v>0</v>
      </c>
      <c r="R893" s="2" t="inlineStr"/>
    </row>
    <row r="894" ht="15" customHeight="1">
      <c r="A894" t="inlineStr">
        <is>
          <t>A 40837-2023</t>
        </is>
      </c>
      <c r="B894" s="1" t="n">
        <v>45172</v>
      </c>
      <c r="C894" s="1" t="n">
        <v>45807</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40938-2023</t>
        </is>
      </c>
      <c r="B895" s="1" t="n">
        <v>45173</v>
      </c>
      <c r="C895" s="1" t="n">
        <v>45807</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40946-2023</t>
        </is>
      </c>
      <c r="B896" s="1" t="n">
        <v>45173</v>
      </c>
      <c r="C896" s="1" t="n">
        <v>45807</v>
      </c>
      <c r="D896" t="inlineStr">
        <is>
          <t>UPPSALA LÄN</t>
        </is>
      </c>
      <c r="E896" t="inlineStr">
        <is>
          <t>ÖSTHAMMAR</t>
        </is>
      </c>
      <c r="F896" t="inlineStr">
        <is>
          <t>Bergvik skog öst AB</t>
        </is>
      </c>
      <c r="G896" t="n">
        <v>4</v>
      </c>
      <c r="H896" t="n">
        <v>0</v>
      </c>
      <c r="I896" t="n">
        <v>0</v>
      </c>
      <c r="J896" t="n">
        <v>0</v>
      </c>
      <c r="K896" t="n">
        <v>0</v>
      </c>
      <c r="L896" t="n">
        <v>0</v>
      </c>
      <c r="M896" t="n">
        <v>0</v>
      </c>
      <c r="N896" t="n">
        <v>0</v>
      </c>
      <c r="O896" t="n">
        <v>0</v>
      </c>
      <c r="P896" t="n">
        <v>0</v>
      </c>
      <c r="Q896" t="n">
        <v>0</v>
      </c>
      <c r="R896" s="2" t="inlineStr"/>
    </row>
    <row r="897" ht="15" customHeight="1">
      <c r="A897" t="inlineStr">
        <is>
          <t>A 40952-2023</t>
        </is>
      </c>
      <c r="B897" s="1" t="n">
        <v>45173</v>
      </c>
      <c r="C897" s="1" t="n">
        <v>45807</v>
      </c>
      <c r="D897" t="inlineStr">
        <is>
          <t>UPPSALA LÄN</t>
        </is>
      </c>
      <c r="E897" t="inlineStr">
        <is>
          <t>ÖSTHAMMAR</t>
        </is>
      </c>
      <c r="F897" t="inlineStr">
        <is>
          <t>Bergvik skog öst AB</t>
        </is>
      </c>
      <c r="G897" t="n">
        <v>4.4</v>
      </c>
      <c r="H897" t="n">
        <v>0</v>
      </c>
      <c r="I897" t="n">
        <v>0</v>
      </c>
      <c r="J897" t="n">
        <v>0</v>
      </c>
      <c r="K897" t="n">
        <v>0</v>
      </c>
      <c r="L897" t="n">
        <v>0</v>
      </c>
      <c r="M897" t="n">
        <v>0</v>
      </c>
      <c r="N897" t="n">
        <v>0</v>
      </c>
      <c r="O897" t="n">
        <v>0</v>
      </c>
      <c r="P897" t="n">
        <v>0</v>
      </c>
      <c r="Q897" t="n">
        <v>0</v>
      </c>
      <c r="R897" s="2" t="inlineStr"/>
    </row>
    <row r="898" ht="15" customHeight="1">
      <c r="A898" t="inlineStr">
        <is>
          <t>A 41308-2023</t>
        </is>
      </c>
      <c r="B898" s="1" t="n">
        <v>45174</v>
      </c>
      <c r="C898" s="1" t="n">
        <v>45807</v>
      </c>
      <c r="D898" t="inlineStr">
        <is>
          <t>UPPSALA LÄN</t>
        </is>
      </c>
      <c r="E898" t="inlineStr">
        <is>
          <t>ÖSTHAMMAR</t>
        </is>
      </c>
      <c r="F898" t="inlineStr">
        <is>
          <t>Övriga Aktiebolag</t>
        </is>
      </c>
      <c r="G898" t="n">
        <v>2.8</v>
      </c>
      <c r="H898" t="n">
        <v>0</v>
      </c>
      <c r="I898" t="n">
        <v>0</v>
      </c>
      <c r="J898" t="n">
        <v>0</v>
      </c>
      <c r="K898" t="n">
        <v>0</v>
      </c>
      <c r="L898" t="n">
        <v>0</v>
      </c>
      <c r="M898" t="n">
        <v>0</v>
      </c>
      <c r="N898" t="n">
        <v>0</v>
      </c>
      <c r="O898" t="n">
        <v>0</v>
      </c>
      <c r="P898" t="n">
        <v>0</v>
      </c>
      <c r="Q898" t="n">
        <v>0</v>
      </c>
      <c r="R898" s="2" t="inlineStr"/>
    </row>
    <row r="899" ht="15" customHeight="1">
      <c r="A899" t="inlineStr">
        <is>
          <t>A 41489-2023</t>
        </is>
      </c>
      <c r="B899" s="1" t="n">
        <v>45175</v>
      </c>
      <c r="C899" s="1" t="n">
        <v>45807</v>
      </c>
      <c r="D899" t="inlineStr">
        <is>
          <t>UPPSALA LÄN</t>
        </is>
      </c>
      <c r="E899" t="inlineStr">
        <is>
          <t>ÖSTHAMMAR</t>
        </is>
      </c>
      <c r="F899" t="inlineStr">
        <is>
          <t>Bergvik skog öst AB</t>
        </is>
      </c>
      <c r="G899" t="n">
        <v>4.2</v>
      </c>
      <c r="H899" t="n">
        <v>0</v>
      </c>
      <c r="I899" t="n">
        <v>0</v>
      </c>
      <c r="J899" t="n">
        <v>0</v>
      </c>
      <c r="K899" t="n">
        <v>0</v>
      </c>
      <c r="L899" t="n">
        <v>0</v>
      </c>
      <c r="M899" t="n">
        <v>0</v>
      </c>
      <c r="N899" t="n">
        <v>0</v>
      </c>
      <c r="O899" t="n">
        <v>0</v>
      </c>
      <c r="P899" t="n">
        <v>0</v>
      </c>
      <c r="Q899" t="n">
        <v>0</v>
      </c>
      <c r="R899" s="2" t="inlineStr"/>
    </row>
    <row r="900" ht="15" customHeight="1">
      <c r="A900" t="inlineStr">
        <is>
          <t>A 41821-2023</t>
        </is>
      </c>
      <c r="B900" s="1" t="n">
        <v>45176</v>
      </c>
      <c r="C900" s="1" t="n">
        <v>45807</v>
      </c>
      <c r="D900" t="inlineStr">
        <is>
          <t>UPPSALA LÄN</t>
        </is>
      </c>
      <c r="E900" t="inlineStr">
        <is>
          <t>ÖSTHAMMAR</t>
        </is>
      </c>
      <c r="G900" t="n">
        <v>0.9</v>
      </c>
      <c r="H900" t="n">
        <v>0</v>
      </c>
      <c r="I900" t="n">
        <v>0</v>
      </c>
      <c r="J900" t="n">
        <v>0</v>
      </c>
      <c r="K900" t="n">
        <v>0</v>
      </c>
      <c r="L900" t="n">
        <v>0</v>
      </c>
      <c r="M900" t="n">
        <v>0</v>
      </c>
      <c r="N900" t="n">
        <v>0</v>
      </c>
      <c r="O900" t="n">
        <v>0</v>
      </c>
      <c r="P900" t="n">
        <v>0</v>
      </c>
      <c r="Q900" t="n">
        <v>0</v>
      </c>
      <c r="R900" s="2" t="inlineStr"/>
    </row>
    <row r="901" ht="15" customHeight="1">
      <c r="A901" t="inlineStr">
        <is>
          <t>A 41829-2023</t>
        </is>
      </c>
      <c r="B901" s="1" t="n">
        <v>45176</v>
      </c>
      <c r="C901" s="1" t="n">
        <v>45807</v>
      </c>
      <c r="D901" t="inlineStr">
        <is>
          <t>UPPSALA LÄN</t>
        </is>
      </c>
      <c r="E901" t="inlineStr">
        <is>
          <t>ÖSTHAMMAR</t>
        </is>
      </c>
      <c r="G901" t="n">
        <v>1.3</v>
      </c>
      <c r="H901" t="n">
        <v>0</v>
      </c>
      <c r="I901" t="n">
        <v>0</v>
      </c>
      <c r="J901" t="n">
        <v>0</v>
      </c>
      <c r="K901" t="n">
        <v>0</v>
      </c>
      <c r="L901" t="n">
        <v>0</v>
      </c>
      <c r="M901" t="n">
        <v>0</v>
      </c>
      <c r="N901" t="n">
        <v>0</v>
      </c>
      <c r="O901" t="n">
        <v>0</v>
      </c>
      <c r="P901" t="n">
        <v>0</v>
      </c>
      <c r="Q901" t="n">
        <v>0</v>
      </c>
      <c r="R901" s="2" t="inlineStr"/>
    </row>
    <row r="902" ht="15" customHeight="1">
      <c r="A902" t="inlineStr">
        <is>
          <t>A 43732-2023</t>
        </is>
      </c>
      <c r="B902" s="1" t="n">
        <v>45187</v>
      </c>
      <c r="C902" s="1" t="n">
        <v>45807</v>
      </c>
      <c r="D902" t="inlineStr">
        <is>
          <t>UPPSALA LÄN</t>
        </is>
      </c>
      <c r="E902" t="inlineStr">
        <is>
          <t>ÖSTHAMMAR</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43925-2023</t>
        </is>
      </c>
      <c r="B903" s="1" t="n">
        <v>45187</v>
      </c>
      <c r="C903" s="1" t="n">
        <v>45807</v>
      </c>
      <c r="D903" t="inlineStr">
        <is>
          <t>UPPSALA LÄN</t>
        </is>
      </c>
      <c r="E903" t="inlineStr">
        <is>
          <t>ÖSTHAMMAR</t>
        </is>
      </c>
      <c r="F903" t="inlineStr">
        <is>
          <t>Allmännings- och besparingsskogar</t>
        </is>
      </c>
      <c r="G903" t="n">
        <v>20.8</v>
      </c>
      <c r="H903" t="n">
        <v>0</v>
      </c>
      <c r="I903" t="n">
        <v>0</v>
      </c>
      <c r="J903" t="n">
        <v>0</v>
      </c>
      <c r="K903" t="n">
        <v>0</v>
      </c>
      <c r="L903" t="n">
        <v>0</v>
      </c>
      <c r="M903" t="n">
        <v>0</v>
      </c>
      <c r="N903" t="n">
        <v>0</v>
      </c>
      <c r="O903" t="n">
        <v>0</v>
      </c>
      <c r="P903" t="n">
        <v>0</v>
      </c>
      <c r="Q903" t="n">
        <v>0</v>
      </c>
      <c r="R903" s="2" t="inlineStr"/>
    </row>
    <row r="904" ht="15" customHeight="1">
      <c r="A904" t="inlineStr">
        <is>
          <t>A 43915-2023</t>
        </is>
      </c>
      <c r="B904" s="1" t="n">
        <v>45187</v>
      </c>
      <c r="C904" s="1" t="n">
        <v>45807</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43838-2023</t>
        </is>
      </c>
      <c r="B905" s="1" t="n">
        <v>45187</v>
      </c>
      <c r="C905" s="1" t="n">
        <v>45807</v>
      </c>
      <c r="D905" t="inlineStr">
        <is>
          <t>UPPSALA LÄN</t>
        </is>
      </c>
      <c r="E905" t="inlineStr">
        <is>
          <t>ÖSTHAMMAR</t>
        </is>
      </c>
      <c r="G905" t="n">
        <v>1.5</v>
      </c>
      <c r="H905" t="n">
        <v>0</v>
      </c>
      <c r="I905" t="n">
        <v>0</v>
      </c>
      <c r="J905" t="n">
        <v>0</v>
      </c>
      <c r="K905" t="n">
        <v>0</v>
      </c>
      <c r="L905" t="n">
        <v>0</v>
      </c>
      <c r="M905" t="n">
        <v>0</v>
      </c>
      <c r="N905" t="n">
        <v>0</v>
      </c>
      <c r="O905" t="n">
        <v>0</v>
      </c>
      <c r="P905" t="n">
        <v>0</v>
      </c>
      <c r="Q905" t="n">
        <v>0</v>
      </c>
      <c r="R905" s="2" t="inlineStr"/>
    </row>
    <row r="906" ht="15" customHeight="1">
      <c r="A906" t="inlineStr">
        <is>
          <t>A 44636-2023</t>
        </is>
      </c>
      <c r="B906" s="1" t="n">
        <v>45189</v>
      </c>
      <c r="C906" s="1" t="n">
        <v>45807</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44614-2023</t>
        </is>
      </c>
      <c r="B907" s="1" t="n">
        <v>45189</v>
      </c>
      <c r="C907" s="1" t="n">
        <v>45807</v>
      </c>
      <c r="D907" t="inlineStr">
        <is>
          <t>UPPSALA LÄN</t>
        </is>
      </c>
      <c r="E907" t="inlineStr">
        <is>
          <t>ÖSTHAMMAR</t>
        </is>
      </c>
      <c r="F907" t="inlineStr">
        <is>
          <t>Övriga Aktiebolag</t>
        </is>
      </c>
      <c r="G907" t="n">
        <v>17.8</v>
      </c>
      <c r="H907" t="n">
        <v>0</v>
      </c>
      <c r="I907" t="n">
        <v>0</v>
      </c>
      <c r="J907" t="n">
        <v>0</v>
      </c>
      <c r="K907" t="n">
        <v>0</v>
      </c>
      <c r="L907" t="n">
        <v>0</v>
      </c>
      <c r="M907" t="n">
        <v>0</v>
      </c>
      <c r="N907" t="n">
        <v>0</v>
      </c>
      <c r="O907" t="n">
        <v>0</v>
      </c>
      <c r="P907" t="n">
        <v>0</v>
      </c>
      <c r="Q907" t="n">
        <v>0</v>
      </c>
      <c r="R907" s="2" t="inlineStr"/>
    </row>
    <row r="908" ht="15" customHeight="1">
      <c r="A908" t="inlineStr">
        <is>
          <t>A 45307-2023</t>
        </is>
      </c>
      <c r="B908" s="1" t="n">
        <v>45191</v>
      </c>
      <c r="C908" s="1" t="n">
        <v>45807</v>
      </c>
      <c r="D908" t="inlineStr">
        <is>
          <t>UPPSALA LÄN</t>
        </is>
      </c>
      <c r="E908" t="inlineStr">
        <is>
          <t>ÖSTHAMMAR</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45550-2023</t>
        </is>
      </c>
      <c r="B909" s="1" t="n">
        <v>45194</v>
      </c>
      <c r="C909" s="1" t="n">
        <v>45807</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45580-2023</t>
        </is>
      </c>
      <c r="B910" s="1" t="n">
        <v>45194</v>
      </c>
      <c r="C910" s="1" t="n">
        <v>45807</v>
      </c>
      <c r="D910" t="inlineStr">
        <is>
          <t>UPPSALA LÄN</t>
        </is>
      </c>
      <c r="E910" t="inlineStr">
        <is>
          <t>ÖSTHAMMAR</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45655-2023</t>
        </is>
      </c>
      <c r="B911" s="1" t="n">
        <v>45194</v>
      </c>
      <c r="C911" s="1" t="n">
        <v>45807</v>
      </c>
      <c r="D911" t="inlineStr">
        <is>
          <t>UPPSALA LÄN</t>
        </is>
      </c>
      <c r="E911" t="inlineStr">
        <is>
          <t>ÖSTHAMMAR</t>
        </is>
      </c>
      <c r="F911" t="inlineStr">
        <is>
          <t>Bergvik skog öst AB</t>
        </is>
      </c>
      <c r="G911" t="n">
        <v>6.4</v>
      </c>
      <c r="H911" t="n">
        <v>0</v>
      </c>
      <c r="I911" t="n">
        <v>0</v>
      </c>
      <c r="J911" t="n">
        <v>0</v>
      </c>
      <c r="K911" t="n">
        <v>0</v>
      </c>
      <c r="L911" t="n">
        <v>0</v>
      </c>
      <c r="M911" t="n">
        <v>0</v>
      </c>
      <c r="N911" t="n">
        <v>0</v>
      </c>
      <c r="O911" t="n">
        <v>0</v>
      </c>
      <c r="P911" t="n">
        <v>0</v>
      </c>
      <c r="Q911" t="n">
        <v>0</v>
      </c>
      <c r="R911" s="2" t="inlineStr"/>
    </row>
    <row r="912" ht="15" customHeight="1">
      <c r="A912" t="inlineStr">
        <is>
          <t>A 45561-2023</t>
        </is>
      </c>
      <c r="B912" s="1" t="n">
        <v>45194</v>
      </c>
      <c r="C912" s="1" t="n">
        <v>45807</v>
      </c>
      <c r="D912" t="inlineStr">
        <is>
          <t>UPPSALA LÄN</t>
        </is>
      </c>
      <c r="E912" t="inlineStr">
        <is>
          <t>ÖSTHAMMAR</t>
        </is>
      </c>
      <c r="F912" t="inlineStr">
        <is>
          <t>Bergvik skog öst AB</t>
        </is>
      </c>
      <c r="G912" t="n">
        <v>0.7</v>
      </c>
      <c r="H912" t="n">
        <v>0</v>
      </c>
      <c r="I912" t="n">
        <v>0</v>
      </c>
      <c r="J912" t="n">
        <v>0</v>
      </c>
      <c r="K912" t="n">
        <v>0</v>
      </c>
      <c r="L912" t="n">
        <v>0</v>
      </c>
      <c r="M912" t="n">
        <v>0</v>
      </c>
      <c r="N912" t="n">
        <v>0</v>
      </c>
      <c r="O912" t="n">
        <v>0</v>
      </c>
      <c r="P912" t="n">
        <v>0</v>
      </c>
      <c r="Q912" t="n">
        <v>0</v>
      </c>
      <c r="R912" s="2" t="inlineStr"/>
    </row>
    <row r="913" ht="15" customHeight="1">
      <c r="A913" t="inlineStr">
        <is>
          <t>A 45618-2023</t>
        </is>
      </c>
      <c r="B913" s="1" t="n">
        <v>45194</v>
      </c>
      <c r="C913" s="1" t="n">
        <v>45807</v>
      </c>
      <c r="D913" t="inlineStr">
        <is>
          <t>UPPSALA LÄN</t>
        </is>
      </c>
      <c r="E913" t="inlineStr">
        <is>
          <t>ÖSTHAMMAR</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45635-2023</t>
        </is>
      </c>
      <c r="B914" s="1" t="n">
        <v>45194</v>
      </c>
      <c r="C914" s="1" t="n">
        <v>45807</v>
      </c>
      <c r="D914" t="inlineStr">
        <is>
          <t>UPPSALA LÄN</t>
        </is>
      </c>
      <c r="E914" t="inlineStr">
        <is>
          <t>ÖSTHAMMAR</t>
        </is>
      </c>
      <c r="F914" t="inlineStr">
        <is>
          <t>Bergvik skog öst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45646-2023</t>
        </is>
      </c>
      <c r="B915" s="1" t="n">
        <v>45194</v>
      </c>
      <c r="C915" s="1" t="n">
        <v>45807</v>
      </c>
      <c r="D915" t="inlineStr">
        <is>
          <t>UPPSALA LÄN</t>
        </is>
      </c>
      <c r="E915" t="inlineStr">
        <is>
          <t>ÖSTHAMMAR</t>
        </is>
      </c>
      <c r="F915" t="inlineStr">
        <is>
          <t>Bergvik skog öst AB</t>
        </is>
      </c>
      <c r="G915" t="n">
        <v>3.5</v>
      </c>
      <c r="H915" t="n">
        <v>0</v>
      </c>
      <c r="I915" t="n">
        <v>0</v>
      </c>
      <c r="J915" t="n">
        <v>0</v>
      </c>
      <c r="K915" t="n">
        <v>0</v>
      </c>
      <c r="L915" t="n">
        <v>0</v>
      </c>
      <c r="M915" t="n">
        <v>0</v>
      </c>
      <c r="N915" t="n">
        <v>0</v>
      </c>
      <c r="O915" t="n">
        <v>0</v>
      </c>
      <c r="P915" t="n">
        <v>0</v>
      </c>
      <c r="Q915" t="n">
        <v>0</v>
      </c>
      <c r="R915" s="2" t="inlineStr"/>
    </row>
    <row r="916" ht="15" customHeight="1">
      <c r="A916" t="inlineStr">
        <is>
          <t>A 46485-2023</t>
        </is>
      </c>
      <c r="B916" s="1" t="n">
        <v>45194</v>
      </c>
      <c r="C916" s="1" t="n">
        <v>45807</v>
      </c>
      <c r="D916" t="inlineStr">
        <is>
          <t>UPPSALA LÄN</t>
        </is>
      </c>
      <c r="E916" t="inlineStr">
        <is>
          <t>ÖSTHAMMAR</t>
        </is>
      </c>
      <c r="G916" t="n">
        <v>1</v>
      </c>
      <c r="H916" t="n">
        <v>0</v>
      </c>
      <c r="I916" t="n">
        <v>0</v>
      </c>
      <c r="J916" t="n">
        <v>0</v>
      </c>
      <c r="K916" t="n">
        <v>0</v>
      </c>
      <c r="L916" t="n">
        <v>0</v>
      </c>
      <c r="M916" t="n">
        <v>0</v>
      </c>
      <c r="N916" t="n">
        <v>0</v>
      </c>
      <c r="O916" t="n">
        <v>0</v>
      </c>
      <c r="P916" t="n">
        <v>0</v>
      </c>
      <c r="Q916" t="n">
        <v>0</v>
      </c>
      <c r="R916" s="2" t="inlineStr"/>
    </row>
    <row r="917" ht="15" customHeight="1">
      <c r="A917" t="inlineStr">
        <is>
          <t>A 45795-2023</t>
        </is>
      </c>
      <c r="B917" s="1" t="n">
        <v>45195</v>
      </c>
      <c r="C917" s="1" t="n">
        <v>45807</v>
      </c>
      <c r="D917" t="inlineStr">
        <is>
          <t>UPPSALA LÄN</t>
        </is>
      </c>
      <c r="E917" t="inlineStr">
        <is>
          <t>ÖSTHAMMAR</t>
        </is>
      </c>
      <c r="G917" t="n">
        <v>4</v>
      </c>
      <c r="H917" t="n">
        <v>0</v>
      </c>
      <c r="I917" t="n">
        <v>0</v>
      </c>
      <c r="J917" t="n">
        <v>0</v>
      </c>
      <c r="K917" t="n">
        <v>0</v>
      </c>
      <c r="L917" t="n">
        <v>0</v>
      </c>
      <c r="M917" t="n">
        <v>0</v>
      </c>
      <c r="N917" t="n">
        <v>0</v>
      </c>
      <c r="O917" t="n">
        <v>0</v>
      </c>
      <c r="P917" t="n">
        <v>0</v>
      </c>
      <c r="Q917" t="n">
        <v>0</v>
      </c>
      <c r="R917" s="2" t="inlineStr"/>
    </row>
    <row r="918" ht="15" customHeight="1">
      <c r="A918" t="inlineStr">
        <is>
          <t>A 46005-2023</t>
        </is>
      </c>
      <c r="B918" s="1" t="n">
        <v>45196</v>
      </c>
      <c r="C918" s="1" t="n">
        <v>45807</v>
      </c>
      <c r="D918" t="inlineStr">
        <is>
          <t>UPPSALA LÄN</t>
        </is>
      </c>
      <c r="E918" t="inlineStr">
        <is>
          <t>ÖSTHAMMAR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46157-2023</t>
        </is>
      </c>
      <c r="B919" s="1" t="n">
        <v>45196</v>
      </c>
      <c r="C919" s="1" t="n">
        <v>45807</v>
      </c>
      <c r="D919" t="inlineStr">
        <is>
          <t>UPPSALA LÄN</t>
        </is>
      </c>
      <c r="E919" t="inlineStr">
        <is>
          <t>ÖSTHAMMAR</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46399-2023</t>
        </is>
      </c>
      <c r="B920" s="1" t="n">
        <v>45197</v>
      </c>
      <c r="C920" s="1" t="n">
        <v>45807</v>
      </c>
      <c r="D920" t="inlineStr">
        <is>
          <t>UPPSALA LÄN</t>
        </is>
      </c>
      <c r="E920" t="inlineStr">
        <is>
          <t>ÖSTHAMMAR</t>
        </is>
      </c>
      <c r="G920" t="n">
        <v>5.8</v>
      </c>
      <c r="H920" t="n">
        <v>0</v>
      </c>
      <c r="I920" t="n">
        <v>0</v>
      </c>
      <c r="J920" t="n">
        <v>0</v>
      </c>
      <c r="K920" t="n">
        <v>0</v>
      </c>
      <c r="L920" t="n">
        <v>0</v>
      </c>
      <c r="M920" t="n">
        <v>0</v>
      </c>
      <c r="N920" t="n">
        <v>0</v>
      </c>
      <c r="O920" t="n">
        <v>0</v>
      </c>
      <c r="P920" t="n">
        <v>0</v>
      </c>
      <c r="Q920" t="n">
        <v>0</v>
      </c>
      <c r="R920" s="2" t="inlineStr"/>
    </row>
    <row r="921" ht="15" customHeight="1">
      <c r="A921" t="inlineStr">
        <is>
          <t>A 46785-2023</t>
        </is>
      </c>
      <c r="B921" s="1" t="n">
        <v>45198</v>
      </c>
      <c r="C921" s="1" t="n">
        <v>45807</v>
      </c>
      <c r="D921" t="inlineStr">
        <is>
          <t>UPPSALA LÄN</t>
        </is>
      </c>
      <c r="E921" t="inlineStr">
        <is>
          <t>ÖSTHAMMAR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47114-2023</t>
        </is>
      </c>
      <c r="B922" s="1" t="n">
        <v>45201</v>
      </c>
      <c r="C922" s="1" t="n">
        <v>45807</v>
      </c>
      <c r="D922" t="inlineStr">
        <is>
          <t>UPPSALA LÄN</t>
        </is>
      </c>
      <c r="E922" t="inlineStr">
        <is>
          <t>ÖSTHAMMAR</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48515-2023</t>
        </is>
      </c>
      <c r="B923" s="1" t="n">
        <v>45201</v>
      </c>
      <c r="C923" s="1" t="n">
        <v>45807</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47390-2023</t>
        </is>
      </c>
      <c r="B924" s="1" t="n">
        <v>45202</v>
      </c>
      <c r="C924" s="1" t="n">
        <v>45807</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47374-2023</t>
        </is>
      </c>
      <c r="B925" s="1" t="n">
        <v>45202</v>
      </c>
      <c r="C925" s="1" t="n">
        <v>45807</v>
      </c>
      <c r="D925" t="inlineStr">
        <is>
          <t>UPPSALA LÄN</t>
        </is>
      </c>
      <c r="E925" t="inlineStr">
        <is>
          <t>ÖSTHAMMAR</t>
        </is>
      </c>
      <c r="F925" t="inlineStr">
        <is>
          <t>Bergvik skog öst AB</t>
        </is>
      </c>
      <c r="G925" t="n">
        <v>2</v>
      </c>
      <c r="H925" t="n">
        <v>0</v>
      </c>
      <c r="I925" t="n">
        <v>0</v>
      </c>
      <c r="J925" t="n">
        <v>0</v>
      </c>
      <c r="K925" t="n">
        <v>0</v>
      </c>
      <c r="L925" t="n">
        <v>0</v>
      </c>
      <c r="M925" t="n">
        <v>0</v>
      </c>
      <c r="N925" t="n">
        <v>0</v>
      </c>
      <c r="O925" t="n">
        <v>0</v>
      </c>
      <c r="P925" t="n">
        <v>0</v>
      </c>
      <c r="Q925" t="n">
        <v>0</v>
      </c>
      <c r="R925" s="2" t="inlineStr"/>
    </row>
    <row r="926" ht="15" customHeight="1">
      <c r="A926" t="inlineStr">
        <is>
          <t>A 47341-2023</t>
        </is>
      </c>
      <c r="B926" s="1" t="n">
        <v>45202</v>
      </c>
      <c r="C926" s="1" t="n">
        <v>45807</v>
      </c>
      <c r="D926" t="inlineStr">
        <is>
          <t>UPPSALA LÄN</t>
        </is>
      </c>
      <c r="E926" t="inlineStr">
        <is>
          <t>ÖSTHAMMAR</t>
        </is>
      </c>
      <c r="G926" t="n">
        <v>4.9</v>
      </c>
      <c r="H926" t="n">
        <v>0</v>
      </c>
      <c r="I926" t="n">
        <v>0</v>
      </c>
      <c r="J926" t="n">
        <v>0</v>
      </c>
      <c r="K926" t="n">
        <v>0</v>
      </c>
      <c r="L926" t="n">
        <v>0</v>
      </c>
      <c r="M926" t="n">
        <v>0</v>
      </c>
      <c r="N926" t="n">
        <v>0</v>
      </c>
      <c r="O926" t="n">
        <v>0</v>
      </c>
      <c r="P926" t="n">
        <v>0</v>
      </c>
      <c r="Q926" t="n">
        <v>0</v>
      </c>
      <c r="R926" s="2" t="inlineStr"/>
    </row>
    <row r="927" ht="15" customHeight="1">
      <c r="A927" t="inlineStr">
        <is>
          <t>A 47522-2023</t>
        </is>
      </c>
      <c r="B927" s="1" t="n">
        <v>45203</v>
      </c>
      <c r="C927" s="1" t="n">
        <v>45807</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48032-2023</t>
        </is>
      </c>
      <c r="B928" s="1" t="n">
        <v>45204</v>
      </c>
      <c r="C928" s="1" t="n">
        <v>45807</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48171-2023</t>
        </is>
      </c>
      <c r="B929" s="1" t="n">
        <v>45205</v>
      </c>
      <c r="C929" s="1" t="n">
        <v>45807</v>
      </c>
      <c r="D929" t="inlineStr">
        <is>
          <t>UPPSALA LÄN</t>
        </is>
      </c>
      <c r="E929" t="inlineStr">
        <is>
          <t>ÖSTHAMMAR</t>
        </is>
      </c>
      <c r="F929" t="inlineStr">
        <is>
          <t>Bergvik skog öst AB</t>
        </is>
      </c>
      <c r="G929" t="n">
        <v>5.3</v>
      </c>
      <c r="H929" t="n">
        <v>0</v>
      </c>
      <c r="I929" t="n">
        <v>0</v>
      </c>
      <c r="J929" t="n">
        <v>0</v>
      </c>
      <c r="K929" t="n">
        <v>0</v>
      </c>
      <c r="L929" t="n">
        <v>0</v>
      </c>
      <c r="M929" t="n">
        <v>0</v>
      </c>
      <c r="N929" t="n">
        <v>0</v>
      </c>
      <c r="O929" t="n">
        <v>0</v>
      </c>
      <c r="P929" t="n">
        <v>0</v>
      </c>
      <c r="Q929" t="n">
        <v>0</v>
      </c>
      <c r="R929" s="2" t="inlineStr"/>
    </row>
    <row r="930" ht="15" customHeight="1">
      <c r="A930" t="inlineStr">
        <is>
          <t>A 48719-2023</t>
        </is>
      </c>
      <c r="B930" s="1" t="n">
        <v>45208</v>
      </c>
      <c r="C930" s="1" t="n">
        <v>45807</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48989-2023</t>
        </is>
      </c>
      <c r="B931" s="1" t="n">
        <v>45209</v>
      </c>
      <c r="C931" s="1" t="n">
        <v>45807</v>
      </c>
      <c r="D931" t="inlineStr">
        <is>
          <t>UPPSALA LÄN</t>
        </is>
      </c>
      <c r="E931" t="inlineStr">
        <is>
          <t>ÖSTHAMMAR</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49248-2023</t>
        </is>
      </c>
      <c r="B932" s="1" t="n">
        <v>45210</v>
      </c>
      <c r="C932" s="1" t="n">
        <v>45807</v>
      </c>
      <c r="D932" t="inlineStr">
        <is>
          <t>UPPSALA LÄN</t>
        </is>
      </c>
      <c r="E932" t="inlineStr">
        <is>
          <t>ÖSTHAMMAR</t>
        </is>
      </c>
      <c r="G932" t="n">
        <v>2.5</v>
      </c>
      <c r="H932" t="n">
        <v>0</v>
      </c>
      <c r="I932" t="n">
        <v>0</v>
      </c>
      <c r="J932" t="n">
        <v>0</v>
      </c>
      <c r="K932" t="n">
        <v>0</v>
      </c>
      <c r="L932" t="n">
        <v>0</v>
      </c>
      <c r="M932" t="n">
        <v>0</v>
      </c>
      <c r="N932" t="n">
        <v>0</v>
      </c>
      <c r="O932" t="n">
        <v>0</v>
      </c>
      <c r="P932" t="n">
        <v>0</v>
      </c>
      <c r="Q932" t="n">
        <v>0</v>
      </c>
      <c r="R932" s="2" t="inlineStr"/>
    </row>
    <row r="933" ht="15" customHeight="1">
      <c r="A933" t="inlineStr">
        <is>
          <t>A 49066-2023</t>
        </is>
      </c>
      <c r="B933" s="1" t="n">
        <v>45210</v>
      </c>
      <c r="C933" s="1" t="n">
        <v>45807</v>
      </c>
      <c r="D933" t="inlineStr">
        <is>
          <t>UPPSALA LÄN</t>
        </is>
      </c>
      <c r="E933" t="inlineStr">
        <is>
          <t>ÖSTHAMMAR</t>
        </is>
      </c>
      <c r="F933" t="inlineStr">
        <is>
          <t>Bergvik skog öst AB</t>
        </is>
      </c>
      <c r="G933" t="n">
        <v>13.1</v>
      </c>
      <c r="H933" t="n">
        <v>0</v>
      </c>
      <c r="I933" t="n">
        <v>0</v>
      </c>
      <c r="J933" t="n">
        <v>0</v>
      </c>
      <c r="K933" t="n">
        <v>0</v>
      </c>
      <c r="L933" t="n">
        <v>0</v>
      </c>
      <c r="M933" t="n">
        <v>0</v>
      </c>
      <c r="N933" t="n">
        <v>0</v>
      </c>
      <c r="O933" t="n">
        <v>0</v>
      </c>
      <c r="P933" t="n">
        <v>0</v>
      </c>
      <c r="Q933" t="n">
        <v>0</v>
      </c>
      <c r="R933" s="2" t="inlineStr"/>
    </row>
    <row r="934" ht="15" customHeight="1">
      <c r="A934" t="inlineStr">
        <is>
          <t>A 49172-2023</t>
        </is>
      </c>
      <c r="B934" s="1" t="n">
        <v>45210</v>
      </c>
      <c r="C934" s="1" t="n">
        <v>45807</v>
      </c>
      <c r="D934" t="inlineStr">
        <is>
          <t>UPPSALA LÄN</t>
        </is>
      </c>
      <c r="E934" t="inlineStr">
        <is>
          <t>ÖSTHAMMAR</t>
        </is>
      </c>
      <c r="F934" t="inlineStr">
        <is>
          <t>Övriga Aktiebolag</t>
        </is>
      </c>
      <c r="G934" t="n">
        <v>13.1</v>
      </c>
      <c r="H934" t="n">
        <v>0</v>
      </c>
      <c r="I934" t="n">
        <v>0</v>
      </c>
      <c r="J934" t="n">
        <v>0</v>
      </c>
      <c r="K934" t="n">
        <v>0</v>
      </c>
      <c r="L934" t="n">
        <v>0</v>
      </c>
      <c r="M934" t="n">
        <v>0</v>
      </c>
      <c r="N934" t="n">
        <v>0</v>
      </c>
      <c r="O934" t="n">
        <v>0</v>
      </c>
      <c r="P934" t="n">
        <v>0</v>
      </c>
      <c r="Q934" t="n">
        <v>0</v>
      </c>
      <c r="R934" s="2" t="inlineStr"/>
    </row>
    <row r="935" ht="15" customHeight="1">
      <c r="A935" t="inlineStr">
        <is>
          <t>A 49266-2023</t>
        </is>
      </c>
      <c r="B935" s="1" t="n">
        <v>45210</v>
      </c>
      <c r="C935" s="1" t="n">
        <v>45807</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49829-2023</t>
        </is>
      </c>
      <c r="B936" s="1" t="n">
        <v>45212</v>
      </c>
      <c r="C936" s="1" t="n">
        <v>45807</v>
      </c>
      <c r="D936" t="inlineStr">
        <is>
          <t>UPPSALA LÄN</t>
        </is>
      </c>
      <c r="E936" t="inlineStr">
        <is>
          <t>ÖSTHAMMAR</t>
        </is>
      </c>
      <c r="F936" t="inlineStr">
        <is>
          <t>Bergvik skog öst AB</t>
        </is>
      </c>
      <c r="G936" t="n">
        <v>13.8</v>
      </c>
      <c r="H936" t="n">
        <v>0</v>
      </c>
      <c r="I936" t="n">
        <v>0</v>
      </c>
      <c r="J936" t="n">
        <v>0</v>
      </c>
      <c r="K936" t="n">
        <v>0</v>
      </c>
      <c r="L936" t="n">
        <v>0</v>
      </c>
      <c r="M936" t="n">
        <v>0</v>
      </c>
      <c r="N936" t="n">
        <v>0</v>
      </c>
      <c r="O936" t="n">
        <v>0</v>
      </c>
      <c r="P936" t="n">
        <v>0</v>
      </c>
      <c r="Q936" t="n">
        <v>0</v>
      </c>
      <c r="R936" s="2" t="inlineStr"/>
    </row>
    <row r="937" ht="15" customHeight="1">
      <c r="A937" t="inlineStr">
        <is>
          <t>A 49833-2023</t>
        </is>
      </c>
      <c r="B937" s="1" t="n">
        <v>45212</v>
      </c>
      <c r="C937" s="1" t="n">
        <v>45807</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49831-2023</t>
        </is>
      </c>
      <c r="B938" s="1" t="n">
        <v>45212</v>
      </c>
      <c r="C938" s="1" t="n">
        <v>45807</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49897-2023</t>
        </is>
      </c>
      <c r="B939" s="1" t="n">
        <v>45213</v>
      </c>
      <c r="C939" s="1" t="n">
        <v>45807</v>
      </c>
      <c r="D939" t="inlineStr">
        <is>
          <t>UPPSALA LÄN</t>
        </is>
      </c>
      <c r="E939" t="inlineStr">
        <is>
          <t>ÖSTHAMMAR</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49899-2023</t>
        </is>
      </c>
      <c r="B940" s="1" t="n">
        <v>45213</v>
      </c>
      <c r="C940" s="1" t="n">
        <v>45807</v>
      </c>
      <c r="D940" t="inlineStr">
        <is>
          <t>UPPSALA LÄN</t>
        </is>
      </c>
      <c r="E940" t="inlineStr">
        <is>
          <t>ÖSTHAMMAR</t>
        </is>
      </c>
      <c r="G940" t="n">
        <v>6.2</v>
      </c>
      <c r="H940" t="n">
        <v>0</v>
      </c>
      <c r="I940" t="n">
        <v>0</v>
      </c>
      <c r="J940" t="n">
        <v>0</v>
      </c>
      <c r="K940" t="n">
        <v>0</v>
      </c>
      <c r="L940" t="n">
        <v>0</v>
      </c>
      <c r="M940" t="n">
        <v>0</v>
      </c>
      <c r="N940" t="n">
        <v>0</v>
      </c>
      <c r="O940" t="n">
        <v>0</v>
      </c>
      <c r="P940" t="n">
        <v>0</v>
      </c>
      <c r="Q940" t="n">
        <v>0</v>
      </c>
      <c r="R940" s="2" t="inlineStr"/>
    </row>
    <row r="941" ht="15" customHeight="1">
      <c r="A941" t="inlineStr">
        <is>
          <t>A 49892-2023</t>
        </is>
      </c>
      <c r="B941" s="1" t="n">
        <v>45213</v>
      </c>
      <c r="C941" s="1" t="n">
        <v>45807</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50128-2023</t>
        </is>
      </c>
      <c r="B942" s="1" t="n">
        <v>45215</v>
      </c>
      <c r="C942" s="1" t="n">
        <v>45807</v>
      </c>
      <c r="D942" t="inlineStr">
        <is>
          <t>UPPSALA LÄN</t>
        </is>
      </c>
      <c r="E942" t="inlineStr">
        <is>
          <t>ÖSTHAMMAR</t>
        </is>
      </c>
      <c r="G942" t="n">
        <v>7.8</v>
      </c>
      <c r="H942" t="n">
        <v>0</v>
      </c>
      <c r="I942" t="n">
        <v>0</v>
      </c>
      <c r="J942" t="n">
        <v>0</v>
      </c>
      <c r="K942" t="n">
        <v>0</v>
      </c>
      <c r="L942" t="n">
        <v>0</v>
      </c>
      <c r="M942" t="n">
        <v>0</v>
      </c>
      <c r="N942" t="n">
        <v>0</v>
      </c>
      <c r="O942" t="n">
        <v>0</v>
      </c>
      <c r="P942" t="n">
        <v>0</v>
      </c>
      <c r="Q942" t="n">
        <v>0</v>
      </c>
      <c r="R942" s="2" t="inlineStr"/>
    </row>
    <row r="943" ht="15" customHeight="1">
      <c r="A943" t="inlineStr">
        <is>
          <t>A 50189-2023</t>
        </is>
      </c>
      <c r="B943" s="1" t="n">
        <v>45215</v>
      </c>
      <c r="C943" s="1" t="n">
        <v>45807</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50120-2023</t>
        </is>
      </c>
      <c r="B944" s="1" t="n">
        <v>45215</v>
      </c>
      <c r="C944" s="1" t="n">
        <v>45807</v>
      </c>
      <c r="D944" t="inlineStr">
        <is>
          <t>UPPSALA LÄN</t>
        </is>
      </c>
      <c r="E944" t="inlineStr">
        <is>
          <t>ÖSTHAMMAR</t>
        </is>
      </c>
      <c r="F944" t="inlineStr">
        <is>
          <t>Övriga Aktiebolag</t>
        </is>
      </c>
      <c r="G944" t="n">
        <v>14.2</v>
      </c>
      <c r="H944" t="n">
        <v>0</v>
      </c>
      <c r="I944" t="n">
        <v>0</v>
      </c>
      <c r="J944" t="n">
        <v>0</v>
      </c>
      <c r="K944" t="n">
        <v>0</v>
      </c>
      <c r="L944" t="n">
        <v>0</v>
      </c>
      <c r="M944" t="n">
        <v>0</v>
      </c>
      <c r="N944" t="n">
        <v>0</v>
      </c>
      <c r="O944" t="n">
        <v>0</v>
      </c>
      <c r="P944" t="n">
        <v>0</v>
      </c>
      <c r="Q944" t="n">
        <v>0</v>
      </c>
      <c r="R944" s="2" t="inlineStr"/>
    </row>
    <row r="945" ht="15" customHeight="1">
      <c r="A945" t="inlineStr">
        <is>
          <t>A 50188-2023</t>
        </is>
      </c>
      <c r="B945" s="1" t="n">
        <v>45215</v>
      </c>
      <c r="C945" s="1" t="n">
        <v>45807</v>
      </c>
      <c r="D945" t="inlineStr">
        <is>
          <t>UPPSALA LÄN</t>
        </is>
      </c>
      <c r="E945" t="inlineStr">
        <is>
          <t>ÖSTHAMMAR</t>
        </is>
      </c>
      <c r="F945" t="inlineStr">
        <is>
          <t>Bergvik skog öst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50998-2023</t>
        </is>
      </c>
      <c r="B946" s="1" t="n">
        <v>45218</v>
      </c>
      <c r="C946" s="1" t="n">
        <v>45807</v>
      </c>
      <c r="D946" t="inlineStr">
        <is>
          <t>UPPSALA LÄN</t>
        </is>
      </c>
      <c r="E946" t="inlineStr">
        <is>
          <t>ÖSTHAMMAR</t>
        </is>
      </c>
      <c r="G946" t="n">
        <v>3.6</v>
      </c>
      <c r="H946" t="n">
        <v>0</v>
      </c>
      <c r="I946" t="n">
        <v>0</v>
      </c>
      <c r="J946" t="n">
        <v>0</v>
      </c>
      <c r="K946" t="n">
        <v>0</v>
      </c>
      <c r="L946" t="n">
        <v>0</v>
      </c>
      <c r="M946" t="n">
        <v>0</v>
      </c>
      <c r="N946" t="n">
        <v>0</v>
      </c>
      <c r="O946" t="n">
        <v>0</v>
      </c>
      <c r="P946" t="n">
        <v>0</v>
      </c>
      <c r="Q946" t="n">
        <v>0</v>
      </c>
      <c r="R946" s="2" t="inlineStr"/>
    </row>
    <row r="947" ht="15" customHeight="1">
      <c r="A947" t="inlineStr">
        <is>
          <t>A 52695-2023</t>
        </is>
      </c>
      <c r="B947" s="1" t="n">
        <v>45225</v>
      </c>
      <c r="C947" s="1" t="n">
        <v>45807</v>
      </c>
      <c r="D947" t="inlineStr">
        <is>
          <t>UPPSALA LÄN</t>
        </is>
      </c>
      <c r="E947" t="inlineStr">
        <is>
          <t>ÖSTHAMMAR</t>
        </is>
      </c>
      <c r="G947" t="n">
        <v>1.7</v>
      </c>
      <c r="H947" t="n">
        <v>0</v>
      </c>
      <c r="I947" t="n">
        <v>0</v>
      </c>
      <c r="J947" t="n">
        <v>0</v>
      </c>
      <c r="K947" t="n">
        <v>0</v>
      </c>
      <c r="L947" t="n">
        <v>0</v>
      </c>
      <c r="M947" t="n">
        <v>0</v>
      </c>
      <c r="N947" t="n">
        <v>0</v>
      </c>
      <c r="O947" t="n">
        <v>0</v>
      </c>
      <c r="P947" t="n">
        <v>0</v>
      </c>
      <c r="Q947" t="n">
        <v>0</v>
      </c>
      <c r="R947" s="2" t="inlineStr"/>
    </row>
    <row r="948" ht="15" customHeight="1">
      <c r="A948" t="inlineStr">
        <is>
          <t>A 52629-2023</t>
        </is>
      </c>
      <c r="B948" s="1" t="n">
        <v>45225</v>
      </c>
      <c r="C948" s="1" t="n">
        <v>45807</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52698-2023</t>
        </is>
      </c>
      <c r="B949" s="1" t="n">
        <v>45225</v>
      </c>
      <c r="C949" s="1" t="n">
        <v>45807</v>
      </c>
      <c r="D949" t="inlineStr">
        <is>
          <t>UPPSALA LÄN</t>
        </is>
      </c>
      <c r="E949" t="inlineStr">
        <is>
          <t>ÖSTHAMMAR</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52694-2023</t>
        </is>
      </c>
      <c r="B950" s="1" t="n">
        <v>45225</v>
      </c>
      <c r="C950" s="1" t="n">
        <v>45807</v>
      </c>
      <c r="D950" t="inlineStr">
        <is>
          <t>UPPSALA LÄN</t>
        </is>
      </c>
      <c r="E950" t="inlineStr">
        <is>
          <t>ÖSTHAMMAR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52699-2023</t>
        </is>
      </c>
      <c r="B951" s="1" t="n">
        <v>45225</v>
      </c>
      <c r="C951" s="1" t="n">
        <v>45807</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54314-2023</t>
        </is>
      </c>
      <c r="B952" s="1" t="n">
        <v>45225</v>
      </c>
      <c r="C952" s="1" t="n">
        <v>45807</v>
      </c>
      <c r="D952" t="inlineStr">
        <is>
          <t>UPPSALA LÄN</t>
        </is>
      </c>
      <c r="E952" t="inlineStr">
        <is>
          <t>ÖSTHAMMAR</t>
        </is>
      </c>
      <c r="G952" t="n">
        <v>5.1</v>
      </c>
      <c r="H952" t="n">
        <v>0</v>
      </c>
      <c r="I952" t="n">
        <v>0</v>
      </c>
      <c r="J952" t="n">
        <v>0</v>
      </c>
      <c r="K952" t="n">
        <v>0</v>
      </c>
      <c r="L952" t="n">
        <v>0</v>
      </c>
      <c r="M952" t="n">
        <v>0</v>
      </c>
      <c r="N952" t="n">
        <v>0</v>
      </c>
      <c r="O952" t="n">
        <v>0</v>
      </c>
      <c r="P952" t="n">
        <v>0</v>
      </c>
      <c r="Q952" t="n">
        <v>0</v>
      </c>
      <c r="R952" s="2" t="inlineStr"/>
    </row>
    <row r="953" ht="15" customHeight="1">
      <c r="A953" t="inlineStr">
        <is>
          <t>A 53467-2023</t>
        </is>
      </c>
      <c r="B953" s="1" t="n">
        <v>45229</v>
      </c>
      <c r="C953" s="1" t="n">
        <v>45807</v>
      </c>
      <c r="D953" t="inlineStr">
        <is>
          <t>UPPSALA LÄN</t>
        </is>
      </c>
      <c r="E953" t="inlineStr">
        <is>
          <t>ÖSTHAMMAR</t>
        </is>
      </c>
      <c r="G953" t="n">
        <v>26.1</v>
      </c>
      <c r="H953" t="n">
        <v>0</v>
      </c>
      <c r="I953" t="n">
        <v>0</v>
      </c>
      <c r="J953" t="n">
        <v>0</v>
      </c>
      <c r="K953" t="n">
        <v>0</v>
      </c>
      <c r="L953" t="n">
        <v>0</v>
      </c>
      <c r="M953" t="n">
        <v>0</v>
      </c>
      <c r="N953" t="n">
        <v>0</v>
      </c>
      <c r="O953" t="n">
        <v>0</v>
      </c>
      <c r="P953" t="n">
        <v>0</v>
      </c>
      <c r="Q953" t="n">
        <v>0</v>
      </c>
      <c r="R953" s="2" t="inlineStr"/>
    </row>
    <row r="954" ht="15" customHeight="1">
      <c r="A954" t="inlineStr">
        <is>
          <t>A 53360-2023</t>
        </is>
      </c>
      <c r="B954" s="1" t="n">
        <v>45229</v>
      </c>
      <c r="C954" s="1" t="n">
        <v>45807</v>
      </c>
      <c r="D954" t="inlineStr">
        <is>
          <t>UPPSALA LÄN</t>
        </is>
      </c>
      <c r="E954" t="inlineStr">
        <is>
          <t>ÖSTHAMMAR</t>
        </is>
      </c>
      <c r="G954" t="n">
        <v>4.8</v>
      </c>
      <c r="H954" t="n">
        <v>0</v>
      </c>
      <c r="I954" t="n">
        <v>0</v>
      </c>
      <c r="J954" t="n">
        <v>0</v>
      </c>
      <c r="K954" t="n">
        <v>0</v>
      </c>
      <c r="L954" t="n">
        <v>0</v>
      </c>
      <c r="M954" t="n">
        <v>0</v>
      </c>
      <c r="N954" t="n">
        <v>0</v>
      </c>
      <c r="O954" t="n">
        <v>0</v>
      </c>
      <c r="P954" t="n">
        <v>0</v>
      </c>
      <c r="Q954" t="n">
        <v>0</v>
      </c>
      <c r="R954" s="2" t="inlineStr"/>
    </row>
    <row r="955" ht="15" customHeight="1">
      <c r="A955" t="inlineStr">
        <is>
          <t>A 53735-2023</t>
        </is>
      </c>
      <c r="B955" s="1" t="n">
        <v>45230</v>
      </c>
      <c r="C955" s="1" t="n">
        <v>45807</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53732-2023</t>
        </is>
      </c>
      <c r="B956" s="1" t="n">
        <v>45230</v>
      </c>
      <c r="C956" s="1" t="n">
        <v>45807</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53670-2023</t>
        </is>
      </c>
      <c r="B957" s="1" t="n">
        <v>45230</v>
      </c>
      <c r="C957" s="1" t="n">
        <v>45807</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53733-2023</t>
        </is>
      </c>
      <c r="B958" s="1" t="n">
        <v>45230</v>
      </c>
      <c r="C958" s="1" t="n">
        <v>45807</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53737-2023</t>
        </is>
      </c>
      <c r="B959" s="1" t="n">
        <v>45230</v>
      </c>
      <c r="C959" s="1" t="n">
        <v>45807</v>
      </c>
      <c r="D959" t="inlineStr">
        <is>
          <t>UPPSALA LÄN</t>
        </is>
      </c>
      <c r="E959" t="inlineStr">
        <is>
          <t>ÖSTHAMMAR</t>
        </is>
      </c>
      <c r="G959" t="n">
        <v>1.4</v>
      </c>
      <c r="H959" t="n">
        <v>0</v>
      </c>
      <c r="I959" t="n">
        <v>0</v>
      </c>
      <c r="J959" t="n">
        <v>0</v>
      </c>
      <c r="K959" t="n">
        <v>0</v>
      </c>
      <c r="L959" t="n">
        <v>0</v>
      </c>
      <c r="M959" t="n">
        <v>0</v>
      </c>
      <c r="N959" t="n">
        <v>0</v>
      </c>
      <c r="O959" t="n">
        <v>0</v>
      </c>
      <c r="P959" t="n">
        <v>0</v>
      </c>
      <c r="Q959" t="n">
        <v>0</v>
      </c>
      <c r="R959" s="2" t="inlineStr"/>
    </row>
    <row r="960" ht="15" customHeight="1">
      <c r="A960" t="inlineStr">
        <is>
          <t>A 53702-2023</t>
        </is>
      </c>
      <c r="B960" s="1" t="n">
        <v>45230</v>
      </c>
      <c r="C960" s="1" t="n">
        <v>45807</v>
      </c>
      <c r="D960" t="inlineStr">
        <is>
          <t>UPPSALA LÄN</t>
        </is>
      </c>
      <c r="E960" t="inlineStr">
        <is>
          <t>ÖSTHAMMAR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53676-2023</t>
        </is>
      </c>
      <c r="B961" s="1" t="n">
        <v>45230</v>
      </c>
      <c r="C961" s="1" t="n">
        <v>45807</v>
      </c>
      <c r="D961" t="inlineStr">
        <is>
          <t>UPPSALA LÄN</t>
        </is>
      </c>
      <c r="E961" t="inlineStr">
        <is>
          <t>ÖSTHAMMAR</t>
        </is>
      </c>
      <c r="F961" t="inlineStr">
        <is>
          <t>Bergvik skog öst AB</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54228-2023</t>
        </is>
      </c>
      <c r="B962" s="1" t="n">
        <v>45232</v>
      </c>
      <c r="C962" s="1" t="n">
        <v>45807</v>
      </c>
      <c r="D962" t="inlineStr">
        <is>
          <t>UPPSALA LÄN</t>
        </is>
      </c>
      <c r="E962" t="inlineStr">
        <is>
          <t>ÖSTHAMMAR</t>
        </is>
      </c>
      <c r="G962" t="n">
        <v>4</v>
      </c>
      <c r="H962" t="n">
        <v>0</v>
      </c>
      <c r="I962" t="n">
        <v>0</v>
      </c>
      <c r="J962" t="n">
        <v>0</v>
      </c>
      <c r="K962" t="n">
        <v>0</v>
      </c>
      <c r="L962" t="n">
        <v>0</v>
      </c>
      <c r="M962" t="n">
        <v>0</v>
      </c>
      <c r="N962" t="n">
        <v>0</v>
      </c>
      <c r="O962" t="n">
        <v>0</v>
      </c>
      <c r="P962" t="n">
        <v>0</v>
      </c>
      <c r="Q962" t="n">
        <v>0</v>
      </c>
      <c r="R962" s="2" t="inlineStr"/>
    </row>
    <row r="963" ht="15" customHeight="1">
      <c r="A963" t="inlineStr">
        <is>
          <t>A 54366-2023</t>
        </is>
      </c>
      <c r="B963" s="1" t="n">
        <v>45233</v>
      </c>
      <c r="C963" s="1" t="n">
        <v>45807</v>
      </c>
      <c r="D963" t="inlineStr">
        <is>
          <t>UPPSALA LÄN</t>
        </is>
      </c>
      <c r="E963" t="inlineStr">
        <is>
          <t>ÖSTHAMMAR</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54369-2023</t>
        </is>
      </c>
      <c r="B964" s="1" t="n">
        <v>45233</v>
      </c>
      <c r="C964" s="1" t="n">
        <v>45807</v>
      </c>
      <c r="D964" t="inlineStr">
        <is>
          <t>UPPSALA LÄN</t>
        </is>
      </c>
      <c r="E964" t="inlineStr">
        <is>
          <t>ÖSTHAMMAR</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54368-2023</t>
        </is>
      </c>
      <c r="B965" s="1" t="n">
        <v>45233</v>
      </c>
      <c r="C965" s="1" t="n">
        <v>45807</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55230-2023</t>
        </is>
      </c>
      <c r="B966" s="1" t="n">
        <v>45237</v>
      </c>
      <c r="C966" s="1" t="n">
        <v>45807</v>
      </c>
      <c r="D966" t="inlineStr">
        <is>
          <t>UPPSALA LÄN</t>
        </is>
      </c>
      <c r="E966" t="inlineStr">
        <is>
          <t>ÖSTHAMMAR</t>
        </is>
      </c>
      <c r="F966" t="inlineStr">
        <is>
          <t>Övriga Aktiebolag</t>
        </is>
      </c>
      <c r="G966" t="n">
        <v>19.7</v>
      </c>
      <c r="H966" t="n">
        <v>0</v>
      </c>
      <c r="I966" t="n">
        <v>0</v>
      </c>
      <c r="J966" t="n">
        <v>0</v>
      </c>
      <c r="K966" t="n">
        <v>0</v>
      </c>
      <c r="L966" t="n">
        <v>0</v>
      </c>
      <c r="M966" t="n">
        <v>0</v>
      </c>
      <c r="N966" t="n">
        <v>0</v>
      </c>
      <c r="O966" t="n">
        <v>0</v>
      </c>
      <c r="P966" t="n">
        <v>0</v>
      </c>
      <c r="Q966" t="n">
        <v>0</v>
      </c>
      <c r="R966" s="2" t="inlineStr"/>
    </row>
    <row r="967" ht="15" customHeight="1">
      <c r="A967" t="inlineStr">
        <is>
          <t>A 55387-2023</t>
        </is>
      </c>
      <c r="B967" s="1" t="n">
        <v>45238</v>
      </c>
      <c r="C967" s="1" t="n">
        <v>45807</v>
      </c>
      <c r="D967" t="inlineStr">
        <is>
          <t>UPPSALA LÄN</t>
        </is>
      </c>
      <c r="E967" t="inlineStr">
        <is>
          <t>ÖSTHAMMAR</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55837-2023</t>
        </is>
      </c>
      <c r="B968" s="1" t="n">
        <v>45239</v>
      </c>
      <c r="C968" s="1" t="n">
        <v>45807</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56102-2023</t>
        </is>
      </c>
      <c r="B969" s="1" t="n">
        <v>45240</v>
      </c>
      <c r="C969" s="1" t="n">
        <v>45807</v>
      </c>
      <c r="D969" t="inlineStr">
        <is>
          <t>UPPSALA LÄN</t>
        </is>
      </c>
      <c r="E969" t="inlineStr">
        <is>
          <t>ÖSTHAMMAR</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56418-2023</t>
        </is>
      </c>
      <c r="B970" s="1" t="n">
        <v>45243</v>
      </c>
      <c r="C970" s="1" t="n">
        <v>45807</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56434-2023</t>
        </is>
      </c>
      <c r="B971" s="1" t="n">
        <v>45243</v>
      </c>
      <c r="C971" s="1" t="n">
        <v>45807</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56790-2023</t>
        </is>
      </c>
      <c r="B972" s="1" t="n">
        <v>45244</v>
      </c>
      <c r="C972" s="1" t="n">
        <v>45807</v>
      </c>
      <c r="D972" t="inlineStr">
        <is>
          <t>UPPSALA LÄN</t>
        </is>
      </c>
      <c r="E972" t="inlineStr">
        <is>
          <t>ÖSTHAMMAR</t>
        </is>
      </c>
      <c r="G972" t="n">
        <v>0.7</v>
      </c>
      <c r="H972" t="n">
        <v>0</v>
      </c>
      <c r="I972" t="n">
        <v>0</v>
      </c>
      <c r="J972" t="n">
        <v>0</v>
      </c>
      <c r="K972" t="n">
        <v>0</v>
      </c>
      <c r="L972" t="n">
        <v>0</v>
      </c>
      <c r="M972" t="n">
        <v>0</v>
      </c>
      <c r="N972" t="n">
        <v>0</v>
      </c>
      <c r="O972" t="n">
        <v>0</v>
      </c>
      <c r="P972" t="n">
        <v>0</v>
      </c>
      <c r="Q972" t="n">
        <v>0</v>
      </c>
      <c r="R972" s="2" t="inlineStr"/>
    </row>
    <row r="973" ht="15" customHeight="1">
      <c r="A973" t="inlineStr">
        <is>
          <t>A 56798-2023</t>
        </is>
      </c>
      <c r="B973" s="1" t="n">
        <v>45244</v>
      </c>
      <c r="C973" s="1" t="n">
        <v>45807</v>
      </c>
      <c r="D973" t="inlineStr">
        <is>
          <t>UPPSALA LÄN</t>
        </is>
      </c>
      <c r="E973" t="inlineStr">
        <is>
          <t>ÖSTHAMMAR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56903-2023</t>
        </is>
      </c>
      <c r="B974" s="1" t="n">
        <v>45244</v>
      </c>
      <c r="C974" s="1" t="n">
        <v>45807</v>
      </c>
      <c r="D974" t="inlineStr">
        <is>
          <t>UPPSALA LÄN</t>
        </is>
      </c>
      <c r="E974" t="inlineStr">
        <is>
          <t>ÖSTHAMMAR</t>
        </is>
      </c>
      <c r="G974" t="n">
        <v>3.1</v>
      </c>
      <c r="H974" t="n">
        <v>0</v>
      </c>
      <c r="I974" t="n">
        <v>0</v>
      </c>
      <c r="J974" t="n">
        <v>0</v>
      </c>
      <c r="K974" t="n">
        <v>0</v>
      </c>
      <c r="L974" t="n">
        <v>0</v>
      </c>
      <c r="M974" t="n">
        <v>0</v>
      </c>
      <c r="N974" t="n">
        <v>0</v>
      </c>
      <c r="O974" t="n">
        <v>0</v>
      </c>
      <c r="P974" t="n">
        <v>0</v>
      </c>
      <c r="Q974" t="n">
        <v>0</v>
      </c>
      <c r="R974" s="2" t="inlineStr"/>
    </row>
    <row r="975" ht="15" customHeight="1">
      <c r="A975" t="inlineStr">
        <is>
          <t>A 56920-2023</t>
        </is>
      </c>
      <c r="B975" s="1" t="n">
        <v>45244</v>
      </c>
      <c r="C975" s="1" t="n">
        <v>45807</v>
      </c>
      <c r="D975" t="inlineStr">
        <is>
          <t>UPPSALA LÄN</t>
        </is>
      </c>
      <c r="E975" t="inlineStr">
        <is>
          <t>ÖSTHAMMAR</t>
        </is>
      </c>
      <c r="G975" t="n">
        <v>2</v>
      </c>
      <c r="H975" t="n">
        <v>0</v>
      </c>
      <c r="I975" t="n">
        <v>0</v>
      </c>
      <c r="J975" t="n">
        <v>0</v>
      </c>
      <c r="K975" t="n">
        <v>0</v>
      </c>
      <c r="L975" t="n">
        <v>0</v>
      </c>
      <c r="M975" t="n">
        <v>0</v>
      </c>
      <c r="N975" t="n">
        <v>0</v>
      </c>
      <c r="O975" t="n">
        <v>0</v>
      </c>
      <c r="P975" t="n">
        <v>0</v>
      </c>
      <c r="Q975" t="n">
        <v>0</v>
      </c>
      <c r="R975" s="2" t="inlineStr"/>
    </row>
    <row r="976" ht="15" customHeight="1">
      <c r="A976" t="inlineStr">
        <is>
          <t>A 56959-2023</t>
        </is>
      </c>
      <c r="B976" s="1" t="n">
        <v>45244</v>
      </c>
      <c r="C976" s="1" t="n">
        <v>45807</v>
      </c>
      <c r="D976" t="inlineStr">
        <is>
          <t>UPPSALA LÄN</t>
        </is>
      </c>
      <c r="E976" t="inlineStr">
        <is>
          <t>ÖSTHAMMAR</t>
        </is>
      </c>
      <c r="G976" t="n">
        <v>5</v>
      </c>
      <c r="H976" t="n">
        <v>0</v>
      </c>
      <c r="I976" t="n">
        <v>0</v>
      </c>
      <c r="J976" t="n">
        <v>0</v>
      </c>
      <c r="K976" t="n">
        <v>0</v>
      </c>
      <c r="L976" t="n">
        <v>0</v>
      </c>
      <c r="M976" t="n">
        <v>0</v>
      </c>
      <c r="N976" t="n">
        <v>0</v>
      </c>
      <c r="O976" t="n">
        <v>0</v>
      </c>
      <c r="P976" t="n">
        <v>0</v>
      </c>
      <c r="Q976" t="n">
        <v>0</v>
      </c>
      <c r="R976" s="2" t="inlineStr"/>
    </row>
    <row r="977" ht="15" customHeight="1">
      <c r="A977" t="inlineStr">
        <is>
          <t>A 58176-2023</t>
        </is>
      </c>
      <c r="B977" s="1" t="n">
        <v>45250</v>
      </c>
      <c r="C977" s="1" t="n">
        <v>45807</v>
      </c>
      <c r="D977" t="inlineStr">
        <is>
          <t>UPPSALA LÄN</t>
        </is>
      </c>
      <c r="E977" t="inlineStr">
        <is>
          <t>ÖSTHAMMAR</t>
        </is>
      </c>
      <c r="F977" t="inlineStr">
        <is>
          <t>Allmännings- och besparingsskogar</t>
        </is>
      </c>
      <c r="G977" t="n">
        <v>0.9</v>
      </c>
      <c r="H977" t="n">
        <v>0</v>
      </c>
      <c r="I977" t="n">
        <v>0</v>
      </c>
      <c r="J977" t="n">
        <v>0</v>
      </c>
      <c r="K977" t="n">
        <v>0</v>
      </c>
      <c r="L977" t="n">
        <v>0</v>
      </c>
      <c r="M977" t="n">
        <v>0</v>
      </c>
      <c r="N977" t="n">
        <v>0</v>
      </c>
      <c r="O977" t="n">
        <v>0</v>
      </c>
      <c r="P977" t="n">
        <v>0</v>
      </c>
      <c r="Q977" t="n">
        <v>0</v>
      </c>
      <c r="R977" s="2" t="inlineStr"/>
    </row>
    <row r="978" ht="15" customHeight="1">
      <c r="A978" t="inlineStr">
        <is>
          <t>A 58295-2023</t>
        </is>
      </c>
      <c r="B978" s="1" t="n">
        <v>45250</v>
      </c>
      <c r="C978" s="1" t="n">
        <v>45807</v>
      </c>
      <c r="D978" t="inlineStr">
        <is>
          <t>UPPSALA LÄN</t>
        </is>
      </c>
      <c r="E978" t="inlineStr">
        <is>
          <t>ÖSTHAMMAR</t>
        </is>
      </c>
      <c r="G978" t="n">
        <v>1.7</v>
      </c>
      <c r="H978" t="n">
        <v>0</v>
      </c>
      <c r="I978" t="n">
        <v>0</v>
      </c>
      <c r="J978" t="n">
        <v>0</v>
      </c>
      <c r="K978" t="n">
        <v>0</v>
      </c>
      <c r="L978" t="n">
        <v>0</v>
      </c>
      <c r="M978" t="n">
        <v>0</v>
      </c>
      <c r="N978" t="n">
        <v>0</v>
      </c>
      <c r="O978" t="n">
        <v>0</v>
      </c>
      <c r="P978" t="n">
        <v>0</v>
      </c>
      <c r="Q978" t="n">
        <v>0</v>
      </c>
      <c r="R978" s="2" t="inlineStr"/>
    </row>
    <row r="979" ht="15" customHeight="1">
      <c r="A979" t="inlineStr">
        <is>
          <t>A 58270-2023</t>
        </is>
      </c>
      <c r="B979" s="1" t="n">
        <v>45250</v>
      </c>
      <c r="C979" s="1" t="n">
        <v>45807</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58301-2023</t>
        </is>
      </c>
      <c r="B980" s="1" t="n">
        <v>45250</v>
      </c>
      <c r="C980" s="1" t="n">
        <v>45807</v>
      </c>
      <c r="D980" t="inlineStr">
        <is>
          <t>UPPSALA LÄN</t>
        </is>
      </c>
      <c r="E980" t="inlineStr">
        <is>
          <t>ÖSTHAMMAR</t>
        </is>
      </c>
      <c r="G980" t="n">
        <v>5.9</v>
      </c>
      <c r="H980" t="n">
        <v>0</v>
      </c>
      <c r="I980" t="n">
        <v>0</v>
      </c>
      <c r="J980" t="n">
        <v>0</v>
      </c>
      <c r="K980" t="n">
        <v>0</v>
      </c>
      <c r="L980" t="n">
        <v>0</v>
      </c>
      <c r="M980" t="n">
        <v>0</v>
      </c>
      <c r="N980" t="n">
        <v>0</v>
      </c>
      <c r="O980" t="n">
        <v>0</v>
      </c>
      <c r="P980" t="n">
        <v>0</v>
      </c>
      <c r="Q980" t="n">
        <v>0</v>
      </c>
      <c r="R980" s="2" t="inlineStr"/>
    </row>
    <row r="981" ht="15" customHeight="1">
      <c r="A981" t="inlineStr">
        <is>
          <t>A 58324-2023</t>
        </is>
      </c>
      <c r="B981" s="1" t="n">
        <v>45250</v>
      </c>
      <c r="C981" s="1" t="n">
        <v>45807</v>
      </c>
      <c r="D981" t="inlineStr">
        <is>
          <t>UPPSALA LÄN</t>
        </is>
      </c>
      <c r="E981" t="inlineStr">
        <is>
          <t>ÖSTHAMMAR</t>
        </is>
      </c>
      <c r="G981" t="n">
        <v>5.1</v>
      </c>
      <c r="H981" t="n">
        <v>0</v>
      </c>
      <c r="I981" t="n">
        <v>0</v>
      </c>
      <c r="J981" t="n">
        <v>0</v>
      </c>
      <c r="K981" t="n">
        <v>0</v>
      </c>
      <c r="L981" t="n">
        <v>0</v>
      </c>
      <c r="M981" t="n">
        <v>0</v>
      </c>
      <c r="N981" t="n">
        <v>0</v>
      </c>
      <c r="O981" t="n">
        <v>0</v>
      </c>
      <c r="P981" t="n">
        <v>0</v>
      </c>
      <c r="Q981" t="n">
        <v>0</v>
      </c>
      <c r="R981" s="2" t="inlineStr"/>
    </row>
    <row r="982" ht="15" customHeight="1">
      <c r="A982" t="inlineStr">
        <is>
          <t>A 58431-2023</t>
        </is>
      </c>
      <c r="B982" s="1" t="n">
        <v>45250</v>
      </c>
      <c r="C982" s="1" t="n">
        <v>45807</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58855-2023</t>
        </is>
      </c>
      <c r="B983" s="1" t="n">
        <v>45252</v>
      </c>
      <c r="C983" s="1" t="n">
        <v>45807</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58854-2023</t>
        </is>
      </c>
      <c r="B984" s="1" t="n">
        <v>45252</v>
      </c>
      <c r="C984" s="1" t="n">
        <v>45807</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58859-2023</t>
        </is>
      </c>
      <c r="B985" s="1" t="n">
        <v>45252</v>
      </c>
      <c r="C985" s="1" t="n">
        <v>45807</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59244-2023</t>
        </is>
      </c>
      <c r="B986" s="1" t="n">
        <v>45253</v>
      </c>
      <c r="C986" s="1" t="n">
        <v>45807</v>
      </c>
      <c r="D986" t="inlineStr">
        <is>
          <t>UPPSALA LÄN</t>
        </is>
      </c>
      <c r="E986" t="inlineStr">
        <is>
          <t>ÖSTHAMMAR</t>
        </is>
      </c>
      <c r="G986" t="n">
        <v>12.9</v>
      </c>
      <c r="H986" t="n">
        <v>0</v>
      </c>
      <c r="I986" t="n">
        <v>0</v>
      </c>
      <c r="J986" t="n">
        <v>0</v>
      </c>
      <c r="K986" t="n">
        <v>0</v>
      </c>
      <c r="L986" t="n">
        <v>0</v>
      </c>
      <c r="M986" t="n">
        <v>0</v>
      </c>
      <c r="N986" t="n">
        <v>0</v>
      </c>
      <c r="O986" t="n">
        <v>0</v>
      </c>
      <c r="P986" t="n">
        <v>0</v>
      </c>
      <c r="Q986" t="n">
        <v>0</v>
      </c>
      <c r="R986" s="2" t="inlineStr"/>
    </row>
    <row r="987" ht="15" customHeight="1">
      <c r="A987" t="inlineStr">
        <is>
          <t>A 59288-2023</t>
        </is>
      </c>
      <c r="B987" s="1" t="n">
        <v>45253</v>
      </c>
      <c r="C987" s="1" t="n">
        <v>45807</v>
      </c>
      <c r="D987" t="inlineStr">
        <is>
          <t>UPPSALA LÄN</t>
        </is>
      </c>
      <c r="E987" t="inlineStr">
        <is>
          <t>ÖSTHAMMAR</t>
        </is>
      </c>
      <c r="G987" t="n">
        <v>7</v>
      </c>
      <c r="H987" t="n">
        <v>0</v>
      </c>
      <c r="I987" t="n">
        <v>0</v>
      </c>
      <c r="J987" t="n">
        <v>0</v>
      </c>
      <c r="K987" t="n">
        <v>0</v>
      </c>
      <c r="L987" t="n">
        <v>0</v>
      </c>
      <c r="M987" t="n">
        <v>0</v>
      </c>
      <c r="N987" t="n">
        <v>0</v>
      </c>
      <c r="O987" t="n">
        <v>0</v>
      </c>
      <c r="P987" t="n">
        <v>0</v>
      </c>
      <c r="Q987" t="n">
        <v>0</v>
      </c>
      <c r="R987" s="2" t="inlineStr"/>
    </row>
    <row r="988" ht="15" customHeight="1">
      <c r="A988" t="inlineStr">
        <is>
          <t>A 59314-2023</t>
        </is>
      </c>
      <c r="B988" s="1" t="n">
        <v>45253</v>
      </c>
      <c r="C988" s="1" t="n">
        <v>45807</v>
      </c>
      <c r="D988" t="inlineStr">
        <is>
          <t>UPPSALA LÄN</t>
        </is>
      </c>
      <c r="E988" t="inlineStr">
        <is>
          <t>ÖSTHAMMAR</t>
        </is>
      </c>
      <c r="G988" t="n">
        <v>1</v>
      </c>
      <c r="H988" t="n">
        <v>0</v>
      </c>
      <c r="I988" t="n">
        <v>0</v>
      </c>
      <c r="J988" t="n">
        <v>0</v>
      </c>
      <c r="K988" t="n">
        <v>0</v>
      </c>
      <c r="L988" t="n">
        <v>0</v>
      </c>
      <c r="M988" t="n">
        <v>0</v>
      </c>
      <c r="N988" t="n">
        <v>0</v>
      </c>
      <c r="O988" t="n">
        <v>0</v>
      </c>
      <c r="P988" t="n">
        <v>0</v>
      </c>
      <c r="Q988" t="n">
        <v>0</v>
      </c>
      <c r="R988" s="2" t="inlineStr"/>
    </row>
    <row r="989" ht="15" customHeight="1">
      <c r="A989" t="inlineStr">
        <is>
          <t>A 59318-2023</t>
        </is>
      </c>
      <c r="B989" s="1" t="n">
        <v>45253</v>
      </c>
      <c r="C989" s="1" t="n">
        <v>45807</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59327-2023</t>
        </is>
      </c>
      <c r="B990" s="1" t="n">
        <v>45253</v>
      </c>
      <c r="C990" s="1" t="n">
        <v>45807</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59291-2023</t>
        </is>
      </c>
      <c r="B991" s="1" t="n">
        <v>45253</v>
      </c>
      <c r="C991" s="1" t="n">
        <v>45807</v>
      </c>
      <c r="D991" t="inlineStr">
        <is>
          <t>UPPSALA LÄN</t>
        </is>
      </c>
      <c r="E991" t="inlineStr">
        <is>
          <t>ÖSTHAMMAR</t>
        </is>
      </c>
      <c r="G991" t="n">
        <v>1.7</v>
      </c>
      <c r="H991" t="n">
        <v>0</v>
      </c>
      <c r="I991" t="n">
        <v>0</v>
      </c>
      <c r="J991" t="n">
        <v>0</v>
      </c>
      <c r="K991" t="n">
        <v>0</v>
      </c>
      <c r="L991" t="n">
        <v>0</v>
      </c>
      <c r="M991" t="n">
        <v>0</v>
      </c>
      <c r="N991" t="n">
        <v>0</v>
      </c>
      <c r="O991" t="n">
        <v>0</v>
      </c>
      <c r="P991" t="n">
        <v>0</v>
      </c>
      <c r="Q991" t="n">
        <v>0</v>
      </c>
      <c r="R991" s="2" t="inlineStr"/>
    </row>
    <row r="992" ht="15" customHeight="1">
      <c r="A992" t="inlineStr">
        <is>
          <t>A 59731-2023</t>
        </is>
      </c>
      <c r="B992" s="1" t="n">
        <v>45257</v>
      </c>
      <c r="C992" s="1" t="n">
        <v>45807</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60303-2023</t>
        </is>
      </c>
      <c r="B993" s="1" t="n">
        <v>45258</v>
      </c>
      <c r="C993" s="1" t="n">
        <v>45807</v>
      </c>
      <c r="D993" t="inlineStr">
        <is>
          <t>UPPSALA LÄN</t>
        </is>
      </c>
      <c r="E993" t="inlineStr">
        <is>
          <t>ÖSTHAMMAR</t>
        </is>
      </c>
      <c r="F993" t="inlineStr">
        <is>
          <t>Bergvik skog öst AB</t>
        </is>
      </c>
      <c r="G993" t="n">
        <v>10.8</v>
      </c>
      <c r="H993" t="n">
        <v>0</v>
      </c>
      <c r="I993" t="n">
        <v>0</v>
      </c>
      <c r="J993" t="n">
        <v>0</v>
      </c>
      <c r="K993" t="n">
        <v>0</v>
      </c>
      <c r="L993" t="n">
        <v>0</v>
      </c>
      <c r="M993" t="n">
        <v>0</v>
      </c>
      <c r="N993" t="n">
        <v>0</v>
      </c>
      <c r="O993" t="n">
        <v>0</v>
      </c>
      <c r="P993" t="n">
        <v>0</v>
      </c>
      <c r="Q993" t="n">
        <v>0</v>
      </c>
      <c r="R993" s="2" t="inlineStr"/>
    </row>
    <row r="994" ht="15" customHeight="1">
      <c r="A994" t="inlineStr">
        <is>
          <t>A 60555-2023</t>
        </is>
      </c>
      <c r="B994" s="1" t="n">
        <v>45259</v>
      </c>
      <c r="C994" s="1" t="n">
        <v>45807</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61062-2023</t>
        </is>
      </c>
      <c r="B995" s="1" t="n">
        <v>45259</v>
      </c>
      <c r="C995" s="1" t="n">
        <v>45807</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61063-2023</t>
        </is>
      </c>
      <c r="B996" s="1" t="n">
        <v>45259</v>
      </c>
      <c r="C996" s="1" t="n">
        <v>45807</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60722-2023</t>
        </is>
      </c>
      <c r="B997" s="1" t="n">
        <v>45260</v>
      </c>
      <c r="C997" s="1" t="n">
        <v>45807</v>
      </c>
      <c r="D997" t="inlineStr">
        <is>
          <t>UPPSALA LÄN</t>
        </is>
      </c>
      <c r="E997" t="inlineStr">
        <is>
          <t>ÖSTHAMMAR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61109-2023</t>
        </is>
      </c>
      <c r="B998" s="1" t="n">
        <v>45261</v>
      </c>
      <c r="C998" s="1" t="n">
        <v>45807</v>
      </c>
      <c r="D998" t="inlineStr">
        <is>
          <t>UPPSALA LÄN</t>
        </is>
      </c>
      <c r="E998" t="inlineStr">
        <is>
          <t>ÖSTHAMMAR</t>
        </is>
      </c>
      <c r="G998" t="n">
        <v>3.9</v>
      </c>
      <c r="H998" t="n">
        <v>0</v>
      </c>
      <c r="I998" t="n">
        <v>0</v>
      </c>
      <c r="J998" t="n">
        <v>0</v>
      </c>
      <c r="K998" t="n">
        <v>0</v>
      </c>
      <c r="L998" t="n">
        <v>0</v>
      </c>
      <c r="M998" t="n">
        <v>0</v>
      </c>
      <c r="N998" t="n">
        <v>0</v>
      </c>
      <c r="O998" t="n">
        <v>0</v>
      </c>
      <c r="P998" t="n">
        <v>0</v>
      </c>
      <c r="Q998" t="n">
        <v>0</v>
      </c>
      <c r="R998" s="2" t="inlineStr"/>
    </row>
    <row r="999" ht="15" customHeight="1">
      <c r="A999" t="inlineStr">
        <is>
          <t>A 61246-2023</t>
        </is>
      </c>
      <c r="B999" s="1" t="n">
        <v>45264</v>
      </c>
      <c r="C999" s="1" t="n">
        <v>45807</v>
      </c>
      <c r="D999" t="inlineStr">
        <is>
          <t>UPPSALA LÄN</t>
        </is>
      </c>
      <c r="E999" t="inlineStr">
        <is>
          <t>ÖSTHAMMAR</t>
        </is>
      </c>
      <c r="F999" t="inlineStr">
        <is>
          <t>Allmännings- och besparingsskogar</t>
        </is>
      </c>
      <c r="G999" t="n">
        <v>1</v>
      </c>
      <c r="H999" t="n">
        <v>0</v>
      </c>
      <c r="I999" t="n">
        <v>0</v>
      </c>
      <c r="J999" t="n">
        <v>0</v>
      </c>
      <c r="K999" t="n">
        <v>0</v>
      </c>
      <c r="L999" t="n">
        <v>0</v>
      </c>
      <c r="M999" t="n">
        <v>0</v>
      </c>
      <c r="N999" t="n">
        <v>0</v>
      </c>
      <c r="O999" t="n">
        <v>0</v>
      </c>
      <c r="P999" t="n">
        <v>0</v>
      </c>
      <c r="Q999" t="n">
        <v>0</v>
      </c>
      <c r="R999" s="2" t="inlineStr"/>
    </row>
    <row r="1000" ht="15" customHeight="1">
      <c r="A1000" t="inlineStr">
        <is>
          <t>A 61428-2023</t>
        </is>
      </c>
      <c r="B1000" s="1" t="n">
        <v>45264</v>
      </c>
      <c r="C1000" s="1" t="n">
        <v>45807</v>
      </c>
      <c r="D1000" t="inlineStr">
        <is>
          <t>UPPSALA LÄN</t>
        </is>
      </c>
      <c r="E1000" t="inlineStr">
        <is>
          <t>ÖSTHAMMAR</t>
        </is>
      </c>
      <c r="F1000" t="inlineStr">
        <is>
          <t>Allmännings- och besparingsskogar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45807</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64774-2023</t>
        </is>
      </c>
      <c r="B1002" s="1" t="n">
        <v>45282</v>
      </c>
      <c r="C1002" s="1" t="n">
        <v>45807</v>
      </c>
      <c r="D1002" t="inlineStr">
        <is>
          <t>UPPSALA LÄN</t>
        </is>
      </c>
      <c r="E1002" t="inlineStr">
        <is>
          <t>ÖSTHAMMAR</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2462-2024</t>
        </is>
      </c>
      <c r="B1003" s="1" t="n">
        <v>45313</v>
      </c>
      <c r="C1003" s="1" t="n">
        <v>45807</v>
      </c>
      <c r="D1003" t="inlineStr">
        <is>
          <t>UPPSALA LÄN</t>
        </is>
      </c>
      <c r="E1003" t="inlineStr">
        <is>
          <t>ÖSTHAMMAR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2920-2024</t>
        </is>
      </c>
      <c r="B1004" s="1" t="n">
        <v>45315</v>
      </c>
      <c r="C1004" s="1" t="n">
        <v>45807</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4984-2024</t>
        </is>
      </c>
      <c r="B1005" s="1" t="n">
        <v>45329</v>
      </c>
      <c r="C1005" s="1" t="n">
        <v>45807</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5042-2024</t>
        </is>
      </c>
      <c r="B1006" s="1" t="n">
        <v>45329</v>
      </c>
      <c r="C1006" s="1" t="n">
        <v>45807</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5149-2024</t>
        </is>
      </c>
      <c r="B1007" s="1" t="n">
        <v>45330</v>
      </c>
      <c r="C1007" s="1" t="n">
        <v>45807</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5198-2024</t>
        </is>
      </c>
      <c r="B1008" s="1" t="n">
        <v>45330</v>
      </c>
      <c r="C1008" s="1" t="n">
        <v>45807</v>
      </c>
      <c r="D1008" t="inlineStr">
        <is>
          <t>UPPSALA LÄN</t>
        </is>
      </c>
      <c r="E1008" t="inlineStr">
        <is>
          <t>ÖSTHAMMAR</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5216-2024</t>
        </is>
      </c>
      <c r="B1009" s="1" t="n">
        <v>45330</v>
      </c>
      <c r="C1009" s="1" t="n">
        <v>45807</v>
      </c>
      <c r="D1009" t="inlineStr">
        <is>
          <t>UPPSALA LÄN</t>
        </is>
      </c>
      <c r="E1009" t="inlineStr">
        <is>
          <t>ÖSTHAMMAR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5161-2024</t>
        </is>
      </c>
      <c r="B1010" s="1" t="n">
        <v>45330</v>
      </c>
      <c r="C1010" s="1" t="n">
        <v>45807</v>
      </c>
      <c r="D1010" t="inlineStr">
        <is>
          <t>UPPSALA LÄN</t>
        </is>
      </c>
      <c r="E1010" t="inlineStr">
        <is>
          <t>ÖSTHAMMAR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5223-2024</t>
        </is>
      </c>
      <c r="B1011" s="1" t="n">
        <v>45330</v>
      </c>
      <c r="C1011" s="1" t="n">
        <v>45807</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5851-2024</t>
        </is>
      </c>
      <c r="B1012" s="1" t="n">
        <v>45335</v>
      </c>
      <c r="C1012" s="1" t="n">
        <v>45807</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5860-2024</t>
        </is>
      </c>
      <c r="B1013" s="1" t="n">
        <v>45335</v>
      </c>
      <c r="C1013" s="1" t="n">
        <v>45807</v>
      </c>
      <c r="D1013" t="inlineStr">
        <is>
          <t>UPPSALA LÄN</t>
        </is>
      </c>
      <c r="E1013" t="inlineStr">
        <is>
          <t>ÖSTHAMMAR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6120-2024</t>
        </is>
      </c>
      <c r="B1014" s="1" t="n">
        <v>45337</v>
      </c>
      <c r="C1014" s="1" t="n">
        <v>45807</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6102-2024</t>
        </is>
      </c>
      <c r="B1015" s="1" t="n">
        <v>45337</v>
      </c>
      <c r="C1015" s="1" t="n">
        <v>45807</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6106-2024</t>
        </is>
      </c>
      <c r="B1016" s="1" t="n">
        <v>45337</v>
      </c>
      <c r="C1016" s="1" t="n">
        <v>45807</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6143-2024</t>
        </is>
      </c>
      <c r="B1017" s="1" t="n">
        <v>45337</v>
      </c>
      <c r="C1017" s="1" t="n">
        <v>45807</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6121-2024</t>
        </is>
      </c>
      <c r="B1018" s="1" t="n">
        <v>45337</v>
      </c>
      <c r="C1018" s="1" t="n">
        <v>45807</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6418-2024</t>
        </is>
      </c>
      <c r="B1019" s="1" t="n">
        <v>45338</v>
      </c>
      <c r="C1019" s="1" t="n">
        <v>45807</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6656-2024</t>
        </is>
      </c>
      <c r="B1020" s="1" t="n">
        <v>45341</v>
      </c>
      <c r="C1020" s="1" t="n">
        <v>45807</v>
      </c>
      <c r="D1020" t="inlineStr">
        <is>
          <t>UPPSALA LÄN</t>
        </is>
      </c>
      <c r="E1020" t="inlineStr">
        <is>
          <t>ÖSTHAMMAR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6661-2024</t>
        </is>
      </c>
      <c r="B1021" s="1" t="n">
        <v>45341</v>
      </c>
      <c r="C1021" s="1" t="n">
        <v>45807</v>
      </c>
      <c r="D1021" t="inlineStr">
        <is>
          <t>UPPSALA LÄN</t>
        </is>
      </c>
      <c r="E1021" t="inlineStr">
        <is>
          <t>ÖSTHAMMAR</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8673-2024</t>
        </is>
      </c>
      <c r="B1022" s="1" t="n">
        <v>45356</v>
      </c>
      <c r="C1022" s="1" t="n">
        <v>45807</v>
      </c>
      <c r="D1022" t="inlineStr">
        <is>
          <t>UPPSALA LÄN</t>
        </is>
      </c>
      <c r="E1022" t="inlineStr">
        <is>
          <t>ÖSTHAMMAR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9264-2024</t>
        </is>
      </c>
      <c r="B1023" s="1" t="n">
        <v>45358</v>
      </c>
      <c r="C1023" s="1" t="n">
        <v>45807</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9267-2024</t>
        </is>
      </c>
      <c r="B1024" s="1" t="n">
        <v>45358</v>
      </c>
      <c r="C1024" s="1" t="n">
        <v>45807</v>
      </c>
      <c r="D1024" t="inlineStr">
        <is>
          <t>UPPSALA LÄN</t>
        </is>
      </c>
      <c r="E1024" t="inlineStr">
        <is>
          <t>ÖSTHAMMAR</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9291-2024</t>
        </is>
      </c>
      <c r="B1025" s="1" t="n">
        <v>45358</v>
      </c>
      <c r="C1025" s="1" t="n">
        <v>45807</v>
      </c>
      <c r="D1025" t="inlineStr">
        <is>
          <t>UPPSALA LÄN</t>
        </is>
      </c>
      <c r="E1025" t="inlineStr">
        <is>
          <t>ÖSTHAMMAR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9642-2024</t>
        </is>
      </c>
      <c r="B1026" s="1" t="n">
        <v>45362</v>
      </c>
      <c r="C1026" s="1" t="n">
        <v>45807</v>
      </c>
      <c r="D1026" t="inlineStr">
        <is>
          <t>UPPSALA LÄN</t>
        </is>
      </c>
      <c r="E1026" t="inlineStr">
        <is>
          <t>ÖSTHAMMAR</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9927-2024</t>
        </is>
      </c>
      <c r="B1027" s="1" t="n">
        <v>45363</v>
      </c>
      <c r="C1027" s="1" t="n">
        <v>45807</v>
      </c>
      <c r="D1027" t="inlineStr">
        <is>
          <t>UPPSALA LÄN</t>
        </is>
      </c>
      <c r="E1027" t="inlineStr">
        <is>
          <t>ÖSTHAMMAR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10430-2024</t>
        </is>
      </c>
      <c r="B1028" s="1" t="n">
        <v>45365</v>
      </c>
      <c r="C1028" s="1" t="n">
        <v>45807</v>
      </c>
      <c r="D1028" t="inlineStr">
        <is>
          <t>UPPSALA LÄN</t>
        </is>
      </c>
      <c r="E1028" t="inlineStr">
        <is>
          <t>ÖSTHAMMAR</t>
        </is>
      </c>
      <c r="F1028" t="inlineStr">
        <is>
          <t>Bergvik skog öst AB</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10429-2024</t>
        </is>
      </c>
      <c r="B1029" s="1" t="n">
        <v>45365</v>
      </c>
      <c r="C1029" s="1" t="n">
        <v>45807</v>
      </c>
      <c r="D1029" t="inlineStr">
        <is>
          <t>UPPSALA LÄN</t>
        </is>
      </c>
      <c r="E1029" t="inlineStr">
        <is>
          <t>ÖSTHAMMAR</t>
        </is>
      </c>
      <c r="F1029" t="inlineStr">
        <is>
          <t>Bergvik skog öst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10431-2024</t>
        </is>
      </c>
      <c r="B1030" s="1" t="n">
        <v>45365</v>
      </c>
      <c r="C1030" s="1" t="n">
        <v>45807</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10638-2024</t>
        </is>
      </c>
      <c r="B1031" s="1" t="n">
        <v>45367</v>
      </c>
      <c r="C1031" s="1" t="n">
        <v>45807</v>
      </c>
      <c r="D1031" t="inlineStr">
        <is>
          <t>UPPSALA LÄN</t>
        </is>
      </c>
      <c r="E1031" t="inlineStr">
        <is>
          <t>ÖSTHAMMAR</t>
        </is>
      </c>
      <c r="F1031" t="inlineStr">
        <is>
          <t>Bergvik skog öst AB</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10983-2024</t>
        </is>
      </c>
      <c r="B1032" s="1" t="n">
        <v>45370</v>
      </c>
      <c r="C1032" s="1" t="n">
        <v>45807</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10960-2024</t>
        </is>
      </c>
      <c r="B1033" s="1" t="n">
        <v>45370</v>
      </c>
      <c r="C1033" s="1" t="n">
        <v>45807</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11367-2024</t>
        </is>
      </c>
      <c r="B1034" s="1" t="n">
        <v>45372</v>
      </c>
      <c r="C1034" s="1" t="n">
        <v>45807</v>
      </c>
      <c r="D1034" t="inlineStr">
        <is>
          <t>UPPSALA LÄN</t>
        </is>
      </c>
      <c r="E1034" t="inlineStr">
        <is>
          <t>ÖSTHAMMAR</t>
        </is>
      </c>
      <c r="F1034" t="inlineStr">
        <is>
          <t>Bergvik skog öst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45807</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11498-2024</t>
        </is>
      </c>
      <c r="B1036" s="1" t="n">
        <v>45372</v>
      </c>
      <c r="C1036" s="1" t="n">
        <v>45807</v>
      </c>
      <c r="D1036" t="inlineStr">
        <is>
          <t>UPPSALA LÄN</t>
        </is>
      </c>
      <c r="E1036" t="inlineStr">
        <is>
          <t>ÖSTHAMMAR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11472-2024</t>
        </is>
      </c>
      <c r="B1037" s="1" t="n">
        <v>45372</v>
      </c>
      <c r="C1037" s="1" t="n">
        <v>45807</v>
      </c>
      <c r="D1037" t="inlineStr">
        <is>
          <t>UPPSALA LÄN</t>
        </is>
      </c>
      <c r="E1037" t="inlineStr">
        <is>
          <t>ÖSTHAMMAR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11656-2024</t>
        </is>
      </c>
      <c r="B1038" s="1" t="n">
        <v>45373</v>
      </c>
      <c r="C1038" s="1" t="n">
        <v>45807</v>
      </c>
      <c r="D1038" t="inlineStr">
        <is>
          <t>UPPSALA LÄN</t>
        </is>
      </c>
      <c r="E1038" t="inlineStr">
        <is>
          <t>ÖSTHAMMAR</t>
        </is>
      </c>
      <c r="F1038" t="inlineStr">
        <is>
          <t>Övriga Aktiebolag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11798-2024</t>
        </is>
      </c>
      <c r="B1039" s="1" t="n">
        <v>45375</v>
      </c>
      <c r="C1039" s="1" t="n">
        <v>45807</v>
      </c>
      <c r="D1039" t="inlineStr">
        <is>
          <t>UPPSALA LÄN</t>
        </is>
      </c>
      <c r="E1039" t="inlineStr">
        <is>
          <t>ÖSTHAMMAR</t>
        </is>
      </c>
      <c r="F1039" t="inlineStr">
        <is>
          <t>Bergvik skog öst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11799-2024</t>
        </is>
      </c>
      <c r="B1040" s="1" t="n">
        <v>45375</v>
      </c>
      <c r="C1040" s="1" t="n">
        <v>45807</v>
      </c>
      <c r="D1040" t="inlineStr">
        <is>
          <t>UPPSALA LÄN</t>
        </is>
      </c>
      <c r="E1040" t="inlineStr">
        <is>
          <t>ÖSTHAMMAR</t>
        </is>
      </c>
      <c r="F1040" t="inlineStr">
        <is>
          <t>Bergvik skog öst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12028-2024</t>
        </is>
      </c>
      <c r="B1041" s="1" t="n">
        <v>45377</v>
      </c>
      <c r="C1041" s="1" t="n">
        <v>45807</v>
      </c>
      <c r="D1041" t="inlineStr">
        <is>
          <t>UPPSALA LÄN</t>
        </is>
      </c>
      <c r="E1041" t="inlineStr">
        <is>
          <t>ÖSTHAMMAR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12278-2024</t>
        </is>
      </c>
      <c r="B1042" s="1" t="n">
        <v>45378</v>
      </c>
      <c r="C1042" s="1" t="n">
        <v>45807</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12487-2024</t>
        </is>
      </c>
      <c r="B1043" s="1" t="n">
        <v>45379</v>
      </c>
      <c r="C1043" s="1" t="n">
        <v>45807</v>
      </c>
      <c r="D1043" t="inlineStr">
        <is>
          <t>UPPSALA LÄN</t>
        </is>
      </c>
      <c r="E1043" t="inlineStr">
        <is>
          <t>ÖSTHAMMAR</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12486-2024</t>
        </is>
      </c>
      <c r="B1044" s="1" t="n">
        <v>45379</v>
      </c>
      <c r="C1044" s="1" t="n">
        <v>45807</v>
      </c>
      <c r="D1044" t="inlineStr">
        <is>
          <t>UPPSALA LÄN</t>
        </is>
      </c>
      <c r="E1044" t="inlineStr">
        <is>
          <t>ÖSTHAMMAR</t>
        </is>
      </c>
      <c r="F1044" t="inlineStr">
        <is>
          <t>Bergvik skog öst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12498-2024</t>
        </is>
      </c>
      <c r="B1045" s="1" t="n">
        <v>45379</v>
      </c>
      <c r="C1045" s="1" t="n">
        <v>45807</v>
      </c>
      <c r="D1045" t="inlineStr">
        <is>
          <t>UPPSALA LÄN</t>
        </is>
      </c>
      <c r="E1045" t="inlineStr">
        <is>
          <t>ÖSTHAMMAR</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12534-2024</t>
        </is>
      </c>
      <c r="B1046" s="1" t="n">
        <v>45379</v>
      </c>
      <c r="C1046" s="1" t="n">
        <v>45807</v>
      </c>
      <c r="D1046" t="inlineStr">
        <is>
          <t>UPPSALA LÄN</t>
        </is>
      </c>
      <c r="E1046" t="inlineStr">
        <is>
          <t>ÖSTHAMMAR</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12531-2024</t>
        </is>
      </c>
      <c r="B1047" s="1" t="n">
        <v>45379</v>
      </c>
      <c r="C1047" s="1" t="n">
        <v>45807</v>
      </c>
      <c r="D1047" t="inlineStr">
        <is>
          <t>UPPSALA LÄN</t>
        </is>
      </c>
      <c r="E1047" t="inlineStr">
        <is>
          <t>ÖSTHAMMAR</t>
        </is>
      </c>
      <c r="F1047" t="inlineStr">
        <is>
          <t>Bergvik skog öst AB</t>
        </is>
      </c>
      <c r="G1047" t="n">
        <v>17.3</v>
      </c>
      <c r="H1047" t="n">
        <v>0</v>
      </c>
      <c r="I1047" t="n">
        <v>0</v>
      </c>
      <c r="J1047" t="n">
        <v>0</v>
      </c>
      <c r="K1047" t="n">
        <v>0</v>
      </c>
      <c r="L1047" t="n">
        <v>0</v>
      </c>
      <c r="M1047" t="n">
        <v>0</v>
      </c>
      <c r="N1047" t="n">
        <v>0</v>
      </c>
      <c r="O1047" t="n">
        <v>0</v>
      </c>
      <c r="P1047" t="n">
        <v>0</v>
      </c>
      <c r="Q1047" t="n">
        <v>0</v>
      </c>
      <c r="R1047" s="2" t="inlineStr"/>
    </row>
    <row r="1048" ht="15" customHeight="1">
      <c r="A1048" t="inlineStr">
        <is>
          <t>A 12528-2024</t>
        </is>
      </c>
      <c r="B1048" s="1" t="n">
        <v>45379</v>
      </c>
      <c r="C1048" s="1" t="n">
        <v>45807</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12649-2024</t>
        </is>
      </c>
      <c r="B1049" s="1" t="n">
        <v>45384</v>
      </c>
      <c r="C1049" s="1" t="n">
        <v>45807</v>
      </c>
      <c r="D1049" t="inlineStr">
        <is>
          <t>UPPSALA LÄN</t>
        </is>
      </c>
      <c r="E1049" t="inlineStr">
        <is>
          <t>ÖSTHAMMAR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12676-2024</t>
        </is>
      </c>
      <c r="B1050" s="1" t="n">
        <v>45384</v>
      </c>
      <c r="C1050" s="1" t="n">
        <v>45807</v>
      </c>
      <c r="D1050" t="inlineStr">
        <is>
          <t>UPPSALA LÄN</t>
        </is>
      </c>
      <c r="E1050" t="inlineStr">
        <is>
          <t>ÖSTHAMMAR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12756-2024</t>
        </is>
      </c>
      <c r="B1051" s="1" t="n">
        <v>45384</v>
      </c>
      <c r="C1051" s="1" t="n">
        <v>45807</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12812-2024</t>
        </is>
      </c>
      <c r="B1052" s="1" t="n">
        <v>45384</v>
      </c>
      <c r="C1052" s="1" t="n">
        <v>45807</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13059-2024</t>
        </is>
      </c>
      <c r="B1053" s="1" t="n">
        <v>45385</v>
      </c>
      <c r="C1053" s="1" t="n">
        <v>45807</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12947-2024</t>
        </is>
      </c>
      <c r="B1054" s="1" t="n">
        <v>45385</v>
      </c>
      <c r="C1054" s="1" t="n">
        <v>45807</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13113-2024</t>
        </is>
      </c>
      <c r="B1055" s="1" t="n">
        <v>45385</v>
      </c>
      <c r="C1055" s="1" t="n">
        <v>45807</v>
      </c>
      <c r="D1055" t="inlineStr">
        <is>
          <t>UPPSALA LÄN</t>
        </is>
      </c>
      <c r="E1055" t="inlineStr">
        <is>
          <t>ÖSTHAMMAR</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13114-2024</t>
        </is>
      </c>
      <c r="B1056" s="1" t="n">
        <v>45385</v>
      </c>
      <c r="C1056" s="1" t="n">
        <v>45807</v>
      </c>
      <c r="D1056" t="inlineStr">
        <is>
          <t>UPPSALA LÄN</t>
        </is>
      </c>
      <c r="E1056" t="inlineStr">
        <is>
          <t>ÖSTHAMMAR</t>
        </is>
      </c>
      <c r="F1056" t="inlineStr">
        <is>
          <t>Bergvik skog öst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13315-2024</t>
        </is>
      </c>
      <c r="B1057" s="1" t="n">
        <v>45386</v>
      </c>
      <c r="C1057" s="1" t="n">
        <v>45807</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13312-2024</t>
        </is>
      </c>
      <c r="B1058" s="1" t="n">
        <v>45386</v>
      </c>
      <c r="C1058" s="1" t="n">
        <v>45807</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13729-2024</t>
        </is>
      </c>
      <c r="B1059" s="1" t="n">
        <v>45387</v>
      </c>
      <c r="C1059" s="1" t="n">
        <v>45807</v>
      </c>
      <c r="D1059" t="inlineStr">
        <is>
          <t>UPPSALA LÄN</t>
        </is>
      </c>
      <c r="E1059" t="inlineStr">
        <is>
          <t>ÖSTHAMMAR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13358-2024</t>
        </is>
      </c>
      <c r="B1060" s="1" t="n">
        <v>45387</v>
      </c>
      <c r="C1060" s="1" t="n">
        <v>45807</v>
      </c>
      <c r="D1060" t="inlineStr">
        <is>
          <t>UPPSALA LÄN</t>
        </is>
      </c>
      <c r="E1060" t="inlineStr">
        <is>
          <t>ÖSTHAMMAR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13393-2024</t>
        </is>
      </c>
      <c r="B1061" s="1" t="n">
        <v>45387</v>
      </c>
      <c r="C1061" s="1" t="n">
        <v>45807</v>
      </c>
      <c r="D1061" t="inlineStr">
        <is>
          <t>UPPSALA LÄN</t>
        </is>
      </c>
      <c r="E1061" t="inlineStr">
        <is>
          <t>ÖSTHAMMAR</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13613-2024</t>
        </is>
      </c>
      <c r="B1062" s="1" t="n">
        <v>45390</v>
      </c>
      <c r="C1062" s="1" t="n">
        <v>45807</v>
      </c>
      <c r="D1062" t="inlineStr">
        <is>
          <t>UPPSALA LÄN</t>
        </is>
      </c>
      <c r="E1062" t="inlineStr">
        <is>
          <t>ÖSTHAMMAR</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13616-2024</t>
        </is>
      </c>
      <c r="B1063" s="1" t="n">
        <v>45390</v>
      </c>
      <c r="C1063" s="1" t="n">
        <v>45807</v>
      </c>
      <c r="D1063" t="inlineStr">
        <is>
          <t>UPPSALA LÄN</t>
        </is>
      </c>
      <c r="E1063" t="inlineStr">
        <is>
          <t>ÖSTHAMMAR</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13615-2024</t>
        </is>
      </c>
      <c r="B1064" s="1" t="n">
        <v>45390</v>
      </c>
      <c r="C1064" s="1" t="n">
        <v>45807</v>
      </c>
      <c r="D1064" t="inlineStr">
        <is>
          <t>UPPSALA LÄN</t>
        </is>
      </c>
      <c r="E1064" t="inlineStr">
        <is>
          <t>ÖSTHAMMAR</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13618-2024</t>
        </is>
      </c>
      <c r="B1065" s="1" t="n">
        <v>45390</v>
      </c>
      <c r="C1065" s="1" t="n">
        <v>45807</v>
      </c>
      <c r="D1065" t="inlineStr">
        <is>
          <t>UPPSALA LÄN</t>
        </is>
      </c>
      <c r="E1065" t="inlineStr">
        <is>
          <t>ÖSTHAMMAR</t>
        </is>
      </c>
      <c r="F1065" t="inlineStr">
        <is>
          <t>Övriga Aktiebolag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13879-2024</t>
        </is>
      </c>
      <c r="B1066" s="1" t="n">
        <v>45391</v>
      </c>
      <c r="C1066" s="1" t="n">
        <v>45807</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13779-2024</t>
        </is>
      </c>
      <c r="B1067" s="1" t="n">
        <v>45391</v>
      </c>
      <c r="C1067" s="1" t="n">
        <v>45807</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14516-2024</t>
        </is>
      </c>
      <c r="B1068" s="1" t="n">
        <v>45394</v>
      </c>
      <c r="C1068" s="1" t="n">
        <v>45807</v>
      </c>
      <c r="D1068" t="inlineStr">
        <is>
          <t>UPPSALA LÄN</t>
        </is>
      </c>
      <c r="E1068" t="inlineStr">
        <is>
          <t>ÖSTHAMMAR</t>
        </is>
      </c>
      <c r="F1068" t="inlineStr">
        <is>
          <t>Bergvik skog öst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14509-2024</t>
        </is>
      </c>
      <c r="B1069" s="1" t="n">
        <v>45394</v>
      </c>
      <c r="C1069" s="1" t="n">
        <v>45807</v>
      </c>
      <c r="D1069" t="inlineStr">
        <is>
          <t>UPPSALA LÄN</t>
        </is>
      </c>
      <c r="E1069" t="inlineStr">
        <is>
          <t>ÖSTHAMMAR</t>
        </is>
      </c>
      <c r="F1069" t="inlineStr">
        <is>
          <t>Naturvårdsverket</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14433-2024</t>
        </is>
      </c>
      <c r="B1070" s="1" t="n">
        <v>45394</v>
      </c>
      <c r="C1070" s="1" t="n">
        <v>45807</v>
      </c>
      <c r="D1070" t="inlineStr">
        <is>
          <t>UPPSALA LÄN</t>
        </is>
      </c>
      <c r="E1070" t="inlineStr">
        <is>
          <t>ÖSTHAMMAR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15165-2024</t>
        </is>
      </c>
      <c r="B1071" s="1" t="n">
        <v>45400</v>
      </c>
      <c r="C1071" s="1" t="n">
        <v>45807</v>
      </c>
      <c r="D1071" t="inlineStr">
        <is>
          <t>UPPSALA LÄN</t>
        </is>
      </c>
      <c r="E1071" t="inlineStr">
        <is>
          <t>ÖSTHAMMAR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15169-2024</t>
        </is>
      </c>
      <c r="B1072" s="1" t="n">
        <v>45400</v>
      </c>
      <c r="C1072" s="1" t="n">
        <v>45807</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15166-2024</t>
        </is>
      </c>
      <c r="B1073" s="1" t="n">
        <v>45400</v>
      </c>
      <c r="C1073" s="1" t="n">
        <v>45807</v>
      </c>
      <c r="D1073" t="inlineStr">
        <is>
          <t>UPPSALA LÄN</t>
        </is>
      </c>
      <c r="E1073" t="inlineStr">
        <is>
          <t>ÖSTHAMMAR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15575-2024</t>
        </is>
      </c>
      <c r="B1074" s="1" t="n">
        <v>45401</v>
      </c>
      <c r="C1074" s="1" t="n">
        <v>45807</v>
      </c>
      <c r="D1074" t="inlineStr">
        <is>
          <t>UPPSALA LÄN</t>
        </is>
      </c>
      <c r="E1074" t="inlineStr">
        <is>
          <t>ÖSTHAMMAR</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16497-2024</t>
        </is>
      </c>
      <c r="B1075" s="1" t="n">
        <v>45408</v>
      </c>
      <c r="C1075" s="1" t="n">
        <v>45807</v>
      </c>
      <c r="D1075" t="inlineStr">
        <is>
          <t>UPPSALA LÄN</t>
        </is>
      </c>
      <c r="E1075" t="inlineStr">
        <is>
          <t>ÖSTHAMMAR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16736-2024</t>
        </is>
      </c>
      <c r="B1076" s="1" t="n">
        <v>45410</v>
      </c>
      <c r="C1076" s="1" t="n">
        <v>45807</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16737-2024</t>
        </is>
      </c>
      <c r="B1077" s="1" t="n">
        <v>45410</v>
      </c>
      <c r="C1077" s="1" t="n">
        <v>45807</v>
      </c>
      <c r="D1077" t="inlineStr">
        <is>
          <t>UPPSALA LÄN</t>
        </is>
      </c>
      <c r="E1077" t="inlineStr">
        <is>
          <t>ÖSTHAMMAR</t>
        </is>
      </c>
      <c r="F1077" t="inlineStr">
        <is>
          <t>Bergvik skog öst AB</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16735-2024</t>
        </is>
      </c>
      <c r="B1078" s="1" t="n">
        <v>45410</v>
      </c>
      <c r="C1078" s="1" t="n">
        <v>45807</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16734-2024</t>
        </is>
      </c>
      <c r="B1079" s="1" t="n">
        <v>45410</v>
      </c>
      <c r="C1079" s="1" t="n">
        <v>45807</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16983-2024</t>
        </is>
      </c>
      <c r="B1080" s="1" t="n">
        <v>45412</v>
      </c>
      <c r="C1080" s="1" t="n">
        <v>45807</v>
      </c>
      <c r="D1080" t="inlineStr">
        <is>
          <t>UPPSALA LÄN</t>
        </is>
      </c>
      <c r="E1080" t="inlineStr">
        <is>
          <t>ÖSTHAMMAR</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17776-2024</t>
        </is>
      </c>
      <c r="B1081" s="1" t="n">
        <v>45418</v>
      </c>
      <c r="C1081" s="1" t="n">
        <v>45807</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v>
      </c>
      <c r="C1082" s="1" t="n">
        <v>45807</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18693-2024</t>
        </is>
      </c>
      <c r="B1083" s="1" t="n">
        <v>45426</v>
      </c>
      <c r="C1083" s="1" t="n">
        <v>45807</v>
      </c>
      <c r="D1083" t="inlineStr">
        <is>
          <t>UPPSALA LÄN</t>
        </is>
      </c>
      <c r="E1083" t="inlineStr">
        <is>
          <t>ÖSTHAMMAR</t>
        </is>
      </c>
      <c r="F1083" t="inlineStr">
        <is>
          <t>Bergvik skog öst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18691-2024</t>
        </is>
      </c>
      <c r="B1084" s="1" t="n">
        <v>45426</v>
      </c>
      <c r="C1084" s="1" t="n">
        <v>45807</v>
      </c>
      <c r="D1084" t="inlineStr">
        <is>
          <t>UPPSALA LÄN</t>
        </is>
      </c>
      <c r="E1084" t="inlineStr">
        <is>
          <t>ÖSTHAMMAR</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18705-2024</t>
        </is>
      </c>
      <c r="B1085" s="1" t="n">
        <v>45426</v>
      </c>
      <c r="C1085" s="1" t="n">
        <v>45807</v>
      </c>
      <c r="D1085" t="inlineStr">
        <is>
          <t>UPPSALA LÄN</t>
        </is>
      </c>
      <c r="E1085" t="inlineStr">
        <is>
          <t>ÖSTHAMMAR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19056-2024</t>
        </is>
      </c>
      <c r="B1086" s="1" t="n">
        <v>45427</v>
      </c>
      <c r="C1086" s="1" t="n">
        <v>45807</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18956-2024</t>
        </is>
      </c>
      <c r="B1087" s="1" t="n">
        <v>45427</v>
      </c>
      <c r="C1087" s="1" t="n">
        <v>45807</v>
      </c>
      <c r="D1087" t="inlineStr">
        <is>
          <t>UPPSALA LÄN</t>
        </is>
      </c>
      <c r="E1087" t="inlineStr">
        <is>
          <t>ÖSTHAMMAR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19375-2024</t>
        </is>
      </c>
      <c r="B1088" s="1" t="n">
        <v>45429</v>
      </c>
      <c r="C1088" s="1" t="n">
        <v>45807</v>
      </c>
      <c r="D1088" t="inlineStr">
        <is>
          <t>UPPSALA LÄN</t>
        </is>
      </c>
      <c r="E1088" t="inlineStr">
        <is>
          <t>ÖSTHAMMAR</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19662-2024</t>
        </is>
      </c>
      <c r="B1089" s="1" t="n">
        <v>45432</v>
      </c>
      <c r="C1089" s="1" t="n">
        <v>45807</v>
      </c>
      <c r="D1089" t="inlineStr">
        <is>
          <t>UPPSALA LÄN</t>
        </is>
      </c>
      <c r="E1089" t="inlineStr">
        <is>
          <t>ÖSTHAMMAR</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19667-2024</t>
        </is>
      </c>
      <c r="B1090" s="1" t="n">
        <v>45432</v>
      </c>
      <c r="C1090" s="1" t="n">
        <v>45807</v>
      </c>
      <c r="D1090" t="inlineStr">
        <is>
          <t>UPPSALA LÄN</t>
        </is>
      </c>
      <c r="E1090" t="inlineStr">
        <is>
          <t>ÖSTHAMMAR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19908-2024</t>
        </is>
      </c>
      <c r="B1091" s="1" t="n">
        <v>45433</v>
      </c>
      <c r="C1091" s="1" t="n">
        <v>45807</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19950-2024</t>
        </is>
      </c>
      <c r="B1092" s="1" t="n">
        <v>45433</v>
      </c>
      <c r="C1092" s="1" t="n">
        <v>45807</v>
      </c>
      <c r="D1092" t="inlineStr">
        <is>
          <t>UPPSALA LÄN</t>
        </is>
      </c>
      <c r="E1092" t="inlineStr">
        <is>
          <t>ÖSTHAMMAR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19947-2024</t>
        </is>
      </c>
      <c r="B1093" s="1" t="n">
        <v>45433</v>
      </c>
      <c r="C1093" s="1" t="n">
        <v>45807</v>
      </c>
      <c r="D1093" t="inlineStr">
        <is>
          <t>UPPSALA LÄN</t>
        </is>
      </c>
      <c r="E1093" t="inlineStr">
        <is>
          <t>ÖSTHAMMAR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19945-2024</t>
        </is>
      </c>
      <c r="B1094" s="1" t="n">
        <v>45433</v>
      </c>
      <c r="C1094" s="1" t="n">
        <v>45807</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20316-2024</t>
        </is>
      </c>
      <c r="B1095" s="1" t="n">
        <v>45435</v>
      </c>
      <c r="C1095" s="1" t="n">
        <v>45807</v>
      </c>
      <c r="D1095" t="inlineStr">
        <is>
          <t>UPPSALA LÄN</t>
        </is>
      </c>
      <c r="E1095" t="inlineStr">
        <is>
          <t>ÖSTHAMMAR</t>
        </is>
      </c>
      <c r="F1095" t="inlineStr">
        <is>
          <t>Bergvik skog öst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20419-2024</t>
        </is>
      </c>
      <c r="B1096" s="1" t="n">
        <v>45435</v>
      </c>
      <c r="C1096" s="1" t="n">
        <v>45807</v>
      </c>
      <c r="D1096" t="inlineStr">
        <is>
          <t>UPPSALA LÄN</t>
        </is>
      </c>
      <c r="E1096" t="inlineStr">
        <is>
          <t>ÖSTHAMMAR</t>
        </is>
      </c>
      <c r="F1096" t="inlineStr">
        <is>
          <t>Bergvik skog öst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20634-2024</t>
        </is>
      </c>
      <c r="B1097" s="1" t="n">
        <v>45436</v>
      </c>
      <c r="C1097" s="1" t="n">
        <v>45807</v>
      </c>
      <c r="D1097" t="inlineStr">
        <is>
          <t>UPPSALA LÄN</t>
        </is>
      </c>
      <c r="E1097" t="inlineStr">
        <is>
          <t>ÖSTHAMMAR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21231-2024</t>
        </is>
      </c>
      <c r="B1098" s="1" t="n">
        <v>45440</v>
      </c>
      <c r="C1098" s="1" t="n">
        <v>45807</v>
      </c>
      <c r="D1098" t="inlineStr">
        <is>
          <t>UPPSALA LÄN</t>
        </is>
      </c>
      <c r="E1098" t="inlineStr">
        <is>
          <t>ÖSTHAMMAR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21424-2024</t>
        </is>
      </c>
      <c r="B1099" s="1" t="n">
        <v>45441</v>
      </c>
      <c r="C1099" s="1" t="n">
        <v>45807</v>
      </c>
      <c r="D1099" t="inlineStr">
        <is>
          <t>UPPSALA LÄN</t>
        </is>
      </c>
      <c r="E1099" t="inlineStr">
        <is>
          <t>ÖSTHAMMAR</t>
        </is>
      </c>
      <c r="F1099" t="inlineStr">
        <is>
          <t>Bergvik skog öst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21413-2024</t>
        </is>
      </c>
      <c r="B1100" s="1" t="n">
        <v>45441</v>
      </c>
      <c r="C1100" s="1" t="n">
        <v>45807</v>
      </c>
      <c r="D1100" t="inlineStr">
        <is>
          <t>UPPSALA LÄN</t>
        </is>
      </c>
      <c r="E1100" t="inlineStr">
        <is>
          <t>ÖSTHAMMAR</t>
        </is>
      </c>
      <c r="F1100" t="inlineStr">
        <is>
          <t>Bergvik skog öst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21547-2024</t>
        </is>
      </c>
      <c r="B1101" s="1" t="n">
        <v>45441</v>
      </c>
      <c r="C1101" s="1" t="n">
        <v>45807</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21505-2024</t>
        </is>
      </c>
      <c r="B1102" s="1" t="n">
        <v>45441</v>
      </c>
      <c r="C1102" s="1" t="n">
        <v>45807</v>
      </c>
      <c r="D1102" t="inlineStr">
        <is>
          <t>UPPSALA LÄN</t>
        </is>
      </c>
      <c r="E1102" t="inlineStr">
        <is>
          <t>ÖSTHAMMAR</t>
        </is>
      </c>
      <c r="F1102" t="inlineStr">
        <is>
          <t>Bergvik skog öst AB</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21655-2024</t>
        </is>
      </c>
      <c r="B1103" s="1" t="n">
        <v>45442</v>
      </c>
      <c r="C1103" s="1" t="n">
        <v>45807</v>
      </c>
      <c r="D1103" t="inlineStr">
        <is>
          <t>UPPSALA LÄN</t>
        </is>
      </c>
      <c r="E1103" t="inlineStr">
        <is>
          <t>ÖSTHAMMAR</t>
        </is>
      </c>
      <c r="F1103" t="inlineStr">
        <is>
          <t>Bergvik skog öst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22057-2024</t>
        </is>
      </c>
      <c r="B1104" s="1" t="n">
        <v>45443</v>
      </c>
      <c r="C1104" s="1" t="n">
        <v>45807</v>
      </c>
      <c r="D1104" t="inlineStr">
        <is>
          <t>UPPSALA LÄN</t>
        </is>
      </c>
      <c r="E1104" t="inlineStr">
        <is>
          <t>ÖSTHAMMAR</t>
        </is>
      </c>
      <c r="F1104" t="inlineStr">
        <is>
          <t>Bergvik skog öst AB</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22217-2024</t>
        </is>
      </c>
      <c r="B1105" s="1" t="n">
        <v>45446</v>
      </c>
      <c r="C1105" s="1" t="n">
        <v>45807</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22372-2024</t>
        </is>
      </c>
      <c r="B1106" s="1" t="n">
        <v>45446</v>
      </c>
      <c r="C1106" s="1" t="n">
        <v>45807</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22373-2024</t>
        </is>
      </c>
      <c r="B1107" s="1" t="n">
        <v>45446</v>
      </c>
      <c r="C1107" s="1" t="n">
        <v>45807</v>
      </c>
      <c r="D1107" t="inlineStr">
        <is>
          <t>UPPSALA LÄN</t>
        </is>
      </c>
      <c r="E1107" t="inlineStr">
        <is>
          <t>ÖSTHAMMAR</t>
        </is>
      </c>
      <c r="F1107" t="inlineStr">
        <is>
          <t>Bergvik skog öst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22371-2024</t>
        </is>
      </c>
      <c r="B1108" s="1" t="n">
        <v>45446</v>
      </c>
      <c r="C1108" s="1" t="n">
        <v>45807</v>
      </c>
      <c r="D1108" t="inlineStr">
        <is>
          <t>UPPSALA LÄN</t>
        </is>
      </c>
      <c r="E1108" t="inlineStr">
        <is>
          <t>ÖSTHAMMAR</t>
        </is>
      </c>
      <c r="F1108" t="inlineStr">
        <is>
          <t>Bergvik skog öst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45807</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22725-2024</t>
        </is>
      </c>
      <c r="B1110" s="1" t="n">
        <v>45448</v>
      </c>
      <c r="C1110" s="1" t="n">
        <v>45807</v>
      </c>
      <c r="D1110" t="inlineStr">
        <is>
          <t>UPPSALA LÄN</t>
        </is>
      </c>
      <c r="E1110" t="inlineStr">
        <is>
          <t>ÖSTHAMMAR</t>
        </is>
      </c>
      <c r="F1110" t="inlineStr">
        <is>
          <t>Bergvik skog öst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22915-2024</t>
        </is>
      </c>
      <c r="B1111" s="1" t="n">
        <v>45448</v>
      </c>
      <c r="C1111" s="1" t="n">
        <v>45807</v>
      </c>
      <c r="D1111" t="inlineStr">
        <is>
          <t>UPPSALA LÄN</t>
        </is>
      </c>
      <c r="E1111" t="inlineStr">
        <is>
          <t>ÖSTHAMMAR</t>
        </is>
      </c>
      <c r="F1111" t="inlineStr">
        <is>
          <t>Bergvik skog öst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22919-2024</t>
        </is>
      </c>
      <c r="B1112" s="1" t="n">
        <v>45448</v>
      </c>
      <c r="C1112" s="1" t="n">
        <v>45807</v>
      </c>
      <c r="D1112" t="inlineStr">
        <is>
          <t>UPPSALA LÄN</t>
        </is>
      </c>
      <c r="E1112" t="inlineStr">
        <is>
          <t>ÖSTHAMMAR</t>
        </is>
      </c>
      <c r="F1112" t="inlineStr">
        <is>
          <t>Bergvik skog öst AB</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23652-2024</t>
        </is>
      </c>
      <c r="B1113" s="1" t="n">
        <v>45454</v>
      </c>
      <c r="C1113" s="1" t="n">
        <v>45807</v>
      </c>
      <c r="D1113" t="inlineStr">
        <is>
          <t>UPPSALA LÄN</t>
        </is>
      </c>
      <c r="E1113" t="inlineStr">
        <is>
          <t>ÖSTHAMMAR</t>
        </is>
      </c>
      <c r="F1113" t="inlineStr">
        <is>
          <t>Bergvik skog öst AB</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23740-2024</t>
        </is>
      </c>
      <c r="B1114" s="1" t="n">
        <v>45455</v>
      </c>
      <c r="C1114" s="1" t="n">
        <v>45807</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23742-2024</t>
        </is>
      </c>
      <c r="B1115" s="1" t="n">
        <v>45455</v>
      </c>
      <c r="C1115" s="1" t="n">
        <v>45807</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23741-2024</t>
        </is>
      </c>
      <c r="B1116" s="1" t="n">
        <v>45455</v>
      </c>
      <c r="C1116" s="1" t="n">
        <v>45807</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24160-2024</t>
        </is>
      </c>
      <c r="B1117" s="1" t="n">
        <v>45456</v>
      </c>
      <c r="C1117" s="1" t="n">
        <v>45807</v>
      </c>
      <c r="D1117" t="inlineStr">
        <is>
          <t>UPPSALA LÄN</t>
        </is>
      </c>
      <c r="E1117" t="inlineStr">
        <is>
          <t>ÖSTHAMMAR</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24161-2024</t>
        </is>
      </c>
      <c r="B1118" s="1" t="n">
        <v>45456</v>
      </c>
      <c r="C1118" s="1" t="n">
        <v>45807</v>
      </c>
      <c r="D1118" t="inlineStr">
        <is>
          <t>UPPSALA LÄN</t>
        </is>
      </c>
      <c r="E1118" t="inlineStr">
        <is>
          <t>ÖSTHAMMAR</t>
        </is>
      </c>
      <c r="F1118" t="inlineStr">
        <is>
          <t>Bergvik skog öst AB</t>
        </is>
      </c>
      <c r="G1118" t="n">
        <v>9.9</v>
      </c>
      <c r="H1118" t="n">
        <v>0</v>
      </c>
      <c r="I1118" t="n">
        <v>0</v>
      </c>
      <c r="J1118" t="n">
        <v>0</v>
      </c>
      <c r="K1118" t="n">
        <v>0</v>
      </c>
      <c r="L1118" t="n">
        <v>0</v>
      </c>
      <c r="M1118" t="n">
        <v>0</v>
      </c>
      <c r="N1118" t="n">
        <v>0</v>
      </c>
      <c r="O1118" t="n">
        <v>0</v>
      </c>
      <c r="P1118" t="n">
        <v>0</v>
      </c>
      <c r="Q1118" t="n">
        <v>0</v>
      </c>
      <c r="R1118" s="2" t="inlineStr"/>
    </row>
    <row r="1119" ht="15" customHeight="1">
      <c r="A1119" t="inlineStr">
        <is>
          <t>A 24472-2024</t>
        </is>
      </c>
      <c r="B1119" s="1" t="n">
        <v>45458</v>
      </c>
      <c r="C1119" s="1" t="n">
        <v>45807</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24476-2024</t>
        </is>
      </c>
      <c r="B1120" s="1" t="n">
        <v>45458</v>
      </c>
      <c r="C1120" s="1" t="n">
        <v>45807</v>
      </c>
      <c r="D1120" t="inlineStr">
        <is>
          <t>UPPSALA LÄN</t>
        </is>
      </c>
      <c r="E1120" t="inlineStr">
        <is>
          <t>ÖSTHAMMAR</t>
        </is>
      </c>
      <c r="F1120" t="inlineStr">
        <is>
          <t>Bergvik skog öst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24471-2024</t>
        </is>
      </c>
      <c r="B1121" s="1" t="n">
        <v>45458</v>
      </c>
      <c r="C1121" s="1" t="n">
        <v>45807</v>
      </c>
      <c r="D1121" t="inlineStr">
        <is>
          <t>UPPSALA LÄN</t>
        </is>
      </c>
      <c r="E1121" t="inlineStr">
        <is>
          <t>ÖSTHAMMAR</t>
        </is>
      </c>
      <c r="F1121" t="inlineStr">
        <is>
          <t>Bergvik skog öst AB</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24475-2024</t>
        </is>
      </c>
      <c r="B1122" s="1" t="n">
        <v>45458</v>
      </c>
      <c r="C1122" s="1" t="n">
        <v>45807</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24770-2024</t>
        </is>
      </c>
      <c r="B1123" s="1" t="n">
        <v>45460</v>
      </c>
      <c r="C1123" s="1" t="n">
        <v>45807</v>
      </c>
      <c r="D1123" t="inlineStr">
        <is>
          <t>UPPSALA LÄN</t>
        </is>
      </c>
      <c r="E1123" t="inlineStr">
        <is>
          <t>ÖSTHAMMAR</t>
        </is>
      </c>
      <c r="F1123" t="inlineStr">
        <is>
          <t>Bergvik skog öst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24747-2024</t>
        </is>
      </c>
      <c r="B1124" s="1" t="n">
        <v>45460</v>
      </c>
      <c r="C1124" s="1" t="n">
        <v>45807</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24588-2024</t>
        </is>
      </c>
      <c r="B1125" s="1" t="n">
        <v>45460</v>
      </c>
      <c r="C1125" s="1" t="n">
        <v>45807</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24606-2024</t>
        </is>
      </c>
      <c r="B1126" s="1" t="n">
        <v>45460</v>
      </c>
      <c r="C1126" s="1" t="n">
        <v>45807</v>
      </c>
      <c r="D1126" t="inlineStr">
        <is>
          <t>UPPSALA LÄN</t>
        </is>
      </c>
      <c r="E1126" t="inlineStr">
        <is>
          <t>ÖSTHAMMAR</t>
        </is>
      </c>
      <c r="F1126" t="inlineStr">
        <is>
          <t>Bergvik skog öst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24560-2024</t>
        </is>
      </c>
      <c r="B1127" s="1" t="n">
        <v>45460</v>
      </c>
      <c r="C1127" s="1" t="n">
        <v>45807</v>
      </c>
      <c r="D1127" t="inlineStr">
        <is>
          <t>UPPSALA LÄN</t>
        </is>
      </c>
      <c r="E1127" t="inlineStr">
        <is>
          <t>ÖSTHAMMAR</t>
        </is>
      </c>
      <c r="F1127" t="inlineStr">
        <is>
          <t>Bergvik skog öst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24589-2024</t>
        </is>
      </c>
      <c r="B1128" s="1" t="n">
        <v>45460</v>
      </c>
      <c r="C1128" s="1" t="n">
        <v>45807</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24853-2024</t>
        </is>
      </c>
      <c r="B1129" s="1" t="n">
        <v>45461</v>
      </c>
      <c r="C1129" s="1" t="n">
        <v>45807</v>
      </c>
      <c r="D1129" t="inlineStr">
        <is>
          <t>UPPSALA LÄN</t>
        </is>
      </c>
      <c r="E1129" t="inlineStr">
        <is>
          <t>ÖSTHAMMAR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25289-2024</t>
        </is>
      </c>
      <c r="B1130" s="1" t="n">
        <v>45462</v>
      </c>
      <c r="C1130" s="1" t="n">
        <v>45807</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25269-2024</t>
        </is>
      </c>
      <c r="B1131" s="1" t="n">
        <v>45462</v>
      </c>
      <c r="C1131" s="1" t="n">
        <v>45807</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25252-2024</t>
        </is>
      </c>
      <c r="B1132" s="1" t="n">
        <v>45462</v>
      </c>
      <c r="C1132" s="1" t="n">
        <v>45807</v>
      </c>
      <c r="D1132" t="inlineStr">
        <is>
          <t>UPPSALA LÄN</t>
        </is>
      </c>
      <c r="E1132" t="inlineStr">
        <is>
          <t>ÖSTHAMMAR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25772-2024</t>
        </is>
      </c>
      <c r="B1133" s="1" t="n">
        <v>45466</v>
      </c>
      <c r="C1133" s="1" t="n">
        <v>45807</v>
      </c>
      <c r="D1133" t="inlineStr">
        <is>
          <t>UPPSALA LÄN</t>
        </is>
      </c>
      <c r="E1133" t="inlineStr">
        <is>
          <t>ÖSTHAMMAR</t>
        </is>
      </c>
      <c r="F1133" t="inlineStr">
        <is>
          <t>Bergvik skog öst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25770-2024</t>
        </is>
      </c>
      <c r="B1134" s="1" t="n">
        <v>45466</v>
      </c>
      <c r="C1134" s="1" t="n">
        <v>45807</v>
      </c>
      <c r="D1134" t="inlineStr">
        <is>
          <t>UPPSALA LÄN</t>
        </is>
      </c>
      <c r="E1134" t="inlineStr">
        <is>
          <t>ÖSTHAMMAR</t>
        </is>
      </c>
      <c r="F1134" t="inlineStr">
        <is>
          <t>Bergvik skog öst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25771-2024</t>
        </is>
      </c>
      <c r="B1135" s="1" t="n">
        <v>45466</v>
      </c>
      <c r="C1135" s="1" t="n">
        <v>45807</v>
      </c>
      <c r="D1135" t="inlineStr">
        <is>
          <t>UPPSALA LÄN</t>
        </is>
      </c>
      <c r="E1135" t="inlineStr">
        <is>
          <t>ÖSTHAMMAR</t>
        </is>
      </c>
      <c r="F1135" t="inlineStr">
        <is>
          <t>Bergvik skog öst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45807</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25859-2024</t>
        </is>
      </c>
      <c r="B1137" s="1" t="n">
        <v>45467</v>
      </c>
      <c r="C1137" s="1" t="n">
        <v>45807</v>
      </c>
      <c r="D1137" t="inlineStr">
        <is>
          <t>UPPSALA LÄN</t>
        </is>
      </c>
      <c r="E1137" t="inlineStr">
        <is>
          <t>ÖSTHAMMAR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25953-2024</t>
        </is>
      </c>
      <c r="B1138" s="1" t="n">
        <v>45467</v>
      </c>
      <c r="C1138" s="1" t="n">
        <v>45807</v>
      </c>
      <c r="D1138" t="inlineStr">
        <is>
          <t>UPPSALA LÄN</t>
        </is>
      </c>
      <c r="E1138" t="inlineStr">
        <is>
          <t>ÖSTHAMMAR</t>
        </is>
      </c>
      <c r="F1138" t="inlineStr">
        <is>
          <t>Bergvik skog öst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26303-2024</t>
        </is>
      </c>
      <c r="B1139" s="1" t="n">
        <v>45468</v>
      </c>
      <c r="C1139" s="1" t="n">
        <v>45807</v>
      </c>
      <c r="D1139" t="inlineStr">
        <is>
          <t>UPPSALA LÄN</t>
        </is>
      </c>
      <c r="E1139" t="inlineStr">
        <is>
          <t>ÖSTHAMMAR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26305-2024</t>
        </is>
      </c>
      <c r="B1140" s="1" t="n">
        <v>45468</v>
      </c>
      <c r="C1140" s="1" t="n">
        <v>45807</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26272-2024</t>
        </is>
      </c>
      <c r="B1141" s="1" t="n">
        <v>45468</v>
      </c>
      <c r="C1141" s="1" t="n">
        <v>45807</v>
      </c>
      <c r="D1141" t="inlineStr">
        <is>
          <t>UPPSALA LÄN</t>
        </is>
      </c>
      <c r="E1141" t="inlineStr">
        <is>
          <t>ÖSTHAMMAR</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26426-2024</t>
        </is>
      </c>
      <c r="B1142" s="1" t="n">
        <v>45469</v>
      </c>
      <c r="C1142" s="1" t="n">
        <v>45807</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26436-2024</t>
        </is>
      </c>
      <c r="B1143" s="1" t="n">
        <v>45469</v>
      </c>
      <c r="C1143" s="1" t="n">
        <v>45807</v>
      </c>
      <c r="D1143" t="inlineStr">
        <is>
          <t>UPPSALA LÄN</t>
        </is>
      </c>
      <c r="E1143" t="inlineStr">
        <is>
          <t>ÖSTHAMMAR</t>
        </is>
      </c>
      <c r="F1143" t="inlineStr">
        <is>
          <t>Kyrkan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26983-2024</t>
        </is>
      </c>
      <c r="B1144" s="1" t="n">
        <v>45471</v>
      </c>
      <c r="C1144" s="1" t="n">
        <v>45807</v>
      </c>
      <c r="D1144" t="inlineStr">
        <is>
          <t>UPPSALA LÄN</t>
        </is>
      </c>
      <c r="E1144" t="inlineStr">
        <is>
          <t>ÖSTHAMMAR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27534-2024</t>
        </is>
      </c>
      <c r="B1145" s="1" t="n">
        <v>45474</v>
      </c>
      <c r="C1145" s="1" t="n">
        <v>45807</v>
      </c>
      <c r="D1145" t="inlineStr">
        <is>
          <t>UPPSALA LÄN</t>
        </is>
      </c>
      <c r="E1145" t="inlineStr">
        <is>
          <t>ÖSTHAMMAR</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27748-2024</t>
        </is>
      </c>
      <c r="B1146" s="1" t="n">
        <v>45475</v>
      </c>
      <c r="C1146" s="1" t="n">
        <v>45807</v>
      </c>
      <c r="D1146" t="inlineStr">
        <is>
          <t>UPPSALA LÄN</t>
        </is>
      </c>
      <c r="E1146" t="inlineStr">
        <is>
          <t>ÖSTHAMMAR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28151-2024</t>
        </is>
      </c>
      <c r="B1147" s="1" t="n">
        <v>45476</v>
      </c>
      <c r="C1147" s="1" t="n">
        <v>45807</v>
      </c>
      <c r="D1147" t="inlineStr">
        <is>
          <t>UPPSALA LÄN</t>
        </is>
      </c>
      <c r="E1147" t="inlineStr">
        <is>
          <t>ÖSTHAMMAR</t>
        </is>
      </c>
      <c r="F1147" t="inlineStr">
        <is>
          <t>Bergvik skog öst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28152-2024</t>
        </is>
      </c>
      <c r="B1148" s="1" t="n">
        <v>45476</v>
      </c>
      <c r="C1148" s="1" t="n">
        <v>45807</v>
      </c>
      <c r="D1148" t="inlineStr">
        <is>
          <t>UPPSALA LÄN</t>
        </is>
      </c>
      <c r="E1148" t="inlineStr">
        <is>
          <t>ÖSTHAMMAR</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28154-2024</t>
        </is>
      </c>
      <c r="B1149" s="1" t="n">
        <v>45476</v>
      </c>
      <c r="C1149" s="1" t="n">
        <v>45807</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28153-2024</t>
        </is>
      </c>
      <c r="B1150" s="1" t="n">
        <v>45476</v>
      </c>
      <c r="C1150" s="1" t="n">
        <v>45807</v>
      </c>
      <c r="D1150" t="inlineStr">
        <is>
          <t>UPPSALA LÄN</t>
        </is>
      </c>
      <c r="E1150" t="inlineStr">
        <is>
          <t>ÖSTHAMMAR</t>
        </is>
      </c>
      <c r="F1150" t="inlineStr">
        <is>
          <t>Bergvik skog öst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28914-2024</t>
        </is>
      </c>
      <c r="B1151" s="1" t="n">
        <v>45480</v>
      </c>
      <c r="C1151" s="1" t="n">
        <v>45807</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28915-2024</t>
        </is>
      </c>
      <c r="B1152" s="1" t="n">
        <v>45480</v>
      </c>
      <c r="C1152" s="1" t="n">
        <v>45807</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29230-2024</t>
        </is>
      </c>
      <c r="B1153" s="1" t="n">
        <v>45482</v>
      </c>
      <c r="C1153" s="1" t="n">
        <v>45807</v>
      </c>
      <c r="D1153" t="inlineStr">
        <is>
          <t>UPPSALA LÄN</t>
        </is>
      </c>
      <c r="E1153" t="inlineStr">
        <is>
          <t>ÖSTHAMMAR</t>
        </is>
      </c>
      <c r="F1153" t="inlineStr">
        <is>
          <t>Bergvik skog öst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29231-2024</t>
        </is>
      </c>
      <c r="B1154" s="1" t="n">
        <v>45482</v>
      </c>
      <c r="C1154" s="1" t="n">
        <v>45807</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29438-2024</t>
        </is>
      </c>
      <c r="B1155" s="1" t="n">
        <v>45483</v>
      </c>
      <c r="C1155" s="1" t="n">
        <v>45807</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29823-2024</t>
        </is>
      </c>
      <c r="B1156" s="1" t="n">
        <v>45485</v>
      </c>
      <c r="C1156" s="1" t="n">
        <v>45807</v>
      </c>
      <c r="D1156" t="inlineStr">
        <is>
          <t>UPPSALA LÄN</t>
        </is>
      </c>
      <c r="E1156" t="inlineStr">
        <is>
          <t>ÖSTHAMMAR</t>
        </is>
      </c>
      <c r="F1156" t="inlineStr">
        <is>
          <t>Bergvik skog öst AB</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30605-2024</t>
        </is>
      </c>
      <c r="B1157" s="1" t="n">
        <v>45494</v>
      </c>
      <c r="C1157" s="1" t="n">
        <v>45807</v>
      </c>
      <c r="D1157" t="inlineStr">
        <is>
          <t>UPPSALA LÄN</t>
        </is>
      </c>
      <c r="E1157" t="inlineStr">
        <is>
          <t>ÖSTHAMMAR</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30604-2024</t>
        </is>
      </c>
      <c r="B1158" s="1" t="n">
        <v>45494</v>
      </c>
      <c r="C1158" s="1" t="n">
        <v>45807</v>
      </c>
      <c r="D1158" t="inlineStr">
        <is>
          <t>UPPSALA LÄN</t>
        </is>
      </c>
      <c r="E1158" t="inlineStr">
        <is>
          <t>ÖSTHAMMAR</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30756-2024</t>
        </is>
      </c>
      <c r="B1159" s="1" t="n">
        <v>45496</v>
      </c>
      <c r="C1159" s="1" t="n">
        <v>45807</v>
      </c>
      <c r="D1159" t="inlineStr">
        <is>
          <t>UPPSALA LÄN</t>
        </is>
      </c>
      <c r="E1159" t="inlineStr">
        <is>
          <t>ÖSTHAMMAR</t>
        </is>
      </c>
      <c r="F1159" t="inlineStr">
        <is>
          <t>Bergvik skog öst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30755-2024</t>
        </is>
      </c>
      <c r="B1160" s="1" t="n">
        <v>45496</v>
      </c>
      <c r="C1160" s="1" t="n">
        <v>45807</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45807</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30973-2024</t>
        </is>
      </c>
      <c r="B1162" s="1" t="n">
        <v>45499</v>
      </c>
      <c r="C1162" s="1" t="n">
        <v>45807</v>
      </c>
      <c r="D1162" t="inlineStr">
        <is>
          <t>UPPSALA LÄN</t>
        </is>
      </c>
      <c r="E1162" t="inlineStr">
        <is>
          <t>ÖSTHAMMAR</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32190-2024</t>
        </is>
      </c>
      <c r="B1163" s="1" t="n">
        <v>45511</v>
      </c>
      <c r="C1163" s="1" t="n">
        <v>45807</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32192-2024</t>
        </is>
      </c>
      <c r="B1164" s="1" t="n">
        <v>45511</v>
      </c>
      <c r="C1164" s="1" t="n">
        <v>45807</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32193-2024</t>
        </is>
      </c>
      <c r="B1165" s="1" t="n">
        <v>45511</v>
      </c>
      <c r="C1165" s="1" t="n">
        <v>45807</v>
      </c>
      <c r="D1165" t="inlineStr">
        <is>
          <t>UPPSALA LÄN</t>
        </is>
      </c>
      <c r="E1165" t="inlineStr">
        <is>
          <t>ÖSTHAMMAR</t>
        </is>
      </c>
      <c r="F1165" t="inlineStr">
        <is>
          <t>Bergvik skog öst AB</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32476-2024</t>
        </is>
      </c>
      <c r="B1166" s="1" t="n">
        <v>45513</v>
      </c>
      <c r="C1166" s="1" t="n">
        <v>45807</v>
      </c>
      <c r="D1166" t="inlineStr">
        <is>
          <t>UPPSALA LÄN</t>
        </is>
      </c>
      <c r="E1166" t="inlineStr">
        <is>
          <t>ÖSTHAMMAR</t>
        </is>
      </c>
      <c r="F1166" t="inlineStr">
        <is>
          <t>Bergvik skog öst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32483-2024</t>
        </is>
      </c>
      <c r="B1167" s="1" t="n">
        <v>45513</v>
      </c>
      <c r="C1167" s="1" t="n">
        <v>45807</v>
      </c>
      <c r="D1167" t="inlineStr">
        <is>
          <t>UPPSALA LÄN</t>
        </is>
      </c>
      <c r="E1167" t="inlineStr">
        <is>
          <t>ÖSTHAMMAR</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32878-2024</t>
        </is>
      </c>
      <c r="B1168" s="1" t="n">
        <v>45516</v>
      </c>
      <c r="C1168" s="1" t="n">
        <v>45807</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32815-2024</t>
        </is>
      </c>
      <c r="B1169" s="1" t="n">
        <v>45516</v>
      </c>
      <c r="C1169" s="1" t="n">
        <v>45807</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32884-2024</t>
        </is>
      </c>
      <c r="B1170" s="1" t="n">
        <v>45516</v>
      </c>
      <c r="C1170" s="1" t="n">
        <v>45807</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32928-2024</t>
        </is>
      </c>
      <c r="B1171" s="1" t="n">
        <v>45517</v>
      </c>
      <c r="C1171" s="1" t="n">
        <v>45807</v>
      </c>
      <c r="D1171" t="inlineStr">
        <is>
          <t>UPPSALA LÄN</t>
        </is>
      </c>
      <c r="E1171" t="inlineStr">
        <is>
          <t>ÖSTHAMMAR</t>
        </is>
      </c>
      <c r="F1171" t="inlineStr">
        <is>
          <t>Bergvik skog öst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32967-2024</t>
        </is>
      </c>
      <c r="B1172" s="1" t="n">
        <v>45517</v>
      </c>
      <c r="C1172" s="1" t="n">
        <v>45807</v>
      </c>
      <c r="D1172" t="inlineStr">
        <is>
          <t>UPPSALA LÄN</t>
        </is>
      </c>
      <c r="E1172" t="inlineStr">
        <is>
          <t>ÖSTHAMMAR</t>
        </is>
      </c>
      <c r="F1172" t="inlineStr">
        <is>
          <t>Kyrkan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33445-2024</t>
        </is>
      </c>
      <c r="B1173" s="1" t="n">
        <v>45519</v>
      </c>
      <c r="C1173" s="1" t="n">
        <v>45807</v>
      </c>
      <c r="D1173" t="inlineStr">
        <is>
          <t>UPPSALA LÄN</t>
        </is>
      </c>
      <c r="E1173" t="inlineStr">
        <is>
          <t>ÖSTHAMMAR</t>
        </is>
      </c>
      <c r="F1173" t="inlineStr">
        <is>
          <t>Bergvik skog öst AB</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33550-2024</t>
        </is>
      </c>
      <c r="B1174" s="1" t="n">
        <v>45519</v>
      </c>
      <c r="C1174" s="1" t="n">
        <v>45807</v>
      </c>
      <c r="D1174" t="inlineStr">
        <is>
          <t>UPPSALA LÄN</t>
        </is>
      </c>
      <c r="E1174" t="inlineStr">
        <is>
          <t>ÖSTHAMMAR</t>
        </is>
      </c>
      <c r="F1174" t="inlineStr">
        <is>
          <t>Bergvik skog öst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45807</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45807</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33599-2024</t>
        </is>
      </c>
      <c r="B1177" s="1" t="n">
        <v>45520</v>
      </c>
      <c r="C1177" s="1" t="n">
        <v>45807</v>
      </c>
      <c r="D1177" t="inlineStr">
        <is>
          <t>UPPSALA LÄN</t>
        </is>
      </c>
      <c r="E1177" t="inlineStr">
        <is>
          <t>ÖSTHAMMAR</t>
        </is>
      </c>
      <c r="F1177" t="inlineStr">
        <is>
          <t>Övriga Aktiebolag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33603-2024</t>
        </is>
      </c>
      <c r="B1178" s="1" t="n">
        <v>45520</v>
      </c>
      <c r="C1178" s="1" t="n">
        <v>45807</v>
      </c>
      <c r="D1178" t="inlineStr">
        <is>
          <t>UPPSALA LÄN</t>
        </is>
      </c>
      <c r="E1178" t="inlineStr">
        <is>
          <t>ÖSTHAMMAR</t>
        </is>
      </c>
      <c r="F1178" t="inlineStr">
        <is>
          <t>Övriga Aktiebolag</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33601-2024</t>
        </is>
      </c>
      <c r="B1179" s="1" t="n">
        <v>45520</v>
      </c>
      <c r="C1179" s="1" t="n">
        <v>45807</v>
      </c>
      <c r="D1179" t="inlineStr">
        <is>
          <t>UPPSALA LÄN</t>
        </is>
      </c>
      <c r="E1179" t="inlineStr">
        <is>
          <t>ÖSTHAMMAR</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33680-2024</t>
        </is>
      </c>
      <c r="B1180" s="1" t="n">
        <v>45520</v>
      </c>
      <c r="C1180" s="1" t="n">
        <v>45807</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33767-2024</t>
        </is>
      </c>
      <c r="B1181" s="1" t="n">
        <v>45520</v>
      </c>
      <c r="C1181" s="1" t="n">
        <v>45807</v>
      </c>
      <c r="D1181" t="inlineStr">
        <is>
          <t>UPPSALA LÄN</t>
        </is>
      </c>
      <c r="E1181" t="inlineStr">
        <is>
          <t>ÖSTHAMMAR</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33800-2024</t>
        </is>
      </c>
      <c r="B1182" s="1" t="n">
        <v>45520</v>
      </c>
      <c r="C1182" s="1" t="n">
        <v>45807</v>
      </c>
      <c r="D1182" t="inlineStr">
        <is>
          <t>UPPSALA LÄN</t>
        </is>
      </c>
      <c r="E1182" t="inlineStr">
        <is>
          <t>ÖSTHAMMAR</t>
        </is>
      </c>
      <c r="F1182" t="inlineStr">
        <is>
          <t>Naturvårdsverket</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45807</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45807</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45807</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45807</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45807</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45807</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45807</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45807</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45807</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45807</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45807</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45807</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45807</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45807</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45807</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45807</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45807</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45807</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45807</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45807</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45807</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45807</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45807</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45807</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45807</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45807</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45807</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45807</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45807</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45807</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45807</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45807</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45807</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45807</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45807</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45807</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45807</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45807</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45807</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45807</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45807</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45807</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45807</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45807</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45807</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45807</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45807</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45807</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45807</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45807</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45807</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45807</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45807</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45807</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45807</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45807</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45807</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45807</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45807</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45807</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45807</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45807</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45807</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45807</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45807</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45807</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45807</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45807</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45807</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45807</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45807</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45807</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45807</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45807</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45807</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45807</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45807</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45807</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45807</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45807</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45807</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45807</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45807</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45807</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45807</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45807</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45807</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45807</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45807</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45807</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45807</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45807</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45807</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45807</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45807</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45807</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45807</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45807</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45807</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45807</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45807</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45807</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45807</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45807</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45807</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45807</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45807</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45807</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45807</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45807</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45807</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45807</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45807</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45807</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45807</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45807</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45807</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45807</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45807</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45807</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45807</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45807</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45807</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45807</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45807</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45807</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45807</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45807</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45807</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45807</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45807</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45807</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45807</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45807</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45807</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45807</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45807</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45807</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45807</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45807</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45807</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45807</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45807</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45807</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45807</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45807</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45807</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45807</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45807</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45807</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45807</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45807</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45807</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45807</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45807</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45807</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45807</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45807</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45807</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45807</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45807</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45807</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45807</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45807</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45807</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45807</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45807</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45807</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45807</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45807</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45807</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45807</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45807</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45807</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45807</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45807</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45807</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45807</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45807</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45807</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45807</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45807</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45807</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45807</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45807</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45807</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45807</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45807</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45807</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45807</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45807</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45807</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45807</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45807</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45807</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45807</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45807</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45807</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45807</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45807</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45807</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45807</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45807</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45807</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45807</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45807</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45807</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45807</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45807</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45807</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45807</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45807</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45807</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45807</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45807</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45807</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45807</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45807</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45807</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45807</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45807</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45807</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45807</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45807</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45807</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45807</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45807</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45807</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45807</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45807</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45807</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45807</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45807</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45807</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45807</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45807</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45807</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45807</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45807</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45807</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45807</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45807</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45807</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45807</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45807</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45807</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45807</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45807</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45807</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45807</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45807</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45807</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45807</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45807</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45807</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45807</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45807</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45807</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45807</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45807</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45807</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45807</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45807</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45807</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45807</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45807</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45807</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45807</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45807</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45807</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45807</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45807</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45807</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45807</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45807</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45807</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45807</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45807</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45807</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45807</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45807</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45807</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45807</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45807</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45807</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45807</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45807</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45807</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45807</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45807</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45807</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45807</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45807</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45807</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21132-2025</t>
        </is>
      </c>
      <c r="B1477" s="1" t="n">
        <v>45778</v>
      </c>
      <c r="C1477" s="1" t="n">
        <v>45807</v>
      </c>
      <c r="D1477" t="inlineStr">
        <is>
          <t>UPPSALA LÄN</t>
        </is>
      </c>
      <c r="E1477" t="inlineStr">
        <is>
          <t>ÖSTHAMMAR</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45807</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45807</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45807</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45807</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45807</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45807</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23968-2025</t>
        </is>
      </c>
      <c r="B1484" s="1" t="n">
        <v>45796</v>
      </c>
      <c r="C1484" s="1" t="n">
        <v>45807</v>
      </c>
      <c r="D1484" t="inlineStr">
        <is>
          <t>UPPSALA LÄN</t>
        </is>
      </c>
      <c r="E1484" t="inlineStr">
        <is>
          <t>ÖSTHAMMAR</t>
        </is>
      </c>
      <c r="F1484" t="inlineStr">
        <is>
          <t>Bergvik skog öst AB</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45807</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24408-2025</t>
        </is>
      </c>
      <c r="B1486" s="1" t="n">
        <v>45797</v>
      </c>
      <c r="C1486" s="1" t="n">
        <v>45807</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45807</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45807</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45807</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45807</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25049-2025</t>
        </is>
      </c>
      <c r="B1491" s="1" t="n">
        <v>45799</v>
      </c>
      <c r="C1491" s="1" t="n">
        <v>45807</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45807</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45807</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45807</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26330-2025</t>
        </is>
      </c>
      <c r="B1495" s="1" t="n">
        <v>45805</v>
      </c>
      <c r="C1495" s="1" t="n">
        <v>45807</v>
      </c>
      <c r="D1495" t="inlineStr">
        <is>
          <t>UPPSALA LÄN</t>
        </is>
      </c>
      <c r="E1495" t="inlineStr">
        <is>
          <t>ÖSTHAMMAR</t>
        </is>
      </c>
      <c r="G1495" t="n">
        <v>0.5</v>
      </c>
      <c r="H1495" t="n">
        <v>0</v>
      </c>
      <c r="I1495" t="n">
        <v>0</v>
      </c>
      <c r="J1495" t="n">
        <v>0</v>
      </c>
      <c r="K1495" t="n">
        <v>0</v>
      </c>
      <c r="L1495" t="n">
        <v>0</v>
      </c>
      <c r="M1495" t="n">
        <v>0</v>
      </c>
      <c r="N1495" t="n">
        <v>0</v>
      </c>
      <c r="O1495" t="n">
        <v>0</v>
      </c>
      <c r="P1495" t="n">
        <v>0</v>
      </c>
      <c r="Q1495" t="n">
        <v>0</v>
      </c>
      <c r="R1495" s="2" t="inlineStr"/>
    </row>
    <row r="1496">
      <c r="A1496" t="inlineStr">
        <is>
          <t>A 26328-2025</t>
        </is>
      </c>
      <c r="B1496" s="1" t="n">
        <v>45805</v>
      </c>
      <c r="C1496" s="1" t="n">
        <v>45807</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2025-05-30T17:46:39Z</dcterms:created>
  <dcterms:modified xmlns:dcterms="http://purl.org/dc/terms/" xmlns:xsi="http://www.w3.org/2001/XMLSchema-instance" xsi:type="dcterms:W3CDTF">2025-05-30T17:46:40Z</dcterms:modified>
</cp:coreProperties>
</file>