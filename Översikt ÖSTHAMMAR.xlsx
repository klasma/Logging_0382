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46313</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46313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46313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46313</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46313</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357-2025</t>
        </is>
      </c>
      <c r="B7" t="inlineStr">
        <is>
          <t>avverkningsanmälan</t>
        </is>
      </c>
      <c r="C7" t="inlineStr">
        <is>
          <t>Föryngringsavverkning</t>
        </is>
      </c>
      <c r="D7" s="1" t="n">
        <v>45659</v>
      </c>
      <c r="E7" s="1" t="n">
        <v>46313</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A 48241-2024</t>
        </is>
      </c>
      <c r="B8" t="inlineStr">
        <is>
          <t>avverkningsanmälan</t>
        </is>
      </c>
      <c r="C8" t="inlineStr">
        <is>
          <t>Avverkning för annat ändamål</t>
        </is>
      </c>
      <c r="D8" s="1" t="n">
        <v>45590</v>
      </c>
      <c r="E8" s="1" t="n">
        <v>46313</v>
      </c>
      <c r="F8" t="inlineStr">
        <is>
          <t>UPPSALA LÄN</t>
        </is>
      </c>
      <c r="G8" t="inlineStr">
        <is>
          <t>ÖSTHAMMAR</t>
        </is>
      </c>
      <c r="I8" t="n">
        <v>10.2</v>
      </c>
      <c r="J8" t="n">
        <v>35</v>
      </c>
      <c r="K8" t="n">
        <v>1</v>
      </c>
      <c r="L8" t="n">
        <v>10</v>
      </c>
      <c r="M8" t="n">
        <v>4</v>
      </c>
      <c r="N8" t="n">
        <v>0</v>
      </c>
      <c r="O8" t="n">
        <v>1</v>
      </c>
      <c r="P8" t="n">
        <v>0</v>
      </c>
      <c r="Q8" t="n">
        <v>15</v>
      </c>
      <c r="R8" t="n">
        <v>5</v>
      </c>
      <c r="S8" t="n">
        <v>38</v>
      </c>
      <c r="T8" t="n">
        <v>423</v>
      </c>
      <c r="U8" t="n">
        <v>352</v>
      </c>
      <c r="V8"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8">
        <f>HYPERLINK("https://klasma.github.io/Logging_0382/artfynd/A 48241-2024 artfynd.xlsx", "A 48241-2024")</f>
        <v/>
      </c>
      <c r="X8">
        <f>HYPERLINK("https://klasma.github.io/Logging_0382/kartor/A 48241-2024 karta.png", "A 48241-2024")</f>
        <v/>
      </c>
      <c r="Y8">
        <f>HYPERLINK("https://klasma.github.io/Logging_0382/kartor_geotiff/A 48241-2024 georefererad karta.tif", "A 48241-2024")</f>
        <v/>
      </c>
      <c r="AA8">
        <f>HYPERLINK("https://klasma.github.io/Logging_0382/klagomål/A 48241-2024 FSC-klagomål.docx", "A 48241-2024")</f>
        <v/>
      </c>
      <c r="AB8">
        <f>HYPERLINK("https://klasma.github.io/Logging_0382/klagomålsmail/A 48241-2024 FSC-klagomål mail.docx", "A 48241-2024")</f>
        <v/>
      </c>
      <c r="AC8">
        <f>HYPERLINK("https://klasma.github.io/Logging_0382/tillsyn/A 48241-2024 tillsynsbegäran.docx", "A 48241-2024")</f>
        <v/>
      </c>
      <c r="AD8">
        <f>HYPERLINK("https://klasma.github.io/Logging_0382/tillsynsmail/A 48241-2024 tillsynsbegäran mail.docx", "A 48241-2024")</f>
        <v/>
      </c>
      <c r="AE8">
        <f>HYPERLINK("https://klasma.github.io/Logging_0382/fåglar/A 48241-2024 prioriterade fågelarter.docx", "A 48241-2024")</f>
        <v/>
      </c>
    </row>
    <row r="9" ht="15" customHeight="1">
      <c r="A9" t="inlineStr">
        <is>
          <t>S 1641-2023</t>
        </is>
      </c>
      <c r="B9" t="inlineStr">
        <is>
          <t>samrådsanmälan</t>
        </is>
      </c>
      <c r="C9" t="inlineStr">
        <is>
          <t>Annan skogsbruksåtgärd</t>
        </is>
      </c>
      <c r="D9" s="1" t="n">
        <v>45061</v>
      </c>
      <c r="E9" s="1" t="n">
        <v>46313</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46313</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46313</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46313</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46313</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21006-2024</t>
        </is>
      </c>
      <c r="B14" t="inlineStr">
        <is>
          <t>avverkningsanmälan</t>
        </is>
      </c>
      <c r="C14" t="inlineStr">
        <is>
          <t>Avverkning för att bevara och utveckla /försöksver</t>
        </is>
      </c>
      <c r="D14" s="1" t="n">
        <v>45439</v>
      </c>
      <c r="E14" s="1" t="n">
        <v>46313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1101-2026</t>
        </is>
      </c>
      <c r="B15" t="inlineStr">
        <is>
          <t>avverkningsanmälan</t>
        </is>
      </c>
      <c r="C15" t="inlineStr">
        <is>
          <t>Föryngringsavverkning</t>
        </is>
      </c>
      <c r="D15" s="1" t="n">
        <v>46030</v>
      </c>
      <c r="E15" s="1" t="n">
        <v>46313</v>
      </c>
      <c r="F15" t="inlineStr">
        <is>
          <t>UPPSALA LÄN</t>
        </is>
      </c>
      <c r="G15" t="inlineStr">
        <is>
          <t>ÖSTHAMMAR</t>
        </is>
      </c>
      <c r="I15" t="n">
        <v>4.1</v>
      </c>
      <c r="J15" t="n">
        <v>7</v>
      </c>
      <c r="K15" t="n">
        <v>4</v>
      </c>
      <c r="L15" t="n">
        <v>10</v>
      </c>
      <c r="M15" t="n">
        <v>7</v>
      </c>
      <c r="N15" t="n">
        <v>1</v>
      </c>
      <c r="O15" t="n">
        <v>0</v>
      </c>
      <c r="P15" t="n">
        <v>0</v>
      </c>
      <c r="Q15" t="n">
        <v>18</v>
      </c>
      <c r="R15" t="n">
        <v>8</v>
      </c>
      <c r="S15" t="n">
        <v>25</v>
      </c>
      <c r="T15" t="n">
        <v>37</v>
      </c>
      <c r="U15" t="n">
        <v>4</v>
      </c>
      <c r="V15"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5">
        <f>HYPERLINK("https://klasma.github.io/Logging_0382/artfynd/A 1101-2026 artfynd.xlsx", "A 1101-2026")</f>
        <v/>
      </c>
      <c r="X15">
        <f>HYPERLINK("https://klasma.github.io/Logging_0382/kartor/A 1101-2026 karta.png", "A 1101-2026")</f>
        <v/>
      </c>
      <c r="Y15">
        <f>HYPERLINK("https://klasma.github.io/Logging_0382/kartor_geotiff/A 1101-2026 georefererad karta.tif", "A 1101-2026")</f>
        <v/>
      </c>
      <c r="Z15">
        <f>HYPERLINK("https://klasma.github.io/Logging_0382/knärot/A 1101-2026 karta knärot.png", "A 1101-2026")</f>
        <v/>
      </c>
      <c r="AA15">
        <f>HYPERLINK("https://klasma.github.io/Logging_0382/klagomål/A 1101-2026 FSC-klagomål.docx", "A 1101-2026")</f>
        <v/>
      </c>
      <c r="AB15">
        <f>HYPERLINK("https://klasma.github.io/Logging_0382/klagomålsmail/A 1101-2026 FSC-klagomål mail.docx", "A 1101-2026")</f>
        <v/>
      </c>
      <c r="AC15">
        <f>HYPERLINK("https://klasma.github.io/Logging_0382/tillsyn/A 1101-2026 tillsynsbegäran.docx", "A 1101-2026")</f>
        <v/>
      </c>
      <c r="AD15">
        <f>HYPERLINK("https://klasma.github.io/Logging_0382/tillsynsmail/A 1101-2026 tillsynsbegäran mail.docx", "A 1101-2026")</f>
        <v/>
      </c>
      <c r="AE15">
        <f>HYPERLINK("https://klasma.github.io/Logging_0382/fåglar/A 1101-2026 prioriterade fågelarter.docx", "A 1101-2026")</f>
        <v/>
      </c>
    </row>
    <row r="16" ht="15" customHeight="1">
      <c r="A16" t="inlineStr">
        <is>
          <t>A 26552-2026</t>
        </is>
      </c>
      <c r="B16" t="inlineStr">
        <is>
          <t>avverkningsanmälan</t>
        </is>
      </c>
      <c r="C16" t="inlineStr">
        <is>
          <t>Föryngringsavverkning</t>
        </is>
      </c>
      <c r="D16" s="1" t="n">
        <v>46183</v>
      </c>
      <c r="E16" s="1" t="n">
        <v>46313</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29564-2023</t>
        </is>
      </c>
      <c r="B17" t="inlineStr">
        <is>
          <t>avverkningsanmälan</t>
        </is>
      </c>
      <c r="C17" t="inlineStr">
        <is>
          <t>Föryngringsavverkning</t>
        </is>
      </c>
      <c r="D17" s="1" t="n">
        <v>45106</v>
      </c>
      <c r="E17" s="1" t="n">
        <v>46313</v>
      </c>
      <c r="F17" t="inlineStr">
        <is>
          <t>UPPSALA LÄN</t>
        </is>
      </c>
      <c r="G17" t="inlineStr">
        <is>
          <t>ÖSTHAMMAR</t>
        </is>
      </c>
      <c r="H17" t="inlineStr">
        <is>
          <t>Naturvårdsverket</t>
        </is>
      </c>
      <c r="I17" t="n">
        <v>1.2</v>
      </c>
      <c r="J17" t="n">
        <v>8</v>
      </c>
      <c r="K17" t="n">
        <v>10</v>
      </c>
      <c r="L17" t="n">
        <v>6</v>
      </c>
      <c r="M17" t="n">
        <v>0</v>
      </c>
      <c r="N17" t="n">
        <v>1</v>
      </c>
      <c r="O17" t="n">
        <v>0</v>
      </c>
      <c r="P17" t="n">
        <v>0</v>
      </c>
      <c r="Q17" t="n">
        <v>7</v>
      </c>
      <c r="R17" t="n">
        <v>1</v>
      </c>
      <c r="S17" t="n">
        <v>24</v>
      </c>
      <c r="T17" t="n">
        <v>83</v>
      </c>
      <c r="U17" t="n">
        <v>83</v>
      </c>
      <c r="V1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7">
        <f>HYPERLINK("https://klasma.github.io/Logging_0382/artfynd/A 29564-2023 artfynd.xlsx", "A 29564-2023")</f>
        <v/>
      </c>
      <c r="X17">
        <f>HYPERLINK("https://klasma.github.io/Logging_0382/kartor/A 29564-2023 karta.png", "A 29564-2023")</f>
        <v/>
      </c>
      <c r="Y17">
        <f>HYPERLINK("https://klasma.github.io/Logging_0382/kartor_geotiff/A 29564-2023 georefererad karta.tif", "A 29564-2023")</f>
        <v/>
      </c>
      <c r="AA17">
        <f>HYPERLINK("https://klasma.github.io/Logging_0382/klagomål/A 29564-2023 FSC-klagomål.docx", "A 29564-2023")</f>
        <v/>
      </c>
      <c r="AB17">
        <f>HYPERLINK("https://klasma.github.io/Logging_0382/klagomålsmail/A 29564-2023 FSC-klagomål mail.docx", "A 29564-2023")</f>
        <v/>
      </c>
      <c r="AC17">
        <f>HYPERLINK("https://klasma.github.io/Logging_0382/tillsyn/A 29564-2023 tillsynsbegäran.docx", "A 29564-2023")</f>
        <v/>
      </c>
      <c r="AD17">
        <f>HYPERLINK("https://klasma.github.io/Logging_0382/tillsynsmail/A 29564-2023 tillsynsbegäran mail.docx", "A 29564-2023")</f>
        <v/>
      </c>
    </row>
    <row r="18" ht="15" customHeight="1">
      <c r="A18" t="inlineStr">
        <is>
          <t>A 37798-2026</t>
        </is>
      </c>
      <c r="B18" t="inlineStr">
        <is>
          <t>avverkningsanmälan</t>
        </is>
      </c>
      <c r="C18" t="inlineStr">
        <is>
          <t>Föryngringsavverkning</t>
        </is>
      </c>
      <c r="D18" s="1" t="n">
        <v>46279</v>
      </c>
      <c r="E18" s="1" t="n">
        <v>46313</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46313</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46313</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46313</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46313</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46313</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46313</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46313</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46313</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46313</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221-2025</t>
        </is>
      </c>
      <c r="B28" t="inlineStr">
        <is>
          <t>avverkningsanmälan</t>
        </is>
      </c>
      <c r="C28" t="inlineStr">
        <is>
          <t>Föryngringsavverkning</t>
        </is>
      </c>
      <c r="D28" s="1" t="n">
        <v>45660</v>
      </c>
      <c r="E28" s="1" t="n">
        <v>46313</v>
      </c>
      <c r="F28" t="inlineStr">
        <is>
          <t>UPPSALA LÄN</t>
        </is>
      </c>
      <c r="G28" t="inlineStr">
        <is>
          <t>ÖSTHAMMAR</t>
        </is>
      </c>
      <c r="H28" t="inlineStr">
        <is>
          <t>Bergvik skog öst AB</t>
        </is>
      </c>
      <c r="I28" t="n">
        <v>1.3</v>
      </c>
      <c r="J28" t="n">
        <v>5</v>
      </c>
      <c r="K28" t="n">
        <v>3</v>
      </c>
      <c r="L28" t="n">
        <v>4</v>
      </c>
      <c r="M28" t="n">
        <v>1</v>
      </c>
      <c r="N28" t="n">
        <v>0</v>
      </c>
      <c r="O28" t="n">
        <v>0</v>
      </c>
      <c r="P28" t="n">
        <v>0</v>
      </c>
      <c r="Q28" t="n">
        <v>5</v>
      </c>
      <c r="R28" t="n">
        <v>1</v>
      </c>
      <c r="S28" t="n">
        <v>11</v>
      </c>
      <c r="T28" t="n">
        <v>26</v>
      </c>
      <c r="U28" t="n">
        <v>26</v>
      </c>
      <c r="V28" s="2" t="inlineStr">
        <is>
          <t>Gul taggsvamp
Fjällig taggsvamp s.str.
Motaggsvamp
Talltita
Ullticka
Grön sköldmossa
Korallblylav
Rödgul trumpetsvamp
Blåsippa
Tallbit
Kungsfågel</t>
        </is>
      </c>
      <c r="W28">
        <f>HYPERLINK("https://klasma.github.io/Logging_0382/artfynd/A 221-2025 artfynd.xlsx", "A 221-2025")</f>
        <v/>
      </c>
      <c r="X28">
        <f>HYPERLINK("https://klasma.github.io/Logging_0382/kartor/A 221-2025 karta.png", "A 221-2025")</f>
        <v/>
      </c>
      <c r="Y28">
        <f>HYPERLINK("https://klasma.github.io/Logging_0382/kartor_geotiff/A 221-2025 georefererad karta.tif", "A 221-2025")</f>
        <v/>
      </c>
      <c r="AA28">
        <f>HYPERLINK("https://klasma.github.io/Logging_0382/klagomål/A 221-2025 FSC-klagomål.docx", "A 221-2025")</f>
        <v/>
      </c>
      <c r="AB28">
        <f>HYPERLINK("https://klasma.github.io/Logging_0382/klagomålsmail/A 221-2025 FSC-klagomål mail.docx", "A 221-2025")</f>
        <v/>
      </c>
      <c r="AC28">
        <f>HYPERLINK("https://klasma.github.io/Logging_0382/tillsyn/A 221-2025 tillsynsbegäran.docx", "A 221-2025")</f>
        <v/>
      </c>
      <c r="AD28">
        <f>HYPERLINK("https://klasma.github.io/Logging_0382/tillsynsmail/A 221-2025 tillsynsbegäran mail.docx", "A 221-2025")</f>
        <v/>
      </c>
      <c r="AE28">
        <f>HYPERLINK("https://klasma.github.io/Logging_0382/fåglar/A 221-2025 prioriterade fågelarter.docx", "A 221-2025")</f>
        <v/>
      </c>
    </row>
    <row r="29" ht="15" customHeight="1">
      <c r="A29" t="inlineStr">
        <is>
          <t>A 55518-2024</t>
        </is>
      </c>
      <c r="B29" t="inlineStr">
        <is>
          <t>avverkningsanmälan</t>
        </is>
      </c>
      <c r="C29" t="inlineStr">
        <is>
          <t>Föryngringsavverkning</t>
        </is>
      </c>
      <c r="D29" s="1" t="n">
        <v>45622</v>
      </c>
      <c r="E29" s="1" t="n">
        <v>46313</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46313</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46313</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51154-2025</t>
        </is>
      </c>
      <c r="B32" t="inlineStr">
        <is>
          <t>avverkningsanmälan</t>
        </is>
      </c>
      <c r="C32" t="inlineStr">
        <is>
          <t>Föryngringsavverkning</t>
        </is>
      </c>
      <c r="D32" s="1" t="n">
        <v>45947</v>
      </c>
      <c r="E32" s="1" t="n">
        <v>46313</v>
      </c>
      <c r="F32" t="inlineStr">
        <is>
          <t>UPPSALA LÄN</t>
        </is>
      </c>
      <c r="G32" t="inlineStr">
        <is>
          <t>ÖSTHAMMAR</t>
        </is>
      </c>
      <c r="H32" t="inlineStr">
        <is>
          <t>Allmännings- och besparingsskogar</t>
        </is>
      </c>
      <c r="I32" t="n">
        <v>4.5</v>
      </c>
      <c r="J32" t="n">
        <v>6</v>
      </c>
      <c r="K32" t="n">
        <v>4</v>
      </c>
      <c r="L32" t="n">
        <v>2</v>
      </c>
      <c r="M32" t="n">
        <v>0</v>
      </c>
      <c r="N32" t="n">
        <v>0</v>
      </c>
      <c r="O32" t="n">
        <v>0</v>
      </c>
      <c r="P32" t="n">
        <v>0</v>
      </c>
      <c r="Q32" t="n">
        <v>2</v>
      </c>
      <c r="R32" t="n">
        <v>0</v>
      </c>
      <c r="S32" t="n">
        <v>10</v>
      </c>
      <c r="T32" t="n">
        <v>18</v>
      </c>
      <c r="U32" t="n">
        <v>10</v>
      </c>
      <c r="V32" s="2" t="inlineStr">
        <is>
          <t>Rödvingetrast
Talltita
Bronshjon
Mörk husmossa
Nästrot
Tvåblad
Blåsippa
Brudborste
Ormbär
Nattviol</t>
        </is>
      </c>
      <c r="W32">
        <f>HYPERLINK("https://klasma.github.io/Logging_0382/artfynd/A 51154-2025 artfynd.xlsx", "A 51154-2025")</f>
        <v/>
      </c>
      <c r="X32">
        <f>HYPERLINK("https://klasma.github.io/Logging_0382/kartor/A 51154-2025 karta.png", "A 51154-2025")</f>
        <v/>
      </c>
      <c r="Y32">
        <f>HYPERLINK("https://klasma.github.io/Logging_0382/kartor_geotiff/A 51154-2025 georefererad karta.tif", "A 51154-2025")</f>
        <v/>
      </c>
      <c r="AA32">
        <f>HYPERLINK("https://klasma.github.io/Logging_0382/klagomål/A 51154-2025 FSC-klagomål.docx", "A 51154-2025")</f>
        <v/>
      </c>
      <c r="AB32">
        <f>HYPERLINK("https://klasma.github.io/Logging_0382/klagomålsmail/A 51154-2025 FSC-klagomål mail.docx", "A 51154-2025")</f>
        <v/>
      </c>
      <c r="AC32">
        <f>HYPERLINK("https://klasma.github.io/Logging_0382/tillsyn/A 51154-2025 tillsynsbegäran.docx", "A 51154-2025")</f>
        <v/>
      </c>
      <c r="AD32">
        <f>HYPERLINK("https://klasma.github.io/Logging_0382/tillsynsmail/A 51154-2025 tillsynsbegäran mail.docx", "A 51154-2025")</f>
        <v/>
      </c>
      <c r="AE32">
        <f>HYPERLINK("https://klasma.github.io/Logging_0382/fåglar/A 51154-2025 prioriterade fågelarter.docx", "A 51154-2025")</f>
        <v/>
      </c>
    </row>
    <row r="33" ht="15" customHeight="1">
      <c r="A33" t="inlineStr">
        <is>
          <t>A 31207-2022</t>
        </is>
      </c>
      <c r="B33" t="inlineStr">
        <is>
          <t>avverkningsanmälan</t>
        </is>
      </c>
      <c r="C33" t="inlineStr">
        <is>
          <t>Föryngringsavverkning</t>
        </is>
      </c>
      <c r="D33" s="1" t="n">
        <v>44771</v>
      </c>
      <c r="E33" s="1" t="n">
        <v>46313</v>
      </c>
      <c r="F33" t="inlineStr">
        <is>
          <t>UPPSALA LÄN</t>
        </is>
      </c>
      <c r="G33" t="inlineStr">
        <is>
          <t>ÖSTHAMMAR</t>
        </is>
      </c>
      <c r="I33" t="n">
        <v>7</v>
      </c>
      <c r="J33" t="n">
        <v>2</v>
      </c>
      <c r="K33" t="n">
        <v>6</v>
      </c>
      <c r="L33" t="n">
        <v>3</v>
      </c>
      <c r="M33" t="n">
        <v>0</v>
      </c>
      <c r="N33" t="n">
        <v>1</v>
      </c>
      <c r="O33" t="n">
        <v>0</v>
      </c>
      <c r="P33" t="n">
        <v>0</v>
      </c>
      <c r="Q33" t="n">
        <v>4</v>
      </c>
      <c r="R33" t="n">
        <v>1</v>
      </c>
      <c r="S33" t="n">
        <v>10</v>
      </c>
      <c r="T33" t="n">
        <v>16</v>
      </c>
      <c r="U33" t="n">
        <v>0</v>
      </c>
      <c r="V33" s="2" t="inlineStr">
        <is>
          <t>Violgubbe
Skarp dropptaggsvamp
Sårläka
Äggspindling
Anisspindling
Brun klibbskivling
Grönkulla
Kalktallört
Spindelblomster
Svavelriska</t>
        </is>
      </c>
      <c r="W33">
        <f>HYPERLINK("https://klasma.github.io/Logging_0382/artfynd/A 31207-2022 artfynd.xlsx", "A 31207-2022")</f>
        <v/>
      </c>
      <c r="X33">
        <f>HYPERLINK("https://klasma.github.io/Logging_0382/kartor/A 31207-2022 karta.png", "A 31207-2022")</f>
        <v/>
      </c>
      <c r="Y33">
        <f>HYPERLINK("https://klasma.github.io/Logging_0382/kartor_geotiff/A 31207-2022 georefererad karta.tif", "A 31207-2022")</f>
        <v/>
      </c>
      <c r="AA33">
        <f>HYPERLINK("https://klasma.github.io/Logging_0382/klagomål/A 31207-2022 FSC-klagomål.docx", "A 31207-2022")</f>
        <v/>
      </c>
      <c r="AB33">
        <f>HYPERLINK("https://klasma.github.io/Logging_0382/klagomålsmail/A 31207-2022 FSC-klagomål mail.docx", "A 31207-2022")</f>
        <v/>
      </c>
      <c r="AC33">
        <f>HYPERLINK("https://klasma.github.io/Logging_0382/tillsyn/A 31207-2022 tillsynsbegäran.docx", "A 31207-2022")</f>
        <v/>
      </c>
      <c r="AD33">
        <f>HYPERLINK("https://klasma.github.io/Logging_0382/tillsynsmail/A 31207-2022 tillsynsbegäran mail.docx", "A 31207-2022")</f>
        <v/>
      </c>
    </row>
    <row r="34" ht="15" customHeight="1">
      <c r="A34" t="inlineStr">
        <is>
          <t>A 46204-2023</t>
        </is>
      </c>
      <c r="B34" t="inlineStr">
        <is>
          <t>avverkningsanmälan</t>
        </is>
      </c>
      <c r="C34" t="inlineStr">
        <is>
          <t>Föryngringsavverkning</t>
        </is>
      </c>
      <c r="D34" s="1" t="n">
        <v>45190</v>
      </c>
      <c r="E34" s="1" t="n">
        <v>46313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29832-2026</t>
        </is>
      </c>
      <c r="B35" t="inlineStr">
        <is>
          <t>avverkningsanmälan</t>
        </is>
      </c>
      <c r="C35" t="inlineStr">
        <is>
          <t>Föryngringsavverkning</t>
        </is>
      </c>
      <c r="D35" s="1" t="n">
        <v>46205</v>
      </c>
      <c r="E35" s="1" t="n">
        <v>46313</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S 77-2023</t>
        </is>
      </c>
      <c r="B36" t="inlineStr">
        <is>
          <t>samrådsanmälan</t>
        </is>
      </c>
      <c r="C36" t="inlineStr">
        <is>
          <t>Annan skogsbruksåtgärd</t>
        </is>
      </c>
      <c r="D36" s="1" t="n">
        <v>44935</v>
      </c>
      <c r="E36" s="1" t="n">
        <v>46313</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46313</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13287-2022</t>
        </is>
      </c>
      <c r="B38" t="inlineStr">
        <is>
          <t>avverkningsanmälan</t>
        </is>
      </c>
      <c r="C38" t="inlineStr">
        <is>
          <t>Föryngringsavverkning</t>
        </is>
      </c>
      <c r="D38" s="1" t="n">
        <v>44644</v>
      </c>
      <c r="E38" s="1" t="n">
        <v>46313</v>
      </c>
      <c r="F38" t="inlineStr">
        <is>
          <t>UPPSALA LÄN</t>
        </is>
      </c>
      <c r="G38" t="inlineStr">
        <is>
          <t>ÖSTHAMMAR</t>
        </is>
      </c>
      <c r="I38" t="n">
        <v>14.6</v>
      </c>
      <c r="J38" t="n">
        <v>0</v>
      </c>
      <c r="K38" t="n">
        <v>4</v>
      </c>
      <c r="L38" t="n">
        <v>2</v>
      </c>
      <c r="M38" t="n">
        <v>3</v>
      </c>
      <c r="N38" t="n">
        <v>0</v>
      </c>
      <c r="O38" t="n">
        <v>0</v>
      </c>
      <c r="P38" t="n">
        <v>0</v>
      </c>
      <c r="Q38" t="n">
        <v>5</v>
      </c>
      <c r="R38" t="n">
        <v>3</v>
      </c>
      <c r="S38" t="n">
        <v>9</v>
      </c>
      <c r="T38" t="n">
        <v>12</v>
      </c>
      <c r="U38" t="n">
        <v>0</v>
      </c>
      <c r="V38" s="2" t="inlineStr">
        <is>
          <t>Bullspindling
Duvspindling
Grangråticka
Blekspindling agg.
Äggspindling
Diskvaxskivling
Olivspindling
Rödgul trumpetsvamp
Svavelriska</t>
        </is>
      </c>
      <c r="W38">
        <f>HYPERLINK("https://klasma.github.io/Logging_0382/artfynd/A 13287-2022 artfynd.xlsx", "A 13287-2022")</f>
        <v/>
      </c>
      <c r="X38">
        <f>HYPERLINK("https://klasma.github.io/Logging_0382/kartor/A 13287-2022 karta.png", "A 13287-2022")</f>
        <v/>
      </c>
      <c r="Y38">
        <f>HYPERLINK("https://klasma.github.io/Logging_0382/kartor_geotiff/A 13287-2022 georefererad karta.tif", "A 13287-2022")</f>
        <v/>
      </c>
      <c r="AA38">
        <f>HYPERLINK("https://klasma.github.io/Logging_0382/klagomål/A 13287-2022 FSC-klagomål.docx", "A 13287-2022")</f>
        <v/>
      </c>
      <c r="AB38">
        <f>HYPERLINK("https://klasma.github.io/Logging_0382/klagomålsmail/A 13287-2022 FSC-klagomål mail.docx", "A 13287-2022")</f>
        <v/>
      </c>
      <c r="AC38">
        <f>HYPERLINK("https://klasma.github.io/Logging_0382/tillsyn/A 13287-2022 tillsynsbegäran.docx", "A 13287-2022")</f>
        <v/>
      </c>
      <c r="AD38">
        <f>HYPERLINK("https://klasma.github.io/Logging_0382/tillsynsmail/A 13287-2022 tillsynsbegäran mail.docx", "A 13287-2022")</f>
        <v/>
      </c>
    </row>
    <row r="39" ht="15" customHeight="1">
      <c r="A39" t="inlineStr">
        <is>
          <t>A 52808-2023</t>
        </is>
      </c>
      <c r="B39" t="inlineStr">
        <is>
          <t>avverkningsanmälan</t>
        </is>
      </c>
      <c r="C39" t="inlineStr">
        <is>
          <t>Föryngringsavverkning</t>
        </is>
      </c>
      <c r="D39" s="1" t="n">
        <v>45226</v>
      </c>
      <c r="E39" s="1" t="n">
        <v>46313</v>
      </c>
      <c r="F39" t="inlineStr">
        <is>
          <t>UPPSALA LÄN</t>
        </is>
      </c>
      <c r="G39" t="inlineStr">
        <is>
          <t>ÖSTHAMMAR</t>
        </is>
      </c>
      <c r="H39" t="inlineStr">
        <is>
          <t>Bergvik skog öst AB</t>
        </is>
      </c>
      <c r="I39" t="n">
        <v>20.2</v>
      </c>
      <c r="J39" t="n">
        <v>6</v>
      </c>
      <c r="K39" t="n">
        <v>2</v>
      </c>
      <c r="L39" t="n">
        <v>2</v>
      </c>
      <c r="M39" t="n">
        <v>1</v>
      </c>
      <c r="N39" t="n">
        <v>0</v>
      </c>
      <c r="O39" t="n">
        <v>0</v>
      </c>
      <c r="P39" t="n">
        <v>0</v>
      </c>
      <c r="Q39" t="n">
        <v>3</v>
      </c>
      <c r="R39" t="n">
        <v>1</v>
      </c>
      <c r="S39" t="n">
        <v>9</v>
      </c>
      <c r="T39" t="n">
        <v>63</v>
      </c>
      <c r="U39" t="n">
        <v>63</v>
      </c>
      <c r="V39" s="2" t="inlineStr">
        <is>
          <t>Knärot
Tretåig hackspett
Ullticka
Brandticka
Grönpyrola
Blåsippa
Spillkråka
Tjäder
Revlummer</t>
        </is>
      </c>
      <c r="W39">
        <f>HYPERLINK("https://klasma.github.io/Logging_0382/artfynd/A 52808-2023 artfynd.xlsx", "A 52808-2023")</f>
        <v/>
      </c>
      <c r="X39">
        <f>HYPERLINK("https://klasma.github.io/Logging_0382/kartor/A 52808-2023 karta.png", "A 52808-2023")</f>
        <v/>
      </c>
      <c r="Y39">
        <f>HYPERLINK("https://klasma.github.io/Logging_0382/kartor_geotiff/A 52808-2023 georefererad karta.tif", "A 52808-2023")</f>
        <v/>
      </c>
      <c r="Z39">
        <f>HYPERLINK("https://klasma.github.io/Logging_0382/knärot/A 52808-2023 karta knärot.png", "A 52808-2023")</f>
        <v/>
      </c>
      <c r="AA39">
        <f>HYPERLINK("https://klasma.github.io/Logging_0382/klagomål/A 52808-2023 FSC-klagomål.docx", "A 52808-2023")</f>
        <v/>
      </c>
      <c r="AB39">
        <f>HYPERLINK("https://klasma.github.io/Logging_0382/klagomålsmail/A 52808-2023 FSC-klagomål mail.docx", "A 52808-2023")</f>
        <v/>
      </c>
      <c r="AC39">
        <f>HYPERLINK("https://klasma.github.io/Logging_0382/tillsyn/A 52808-2023 tillsynsbegäran.docx", "A 52808-2023")</f>
        <v/>
      </c>
      <c r="AD39">
        <f>HYPERLINK("https://klasma.github.io/Logging_0382/tillsynsmail/A 52808-2023 tillsynsbegäran mail.docx", "A 52808-2023")</f>
        <v/>
      </c>
      <c r="AE39">
        <f>HYPERLINK("https://klasma.github.io/Logging_0382/fåglar/A 52808-2023 prioriterade fågelarter.docx", "A 52808-2023")</f>
        <v/>
      </c>
    </row>
    <row r="40" ht="15" customHeight="1">
      <c r="A40" t="inlineStr">
        <is>
          <t>A 39834-2025</t>
        </is>
      </c>
      <c r="B40" t="inlineStr">
        <is>
          <t>avverkningsanmälan</t>
        </is>
      </c>
      <c r="C40" t="inlineStr">
        <is>
          <t>Föryngringsavverkning</t>
        </is>
      </c>
      <c r="D40" s="1" t="n">
        <v>45891</v>
      </c>
      <c r="E40" s="1" t="n">
        <v>46313</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S 2780-2020</t>
        </is>
      </c>
      <c r="B41" t="inlineStr">
        <is>
          <t>samrådsanmälan</t>
        </is>
      </c>
      <c r="C41" t="inlineStr">
        <is>
          <t>Annan skogsbruksåtgärd</t>
        </is>
      </c>
      <c r="D41" s="1" t="n">
        <v>44194</v>
      </c>
      <c r="E41" s="1" t="n">
        <v>46313</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46313</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46313</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46313</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33269-2025</t>
        </is>
      </c>
      <c r="B45" t="inlineStr">
        <is>
          <t>avverkningsanmälan</t>
        </is>
      </c>
      <c r="C45" t="inlineStr">
        <is>
          <t>Föryngringsavverkning</t>
        </is>
      </c>
      <c r="D45" s="1" t="n">
        <v>45840</v>
      </c>
      <c r="E45" s="1" t="n">
        <v>46313</v>
      </c>
      <c r="F45" t="inlineStr">
        <is>
          <t>UPPSALA LÄN</t>
        </is>
      </c>
      <c r="G45" t="inlineStr">
        <is>
          <t>ÖSTHAMMAR</t>
        </is>
      </c>
      <c r="I45" t="n">
        <v>14.9</v>
      </c>
      <c r="J45" t="n">
        <v>0</v>
      </c>
      <c r="K45" t="n">
        <v>2</v>
      </c>
      <c r="L45" t="n">
        <v>1</v>
      </c>
      <c r="M45" t="n">
        <v>3</v>
      </c>
      <c r="N45" t="n">
        <v>1</v>
      </c>
      <c r="O45" t="n">
        <v>0</v>
      </c>
      <c r="P45" t="n">
        <v>0</v>
      </c>
      <c r="Q45" t="n">
        <v>5</v>
      </c>
      <c r="R45" t="n">
        <v>4</v>
      </c>
      <c r="S45" t="n">
        <v>7</v>
      </c>
      <c r="T45" t="n">
        <v>11</v>
      </c>
      <c r="U45" t="n">
        <v>3</v>
      </c>
      <c r="V45" s="2" t="inlineStr">
        <is>
          <t>Violgubbe
Gul lammticka
Kopparspindling
Läderdoftande fingersvamp
Orange taggsvamp
Kamjordstjärna
Olivspindling</t>
        </is>
      </c>
      <c r="W45">
        <f>HYPERLINK("https://klasma.github.io/Logging_0382/artfynd/A 33269-2025 artfynd.xlsx", "A 33269-2025")</f>
        <v/>
      </c>
      <c r="X45">
        <f>HYPERLINK("https://klasma.github.io/Logging_0382/kartor/A 33269-2025 karta.png", "A 33269-2025")</f>
        <v/>
      </c>
      <c r="Y45">
        <f>HYPERLINK("https://klasma.github.io/Logging_0382/kartor_geotiff/A 33269-2025 georefererad karta.tif", "A 33269-2025")</f>
        <v/>
      </c>
      <c r="AA45">
        <f>HYPERLINK("https://klasma.github.io/Logging_0382/klagomål/A 33269-2025 FSC-klagomål.docx", "A 33269-2025")</f>
        <v/>
      </c>
      <c r="AB45">
        <f>HYPERLINK("https://klasma.github.io/Logging_0382/klagomålsmail/A 33269-2025 FSC-klagomål mail.docx", "A 33269-2025")</f>
        <v/>
      </c>
      <c r="AC45">
        <f>HYPERLINK("https://klasma.github.io/Logging_0382/tillsyn/A 33269-2025 tillsynsbegäran.docx", "A 33269-2025")</f>
        <v/>
      </c>
      <c r="AD45">
        <f>HYPERLINK("https://klasma.github.io/Logging_0382/tillsynsmail/A 33269-2025 tillsynsbegäran mail.docx", "A 33269-2025")</f>
        <v/>
      </c>
    </row>
    <row r="46" ht="15" customHeight="1">
      <c r="A46" t="inlineStr">
        <is>
          <t>A 43992-2022</t>
        </is>
      </c>
      <c r="B46" t="inlineStr">
        <is>
          <t>avverkningsanmälan</t>
        </is>
      </c>
      <c r="C46" t="inlineStr">
        <is>
          <t>Avverkning för annat ändamål</t>
        </is>
      </c>
      <c r="D46" s="1" t="n">
        <v>44837</v>
      </c>
      <c r="E46" s="1" t="n">
        <v>46313</v>
      </c>
      <c r="F46" t="inlineStr">
        <is>
          <t>UPPSALA LÄN</t>
        </is>
      </c>
      <c r="G46" t="inlineStr">
        <is>
          <t>ÖSTHAMMAR</t>
        </is>
      </c>
      <c r="H46" t="inlineStr">
        <is>
          <t>Sveaskog</t>
        </is>
      </c>
      <c r="I46" t="n">
        <v>1.8</v>
      </c>
      <c r="J46" t="n">
        <v>7</v>
      </c>
      <c r="K46" t="n">
        <v>0</v>
      </c>
      <c r="L46" t="n">
        <v>1</v>
      </c>
      <c r="M46" t="n">
        <v>2</v>
      </c>
      <c r="N46" t="n">
        <v>0</v>
      </c>
      <c r="O46" t="n">
        <v>0</v>
      </c>
      <c r="P46" t="n">
        <v>0</v>
      </c>
      <c r="Q46" t="n">
        <v>3</v>
      </c>
      <c r="R46" t="n">
        <v>2</v>
      </c>
      <c r="S46" t="n">
        <v>7</v>
      </c>
      <c r="T46" t="n">
        <v>8</v>
      </c>
      <c r="U46" t="n">
        <v>0</v>
      </c>
      <c r="V46" s="2" t="inlineStr">
        <is>
          <t>Grönfink
Stare
Gulsparv
Buskskvätta
Svartvit flugsnappare
Törnskata
Ängsnycklar</t>
        </is>
      </c>
      <c r="W46">
        <f>HYPERLINK("https://klasma.github.io/Logging_0382/artfynd/A 43992-2022 artfynd.xlsx", "A 43992-2022")</f>
        <v/>
      </c>
      <c r="X46">
        <f>HYPERLINK("https://klasma.github.io/Logging_0382/kartor/A 43992-2022 karta.png", "A 43992-2022")</f>
        <v/>
      </c>
      <c r="Y46">
        <f>HYPERLINK("https://klasma.github.io/Logging_0382/kartor_geotiff/A 43992-2022 georefererad karta.tif", "A 43992-2022")</f>
        <v/>
      </c>
      <c r="AA46">
        <f>HYPERLINK("https://klasma.github.io/Logging_0382/klagomål/A 43992-2022 FSC-klagomål.docx", "A 43992-2022")</f>
        <v/>
      </c>
      <c r="AB46">
        <f>HYPERLINK("https://klasma.github.io/Logging_0382/klagomålsmail/A 43992-2022 FSC-klagomål mail.docx", "A 43992-2022")</f>
        <v/>
      </c>
      <c r="AC46">
        <f>HYPERLINK("https://klasma.github.io/Logging_0382/tillsyn/A 43992-2022 tillsynsbegäran.docx", "A 43992-2022")</f>
        <v/>
      </c>
      <c r="AD46">
        <f>HYPERLINK("https://klasma.github.io/Logging_0382/tillsynsmail/A 43992-2022 tillsynsbegäran mail.docx", "A 43992-2022")</f>
        <v/>
      </c>
      <c r="AE46">
        <f>HYPERLINK("https://klasma.github.io/Logging_0382/fåglar/A 43992-2022 prioriterade fågelarter.docx", "A 43992-2022")</f>
        <v/>
      </c>
    </row>
    <row r="47" ht="15" customHeight="1">
      <c r="A47" t="inlineStr">
        <is>
          <t>A 9646-2024</t>
        </is>
      </c>
      <c r="B47" t="inlineStr">
        <is>
          <t>avverkningsanmälan</t>
        </is>
      </c>
      <c r="C47" t="inlineStr">
        <is>
          <t>Föryngringsavverkning</t>
        </is>
      </c>
      <c r="D47" s="1" t="n">
        <v>45362</v>
      </c>
      <c r="E47" s="1" t="n">
        <v>46313</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33800-2024</t>
        </is>
      </c>
      <c r="B48" t="inlineStr">
        <is>
          <t>avverkningsanmälan</t>
        </is>
      </c>
      <c r="C48" t="inlineStr">
        <is>
          <t>Avverkning för annat ändamål</t>
        </is>
      </c>
      <c r="D48" s="1" t="n">
        <v>45520</v>
      </c>
      <c r="E48" s="1" t="n">
        <v>46313</v>
      </c>
      <c r="F48" t="inlineStr">
        <is>
          <t>UPPSALA LÄN</t>
        </is>
      </c>
      <c r="G48" t="inlineStr">
        <is>
          <t>ÖSTHAMMAR</t>
        </is>
      </c>
      <c r="H48" t="inlineStr">
        <is>
          <t>Naturvårdsverket</t>
        </is>
      </c>
      <c r="I48" t="n">
        <v>1.5</v>
      </c>
      <c r="J48" t="n">
        <v>3</v>
      </c>
      <c r="K48" t="n">
        <v>2</v>
      </c>
      <c r="L48" t="n">
        <v>3</v>
      </c>
      <c r="M48" t="n">
        <v>0</v>
      </c>
      <c r="N48" t="n">
        <v>0</v>
      </c>
      <c r="O48" t="n">
        <v>0</v>
      </c>
      <c r="P48" t="n">
        <v>0</v>
      </c>
      <c r="Q48" t="n">
        <v>3</v>
      </c>
      <c r="R48" t="n">
        <v>0</v>
      </c>
      <c r="S48" t="n">
        <v>7</v>
      </c>
      <c r="T48" t="n">
        <v>7</v>
      </c>
      <c r="U48" t="n">
        <v>7</v>
      </c>
      <c r="V48" s="2" t="inlineStr">
        <is>
          <t>Kattfotslav
Talltita
Ullticka
Granbarkgnagare
Rödgul trumpetsvamp
Tjäder
Fläcknycklar</t>
        </is>
      </c>
      <c r="W48">
        <f>HYPERLINK("https://klasma.github.io/Logging_0382/artfynd/A 33800-2024 artfynd.xlsx", "A 33800-2024")</f>
        <v/>
      </c>
      <c r="X48">
        <f>HYPERLINK("https://klasma.github.io/Logging_0382/kartor/A 33800-2024 karta.png", "A 33800-2024")</f>
        <v/>
      </c>
      <c r="Y48">
        <f>HYPERLINK("https://klasma.github.io/Logging_0382/kartor_geotiff/A 33800-2024 georefererad karta.tif", "A 33800-2024")</f>
        <v/>
      </c>
      <c r="AA48">
        <f>HYPERLINK("https://klasma.github.io/Logging_0382/klagomål/A 33800-2024 FSC-klagomål.docx", "A 33800-2024")</f>
        <v/>
      </c>
      <c r="AB48">
        <f>HYPERLINK("https://klasma.github.io/Logging_0382/klagomålsmail/A 33800-2024 FSC-klagomål mail.docx", "A 33800-2024")</f>
        <v/>
      </c>
      <c r="AC48">
        <f>HYPERLINK("https://klasma.github.io/Logging_0382/tillsyn/A 33800-2024 tillsynsbegäran.docx", "A 33800-2024")</f>
        <v/>
      </c>
      <c r="AD48">
        <f>HYPERLINK("https://klasma.github.io/Logging_0382/tillsynsmail/A 33800-2024 tillsynsbegäran mail.docx", "A 33800-2024")</f>
        <v/>
      </c>
      <c r="AE48">
        <f>HYPERLINK("https://klasma.github.io/Logging_0382/fåglar/A 33800-2024 prioriterade fågelarter.docx", "A 33800-2024")</f>
        <v/>
      </c>
    </row>
    <row r="49" ht="15" customHeight="1">
      <c r="A49" t="inlineStr">
        <is>
          <t>A 9569-2026</t>
        </is>
      </c>
      <c r="B49" t="inlineStr">
        <is>
          <t>avverkningsanmälan</t>
        </is>
      </c>
      <c r="C49" t="inlineStr">
        <is>
          <t>Föryngringsavverkning</t>
        </is>
      </c>
      <c r="D49" s="1" t="n">
        <v>46071</v>
      </c>
      <c r="E49" s="1" t="n">
        <v>46313</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46785-2023</t>
        </is>
      </c>
      <c r="B50" t="inlineStr">
        <is>
          <t>avverkningsanmälan</t>
        </is>
      </c>
      <c r="C50" t="inlineStr">
        <is>
          <t>Föryngringsavverkning</t>
        </is>
      </c>
      <c r="D50" s="1" t="n">
        <v>45198</v>
      </c>
      <c r="E50" s="1" t="n">
        <v>46313</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S 2766-2023</t>
        </is>
      </c>
      <c r="B51" t="inlineStr">
        <is>
          <t>samrådsanmälan</t>
        </is>
      </c>
      <c r="C51" t="inlineStr">
        <is>
          <t>Annan skogsbruksåtgärd</t>
        </is>
      </c>
      <c r="D51" s="1" t="n">
        <v>45160</v>
      </c>
      <c r="E51" s="1" t="n">
        <v>46313</v>
      </c>
      <c r="F51" t="inlineStr">
        <is>
          <t>UPPSALA LÄN</t>
        </is>
      </c>
      <c r="G51" t="inlineStr">
        <is>
          <t>ÖSTHAMMAR</t>
        </is>
      </c>
      <c r="H51" t="inlineStr">
        <is>
          <t>Kyrkan</t>
        </is>
      </c>
      <c r="I51" t="n">
        <v>3.6</v>
      </c>
      <c r="J51" t="n">
        <v>1</v>
      </c>
      <c r="K51" t="n">
        <v>1</v>
      </c>
      <c r="L51" t="n">
        <v>4</v>
      </c>
      <c r="M51" t="n">
        <v>1</v>
      </c>
      <c r="N51" t="n">
        <v>0</v>
      </c>
      <c r="O51" t="n">
        <v>0</v>
      </c>
      <c r="P51" t="n">
        <v>0</v>
      </c>
      <c r="Q51" t="n">
        <v>5</v>
      </c>
      <c r="R51" t="n">
        <v>1</v>
      </c>
      <c r="S51" t="n">
        <v>7</v>
      </c>
      <c r="T51" t="n">
        <v>10</v>
      </c>
      <c r="U51" t="n">
        <v>9</v>
      </c>
      <c r="V51" s="2" t="inlineStr">
        <is>
          <t>Apelticka
Motaggsvamp
Skarp dropptaggsvamp
Tallticka
Vedskivlav
Nästlav
Revlummer</t>
        </is>
      </c>
      <c r="W51">
        <f>HYPERLINK("https://klasma.github.io/Logging_0382/artfynd/S 2766-2023 artfynd.xlsx", "S 2766-2023")</f>
        <v/>
      </c>
      <c r="X51">
        <f>HYPERLINK("https://klasma.github.io/Logging_0382/kartor/S 2766-2023 karta.png", "S 2766-2023")</f>
        <v/>
      </c>
      <c r="Y51">
        <f>HYPERLINK("https://klasma.github.io/Logging_0382/kartor_geotiff/S 2766-2023 georefererad karta.tif", "S 2766-2023")</f>
        <v/>
      </c>
      <c r="AA51">
        <f>HYPERLINK("https://klasma.github.io/Logging_0382/klagomål/S 2766-2023 FSC-klagomål.docx", "S 2766-2023")</f>
        <v/>
      </c>
      <c r="AB51">
        <f>HYPERLINK("https://klasma.github.io/Logging_0382/klagomålsmail/S 2766-2023 FSC-klagomål mail.docx", "S 2766-2023")</f>
        <v/>
      </c>
      <c r="AC51">
        <f>HYPERLINK("https://klasma.github.io/Logging_0382/tillsyn/S 2766-2023 tillsynsbegäran.docx", "S 2766-2023")</f>
        <v/>
      </c>
      <c r="AD51">
        <f>HYPERLINK("https://klasma.github.io/Logging_0382/tillsynsmail/S 2766-2023 tillsynsbegäran mail.docx", "S 2766-2023")</f>
        <v/>
      </c>
    </row>
    <row r="52" ht="15" customHeight="1">
      <c r="A52" t="inlineStr">
        <is>
          <t>S 522-2022</t>
        </is>
      </c>
      <c r="B52" t="inlineStr">
        <is>
          <t>samrådsanmälan</t>
        </is>
      </c>
      <c r="C52" t="inlineStr">
        <is>
          <t>Skogsgödsling</t>
        </is>
      </c>
      <c r="D52" s="1" t="n">
        <v>44588</v>
      </c>
      <c r="E52" s="1" t="n">
        <v>46313</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A 32140-2022</t>
        </is>
      </c>
      <c r="B53" t="inlineStr">
        <is>
          <t>avverkningsanmälan</t>
        </is>
      </c>
      <c r="C53" t="inlineStr">
        <is>
          <t>Föryngringsavverkning</t>
        </is>
      </c>
      <c r="D53" s="1" t="n">
        <v>44779</v>
      </c>
      <c r="E53" s="1" t="n">
        <v>46313</v>
      </c>
      <c r="F53" t="inlineStr">
        <is>
          <t>UPPSALA LÄN</t>
        </is>
      </c>
      <c r="G53" t="inlineStr">
        <is>
          <t>ÖSTHAMMAR</t>
        </is>
      </c>
      <c r="I53" t="n">
        <v>1.7</v>
      </c>
      <c r="J53" t="n">
        <v>3</v>
      </c>
      <c r="K53" t="n">
        <v>1</v>
      </c>
      <c r="L53" t="n">
        <v>2</v>
      </c>
      <c r="M53" t="n">
        <v>1</v>
      </c>
      <c r="N53" t="n">
        <v>0</v>
      </c>
      <c r="O53" t="n">
        <v>0</v>
      </c>
      <c r="P53" t="n">
        <v>0</v>
      </c>
      <c r="Q53" t="n">
        <v>3</v>
      </c>
      <c r="R53" t="n">
        <v>1</v>
      </c>
      <c r="S53" t="n">
        <v>6</v>
      </c>
      <c r="T53" t="n">
        <v>30</v>
      </c>
      <c r="U53" t="n">
        <v>30</v>
      </c>
      <c r="V53" s="2" t="inlineStr">
        <is>
          <t>Knärot
Fjällig taggsvamp s.str.
Skarp dropptaggsvamp
Svavelriska
Blåsippa
Spillkråka</t>
        </is>
      </c>
      <c r="W53">
        <f>HYPERLINK("https://klasma.github.io/Logging_0382/artfynd/A 32140-2022 artfynd.xlsx", "A 32140-2022")</f>
        <v/>
      </c>
      <c r="X53">
        <f>HYPERLINK("https://klasma.github.io/Logging_0382/kartor/A 32140-2022 karta.png", "A 32140-2022")</f>
        <v/>
      </c>
      <c r="Y53">
        <f>HYPERLINK("https://klasma.github.io/Logging_0382/kartor_geotiff/A 32140-2022 georefererad karta.tif", "A 32140-2022")</f>
        <v/>
      </c>
      <c r="Z53">
        <f>HYPERLINK("https://klasma.github.io/Logging_0382/knärot/A 32140-2022 karta knärot.png", "A 32140-2022")</f>
        <v/>
      </c>
      <c r="AA53">
        <f>HYPERLINK("https://klasma.github.io/Logging_0382/klagomål/A 32140-2022 FSC-klagomål.docx", "A 32140-2022")</f>
        <v/>
      </c>
      <c r="AB53">
        <f>HYPERLINK("https://klasma.github.io/Logging_0382/klagomålsmail/A 32140-2022 FSC-klagomål mail.docx", "A 32140-2022")</f>
        <v/>
      </c>
      <c r="AC53">
        <f>HYPERLINK("https://klasma.github.io/Logging_0382/tillsyn/A 32140-2022 tillsynsbegäran.docx", "A 32140-2022")</f>
        <v/>
      </c>
      <c r="AD53">
        <f>HYPERLINK("https://klasma.github.io/Logging_0382/tillsynsmail/A 32140-2022 tillsynsbegäran mail.docx", "A 32140-2022")</f>
        <v/>
      </c>
      <c r="AE53">
        <f>HYPERLINK("https://klasma.github.io/Logging_0382/fåglar/A 32140-2022 prioriterade fågelarter.docx", "A 32140-2022")</f>
        <v/>
      </c>
    </row>
    <row r="54" ht="15" customHeight="1">
      <c r="A54" t="inlineStr">
        <is>
          <t>A 26552-2022</t>
        </is>
      </c>
      <c r="B54" t="inlineStr">
        <is>
          <t>avverkningsanmälan</t>
        </is>
      </c>
      <c r="C54" t="inlineStr">
        <is>
          <t>Föryngringsavverkning</t>
        </is>
      </c>
      <c r="D54" s="1" t="n">
        <v>44739</v>
      </c>
      <c r="E54" s="1" t="n">
        <v>46313</v>
      </c>
      <c r="F54" t="inlineStr">
        <is>
          <t>UPPSALA LÄN</t>
        </is>
      </c>
      <c r="G54" t="inlineStr">
        <is>
          <t>ÖSTHAMMAR</t>
        </is>
      </c>
      <c r="I54" t="n">
        <v>2.2</v>
      </c>
      <c r="J54" t="n">
        <v>6</v>
      </c>
      <c r="K54" t="n">
        <v>0</v>
      </c>
      <c r="L54" t="n">
        <v>3</v>
      </c>
      <c r="M54" t="n">
        <v>0</v>
      </c>
      <c r="N54" t="n">
        <v>0</v>
      </c>
      <c r="O54" t="n">
        <v>0</v>
      </c>
      <c r="P54" t="n">
        <v>0</v>
      </c>
      <c r="Q54" t="n">
        <v>3</v>
      </c>
      <c r="R54" t="n">
        <v>0</v>
      </c>
      <c r="S54" t="n">
        <v>6</v>
      </c>
      <c r="T54" t="n">
        <v>6</v>
      </c>
      <c r="U54" t="n">
        <v>4</v>
      </c>
      <c r="V54" s="2" t="inlineStr">
        <is>
          <t>Grönsångare
Nordfladdermus
Sädesärla
Mindre flugsnappare
Dvärgpipistrell
Vattenfladdermus</t>
        </is>
      </c>
      <c r="W54">
        <f>HYPERLINK("https://klasma.github.io/Logging_0382/artfynd/A 26552-2022 artfynd.xlsx", "A 26552-2022")</f>
        <v/>
      </c>
      <c r="X54">
        <f>HYPERLINK("https://klasma.github.io/Logging_0382/kartor/A 26552-2022 karta.png", "A 26552-2022")</f>
        <v/>
      </c>
      <c r="Y54">
        <f>HYPERLINK("https://klasma.github.io/Logging_0382/kartor_geotiff/A 26552-2022 georefererad karta.tif", "A 26552-2022")</f>
        <v/>
      </c>
      <c r="AA54">
        <f>HYPERLINK("https://klasma.github.io/Logging_0382/klagomål/A 26552-2022 FSC-klagomål.docx", "A 26552-2022")</f>
        <v/>
      </c>
      <c r="AB54">
        <f>HYPERLINK("https://klasma.github.io/Logging_0382/klagomålsmail/A 26552-2022 FSC-klagomål mail.docx", "A 26552-2022")</f>
        <v/>
      </c>
      <c r="AC54">
        <f>HYPERLINK("https://klasma.github.io/Logging_0382/tillsyn/A 26552-2022 tillsynsbegäran.docx", "A 26552-2022")</f>
        <v/>
      </c>
      <c r="AD54">
        <f>HYPERLINK("https://klasma.github.io/Logging_0382/tillsynsmail/A 26552-2022 tillsynsbegäran mail.docx", "A 26552-2022")</f>
        <v/>
      </c>
      <c r="AE54">
        <f>HYPERLINK("https://klasma.github.io/Logging_0382/fåglar/A 26552-2022 prioriterade fågelarter.docx", "A 26552-2022")</f>
        <v/>
      </c>
    </row>
    <row r="55" ht="15" customHeight="1">
      <c r="A55" t="inlineStr">
        <is>
          <t>A 55492-2023</t>
        </is>
      </c>
      <c r="B55" t="inlineStr">
        <is>
          <t>avverkningsanmälan</t>
        </is>
      </c>
      <c r="C55" t="inlineStr">
        <is>
          <t>Föryngringsavverkning</t>
        </is>
      </c>
      <c r="D55" s="1" t="n">
        <v>45238</v>
      </c>
      <c r="E55" s="1" t="n">
        <v>46313</v>
      </c>
      <c r="F55" t="inlineStr">
        <is>
          <t>UPPSALA LÄN</t>
        </is>
      </c>
      <c r="G55" t="inlineStr">
        <is>
          <t>ÖSTHAMMAR</t>
        </is>
      </c>
      <c r="I55" t="n">
        <v>3.1</v>
      </c>
      <c r="J55" t="n">
        <v>4</v>
      </c>
      <c r="K55" t="n">
        <v>2</v>
      </c>
      <c r="L55" t="n">
        <v>1</v>
      </c>
      <c r="M55" t="n">
        <v>1</v>
      </c>
      <c r="N55" t="n">
        <v>1</v>
      </c>
      <c r="O55" t="n">
        <v>0</v>
      </c>
      <c r="P55" t="n">
        <v>0</v>
      </c>
      <c r="Q55" t="n">
        <v>3</v>
      </c>
      <c r="R55" t="n">
        <v>2</v>
      </c>
      <c r="S55" t="n">
        <v>6</v>
      </c>
      <c r="T55" t="n">
        <v>23</v>
      </c>
      <c r="U55" t="n">
        <v>20</v>
      </c>
      <c r="V55" s="2" t="inlineStr">
        <is>
          <t>Violgubbe
Knärot
Orange taggsvamp
Skogsknipprot
Tvåblad
Fläcknycklar</t>
        </is>
      </c>
      <c r="W55">
        <f>HYPERLINK("https://klasma.github.io/Logging_0382/artfynd/A 55492-2023 artfynd.xlsx", "A 55492-2023")</f>
        <v/>
      </c>
      <c r="X55">
        <f>HYPERLINK("https://klasma.github.io/Logging_0382/kartor/A 55492-2023 karta.png", "A 55492-2023")</f>
        <v/>
      </c>
      <c r="Y55">
        <f>HYPERLINK("https://klasma.github.io/Logging_0382/kartor_geotiff/A 55492-2023 georefererad karta.tif", "A 55492-2023")</f>
        <v/>
      </c>
      <c r="Z55">
        <f>HYPERLINK("https://klasma.github.io/Logging_0382/knärot/A 55492-2023 karta knärot.png", "A 55492-2023")</f>
        <v/>
      </c>
      <c r="AA55">
        <f>HYPERLINK("https://klasma.github.io/Logging_0382/klagomål/A 55492-2023 FSC-klagomål.docx", "A 55492-2023")</f>
        <v/>
      </c>
      <c r="AB55">
        <f>HYPERLINK("https://klasma.github.io/Logging_0382/klagomålsmail/A 55492-2023 FSC-klagomål mail.docx", "A 55492-2023")</f>
        <v/>
      </c>
      <c r="AC55">
        <f>HYPERLINK("https://klasma.github.io/Logging_0382/tillsyn/A 55492-2023 tillsynsbegäran.docx", "A 55492-2023")</f>
        <v/>
      </c>
      <c r="AD55">
        <f>HYPERLINK("https://klasma.github.io/Logging_0382/tillsynsmail/A 55492-2023 tillsynsbegäran mail.docx", "A 55492-2023")</f>
        <v/>
      </c>
    </row>
    <row r="56" ht="15" customHeight="1">
      <c r="A56" t="inlineStr">
        <is>
          <t>A 24563-2022</t>
        </is>
      </c>
      <c r="B56" t="inlineStr">
        <is>
          <t>avverkningsanmälan</t>
        </is>
      </c>
      <c r="C56" t="inlineStr">
        <is>
          <t>Föryngringsavverkning</t>
        </is>
      </c>
      <c r="D56" s="1" t="n">
        <v>44727</v>
      </c>
      <c r="E56" s="1" t="n">
        <v>46313</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19258-2026</t>
        </is>
      </c>
      <c r="B57" t="inlineStr">
        <is>
          <t>avverkningsanmälan</t>
        </is>
      </c>
      <c r="C57" t="inlineStr">
        <is>
          <t>Föryngringsavverkning</t>
        </is>
      </c>
      <c r="D57" s="1" t="n">
        <v>46132</v>
      </c>
      <c r="E57" s="1" t="n">
        <v>46313</v>
      </c>
      <c r="F57" t="inlineStr">
        <is>
          <t>UPPSALA LÄN</t>
        </is>
      </c>
      <c r="G57" t="inlineStr">
        <is>
          <t>ÖSTHAMMAR</t>
        </is>
      </c>
      <c r="H57" t="inlineStr">
        <is>
          <t>Naturvårdsverket</t>
        </is>
      </c>
      <c r="I57" t="n">
        <v>18.6</v>
      </c>
      <c r="J57" t="n">
        <v>0</v>
      </c>
      <c r="K57" t="n">
        <v>4</v>
      </c>
      <c r="L57" t="n">
        <v>2</v>
      </c>
      <c r="M57" t="n">
        <v>0</v>
      </c>
      <c r="N57" t="n">
        <v>0</v>
      </c>
      <c r="O57" t="n">
        <v>0</v>
      </c>
      <c r="P57" t="n">
        <v>0</v>
      </c>
      <c r="Q57" t="n">
        <v>2</v>
      </c>
      <c r="R57" t="n">
        <v>0</v>
      </c>
      <c r="S57" t="n">
        <v>6</v>
      </c>
      <c r="T57" t="n">
        <v>7</v>
      </c>
      <c r="U57" t="n">
        <v>7</v>
      </c>
      <c r="V57" s="2" t="inlineStr">
        <is>
          <t>Fjällig taggsvamp s.str.
Skarp dropptaggsvamp
Granbarkgnagare
Grönpyrola
Stubbspretmossa
Svavelriska</t>
        </is>
      </c>
      <c r="W57">
        <f>HYPERLINK("https://klasma.github.io/Logging_0382/artfynd/A 19258-2026 artfynd.xlsx", "A 19258-2026")</f>
        <v/>
      </c>
      <c r="X57">
        <f>HYPERLINK("https://klasma.github.io/Logging_0382/kartor/A 19258-2026 karta.png", "A 19258-2026")</f>
        <v/>
      </c>
      <c r="Y57">
        <f>HYPERLINK("https://klasma.github.io/Logging_0382/kartor_geotiff/A 19258-2026 georefererad karta.tif", "A 19258-2026")</f>
        <v/>
      </c>
      <c r="AA57">
        <f>HYPERLINK("https://klasma.github.io/Logging_0382/klagomål/A 19258-2026 FSC-klagomål.docx", "A 19258-2026")</f>
        <v/>
      </c>
      <c r="AB57">
        <f>HYPERLINK("https://klasma.github.io/Logging_0382/klagomålsmail/A 19258-2026 FSC-klagomål mail.docx", "A 19258-2026")</f>
        <v/>
      </c>
      <c r="AC57">
        <f>HYPERLINK("https://klasma.github.io/Logging_0382/tillsyn/A 19258-2026 tillsynsbegäran.docx", "A 19258-2026")</f>
        <v/>
      </c>
      <c r="AD57">
        <f>HYPERLINK("https://klasma.github.io/Logging_0382/tillsynsmail/A 19258-2026 tillsynsbegäran mail.docx", "A 19258-2026")</f>
        <v/>
      </c>
    </row>
    <row r="58" ht="15" customHeight="1">
      <c r="A58" t="inlineStr">
        <is>
          <t>A 48277-2023</t>
        </is>
      </c>
      <c r="B58" t="inlineStr">
        <is>
          <t>avverkningsanmälan</t>
        </is>
      </c>
      <c r="C58" t="inlineStr">
        <is>
          <t>Föryngringsavverkning</t>
        </is>
      </c>
      <c r="D58" s="1" t="n">
        <v>45205</v>
      </c>
      <c r="E58" s="1" t="n">
        <v>46313</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46313</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46313</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46313</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46313</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46313</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46313</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46313</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46313</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46313</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A 35734-2026</t>
        </is>
      </c>
      <c r="B68" t="inlineStr">
        <is>
          <t>avverkningsanmälan</t>
        </is>
      </c>
      <c r="C68" t="inlineStr">
        <is>
          <t>Föryngringsavverkning</t>
        </is>
      </c>
      <c r="D68" s="1" t="n">
        <v>46265</v>
      </c>
      <c r="E68" s="1" t="n">
        <v>46313</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46313</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46313</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46313</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46313</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46313</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48352-2022</t>
        </is>
      </c>
      <c r="B74" t="inlineStr">
        <is>
          <t>avverkningsanmälan</t>
        </is>
      </c>
      <c r="C74" t="inlineStr">
        <is>
          <t>Föryngringsavverkning</t>
        </is>
      </c>
      <c r="D74" s="1" t="n">
        <v>44858</v>
      </c>
      <c r="E74" s="1" t="n">
        <v>46313</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46313</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S 413-2025</t>
        </is>
      </c>
      <c r="B76" t="inlineStr">
        <is>
          <t>samrådsanmälan</t>
        </is>
      </c>
      <c r="C76" t="inlineStr">
        <is>
          <t>Skogsgödsling</t>
        </is>
      </c>
      <c r="D76" s="1" t="n">
        <v>45699</v>
      </c>
      <c r="E76" s="1" t="n">
        <v>46313</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46313</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46313</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46313</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58878-2022</t>
        </is>
      </c>
      <c r="B80" t="inlineStr">
        <is>
          <t>avverkningsanmälan</t>
        </is>
      </c>
      <c r="C80" t="inlineStr">
        <is>
          <t>Föryngringsavverkning</t>
        </is>
      </c>
      <c r="D80" s="1" t="n">
        <v>44903</v>
      </c>
      <c r="E80" s="1" t="n">
        <v>46313</v>
      </c>
      <c r="F80" t="inlineStr">
        <is>
          <t>UPPSALA LÄN</t>
        </is>
      </c>
      <c r="G80" t="inlineStr">
        <is>
          <t>ÖSTHAMMAR</t>
        </is>
      </c>
      <c r="I80" t="n">
        <v>0.8</v>
      </c>
      <c r="J80" t="n">
        <v>2</v>
      </c>
      <c r="K80" t="n">
        <v>1</v>
      </c>
      <c r="L80" t="n">
        <v>1</v>
      </c>
      <c r="M80" t="n">
        <v>0</v>
      </c>
      <c r="N80" t="n">
        <v>0</v>
      </c>
      <c r="O80" t="n">
        <v>0</v>
      </c>
      <c r="P80" t="n">
        <v>0</v>
      </c>
      <c r="Q80" t="n">
        <v>1</v>
      </c>
      <c r="R80" t="n">
        <v>0</v>
      </c>
      <c r="S80" t="n">
        <v>3</v>
      </c>
      <c r="T80" t="n">
        <v>7</v>
      </c>
      <c r="U80" t="n">
        <v>1</v>
      </c>
      <c r="V80" s="2" t="inlineStr">
        <is>
          <t>Solvända
Tvåblad
Gullviva</t>
        </is>
      </c>
      <c r="W80">
        <f>HYPERLINK("https://klasma.github.io/Logging_0382/artfynd/A 58878-2022 artfynd.xlsx", "A 58878-2022")</f>
        <v/>
      </c>
      <c r="X80">
        <f>HYPERLINK("https://klasma.github.io/Logging_0382/kartor/A 58878-2022 karta.png", "A 58878-2022")</f>
        <v/>
      </c>
      <c r="Y80">
        <f>HYPERLINK("https://klasma.github.io/Logging_0382/kartor_geotiff/A 58878-2022 georefererad karta.tif", "A 58878-2022")</f>
        <v/>
      </c>
      <c r="AA80">
        <f>HYPERLINK("https://klasma.github.io/Logging_0382/klagomål/A 58878-2022 FSC-klagomål.docx", "A 58878-2022")</f>
        <v/>
      </c>
      <c r="AB80">
        <f>HYPERLINK("https://klasma.github.io/Logging_0382/klagomålsmail/A 58878-2022 FSC-klagomål mail.docx", "A 58878-2022")</f>
        <v/>
      </c>
      <c r="AC80">
        <f>HYPERLINK("https://klasma.github.io/Logging_0382/tillsyn/A 58878-2022 tillsynsbegäran.docx", "A 58878-2022")</f>
        <v/>
      </c>
      <c r="AD80">
        <f>HYPERLINK("https://klasma.github.io/Logging_0382/tillsynsmail/A 58878-2022 tillsynsbegäran mail.docx", "A 58878-2022")</f>
        <v/>
      </c>
    </row>
    <row r="81" ht="15" customHeight="1">
      <c r="A81" t="inlineStr">
        <is>
          <t>A 23125-2026</t>
        </is>
      </c>
      <c r="B81" t="inlineStr">
        <is>
          <t>avverkningsanmälan</t>
        </is>
      </c>
      <c r="C81" t="inlineStr">
        <is>
          <t>Föryngringsavverkning</t>
        </is>
      </c>
      <c r="D81" s="1" t="n">
        <v>46161</v>
      </c>
      <c r="E81" s="1" t="n">
        <v>46313</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60898-2025</t>
        </is>
      </c>
      <c r="B82" t="inlineStr">
        <is>
          <t>avverkningsanmälan</t>
        </is>
      </c>
      <c r="C82" t="inlineStr">
        <is>
          <t>Föryngringsavverkning</t>
        </is>
      </c>
      <c r="D82" s="1" t="n">
        <v>45999</v>
      </c>
      <c r="E82" s="1" t="n">
        <v>46313</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17694-2026</t>
        </is>
      </c>
      <c r="B83" t="inlineStr">
        <is>
          <t>avverkningsanmälan</t>
        </is>
      </c>
      <c r="C83" t="inlineStr">
        <is>
          <t>Föryngringsavverkning</t>
        </is>
      </c>
      <c r="D83" s="1" t="n">
        <v>46121</v>
      </c>
      <c r="E83" s="1" t="n">
        <v>46313</v>
      </c>
      <c r="F83" t="inlineStr">
        <is>
          <t>UPPSALA LÄN</t>
        </is>
      </c>
      <c r="G83" t="inlineStr">
        <is>
          <t>ÖSTHAMMAR</t>
        </is>
      </c>
      <c r="I83" t="n">
        <v>3.4</v>
      </c>
      <c r="J83" t="n">
        <v>1</v>
      </c>
      <c r="K83" t="n">
        <v>1</v>
      </c>
      <c r="L83" t="n">
        <v>1</v>
      </c>
      <c r="M83" t="n">
        <v>0</v>
      </c>
      <c r="N83" t="n">
        <v>1</v>
      </c>
      <c r="O83" t="n">
        <v>0</v>
      </c>
      <c r="P83" t="n">
        <v>0</v>
      </c>
      <c r="Q83" t="n">
        <v>2</v>
      </c>
      <c r="R83" t="n">
        <v>1</v>
      </c>
      <c r="S83" t="n">
        <v>3</v>
      </c>
      <c r="T83" t="n">
        <v>4</v>
      </c>
      <c r="U83" t="n">
        <v>0</v>
      </c>
      <c r="V83" s="2" t="inlineStr">
        <is>
          <t>Ask
Ängsstarr
Guckusko</t>
        </is>
      </c>
      <c r="W83">
        <f>HYPERLINK("https://klasma.github.io/Logging_0382/artfynd/A 17694-2026 artfynd.xlsx", "A 17694-2026")</f>
        <v/>
      </c>
      <c r="X83">
        <f>HYPERLINK("https://klasma.github.io/Logging_0382/kartor/A 17694-2026 karta.png", "A 17694-2026")</f>
        <v/>
      </c>
      <c r="Y83">
        <f>HYPERLINK("https://klasma.github.io/Logging_0382/kartor_geotiff/A 17694-2026 georefererad karta.tif", "A 17694-2026")</f>
        <v/>
      </c>
      <c r="AA83">
        <f>HYPERLINK("https://klasma.github.io/Logging_0382/klagomål/A 17694-2026 FSC-klagomål.docx", "A 17694-2026")</f>
        <v/>
      </c>
      <c r="AB83">
        <f>HYPERLINK("https://klasma.github.io/Logging_0382/klagomålsmail/A 17694-2026 FSC-klagomål mail.docx", "A 17694-2026")</f>
        <v/>
      </c>
      <c r="AC83">
        <f>HYPERLINK("https://klasma.github.io/Logging_0382/tillsyn/A 17694-2026 tillsynsbegäran.docx", "A 17694-2026")</f>
        <v/>
      </c>
      <c r="AD83">
        <f>HYPERLINK("https://klasma.github.io/Logging_0382/tillsynsmail/A 17694-2026 tillsynsbegäran mail.docx", "A 17694-2026")</f>
        <v/>
      </c>
    </row>
    <row r="84" ht="15" customHeight="1">
      <c r="A84" t="inlineStr">
        <is>
          <t>A 17947-2022</t>
        </is>
      </c>
      <c r="B84" t="inlineStr">
        <is>
          <t>avverkningsanmälan</t>
        </is>
      </c>
      <c r="C84" t="inlineStr">
        <is>
          <t>Föryngringsavverkning</t>
        </is>
      </c>
      <c r="D84" s="1" t="n">
        <v>44683</v>
      </c>
      <c r="E84" s="1" t="n">
        <v>46313</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25098-2022</t>
        </is>
      </c>
      <c r="B85" t="inlineStr">
        <is>
          <t>avverkningsanmälan</t>
        </is>
      </c>
      <c r="C85" t="inlineStr">
        <is>
          <t>Föryngringsavverkning</t>
        </is>
      </c>
      <c r="D85" s="1" t="n">
        <v>44729</v>
      </c>
      <c r="E85" s="1" t="n">
        <v>46313</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22375-2024</t>
        </is>
      </c>
      <c r="B86" t="inlineStr">
        <is>
          <t>avverkningsanmälan</t>
        </is>
      </c>
      <c r="C86" t="inlineStr">
        <is>
          <t>Föryngringsavverkning</t>
        </is>
      </c>
      <c r="D86" s="1" t="n">
        <v>45446</v>
      </c>
      <c r="E86" s="1" t="n">
        <v>46313</v>
      </c>
      <c r="F86" t="inlineStr">
        <is>
          <t>UPPSALA LÄN</t>
        </is>
      </c>
      <c r="G86" t="inlineStr">
        <is>
          <t>ÖSTHAMMAR</t>
        </is>
      </c>
      <c r="H86" t="inlineStr">
        <is>
          <t>Bergvik skog öst AB</t>
        </is>
      </c>
      <c r="I86" t="n">
        <v>2.2</v>
      </c>
      <c r="J86" t="n">
        <v>0</v>
      </c>
      <c r="K86" t="n">
        <v>0</v>
      </c>
      <c r="L86" t="n">
        <v>1</v>
      </c>
      <c r="M86" t="n">
        <v>2</v>
      </c>
      <c r="N86" t="n">
        <v>0</v>
      </c>
      <c r="O86" t="n">
        <v>0</v>
      </c>
      <c r="P86" t="n">
        <v>0</v>
      </c>
      <c r="Q86" t="n">
        <v>3</v>
      </c>
      <c r="R86" t="n">
        <v>2</v>
      </c>
      <c r="S86" t="n">
        <v>3</v>
      </c>
      <c r="T86" t="n">
        <v>4</v>
      </c>
      <c r="U86" t="n">
        <v>1</v>
      </c>
      <c r="V86" s="2" t="inlineStr">
        <is>
          <t>Mindre bastardsvärmare
Stortimjan
Slåtterfibbla</t>
        </is>
      </c>
      <c r="W86">
        <f>HYPERLINK("https://klasma.github.io/Logging_0382/artfynd/A 22375-2024 artfynd.xlsx", "A 22375-2024")</f>
        <v/>
      </c>
      <c r="X86">
        <f>HYPERLINK("https://klasma.github.io/Logging_0382/kartor/A 22375-2024 karta.png", "A 22375-2024")</f>
        <v/>
      </c>
      <c r="Y86">
        <f>HYPERLINK("https://klasma.github.io/Logging_0382/kartor_geotiff/A 22375-2024 georefererad karta.tif", "A 22375-2024")</f>
        <v/>
      </c>
      <c r="AA86">
        <f>HYPERLINK("https://klasma.github.io/Logging_0382/klagomål/A 22375-2024 FSC-klagomål.docx", "A 22375-2024")</f>
        <v/>
      </c>
      <c r="AB86">
        <f>HYPERLINK("https://klasma.github.io/Logging_0382/klagomålsmail/A 22375-2024 FSC-klagomål mail.docx", "A 22375-2024")</f>
        <v/>
      </c>
      <c r="AC86">
        <f>HYPERLINK("https://klasma.github.io/Logging_0382/tillsyn/A 22375-2024 tillsynsbegäran.docx", "A 22375-2024")</f>
        <v/>
      </c>
      <c r="AD86">
        <f>HYPERLINK("https://klasma.github.io/Logging_0382/tillsynsmail/A 22375-2024 tillsynsbegäran mail.docx", "A 22375-2024")</f>
        <v/>
      </c>
    </row>
    <row r="87" ht="15" customHeight="1">
      <c r="A87" t="inlineStr">
        <is>
          <t>A 38318-2026</t>
        </is>
      </c>
      <c r="B87" t="inlineStr">
        <is>
          <t>avverkningsanmälan</t>
        </is>
      </c>
      <c r="C87" t="inlineStr">
        <is>
          <t>Föryngringsavverkning</t>
        </is>
      </c>
      <c r="D87" s="1" t="n">
        <v>46282</v>
      </c>
      <c r="E87" s="1" t="n">
        <v>46313</v>
      </c>
      <c r="F87" t="inlineStr">
        <is>
          <t>UPPSALA LÄN</t>
        </is>
      </c>
      <c r="G87" t="inlineStr">
        <is>
          <t>ÖSTHAMMAR</t>
        </is>
      </c>
      <c r="H87" t="inlineStr">
        <is>
          <t>Kyrkan</t>
        </is>
      </c>
      <c r="I87" t="n">
        <v>6.4</v>
      </c>
      <c r="J87" t="n">
        <v>2</v>
      </c>
      <c r="K87" t="n">
        <v>1</v>
      </c>
      <c r="L87" t="n">
        <v>1</v>
      </c>
      <c r="M87" t="n">
        <v>0</v>
      </c>
      <c r="N87" t="n">
        <v>0</v>
      </c>
      <c r="O87" t="n">
        <v>0</v>
      </c>
      <c r="P87" t="n">
        <v>0</v>
      </c>
      <c r="Q87" t="n">
        <v>1</v>
      </c>
      <c r="R87" t="n">
        <v>0</v>
      </c>
      <c r="S87" t="n">
        <v>3</v>
      </c>
      <c r="T87" t="n">
        <v>13</v>
      </c>
      <c r="U87" t="n">
        <v>13</v>
      </c>
      <c r="V87" s="2" t="inlineStr">
        <is>
          <t>Vårärt
Skogsknipprot
Blåsippa</t>
        </is>
      </c>
      <c r="W87">
        <f>HYPERLINK("https://klasma.github.io/Logging_0382/artfynd/A 38318-2026 artfynd.xlsx", "A 38318-2026")</f>
        <v/>
      </c>
      <c r="X87">
        <f>HYPERLINK("https://klasma.github.io/Logging_0382/kartor/A 38318-2026 karta.png", "A 38318-2026")</f>
        <v/>
      </c>
      <c r="Y87">
        <f>HYPERLINK("https://klasma.github.io/Logging_0382/kartor_geotiff/A 38318-2026 georefererad karta.tif", "A 38318-2026")</f>
        <v/>
      </c>
      <c r="AA87">
        <f>HYPERLINK("https://klasma.github.io/Logging_0382/klagomål/A 38318-2026 FSC-klagomål.docx", "A 38318-2026")</f>
        <v/>
      </c>
      <c r="AB87">
        <f>HYPERLINK("https://klasma.github.io/Logging_0382/klagomålsmail/A 38318-2026 FSC-klagomål mail.docx", "A 38318-2026")</f>
        <v/>
      </c>
      <c r="AC87">
        <f>HYPERLINK("https://klasma.github.io/Logging_0382/tillsyn/A 38318-2026 tillsynsbegäran.docx", "A 38318-2026")</f>
        <v/>
      </c>
      <c r="AD87">
        <f>HYPERLINK("https://klasma.github.io/Logging_0382/tillsynsmail/A 38318-2026 tillsynsbegäran mail.docx", "A 38318-2026")</f>
        <v/>
      </c>
    </row>
    <row r="88" ht="15" customHeight="1">
      <c r="A88" t="inlineStr">
        <is>
          <t>A 24606-2024</t>
        </is>
      </c>
      <c r="B88" t="inlineStr">
        <is>
          <t>avverkningsanmälan</t>
        </is>
      </c>
      <c r="C88" t="inlineStr">
        <is>
          <t>Föryngringsavverkning</t>
        </is>
      </c>
      <c r="D88" s="1" t="n">
        <v>45460</v>
      </c>
      <c r="E88" s="1" t="n">
        <v>46313</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46313</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46313</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46313</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46313</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46313</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46313</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46313</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21862-2023</t>
        </is>
      </c>
      <c r="B96" t="inlineStr">
        <is>
          <t>avverkningsanmälan</t>
        </is>
      </c>
      <c r="C96" t="inlineStr">
        <is>
          <t>Föryngringsavverkning</t>
        </is>
      </c>
      <c r="D96" s="1" t="n">
        <v>45068</v>
      </c>
      <c r="E96" s="1" t="n">
        <v>46313</v>
      </c>
      <c r="F96" t="inlineStr">
        <is>
          <t>UPPSALA LÄN</t>
        </is>
      </c>
      <c r="G96" t="inlineStr">
        <is>
          <t>ÖSTHAMMAR</t>
        </is>
      </c>
      <c r="I96" t="n">
        <v>0.5</v>
      </c>
      <c r="J96" t="n">
        <v>2</v>
      </c>
      <c r="K96" t="n">
        <v>0</v>
      </c>
      <c r="L96" t="n">
        <v>1</v>
      </c>
      <c r="M96" t="n">
        <v>0</v>
      </c>
      <c r="N96" t="n">
        <v>0</v>
      </c>
      <c r="O96" t="n">
        <v>0</v>
      </c>
      <c r="P96" t="n">
        <v>0</v>
      </c>
      <c r="Q96" t="n">
        <v>1</v>
      </c>
      <c r="R96" t="n">
        <v>0</v>
      </c>
      <c r="S96" t="n">
        <v>2</v>
      </c>
      <c r="T96" t="n">
        <v>2</v>
      </c>
      <c r="U96" t="n">
        <v>0</v>
      </c>
      <c r="V96" s="2" t="inlineStr">
        <is>
          <t>Nordfladdermus
Vattenfladdermus</t>
        </is>
      </c>
      <c r="W96">
        <f>HYPERLINK("https://klasma.github.io/Logging_0382/artfynd/A 21862-2023 artfynd.xlsx", "A 21862-2023")</f>
        <v/>
      </c>
      <c r="X96">
        <f>HYPERLINK("https://klasma.github.io/Logging_0382/kartor/A 21862-2023 karta.png", "A 21862-2023")</f>
        <v/>
      </c>
      <c r="Y96">
        <f>HYPERLINK("https://klasma.github.io/Logging_0382/kartor_geotiff/A 21862-2023 georefererad karta.tif", "A 21862-2023")</f>
        <v/>
      </c>
      <c r="AA96">
        <f>HYPERLINK("https://klasma.github.io/Logging_0382/klagomål/A 21862-2023 FSC-klagomål.docx", "A 21862-2023")</f>
        <v/>
      </c>
      <c r="AB96">
        <f>HYPERLINK("https://klasma.github.io/Logging_0382/klagomålsmail/A 21862-2023 FSC-klagomål mail.docx", "A 21862-2023")</f>
        <v/>
      </c>
      <c r="AC96">
        <f>HYPERLINK("https://klasma.github.io/Logging_0382/tillsyn/A 21862-2023 tillsynsbegäran.docx", "A 21862-2023")</f>
        <v/>
      </c>
      <c r="AD96">
        <f>HYPERLINK("https://klasma.github.io/Logging_0382/tillsynsmail/A 21862-2023 tillsynsbegäran mail.docx", "A 21862-2023")</f>
        <v/>
      </c>
    </row>
    <row r="97" ht="15" customHeight="1">
      <c r="A97" t="inlineStr">
        <is>
          <t>A 19009-2023</t>
        </is>
      </c>
      <c r="B97" t="inlineStr">
        <is>
          <t>avverkningsanmälan</t>
        </is>
      </c>
      <c r="C97" t="inlineStr">
        <is>
          <t>Föryngringsavverkning</t>
        </is>
      </c>
      <c r="D97" s="1" t="n">
        <v>45045</v>
      </c>
      <c r="E97" s="1" t="n">
        <v>46313</v>
      </c>
      <c r="F97" t="inlineStr">
        <is>
          <t>UPPSALA LÄN</t>
        </is>
      </c>
      <c r="G97" t="inlineStr">
        <is>
          <t>ÖSTHAMMAR</t>
        </is>
      </c>
      <c r="H97" t="inlineStr">
        <is>
          <t>Bergvik skog öst AB</t>
        </is>
      </c>
      <c r="I97" t="n">
        <v>0.2</v>
      </c>
      <c r="J97" t="n">
        <v>1</v>
      </c>
      <c r="K97" t="n">
        <v>0</v>
      </c>
      <c r="L97" t="n">
        <v>1</v>
      </c>
      <c r="M97" t="n">
        <v>0</v>
      </c>
      <c r="N97" t="n">
        <v>0</v>
      </c>
      <c r="O97" t="n">
        <v>0</v>
      </c>
      <c r="P97" t="n">
        <v>0</v>
      </c>
      <c r="Q97" t="n">
        <v>1</v>
      </c>
      <c r="R97" t="n">
        <v>0</v>
      </c>
      <c r="S97" t="n">
        <v>2</v>
      </c>
      <c r="T97" t="n">
        <v>2</v>
      </c>
      <c r="U97" t="n">
        <v>2</v>
      </c>
      <c r="V97" s="2" t="inlineStr">
        <is>
          <t>Slåtterfibbla
Gullviva</t>
        </is>
      </c>
      <c r="W97">
        <f>HYPERLINK("https://klasma.github.io/Logging_0382/artfynd/A 19009-2023 artfynd.xlsx", "A 19009-2023")</f>
        <v/>
      </c>
      <c r="X97">
        <f>HYPERLINK("https://klasma.github.io/Logging_0382/kartor/A 19009-2023 karta.png", "A 19009-2023")</f>
        <v/>
      </c>
      <c r="Y97">
        <f>HYPERLINK("https://klasma.github.io/Logging_0382/kartor_geotiff/A 19009-2023 georefererad karta.tif", "A 19009-2023")</f>
        <v/>
      </c>
      <c r="AA97">
        <f>HYPERLINK("https://klasma.github.io/Logging_0382/klagomål/A 19009-2023 FSC-klagomål.docx", "A 19009-2023")</f>
        <v/>
      </c>
      <c r="AB97">
        <f>HYPERLINK("https://klasma.github.io/Logging_0382/klagomålsmail/A 19009-2023 FSC-klagomål mail.docx", "A 19009-2023")</f>
        <v/>
      </c>
      <c r="AC97">
        <f>HYPERLINK("https://klasma.github.io/Logging_0382/tillsyn/A 19009-2023 tillsynsbegäran.docx", "A 19009-2023")</f>
        <v/>
      </c>
      <c r="AD97">
        <f>HYPERLINK("https://klasma.github.io/Logging_0382/tillsynsmail/A 19009-2023 tillsynsbegäran mail.docx", "A 19009-2023")</f>
        <v/>
      </c>
    </row>
    <row r="98" ht="15" customHeight="1">
      <c r="A98" t="inlineStr">
        <is>
          <t>A 18539-2024</t>
        </is>
      </c>
      <c r="B98" t="inlineStr">
        <is>
          <t>avverkningsanmälan</t>
        </is>
      </c>
      <c r="C98" t="inlineStr">
        <is>
          <t>Föryngringsavverkning</t>
        </is>
      </c>
      <c r="D98" s="1" t="n">
        <v>45425</v>
      </c>
      <c r="E98" s="1" t="n">
        <v>46313</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46629-2024</t>
        </is>
      </c>
      <c r="B99" t="inlineStr">
        <is>
          <t>avverkningsanmälan</t>
        </is>
      </c>
      <c r="C99" t="inlineStr">
        <is>
          <t>Föryngringsavverkning</t>
        </is>
      </c>
      <c r="D99" s="1" t="n">
        <v>45583</v>
      </c>
      <c r="E99" s="1" t="n">
        <v>46313</v>
      </c>
      <c r="F99" t="inlineStr">
        <is>
          <t>UPPSALA LÄN</t>
        </is>
      </c>
      <c r="G99" t="inlineStr">
        <is>
          <t>ÖSTHAMMAR</t>
        </is>
      </c>
      <c r="H99" t="inlineStr">
        <is>
          <t>Bergvik skog öst AB</t>
        </is>
      </c>
      <c r="I99" t="n">
        <v>0.7</v>
      </c>
      <c r="J99" t="n">
        <v>0</v>
      </c>
      <c r="K99" t="n">
        <v>0</v>
      </c>
      <c r="L99" t="n">
        <v>1</v>
      </c>
      <c r="M99" t="n">
        <v>1</v>
      </c>
      <c r="N99" t="n">
        <v>0</v>
      </c>
      <c r="O99" t="n">
        <v>0</v>
      </c>
      <c r="P99" t="n">
        <v>0</v>
      </c>
      <c r="Q99" t="n">
        <v>2</v>
      </c>
      <c r="R99" t="n">
        <v>1</v>
      </c>
      <c r="S99" t="n">
        <v>2</v>
      </c>
      <c r="T99" t="n">
        <v>2</v>
      </c>
      <c r="U99" t="n">
        <v>0</v>
      </c>
      <c r="V99" s="2" t="inlineStr">
        <is>
          <t>Sexfläckig bastardsvärmare
Slåtterfibbla</t>
        </is>
      </c>
      <c r="W99">
        <f>HYPERLINK("https://klasma.github.io/Logging_0382/artfynd/A 46629-2024 artfynd.xlsx", "A 46629-2024")</f>
        <v/>
      </c>
      <c r="X99">
        <f>HYPERLINK("https://klasma.github.io/Logging_0382/kartor/A 46629-2024 karta.png", "A 46629-2024")</f>
        <v/>
      </c>
      <c r="Y99">
        <f>HYPERLINK("https://klasma.github.io/Logging_0382/kartor_geotiff/A 46629-2024 georefererad karta.tif", "A 46629-2024")</f>
        <v/>
      </c>
      <c r="AA99">
        <f>HYPERLINK("https://klasma.github.io/Logging_0382/klagomål/A 46629-2024 FSC-klagomål.docx", "A 46629-2024")</f>
        <v/>
      </c>
      <c r="AB99">
        <f>HYPERLINK("https://klasma.github.io/Logging_0382/klagomålsmail/A 46629-2024 FSC-klagomål mail.docx", "A 46629-2024")</f>
        <v/>
      </c>
      <c r="AC99">
        <f>HYPERLINK("https://klasma.github.io/Logging_0382/tillsyn/A 46629-2024 tillsynsbegäran.docx", "A 46629-2024")</f>
        <v/>
      </c>
      <c r="AD99">
        <f>HYPERLINK("https://klasma.github.io/Logging_0382/tillsynsmail/A 46629-2024 tillsynsbegäran mail.docx", "A 46629-2024")</f>
        <v/>
      </c>
    </row>
    <row r="100" ht="15" customHeight="1">
      <c r="A100" t="inlineStr">
        <is>
          <t>A 20553-2025</t>
        </is>
      </c>
      <c r="B100" t="inlineStr">
        <is>
          <t>avverkningsanmälan</t>
        </is>
      </c>
      <c r="C100" t="inlineStr">
        <is>
          <t>Föryngringsavverkning</t>
        </is>
      </c>
      <c r="D100" s="1" t="n">
        <v>45775</v>
      </c>
      <c r="E100" s="1" t="n">
        <v>46313</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20871-2026</t>
        </is>
      </c>
      <c r="B101" t="inlineStr">
        <is>
          <t>avverkningsanmälan</t>
        </is>
      </c>
      <c r="C101" t="inlineStr">
        <is>
          <t>Föryngringsavverkning</t>
        </is>
      </c>
      <c r="D101" s="1" t="n">
        <v>46142</v>
      </c>
      <c r="E101" s="1" t="n">
        <v>46313</v>
      </c>
      <c r="F101" t="inlineStr">
        <is>
          <t>UPPSALA LÄN</t>
        </is>
      </c>
      <c r="G101" t="inlineStr">
        <is>
          <t>ÖSTHAMMAR</t>
        </is>
      </c>
      <c r="H101" t="inlineStr">
        <is>
          <t>Övriga Aktiebolag</t>
        </is>
      </c>
      <c r="I101" t="n">
        <v>6.2</v>
      </c>
      <c r="J101" t="n">
        <v>0</v>
      </c>
      <c r="K101" t="n">
        <v>0</v>
      </c>
      <c r="L101" t="n">
        <v>2</v>
      </c>
      <c r="M101" t="n">
        <v>0</v>
      </c>
      <c r="N101" t="n">
        <v>0</v>
      </c>
      <c r="O101" t="n">
        <v>0</v>
      </c>
      <c r="P101" t="n">
        <v>0</v>
      </c>
      <c r="Q101" t="n">
        <v>2</v>
      </c>
      <c r="R101" t="n">
        <v>0</v>
      </c>
      <c r="S101" t="n">
        <v>2</v>
      </c>
      <c r="T101" t="n">
        <v>3</v>
      </c>
      <c r="U101" t="n">
        <v>0</v>
      </c>
      <c r="V101" s="2" t="inlineStr">
        <is>
          <t>Klasefibbla
Slåtterfibbla</t>
        </is>
      </c>
      <c r="W101">
        <f>HYPERLINK("https://klasma.github.io/Logging_0382/artfynd/A 20871-2026 artfynd.xlsx", "A 20871-2026")</f>
        <v/>
      </c>
      <c r="X101">
        <f>HYPERLINK("https://klasma.github.io/Logging_0382/kartor/A 20871-2026 karta.png", "A 20871-2026")</f>
        <v/>
      </c>
      <c r="Y101">
        <f>HYPERLINK("https://klasma.github.io/Logging_0382/kartor_geotiff/A 20871-2026 georefererad karta.tif", "A 20871-2026")</f>
        <v/>
      </c>
      <c r="AA101">
        <f>HYPERLINK("https://klasma.github.io/Logging_0382/klagomål/A 20871-2026 FSC-klagomål.docx", "A 20871-2026")</f>
        <v/>
      </c>
      <c r="AB101">
        <f>HYPERLINK("https://klasma.github.io/Logging_0382/klagomålsmail/A 20871-2026 FSC-klagomål mail.docx", "A 20871-2026")</f>
        <v/>
      </c>
      <c r="AC101">
        <f>HYPERLINK("https://klasma.github.io/Logging_0382/tillsyn/A 20871-2026 tillsynsbegäran.docx", "A 20871-2026")</f>
        <v/>
      </c>
      <c r="AD101">
        <f>HYPERLINK("https://klasma.github.io/Logging_0382/tillsynsmail/A 20871-2026 tillsynsbegäran mail.docx", "A 20871-2026")</f>
        <v/>
      </c>
    </row>
    <row r="102" ht="15" customHeight="1">
      <c r="A102" t="inlineStr">
        <is>
          <t>A 13279-2022</t>
        </is>
      </c>
      <c r="B102" t="inlineStr">
        <is>
          <t>avverkningsanmälan</t>
        </is>
      </c>
      <c r="C102" t="inlineStr">
        <is>
          <t>Föryngringsavverkning</t>
        </is>
      </c>
      <c r="D102" s="1" t="n">
        <v>44644</v>
      </c>
      <c r="E102" s="1" t="n">
        <v>46313</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51708-2025</t>
        </is>
      </c>
      <c r="B103" t="inlineStr">
        <is>
          <t>avverkningsanmälan</t>
        </is>
      </c>
      <c r="C103" t="inlineStr">
        <is>
          <t>Föryngringsavverkning</t>
        </is>
      </c>
      <c r="D103" s="1" t="n">
        <v>45951</v>
      </c>
      <c r="E103" s="1" t="n">
        <v>46313</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61400-2025</t>
        </is>
      </c>
      <c r="B104" t="inlineStr">
        <is>
          <t>avverkningsanmälan</t>
        </is>
      </c>
      <c r="C104" t="inlineStr">
        <is>
          <t>Föryngringsavverkning</t>
        </is>
      </c>
      <c r="D104" s="1" t="n">
        <v>46001</v>
      </c>
      <c r="E104" s="1" t="n">
        <v>46313</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14859-2025</t>
        </is>
      </c>
      <c r="B105" t="inlineStr">
        <is>
          <t>avverkningsanmälan</t>
        </is>
      </c>
      <c r="C105" t="inlineStr">
        <is>
          <t>Föryngringsavverkning</t>
        </is>
      </c>
      <c r="D105" s="1" t="n">
        <v>45743</v>
      </c>
      <c r="E105" s="1" t="n">
        <v>46313</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21453-2023</t>
        </is>
      </c>
      <c r="B106" t="inlineStr">
        <is>
          <t>avverkningsanmälan</t>
        </is>
      </c>
      <c r="C106" t="inlineStr">
        <is>
          <t>Föryngringsavverkning</t>
        </is>
      </c>
      <c r="D106" s="1" t="n">
        <v>45063</v>
      </c>
      <c r="E106" s="1" t="n">
        <v>46313</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54666-2022</t>
        </is>
      </c>
      <c r="B107" t="inlineStr">
        <is>
          <t>avverkningsanmälan</t>
        </is>
      </c>
      <c r="C107" t="inlineStr">
        <is>
          <t>Föryngringsavverkning</t>
        </is>
      </c>
      <c r="D107" s="1" t="n">
        <v>44883</v>
      </c>
      <c r="E107" s="1" t="n">
        <v>46313</v>
      </c>
      <c r="F107" t="inlineStr">
        <is>
          <t>UPPSALA LÄN</t>
        </is>
      </c>
      <c r="G107" t="inlineStr">
        <is>
          <t>ÖSTHAMMAR</t>
        </is>
      </c>
      <c r="I107" t="n">
        <v>14.3</v>
      </c>
      <c r="J107" t="n">
        <v>0</v>
      </c>
      <c r="K107" t="n">
        <v>1</v>
      </c>
      <c r="L107" t="n">
        <v>0</v>
      </c>
      <c r="M107" t="n">
        <v>0</v>
      </c>
      <c r="N107" t="n">
        <v>0</v>
      </c>
      <c r="O107" t="n">
        <v>0</v>
      </c>
      <c r="P107" t="n">
        <v>0</v>
      </c>
      <c r="Q107" t="n">
        <v>0</v>
      </c>
      <c r="R107" t="n">
        <v>0</v>
      </c>
      <c r="S107" t="n">
        <v>2</v>
      </c>
      <c r="T107" t="n">
        <v>2</v>
      </c>
      <c r="U107" t="n">
        <v>1</v>
      </c>
      <c r="V107" s="2" t="inlineStr">
        <is>
          <t>Kamjordstjärna
Repestarr</t>
        </is>
      </c>
      <c r="W107">
        <f>HYPERLINK("https://klasma.github.io/Logging_0382/artfynd/A 54666-2022 artfynd.xlsx", "A 54666-2022")</f>
        <v/>
      </c>
      <c r="X107">
        <f>HYPERLINK("https://klasma.github.io/Logging_0382/kartor/A 54666-2022 karta.png", "A 54666-2022")</f>
        <v/>
      </c>
      <c r="Y107">
        <f>HYPERLINK("https://klasma.github.io/Logging_0382/kartor_geotiff/A 54666-2022 georefererad karta.tif", "A 54666-2022")</f>
        <v/>
      </c>
      <c r="AA107">
        <f>HYPERLINK("https://klasma.github.io/Logging_0382/klagomål/A 54666-2022 FSC-klagomål.docx", "A 54666-2022")</f>
        <v/>
      </c>
      <c r="AB107">
        <f>HYPERLINK("https://klasma.github.io/Logging_0382/klagomålsmail/A 54666-2022 FSC-klagomål mail.docx", "A 54666-2022")</f>
        <v/>
      </c>
      <c r="AC107">
        <f>HYPERLINK("https://klasma.github.io/Logging_0382/tillsyn/A 54666-2022 tillsynsbegäran.docx", "A 54666-2022")</f>
        <v/>
      </c>
      <c r="AD107">
        <f>HYPERLINK("https://klasma.github.io/Logging_0382/tillsynsmail/A 54666-2022 tillsynsbegäran mail.docx", "A 54666-2022")</f>
        <v/>
      </c>
    </row>
    <row r="108" ht="15" customHeight="1">
      <c r="A108" t="inlineStr">
        <is>
          <t>A 21422-2023</t>
        </is>
      </c>
      <c r="B108" t="inlineStr">
        <is>
          <t>avverkningsanmälan</t>
        </is>
      </c>
      <c r="C108" t="inlineStr">
        <is>
          <t>Föryngringsavverkning</t>
        </is>
      </c>
      <c r="D108" s="1" t="n">
        <v>45063</v>
      </c>
      <c r="E108" s="1" t="n">
        <v>46313</v>
      </c>
      <c r="F108" t="inlineStr">
        <is>
          <t>UPPSALA LÄN</t>
        </is>
      </c>
      <c r="G108" t="inlineStr">
        <is>
          <t>ÖSTHAMMAR</t>
        </is>
      </c>
      <c r="H108" t="inlineStr">
        <is>
          <t>Sveaskog</t>
        </is>
      </c>
      <c r="I108" t="n">
        <v>2.8</v>
      </c>
      <c r="J108" t="n">
        <v>2</v>
      </c>
      <c r="K108" t="n">
        <v>0</v>
      </c>
      <c r="L108" t="n">
        <v>1</v>
      </c>
      <c r="M108" t="n">
        <v>0</v>
      </c>
      <c r="N108" t="n">
        <v>0</v>
      </c>
      <c r="O108" t="n">
        <v>0</v>
      </c>
      <c r="P108" t="n">
        <v>0</v>
      </c>
      <c r="Q108" t="n">
        <v>1</v>
      </c>
      <c r="R108" t="n">
        <v>0</v>
      </c>
      <c r="S108" t="n">
        <v>2</v>
      </c>
      <c r="T108" t="n">
        <v>5</v>
      </c>
      <c r="U108" t="n">
        <v>0</v>
      </c>
      <c r="V108" s="2" t="inlineStr">
        <is>
          <t>Nordfladdermus
Dvärgpipistrell</t>
        </is>
      </c>
      <c r="W108">
        <f>HYPERLINK("https://klasma.github.io/Logging_0382/artfynd/A 21422-2023 artfynd.xlsx", "A 21422-2023")</f>
        <v/>
      </c>
      <c r="X108">
        <f>HYPERLINK("https://klasma.github.io/Logging_0382/kartor/A 21422-2023 karta.png", "A 21422-2023")</f>
        <v/>
      </c>
      <c r="Y108">
        <f>HYPERLINK("https://klasma.github.io/Logging_0382/kartor_geotiff/A 21422-2023 georefererad karta.tif", "A 21422-2023")</f>
        <v/>
      </c>
      <c r="AA108">
        <f>HYPERLINK("https://klasma.github.io/Logging_0382/klagomål/A 21422-2023 FSC-klagomål.docx", "A 21422-2023")</f>
        <v/>
      </c>
      <c r="AB108">
        <f>HYPERLINK("https://klasma.github.io/Logging_0382/klagomålsmail/A 21422-2023 FSC-klagomål mail.docx", "A 21422-2023")</f>
        <v/>
      </c>
      <c r="AC108">
        <f>HYPERLINK("https://klasma.github.io/Logging_0382/tillsyn/A 21422-2023 tillsynsbegäran.docx", "A 21422-2023")</f>
        <v/>
      </c>
      <c r="AD108">
        <f>HYPERLINK("https://klasma.github.io/Logging_0382/tillsynsmail/A 21422-2023 tillsynsbegäran mail.docx", "A 21422-2023")</f>
        <v/>
      </c>
    </row>
    <row r="109" ht="15" customHeight="1">
      <c r="A109" t="inlineStr">
        <is>
          <t>A 39200-2026</t>
        </is>
      </c>
      <c r="B109" t="inlineStr">
        <is>
          <t>avverkningsanmälan</t>
        </is>
      </c>
      <c r="C109" t="inlineStr">
        <is>
          <t>Föryngringsavverkning</t>
        </is>
      </c>
      <c r="D109" s="1" t="n">
        <v>46287</v>
      </c>
      <c r="E109" s="1" t="n">
        <v>46313</v>
      </c>
      <c r="F109" t="inlineStr">
        <is>
          <t>UPPSALA LÄN</t>
        </is>
      </c>
      <c r="G109" t="inlineStr">
        <is>
          <t>ÖSTHAMMAR</t>
        </is>
      </c>
      <c r="I109" t="n">
        <v>9.300000000000001</v>
      </c>
      <c r="J109" t="n">
        <v>0</v>
      </c>
      <c r="K109" t="n">
        <v>0</v>
      </c>
      <c r="L109" t="n">
        <v>2</v>
      </c>
      <c r="M109" t="n">
        <v>0</v>
      </c>
      <c r="N109" t="n">
        <v>0</v>
      </c>
      <c r="O109" t="n">
        <v>0</v>
      </c>
      <c r="P109" t="n">
        <v>0</v>
      </c>
      <c r="Q109" t="n">
        <v>2</v>
      </c>
      <c r="R109" t="n">
        <v>0</v>
      </c>
      <c r="S109" t="n">
        <v>2</v>
      </c>
      <c r="T109" t="n">
        <v>5</v>
      </c>
      <c r="U109" t="n">
        <v>0</v>
      </c>
      <c r="V109" s="2" t="inlineStr">
        <is>
          <t>Solvända
Åkerkulla</t>
        </is>
      </c>
      <c r="W109">
        <f>HYPERLINK("https://klasma.github.io/Logging_0382/artfynd/A 39200-2026 artfynd.xlsx", "A 39200-2026")</f>
        <v/>
      </c>
      <c r="X109">
        <f>HYPERLINK("https://klasma.github.io/Logging_0382/kartor/A 39200-2026 karta.png", "A 39200-2026")</f>
        <v/>
      </c>
      <c r="Y109">
        <f>HYPERLINK("https://klasma.github.io/Logging_0382/kartor_geotiff/A 39200-2026 georefererad karta.tif", "A 39200-2026")</f>
        <v/>
      </c>
      <c r="AA109">
        <f>HYPERLINK("https://klasma.github.io/Logging_0382/klagomål/A 39200-2026 FSC-klagomål.docx", "A 39200-2026")</f>
        <v/>
      </c>
      <c r="AB109">
        <f>HYPERLINK("https://klasma.github.io/Logging_0382/klagomålsmail/A 39200-2026 FSC-klagomål mail.docx", "A 39200-2026")</f>
        <v/>
      </c>
      <c r="AC109">
        <f>HYPERLINK("https://klasma.github.io/Logging_0382/tillsyn/A 39200-2026 tillsynsbegäran.docx", "A 39200-2026")</f>
        <v/>
      </c>
      <c r="AD109">
        <f>HYPERLINK("https://klasma.github.io/Logging_0382/tillsynsmail/A 39200-2026 tillsynsbegäran mail.docx", "A 39200-2026")</f>
        <v/>
      </c>
    </row>
    <row r="110" ht="15" customHeight="1">
      <c r="A110" t="inlineStr">
        <is>
          <t>A 34006-2026</t>
        </is>
      </c>
      <c r="B110" t="inlineStr">
        <is>
          <t>avverkningsanmälan</t>
        </is>
      </c>
      <c r="C110" t="inlineStr">
        <is>
          <t>Föryngringsavverkning</t>
        </is>
      </c>
      <c r="D110" s="1" t="n">
        <v>46252</v>
      </c>
      <c r="E110" s="1" t="n">
        <v>46313</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41076-2026</t>
        </is>
      </c>
      <c r="B111" t="inlineStr">
        <is>
          <t>avverkningsanmälan</t>
        </is>
      </c>
      <c r="C111" t="inlineStr">
        <is>
          <t>Föryngringsavverkning</t>
        </is>
      </c>
      <c r="D111" s="1" t="n">
        <v>46300</v>
      </c>
      <c r="E111" s="1" t="n">
        <v>46313</v>
      </c>
      <c r="F111" t="inlineStr">
        <is>
          <t>UPPSALA LÄN</t>
        </is>
      </c>
      <c r="G111" t="inlineStr">
        <is>
          <t>ÖSTHAMMAR</t>
        </is>
      </c>
      <c r="I111" t="n">
        <v>2.5</v>
      </c>
      <c r="J111" t="n">
        <v>0</v>
      </c>
      <c r="K111" t="n">
        <v>2</v>
      </c>
      <c r="L111" t="n">
        <v>0</v>
      </c>
      <c r="M111" t="n">
        <v>0</v>
      </c>
      <c r="N111" t="n">
        <v>0</v>
      </c>
      <c r="O111" t="n">
        <v>0</v>
      </c>
      <c r="P111" t="n">
        <v>0</v>
      </c>
      <c r="Q111" t="n">
        <v>0</v>
      </c>
      <c r="R111" t="n">
        <v>0</v>
      </c>
      <c r="S111" t="n">
        <v>2</v>
      </c>
      <c r="T111" t="n">
        <v>2</v>
      </c>
      <c r="U111" t="n">
        <v>0</v>
      </c>
      <c r="V111" s="2" t="inlineStr">
        <is>
          <t>Bronshjon
Vågbandad barkbock</t>
        </is>
      </c>
      <c r="W111">
        <f>HYPERLINK("https://klasma.github.io/Logging_0382/artfynd/A 41076-2026 artfynd.xlsx", "A 41076-2026")</f>
        <v/>
      </c>
      <c r="X111">
        <f>HYPERLINK("https://klasma.github.io/Logging_0382/kartor/A 41076-2026 karta.png", "A 41076-2026")</f>
        <v/>
      </c>
      <c r="Y111">
        <f>HYPERLINK("https://klasma.github.io/Logging_0382/kartor_geotiff/A 41076-2026 georefererad karta.tif", "A 41076-2026")</f>
        <v/>
      </c>
      <c r="AA111">
        <f>HYPERLINK("https://klasma.github.io/Logging_0382/klagomål/A 41076-2026 FSC-klagomål.docx", "A 41076-2026")</f>
        <v/>
      </c>
      <c r="AB111">
        <f>HYPERLINK("https://klasma.github.io/Logging_0382/klagomålsmail/A 41076-2026 FSC-klagomål mail.docx", "A 41076-2026")</f>
        <v/>
      </c>
      <c r="AC111">
        <f>HYPERLINK("https://klasma.github.io/Logging_0382/tillsyn/A 41076-2026 tillsynsbegäran.docx", "A 41076-2026")</f>
        <v/>
      </c>
      <c r="AD111">
        <f>HYPERLINK("https://klasma.github.io/Logging_0382/tillsynsmail/A 41076-2026 tillsynsbegäran mail.docx", "A 41076-2026")</f>
        <v/>
      </c>
    </row>
    <row r="112" ht="15" customHeight="1">
      <c r="A112" t="inlineStr">
        <is>
          <t>A 14203-2024</t>
        </is>
      </c>
      <c r="B112" t="inlineStr">
        <is>
          <t>avverkningsanmälan</t>
        </is>
      </c>
      <c r="C112" t="inlineStr">
        <is>
          <t>Föryngringsavverkning</t>
        </is>
      </c>
      <c r="D112" s="1" t="n">
        <v>45393</v>
      </c>
      <c r="E112" s="1" t="n">
        <v>46313</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46313</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46313</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46313</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46313</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46313</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46313</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34418-2022</t>
        </is>
      </c>
      <c r="B119" t="inlineStr">
        <is>
          <t>avverkningsanmälan</t>
        </is>
      </c>
      <c r="C119" t="inlineStr">
        <is>
          <t>Föryngringsavverkning</t>
        </is>
      </c>
      <c r="D119" s="1" t="n">
        <v>44792</v>
      </c>
      <c r="E119" s="1" t="n">
        <v>46313</v>
      </c>
      <c r="F119" t="inlineStr">
        <is>
          <t>UPPSALA LÄN</t>
        </is>
      </c>
      <c r="G119" t="inlineStr">
        <is>
          <t>ÖSTHAMMAR</t>
        </is>
      </c>
      <c r="I119" t="n">
        <v>0.3</v>
      </c>
      <c r="J119" t="n">
        <v>0</v>
      </c>
      <c r="K119" t="n">
        <v>1</v>
      </c>
      <c r="L119" t="n">
        <v>0</v>
      </c>
      <c r="M119" t="n">
        <v>0</v>
      </c>
      <c r="N119" t="n">
        <v>0</v>
      </c>
      <c r="O119" t="n">
        <v>0</v>
      </c>
      <c r="P119" t="n">
        <v>0</v>
      </c>
      <c r="Q119" t="n">
        <v>0</v>
      </c>
      <c r="R119" t="n">
        <v>0</v>
      </c>
      <c r="S119" t="n">
        <v>1</v>
      </c>
      <c r="T119" t="n">
        <v>1</v>
      </c>
      <c r="U119" t="n">
        <v>0</v>
      </c>
      <c r="V119" s="2" t="inlineStr">
        <is>
          <t>Grönpyrola</t>
        </is>
      </c>
      <c r="W119">
        <f>HYPERLINK("https://klasma.github.io/Logging_0382/artfynd/A 34418-2022 artfynd.xlsx", "A 34418-2022")</f>
        <v/>
      </c>
      <c r="X119">
        <f>HYPERLINK("https://klasma.github.io/Logging_0382/kartor/A 34418-2022 karta.png", "A 34418-2022")</f>
        <v/>
      </c>
      <c r="Y119">
        <f>HYPERLINK("https://klasma.github.io/Logging_0382/kartor_geotiff/A 34418-2022 georefererad karta.tif", "A 34418-2022")</f>
        <v/>
      </c>
      <c r="AA119">
        <f>HYPERLINK("https://klasma.github.io/Logging_0382/klagomål/A 34418-2022 FSC-klagomål.docx", "A 34418-2022")</f>
        <v/>
      </c>
      <c r="AB119">
        <f>HYPERLINK("https://klasma.github.io/Logging_0382/klagomålsmail/A 34418-2022 FSC-klagomål mail.docx", "A 34418-2022")</f>
        <v/>
      </c>
      <c r="AC119">
        <f>HYPERLINK("https://klasma.github.io/Logging_0382/tillsyn/A 34418-2022 tillsynsbegäran.docx", "A 34418-2022")</f>
        <v/>
      </c>
      <c r="AD119">
        <f>HYPERLINK("https://klasma.github.io/Logging_0382/tillsynsmail/A 34418-2022 tillsynsbegäran mail.docx", "A 34418-2022")</f>
        <v/>
      </c>
    </row>
    <row r="120" ht="15" customHeight="1">
      <c r="A120" t="inlineStr">
        <is>
          <t>A 22887-2022</t>
        </is>
      </c>
      <c r="B120" t="inlineStr">
        <is>
          <t>avverkningsanmälan</t>
        </is>
      </c>
      <c r="C120" t="inlineStr">
        <is>
          <t>Avverkning för annat ändamål</t>
        </is>
      </c>
      <c r="D120" s="1" t="n">
        <v>44715</v>
      </c>
      <c r="E120" s="1" t="n">
        <v>46313</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7446-2022</t>
        </is>
      </c>
      <c r="B121" t="inlineStr">
        <is>
          <t>avverkningsanmälan</t>
        </is>
      </c>
      <c r="C121" t="inlineStr">
        <is>
          <t>Föryngringsavverkning</t>
        </is>
      </c>
      <c r="D121" s="1" t="n">
        <v>44606</v>
      </c>
      <c r="E121" s="1" t="n">
        <v>46313</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46313</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2947-2025</t>
        </is>
      </c>
      <c r="B123" t="inlineStr">
        <is>
          <t>avverkningsanmälan</t>
        </is>
      </c>
      <c r="C123" t="inlineStr">
        <is>
          <t>Föryngringsavverkning</t>
        </is>
      </c>
      <c r="D123" s="1" t="n">
        <v>45678</v>
      </c>
      <c r="E123" s="1" t="n">
        <v>46313</v>
      </c>
      <c r="F123" t="inlineStr">
        <is>
          <t>UPPSALA LÄN</t>
        </is>
      </c>
      <c r="G123" t="inlineStr">
        <is>
          <t>ÖSTHAMMAR</t>
        </is>
      </c>
      <c r="I123" t="n">
        <v>3.6</v>
      </c>
      <c r="J123" t="n">
        <v>0</v>
      </c>
      <c r="K123" t="n">
        <v>0</v>
      </c>
      <c r="L123" t="n">
        <v>1</v>
      </c>
      <c r="M123" t="n">
        <v>0</v>
      </c>
      <c r="N123" t="n">
        <v>0</v>
      </c>
      <c r="O123" t="n">
        <v>0</v>
      </c>
      <c r="P123" t="n">
        <v>0</v>
      </c>
      <c r="Q123" t="n">
        <v>1</v>
      </c>
      <c r="R123" t="n">
        <v>0</v>
      </c>
      <c r="S123" t="n">
        <v>1</v>
      </c>
      <c r="T123" t="n">
        <v>1</v>
      </c>
      <c r="U123" t="n">
        <v>0</v>
      </c>
      <c r="V123" s="2" t="inlineStr">
        <is>
          <t>Vedtrappmossa</t>
        </is>
      </c>
      <c r="W123">
        <f>HYPERLINK("https://klasma.github.io/Logging_0382/artfynd/A 2947-2025 artfynd.xlsx", "A 2947-2025")</f>
        <v/>
      </c>
      <c r="X123">
        <f>HYPERLINK("https://klasma.github.io/Logging_0382/kartor/A 2947-2025 karta.png", "A 2947-2025")</f>
        <v/>
      </c>
      <c r="Y123">
        <f>HYPERLINK("https://klasma.github.io/Logging_0382/kartor_geotiff/A 2947-2025 georefererad karta.tif", "A 2947-2025")</f>
        <v/>
      </c>
      <c r="AA123">
        <f>HYPERLINK("https://klasma.github.io/Logging_0382/klagomål/A 2947-2025 FSC-klagomål.docx", "A 2947-2025")</f>
        <v/>
      </c>
      <c r="AB123">
        <f>HYPERLINK("https://klasma.github.io/Logging_0382/klagomålsmail/A 2947-2025 FSC-klagomål mail.docx", "A 2947-2025")</f>
        <v/>
      </c>
      <c r="AC123">
        <f>HYPERLINK("https://klasma.github.io/Logging_0382/tillsyn/A 2947-2025 tillsynsbegäran.docx", "A 2947-2025")</f>
        <v/>
      </c>
      <c r="AD123">
        <f>HYPERLINK("https://klasma.github.io/Logging_0382/tillsynsmail/A 2947-2025 tillsynsbegäran mail.docx", "A 2947-2025")</f>
        <v/>
      </c>
    </row>
    <row r="124" ht="15" customHeight="1">
      <c r="A124" t="inlineStr">
        <is>
          <t>A 4984-2024</t>
        </is>
      </c>
      <c r="B124" t="inlineStr">
        <is>
          <t>avverkningsanmälan</t>
        </is>
      </c>
      <c r="C124" t="inlineStr">
        <is>
          <t>Föryngringsavverkning</t>
        </is>
      </c>
      <c r="D124" s="1" t="n">
        <v>45329</v>
      </c>
      <c r="E124" s="1" t="n">
        <v>46313</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40570-2025</t>
        </is>
      </c>
      <c r="B125" t="inlineStr">
        <is>
          <t>avverkningsanmälan</t>
        </is>
      </c>
      <c r="C125" t="inlineStr">
        <is>
          <t>Föryngringsavverkning</t>
        </is>
      </c>
      <c r="D125" s="1" t="n">
        <v>45896</v>
      </c>
      <c r="E125" s="1" t="n">
        <v>46313</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46313</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46313</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46313</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46313</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46313</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46313</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22409-2026</t>
        </is>
      </c>
      <c r="B132" t="inlineStr">
        <is>
          <t>avverkningsanmälan</t>
        </is>
      </c>
      <c r="C132" t="inlineStr">
        <is>
          <t>Föryngringsavverkning</t>
        </is>
      </c>
      <c r="D132" s="1" t="n">
        <v>46154</v>
      </c>
      <c r="E132" s="1" t="n">
        <v>46313</v>
      </c>
      <c r="F132" t="inlineStr">
        <is>
          <t>UPPSALA LÄN</t>
        </is>
      </c>
      <c r="G132" t="inlineStr">
        <is>
          <t>ÖSTHAMMAR</t>
        </is>
      </c>
      <c r="H132" t="inlineStr">
        <is>
          <t>Övriga Aktiebolag</t>
        </is>
      </c>
      <c r="I132" t="n">
        <v>4.8</v>
      </c>
      <c r="J132" t="n">
        <v>0</v>
      </c>
      <c r="K132" t="n">
        <v>0</v>
      </c>
      <c r="L132" t="n">
        <v>1</v>
      </c>
      <c r="M132" t="n">
        <v>0</v>
      </c>
      <c r="N132" t="n">
        <v>0</v>
      </c>
      <c r="O132" t="n">
        <v>0</v>
      </c>
      <c r="P132" t="n">
        <v>0</v>
      </c>
      <c r="Q132" t="n">
        <v>1</v>
      </c>
      <c r="R132" t="n">
        <v>0</v>
      </c>
      <c r="S132" t="n">
        <v>1</v>
      </c>
      <c r="T132" t="n">
        <v>1</v>
      </c>
      <c r="U132" t="n">
        <v>0</v>
      </c>
      <c r="V132" s="2" t="inlineStr">
        <is>
          <t>Backklöver</t>
        </is>
      </c>
      <c r="W132">
        <f>HYPERLINK("https://klasma.github.io/Logging_0382/artfynd/A 22409-2026 artfynd.xlsx", "A 22409-2026")</f>
        <v/>
      </c>
      <c r="X132">
        <f>HYPERLINK("https://klasma.github.io/Logging_0382/kartor/A 22409-2026 karta.png", "A 22409-2026")</f>
        <v/>
      </c>
      <c r="Y132">
        <f>HYPERLINK("https://klasma.github.io/Logging_0382/kartor_geotiff/A 22409-2026 georefererad karta.tif", "A 22409-2026")</f>
        <v/>
      </c>
      <c r="AA132">
        <f>HYPERLINK("https://klasma.github.io/Logging_0382/klagomål/A 22409-2026 FSC-klagomål.docx", "A 22409-2026")</f>
        <v/>
      </c>
      <c r="AB132">
        <f>HYPERLINK("https://klasma.github.io/Logging_0382/klagomålsmail/A 22409-2026 FSC-klagomål mail.docx", "A 22409-2026")</f>
        <v/>
      </c>
      <c r="AC132">
        <f>HYPERLINK("https://klasma.github.io/Logging_0382/tillsyn/A 22409-2026 tillsynsbegäran.docx", "A 22409-2026")</f>
        <v/>
      </c>
      <c r="AD132">
        <f>HYPERLINK("https://klasma.github.io/Logging_0382/tillsynsmail/A 22409-2026 tillsynsbegäran mail.docx", "A 22409-2026")</f>
        <v/>
      </c>
    </row>
    <row r="133" ht="15" customHeight="1">
      <c r="A133" t="inlineStr">
        <is>
          <t>A 12753-2024</t>
        </is>
      </c>
      <c r="B133" t="inlineStr">
        <is>
          <t>avverkningsanmälan</t>
        </is>
      </c>
      <c r="C133" t="inlineStr">
        <is>
          <t>Föryngringsavverkning</t>
        </is>
      </c>
      <c r="D133" s="1" t="n">
        <v>45384</v>
      </c>
      <c r="E133" s="1" t="n">
        <v>46313</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46313</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20634-2024</t>
        </is>
      </c>
      <c r="B135" t="inlineStr">
        <is>
          <t>avverkningsanmälan</t>
        </is>
      </c>
      <c r="C135" t="inlineStr">
        <is>
          <t>Föryngringsavverkning</t>
        </is>
      </c>
      <c r="D135" s="1" t="n">
        <v>45436</v>
      </c>
      <c r="E135" s="1" t="n">
        <v>46313</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46313</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46313</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6507-2026</t>
        </is>
      </c>
      <c r="B138" t="inlineStr">
        <is>
          <t>avverkningsanmälan</t>
        </is>
      </c>
      <c r="C138" t="inlineStr">
        <is>
          <t>Föryngringsavverkning</t>
        </is>
      </c>
      <c r="D138" s="1" t="n">
        <v>46056</v>
      </c>
      <c r="E138" s="1" t="n">
        <v>46313</v>
      </c>
      <c r="F138" t="inlineStr">
        <is>
          <t>UPPSALA LÄN</t>
        </is>
      </c>
      <c r="G138" t="inlineStr">
        <is>
          <t>ÖSTHAMMAR</t>
        </is>
      </c>
      <c r="H138" t="inlineStr">
        <is>
          <t>Bergvik skog öst AB</t>
        </is>
      </c>
      <c r="I138" t="n">
        <v>1.5</v>
      </c>
      <c r="J138" t="n">
        <v>0</v>
      </c>
      <c r="K138" t="n">
        <v>1</v>
      </c>
      <c r="L138" t="n">
        <v>0</v>
      </c>
      <c r="M138" t="n">
        <v>0</v>
      </c>
      <c r="N138" t="n">
        <v>0</v>
      </c>
      <c r="O138" t="n">
        <v>0</v>
      </c>
      <c r="P138" t="n">
        <v>0</v>
      </c>
      <c r="Q138" t="n">
        <v>0</v>
      </c>
      <c r="R138" t="n">
        <v>0</v>
      </c>
      <c r="S138" t="n">
        <v>1</v>
      </c>
      <c r="T138" t="n">
        <v>1</v>
      </c>
      <c r="U138" t="n">
        <v>0</v>
      </c>
      <c r="V138" s="2" t="inlineStr">
        <is>
          <t>Tibast</t>
        </is>
      </c>
      <c r="W138">
        <f>HYPERLINK("https://klasma.github.io/Logging_0382/artfynd/A 6507-2026 artfynd.xlsx", "A 6507-2026")</f>
        <v/>
      </c>
      <c r="X138">
        <f>HYPERLINK("https://klasma.github.io/Logging_0382/kartor/A 6507-2026 karta.png", "A 6507-2026")</f>
        <v/>
      </c>
      <c r="Y138">
        <f>HYPERLINK("https://klasma.github.io/Logging_0382/kartor_geotiff/A 6507-2026 georefererad karta.tif", "A 6507-2026")</f>
        <v/>
      </c>
      <c r="AA138">
        <f>HYPERLINK("https://klasma.github.io/Logging_0382/klagomål/A 6507-2026 FSC-klagomål.docx", "A 6507-2026")</f>
        <v/>
      </c>
      <c r="AB138">
        <f>HYPERLINK("https://klasma.github.io/Logging_0382/klagomålsmail/A 6507-2026 FSC-klagomål mail.docx", "A 6507-2026")</f>
        <v/>
      </c>
      <c r="AC138">
        <f>HYPERLINK("https://klasma.github.io/Logging_0382/tillsyn/A 6507-2026 tillsynsbegäran.docx", "A 6507-2026")</f>
        <v/>
      </c>
      <c r="AD138">
        <f>HYPERLINK("https://klasma.github.io/Logging_0382/tillsynsmail/A 6507-2026 tillsynsbegäran mail.docx", "A 6507-2026")</f>
        <v/>
      </c>
    </row>
    <row r="139" ht="15" customHeight="1">
      <c r="A139" t="inlineStr">
        <is>
          <t>A 7855-2026</t>
        </is>
      </c>
      <c r="B139" t="inlineStr">
        <is>
          <t>avverkningsanmälan</t>
        </is>
      </c>
      <c r="C139" t="inlineStr">
        <is>
          <t>Föryngringsavverkning</t>
        </is>
      </c>
      <c r="D139" s="1" t="n">
        <v>46062</v>
      </c>
      <c r="E139" s="1" t="n">
        <v>46313</v>
      </c>
      <c r="F139" t="inlineStr">
        <is>
          <t>UPPSALA LÄN</t>
        </is>
      </c>
      <c r="G139" t="inlineStr">
        <is>
          <t>ÖSTHAMMAR</t>
        </is>
      </c>
      <c r="I139" t="n">
        <v>3.8</v>
      </c>
      <c r="J139" t="n">
        <v>0</v>
      </c>
      <c r="K139" t="n">
        <v>0</v>
      </c>
      <c r="L139" t="n">
        <v>1</v>
      </c>
      <c r="M139" t="n">
        <v>0</v>
      </c>
      <c r="N139" t="n">
        <v>0</v>
      </c>
      <c r="O139" t="n">
        <v>0</v>
      </c>
      <c r="P139" t="n">
        <v>0</v>
      </c>
      <c r="Q139" t="n">
        <v>1</v>
      </c>
      <c r="R139" t="n">
        <v>0</v>
      </c>
      <c r="S139" t="n">
        <v>1</v>
      </c>
      <c r="T139" t="n">
        <v>1</v>
      </c>
      <c r="U139" t="n">
        <v>0</v>
      </c>
      <c r="V139" s="2" t="inlineStr">
        <is>
          <t>Skogsklocka</t>
        </is>
      </c>
      <c r="W139">
        <f>HYPERLINK("https://klasma.github.io/Logging_0382/artfynd/A 7855-2026 artfynd.xlsx", "A 7855-2026")</f>
        <v/>
      </c>
      <c r="X139">
        <f>HYPERLINK("https://klasma.github.io/Logging_0382/kartor/A 7855-2026 karta.png", "A 7855-2026")</f>
        <v/>
      </c>
      <c r="Y139">
        <f>HYPERLINK("https://klasma.github.io/Logging_0382/kartor_geotiff/A 7855-2026 georefererad karta.tif", "A 7855-2026")</f>
        <v/>
      </c>
      <c r="AA139">
        <f>HYPERLINK("https://klasma.github.io/Logging_0382/klagomål/A 7855-2026 FSC-klagomål.docx", "A 7855-2026")</f>
        <v/>
      </c>
      <c r="AB139">
        <f>HYPERLINK("https://klasma.github.io/Logging_0382/klagomålsmail/A 7855-2026 FSC-klagomål mail.docx", "A 7855-2026")</f>
        <v/>
      </c>
      <c r="AC139">
        <f>HYPERLINK("https://klasma.github.io/Logging_0382/tillsyn/A 7855-2026 tillsynsbegäran.docx", "A 7855-2026")</f>
        <v/>
      </c>
      <c r="AD139">
        <f>HYPERLINK("https://klasma.github.io/Logging_0382/tillsynsmail/A 7855-2026 tillsynsbegäran mail.docx", "A 7855-2026")</f>
        <v/>
      </c>
    </row>
    <row r="140" ht="15" customHeight="1">
      <c r="A140" t="inlineStr">
        <is>
          <t>A 1227-2022</t>
        </is>
      </c>
      <c r="B140" t="inlineStr">
        <is>
          <t>avverkningsanmälan</t>
        </is>
      </c>
      <c r="C140" t="inlineStr">
        <is>
          <t>Föryngringsavverkning</t>
        </is>
      </c>
      <c r="D140" s="1" t="n">
        <v>44572</v>
      </c>
      <c r="E140" s="1" t="n">
        <v>46313</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11017-2023</t>
        </is>
      </c>
      <c r="B141" t="inlineStr">
        <is>
          <t>avverkningsanmälan</t>
        </is>
      </c>
      <c r="C141" t="inlineStr">
        <is>
          <t>Avverkning för annat ändamål</t>
        </is>
      </c>
      <c r="D141" s="1" t="n">
        <v>44991</v>
      </c>
      <c r="E141" s="1" t="n">
        <v>46313</v>
      </c>
      <c r="F141" t="inlineStr">
        <is>
          <t>UPPSALA LÄN</t>
        </is>
      </c>
      <c r="G141" t="inlineStr">
        <is>
          <t>ÖSTHAMMAR</t>
        </is>
      </c>
      <c r="I141" t="n">
        <v>1.9</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11017-2023 artfynd.xlsx", "A 11017-2023")</f>
        <v/>
      </c>
      <c r="X141">
        <f>HYPERLINK("https://klasma.github.io/Logging_0382/kartor/A 11017-2023 karta.png", "A 11017-2023")</f>
        <v/>
      </c>
      <c r="Y141">
        <f>HYPERLINK("https://klasma.github.io/Logging_0382/kartor_geotiff/A 11017-2023 georefererad karta.tif", "A 11017-2023")</f>
        <v/>
      </c>
      <c r="AA141">
        <f>HYPERLINK("https://klasma.github.io/Logging_0382/klagomål/A 11017-2023 FSC-klagomål.docx", "A 11017-2023")</f>
        <v/>
      </c>
      <c r="AB141">
        <f>HYPERLINK("https://klasma.github.io/Logging_0382/klagomålsmail/A 11017-2023 FSC-klagomål mail.docx", "A 11017-2023")</f>
        <v/>
      </c>
      <c r="AC141">
        <f>HYPERLINK("https://klasma.github.io/Logging_0382/tillsyn/A 11017-2023 tillsynsbegäran.docx", "A 11017-2023")</f>
        <v/>
      </c>
      <c r="AD141">
        <f>HYPERLINK("https://klasma.github.io/Logging_0382/tillsynsmail/A 11017-2023 tillsynsbegäran mail.docx", "A 11017-2023")</f>
        <v/>
      </c>
    </row>
    <row r="142" ht="15" customHeight="1">
      <c r="A142" t="inlineStr">
        <is>
          <t>A 52818-2022</t>
        </is>
      </c>
      <c r="B142" t="inlineStr">
        <is>
          <t>avverkningsanmälan</t>
        </is>
      </c>
      <c r="C142" t="inlineStr">
        <is>
          <t>Föryngringsavverkning</t>
        </is>
      </c>
      <c r="D142" s="1" t="n">
        <v>44875</v>
      </c>
      <c r="E142" s="1" t="n">
        <v>46313</v>
      </c>
      <c r="F142" t="inlineStr">
        <is>
          <t>UPPSALA LÄN</t>
        </is>
      </c>
      <c r="G142" t="inlineStr">
        <is>
          <t>ÖSTHAMMAR</t>
        </is>
      </c>
      <c r="I142" t="n">
        <v>0.9</v>
      </c>
      <c r="J142" t="n">
        <v>1</v>
      </c>
      <c r="K142" t="n">
        <v>1</v>
      </c>
      <c r="L142" t="n">
        <v>0</v>
      </c>
      <c r="M142" t="n">
        <v>0</v>
      </c>
      <c r="N142" t="n">
        <v>0</v>
      </c>
      <c r="O142" t="n">
        <v>0</v>
      </c>
      <c r="P142" t="n">
        <v>0</v>
      </c>
      <c r="Q142" t="n">
        <v>0</v>
      </c>
      <c r="R142" t="n">
        <v>0</v>
      </c>
      <c r="S142" t="n">
        <v>1</v>
      </c>
      <c r="T142" t="n">
        <v>1</v>
      </c>
      <c r="U142" t="n">
        <v>1</v>
      </c>
      <c r="V142" s="2" t="inlineStr">
        <is>
          <t>Guckusko</t>
        </is>
      </c>
      <c r="W142">
        <f>HYPERLINK("https://klasma.github.io/Logging_0382/artfynd/A 52818-2022 artfynd.xlsx", "A 52818-2022")</f>
        <v/>
      </c>
      <c r="X142">
        <f>HYPERLINK("https://klasma.github.io/Logging_0382/kartor/A 52818-2022 karta.png", "A 52818-2022")</f>
        <v/>
      </c>
      <c r="Y142">
        <f>HYPERLINK("https://klasma.github.io/Logging_0382/kartor_geotiff/A 52818-2022 georefererad karta.tif", "A 52818-2022")</f>
        <v/>
      </c>
      <c r="AA142">
        <f>HYPERLINK("https://klasma.github.io/Logging_0382/klagomål/A 52818-2022 FSC-klagomål.docx", "A 52818-2022")</f>
        <v/>
      </c>
      <c r="AB142">
        <f>HYPERLINK("https://klasma.github.io/Logging_0382/klagomålsmail/A 52818-2022 FSC-klagomål mail.docx", "A 52818-2022")</f>
        <v/>
      </c>
      <c r="AC142">
        <f>HYPERLINK("https://klasma.github.io/Logging_0382/tillsyn/A 52818-2022 tillsynsbegäran.docx", "A 52818-2022")</f>
        <v/>
      </c>
      <c r="AD142">
        <f>HYPERLINK("https://klasma.github.io/Logging_0382/tillsynsmail/A 52818-2022 tillsynsbegäran mail.docx", "A 52818-2022")</f>
        <v/>
      </c>
    </row>
    <row r="143" ht="15" customHeight="1">
      <c r="A143" t="inlineStr">
        <is>
          <t>A 38600-2023</t>
        </is>
      </c>
      <c r="B143" t="inlineStr">
        <is>
          <t>avverkningsanmälan</t>
        </is>
      </c>
      <c r="C143" t="inlineStr">
        <is>
          <t>Avverkning för annat ändamål</t>
        </is>
      </c>
      <c r="D143" s="1" t="n">
        <v>45162</v>
      </c>
      <c r="E143" s="1" t="n">
        <v>46313</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14006-2026</t>
        </is>
      </c>
      <c r="B144" t="inlineStr">
        <is>
          <t>avverkningsanmälan</t>
        </is>
      </c>
      <c r="C144" t="inlineStr">
        <is>
          <t>Föryngringsavverkning</t>
        </is>
      </c>
      <c r="D144" s="1" t="n">
        <v>46098</v>
      </c>
      <c r="E144" s="1" t="n">
        <v>46313</v>
      </c>
      <c r="F144" t="inlineStr">
        <is>
          <t>UPPSALA LÄN</t>
        </is>
      </c>
      <c r="G144" t="inlineStr">
        <is>
          <t>ÖSTHAMMAR</t>
        </is>
      </c>
      <c r="I144" t="n">
        <v>2</v>
      </c>
      <c r="J144" t="n">
        <v>0</v>
      </c>
      <c r="K144" t="n">
        <v>0</v>
      </c>
      <c r="L144" t="n">
        <v>0</v>
      </c>
      <c r="M144" t="n">
        <v>1</v>
      </c>
      <c r="N144" t="n">
        <v>0</v>
      </c>
      <c r="O144" t="n">
        <v>0</v>
      </c>
      <c r="P144" t="n">
        <v>0</v>
      </c>
      <c r="Q144" t="n">
        <v>1</v>
      </c>
      <c r="R144" t="n">
        <v>1</v>
      </c>
      <c r="S144" t="n">
        <v>1</v>
      </c>
      <c r="T144" t="n">
        <v>1</v>
      </c>
      <c r="U144" t="n">
        <v>0</v>
      </c>
      <c r="V144" s="2" t="inlineStr">
        <is>
          <t>Igelkott</t>
        </is>
      </c>
      <c r="W144">
        <f>HYPERLINK("https://klasma.github.io/Logging_0382/artfynd/A 14006-2026 artfynd.xlsx", "A 14006-2026")</f>
        <v/>
      </c>
      <c r="X144">
        <f>HYPERLINK("https://klasma.github.io/Logging_0382/kartor/A 14006-2026 karta.png", "A 14006-2026")</f>
        <v/>
      </c>
      <c r="Y144">
        <f>HYPERLINK("https://klasma.github.io/Logging_0382/kartor_geotiff/A 14006-2026 georefererad karta.tif", "A 14006-2026")</f>
        <v/>
      </c>
      <c r="AA144">
        <f>HYPERLINK("https://klasma.github.io/Logging_0382/klagomål/A 14006-2026 FSC-klagomål.docx", "A 14006-2026")</f>
        <v/>
      </c>
      <c r="AB144">
        <f>HYPERLINK("https://klasma.github.io/Logging_0382/klagomålsmail/A 14006-2026 FSC-klagomål mail.docx", "A 14006-2026")</f>
        <v/>
      </c>
      <c r="AC144">
        <f>HYPERLINK("https://klasma.github.io/Logging_0382/tillsyn/A 14006-2026 tillsynsbegäran.docx", "A 14006-2026")</f>
        <v/>
      </c>
      <c r="AD144">
        <f>HYPERLINK("https://klasma.github.io/Logging_0382/tillsynsmail/A 14006-2026 tillsynsbegäran mail.docx", "A 14006-2026")</f>
        <v/>
      </c>
    </row>
    <row r="145" ht="15" customHeight="1">
      <c r="A145" t="inlineStr">
        <is>
          <t>A 28046-2026</t>
        </is>
      </c>
      <c r="B145" t="inlineStr">
        <is>
          <t>avverkningsanmälan</t>
        </is>
      </c>
      <c r="C145" t="inlineStr">
        <is>
          <t>Föryngringsavverkning</t>
        </is>
      </c>
      <c r="D145" s="1" t="n">
        <v>46195</v>
      </c>
      <c r="E145" s="1" t="n">
        <v>46313</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28024-2026</t>
        </is>
      </c>
      <c r="B146" t="inlineStr">
        <is>
          <t>avverkningsanmälan</t>
        </is>
      </c>
      <c r="C146" t="inlineStr">
        <is>
          <t>Föryngringsavverkning</t>
        </is>
      </c>
      <c r="D146" s="1" t="n">
        <v>46195</v>
      </c>
      <c r="E146" s="1" t="n">
        <v>46313</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37296-2023</t>
        </is>
      </c>
      <c r="B147" t="inlineStr">
        <is>
          <t>avverkningsanmälan</t>
        </is>
      </c>
      <c r="C147" t="inlineStr">
        <is>
          <t>Föryngringsavverkning</t>
        </is>
      </c>
      <c r="D147" s="1" t="n">
        <v>45156</v>
      </c>
      <c r="E147" s="1" t="n">
        <v>46313</v>
      </c>
      <c r="F147" t="inlineStr">
        <is>
          <t>UPPSALA LÄN</t>
        </is>
      </c>
      <c r="G147" t="inlineStr">
        <is>
          <t>ÖSTHAMMAR</t>
        </is>
      </c>
      <c r="I147" t="n">
        <v>4.7</v>
      </c>
      <c r="J147" t="n">
        <v>1</v>
      </c>
      <c r="K147" t="n">
        <v>0</v>
      </c>
      <c r="L147" t="n">
        <v>0</v>
      </c>
      <c r="M147" t="n">
        <v>1</v>
      </c>
      <c r="N147" t="n">
        <v>0</v>
      </c>
      <c r="O147" t="n">
        <v>0</v>
      </c>
      <c r="P147" t="n">
        <v>0</v>
      </c>
      <c r="Q147" t="n">
        <v>1</v>
      </c>
      <c r="R147" t="n">
        <v>1</v>
      </c>
      <c r="S147" t="n">
        <v>1</v>
      </c>
      <c r="T147" t="n">
        <v>1</v>
      </c>
      <c r="U147" t="n">
        <v>1</v>
      </c>
      <c r="V147" s="2" t="inlineStr">
        <is>
          <t>Backsippa</t>
        </is>
      </c>
      <c r="W147">
        <f>HYPERLINK("https://klasma.github.io/Logging_0382/artfynd/A 37296-2023 artfynd.xlsx", "A 37296-2023")</f>
        <v/>
      </c>
      <c r="X147">
        <f>HYPERLINK("https://klasma.github.io/Logging_0382/kartor/A 37296-2023 karta.png", "A 37296-2023")</f>
        <v/>
      </c>
      <c r="Y147">
        <f>HYPERLINK("https://klasma.github.io/Logging_0382/kartor_geotiff/A 37296-2023 georefererad karta.tif", "A 37296-2023")</f>
        <v/>
      </c>
      <c r="AA147">
        <f>HYPERLINK("https://klasma.github.io/Logging_0382/klagomål/A 37296-2023 FSC-klagomål.docx", "A 37296-2023")</f>
        <v/>
      </c>
      <c r="AB147">
        <f>HYPERLINK("https://klasma.github.io/Logging_0382/klagomålsmail/A 37296-2023 FSC-klagomål mail.docx", "A 37296-2023")</f>
        <v/>
      </c>
      <c r="AC147">
        <f>HYPERLINK("https://klasma.github.io/Logging_0382/tillsyn/A 37296-2023 tillsynsbegäran.docx", "A 37296-2023")</f>
        <v/>
      </c>
      <c r="AD147">
        <f>HYPERLINK("https://klasma.github.io/Logging_0382/tillsynsmail/A 37296-2023 tillsynsbegäran mail.docx", "A 37296-2023")</f>
        <v/>
      </c>
    </row>
    <row r="148" ht="15" customHeight="1">
      <c r="A148" t="inlineStr">
        <is>
          <t>A 8014-2026</t>
        </is>
      </c>
      <c r="B148" t="inlineStr">
        <is>
          <t>avverkningsanmälan</t>
        </is>
      </c>
      <c r="C148" t="inlineStr">
        <is>
          <t>Föryngringsavverkning</t>
        </is>
      </c>
      <c r="D148" s="1" t="n">
        <v>46063</v>
      </c>
      <c r="E148" s="1" t="n">
        <v>46313</v>
      </c>
      <c r="F148" t="inlineStr">
        <is>
          <t>UPPSALA LÄN</t>
        </is>
      </c>
      <c r="G148" t="inlineStr">
        <is>
          <t>ÖSTHAMMAR</t>
        </is>
      </c>
      <c r="I148" t="n">
        <v>15.2</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8014-2026 artfynd.xlsx", "A 8014-2026")</f>
        <v/>
      </c>
      <c r="X148">
        <f>HYPERLINK("https://klasma.github.io/Logging_0382/kartor/A 8014-2026 karta.png", "A 8014-2026")</f>
        <v/>
      </c>
      <c r="Y148">
        <f>HYPERLINK("https://klasma.github.io/Logging_0382/kartor_geotiff/A 8014-2026 georefererad karta.tif", "A 8014-2026")</f>
        <v/>
      </c>
      <c r="AA148">
        <f>HYPERLINK("https://klasma.github.io/Logging_0382/klagomål/A 8014-2026 FSC-klagomål.docx", "A 8014-2026")</f>
        <v/>
      </c>
      <c r="AB148">
        <f>HYPERLINK("https://klasma.github.io/Logging_0382/klagomålsmail/A 8014-2026 FSC-klagomål mail.docx", "A 8014-2026")</f>
        <v/>
      </c>
      <c r="AC148">
        <f>HYPERLINK("https://klasma.github.io/Logging_0382/tillsyn/A 8014-2026 tillsynsbegäran.docx", "A 8014-2026")</f>
        <v/>
      </c>
      <c r="AD148">
        <f>HYPERLINK("https://klasma.github.io/Logging_0382/tillsynsmail/A 8014-2026 tillsynsbegäran mail.docx", "A 8014-2026")</f>
        <v/>
      </c>
    </row>
    <row r="149" ht="15" customHeight="1">
      <c r="A149" t="inlineStr">
        <is>
          <t>A 13358-2024</t>
        </is>
      </c>
      <c r="B149" t="inlineStr">
        <is>
          <t>avverkningsanmälan</t>
        </is>
      </c>
      <c r="C149" t="inlineStr">
        <is>
          <t>Föryngringsavverkning</t>
        </is>
      </c>
      <c r="D149" s="1" t="n">
        <v>45387</v>
      </c>
      <c r="E149" s="1" t="n">
        <v>46313</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9052-2023</t>
        </is>
      </c>
      <c r="B150" t="inlineStr">
        <is>
          <t>avverkningsanmälan</t>
        </is>
      </c>
      <c r="C150" t="inlineStr">
        <is>
          <t>Avverkning för annat ändamål</t>
        </is>
      </c>
      <c r="D150" s="1" t="n">
        <v>44979</v>
      </c>
      <c r="E150" s="1" t="n">
        <v>46313</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12262-2023</t>
        </is>
      </c>
      <c r="B151" t="inlineStr">
        <is>
          <t>avverkningsanmälan</t>
        </is>
      </c>
      <c r="C151" t="inlineStr">
        <is>
          <t>Föryngringsavverkning</t>
        </is>
      </c>
      <c r="D151" s="1" t="n">
        <v>44998</v>
      </c>
      <c r="E151" s="1" t="n">
        <v>46313</v>
      </c>
      <c r="F151" t="inlineStr">
        <is>
          <t>UPPSALA LÄN</t>
        </is>
      </c>
      <c r="G151" t="inlineStr">
        <is>
          <t>ÖSTHAMMAR</t>
        </is>
      </c>
      <c r="I151" t="n">
        <v>4.1</v>
      </c>
      <c r="J151" t="n">
        <v>0</v>
      </c>
      <c r="K151" t="n">
        <v>0</v>
      </c>
      <c r="L151" t="n">
        <v>1</v>
      </c>
      <c r="M151" t="n">
        <v>0</v>
      </c>
      <c r="N151" t="n">
        <v>0</v>
      </c>
      <c r="O151" t="n">
        <v>0</v>
      </c>
      <c r="P151" t="n">
        <v>0</v>
      </c>
      <c r="Q151" t="n">
        <v>1</v>
      </c>
      <c r="R151" t="n">
        <v>0</v>
      </c>
      <c r="S151" t="n">
        <v>1</v>
      </c>
      <c r="T151" t="n">
        <v>1</v>
      </c>
      <c r="U151" t="n">
        <v>1</v>
      </c>
      <c r="V151" s="2" t="inlineStr">
        <is>
          <t>Vårärt</t>
        </is>
      </c>
      <c r="W151">
        <f>HYPERLINK("https://klasma.github.io/Logging_0382/artfynd/A 12262-2023 artfynd.xlsx", "A 12262-2023")</f>
        <v/>
      </c>
      <c r="X151">
        <f>HYPERLINK("https://klasma.github.io/Logging_0382/kartor/A 12262-2023 karta.png", "A 12262-2023")</f>
        <v/>
      </c>
      <c r="Y151">
        <f>HYPERLINK("https://klasma.github.io/Logging_0382/kartor_geotiff/A 12262-2023 georefererad karta.tif", "A 12262-2023")</f>
        <v/>
      </c>
      <c r="AA151">
        <f>HYPERLINK("https://klasma.github.io/Logging_0382/klagomål/A 12262-2023 FSC-klagomål.docx", "A 12262-2023")</f>
        <v/>
      </c>
      <c r="AB151">
        <f>HYPERLINK("https://klasma.github.io/Logging_0382/klagomålsmail/A 12262-2023 FSC-klagomål mail.docx", "A 12262-2023")</f>
        <v/>
      </c>
      <c r="AC151">
        <f>HYPERLINK("https://klasma.github.io/Logging_0382/tillsyn/A 12262-2023 tillsynsbegäran.docx", "A 12262-2023")</f>
        <v/>
      </c>
      <c r="AD151">
        <f>HYPERLINK("https://klasma.github.io/Logging_0382/tillsynsmail/A 12262-2023 tillsynsbegäran mail.docx", "A 12262-2023")</f>
        <v/>
      </c>
    </row>
    <row r="152" ht="15" customHeight="1">
      <c r="A152" t="inlineStr">
        <is>
          <t>A 30703-2026</t>
        </is>
      </c>
      <c r="B152" t="inlineStr">
        <is>
          <t>avverkningsanmälan</t>
        </is>
      </c>
      <c r="C152" t="inlineStr">
        <is>
          <t>Föryngringsavverkning</t>
        </is>
      </c>
      <c r="D152" s="1" t="n">
        <v>46211</v>
      </c>
      <c r="E152" s="1" t="n">
        <v>46313</v>
      </c>
      <c r="F152" t="inlineStr">
        <is>
          <t>UPPSALA LÄN</t>
        </is>
      </c>
      <c r="G152" t="inlineStr">
        <is>
          <t>ÖSTHAMMAR</t>
        </is>
      </c>
      <c r="H152" t="inlineStr">
        <is>
          <t>Bergvik skog öst AB</t>
        </is>
      </c>
      <c r="I152" t="n">
        <v>0.9</v>
      </c>
      <c r="J152" t="n">
        <v>1</v>
      </c>
      <c r="K152" t="n">
        <v>1</v>
      </c>
      <c r="L152" t="n">
        <v>0</v>
      </c>
      <c r="M152" t="n">
        <v>0</v>
      </c>
      <c r="N152" t="n">
        <v>0</v>
      </c>
      <c r="O152" t="n">
        <v>0</v>
      </c>
      <c r="P152" t="n">
        <v>0</v>
      </c>
      <c r="Q152" t="n">
        <v>0</v>
      </c>
      <c r="R152" t="n">
        <v>0</v>
      </c>
      <c r="S152" t="n">
        <v>1</v>
      </c>
      <c r="T152" t="n">
        <v>1</v>
      </c>
      <c r="U152" t="n">
        <v>0</v>
      </c>
      <c r="V152" s="2" t="inlineStr">
        <is>
          <t>Skogsknipprot</t>
        </is>
      </c>
      <c r="W152">
        <f>HYPERLINK("https://klasma.github.io/Logging_0382/artfynd/A 30703-2026 artfynd.xlsx", "A 30703-2026")</f>
        <v/>
      </c>
      <c r="X152">
        <f>HYPERLINK("https://klasma.github.io/Logging_0382/kartor/A 30703-2026 karta.png", "A 30703-2026")</f>
        <v/>
      </c>
      <c r="Y152">
        <f>HYPERLINK("https://klasma.github.io/Logging_0382/kartor_geotiff/A 30703-2026 georefererad karta.tif", "A 30703-2026")</f>
        <v/>
      </c>
      <c r="AA152">
        <f>HYPERLINK("https://klasma.github.io/Logging_0382/klagomål/A 30703-2026 FSC-klagomål.docx", "A 30703-2026")</f>
        <v/>
      </c>
      <c r="AB152">
        <f>HYPERLINK("https://klasma.github.io/Logging_0382/klagomålsmail/A 30703-2026 FSC-klagomål mail.docx", "A 30703-2026")</f>
        <v/>
      </c>
      <c r="AC152">
        <f>HYPERLINK("https://klasma.github.io/Logging_0382/tillsyn/A 30703-2026 tillsynsbegäran.docx", "A 30703-2026")</f>
        <v/>
      </c>
      <c r="AD152">
        <f>HYPERLINK("https://klasma.github.io/Logging_0382/tillsynsmail/A 30703-2026 tillsynsbegäran mail.docx", "A 30703-2026")</f>
        <v/>
      </c>
    </row>
    <row r="153" ht="15" customHeight="1">
      <c r="A153" t="inlineStr">
        <is>
          <t>A 65989-2021</t>
        </is>
      </c>
      <c r="B153" t="inlineStr">
        <is>
          <t>avverkningsanmälan</t>
        </is>
      </c>
      <c r="C153" t="inlineStr">
        <is>
          <t>Föryngringsavverkning</t>
        </is>
      </c>
      <c r="D153" s="1" t="n">
        <v>44517</v>
      </c>
      <c r="E153" s="1" t="n">
        <v>46313</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61574-2025</t>
        </is>
      </c>
      <c r="B154" t="inlineStr">
        <is>
          <t>avverkningsanmälan</t>
        </is>
      </c>
      <c r="C154" t="inlineStr">
        <is>
          <t>Föryngringsavverkning</t>
        </is>
      </c>
      <c r="D154" s="1" t="n">
        <v>46002</v>
      </c>
      <c r="E154" s="1" t="n">
        <v>46313</v>
      </c>
      <c r="F154" t="inlineStr">
        <is>
          <t>UPPSALA LÄN</t>
        </is>
      </c>
      <c r="G154" t="inlineStr">
        <is>
          <t>ÖSTHAMMAR</t>
        </is>
      </c>
      <c r="H154" t="inlineStr">
        <is>
          <t>Övriga Aktiebolag</t>
        </is>
      </c>
      <c r="I154" t="n">
        <v>16.6</v>
      </c>
      <c r="J154" t="n">
        <v>1</v>
      </c>
      <c r="K154" t="n">
        <v>0</v>
      </c>
      <c r="L154" t="n">
        <v>0</v>
      </c>
      <c r="M154" t="n">
        <v>1</v>
      </c>
      <c r="N154" t="n">
        <v>0</v>
      </c>
      <c r="O154" t="n">
        <v>0</v>
      </c>
      <c r="P154" t="n">
        <v>0</v>
      </c>
      <c r="Q154" t="n">
        <v>1</v>
      </c>
      <c r="R154" t="n">
        <v>1</v>
      </c>
      <c r="S154" t="n">
        <v>1</v>
      </c>
      <c r="T154" t="n">
        <v>4</v>
      </c>
      <c r="U154" t="n">
        <v>0</v>
      </c>
      <c r="V154" s="2" t="inlineStr">
        <is>
          <t>Hällebräcka</t>
        </is>
      </c>
      <c r="W154">
        <f>HYPERLINK("https://klasma.github.io/Logging_0382/artfynd/A 61574-2025 artfynd.xlsx", "A 61574-2025")</f>
        <v/>
      </c>
      <c r="X154">
        <f>HYPERLINK("https://klasma.github.io/Logging_0382/kartor/A 61574-2025 karta.png", "A 61574-2025")</f>
        <v/>
      </c>
      <c r="Y154">
        <f>HYPERLINK("https://klasma.github.io/Logging_0382/kartor_geotiff/A 61574-2025 georefererad karta.tif", "A 61574-2025")</f>
        <v/>
      </c>
      <c r="AA154">
        <f>HYPERLINK("https://klasma.github.io/Logging_0382/klagomål/A 61574-2025 FSC-klagomål.docx", "A 61574-2025")</f>
        <v/>
      </c>
      <c r="AB154">
        <f>HYPERLINK("https://klasma.github.io/Logging_0382/klagomålsmail/A 61574-2025 FSC-klagomål mail.docx", "A 61574-2025")</f>
        <v/>
      </c>
      <c r="AC154">
        <f>HYPERLINK("https://klasma.github.io/Logging_0382/tillsyn/A 61574-2025 tillsynsbegäran.docx", "A 61574-2025")</f>
        <v/>
      </c>
      <c r="AD154">
        <f>HYPERLINK("https://klasma.github.io/Logging_0382/tillsynsmail/A 61574-2025 tillsynsbegäran mail.docx", "A 61574-2025")</f>
        <v/>
      </c>
    </row>
    <row r="155" ht="15" customHeight="1">
      <c r="A155" t="inlineStr">
        <is>
          <t>A 34090-2023</t>
        </is>
      </c>
      <c r="B155" t="inlineStr">
        <is>
          <t>avverkningsanmälan</t>
        </is>
      </c>
      <c r="C155" t="inlineStr">
        <is>
          <t>Föryngringsavverkning</t>
        </is>
      </c>
      <c r="D155" s="1" t="n">
        <v>45135</v>
      </c>
      <c r="E155" s="1" t="n">
        <v>46313</v>
      </c>
      <c r="F155" t="inlineStr">
        <is>
          <t>UPPSALA LÄN</t>
        </is>
      </c>
      <c r="G155" t="inlineStr">
        <is>
          <t>ÖSTHAMMAR</t>
        </is>
      </c>
      <c r="H155" t="inlineStr">
        <is>
          <t>Bergvik skog öst AB</t>
        </is>
      </c>
      <c r="I155" t="n">
        <v>5.7</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HYPERLINK("https://klasma.github.io/Logging_0382/artfynd/A 34090-2023 artfynd.xlsx", "A 34090-2023")</f>
        <v/>
      </c>
      <c r="X155">
        <f>HYPERLINK("https://klasma.github.io/Logging_0382/kartor/A 34090-2023 karta.png", "A 34090-2023")</f>
        <v/>
      </c>
      <c r="Y155">
        <f>HYPERLINK("https://klasma.github.io/Logging_0382/kartor_geotiff/A 34090-2023 georefererad karta.tif", "A 34090-2023")</f>
        <v/>
      </c>
      <c r="AA155">
        <f>HYPERLINK("https://klasma.github.io/Logging_0382/klagomål/A 34090-2023 FSC-klagomål.docx", "A 34090-2023")</f>
        <v/>
      </c>
      <c r="AB155">
        <f>HYPERLINK("https://klasma.github.io/Logging_0382/klagomålsmail/A 34090-2023 FSC-klagomål mail.docx", "A 34090-2023")</f>
        <v/>
      </c>
      <c r="AC155">
        <f>HYPERLINK("https://klasma.github.io/Logging_0382/tillsyn/A 34090-2023 tillsynsbegäran.docx", "A 34090-2023")</f>
        <v/>
      </c>
      <c r="AD155">
        <f>HYPERLINK("https://klasma.github.io/Logging_0382/tillsynsmail/A 34090-2023 tillsynsbegäran mail.docx", "A 34090-2023")</f>
        <v/>
      </c>
      <c r="AE155">
        <f>HYPERLINK("https://klasma.github.io/Logging_0382/fåglar/A 34090-2023 prioriterade fågelarter.docx", "A 34090-2023")</f>
        <v/>
      </c>
    </row>
    <row r="156" ht="15" customHeight="1">
      <c r="A156" t="inlineStr">
        <is>
          <t>A 37341-2026</t>
        </is>
      </c>
      <c r="B156" t="inlineStr">
        <is>
          <t>avverkningsanmälan</t>
        </is>
      </c>
      <c r="C156" t="inlineStr">
        <is>
          <t>Föryngringsavverkning</t>
        </is>
      </c>
      <c r="D156" s="1" t="n">
        <v>46275</v>
      </c>
      <c r="E156" s="1" t="n">
        <v>46313</v>
      </c>
      <c r="F156" t="inlineStr">
        <is>
          <t>UPPSALA LÄN</t>
        </is>
      </c>
      <c r="G156" t="inlineStr">
        <is>
          <t>ÖSTHAMMAR</t>
        </is>
      </c>
      <c r="I156" t="n">
        <v>2</v>
      </c>
      <c r="J156" t="n">
        <v>1</v>
      </c>
      <c r="K156" t="n">
        <v>0</v>
      </c>
      <c r="L156" t="n">
        <v>0</v>
      </c>
      <c r="M156" t="n">
        <v>0</v>
      </c>
      <c r="N156" t="n">
        <v>0</v>
      </c>
      <c r="O156" t="n">
        <v>0</v>
      </c>
      <c r="P156" t="n">
        <v>0</v>
      </c>
      <c r="Q156" t="n">
        <v>0</v>
      </c>
      <c r="R156" t="n">
        <v>0</v>
      </c>
      <c r="S156" t="n">
        <v>1</v>
      </c>
      <c r="T156" t="n">
        <v>1</v>
      </c>
      <c r="U156" t="n">
        <v>0</v>
      </c>
      <c r="V156" s="2" t="inlineStr">
        <is>
          <t>Blåsippa</t>
        </is>
      </c>
      <c r="W156">
        <f>HYPERLINK("https://klasma.github.io/Logging_0382/artfynd/A 37341-2026 artfynd.xlsx", "A 37341-2026")</f>
        <v/>
      </c>
      <c r="X156">
        <f>HYPERLINK("https://klasma.github.io/Logging_0382/kartor/A 37341-2026 karta.png", "A 37341-2026")</f>
        <v/>
      </c>
      <c r="Y156">
        <f>HYPERLINK("https://klasma.github.io/Logging_0382/kartor_geotiff/A 37341-2026 georefererad karta.tif", "A 37341-2026")</f>
        <v/>
      </c>
      <c r="AA156">
        <f>HYPERLINK("https://klasma.github.io/Logging_0382/klagomål/A 37341-2026 FSC-klagomål.docx", "A 37341-2026")</f>
        <v/>
      </c>
      <c r="AB156">
        <f>HYPERLINK("https://klasma.github.io/Logging_0382/klagomålsmail/A 37341-2026 FSC-klagomål mail.docx", "A 37341-2026")</f>
        <v/>
      </c>
      <c r="AC156">
        <f>HYPERLINK("https://klasma.github.io/Logging_0382/tillsyn/A 37341-2026 tillsynsbegäran.docx", "A 37341-2026")</f>
        <v/>
      </c>
      <c r="AD156">
        <f>HYPERLINK("https://klasma.github.io/Logging_0382/tillsynsmail/A 37341-2026 tillsynsbegäran mail.docx", "A 37341-2026")</f>
        <v/>
      </c>
    </row>
    <row r="157" ht="15" customHeight="1">
      <c r="A157" t="inlineStr">
        <is>
          <t>A 32152-2026</t>
        </is>
      </c>
      <c r="B157" t="inlineStr">
        <is>
          <t>avverkningsanmälan</t>
        </is>
      </c>
      <c r="C157" t="inlineStr">
        <is>
          <t>Föryngringsavverkning</t>
        </is>
      </c>
      <c r="D157" s="1" t="n">
        <v>46235</v>
      </c>
      <c r="E157" s="1" t="n">
        <v>46313</v>
      </c>
      <c r="F157" t="inlineStr">
        <is>
          <t>UPPSALA LÄN</t>
        </is>
      </c>
      <c r="G157" t="inlineStr">
        <is>
          <t>ÖSTHAMMAR</t>
        </is>
      </c>
      <c r="H157" t="inlineStr">
        <is>
          <t>Bergvik skog öst AB</t>
        </is>
      </c>
      <c r="I157" t="n">
        <v>5.2</v>
      </c>
      <c r="J157" t="n">
        <v>0</v>
      </c>
      <c r="K157" t="n">
        <v>1</v>
      </c>
      <c r="L157" t="n">
        <v>0</v>
      </c>
      <c r="M157" t="n">
        <v>0</v>
      </c>
      <c r="N157" t="n">
        <v>0</v>
      </c>
      <c r="O157" t="n">
        <v>0</v>
      </c>
      <c r="P157" t="n">
        <v>0</v>
      </c>
      <c r="Q157" t="n">
        <v>0</v>
      </c>
      <c r="R157" t="n">
        <v>0</v>
      </c>
      <c r="S157" t="n">
        <v>1</v>
      </c>
      <c r="T157" t="n">
        <v>1</v>
      </c>
      <c r="U157" t="n">
        <v>0</v>
      </c>
      <c r="V157" s="2" t="inlineStr">
        <is>
          <t>Trädporella</t>
        </is>
      </c>
      <c r="W157">
        <f>HYPERLINK("https://klasma.github.io/Logging_0382/artfynd/A 32152-2026 artfynd.xlsx", "A 32152-2026")</f>
        <v/>
      </c>
      <c r="X157">
        <f>HYPERLINK("https://klasma.github.io/Logging_0382/kartor/A 32152-2026 karta.png", "A 32152-2026")</f>
        <v/>
      </c>
      <c r="Y157">
        <f>HYPERLINK("https://klasma.github.io/Logging_0382/kartor_geotiff/A 32152-2026 georefererad karta.tif", "A 32152-2026")</f>
        <v/>
      </c>
      <c r="AA157">
        <f>HYPERLINK("https://klasma.github.io/Logging_0382/klagomål/A 32152-2026 FSC-klagomål.docx", "A 32152-2026")</f>
        <v/>
      </c>
      <c r="AB157">
        <f>HYPERLINK("https://klasma.github.io/Logging_0382/klagomålsmail/A 32152-2026 FSC-klagomål mail.docx", "A 32152-2026")</f>
        <v/>
      </c>
      <c r="AC157">
        <f>HYPERLINK("https://klasma.github.io/Logging_0382/tillsyn/A 32152-2026 tillsynsbegäran.docx", "A 32152-2026")</f>
        <v/>
      </c>
      <c r="AD157">
        <f>HYPERLINK("https://klasma.github.io/Logging_0382/tillsynsmail/A 32152-2026 tillsynsbegäran mail.docx", "A 32152-2026")</f>
        <v/>
      </c>
    </row>
    <row r="158" ht="15" customHeight="1">
      <c r="A158" t="inlineStr">
        <is>
          <t>A 24033-2023</t>
        </is>
      </c>
      <c r="B158" t="inlineStr">
        <is>
          <t>avverkningsanmälan</t>
        </is>
      </c>
      <c r="C158" t="inlineStr">
        <is>
          <t>Föryngringsavverkning</t>
        </is>
      </c>
      <c r="D158" s="1" t="n">
        <v>45078</v>
      </c>
      <c r="E158" s="1" t="n">
        <v>46313</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46313</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39838-2026</t>
        </is>
      </c>
      <c r="B160" t="inlineStr">
        <is>
          <t>avverkningsanmälan</t>
        </is>
      </c>
      <c r="C160" t="inlineStr">
        <is>
          <t>Föryngringsavverkning</t>
        </is>
      </c>
      <c r="D160" s="1" t="n">
        <v>46290</v>
      </c>
      <c r="E160" s="1" t="n">
        <v>46313</v>
      </c>
      <c r="F160" t="inlineStr">
        <is>
          <t>UPPSALA LÄN</t>
        </is>
      </c>
      <c r="G160" t="inlineStr">
        <is>
          <t>ÖSTHAMMAR</t>
        </is>
      </c>
      <c r="I160" t="n">
        <v>3.6</v>
      </c>
      <c r="J160" t="n">
        <v>1</v>
      </c>
      <c r="K160" t="n">
        <v>1</v>
      </c>
      <c r="L160" t="n">
        <v>0</v>
      </c>
      <c r="M160" t="n">
        <v>0</v>
      </c>
      <c r="N160" t="n">
        <v>0</v>
      </c>
      <c r="O160" t="n">
        <v>0</v>
      </c>
      <c r="P160" t="n">
        <v>0</v>
      </c>
      <c r="Q160" t="n">
        <v>0</v>
      </c>
      <c r="R160" t="n">
        <v>0</v>
      </c>
      <c r="S160" t="n">
        <v>1</v>
      </c>
      <c r="T160" t="n">
        <v>1</v>
      </c>
      <c r="U160" t="n">
        <v>0</v>
      </c>
      <c r="V160" s="2" t="inlineStr">
        <is>
          <t>Guckusko</t>
        </is>
      </c>
      <c r="W160">
        <f>HYPERLINK("https://klasma.github.io/Logging_0382/artfynd/A 39838-2026 artfynd.xlsx", "A 39838-2026")</f>
        <v/>
      </c>
      <c r="X160">
        <f>HYPERLINK("https://klasma.github.io/Logging_0382/kartor/A 39838-2026 karta.png", "A 39838-2026")</f>
        <v/>
      </c>
      <c r="Y160">
        <f>HYPERLINK("https://klasma.github.io/Logging_0382/kartor_geotiff/A 39838-2026 georefererad karta.tif", "A 39838-2026")</f>
        <v/>
      </c>
      <c r="AA160">
        <f>HYPERLINK("https://klasma.github.io/Logging_0382/klagomål/A 39838-2026 FSC-klagomål.docx", "A 39838-2026")</f>
        <v/>
      </c>
      <c r="AB160">
        <f>HYPERLINK("https://klasma.github.io/Logging_0382/klagomålsmail/A 39838-2026 FSC-klagomål mail.docx", "A 39838-2026")</f>
        <v/>
      </c>
      <c r="AC160">
        <f>HYPERLINK("https://klasma.github.io/Logging_0382/tillsyn/A 39838-2026 tillsynsbegäran.docx", "A 39838-2026")</f>
        <v/>
      </c>
      <c r="AD160">
        <f>HYPERLINK("https://klasma.github.io/Logging_0382/tillsynsmail/A 39838-2026 tillsynsbegäran mail.docx", "A 39838-2026")</f>
        <v/>
      </c>
    </row>
    <row r="161" ht="15" customHeight="1">
      <c r="A161" t="inlineStr">
        <is>
          <t>A 13755-2023</t>
        </is>
      </c>
      <c r="B161" t="inlineStr">
        <is>
          <t>avverkningsanmälan</t>
        </is>
      </c>
      <c r="C161" t="inlineStr">
        <is>
          <t>Föryngringsavverkning</t>
        </is>
      </c>
      <c r="D161" s="1" t="n">
        <v>45007</v>
      </c>
      <c r="E161" s="1" t="n">
        <v>46313</v>
      </c>
      <c r="F161" t="inlineStr">
        <is>
          <t>UPPSALA LÄN</t>
        </is>
      </c>
      <c r="G161" t="inlineStr">
        <is>
          <t>ÖSTHAMMAR</t>
        </is>
      </c>
      <c r="I161" t="n">
        <v>2.4</v>
      </c>
      <c r="J161" t="n">
        <v>1</v>
      </c>
      <c r="K161" t="n">
        <v>1</v>
      </c>
      <c r="L161" t="n">
        <v>0</v>
      </c>
      <c r="M161" t="n">
        <v>0</v>
      </c>
      <c r="N161" t="n">
        <v>0</v>
      </c>
      <c r="O161" t="n">
        <v>0</v>
      </c>
      <c r="P161" t="n">
        <v>0</v>
      </c>
      <c r="Q161" t="n">
        <v>0</v>
      </c>
      <c r="R161" t="n">
        <v>0</v>
      </c>
      <c r="S161" t="n">
        <v>1</v>
      </c>
      <c r="T161" t="n">
        <v>2</v>
      </c>
      <c r="U161" t="n">
        <v>2</v>
      </c>
      <c r="V161" s="2" t="inlineStr">
        <is>
          <t>Guckusko</t>
        </is>
      </c>
      <c r="W161">
        <f>HYPERLINK("https://klasma.github.io/Logging_0382/artfynd/A 13755-2023 artfynd.xlsx", "A 13755-2023")</f>
        <v/>
      </c>
      <c r="X161">
        <f>HYPERLINK("https://klasma.github.io/Logging_0382/kartor/A 13755-2023 karta.png", "A 13755-2023")</f>
        <v/>
      </c>
      <c r="Y161">
        <f>HYPERLINK("https://klasma.github.io/Logging_0382/kartor_geotiff/A 13755-2023 georefererad karta.tif", "A 13755-2023")</f>
        <v/>
      </c>
      <c r="AA161">
        <f>HYPERLINK("https://klasma.github.io/Logging_0382/klagomål/A 13755-2023 FSC-klagomål.docx", "A 13755-2023")</f>
        <v/>
      </c>
      <c r="AB161">
        <f>HYPERLINK("https://klasma.github.io/Logging_0382/klagomålsmail/A 13755-2023 FSC-klagomål mail.docx", "A 13755-2023")</f>
        <v/>
      </c>
      <c r="AC161">
        <f>HYPERLINK("https://klasma.github.io/Logging_0382/tillsyn/A 13755-2023 tillsynsbegäran.docx", "A 13755-2023")</f>
        <v/>
      </c>
      <c r="AD161">
        <f>HYPERLINK("https://klasma.github.io/Logging_0382/tillsynsmail/A 13755-2023 tillsynsbegäran mail.docx", "A 13755-2023")</f>
        <v/>
      </c>
    </row>
    <row r="162" ht="15" customHeight="1">
      <c r="A162" t="inlineStr">
        <is>
          <t>A 49899-2023</t>
        </is>
      </c>
      <c r="B162" t="inlineStr">
        <is>
          <t>avverkningsanmälan</t>
        </is>
      </c>
      <c r="C162" t="inlineStr">
        <is>
          <t>Avverkning för att bevara och utveckla /försöksver</t>
        </is>
      </c>
      <c r="D162" s="1" t="n">
        <v>45213</v>
      </c>
      <c r="E162" s="1" t="n">
        <v>46313</v>
      </c>
      <c r="F162" t="inlineStr">
        <is>
          <t>UPPSALA LÄN</t>
        </is>
      </c>
      <c r="G162" t="inlineStr">
        <is>
          <t>ÖSTHAMMAR</t>
        </is>
      </c>
      <c r="I162" t="n">
        <v>6.2</v>
      </c>
      <c r="J162" t="n">
        <v>1</v>
      </c>
      <c r="K162" t="n">
        <v>0</v>
      </c>
      <c r="L162" t="n">
        <v>0</v>
      </c>
      <c r="M162" t="n">
        <v>0</v>
      </c>
      <c r="N162" t="n">
        <v>0</v>
      </c>
      <c r="O162" t="n">
        <v>0</v>
      </c>
      <c r="P162" t="n">
        <v>0</v>
      </c>
      <c r="Q162" t="n">
        <v>0</v>
      </c>
      <c r="R162" t="n">
        <v>0</v>
      </c>
      <c r="S162" t="n">
        <v>1</v>
      </c>
      <c r="T162" t="n">
        <v>1</v>
      </c>
      <c r="U162" t="n">
        <v>1</v>
      </c>
      <c r="V162" s="2" t="inlineStr">
        <is>
          <t>Grönvit nattviol</t>
        </is>
      </c>
      <c r="W162">
        <f>HYPERLINK("https://klasma.github.io/Logging_0382/artfynd/A 49899-2023 artfynd.xlsx", "A 49899-2023")</f>
        <v/>
      </c>
      <c r="X162">
        <f>HYPERLINK("https://klasma.github.io/Logging_0382/kartor/A 49899-2023 karta.png", "A 49899-2023")</f>
        <v/>
      </c>
      <c r="Y162">
        <f>HYPERLINK("https://klasma.github.io/Logging_0382/kartor_geotiff/A 49899-2023 georefererad karta.tif", "A 49899-2023")</f>
        <v/>
      </c>
      <c r="AA162">
        <f>HYPERLINK("https://klasma.github.io/Logging_0382/klagomål/A 49899-2023 FSC-klagomål.docx", "A 49899-2023")</f>
        <v/>
      </c>
      <c r="AB162">
        <f>HYPERLINK("https://klasma.github.io/Logging_0382/klagomålsmail/A 49899-2023 FSC-klagomål mail.docx", "A 49899-2023")</f>
        <v/>
      </c>
      <c r="AC162">
        <f>HYPERLINK("https://klasma.github.io/Logging_0382/tillsyn/A 49899-2023 tillsynsbegäran.docx", "A 49899-2023")</f>
        <v/>
      </c>
      <c r="AD162">
        <f>HYPERLINK("https://klasma.github.io/Logging_0382/tillsynsmail/A 49899-2023 tillsynsbegäran mail.docx", "A 49899-2023")</f>
        <v/>
      </c>
    </row>
    <row r="163" ht="15" customHeight="1">
      <c r="A163" t="inlineStr">
        <is>
          <t>A 32483-2024</t>
        </is>
      </c>
      <c r="B163" t="inlineStr">
        <is>
          <t>avverkningsanmälan</t>
        </is>
      </c>
      <c r="C163" t="inlineStr">
        <is>
          <t>Föryngringsavverkning</t>
        </is>
      </c>
      <c r="D163" s="1" t="n">
        <v>45513</v>
      </c>
      <c r="E163" s="1" t="n">
        <v>46313</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A 63615-2021</t>
        </is>
      </c>
      <c r="B164" t="inlineStr">
        <is>
          <t>avverkningsanmälan</t>
        </is>
      </c>
      <c r="C164" t="inlineStr">
        <is>
          <t>Föryngringsavverkning</t>
        </is>
      </c>
      <c r="D164" s="1" t="n">
        <v>44509</v>
      </c>
      <c r="E164" s="1" t="n">
        <v>46313</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t="n">
        <v>0</v>
      </c>
      <c r="V164" s="2" t="inlineStr">
        <is>
          <t>Gul taggsvamp</t>
        </is>
      </c>
      <c r="W164">
        <f>HYPERLINK("https://klasma.github.io/Logging_0382/artfynd/A 63615-2021 artfynd.xlsx", "A 63615-2021")</f>
        <v/>
      </c>
      <c r="X164">
        <f>HYPERLINK("https://klasma.github.io/Logging_0382/kartor/A 63615-2021 karta.png", "A 63615-2021")</f>
        <v/>
      </c>
      <c r="Y164">
        <f>HYPERLINK("https://klasma.github.io/Logging_0382/kartor_geotiff/A 63615-2021 georefererad karta.tif", "A 63615-2021")</f>
        <v/>
      </c>
      <c r="AA164">
        <f>HYPERLINK("https://klasma.github.io/Logging_0382/klagomål/A 63615-2021 FSC-klagomål.docx", "A 63615-2021")</f>
        <v/>
      </c>
      <c r="AB164">
        <f>HYPERLINK("https://klasma.github.io/Logging_0382/klagomålsmail/A 63615-2021 FSC-klagomål mail.docx", "A 63615-2021")</f>
        <v/>
      </c>
      <c r="AC164">
        <f>HYPERLINK("https://klasma.github.io/Logging_0382/tillsyn/A 63615-2021 tillsynsbegäran.docx", "A 63615-2021")</f>
        <v/>
      </c>
      <c r="AD164">
        <f>HYPERLINK("https://klasma.github.io/Logging_0382/tillsynsmail/A 63615-2021 tillsynsbegäran mail.docx", "A 63615-2021")</f>
        <v/>
      </c>
    </row>
    <row r="165" ht="15" customHeight="1">
      <c r="A165" t="inlineStr">
        <is>
          <t>A 34967-2026</t>
        </is>
      </c>
      <c r="B165" t="inlineStr">
        <is>
          <t>avverkningsanmälan</t>
        </is>
      </c>
      <c r="C165" t="inlineStr">
        <is>
          <t>Föryngringsavverkning</t>
        </is>
      </c>
      <c r="D165" s="1" t="n">
        <v>46259</v>
      </c>
      <c r="E165" s="1" t="n">
        <v>46313</v>
      </c>
      <c r="F165" t="inlineStr">
        <is>
          <t>UPPSALA LÄN</t>
        </is>
      </c>
      <c r="G165" t="inlineStr">
        <is>
          <t>ÖSTHAMMAR</t>
        </is>
      </c>
      <c r="H165" t="inlineStr">
        <is>
          <t>Bergvik skog öst AB</t>
        </is>
      </c>
      <c r="I165" t="n">
        <v>1.2</v>
      </c>
      <c r="J165" t="n">
        <v>0</v>
      </c>
      <c r="K165" t="n">
        <v>0</v>
      </c>
      <c r="L165" t="n">
        <v>1</v>
      </c>
      <c r="M165" t="n">
        <v>0</v>
      </c>
      <c r="N165" t="n">
        <v>0</v>
      </c>
      <c r="O165" t="n">
        <v>0</v>
      </c>
      <c r="P165" t="n">
        <v>0</v>
      </c>
      <c r="Q165" t="n">
        <v>1</v>
      </c>
      <c r="R165" t="n">
        <v>0</v>
      </c>
      <c r="S165" t="n">
        <v>1</v>
      </c>
      <c r="T165" t="n">
        <v>1</v>
      </c>
      <c r="U165" t="n">
        <v>0</v>
      </c>
      <c r="V165" s="2" t="inlineStr">
        <is>
          <t>Gullpudra</t>
        </is>
      </c>
      <c r="W165">
        <f>HYPERLINK("https://klasma.github.io/Logging_0382/artfynd/A 34967-2026 artfynd.xlsx", "A 34967-2026")</f>
        <v/>
      </c>
      <c r="X165">
        <f>HYPERLINK("https://klasma.github.io/Logging_0382/kartor/A 34967-2026 karta.png", "A 34967-2026")</f>
        <v/>
      </c>
      <c r="Y165">
        <f>HYPERLINK("https://klasma.github.io/Logging_0382/kartor_geotiff/A 34967-2026 georefererad karta.tif", "A 34967-2026")</f>
        <v/>
      </c>
      <c r="AA165">
        <f>HYPERLINK("https://klasma.github.io/Logging_0382/klagomål/A 34967-2026 FSC-klagomål.docx", "A 34967-2026")</f>
        <v/>
      </c>
      <c r="AB165">
        <f>HYPERLINK("https://klasma.github.io/Logging_0382/klagomålsmail/A 34967-2026 FSC-klagomål mail.docx", "A 34967-2026")</f>
        <v/>
      </c>
      <c r="AC165">
        <f>HYPERLINK("https://klasma.github.io/Logging_0382/tillsyn/A 34967-2026 tillsynsbegäran.docx", "A 34967-2026")</f>
        <v/>
      </c>
      <c r="AD165">
        <f>HYPERLINK("https://klasma.github.io/Logging_0382/tillsynsmail/A 34967-2026 tillsynsbegäran mail.docx", "A 34967-2026")</f>
        <v/>
      </c>
    </row>
    <row r="166" ht="15" customHeight="1">
      <c r="A166" t="inlineStr">
        <is>
          <t>A 35195-2026</t>
        </is>
      </c>
      <c r="B166" t="inlineStr">
        <is>
          <t>avverkningsanmälan</t>
        </is>
      </c>
      <c r="C166" t="inlineStr">
        <is>
          <t>Föryngringsavverkning</t>
        </is>
      </c>
      <c r="D166" s="1" t="n">
        <v>46260</v>
      </c>
      <c r="E166" s="1" t="n">
        <v>46313</v>
      </c>
      <c r="F166" t="inlineStr">
        <is>
          <t>UPPSALA LÄN</t>
        </is>
      </c>
      <c r="G166" t="inlineStr">
        <is>
          <t>ÖSTHAMMAR</t>
        </is>
      </c>
      <c r="H166" t="inlineStr">
        <is>
          <t>Bergvik skog öst AB</t>
        </is>
      </c>
      <c r="I166" t="n">
        <v>11.2</v>
      </c>
      <c r="J166" t="n">
        <v>1</v>
      </c>
      <c r="K166" t="n">
        <v>0</v>
      </c>
      <c r="L166" t="n">
        <v>0</v>
      </c>
      <c r="M166" t="n">
        <v>0</v>
      </c>
      <c r="N166" t="n">
        <v>0</v>
      </c>
      <c r="O166" t="n">
        <v>0</v>
      </c>
      <c r="P166" t="n">
        <v>0</v>
      </c>
      <c r="Q166" t="n">
        <v>0</v>
      </c>
      <c r="R166" t="n">
        <v>0</v>
      </c>
      <c r="S166" t="n">
        <v>1</v>
      </c>
      <c r="T166" t="n">
        <v>1</v>
      </c>
      <c r="U166" t="n">
        <v>0</v>
      </c>
      <c r="V166" s="2" t="inlineStr">
        <is>
          <t>Lopplummer (aggregat)</t>
        </is>
      </c>
      <c r="W166">
        <f>HYPERLINK("https://klasma.github.io/Logging_0382/artfynd/A 35195-2026 artfynd.xlsx", "A 35195-2026")</f>
        <v/>
      </c>
      <c r="X166">
        <f>HYPERLINK("https://klasma.github.io/Logging_0382/kartor/A 35195-2026 karta.png", "A 35195-2026")</f>
        <v/>
      </c>
      <c r="Y166">
        <f>HYPERLINK("https://klasma.github.io/Logging_0382/kartor_geotiff/A 35195-2026 georefererad karta.tif", "A 35195-2026")</f>
        <v/>
      </c>
      <c r="AA166">
        <f>HYPERLINK("https://klasma.github.io/Logging_0382/klagomål/A 35195-2026 FSC-klagomål.docx", "A 35195-2026")</f>
        <v/>
      </c>
      <c r="AB166">
        <f>HYPERLINK("https://klasma.github.io/Logging_0382/klagomålsmail/A 35195-2026 FSC-klagomål mail.docx", "A 35195-2026")</f>
        <v/>
      </c>
      <c r="AC166">
        <f>HYPERLINK("https://klasma.github.io/Logging_0382/tillsyn/A 35195-2026 tillsynsbegäran.docx", "A 35195-2026")</f>
        <v/>
      </c>
      <c r="AD166">
        <f>HYPERLINK("https://klasma.github.io/Logging_0382/tillsynsmail/A 35195-2026 tillsynsbegäran mail.docx", "A 35195-2026")</f>
        <v/>
      </c>
    </row>
    <row r="167" ht="15" customHeight="1">
      <c r="A167" t="inlineStr">
        <is>
          <t>A 36231-2026</t>
        </is>
      </c>
      <c r="B167" t="inlineStr">
        <is>
          <t>avverkningsanmälan</t>
        </is>
      </c>
      <c r="C167" t="inlineStr">
        <is>
          <t>Föryngringsavverkning</t>
        </is>
      </c>
      <c r="D167" s="1" t="n">
        <v>46268</v>
      </c>
      <c r="E167" s="1" t="n">
        <v>46313</v>
      </c>
      <c r="F167" t="inlineStr">
        <is>
          <t>UPPSALA LÄN</t>
        </is>
      </c>
      <c r="G167" t="inlineStr">
        <is>
          <t>ÖSTHAMMAR</t>
        </is>
      </c>
      <c r="H167" t="inlineStr">
        <is>
          <t>Övriga Aktiebolag</t>
        </is>
      </c>
      <c r="I167" t="n">
        <v>9.199999999999999</v>
      </c>
      <c r="J167" t="n">
        <v>1</v>
      </c>
      <c r="K167" t="n">
        <v>0</v>
      </c>
      <c r="L167" t="n">
        <v>1</v>
      </c>
      <c r="M167" t="n">
        <v>0</v>
      </c>
      <c r="N167" t="n">
        <v>0</v>
      </c>
      <c r="O167" t="n">
        <v>0</v>
      </c>
      <c r="P167" t="n">
        <v>0</v>
      </c>
      <c r="Q167" t="n">
        <v>1</v>
      </c>
      <c r="R167" t="n">
        <v>0</v>
      </c>
      <c r="S167" t="n">
        <v>1</v>
      </c>
      <c r="T167" t="n">
        <v>1</v>
      </c>
      <c r="U167" t="n">
        <v>0</v>
      </c>
      <c r="V167" s="2" t="inlineStr">
        <is>
          <t>Sparvuggla</t>
        </is>
      </c>
      <c r="W167">
        <f>HYPERLINK("https://klasma.github.io/Logging_0382/artfynd/A 36231-2026 artfynd.xlsx", "A 36231-2026")</f>
        <v/>
      </c>
      <c r="X167">
        <f>HYPERLINK("https://klasma.github.io/Logging_0382/kartor/A 36231-2026 karta.png", "A 36231-2026")</f>
        <v/>
      </c>
      <c r="Y167">
        <f>HYPERLINK("https://klasma.github.io/Logging_0382/kartor_geotiff/A 36231-2026 georefererad karta.tif", "A 36231-2026")</f>
        <v/>
      </c>
      <c r="AA167">
        <f>HYPERLINK("https://klasma.github.io/Logging_0382/klagomål/A 36231-2026 FSC-klagomål.docx", "A 36231-2026")</f>
        <v/>
      </c>
      <c r="AB167">
        <f>HYPERLINK("https://klasma.github.io/Logging_0382/klagomålsmail/A 36231-2026 FSC-klagomål mail.docx", "A 36231-2026")</f>
        <v/>
      </c>
      <c r="AC167">
        <f>HYPERLINK("https://klasma.github.io/Logging_0382/tillsyn/A 36231-2026 tillsynsbegäran.docx", "A 36231-2026")</f>
        <v/>
      </c>
      <c r="AD167">
        <f>HYPERLINK("https://klasma.github.io/Logging_0382/tillsynsmail/A 36231-2026 tillsynsbegäran mail.docx", "A 36231-2026")</f>
        <v/>
      </c>
      <c r="AE167">
        <f>HYPERLINK("https://klasma.github.io/Logging_0382/fåglar/A 36231-2026 prioriterade fågelarter.docx", "A 36231-2026")</f>
        <v/>
      </c>
    </row>
    <row r="168" ht="15" customHeight="1">
      <c r="A168" t="inlineStr">
        <is>
          <t>S 1922-2023</t>
        </is>
      </c>
      <c r="B168" t="inlineStr">
        <is>
          <t>samrådsanmälan</t>
        </is>
      </c>
      <c r="C168" t="inlineStr">
        <is>
          <t>Annan skogsbruksåtgärd</t>
        </is>
      </c>
      <c r="D168" s="1" t="n">
        <v>45078</v>
      </c>
      <c r="E168" s="1" t="n">
        <v>46313</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46313</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46313</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46313</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46313</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46313</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46313</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46313</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46313</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46313</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46313</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46313</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25434-2022</t>
        </is>
      </c>
      <c r="B180" t="inlineStr">
        <is>
          <t>avverkningsanmälan</t>
        </is>
      </c>
      <c r="C180" t="inlineStr">
        <is>
          <t>Föryngringsavverkning</t>
        </is>
      </c>
      <c r="D180" s="1" t="n">
        <v>44732</v>
      </c>
      <c r="E180" s="1" t="n">
        <v>46313</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46313</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46313</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46313</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46313</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46313</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46313</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46313</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46313</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46313</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73983-2021</t>
        </is>
      </c>
      <c r="B190" t="inlineStr">
        <is>
          <t>avverkningsanmälan</t>
        </is>
      </c>
      <c r="C190" t="inlineStr">
        <is>
          <t>Föryngringsavverkning</t>
        </is>
      </c>
      <c r="D190" s="1" t="n">
        <v>44555</v>
      </c>
      <c r="E190" s="1" t="n">
        <v>46313</v>
      </c>
      <c r="F190" t="inlineStr">
        <is>
          <t>UPPSALA LÄN</t>
        </is>
      </c>
      <c r="G190" t="inlineStr">
        <is>
          <t>ÖSTHAMMAR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46313</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46313</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46313</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46313</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46313</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46313</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46313</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46313</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46313</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46313</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46313</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46313</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46313</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46313</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46313</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46313</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46313</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46313</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46313</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46313</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46313</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22945-2022</t>
        </is>
      </c>
      <c r="B212" t="inlineStr">
        <is>
          <t>avverkningsanmälan</t>
        </is>
      </c>
      <c r="C212" t="inlineStr">
        <is>
          <t>Föryngringsavverkning</t>
        </is>
      </c>
      <c r="D212" s="1" t="n">
        <v>44715</v>
      </c>
      <c r="E212" s="1" t="n">
        <v>46313</v>
      </c>
      <c r="F212" t="inlineStr">
        <is>
          <t>UPPSALA LÄN</t>
        </is>
      </c>
      <c r="G212" t="inlineStr">
        <is>
          <t>ÖSTHAMMAR</t>
        </is>
      </c>
      <c r="H212" t="inlineStr">
        <is>
          <t>Bergvik skog öst AB</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46313</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46313</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46313</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46313</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46313</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46313</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46313</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46313</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46313</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46313</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46313</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46313</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46313</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46313</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46313</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46313</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46313</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46313</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46313</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46313</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46313</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11884-2022</t>
        </is>
      </c>
      <c r="B234" t="inlineStr">
        <is>
          <t>avverkningsanmälan</t>
        </is>
      </c>
      <c r="C234" t="inlineStr">
        <is>
          <t>Föryngringsavverkning</t>
        </is>
      </c>
      <c r="D234" s="1" t="n">
        <v>44635</v>
      </c>
      <c r="E234" s="1" t="n">
        <v>46313</v>
      </c>
      <c r="F234" t="inlineStr">
        <is>
          <t>UPPSALA LÄN</t>
        </is>
      </c>
      <c r="G234" t="inlineStr">
        <is>
          <t>ÖSTHAMMAR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46313</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17013-2022</t>
        </is>
      </c>
      <c r="B236" t="inlineStr">
        <is>
          <t>avverkningsanmälan</t>
        </is>
      </c>
      <c r="C236" t="inlineStr">
        <is>
          <t>Föryngringsavverkning</t>
        </is>
      </c>
      <c r="D236" s="1" t="n">
        <v>44676</v>
      </c>
      <c r="E236" s="1" t="n">
        <v>46313</v>
      </c>
      <c r="F236" t="inlineStr">
        <is>
          <t>UPPSALA LÄN</t>
        </is>
      </c>
      <c r="G236" t="inlineStr">
        <is>
          <t>ÖSTHAMMAR</t>
        </is>
      </c>
      <c r="H236" t="inlineStr">
        <is>
          <t>Bergvik skog öst AB</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12999-2022</t>
        </is>
      </c>
      <c r="B237" t="inlineStr">
        <is>
          <t>avverkningsanmälan</t>
        </is>
      </c>
      <c r="C237" t="inlineStr">
        <is>
          <t>Föryngringsavverkning</t>
        </is>
      </c>
      <c r="D237" s="1" t="n">
        <v>44643</v>
      </c>
      <c r="E237" s="1" t="n">
        <v>46313</v>
      </c>
      <c r="F237" t="inlineStr">
        <is>
          <t>UPPSALA LÄN</t>
        </is>
      </c>
      <c r="G237" t="inlineStr">
        <is>
          <t>ÖSTHAMMAR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46313</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37568-2022</t>
        </is>
      </c>
      <c r="B239" t="inlineStr">
        <is>
          <t>avverkningsanmälan</t>
        </is>
      </c>
      <c r="C239" t="inlineStr">
        <is>
          <t>Föryngringsavverkning</t>
        </is>
      </c>
      <c r="D239" s="1" t="n">
        <v>44809</v>
      </c>
      <c r="E239" s="1" t="n">
        <v>46313</v>
      </c>
      <c r="F239" t="inlineStr">
        <is>
          <t>UPPSALA LÄN</t>
        </is>
      </c>
      <c r="G239" t="inlineStr">
        <is>
          <t>ÖSTHAMMAR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2085-2022</t>
        </is>
      </c>
      <c r="B240" t="inlineStr">
        <is>
          <t>avverkningsanmälan</t>
        </is>
      </c>
      <c r="C240" t="inlineStr">
        <is>
          <t>Föryngringsavverkning</t>
        </is>
      </c>
      <c r="D240" s="1" t="n">
        <v>44576</v>
      </c>
      <c r="E240" s="1" t="n">
        <v>46313</v>
      </c>
      <c r="F240" t="inlineStr">
        <is>
          <t>UPPSALA LÄN</t>
        </is>
      </c>
      <c r="G240" t="inlineStr">
        <is>
          <t>ÖSTHAMMAR</t>
        </is>
      </c>
      <c r="H240" t="inlineStr">
        <is>
          <t>Bergvik skog öst AB</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31479-2023</t>
        </is>
      </c>
      <c r="B241" t="inlineStr">
        <is>
          <t>avverkningsanmälan</t>
        </is>
      </c>
      <c r="C241" t="inlineStr">
        <is>
          <t>Föryngringsavverkning</t>
        </is>
      </c>
      <c r="D241" s="1" t="n">
        <v>45114</v>
      </c>
      <c r="E241" s="1" t="n">
        <v>46313</v>
      </c>
      <c r="F241" t="inlineStr">
        <is>
          <t>UPPSALA LÄN</t>
        </is>
      </c>
      <c r="G241" t="inlineStr">
        <is>
          <t>ÖSTHAMMAR</t>
        </is>
      </c>
      <c r="H241" t="inlineStr">
        <is>
          <t>Bergvik skog öst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74436-2021</t>
        </is>
      </c>
      <c r="B242" t="inlineStr">
        <is>
          <t>avverkningsanmälan</t>
        </is>
      </c>
      <c r="C242" t="inlineStr">
        <is>
          <t>Föryngringsavverkning</t>
        </is>
      </c>
      <c r="D242" s="1" t="n">
        <v>44560</v>
      </c>
      <c r="E242" s="1" t="n">
        <v>46313</v>
      </c>
      <c r="F242" t="inlineStr">
        <is>
          <t>UPPSALA LÄN</t>
        </is>
      </c>
      <c r="G242" t="inlineStr">
        <is>
          <t>ÖSTHAMMAR</t>
        </is>
      </c>
      <c r="H242" t="inlineStr">
        <is>
          <t>Bergvik skog öst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48719-2023</t>
        </is>
      </c>
      <c r="B243" t="inlineStr">
        <is>
          <t>avverkningsanmälan</t>
        </is>
      </c>
      <c r="C243" t="inlineStr">
        <is>
          <t>Föryngringsavverkning</t>
        </is>
      </c>
      <c r="D243" s="1" t="n">
        <v>45208</v>
      </c>
      <c r="E243" s="1" t="n">
        <v>46313</v>
      </c>
      <c r="F243" t="inlineStr">
        <is>
          <t>UPPSALA LÄN</t>
        </is>
      </c>
      <c r="G243" t="inlineStr">
        <is>
          <t>ÖSTHAMMAR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31574-2022</t>
        </is>
      </c>
      <c r="B244" t="inlineStr">
        <is>
          <t>avverkningsanmälan</t>
        </is>
      </c>
      <c r="C244" t="inlineStr">
        <is>
          <t>Föryngringsavverkning</t>
        </is>
      </c>
      <c r="D244" s="1" t="n">
        <v>44775</v>
      </c>
      <c r="E244" s="1" t="n">
        <v>46313</v>
      </c>
      <c r="F244" t="inlineStr">
        <is>
          <t>UPPSALA LÄN</t>
        </is>
      </c>
      <c r="G244" t="inlineStr">
        <is>
          <t>ÖSTHAMMAR</t>
        </is>
      </c>
      <c r="I244" t="n">
        <v>29.7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29824-2023</t>
        </is>
      </c>
      <c r="B245" t="inlineStr">
        <is>
          <t>avverkningsanmälan</t>
        </is>
      </c>
      <c r="C245" t="inlineStr">
        <is>
          <t>Föryngringsavverkning</t>
        </is>
      </c>
      <c r="D245" s="1" t="n">
        <v>45107</v>
      </c>
      <c r="E245" s="1" t="n">
        <v>46313</v>
      </c>
      <c r="F245" t="inlineStr">
        <is>
          <t>UPPSALA LÄN</t>
        </is>
      </c>
      <c r="G245" t="inlineStr">
        <is>
          <t>ÖSTHAMMAR</t>
        </is>
      </c>
      <c r="H245" t="inlineStr">
        <is>
          <t>Naturvårdsverket</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55086-2024</t>
        </is>
      </c>
      <c r="B246" t="inlineStr">
        <is>
          <t>avverkningsanmälan</t>
        </is>
      </c>
      <c r="C246" t="inlineStr">
        <is>
          <t>Föryngringsavverkning</t>
        </is>
      </c>
      <c r="D246" s="1" t="n">
        <v>45621</v>
      </c>
      <c r="E246" s="1" t="n">
        <v>46313</v>
      </c>
      <c r="F246" t="inlineStr">
        <is>
          <t>UPPSALA LÄN</t>
        </is>
      </c>
      <c r="G246" t="inlineStr">
        <is>
          <t>ÖSTHAMMAR</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62695-2023</t>
        </is>
      </c>
      <c r="B247" t="inlineStr">
        <is>
          <t>avverkningsanmälan</t>
        </is>
      </c>
      <c r="C247" t="inlineStr">
        <is>
          <t>Föryngringsavverkning</t>
        </is>
      </c>
      <c r="D247" s="1" t="n">
        <v>45271</v>
      </c>
      <c r="E247" s="1" t="n">
        <v>46313</v>
      </c>
      <c r="F247" t="inlineStr">
        <is>
          <t>UPPSALA LÄN</t>
        </is>
      </c>
      <c r="G247" t="inlineStr">
        <is>
          <t>ÖSTHAMMAR</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46313</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4559-2022</t>
        </is>
      </c>
      <c r="B249" t="inlineStr">
        <is>
          <t>avverkningsanmälan</t>
        </is>
      </c>
      <c r="C249" t="inlineStr">
        <is>
          <t>Föryngringsavverkning</t>
        </is>
      </c>
      <c r="D249" s="1" t="n">
        <v>44591</v>
      </c>
      <c r="E249" s="1" t="n">
        <v>46313</v>
      </c>
      <c r="F249" t="inlineStr">
        <is>
          <t>UPPSALA LÄN</t>
        </is>
      </c>
      <c r="G249" t="inlineStr">
        <is>
          <t>ÖSTHAMMAR</t>
        </is>
      </c>
      <c r="H249" t="inlineStr">
        <is>
          <t>Bergvik skog öst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20046-2023</t>
        </is>
      </c>
      <c r="B250" t="inlineStr">
        <is>
          <t>avverkningsanmälan</t>
        </is>
      </c>
      <c r="C250" t="inlineStr">
        <is>
          <t>Avverkning för annat ändamål</t>
        </is>
      </c>
      <c r="D250" s="1" t="n">
        <v>45054</v>
      </c>
      <c r="E250" s="1" t="n">
        <v>46313</v>
      </c>
      <c r="F250" t="inlineStr">
        <is>
          <t>UPPSALA LÄN</t>
        </is>
      </c>
      <c r="G250" t="inlineStr">
        <is>
          <t>ÖSTHAMMAR</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29753-2022</t>
        </is>
      </c>
      <c r="B251" t="inlineStr">
        <is>
          <t>avverkningsanmälan</t>
        </is>
      </c>
      <c r="C251" t="inlineStr">
        <is>
          <t>Föryngringsavverkning</t>
        </is>
      </c>
      <c r="D251" s="1" t="n">
        <v>44755</v>
      </c>
      <c r="E251" s="1" t="n">
        <v>46313</v>
      </c>
      <c r="F251" t="inlineStr">
        <is>
          <t>UPPSALA LÄN</t>
        </is>
      </c>
      <c r="G251" t="inlineStr">
        <is>
          <t>ÖSTHAMMAR</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32742-2022</t>
        </is>
      </c>
      <c r="B252" t="inlineStr">
        <is>
          <t>avverkningsanmälan</t>
        </is>
      </c>
      <c r="C252" t="inlineStr">
        <is>
          <t>Föryngringsavverkning</t>
        </is>
      </c>
      <c r="D252" s="1" t="n">
        <v>44783</v>
      </c>
      <c r="E252" s="1" t="n">
        <v>46313</v>
      </c>
      <c r="F252" t="inlineStr">
        <is>
          <t>UPPSALA LÄN</t>
        </is>
      </c>
      <c r="G252" t="inlineStr">
        <is>
          <t>ÖSTHAMMAR</t>
        </is>
      </c>
      <c r="H252" t="inlineStr">
        <is>
          <t>Bergvik skog öst AB</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49833-2023</t>
        </is>
      </c>
      <c r="B253" t="inlineStr">
        <is>
          <t>avverkningsanmälan</t>
        </is>
      </c>
      <c r="C253" t="inlineStr">
        <is>
          <t>Föryngringsavverkning</t>
        </is>
      </c>
      <c r="D253" s="1" t="n">
        <v>45212</v>
      </c>
      <c r="E253" s="1" t="n">
        <v>46313</v>
      </c>
      <c r="F253" t="inlineStr">
        <is>
          <t>UPPSALA LÄN</t>
        </is>
      </c>
      <c r="G253" t="inlineStr">
        <is>
          <t>ÖSTHAMMAR</t>
        </is>
      </c>
      <c r="H253" t="inlineStr">
        <is>
          <t>Bergvik skog öst AB</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46313</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45307-2023</t>
        </is>
      </c>
      <c r="B255" t="inlineStr">
        <is>
          <t>avverkningsanmälan</t>
        </is>
      </c>
      <c r="C255" t="inlineStr">
        <is>
          <t>Föryngringsavverkning</t>
        </is>
      </c>
      <c r="D255" s="1" t="n">
        <v>45191</v>
      </c>
      <c r="E255" s="1" t="n">
        <v>46313</v>
      </c>
      <c r="F255" t="inlineStr">
        <is>
          <t>UPPSALA LÄN</t>
        </is>
      </c>
      <c r="G255" t="inlineStr">
        <is>
          <t>ÖSTHAMMAR</t>
        </is>
      </c>
      <c r="H255" t="inlineStr">
        <is>
          <t>Bergvik skog öst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61261-2022</t>
        </is>
      </c>
      <c r="B256" t="inlineStr">
        <is>
          <t>avverkningsanmälan</t>
        </is>
      </c>
      <c r="C256" t="inlineStr">
        <is>
          <t>Föryngringsavverkning</t>
        </is>
      </c>
      <c r="D256" s="1" t="n">
        <v>44915</v>
      </c>
      <c r="E256" s="1" t="n">
        <v>46313</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14187-2022</t>
        </is>
      </c>
      <c r="B257" t="inlineStr">
        <is>
          <t>avverkningsanmälan</t>
        </is>
      </c>
      <c r="C257" t="inlineStr">
        <is>
          <t>Föryngringsavverkning</t>
        </is>
      </c>
      <c r="D257" s="1" t="n">
        <v>44651</v>
      </c>
      <c r="E257" s="1" t="n">
        <v>46313</v>
      </c>
      <c r="F257" t="inlineStr">
        <is>
          <t>UPPSALA LÄN</t>
        </is>
      </c>
      <c r="G257" t="inlineStr">
        <is>
          <t>ÖSTHAMMAR</t>
        </is>
      </c>
      <c r="H257" t="inlineStr">
        <is>
          <t>Övriga Aktiebolag</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13093-2022</t>
        </is>
      </c>
      <c r="B258" t="inlineStr">
        <is>
          <t>avverkningsanmälan</t>
        </is>
      </c>
      <c r="C258" t="inlineStr">
        <is>
          <t>Föryngringsavverkning</t>
        </is>
      </c>
      <c r="D258" s="1" t="n">
        <v>44643</v>
      </c>
      <c r="E258" s="1" t="n">
        <v>46313</v>
      </c>
      <c r="F258" t="inlineStr">
        <is>
          <t>UPPSALA LÄN</t>
        </is>
      </c>
      <c r="G258" t="inlineStr">
        <is>
          <t>ÖSTHAMMAR</t>
        </is>
      </c>
      <c r="H258" t="inlineStr">
        <is>
          <t>Bergvik skog öst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6143-2022</t>
        </is>
      </c>
      <c r="B259" t="inlineStr">
        <is>
          <t>avverkningsanmälan</t>
        </is>
      </c>
      <c r="C259" t="inlineStr">
        <is>
          <t>Föryngringsavverkning</t>
        </is>
      </c>
      <c r="D259" s="1" t="n">
        <v>44599</v>
      </c>
      <c r="E259" s="1" t="n">
        <v>46313</v>
      </c>
      <c r="F259" t="inlineStr">
        <is>
          <t>UPPSALA LÄN</t>
        </is>
      </c>
      <c r="G259" t="inlineStr">
        <is>
          <t>ÖSTHAMMAR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6153-2022</t>
        </is>
      </c>
      <c r="B260" t="inlineStr">
        <is>
          <t>avverkningsanmälan</t>
        </is>
      </c>
      <c r="C260" t="inlineStr">
        <is>
          <t>Föryngringsavverkning</t>
        </is>
      </c>
      <c r="D260" s="1" t="n">
        <v>44599</v>
      </c>
      <c r="E260" s="1" t="n">
        <v>46313</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21522-2022</t>
        </is>
      </c>
      <c r="B261" t="inlineStr">
        <is>
          <t>avverkningsanmälan</t>
        </is>
      </c>
      <c r="C261" t="inlineStr">
        <is>
          <t>Föryngringsavverkning</t>
        </is>
      </c>
      <c r="D261" s="1" t="n">
        <v>44706</v>
      </c>
      <c r="E261" s="1" t="n">
        <v>46313</v>
      </c>
      <c r="F261" t="inlineStr">
        <is>
          <t>UPPSALA LÄN</t>
        </is>
      </c>
      <c r="G261" t="inlineStr">
        <is>
          <t>ÖSTHAMMAR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14124-2022</t>
        </is>
      </c>
      <c r="B262" t="inlineStr">
        <is>
          <t>avverkningsanmälan</t>
        </is>
      </c>
      <c r="C262" t="inlineStr">
        <is>
          <t>Föryngringsavverkning</t>
        </is>
      </c>
      <c r="D262" s="1" t="n">
        <v>44651</v>
      </c>
      <c r="E262" s="1" t="n">
        <v>46313</v>
      </c>
      <c r="F262" t="inlineStr">
        <is>
          <t>UPPSALA LÄN</t>
        </is>
      </c>
      <c r="G262" t="inlineStr">
        <is>
          <t>ÖSTHAMMAR</t>
        </is>
      </c>
      <c r="H262" t="inlineStr">
        <is>
          <t>Bergvik skog öst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58324-2023</t>
        </is>
      </c>
      <c r="B263" t="inlineStr">
        <is>
          <t>avverkningsanmälan</t>
        </is>
      </c>
      <c r="C263" t="inlineStr">
        <is>
          <t>Föryngringsavverkning</t>
        </is>
      </c>
      <c r="D263" s="1" t="n">
        <v>45250</v>
      </c>
      <c r="E263" s="1" t="n">
        <v>46313</v>
      </c>
      <c r="F263" t="inlineStr">
        <is>
          <t>UPPSALA LÄN</t>
        </is>
      </c>
      <c r="G263" t="inlineStr">
        <is>
          <t>ÖSTHAMMAR</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31035-2022</t>
        </is>
      </c>
      <c r="B264" t="inlineStr">
        <is>
          <t>avverkningsanmälan</t>
        </is>
      </c>
      <c r="C264" t="inlineStr">
        <is>
          <t>Föryngringsavverkning</t>
        </is>
      </c>
      <c r="D264" s="1" t="n">
        <v>44768</v>
      </c>
      <c r="E264" s="1" t="n">
        <v>46313</v>
      </c>
      <c r="F264" t="inlineStr">
        <is>
          <t>UPPSALA LÄN</t>
        </is>
      </c>
      <c r="G264" t="inlineStr">
        <is>
          <t>ÖSTHAMMAR</t>
        </is>
      </c>
      <c r="H264" t="inlineStr">
        <is>
          <t>Bergvik skog öst AB</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35474-2023</t>
        </is>
      </c>
      <c r="B265" t="inlineStr">
        <is>
          <t>avverkningsanmälan</t>
        </is>
      </c>
      <c r="C265" t="inlineStr">
        <is>
          <t>Föryngringsavverkning</t>
        </is>
      </c>
      <c r="D265" s="1" t="n">
        <v>45146</v>
      </c>
      <c r="E265" s="1" t="n">
        <v>46313</v>
      </c>
      <c r="F265" t="inlineStr">
        <is>
          <t>UPPSALA LÄN</t>
        </is>
      </c>
      <c r="G265" t="inlineStr">
        <is>
          <t>ÖSTHAMMAR</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49097-2022</t>
        </is>
      </c>
      <c r="B266" t="inlineStr">
        <is>
          <t>avverkningsanmälan</t>
        </is>
      </c>
      <c r="C266" t="inlineStr">
        <is>
          <t>Föryngringsavverkning</t>
        </is>
      </c>
      <c r="D266" s="1" t="n">
        <v>44860</v>
      </c>
      <c r="E266" s="1" t="n">
        <v>46313</v>
      </c>
      <c r="F266" t="inlineStr">
        <is>
          <t>UPPSALA LÄN</t>
        </is>
      </c>
      <c r="G266" t="inlineStr">
        <is>
          <t>ÖSTHAMMAR</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53735-2023</t>
        </is>
      </c>
      <c r="B267" t="inlineStr">
        <is>
          <t>avverkningsanmälan</t>
        </is>
      </c>
      <c r="C267" t="inlineStr">
        <is>
          <t>Föryngringsavverkning</t>
        </is>
      </c>
      <c r="D267" s="1" t="n">
        <v>45230</v>
      </c>
      <c r="E267" s="1" t="n">
        <v>46313</v>
      </c>
      <c r="F267" t="inlineStr">
        <is>
          <t>UPPSALA LÄN</t>
        </is>
      </c>
      <c r="G267" t="inlineStr">
        <is>
          <t>ÖSTHAMMAR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10449-2023</t>
        </is>
      </c>
      <c r="B268" t="inlineStr">
        <is>
          <t>avverkningsanmälan</t>
        </is>
      </c>
      <c r="C268" t="inlineStr">
        <is>
          <t>Föryngringsavverkning</t>
        </is>
      </c>
      <c r="D268" s="1" t="n">
        <v>44987</v>
      </c>
      <c r="E268" s="1" t="n">
        <v>46313</v>
      </c>
      <c r="F268" t="inlineStr">
        <is>
          <t>UPPSALA LÄN</t>
        </is>
      </c>
      <c r="G268" t="inlineStr">
        <is>
          <t>ÖSTHAMMAR</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38702-2022</t>
        </is>
      </c>
      <c r="B269" t="inlineStr">
        <is>
          <t>avverkningsanmälan</t>
        </is>
      </c>
      <c r="C269" t="inlineStr">
        <is>
          <t>Föryngringsavverkning</t>
        </is>
      </c>
      <c r="D269" s="1" t="n">
        <v>44814</v>
      </c>
      <c r="E269" s="1" t="n">
        <v>46313</v>
      </c>
      <c r="F269" t="inlineStr">
        <is>
          <t>UPPSALA LÄN</t>
        </is>
      </c>
      <c r="G269" t="inlineStr">
        <is>
          <t>ÖSTHAMMAR</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1575-2025</t>
        </is>
      </c>
      <c r="B270" t="inlineStr">
        <is>
          <t>avverkningsanmälan</t>
        </is>
      </c>
      <c r="C270" t="inlineStr">
        <is>
          <t>Avverkning för annat ändamål</t>
        </is>
      </c>
      <c r="D270" s="1" t="n">
        <v>45670</v>
      </c>
      <c r="E270" s="1" t="n">
        <v>46313</v>
      </c>
      <c r="F270" t="inlineStr">
        <is>
          <t>UPPSALA LÄN</t>
        </is>
      </c>
      <c r="G270" t="inlineStr">
        <is>
          <t>ÖSTHAMMAR</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38571-2023</t>
        </is>
      </c>
      <c r="B271" t="inlineStr">
        <is>
          <t>avverkningsanmälan</t>
        </is>
      </c>
      <c r="C271" t="inlineStr">
        <is>
          <t>Föryngringsavverkning</t>
        </is>
      </c>
      <c r="D271" s="1" t="n">
        <v>45162</v>
      </c>
      <c r="E271" s="1" t="n">
        <v>46313</v>
      </c>
      <c r="F271" t="inlineStr">
        <is>
          <t>UPPSALA LÄN</t>
        </is>
      </c>
      <c r="G271" t="inlineStr">
        <is>
          <t>ÖSTHAMMAR</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5884-2023</t>
        </is>
      </c>
      <c r="B272" t="inlineStr">
        <is>
          <t>avverkningsanmälan</t>
        </is>
      </c>
      <c r="C272" t="inlineStr">
        <is>
          <t>Föryngringsavverkning</t>
        </is>
      </c>
      <c r="D272" s="1" t="n">
        <v>44963</v>
      </c>
      <c r="E272" s="1" t="n">
        <v>46313</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59731-2023</t>
        </is>
      </c>
      <c r="B273" t="inlineStr">
        <is>
          <t>avverkningsanmälan</t>
        </is>
      </c>
      <c r="C273" t="inlineStr">
        <is>
          <t>Föryngringsavverkning</t>
        </is>
      </c>
      <c r="D273" s="1" t="n">
        <v>45257</v>
      </c>
      <c r="E273" s="1" t="n">
        <v>46313</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28228-2022</t>
        </is>
      </c>
      <c r="B274" t="inlineStr">
        <is>
          <t>avverkningsanmälan</t>
        </is>
      </c>
      <c r="C274" t="inlineStr">
        <is>
          <t>Föryngringsavverkning</t>
        </is>
      </c>
      <c r="D274" s="1" t="n">
        <v>44746</v>
      </c>
      <c r="E274" s="1" t="n">
        <v>46313</v>
      </c>
      <c r="F274" t="inlineStr">
        <is>
          <t>UPPSALA LÄN</t>
        </is>
      </c>
      <c r="G274" t="inlineStr">
        <is>
          <t>ÖSTHAMMAR</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45561-2023</t>
        </is>
      </c>
      <c r="B275" t="inlineStr">
        <is>
          <t>avverkningsanmälan</t>
        </is>
      </c>
      <c r="C275" t="inlineStr">
        <is>
          <t>Föryngringsavverkning</t>
        </is>
      </c>
      <c r="D275" s="1" t="n">
        <v>45194</v>
      </c>
      <c r="E275" s="1" t="n">
        <v>46313</v>
      </c>
      <c r="F275" t="inlineStr">
        <is>
          <t>UPPSALA LÄN</t>
        </is>
      </c>
      <c r="G275" t="inlineStr">
        <is>
          <t>ÖSTHAMMAR</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49831-2023</t>
        </is>
      </c>
      <c r="B276" t="inlineStr">
        <is>
          <t>avverkningsanmälan</t>
        </is>
      </c>
      <c r="C276" t="inlineStr">
        <is>
          <t>Föryngringsavverkning</t>
        </is>
      </c>
      <c r="D276" s="1" t="n">
        <v>45212</v>
      </c>
      <c r="E276" s="1" t="n">
        <v>46313</v>
      </c>
      <c r="F276" t="inlineStr">
        <is>
          <t>UPPSALA LÄN</t>
        </is>
      </c>
      <c r="G276" t="inlineStr">
        <is>
          <t>ÖSTHAMMAR</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35316-2024</t>
        </is>
      </c>
      <c r="B277" t="inlineStr">
        <is>
          <t>avverkningsanmälan</t>
        </is>
      </c>
      <c r="C277" t="inlineStr">
        <is>
          <t>Föryngringsavverkning</t>
        </is>
      </c>
      <c r="D277" s="1" t="n">
        <v>45530</v>
      </c>
      <c r="E277" s="1" t="n">
        <v>46313</v>
      </c>
      <c r="F277" t="inlineStr">
        <is>
          <t>UPPSALA LÄN</t>
        </is>
      </c>
      <c r="G277" t="inlineStr">
        <is>
          <t>ÖSTHAMMAR</t>
        </is>
      </c>
      <c r="H277" t="inlineStr">
        <is>
          <t>Bergvik skog öst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11036-2023</t>
        </is>
      </c>
      <c r="B278" t="inlineStr">
        <is>
          <t>avverkningsanmälan</t>
        </is>
      </c>
      <c r="C278" t="inlineStr">
        <is>
          <t>Föryngringsavverkning</t>
        </is>
      </c>
      <c r="D278" s="1" t="n">
        <v>44991</v>
      </c>
      <c r="E278" s="1" t="n">
        <v>46313</v>
      </c>
      <c r="F278" t="inlineStr">
        <is>
          <t>UPPSALA LÄN</t>
        </is>
      </c>
      <c r="G278" t="inlineStr">
        <is>
          <t>ÖSTHAMMAR</t>
        </is>
      </c>
      <c r="H278" t="inlineStr">
        <is>
          <t>Bergvik skog öst AB</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32884-2024</t>
        </is>
      </c>
      <c r="B279" t="inlineStr">
        <is>
          <t>avverkningsanmälan</t>
        </is>
      </c>
      <c r="C279" t="inlineStr">
        <is>
          <t>Föryngringsavverkning</t>
        </is>
      </c>
      <c r="D279" s="1" t="n">
        <v>45516</v>
      </c>
      <c r="E279" s="1" t="n">
        <v>46313</v>
      </c>
      <c r="F279" t="inlineStr">
        <is>
          <t>UPPSALA LÄN</t>
        </is>
      </c>
      <c r="G279" t="inlineStr">
        <is>
          <t>ÖSTHAMMAR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64586-2021</t>
        </is>
      </c>
      <c r="B280" t="inlineStr">
        <is>
          <t>avverkningsanmälan</t>
        </is>
      </c>
      <c r="C280" t="inlineStr">
        <is>
          <t>Föryngringsavverkning</t>
        </is>
      </c>
      <c r="D280" s="1" t="n">
        <v>44511</v>
      </c>
      <c r="E280" s="1" t="n">
        <v>46313</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21624-2023</t>
        </is>
      </c>
      <c r="B281" t="inlineStr">
        <is>
          <t>avverkningsanmälan</t>
        </is>
      </c>
      <c r="C281" t="inlineStr">
        <is>
          <t>Föryngringsavverkning</t>
        </is>
      </c>
      <c r="D281" s="1" t="n">
        <v>45063</v>
      </c>
      <c r="E281" s="1" t="n">
        <v>46313</v>
      </c>
      <c r="F281" t="inlineStr">
        <is>
          <t>UPPSALA LÄN</t>
        </is>
      </c>
      <c r="G281" t="inlineStr">
        <is>
          <t>ÖSTHAMMAR</t>
        </is>
      </c>
      <c r="H281" t="inlineStr">
        <is>
          <t>Sveaskog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41996-2024</t>
        </is>
      </c>
      <c r="B282" t="inlineStr">
        <is>
          <t>avverkningsanmälan</t>
        </is>
      </c>
      <c r="C282" t="inlineStr">
        <is>
          <t>Föryngringsavverkning</t>
        </is>
      </c>
      <c r="D282" s="1" t="n">
        <v>45561</v>
      </c>
      <c r="E282" s="1" t="n">
        <v>46313</v>
      </c>
      <c r="F282" t="inlineStr">
        <is>
          <t>UPPSALA LÄN</t>
        </is>
      </c>
      <c r="G282" t="inlineStr">
        <is>
          <t>ÖSTHAMMAR</t>
        </is>
      </c>
      <c r="H282" t="inlineStr">
        <is>
          <t>Bergvik skog öst AB</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23742-2024</t>
        </is>
      </c>
      <c r="B283" t="inlineStr">
        <is>
          <t>avverkningsanmälan</t>
        </is>
      </c>
      <c r="C283" t="inlineStr">
        <is>
          <t>Föryngringsavverkning</t>
        </is>
      </c>
      <c r="D283" s="1" t="n">
        <v>45455</v>
      </c>
      <c r="E283" s="1" t="n">
        <v>46313</v>
      </c>
      <c r="F283" t="inlineStr">
        <is>
          <t>UPPSALA LÄN</t>
        </is>
      </c>
      <c r="G283" t="inlineStr">
        <is>
          <t>ÖSTHAMMAR</t>
        </is>
      </c>
      <c r="H283" t="inlineStr">
        <is>
          <t>Bergvik skog öst AB</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46313</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65020-2021</t>
        </is>
      </c>
      <c r="B285" t="inlineStr">
        <is>
          <t>avverkningsanmälan</t>
        </is>
      </c>
      <c r="C285" t="inlineStr">
        <is>
          <t>Avverkning för att bevara och utveckla /försöksver</t>
        </is>
      </c>
      <c r="D285" s="1" t="n">
        <v>44515</v>
      </c>
      <c r="E285" s="1" t="n">
        <v>46313</v>
      </c>
      <c r="F285" t="inlineStr">
        <is>
          <t>UPPSALA LÄN</t>
        </is>
      </c>
      <c r="G285" t="inlineStr">
        <is>
          <t>ÖSTHAMMAR</t>
        </is>
      </c>
      <c r="H285" t="inlineStr">
        <is>
          <t>Sveaskog</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6106-2024</t>
        </is>
      </c>
      <c r="B286" t="inlineStr">
        <is>
          <t>avverkningsanmälan</t>
        </is>
      </c>
      <c r="C286" t="inlineStr">
        <is>
          <t>Föryngringsavverkning</t>
        </is>
      </c>
      <c r="D286" s="1" t="n">
        <v>45337</v>
      </c>
      <c r="E286" s="1" t="n">
        <v>46313</v>
      </c>
      <c r="F286" t="inlineStr">
        <is>
          <t>UPPSALA LÄN</t>
        </is>
      </c>
      <c r="G286" t="inlineStr">
        <is>
          <t>ÖSTHAMMAR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73982-2021</t>
        </is>
      </c>
      <c r="B287" t="inlineStr">
        <is>
          <t>avverkningsanmälan</t>
        </is>
      </c>
      <c r="C287" t="inlineStr">
        <is>
          <t>Föryngringsavverkning</t>
        </is>
      </c>
      <c r="D287" s="1" t="n">
        <v>44555</v>
      </c>
      <c r="E287" s="1" t="n">
        <v>46313</v>
      </c>
      <c r="F287" t="inlineStr">
        <is>
          <t>UPPSALA LÄN</t>
        </is>
      </c>
      <c r="G287" t="inlineStr">
        <is>
          <t>ÖSTHAMMAR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38003-2024</t>
        </is>
      </c>
      <c r="B288" t="inlineStr">
        <is>
          <t>avverkningsanmälan</t>
        </is>
      </c>
      <c r="C288" t="inlineStr">
        <is>
          <t>Föryngringsavverkning</t>
        </is>
      </c>
      <c r="D288" s="1" t="n">
        <v>45544</v>
      </c>
      <c r="E288" s="1" t="n">
        <v>46313</v>
      </c>
      <c r="F288" t="inlineStr">
        <is>
          <t>UPPSALA LÄN</t>
        </is>
      </c>
      <c r="G288" t="inlineStr">
        <is>
          <t>ÖSTHAMMAR</t>
        </is>
      </c>
      <c r="H288" t="inlineStr">
        <is>
          <t>Naturvårdsverket</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25252-2024</t>
        </is>
      </c>
      <c r="B289" t="inlineStr">
        <is>
          <t>avverkningsanmälan</t>
        </is>
      </c>
      <c r="C289" t="inlineStr">
        <is>
          <t>Föryngringsavverkning</t>
        </is>
      </c>
      <c r="D289" s="1" t="n">
        <v>45462</v>
      </c>
      <c r="E289" s="1" t="n">
        <v>46313</v>
      </c>
      <c r="F289" t="inlineStr">
        <is>
          <t>UPPSALA LÄN</t>
        </is>
      </c>
      <c r="G289" t="inlineStr">
        <is>
          <t>ÖSTHAMMAR</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1238-2022</t>
        </is>
      </c>
      <c r="B290" t="inlineStr">
        <is>
          <t>avverkningsanmälan</t>
        </is>
      </c>
      <c r="C290" t="inlineStr">
        <is>
          <t>Föryngringsavverkning</t>
        </is>
      </c>
      <c r="D290" s="1" t="n">
        <v>44572</v>
      </c>
      <c r="E290" s="1" t="n">
        <v>46313</v>
      </c>
      <c r="F290" t="inlineStr">
        <is>
          <t>UPPSALA LÄN</t>
        </is>
      </c>
      <c r="G290" t="inlineStr">
        <is>
          <t>ÖSTHAMMAR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31137-2022</t>
        </is>
      </c>
      <c r="B291" t="inlineStr">
        <is>
          <t>avverkningsanmälan</t>
        </is>
      </c>
      <c r="C291" t="inlineStr">
        <is>
          <t>Föryngringsavverkning</t>
        </is>
      </c>
      <c r="D291" s="1" t="n">
        <v>44770</v>
      </c>
      <c r="E291" s="1" t="n">
        <v>46313</v>
      </c>
      <c r="F291" t="inlineStr">
        <is>
          <t>UPPSALA LÄN</t>
        </is>
      </c>
      <c r="G291" t="inlineStr">
        <is>
          <t>ÖSTHAMMAR</t>
        </is>
      </c>
      <c r="H291" t="inlineStr">
        <is>
          <t>Bergvik skog öst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74429-2021</t>
        </is>
      </c>
      <c r="B292" t="inlineStr">
        <is>
          <t>avverkningsanmälan</t>
        </is>
      </c>
      <c r="C292" t="inlineStr">
        <is>
          <t>Föryngringsavverkning</t>
        </is>
      </c>
      <c r="D292" s="1" t="n">
        <v>44560</v>
      </c>
      <c r="E292" s="1" t="n">
        <v>46313</v>
      </c>
      <c r="F292" t="inlineStr">
        <is>
          <t>UPPSALA LÄN</t>
        </is>
      </c>
      <c r="G292" t="inlineStr">
        <is>
          <t>ÖSTHAMMAR</t>
        </is>
      </c>
      <c r="H292" t="inlineStr">
        <is>
          <t>Bergvik skog öst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17867-2024</t>
        </is>
      </c>
      <c r="B293" t="inlineStr">
        <is>
          <t>avverkningsanmälan</t>
        </is>
      </c>
      <c r="C293" t="inlineStr">
        <is>
          <t>Föryngringsavverkning</t>
        </is>
      </c>
      <c r="D293" s="1" t="n">
        <v>45419</v>
      </c>
      <c r="E293" s="1" t="n">
        <v>46313</v>
      </c>
      <c r="F293" t="inlineStr">
        <is>
          <t>UPPSALA LÄN</t>
        </is>
      </c>
      <c r="G293" t="inlineStr">
        <is>
          <t>ÖSTHAMMAR</t>
        </is>
      </c>
      <c r="I293" t="n">
        <v>7.2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4228-2023</t>
        </is>
      </c>
      <c r="B294" t="inlineStr">
        <is>
          <t>avverkningsanmälan</t>
        </is>
      </c>
      <c r="C294" t="inlineStr">
        <is>
          <t>Föryngringsavverkning</t>
        </is>
      </c>
      <c r="D294" s="1" t="n">
        <v>44953</v>
      </c>
      <c r="E294" s="1" t="n">
        <v>46313</v>
      </c>
      <c r="F294" t="inlineStr">
        <is>
          <t>UPPSALA LÄN</t>
        </is>
      </c>
      <c r="G294" t="inlineStr">
        <is>
          <t>ÖSTHAMMAR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7195-2023</t>
        </is>
      </c>
      <c r="B295" t="inlineStr">
        <is>
          <t>avverkningsanmälan</t>
        </is>
      </c>
      <c r="C295" t="inlineStr">
        <is>
          <t>Föryngringsavverkning</t>
        </is>
      </c>
      <c r="D295" s="1" t="n">
        <v>44970</v>
      </c>
      <c r="E295" s="1" t="n">
        <v>46313</v>
      </c>
      <c r="F295" t="inlineStr">
        <is>
          <t>UPPSALA LÄN</t>
        </is>
      </c>
      <c r="G295" t="inlineStr">
        <is>
          <t>ÖSTHAMMAR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36301-2023</t>
        </is>
      </c>
      <c r="B296" t="inlineStr">
        <is>
          <t>avverkningsanmälan</t>
        </is>
      </c>
      <c r="C296" t="inlineStr">
        <is>
          <t>Föryngringsavverkning</t>
        </is>
      </c>
      <c r="D296" s="1" t="n">
        <v>45152</v>
      </c>
      <c r="E296" s="1" t="n">
        <v>46313</v>
      </c>
      <c r="F296" t="inlineStr">
        <is>
          <t>UPPSALA LÄN</t>
        </is>
      </c>
      <c r="G296" t="inlineStr">
        <is>
          <t>ÖSTHAMMAR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26774-2023</t>
        </is>
      </c>
      <c r="B297" t="inlineStr">
        <is>
          <t>avverkningsanmälan</t>
        </is>
      </c>
      <c r="C297" t="inlineStr">
        <is>
          <t>Föryngringsavverkning</t>
        </is>
      </c>
      <c r="D297" s="1" t="n">
        <v>45093</v>
      </c>
      <c r="E297" s="1" t="n">
        <v>46313</v>
      </c>
      <c r="F297" t="inlineStr">
        <is>
          <t>UPPSALA LÄN</t>
        </is>
      </c>
      <c r="G297" t="inlineStr">
        <is>
          <t>ÖSTHAMMAR</t>
        </is>
      </c>
      <c r="H297" t="inlineStr">
        <is>
          <t>Bergvik skog öst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12528-2024</t>
        </is>
      </c>
      <c r="B298" t="inlineStr">
        <is>
          <t>avverkningsanmälan</t>
        </is>
      </c>
      <c r="C298" t="inlineStr">
        <is>
          <t>Föryngringsavverkning</t>
        </is>
      </c>
      <c r="D298" s="1" t="n">
        <v>45379</v>
      </c>
      <c r="E298" s="1" t="n">
        <v>46313</v>
      </c>
      <c r="F298" t="inlineStr">
        <is>
          <t>UPPSALA LÄN</t>
        </is>
      </c>
      <c r="G298" t="inlineStr">
        <is>
          <t>ÖSTHAMMAR</t>
        </is>
      </c>
      <c r="H298" t="inlineStr">
        <is>
          <t>Bergvik skog öst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9267-2024</t>
        </is>
      </c>
      <c r="B299" t="inlineStr">
        <is>
          <t>avverkningsanmälan</t>
        </is>
      </c>
      <c r="C299" t="inlineStr">
        <is>
          <t>Föryngringsavverkning</t>
        </is>
      </c>
      <c r="D299" s="1" t="n">
        <v>45358</v>
      </c>
      <c r="E299" s="1" t="n">
        <v>46313</v>
      </c>
      <c r="F299" t="inlineStr">
        <is>
          <t>UPPSALA LÄN</t>
        </is>
      </c>
      <c r="G299" t="inlineStr">
        <is>
          <t>ÖSTHAMMAR</t>
        </is>
      </c>
      <c r="H299" t="inlineStr">
        <is>
          <t>Bergvik skog öst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33601-2024</t>
        </is>
      </c>
      <c r="B300" t="inlineStr">
        <is>
          <t>avverkningsanmälan</t>
        </is>
      </c>
      <c r="C300" t="inlineStr">
        <is>
          <t>Föryngringsavverkning</t>
        </is>
      </c>
      <c r="D300" s="1" t="n">
        <v>45520</v>
      </c>
      <c r="E300" s="1" t="n">
        <v>46313</v>
      </c>
      <c r="F300" t="inlineStr">
        <is>
          <t>UPPSALA LÄN</t>
        </is>
      </c>
      <c r="G300" t="inlineStr">
        <is>
          <t>ÖSTHAMMAR</t>
        </is>
      </c>
      <c r="H300" t="inlineStr">
        <is>
          <t>Övriga Aktiebolag</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23197-2023</t>
        </is>
      </c>
      <c r="B301" t="inlineStr">
        <is>
          <t>avverkningsanmälan</t>
        </is>
      </c>
      <c r="C301" t="inlineStr">
        <is>
          <t>Föryngringsavverkning</t>
        </is>
      </c>
      <c r="D301" s="1" t="n">
        <v>45075</v>
      </c>
      <c r="E301" s="1" t="n">
        <v>46313</v>
      </c>
      <c r="F301" t="inlineStr">
        <is>
          <t>UPPSALA LÄN</t>
        </is>
      </c>
      <c r="G301" t="inlineStr">
        <is>
          <t>ÖSTHAMMAR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17433-2025</t>
        </is>
      </c>
      <c r="B302" t="inlineStr">
        <is>
          <t>avverkningsanmälan</t>
        </is>
      </c>
      <c r="C302" t="inlineStr">
        <is>
          <t>Föryngringsavverkning</t>
        </is>
      </c>
      <c r="D302" s="1" t="n">
        <v>45757</v>
      </c>
      <c r="E302" s="1" t="n">
        <v>46313</v>
      </c>
      <c r="F302" t="inlineStr">
        <is>
          <t>UPPSALA LÄN</t>
        </is>
      </c>
      <c r="G302" t="inlineStr">
        <is>
          <t>ÖSTHAMMAR</t>
        </is>
      </c>
      <c r="H302" t="inlineStr">
        <is>
          <t>Övriga Aktiebolag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13044-2022</t>
        </is>
      </c>
      <c r="B303" t="inlineStr">
        <is>
          <t>avverkningsanmälan</t>
        </is>
      </c>
      <c r="C303" t="inlineStr">
        <is>
          <t>Föryngringsavverkning</t>
        </is>
      </c>
      <c r="D303" s="1" t="n">
        <v>44643</v>
      </c>
      <c r="E303" s="1" t="n">
        <v>46313</v>
      </c>
      <c r="F303" t="inlineStr">
        <is>
          <t>UPPSALA LÄN</t>
        </is>
      </c>
      <c r="G303" t="inlineStr">
        <is>
          <t>ÖSTHAMMAR</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15928-2022</t>
        </is>
      </c>
      <c r="B304" t="inlineStr">
        <is>
          <t>avverkningsanmälan</t>
        </is>
      </c>
      <c r="C304" t="inlineStr">
        <is>
          <t>Föryngringsavverkning</t>
        </is>
      </c>
      <c r="D304" s="1" t="n">
        <v>44664</v>
      </c>
      <c r="E304" s="1" t="n">
        <v>46313</v>
      </c>
      <c r="F304" t="inlineStr">
        <is>
          <t>UPPSALA LÄN</t>
        </is>
      </c>
      <c r="G304" t="inlineStr">
        <is>
          <t>ÖSTHAMMAR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8708-2022</t>
        </is>
      </c>
      <c r="B305" t="inlineStr">
        <is>
          <t>avverkningsanmälan</t>
        </is>
      </c>
      <c r="C305" t="inlineStr">
        <is>
          <t>Föryngringsavverkning</t>
        </is>
      </c>
      <c r="D305" s="1" t="n">
        <v>44613</v>
      </c>
      <c r="E305" s="1" t="n">
        <v>46313</v>
      </c>
      <c r="F305" t="inlineStr">
        <is>
          <t>UPPSALA LÄN</t>
        </is>
      </c>
      <c r="G305" t="inlineStr">
        <is>
          <t>ÖSTHAMMAR</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12756-2024</t>
        </is>
      </c>
      <c r="B306" t="inlineStr">
        <is>
          <t>avverkningsanmälan</t>
        </is>
      </c>
      <c r="C306" t="inlineStr">
        <is>
          <t>Föryngringsavverkning</t>
        </is>
      </c>
      <c r="D306" s="1" t="n">
        <v>45384</v>
      </c>
      <c r="E306" s="1" t="n">
        <v>46313</v>
      </c>
      <c r="F306" t="inlineStr">
        <is>
          <t>UPPSALA LÄN</t>
        </is>
      </c>
      <c r="G306" t="inlineStr">
        <is>
          <t>ÖSTHAMMAR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33760-2024</t>
        </is>
      </c>
      <c r="B307" t="inlineStr">
        <is>
          <t>avverkningsanmälan</t>
        </is>
      </c>
      <c r="C307" t="inlineStr">
        <is>
          <t>Föryngringsavverkning</t>
        </is>
      </c>
      <c r="D307" s="1" t="n">
        <v>45520</v>
      </c>
      <c r="E307" s="1" t="n">
        <v>46313</v>
      </c>
      <c r="F307" t="inlineStr">
        <is>
          <t>UPPSALA LÄN</t>
        </is>
      </c>
      <c r="G307" t="inlineStr">
        <is>
          <t>ÖSTHAMMAR</t>
        </is>
      </c>
      <c r="H307" t="inlineStr">
        <is>
          <t>Övriga Aktiebolag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8592-2022</t>
        </is>
      </c>
      <c r="B308" t="inlineStr">
        <is>
          <t>avverkningsanmälan</t>
        </is>
      </c>
      <c r="C308" t="inlineStr">
        <is>
          <t>Föryngringsavverkning</t>
        </is>
      </c>
      <c r="D308" s="1" t="n">
        <v>44613</v>
      </c>
      <c r="E308" s="1" t="n">
        <v>46313</v>
      </c>
      <c r="F308" t="inlineStr">
        <is>
          <t>UPPSALA LÄN</t>
        </is>
      </c>
      <c r="G308" t="inlineStr">
        <is>
          <t>ÖSTHAMMAR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52629-2023</t>
        </is>
      </c>
      <c r="B309" t="inlineStr">
        <is>
          <t>avverkningsanmälan</t>
        </is>
      </c>
      <c r="C309" t="inlineStr">
        <is>
          <t>Föryngringsavverkning</t>
        </is>
      </c>
      <c r="D309" s="1" t="n">
        <v>45225</v>
      </c>
      <c r="E309" s="1" t="n">
        <v>46313</v>
      </c>
      <c r="F309" t="inlineStr">
        <is>
          <t>UPPSALA LÄN</t>
        </is>
      </c>
      <c r="G309" t="inlineStr">
        <is>
          <t>ÖSTHAMMAR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35918-2023</t>
        </is>
      </c>
      <c r="B310" t="inlineStr">
        <is>
          <t>avverkningsanmälan</t>
        </is>
      </c>
      <c r="C310" t="inlineStr">
        <is>
          <t>Föryngringsavverkning</t>
        </is>
      </c>
      <c r="D310" s="1" t="n">
        <v>45148</v>
      </c>
      <c r="E310" s="1" t="n">
        <v>46313</v>
      </c>
      <c r="F310" t="inlineStr">
        <is>
          <t>UPPSALA LÄN</t>
        </is>
      </c>
      <c r="G310" t="inlineStr">
        <is>
          <t>ÖSTHAMMAR</t>
        </is>
      </c>
      <c r="H310" t="inlineStr">
        <is>
          <t>Bergvik skog öst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56903-2023</t>
        </is>
      </c>
      <c r="B311" t="inlineStr">
        <is>
          <t>avverkningsanmälan</t>
        </is>
      </c>
      <c r="C311" t="inlineStr">
        <is>
          <t>Föryngringsavverkning</t>
        </is>
      </c>
      <c r="D311" s="1" t="n">
        <v>45244</v>
      </c>
      <c r="E311" s="1" t="n">
        <v>46313</v>
      </c>
      <c r="F311" t="inlineStr">
        <is>
          <t>UPPSALA LÄN</t>
        </is>
      </c>
      <c r="G311" t="inlineStr">
        <is>
          <t>ÖSTHAMMAR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28420-2023</t>
        </is>
      </c>
      <c r="B312" t="inlineStr">
        <is>
          <t>avverkningsanmälan</t>
        </is>
      </c>
      <c r="C312" t="inlineStr">
        <is>
          <t>Föryngringsavverkning</t>
        </is>
      </c>
      <c r="D312" s="1" t="n">
        <v>45102</v>
      </c>
      <c r="E312" s="1" t="n">
        <v>46313</v>
      </c>
      <c r="F312" t="inlineStr">
        <is>
          <t>UPPSALA LÄN</t>
        </is>
      </c>
      <c r="G312" t="inlineStr">
        <is>
          <t>ÖSTHAMMAR</t>
        </is>
      </c>
      <c r="H312" t="inlineStr">
        <is>
          <t>Bergvik skog öst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28432-2023</t>
        </is>
      </c>
      <c r="B313" t="inlineStr">
        <is>
          <t>avverkningsanmälan</t>
        </is>
      </c>
      <c r="C313" t="inlineStr">
        <is>
          <t>Föryngringsavverkning</t>
        </is>
      </c>
      <c r="D313" s="1" t="n">
        <v>45102</v>
      </c>
      <c r="E313" s="1" t="n">
        <v>46313</v>
      </c>
      <c r="F313" t="inlineStr">
        <is>
          <t>UPPSALA LÄN</t>
        </is>
      </c>
      <c r="G313" t="inlineStr">
        <is>
          <t>ÖSTHAMMAR</t>
        </is>
      </c>
      <c r="H313" t="inlineStr">
        <is>
          <t>Bergvik skog öst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56969-2022</t>
        </is>
      </c>
      <c r="B314" t="inlineStr">
        <is>
          <t>avverkningsanmälan</t>
        </is>
      </c>
      <c r="C314" t="inlineStr">
        <is>
          <t>Föryngringsavverkning</t>
        </is>
      </c>
      <c r="D314" s="1" t="n">
        <v>44894</v>
      </c>
      <c r="E314" s="1" t="n">
        <v>46313</v>
      </c>
      <c r="F314" t="inlineStr">
        <is>
          <t>UPPSALA LÄN</t>
        </is>
      </c>
      <c r="G314" t="inlineStr">
        <is>
          <t>ÖSTHAMMAR</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6661-2024</t>
        </is>
      </c>
      <c r="B315" t="inlineStr">
        <is>
          <t>avverkningsanmälan</t>
        </is>
      </c>
      <c r="C315" t="inlineStr">
        <is>
          <t>Föryngringsavverkning</t>
        </is>
      </c>
      <c r="D315" s="1" t="n">
        <v>45341</v>
      </c>
      <c r="E315" s="1" t="n">
        <v>46313</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20393-2026</t>
        </is>
      </c>
      <c r="B316" t="inlineStr">
        <is>
          <t>avverkningsanmälan</t>
        </is>
      </c>
      <c r="C316" t="inlineStr">
        <is>
          <t>Föryngringsavverkning</t>
        </is>
      </c>
      <c r="D316" s="1" t="n">
        <v>46139</v>
      </c>
      <c r="E316" s="1" t="n">
        <v>46313</v>
      </c>
      <c r="F316" t="inlineStr">
        <is>
          <t>UPPSALA LÄN</t>
        </is>
      </c>
      <c r="G316" t="inlineStr">
        <is>
          <t>ÖSTHAMMAR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6120-2024</t>
        </is>
      </c>
      <c r="B317" t="inlineStr">
        <is>
          <t>avverkningsanmälan</t>
        </is>
      </c>
      <c r="C317" t="inlineStr">
        <is>
          <t>Föryngringsavverkning</t>
        </is>
      </c>
      <c r="D317" s="1" t="n">
        <v>45337</v>
      </c>
      <c r="E317" s="1" t="n">
        <v>46313</v>
      </c>
      <c r="F317" t="inlineStr">
        <is>
          <t>UPPSALA LÄN</t>
        </is>
      </c>
      <c r="G317" t="inlineStr">
        <is>
          <t>ÖSTHAMMAR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20394-2026</t>
        </is>
      </c>
      <c r="B318" t="inlineStr">
        <is>
          <t>avverkningsanmälan</t>
        </is>
      </c>
      <c r="C318" t="inlineStr">
        <is>
          <t>Föryngringsavverkning</t>
        </is>
      </c>
      <c r="D318" s="1" t="n">
        <v>46139</v>
      </c>
      <c r="E318" s="1" t="n">
        <v>46313</v>
      </c>
      <c r="F318" t="inlineStr">
        <is>
          <t>UPPSALA LÄN</t>
        </is>
      </c>
      <c r="G318" t="inlineStr">
        <is>
          <t>ÖSTHAMMAR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56658-2025</t>
        </is>
      </c>
      <c r="B319" t="inlineStr">
        <is>
          <t>avverkningsanmälan</t>
        </is>
      </c>
      <c r="C319" t="inlineStr">
        <is>
          <t>Föryngringsavverkning</t>
        </is>
      </c>
      <c r="D319" s="1" t="n">
        <v>45975</v>
      </c>
      <c r="E319" s="1" t="n">
        <v>46313</v>
      </c>
      <c r="F319" t="inlineStr">
        <is>
          <t>UPPSALA LÄN</t>
        </is>
      </c>
      <c r="G319" t="inlineStr">
        <is>
          <t>ÖSTHAMMAR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60584-2021</t>
        </is>
      </c>
      <c r="B320" t="inlineStr">
        <is>
          <t>avverkningsanmälan</t>
        </is>
      </c>
      <c r="C320" t="inlineStr">
        <is>
          <t>Föryngringsavverkning</t>
        </is>
      </c>
      <c r="D320" s="1" t="n">
        <v>44496</v>
      </c>
      <c r="E320" s="1" t="n">
        <v>46313</v>
      </c>
      <c r="F320" t="inlineStr">
        <is>
          <t>UPPSALA LÄN</t>
        </is>
      </c>
      <c r="G320" t="inlineStr">
        <is>
          <t>ÖSTHAMMAR</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44152-2024</t>
        </is>
      </c>
      <c r="B321" t="inlineStr">
        <is>
          <t>avverkningsanmälan</t>
        </is>
      </c>
      <c r="C321" t="inlineStr">
        <is>
          <t>Föryngringsavverkning</t>
        </is>
      </c>
      <c r="D321" s="1" t="n">
        <v>45572</v>
      </c>
      <c r="E321" s="1" t="n">
        <v>46313</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2352-2026</t>
        </is>
      </c>
      <c r="B322" t="inlineStr">
        <is>
          <t>avverkningsanmälan</t>
        </is>
      </c>
      <c r="C322" t="inlineStr">
        <is>
          <t>Föryngringsavverkning</t>
        </is>
      </c>
      <c r="D322" s="1" t="n">
        <v>46034</v>
      </c>
      <c r="E322" s="1" t="n">
        <v>46313</v>
      </c>
      <c r="F322" t="inlineStr">
        <is>
          <t>UPPSALA LÄN</t>
        </is>
      </c>
      <c r="G322" t="inlineStr">
        <is>
          <t>ÖSTHAMMAR</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47390-2023</t>
        </is>
      </c>
      <c r="B323" t="inlineStr">
        <is>
          <t>avverkningsanmälan</t>
        </is>
      </c>
      <c r="C323" t="inlineStr">
        <is>
          <t>Föryngringsavverkning</t>
        </is>
      </c>
      <c r="D323" s="1" t="n">
        <v>45202</v>
      </c>
      <c r="E323" s="1" t="n">
        <v>46313</v>
      </c>
      <c r="F323" t="inlineStr">
        <is>
          <t>UPPSALA LÄN</t>
        </is>
      </c>
      <c r="G323" t="inlineStr">
        <is>
          <t>ÖSTHAMMAR</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2358-2026</t>
        </is>
      </c>
      <c r="B324" t="inlineStr">
        <is>
          <t>avverkningsanmälan</t>
        </is>
      </c>
      <c r="C324" t="inlineStr">
        <is>
          <t>Föryngringsavverkning</t>
        </is>
      </c>
      <c r="D324" s="1" t="n">
        <v>46034</v>
      </c>
      <c r="E324" s="1" t="n">
        <v>46313</v>
      </c>
      <c r="F324" t="inlineStr">
        <is>
          <t>UPPSALA LÄN</t>
        </is>
      </c>
      <c r="G324" t="inlineStr">
        <is>
          <t>ÖSTHAMMAR</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5877-2023</t>
        </is>
      </c>
      <c r="B325" t="inlineStr">
        <is>
          <t>avverkningsanmälan</t>
        </is>
      </c>
      <c r="C325" t="inlineStr">
        <is>
          <t>Föryngringsavverkning</t>
        </is>
      </c>
      <c r="D325" s="1" t="n">
        <v>44963</v>
      </c>
      <c r="E325" s="1" t="n">
        <v>46313</v>
      </c>
      <c r="F325" t="inlineStr">
        <is>
          <t>UPPSALA LÄN</t>
        </is>
      </c>
      <c r="G325" t="inlineStr">
        <is>
          <t>ÖSTHAMMAR</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52389-2022</t>
        </is>
      </c>
      <c r="B326" t="inlineStr">
        <is>
          <t>avverkningsanmälan</t>
        </is>
      </c>
      <c r="C326" t="inlineStr">
        <is>
          <t>Föryngringsavverkning</t>
        </is>
      </c>
      <c r="D326" s="1" t="n">
        <v>44874</v>
      </c>
      <c r="E326" s="1" t="n">
        <v>46313</v>
      </c>
      <c r="F326" t="inlineStr">
        <is>
          <t>UPPSALA LÄN</t>
        </is>
      </c>
      <c r="G326" t="inlineStr">
        <is>
          <t>ÖSTHAMMAR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20058-2026</t>
        </is>
      </c>
      <c r="B327" t="inlineStr">
        <is>
          <t>avverkningsanmälan</t>
        </is>
      </c>
      <c r="C327" t="inlineStr">
        <is>
          <t>Föryngringsavverkning</t>
        </is>
      </c>
      <c r="D327" s="1" t="n">
        <v>46136</v>
      </c>
      <c r="E327" s="1" t="n">
        <v>46313</v>
      </c>
      <c r="F327" t="inlineStr">
        <is>
          <t>UPPSALA LÄN</t>
        </is>
      </c>
      <c r="G327" t="inlineStr">
        <is>
          <t>ÖSTHAMMAR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57453-2022</t>
        </is>
      </c>
      <c r="B328" t="inlineStr">
        <is>
          <t>avverkningsanmälan</t>
        </is>
      </c>
      <c r="C328" t="inlineStr">
        <is>
          <t>Föryngringsavverkning</t>
        </is>
      </c>
      <c r="D328" s="1" t="n">
        <v>44896</v>
      </c>
      <c r="E328" s="1" t="n">
        <v>46313</v>
      </c>
      <c r="F328" t="inlineStr">
        <is>
          <t>UPPSALA LÄN</t>
        </is>
      </c>
      <c r="G328" t="inlineStr">
        <is>
          <t>ÖSTHAMMAR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57462-2022</t>
        </is>
      </c>
      <c r="B329" t="inlineStr">
        <is>
          <t>avverkningsanmälan</t>
        </is>
      </c>
      <c r="C329" t="inlineStr">
        <is>
          <t>Föryngringsavverkning</t>
        </is>
      </c>
      <c r="D329" s="1" t="n">
        <v>44896</v>
      </c>
      <c r="E329" s="1" t="n">
        <v>46313</v>
      </c>
      <c r="F329" t="inlineStr">
        <is>
          <t>UPPSALA LÄN</t>
        </is>
      </c>
      <c r="G329" t="inlineStr">
        <is>
          <t>ÖSTHAMMAR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26319-2025</t>
        </is>
      </c>
      <c r="B330" t="inlineStr">
        <is>
          <t>avverkningsanmälan</t>
        </is>
      </c>
      <c r="C330" t="inlineStr">
        <is>
          <t>Föryngringsavverkning</t>
        </is>
      </c>
      <c r="D330" s="1" t="n">
        <v>45805</v>
      </c>
      <c r="E330" s="1" t="n">
        <v>46313</v>
      </c>
      <c r="F330" t="inlineStr">
        <is>
          <t>UPPSALA LÄN</t>
        </is>
      </c>
      <c r="G330" t="inlineStr">
        <is>
          <t>ÖSTHAMMAR</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17938-2025</t>
        </is>
      </c>
      <c r="B331" t="inlineStr">
        <is>
          <t>avverkningsanmälan</t>
        </is>
      </c>
      <c r="C331" t="inlineStr">
        <is>
          <t>Föryngringsavverkning</t>
        </is>
      </c>
      <c r="D331" s="1" t="n">
        <v>45760</v>
      </c>
      <c r="E331" s="1" t="n">
        <v>46313</v>
      </c>
      <c r="F331" t="inlineStr">
        <is>
          <t>UPPSALA LÄN</t>
        </is>
      </c>
      <c r="G331" t="inlineStr">
        <is>
          <t>ÖSTHAMMAR</t>
        </is>
      </c>
      <c r="H331" t="inlineStr">
        <is>
          <t>Bergvik skog öst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40384-2025</t>
        </is>
      </c>
      <c r="B332" t="inlineStr">
        <is>
          <t>avverkningsanmälan</t>
        </is>
      </c>
      <c r="C332" t="inlineStr">
        <is>
          <t>Föryngringsavverkning</t>
        </is>
      </c>
      <c r="D332" s="1" t="n">
        <v>45895</v>
      </c>
      <c r="E332" s="1" t="n">
        <v>46313</v>
      </c>
      <c r="F332" t="inlineStr">
        <is>
          <t>UPPSALA LÄN</t>
        </is>
      </c>
      <c r="G332" t="inlineStr">
        <is>
          <t>ÖSTHAMMAR</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40382-2025</t>
        </is>
      </c>
      <c r="B333" t="inlineStr">
        <is>
          <t>avverkningsanmälan</t>
        </is>
      </c>
      <c r="C333" t="inlineStr">
        <is>
          <t>Föryngringsavverkning</t>
        </is>
      </c>
      <c r="D333" s="1" t="n">
        <v>45895</v>
      </c>
      <c r="E333" s="1" t="n">
        <v>46313</v>
      </c>
      <c r="F333" t="inlineStr">
        <is>
          <t>UPPSALA LÄN</t>
        </is>
      </c>
      <c r="G333" t="inlineStr">
        <is>
          <t>ÖSTHAMMAR</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40460-2025</t>
        </is>
      </c>
      <c r="B334" t="inlineStr">
        <is>
          <t>avverkningsanmälan</t>
        </is>
      </c>
      <c r="C334" t="inlineStr">
        <is>
          <t>Föryngringsavverkning</t>
        </is>
      </c>
      <c r="D334" s="1" t="n">
        <v>45895</v>
      </c>
      <c r="E334" s="1" t="n">
        <v>46313</v>
      </c>
      <c r="F334" t="inlineStr">
        <is>
          <t>UPPSALA LÄN</t>
        </is>
      </c>
      <c r="G334" t="inlineStr">
        <is>
          <t>ÖSTHAMMAR</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40462-2025</t>
        </is>
      </c>
      <c r="B335" t="inlineStr">
        <is>
          <t>avverkningsanmälan</t>
        </is>
      </c>
      <c r="C335" t="inlineStr">
        <is>
          <t>Föryngringsavverkning</t>
        </is>
      </c>
      <c r="D335" s="1" t="n">
        <v>45895</v>
      </c>
      <c r="E335" s="1" t="n">
        <v>46313</v>
      </c>
      <c r="F335" t="inlineStr">
        <is>
          <t>UPPSALA LÄN</t>
        </is>
      </c>
      <c r="G335" t="inlineStr">
        <is>
          <t>ÖSTHAMMAR</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43915-2023</t>
        </is>
      </c>
      <c r="B336" t="inlineStr">
        <is>
          <t>avverkningsanmälan</t>
        </is>
      </c>
      <c r="C336" t="inlineStr">
        <is>
          <t>Föryngringsavverkning</t>
        </is>
      </c>
      <c r="D336" s="1" t="n">
        <v>45187</v>
      </c>
      <c r="E336" s="1" t="n">
        <v>46313</v>
      </c>
      <c r="F336" t="inlineStr">
        <is>
          <t>UPPSALA LÄN</t>
        </is>
      </c>
      <c r="G336" t="inlineStr">
        <is>
          <t>ÖSTHAMMAR</t>
        </is>
      </c>
      <c r="H336" t="inlineStr">
        <is>
          <t>Bergvik skog öst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40416-2025</t>
        </is>
      </c>
      <c r="B337" t="inlineStr">
        <is>
          <t>avverkningsanmälan</t>
        </is>
      </c>
      <c r="C337" t="inlineStr">
        <is>
          <t>Föryngringsavverkning</t>
        </is>
      </c>
      <c r="D337" s="1" t="n">
        <v>45895</v>
      </c>
      <c r="E337" s="1" t="n">
        <v>46313</v>
      </c>
      <c r="F337" t="inlineStr">
        <is>
          <t>UPPSALA LÄN</t>
        </is>
      </c>
      <c r="G337" t="inlineStr">
        <is>
          <t>ÖSTHAMMAR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64885-2021</t>
        </is>
      </c>
      <c r="B338" t="inlineStr">
        <is>
          <t>avverkningsanmälan</t>
        </is>
      </c>
      <c r="C338" t="inlineStr">
        <is>
          <t>Föryngringsavverkning</t>
        </is>
      </c>
      <c r="D338" s="1" t="n">
        <v>44512</v>
      </c>
      <c r="E338" s="1" t="n">
        <v>46313</v>
      </c>
      <c r="F338" t="inlineStr">
        <is>
          <t>UPPSALA LÄN</t>
        </is>
      </c>
      <c r="G338" t="inlineStr">
        <is>
          <t>ÖSTHAMMAR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12654-2025</t>
        </is>
      </c>
      <c r="B339" t="inlineStr">
        <is>
          <t>avverkningsanmälan</t>
        </is>
      </c>
      <c r="C339" t="inlineStr">
        <is>
          <t>Föryngringsavverkning</t>
        </is>
      </c>
      <c r="D339" s="1" t="n">
        <v>45733</v>
      </c>
      <c r="E339" s="1" t="n">
        <v>46313</v>
      </c>
      <c r="F339" t="inlineStr">
        <is>
          <t>UPPSALA LÄN</t>
        </is>
      </c>
      <c r="G339" t="inlineStr">
        <is>
          <t>ÖSTHAMMAR</t>
        </is>
      </c>
      <c r="I339" t="n">
        <v>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33271-2025</t>
        </is>
      </c>
      <c r="B340" t="inlineStr">
        <is>
          <t>avverkningsanmälan</t>
        </is>
      </c>
      <c r="C340" t="inlineStr">
        <is>
          <t>Föryngringsavverkning</t>
        </is>
      </c>
      <c r="D340" s="1" t="n">
        <v>45840</v>
      </c>
      <c r="E340" s="1" t="n">
        <v>46313</v>
      </c>
      <c r="F340" t="inlineStr">
        <is>
          <t>UPPSALA LÄN</t>
        </is>
      </c>
      <c r="G340" t="inlineStr">
        <is>
          <t>ÖSTHAMMAR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41220-2025</t>
        </is>
      </c>
      <c r="B341" t="inlineStr">
        <is>
          <t>avverkningsanmälan</t>
        </is>
      </c>
      <c r="C341" t="inlineStr">
        <is>
          <t>Föryngringsavverkning</t>
        </is>
      </c>
      <c r="D341" s="1" t="n">
        <v>45898</v>
      </c>
      <c r="E341" s="1" t="n">
        <v>46313</v>
      </c>
      <c r="F341" t="inlineStr">
        <is>
          <t>UPPSALA LÄN</t>
        </is>
      </c>
      <c r="G341" t="inlineStr">
        <is>
          <t>ÖSTHAMMAR</t>
        </is>
      </c>
      <c r="H341" t="inlineStr">
        <is>
          <t>Bergvik skog öst AB</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28421-2023</t>
        </is>
      </c>
      <c r="B342" t="inlineStr">
        <is>
          <t>avverkningsanmälan</t>
        </is>
      </c>
      <c r="C342" t="inlineStr">
        <is>
          <t>Föryngringsavverkning</t>
        </is>
      </c>
      <c r="D342" s="1" t="n">
        <v>45102</v>
      </c>
      <c r="E342" s="1" t="n">
        <v>46313</v>
      </c>
      <c r="F342" t="inlineStr">
        <is>
          <t>UPPSALA LÄN</t>
        </is>
      </c>
      <c r="G342" t="inlineStr">
        <is>
          <t>ÖSTHAMMAR</t>
        </is>
      </c>
      <c r="H342" t="inlineStr">
        <is>
          <t>Bergvik skog öst AB</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14989-2026</t>
        </is>
      </c>
      <c r="B343" t="inlineStr">
        <is>
          <t>avverkningsanmälan</t>
        </is>
      </c>
      <c r="C343" t="inlineStr">
        <is>
          <t>Föryngringsavverkning</t>
        </is>
      </c>
      <c r="D343" s="1" t="n">
        <v>46104</v>
      </c>
      <c r="E343" s="1" t="n">
        <v>46313</v>
      </c>
      <c r="F343" t="inlineStr">
        <is>
          <t>UPPSALA LÄN</t>
        </is>
      </c>
      <c r="G343" t="inlineStr">
        <is>
          <t>ÖSTHAMMAR</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20776-2026</t>
        </is>
      </c>
      <c r="B344" t="inlineStr">
        <is>
          <t>avverkningsanmälan</t>
        </is>
      </c>
      <c r="C344" t="inlineStr">
        <is>
          <t>Föryngringsavverkning</t>
        </is>
      </c>
      <c r="D344" s="1" t="n">
        <v>46141</v>
      </c>
      <c r="E344" s="1" t="n">
        <v>46313</v>
      </c>
      <c r="F344" t="inlineStr">
        <is>
          <t>UPPSALA LÄN</t>
        </is>
      </c>
      <c r="G344" t="inlineStr">
        <is>
          <t>ÖSTHAMMAR</t>
        </is>
      </c>
      <c r="H344" t="inlineStr">
        <is>
          <t>Övriga Aktiebolag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54368-2023</t>
        </is>
      </c>
      <c r="B345" t="inlineStr">
        <is>
          <t>avverkningsanmälan</t>
        </is>
      </c>
      <c r="C345" t="inlineStr">
        <is>
          <t>Föryngringsavverkning</t>
        </is>
      </c>
      <c r="D345" s="1" t="n">
        <v>45233</v>
      </c>
      <c r="E345" s="1" t="n">
        <v>46313</v>
      </c>
      <c r="F345" t="inlineStr">
        <is>
          <t>UPPSALA LÄN</t>
        </is>
      </c>
      <c r="G345" t="inlineStr">
        <is>
          <t>ÖSTHAMMAR</t>
        </is>
      </c>
      <c r="H345" t="inlineStr">
        <is>
          <t>Bergvik skog öst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20779-2026</t>
        </is>
      </c>
      <c r="B346" t="inlineStr">
        <is>
          <t>avverkningsanmälan</t>
        </is>
      </c>
      <c r="C346" t="inlineStr">
        <is>
          <t>Föryngringsavverkning</t>
        </is>
      </c>
      <c r="D346" s="1" t="n">
        <v>46141</v>
      </c>
      <c r="E346" s="1" t="n">
        <v>46313</v>
      </c>
      <c r="F346" t="inlineStr">
        <is>
          <t>UPPSALA LÄN</t>
        </is>
      </c>
      <c r="G346" t="inlineStr">
        <is>
          <t>ÖSTHAMMAR</t>
        </is>
      </c>
      <c r="H346" t="inlineStr">
        <is>
          <t>Övriga Aktiebolag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14878-2026</t>
        </is>
      </c>
      <c r="B347" t="inlineStr">
        <is>
          <t>avverkningsanmälan</t>
        </is>
      </c>
      <c r="C347" t="inlineStr">
        <is>
          <t>Föryngringsavverkning</t>
        </is>
      </c>
      <c r="D347" s="1" t="n">
        <v>46104</v>
      </c>
      <c r="E347" s="1" t="n">
        <v>46313</v>
      </c>
      <c r="F347" t="inlineStr">
        <is>
          <t>UPPSALA LÄN</t>
        </is>
      </c>
      <c r="G347" t="inlineStr">
        <is>
          <t>ÖSTHAMMAR</t>
        </is>
      </c>
      <c r="H347" t="inlineStr">
        <is>
          <t>Övriga Aktiebolag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32815-2024</t>
        </is>
      </c>
      <c r="B348" t="inlineStr">
        <is>
          <t>avverkningsanmälan</t>
        </is>
      </c>
      <c r="C348" t="inlineStr">
        <is>
          <t>Föryngringsavverkning</t>
        </is>
      </c>
      <c r="D348" s="1" t="n">
        <v>45516</v>
      </c>
      <c r="E348" s="1" t="n">
        <v>46313</v>
      </c>
      <c r="F348" t="inlineStr">
        <is>
          <t>UPPSALA LÄN</t>
        </is>
      </c>
      <c r="G348" t="inlineStr">
        <is>
          <t>ÖSTHAMMAR</t>
        </is>
      </c>
      <c r="H348" t="inlineStr">
        <is>
          <t>Bergvik skog öst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24401-2025</t>
        </is>
      </c>
      <c r="B349" t="inlineStr">
        <is>
          <t>avverkningsanmälan</t>
        </is>
      </c>
      <c r="C349" t="inlineStr">
        <is>
          <t>Föryngringsavverkning</t>
        </is>
      </c>
      <c r="D349" s="1" t="n">
        <v>45797</v>
      </c>
      <c r="E349" s="1" t="n">
        <v>46313</v>
      </c>
      <c r="F349" t="inlineStr">
        <is>
          <t>UPPSALA LÄN</t>
        </is>
      </c>
      <c r="G349" t="inlineStr">
        <is>
          <t>ÖSTHAMMAR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24408-2025</t>
        </is>
      </c>
      <c r="B350" t="inlineStr">
        <is>
          <t>avverkningsanmälan</t>
        </is>
      </c>
      <c r="C350" t="inlineStr">
        <is>
          <t>Föryngringsavverkning</t>
        </is>
      </c>
      <c r="D350" s="1" t="n">
        <v>45797</v>
      </c>
      <c r="E350" s="1" t="n">
        <v>46313</v>
      </c>
      <c r="F350" t="inlineStr">
        <is>
          <t>UPPSALA LÄN</t>
        </is>
      </c>
      <c r="G350" t="inlineStr">
        <is>
          <t>ÖSTHAMMAR</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24389-2025</t>
        </is>
      </c>
      <c r="B351" t="inlineStr">
        <is>
          <t>avverkningsanmälan</t>
        </is>
      </c>
      <c r="C351" t="inlineStr">
        <is>
          <t>Föryngringsavverkning</t>
        </is>
      </c>
      <c r="D351" s="1" t="n">
        <v>45797</v>
      </c>
      <c r="E351" s="1" t="n">
        <v>46313</v>
      </c>
      <c r="F351" t="inlineStr">
        <is>
          <t>UPPSALA LÄN</t>
        </is>
      </c>
      <c r="G351" t="inlineStr">
        <is>
          <t>ÖSTHAMMAR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5429-2023</t>
        </is>
      </c>
      <c r="B352" t="inlineStr">
        <is>
          <t>avverkningsanmälan</t>
        </is>
      </c>
      <c r="C352" t="inlineStr">
        <is>
          <t>Föryngringsavverkning</t>
        </is>
      </c>
      <c r="D352" s="1" t="n">
        <v>44959</v>
      </c>
      <c r="E352" s="1" t="n">
        <v>46313</v>
      </c>
      <c r="F352" t="inlineStr">
        <is>
          <t>UPPSALA LÄN</t>
        </is>
      </c>
      <c r="G352" t="inlineStr">
        <is>
          <t>ÖSTHAMMAR</t>
        </is>
      </c>
      <c r="H352" t="inlineStr">
        <is>
          <t>Bergvik skog öst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11008-2023</t>
        </is>
      </c>
      <c r="B353" t="inlineStr">
        <is>
          <t>avverkningsanmälan</t>
        </is>
      </c>
      <c r="C353" t="inlineStr">
        <is>
          <t>Föryngringsavverkning</t>
        </is>
      </c>
      <c r="D353" s="1" t="n">
        <v>44991</v>
      </c>
      <c r="E353" s="1" t="n">
        <v>46313</v>
      </c>
      <c r="F353" t="inlineStr">
        <is>
          <t>UPPSALA LÄN</t>
        </is>
      </c>
      <c r="G353" t="inlineStr">
        <is>
          <t>ÖSTHAMMAR</t>
        </is>
      </c>
      <c r="H353" t="inlineStr">
        <is>
          <t>Bergvik skog öst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28099-2025</t>
        </is>
      </c>
      <c r="B354" t="inlineStr">
        <is>
          <t>avverkningsanmälan</t>
        </is>
      </c>
      <c r="C354" t="inlineStr">
        <is>
          <t>Föryngringsavverkning</t>
        </is>
      </c>
      <c r="D354" s="1" t="n">
        <v>45817</v>
      </c>
      <c r="E354" s="1" t="n">
        <v>46313</v>
      </c>
      <c r="F354" t="inlineStr">
        <is>
          <t>UPPSALA LÄN</t>
        </is>
      </c>
      <c r="G354" t="inlineStr">
        <is>
          <t>ÖSTHAMMAR</t>
        </is>
      </c>
      <c r="H354" t="inlineStr">
        <is>
          <t>Bergvik skog öst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60047-2021</t>
        </is>
      </c>
      <c r="B355" t="inlineStr">
        <is>
          <t>avverkningsanmälan</t>
        </is>
      </c>
      <c r="C355" t="inlineStr">
        <is>
          <t>Föryngringsavverkning</t>
        </is>
      </c>
      <c r="D355" s="1" t="n">
        <v>44495</v>
      </c>
      <c r="E355" s="1" t="n">
        <v>46313</v>
      </c>
      <c r="F355" t="inlineStr">
        <is>
          <t>UPPSALA LÄN</t>
        </is>
      </c>
      <c r="G355" t="inlineStr">
        <is>
          <t>ÖSTHAMMAR</t>
        </is>
      </c>
      <c r="H355" t="inlineStr">
        <is>
          <t>Övriga Aktiebolag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42940-2025</t>
        </is>
      </c>
      <c r="B356" t="inlineStr">
        <is>
          <t>avverkningsanmälan</t>
        </is>
      </c>
      <c r="C356" t="inlineStr">
        <is>
          <t>Föryngringsavverkning</t>
        </is>
      </c>
      <c r="D356" s="1" t="n">
        <v>45909</v>
      </c>
      <c r="E356" s="1" t="n">
        <v>46313</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3514-2023</t>
        </is>
      </c>
      <c r="B357" t="inlineStr">
        <is>
          <t>avverkningsanmälan</t>
        </is>
      </c>
      <c r="C357" t="inlineStr">
        <is>
          <t>Föryngringsavverkning</t>
        </is>
      </c>
      <c r="D357" s="1" t="n">
        <v>44950</v>
      </c>
      <c r="E357" s="1" t="n">
        <v>46313</v>
      </c>
      <c r="F357" t="inlineStr">
        <is>
          <t>UPPSALA LÄN</t>
        </is>
      </c>
      <c r="G357" t="inlineStr">
        <is>
          <t>ÖSTHAMMAR</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24128-2023</t>
        </is>
      </c>
      <c r="B358" t="inlineStr">
        <is>
          <t>avverkningsanmälan</t>
        </is>
      </c>
      <c r="C358" t="inlineStr">
        <is>
          <t>Föryngringsavverkning</t>
        </is>
      </c>
      <c r="D358" s="1" t="n">
        <v>45079</v>
      </c>
      <c r="E358" s="1" t="n">
        <v>46313</v>
      </c>
      <c r="F358" t="inlineStr">
        <is>
          <t>UPPSALA LÄN</t>
        </is>
      </c>
      <c r="G358" t="inlineStr">
        <is>
          <t>ÖSTHAMMAR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33552-2024</t>
        </is>
      </c>
      <c r="B359" t="inlineStr">
        <is>
          <t>avverkningsanmälan</t>
        </is>
      </c>
      <c r="C359" t="inlineStr">
        <is>
          <t>Föryngringsavverkning</t>
        </is>
      </c>
      <c r="D359" s="1" t="n">
        <v>45519</v>
      </c>
      <c r="E359" s="1" t="n">
        <v>46313</v>
      </c>
      <c r="F359" t="inlineStr">
        <is>
          <t>UPPSALA LÄN</t>
        </is>
      </c>
      <c r="G359" t="inlineStr">
        <is>
          <t>ÖSTHAMMAR</t>
        </is>
      </c>
      <c r="H359" t="inlineStr">
        <is>
          <t>Bergvik skog öst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21478-2023</t>
        </is>
      </c>
      <c r="B360" t="inlineStr">
        <is>
          <t>avverkningsanmälan</t>
        </is>
      </c>
      <c r="C360" t="inlineStr">
        <is>
          <t>Föryngringsavverkning</t>
        </is>
      </c>
      <c r="D360" s="1" t="n">
        <v>45063</v>
      </c>
      <c r="E360" s="1" t="n">
        <v>46313</v>
      </c>
      <c r="F360" t="inlineStr">
        <is>
          <t>UPPSALA LÄN</t>
        </is>
      </c>
      <c r="G360" t="inlineStr">
        <is>
          <t>ÖSTHAMMAR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24181-2022</t>
        </is>
      </c>
      <c r="B361" t="inlineStr">
        <is>
          <t>avverkningsanmälan</t>
        </is>
      </c>
      <c r="C361" t="inlineStr">
        <is>
          <t>Föryngringsavverkning</t>
        </is>
      </c>
      <c r="D361" s="1" t="n">
        <v>44725</v>
      </c>
      <c r="E361" s="1" t="n">
        <v>46313</v>
      </c>
      <c r="F361" t="inlineStr">
        <is>
          <t>UPPSALA LÄN</t>
        </is>
      </c>
      <c r="G361" t="inlineStr">
        <is>
          <t>ÖSTHAMMAR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19947-2024</t>
        </is>
      </c>
      <c r="B362" t="inlineStr">
        <is>
          <t>avverkningsanmälan</t>
        </is>
      </c>
      <c r="C362" t="inlineStr">
        <is>
          <t>Föryngringsavverkning</t>
        </is>
      </c>
      <c r="D362" s="1" t="n">
        <v>45433</v>
      </c>
      <c r="E362" s="1" t="n">
        <v>46313</v>
      </c>
      <c r="F362" t="inlineStr">
        <is>
          <t>UPPSALA LÄN</t>
        </is>
      </c>
      <c r="G362" t="inlineStr">
        <is>
          <t>ÖSTHAMMAR</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57-2023</t>
        </is>
      </c>
      <c r="B363" t="inlineStr">
        <is>
          <t>avverkningsanmälan</t>
        </is>
      </c>
      <c r="C363" t="inlineStr">
        <is>
          <t>Föryngringsavverkning</t>
        </is>
      </c>
      <c r="D363" s="1" t="n">
        <v>44928</v>
      </c>
      <c r="E363" s="1" t="n">
        <v>46313</v>
      </c>
      <c r="F363" t="inlineStr">
        <is>
          <t>UPPSALA LÄN</t>
        </is>
      </c>
      <c r="G363" t="inlineStr">
        <is>
          <t>ÖSTHAMMAR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59-2023</t>
        </is>
      </c>
      <c r="B364" t="inlineStr">
        <is>
          <t>avverkningsanmälan</t>
        </is>
      </c>
      <c r="C364" t="inlineStr">
        <is>
          <t>Föryngringsavverkning</t>
        </is>
      </c>
      <c r="D364" s="1" t="n">
        <v>44928</v>
      </c>
      <c r="E364" s="1" t="n">
        <v>46313</v>
      </c>
      <c r="F364" t="inlineStr">
        <is>
          <t>UPPSALA LÄN</t>
        </is>
      </c>
      <c r="G364" t="inlineStr">
        <is>
          <t>ÖSTHAMMAR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55079-2024</t>
        </is>
      </c>
      <c r="B365" t="inlineStr">
        <is>
          <t>avverkningsanmälan</t>
        </is>
      </c>
      <c r="C365" t="inlineStr">
        <is>
          <t>Föryngringsavverkning</t>
        </is>
      </c>
      <c r="D365" s="1" t="n">
        <v>45621</v>
      </c>
      <c r="E365" s="1" t="n">
        <v>46313</v>
      </c>
      <c r="F365" t="inlineStr">
        <is>
          <t>UPPSALA LÄN</t>
        </is>
      </c>
      <c r="G365" t="inlineStr">
        <is>
          <t>ÖSTHAMMAR</t>
        </is>
      </c>
      <c r="H365" t="inlineStr">
        <is>
          <t>Sveaskog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33680-2024</t>
        </is>
      </c>
      <c r="B366" t="inlineStr">
        <is>
          <t>avverkningsanmälan</t>
        </is>
      </c>
      <c r="C366" t="inlineStr">
        <is>
          <t>Föryngringsavverkning</t>
        </is>
      </c>
      <c r="D366" s="1" t="n">
        <v>45520</v>
      </c>
      <c r="E366" s="1" t="n">
        <v>46313</v>
      </c>
      <c r="F366" t="inlineStr">
        <is>
          <t>UPPSALA LÄN</t>
        </is>
      </c>
      <c r="G366" t="inlineStr">
        <is>
          <t>ÖSTHAMMAR</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21360-2026</t>
        </is>
      </c>
      <c r="B367" t="inlineStr">
        <is>
          <t>avverkningsanmälan</t>
        </is>
      </c>
      <c r="C367" t="inlineStr">
        <is>
          <t>Föryngringsavverkning</t>
        </is>
      </c>
      <c r="D367" s="1" t="n">
        <v>46147</v>
      </c>
      <c r="E367" s="1" t="n">
        <v>46313</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45993-2025</t>
        </is>
      </c>
      <c r="B368" t="inlineStr">
        <is>
          <t>avverkningsanmälan</t>
        </is>
      </c>
      <c r="C368" t="inlineStr">
        <is>
          <t>Föryngringsavverkning</t>
        </is>
      </c>
      <c r="D368" s="1" t="n">
        <v>45924</v>
      </c>
      <c r="E368" s="1" t="n">
        <v>46313</v>
      </c>
      <c r="F368" t="inlineStr">
        <is>
          <t>UPPSALA LÄN</t>
        </is>
      </c>
      <c r="G368" t="inlineStr">
        <is>
          <t>ÖSTHAMMAR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30811-2023</t>
        </is>
      </c>
      <c r="B369" t="inlineStr">
        <is>
          <t>avverkningsanmälan</t>
        </is>
      </c>
      <c r="C369" t="inlineStr">
        <is>
          <t>Föryngringsavverkning</t>
        </is>
      </c>
      <c r="D369" s="1" t="n">
        <v>45112</v>
      </c>
      <c r="E369" s="1" t="n">
        <v>46313</v>
      </c>
      <c r="F369" t="inlineStr">
        <is>
          <t>UPPSALA LÄN</t>
        </is>
      </c>
      <c r="G369" t="inlineStr">
        <is>
          <t>ÖSTHAMMAR</t>
        </is>
      </c>
      <c r="H369" t="inlineStr">
        <is>
          <t>Bergvik skog öst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61443-2024</t>
        </is>
      </c>
      <c r="B370" t="inlineStr">
        <is>
          <t>avverkningsanmälan</t>
        </is>
      </c>
      <c r="C370" t="inlineStr">
        <is>
          <t>Föryngringsavverkning</t>
        </is>
      </c>
      <c r="D370" s="1" t="n">
        <v>45646</v>
      </c>
      <c r="E370" s="1" t="n">
        <v>46313</v>
      </c>
      <c r="F370" t="inlineStr">
        <is>
          <t>UPPSALA LÄN</t>
        </is>
      </c>
      <c r="G370" t="inlineStr">
        <is>
          <t>ÖSTHAMMAR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47615-2025</t>
        </is>
      </c>
      <c r="B371" t="inlineStr">
        <is>
          <t>avverkningsanmälan</t>
        </is>
      </c>
      <c r="C371" t="inlineStr">
        <is>
          <t>Föryngringsavverkning</t>
        </is>
      </c>
      <c r="D371" s="1" t="n">
        <v>45931</v>
      </c>
      <c r="E371" s="1" t="n">
        <v>46313</v>
      </c>
      <c r="F371" t="inlineStr">
        <is>
          <t>UPPSALA LÄN</t>
        </is>
      </c>
      <c r="G371" t="inlineStr">
        <is>
          <t>ÖSTHAMMAR</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22059-2026</t>
        </is>
      </c>
      <c r="B372" t="inlineStr">
        <is>
          <t>avverkningsanmälan</t>
        </is>
      </c>
      <c r="C372" t="inlineStr">
        <is>
          <t>Föryngringsavverkning</t>
        </is>
      </c>
      <c r="D372" s="1" t="n">
        <v>46153</v>
      </c>
      <c r="E372" s="1" t="n">
        <v>46313</v>
      </c>
      <c r="F372" t="inlineStr">
        <is>
          <t>UPPSALA LÄN</t>
        </is>
      </c>
      <c r="G372" t="inlineStr">
        <is>
          <t>ÖSTHAMMAR</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18731-2022</t>
        </is>
      </c>
      <c r="B373" t="inlineStr">
        <is>
          <t>avverkningsanmälan</t>
        </is>
      </c>
      <c r="C373" t="inlineStr">
        <is>
          <t>Föryngringsavverkning</t>
        </is>
      </c>
      <c r="D373" s="1" t="n">
        <v>44687</v>
      </c>
      <c r="E373" s="1" t="n">
        <v>46313</v>
      </c>
      <c r="F373" t="inlineStr">
        <is>
          <t>UPPSALA LÄN</t>
        </is>
      </c>
      <c r="G373" t="inlineStr">
        <is>
          <t>ÖSTHAMMAR</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9642-2024</t>
        </is>
      </c>
      <c r="B374" t="inlineStr">
        <is>
          <t>avverkningsanmälan</t>
        </is>
      </c>
      <c r="C374" t="inlineStr">
        <is>
          <t>Föryngringsavverkning</t>
        </is>
      </c>
      <c r="D374" s="1" t="n">
        <v>45362</v>
      </c>
      <c r="E374" s="1" t="n">
        <v>46313</v>
      </c>
      <c r="F374" t="inlineStr">
        <is>
          <t>UPPSALA LÄN</t>
        </is>
      </c>
      <c r="G374" t="inlineStr">
        <is>
          <t>ÖSTHAMMAR</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48854-2025</t>
        </is>
      </c>
      <c r="B375" t="inlineStr">
        <is>
          <t>avverkningsanmälan</t>
        </is>
      </c>
      <c r="C375" t="inlineStr">
        <is>
          <t>Föryngringsavverkning</t>
        </is>
      </c>
      <c r="D375" s="1" t="n">
        <v>45937</v>
      </c>
      <c r="E375" s="1" t="n">
        <v>46313</v>
      </c>
      <c r="F375" t="inlineStr">
        <is>
          <t>UPPSALA LÄN</t>
        </is>
      </c>
      <c r="G375" t="inlineStr">
        <is>
          <t>ÖSTHAMMAR</t>
        </is>
      </c>
      <c r="H375" t="inlineStr">
        <is>
          <t>Övriga Aktiebolag</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28429-2023</t>
        </is>
      </c>
      <c r="B376" t="inlineStr">
        <is>
          <t>avverkningsanmälan</t>
        </is>
      </c>
      <c r="C376" t="inlineStr">
        <is>
          <t>Föryngringsavverkning</t>
        </is>
      </c>
      <c r="D376" s="1" t="n">
        <v>45102</v>
      </c>
      <c r="E376" s="1" t="n">
        <v>46313</v>
      </c>
      <c r="F376" t="inlineStr">
        <is>
          <t>UPPSALA LÄN</t>
        </is>
      </c>
      <c r="G376" t="inlineStr">
        <is>
          <t>ÖSTHAMMAR</t>
        </is>
      </c>
      <c r="H376" t="inlineStr">
        <is>
          <t>Bergvik skog öst AB</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30755-2024</t>
        </is>
      </c>
      <c r="B377" t="inlineStr">
        <is>
          <t>avverkningsanmälan</t>
        </is>
      </c>
      <c r="C377" t="inlineStr">
        <is>
          <t>Föryngringsavverkning</t>
        </is>
      </c>
      <c r="D377" s="1" t="n">
        <v>45496</v>
      </c>
      <c r="E377" s="1" t="n">
        <v>46313</v>
      </c>
      <c r="F377" t="inlineStr">
        <is>
          <t>UPPSALA LÄN</t>
        </is>
      </c>
      <c r="G377" t="inlineStr">
        <is>
          <t>ÖSTHAMMAR</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4562-2022</t>
        </is>
      </c>
      <c r="B378" t="inlineStr">
        <is>
          <t>avverkningsanmälan</t>
        </is>
      </c>
      <c r="C378" t="inlineStr">
        <is>
          <t>Föryngringsavverkning</t>
        </is>
      </c>
      <c r="D378" s="1" t="n">
        <v>44591</v>
      </c>
      <c r="E378" s="1" t="n">
        <v>46313</v>
      </c>
      <c r="F378" t="inlineStr">
        <is>
          <t>UPPSALA LÄN</t>
        </is>
      </c>
      <c r="G378" t="inlineStr">
        <is>
          <t>ÖSTHAMMAR</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53733-2023</t>
        </is>
      </c>
      <c r="B379" t="inlineStr">
        <is>
          <t>avverkningsanmälan</t>
        </is>
      </c>
      <c r="C379" t="inlineStr">
        <is>
          <t>Föryngringsavverkning</t>
        </is>
      </c>
      <c r="D379" s="1" t="n">
        <v>45230</v>
      </c>
      <c r="E379" s="1" t="n">
        <v>46313</v>
      </c>
      <c r="F379" t="inlineStr">
        <is>
          <t>UPPSALA LÄN</t>
        </is>
      </c>
      <c r="G379" t="inlineStr">
        <is>
          <t>ÖSTHAMMAR</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22640-2026</t>
        </is>
      </c>
      <c r="B380" t="inlineStr">
        <is>
          <t>avverkningsanmälan</t>
        </is>
      </c>
      <c r="C380" t="inlineStr">
        <is>
          <t>Föryngringsavverkning</t>
        </is>
      </c>
      <c r="D380" s="1" t="n">
        <v>46155</v>
      </c>
      <c r="E380" s="1" t="n">
        <v>46313</v>
      </c>
      <c r="F380" t="inlineStr">
        <is>
          <t>UPPSALA LÄN</t>
        </is>
      </c>
      <c r="G380" t="inlineStr">
        <is>
          <t>ÖSTHAMMAR</t>
        </is>
      </c>
      <c r="H380" t="inlineStr">
        <is>
          <t>Bergvik skog öst AB</t>
        </is>
      </c>
      <c r="I380" t="n">
        <v>19.4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41308-2023</t>
        </is>
      </c>
      <c r="B381" t="inlineStr">
        <is>
          <t>avverkningsanmälan</t>
        </is>
      </c>
      <c r="C381" t="inlineStr">
        <is>
          <t>Föryngringsavverkning</t>
        </is>
      </c>
      <c r="D381" s="1" t="n">
        <v>45174</v>
      </c>
      <c r="E381" s="1" t="n">
        <v>46313</v>
      </c>
      <c r="F381" t="inlineStr">
        <is>
          <t>UPPSALA LÄN</t>
        </is>
      </c>
      <c r="G381" t="inlineStr">
        <is>
          <t>ÖSTHAMMAR</t>
        </is>
      </c>
      <c r="H381" t="inlineStr">
        <is>
          <t>Övriga Aktiebolag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17969-2023</t>
        </is>
      </c>
      <c r="B382" t="inlineStr">
        <is>
          <t>avverkningsanmälan</t>
        </is>
      </c>
      <c r="C382" t="inlineStr">
        <is>
          <t>Föryngringsavverkning</t>
        </is>
      </c>
      <c r="D382" s="1" t="n">
        <v>45040</v>
      </c>
      <c r="E382" s="1" t="n">
        <v>46313</v>
      </c>
      <c r="F382" t="inlineStr">
        <is>
          <t>UPPSALA LÄN</t>
        </is>
      </c>
      <c r="G382" t="inlineStr">
        <is>
          <t>ÖSTHAMMAR</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25969-2023</t>
        </is>
      </c>
      <c r="B383" t="inlineStr">
        <is>
          <t>avverkningsanmälan</t>
        </is>
      </c>
      <c r="C383" t="inlineStr">
        <is>
          <t>Föryngringsavverkning</t>
        </is>
      </c>
      <c r="D383" s="1" t="n">
        <v>45090</v>
      </c>
      <c r="E383" s="1" t="n">
        <v>46313</v>
      </c>
      <c r="F383" t="inlineStr">
        <is>
          <t>UPPSALA LÄN</t>
        </is>
      </c>
      <c r="G383" t="inlineStr">
        <is>
          <t>ÖSTHAMMAR</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51156-2025</t>
        </is>
      </c>
      <c r="B384" t="inlineStr">
        <is>
          <t>avverkningsanmälan</t>
        </is>
      </c>
      <c r="C384" t="inlineStr">
        <is>
          <t>Föryngringsavverkning</t>
        </is>
      </c>
      <c r="D384" s="1" t="n">
        <v>45947</v>
      </c>
      <c r="E384" s="1" t="n">
        <v>46313</v>
      </c>
      <c r="F384" t="inlineStr">
        <is>
          <t>UPPSALA LÄN</t>
        </is>
      </c>
      <c r="G384" t="inlineStr">
        <is>
          <t>ÖSTHAMMAR</t>
        </is>
      </c>
      <c r="H384" t="inlineStr">
        <is>
          <t>Allmännings- och besparingsskogar</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50998-2023</t>
        </is>
      </c>
      <c r="B385" t="inlineStr">
        <is>
          <t>avverkningsanmälan</t>
        </is>
      </c>
      <c r="C385" t="inlineStr">
        <is>
          <t>Föryngringsavverkning</t>
        </is>
      </c>
      <c r="D385" s="1" t="n">
        <v>45218</v>
      </c>
      <c r="E385" s="1" t="n">
        <v>46313</v>
      </c>
      <c r="F385" t="inlineStr">
        <is>
          <t>UPPSALA LÄN</t>
        </is>
      </c>
      <c r="G385" t="inlineStr">
        <is>
          <t>ÖSTHAMMAR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55837-2023</t>
        </is>
      </c>
      <c r="B386" t="inlineStr">
        <is>
          <t>avverkningsanmälan</t>
        </is>
      </c>
      <c r="C386" t="inlineStr">
        <is>
          <t>Föryngringsavverkning</t>
        </is>
      </c>
      <c r="D386" s="1" t="n">
        <v>45239</v>
      </c>
      <c r="E386" s="1" t="n">
        <v>46313</v>
      </c>
      <c r="F386" t="inlineStr">
        <is>
          <t>UPPSALA LÄN</t>
        </is>
      </c>
      <c r="G386" t="inlineStr">
        <is>
          <t>ÖSTHAMMAR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18838-2023</t>
        </is>
      </c>
      <c r="B387" t="inlineStr">
        <is>
          <t>avverkningsanmälan</t>
        </is>
      </c>
      <c r="C387" t="inlineStr">
        <is>
          <t>Föryngringsavverkning</t>
        </is>
      </c>
      <c r="D387" s="1" t="n">
        <v>45044</v>
      </c>
      <c r="E387" s="1" t="n">
        <v>46313</v>
      </c>
      <c r="F387" t="inlineStr">
        <is>
          <t>UPPSALA LÄN</t>
        </is>
      </c>
      <c r="G387" t="inlineStr">
        <is>
          <t>ÖSTHAMMAR</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59382-2022</t>
        </is>
      </c>
      <c r="B388" t="inlineStr">
        <is>
          <t>avverkningsanmälan</t>
        </is>
      </c>
      <c r="C388" t="inlineStr">
        <is>
          <t>Föryngringsavverkning</t>
        </is>
      </c>
      <c r="D388" s="1" t="n">
        <v>44905</v>
      </c>
      <c r="E388" s="1" t="n">
        <v>46313</v>
      </c>
      <c r="F388" t="inlineStr">
        <is>
          <t>UPPSALA LÄN</t>
        </is>
      </c>
      <c r="G388" t="inlineStr">
        <is>
          <t>ÖSTHAMMAR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51379-2025</t>
        </is>
      </c>
      <c r="B389" t="inlineStr">
        <is>
          <t>avverkningsanmälan</t>
        </is>
      </c>
      <c r="C389" t="inlineStr">
        <is>
          <t>Föryngringsavverkning</t>
        </is>
      </c>
      <c r="D389" s="1" t="n">
        <v>45950</v>
      </c>
      <c r="E389" s="1" t="n">
        <v>46313</v>
      </c>
      <c r="F389" t="inlineStr">
        <is>
          <t>UPPSALA LÄN</t>
        </is>
      </c>
      <c r="G389" t="inlineStr">
        <is>
          <t>ÖSTHAMMAR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51255-2025</t>
        </is>
      </c>
      <c r="B390" t="inlineStr">
        <is>
          <t>avverkningsanmälan</t>
        </is>
      </c>
      <c r="C390" t="inlineStr">
        <is>
          <t>Föryngringsavverkning</t>
        </is>
      </c>
      <c r="D390" s="1" t="n">
        <v>45949</v>
      </c>
      <c r="E390" s="1" t="n">
        <v>46313</v>
      </c>
      <c r="F390" t="inlineStr">
        <is>
          <t>UPPSALA LÄN</t>
        </is>
      </c>
      <c r="G390" t="inlineStr">
        <is>
          <t>ÖSTHAMMAR</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51266-2025</t>
        </is>
      </c>
      <c r="B391" t="inlineStr">
        <is>
          <t>avverkningsanmälan</t>
        </is>
      </c>
      <c r="C391" t="inlineStr">
        <is>
          <t>Föryngringsavverkning</t>
        </is>
      </c>
      <c r="D391" s="1" t="n">
        <v>45949</v>
      </c>
      <c r="E391" s="1" t="n">
        <v>46313</v>
      </c>
      <c r="F391" t="inlineStr">
        <is>
          <t>UPPSALA LÄN</t>
        </is>
      </c>
      <c r="G391" t="inlineStr">
        <is>
          <t>ÖSTHAMMAR</t>
        </is>
      </c>
      <c r="H391" t="inlineStr">
        <is>
          <t>Bergvik skog öst AB</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51254-2025</t>
        </is>
      </c>
      <c r="B392" t="inlineStr">
        <is>
          <t>avverkningsanmälan</t>
        </is>
      </c>
      <c r="C392" t="inlineStr">
        <is>
          <t>Föryngringsavverkning</t>
        </is>
      </c>
      <c r="D392" s="1" t="n">
        <v>45948</v>
      </c>
      <c r="E392" s="1" t="n">
        <v>46313</v>
      </c>
      <c r="F392" t="inlineStr">
        <is>
          <t>UPPSALA LÄN</t>
        </is>
      </c>
      <c r="G392" t="inlineStr">
        <is>
          <t>ÖSTHAMMAR</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22641-2026</t>
        </is>
      </c>
      <c r="B393" t="inlineStr">
        <is>
          <t>avverkningsanmälan</t>
        </is>
      </c>
      <c r="C393" t="inlineStr">
        <is>
          <t>Föryngringsavverkning</t>
        </is>
      </c>
      <c r="D393" s="1" t="n">
        <v>46155</v>
      </c>
      <c r="E393" s="1" t="n">
        <v>46313</v>
      </c>
      <c r="F393" t="inlineStr">
        <is>
          <t>UPPSALA LÄN</t>
        </is>
      </c>
      <c r="G393" t="inlineStr">
        <is>
          <t>ÖSTHAMMAR</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51265-2025</t>
        </is>
      </c>
      <c r="B394" t="inlineStr">
        <is>
          <t>avverkningsanmälan</t>
        </is>
      </c>
      <c r="C394" t="inlineStr">
        <is>
          <t>Föryngringsavverkning</t>
        </is>
      </c>
      <c r="D394" s="1" t="n">
        <v>45949</v>
      </c>
      <c r="E394" s="1" t="n">
        <v>46313</v>
      </c>
      <c r="F394" t="inlineStr">
        <is>
          <t>UPPSALA LÄN</t>
        </is>
      </c>
      <c r="G394" t="inlineStr">
        <is>
          <t>ÖSTHAMMAR</t>
        </is>
      </c>
      <c r="H394" t="inlineStr">
        <is>
          <t>Bergvik skog öst AB</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22567-2026</t>
        </is>
      </c>
      <c r="B395" t="inlineStr">
        <is>
          <t>avverkningsanmälan</t>
        </is>
      </c>
      <c r="C395" t="inlineStr">
        <is>
          <t>Föryngringsavverkning</t>
        </is>
      </c>
      <c r="D395" s="1" t="n">
        <v>46155</v>
      </c>
      <c r="E395" s="1" t="n">
        <v>46313</v>
      </c>
      <c r="F395" t="inlineStr">
        <is>
          <t>UPPSALA LÄN</t>
        </is>
      </c>
      <c r="G395" t="inlineStr">
        <is>
          <t>ÖSTHAMMAR</t>
        </is>
      </c>
      <c r="H395" t="inlineStr">
        <is>
          <t>Bergvik skog öst AB</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42213-2025</t>
        </is>
      </c>
      <c r="B396" t="inlineStr">
        <is>
          <t>avverkningsanmälan</t>
        </is>
      </c>
      <c r="C396" t="inlineStr">
        <is>
          <t>Föryngringsavverkning</t>
        </is>
      </c>
      <c r="D396" s="1" t="n">
        <v>45904</v>
      </c>
      <c r="E396" s="1" t="n">
        <v>46313</v>
      </c>
      <c r="F396" t="inlineStr">
        <is>
          <t>UPPSALA LÄN</t>
        </is>
      </c>
      <c r="G396" t="inlineStr">
        <is>
          <t>ÖSTHAMMAR</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17085-2025</t>
        </is>
      </c>
      <c r="B397" t="inlineStr">
        <is>
          <t>avverkningsanmälan</t>
        </is>
      </c>
      <c r="C397" t="inlineStr">
        <is>
          <t>Föryngringsavverkning</t>
        </is>
      </c>
      <c r="D397" s="1" t="n">
        <v>45755</v>
      </c>
      <c r="E397" s="1" t="n">
        <v>46313</v>
      </c>
      <c r="F397" t="inlineStr">
        <is>
          <t>UPPSALA LÄN</t>
        </is>
      </c>
      <c r="G397" t="inlineStr">
        <is>
          <t>ÖSTHAMMAR</t>
        </is>
      </c>
      <c r="H397" t="inlineStr">
        <is>
          <t>Bergvik skog öst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29231-2024</t>
        </is>
      </c>
      <c r="B398" t="inlineStr">
        <is>
          <t>avverkningsanmälan</t>
        </is>
      </c>
      <c r="C398" t="inlineStr">
        <is>
          <t>Föryngringsavverkning</t>
        </is>
      </c>
      <c r="D398" s="1" t="n">
        <v>45482</v>
      </c>
      <c r="E398" s="1" t="n">
        <v>46313</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22642-2026</t>
        </is>
      </c>
      <c r="B399" t="inlineStr">
        <is>
          <t>avverkningsanmälan</t>
        </is>
      </c>
      <c r="C399" t="inlineStr">
        <is>
          <t>Föryngringsavverkning</t>
        </is>
      </c>
      <c r="D399" s="1" t="n">
        <v>46155</v>
      </c>
      <c r="E399" s="1" t="n">
        <v>46313</v>
      </c>
      <c r="F399" t="inlineStr">
        <is>
          <t>UPPSALA LÄN</t>
        </is>
      </c>
      <c r="G399" t="inlineStr">
        <is>
          <t>ÖSTHAMMAR</t>
        </is>
      </c>
      <c r="H399" t="inlineStr">
        <is>
          <t>Bergvik skog öst AB</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9264-2024</t>
        </is>
      </c>
      <c r="B400" t="inlineStr">
        <is>
          <t>avverkningsanmälan</t>
        </is>
      </c>
      <c r="C400" t="inlineStr">
        <is>
          <t>Föryngringsavverkning</t>
        </is>
      </c>
      <c r="D400" s="1" t="n">
        <v>45358</v>
      </c>
      <c r="E400" s="1" t="n">
        <v>46313</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11643-2022</t>
        </is>
      </c>
      <c r="B401" t="inlineStr">
        <is>
          <t>avverkningsanmälan</t>
        </is>
      </c>
      <c r="C401" t="inlineStr">
        <is>
          <t>Föryngringsavverkning</t>
        </is>
      </c>
      <c r="D401" s="1" t="n">
        <v>44631</v>
      </c>
      <c r="E401" s="1" t="n">
        <v>46313</v>
      </c>
      <c r="F401" t="inlineStr">
        <is>
          <t>UPPSALA LÄN</t>
        </is>
      </c>
      <c r="G401" t="inlineStr">
        <is>
          <t>ÖSTHAMMAR</t>
        </is>
      </c>
      <c r="H401" t="inlineStr">
        <is>
          <t>Bergvik skog öst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53735-2025</t>
        </is>
      </c>
      <c r="B402" t="inlineStr">
        <is>
          <t>avverkningsanmälan</t>
        </is>
      </c>
      <c r="C402" t="inlineStr">
        <is>
          <t>Föryngringsavverkning</t>
        </is>
      </c>
      <c r="D402" s="1" t="n">
        <v>45960</v>
      </c>
      <c r="E402" s="1" t="n">
        <v>46313</v>
      </c>
      <c r="F402" t="inlineStr">
        <is>
          <t>UPPSALA LÄN</t>
        </is>
      </c>
      <c r="G402" t="inlineStr">
        <is>
          <t>ÖSTHAMMAR</t>
        </is>
      </c>
      <c r="H402" t="inlineStr">
        <is>
          <t>Bergvik skog öst AB</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53737-2025</t>
        </is>
      </c>
      <c r="B403" t="inlineStr">
        <is>
          <t>avverkningsanmälan</t>
        </is>
      </c>
      <c r="C403" t="inlineStr">
        <is>
          <t>Föryngringsavverkning</t>
        </is>
      </c>
      <c r="D403" s="1" t="n">
        <v>45960</v>
      </c>
      <c r="E403" s="1" t="n">
        <v>46313</v>
      </c>
      <c r="F403" t="inlineStr">
        <is>
          <t>UPPSALA LÄN</t>
        </is>
      </c>
      <c r="G403" t="inlineStr">
        <is>
          <t>ÖSTHAMMAR</t>
        </is>
      </c>
      <c r="H403" t="inlineStr">
        <is>
          <t>Bergvik skog öst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34607-2023</t>
        </is>
      </c>
      <c r="B404" t="inlineStr">
        <is>
          <t>avverkningsanmälan</t>
        </is>
      </c>
      <c r="C404" t="inlineStr">
        <is>
          <t>Föryngringsavverkning</t>
        </is>
      </c>
      <c r="D404" s="1" t="n">
        <v>45138</v>
      </c>
      <c r="E404" s="1" t="n">
        <v>46313</v>
      </c>
      <c r="F404" t="inlineStr">
        <is>
          <t>UPPSALA LÄN</t>
        </is>
      </c>
      <c r="G404" t="inlineStr">
        <is>
          <t>ÖSTHAMMAR</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5215-2025</t>
        </is>
      </c>
      <c r="B405" t="inlineStr">
        <is>
          <t>avverkningsanmälan</t>
        </is>
      </c>
      <c r="C405" t="inlineStr">
        <is>
          <t>Föryngringsavverkning</t>
        </is>
      </c>
      <c r="D405" s="1" t="n">
        <v>45691</v>
      </c>
      <c r="E405" s="1" t="n">
        <v>46313</v>
      </c>
      <c r="F405" t="inlineStr">
        <is>
          <t>UPPSALA LÄN</t>
        </is>
      </c>
      <c r="G405" t="inlineStr">
        <is>
          <t>ÖSTHAMMAR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2733-2023</t>
        </is>
      </c>
      <c r="B406" t="inlineStr">
        <is>
          <t>avverkningsanmälan</t>
        </is>
      </c>
      <c r="C406" t="inlineStr">
        <is>
          <t>Avverkning för annat ändamål</t>
        </is>
      </c>
      <c r="D406" s="1" t="n">
        <v>44943</v>
      </c>
      <c r="E406" s="1" t="n">
        <v>46313</v>
      </c>
      <c r="F406" t="inlineStr">
        <is>
          <t>UPPSALA LÄN</t>
        </is>
      </c>
      <c r="G406" t="inlineStr">
        <is>
          <t>ÖSTHAMMAR</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34971-2022</t>
        </is>
      </c>
      <c r="B407" t="inlineStr">
        <is>
          <t>avverkningsanmälan</t>
        </is>
      </c>
      <c r="C407" t="inlineStr">
        <is>
          <t>Föryngringsavverkning</t>
        </is>
      </c>
      <c r="D407" s="1" t="n">
        <v>44796</v>
      </c>
      <c r="E407" s="1" t="n">
        <v>46313</v>
      </c>
      <c r="F407" t="inlineStr">
        <is>
          <t>UPPSALA LÄN</t>
        </is>
      </c>
      <c r="G407" t="inlineStr">
        <is>
          <t>ÖSTHAMMAR</t>
        </is>
      </c>
      <c r="H407" t="inlineStr">
        <is>
          <t>Bergvik skog öst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3725-2022</t>
        </is>
      </c>
      <c r="B408" t="inlineStr">
        <is>
          <t>avverkningsanmälan</t>
        </is>
      </c>
      <c r="C408" t="inlineStr">
        <is>
          <t>Avverkning för annat ändamål</t>
        </is>
      </c>
      <c r="D408" s="1" t="n">
        <v>44586</v>
      </c>
      <c r="E408" s="1" t="n">
        <v>46313</v>
      </c>
      <c r="F408" t="inlineStr">
        <is>
          <t>UPPSALA LÄN</t>
        </is>
      </c>
      <c r="G408" t="inlineStr">
        <is>
          <t>ÖSTHAMMAR</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54647-2025</t>
        </is>
      </c>
      <c r="B409" t="inlineStr">
        <is>
          <t>avverkningsanmälan</t>
        </is>
      </c>
      <c r="C409" t="inlineStr">
        <is>
          <t>Föryngringsavverkning</t>
        </is>
      </c>
      <c r="D409" s="1" t="n">
        <v>45966</v>
      </c>
      <c r="E409" s="1" t="n">
        <v>46313</v>
      </c>
      <c r="F409" t="inlineStr">
        <is>
          <t>UPPSALA LÄN</t>
        </is>
      </c>
      <c r="G409" t="inlineStr">
        <is>
          <t>ÖSTHAMMAR</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12812-2024</t>
        </is>
      </c>
      <c r="B410" t="inlineStr">
        <is>
          <t>avverkningsanmälan</t>
        </is>
      </c>
      <c r="C410" t="inlineStr">
        <is>
          <t>Föryngringsavverkning</t>
        </is>
      </c>
      <c r="D410" s="1" t="n">
        <v>45384</v>
      </c>
      <c r="E410" s="1" t="n">
        <v>46313</v>
      </c>
      <c r="F410" t="inlineStr">
        <is>
          <t>UPPSALA LÄN</t>
        </is>
      </c>
      <c r="G410" t="inlineStr">
        <is>
          <t>ÖSTHAMMAR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54649-2025</t>
        </is>
      </c>
      <c r="B411" t="inlineStr">
        <is>
          <t>avverkningsanmälan</t>
        </is>
      </c>
      <c r="C411" t="inlineStr">
        <is>
          <t>Föryngringsavverkning</t>
        </is>
      </c>
      <c r="D411" s="1" t="n">
        <v>45966</v>
      </c>
      <c r="E411" s="1" t="n">
        <v>46313</v>
      </c>
      <c r="F411" t="inlineStr">
        <is>
          <t>UPPSALA LÄN</t>
        </is>
      </c>
      <c r="G411" t="inlineStr">
        <is>
          <t>ÖSTHAMMAR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28170-2023</t>
        </is>
      </c>
      <c r="B412" t="inlineStr">
        <is>
          <t>avverkningsanmälan</t>
        </is>
      </c>
      <c r="C412" t="inlineStr">
        <is>
          <t>Föryngringsavverkning</t>
        </is>
      </c>
      <c r="D412" s="1" t="n">
        <v>45093</v>
      </c>
      <c r="E412" s="1" t="n">
        <v>46313</v>
      </c>
      <c r="F412" t="inlineStr">
        <is>
          <t>UPPSALA LÄN</t>
        </is>
      </c>
      <c r="G412" t="inlineStr">
        <is>
          <t>ÖSTHAMMAR</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7876-2023</t>
        </is>
      </c>
      <c r="B413" t="inlineStr">
        <is>
          <t>avverkningsanmälan</t>
        </is>
      </c>
      <c r="C413" t="inlineStr">
        <is>
          <t>Föryngringsavverkning</t>
        </is>
      </c>
      <c r="D413" s="1" t="n">
        <v>44973</v>
      </c>
      <c r="E413" s="1" t="n">
        <v>46313</v>
      </c>
      <c r="F413" t="inlineStr">
        <is>
          <t>UPPSALA LÄN</t>
        </is>
      </c>
      <c r="G413" t="inlineStr">
        <is>
          <t>ÖSTHAMMAR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23415-2026</t>
        </is>
      </c>
      <c r="B414" t="inlineStr">
        <is>
          <t>avverkningsanmälan</t>
        </is>
      </c>
      <c r="C414" t="inlineStr">
        <is>
          <t>Föryngringsavverkning</t>
        </is>
      </c>
      <c r="D414" s="1" t="n">
        <v>46163</v>
      </c>
      <c r="E414" s="1" t="n">
        <v>46313</v>
      </c>
      <c r="F414" t="inlineStr">
        <is>
          <t>UPPSALA LÄN</t>
        </is>
      </c>
      <c r="G414" t="inlineStr">
        <is>
          <t>ÖSTHAMMAR</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23416-2026</t>
        </is>
      </c>
      <c r="B415" t="inlineStr">
        <is>
          <t>avverkningsanmälan</t>
        </is>
      </c>
      <c r="C415" t="inlineStr">
        <is>
          <t>Föryngringsavverkning</t>
        </is>
      </c>
      <c r="D415" s="1" t="n">
        <v>46163</v>
      </c>
      <c r="E415" s="1" t="n">
        <v>46313</v>
      </c>
      <c r="F415" t="inlineStr">
        <is>
          <t>UPPSALA LÄN</t>
        </is>
      </c>
      <c r="G415" t="inlineStr">
        <is>
          <t>ÖSTHAMMAR</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23363-2023</t>
        </is>
      </c>
      <c r="B416" t="inlineStr">
        <is>
          <t>avverkningsanmälan</t>
        </is>
      </c>
      <c r="C416" t="inlineStr">
        <is>
          <t>Föryngringsavverkning</t>
        </is>
      </c>
      <c r="D416" s="1" t="n">
        <v>45076</v>
      </c>
      <c r="E416" s="1" t="n">
        <v>46313</v>
      </c>
      <c r="F416" t="inlineStr">
        <is>
          <t>UPPSALA LÄN</t>
        </is>
      </c>
      <c r="G416" t="inlineStr">
        <is>
          <t>ÖSTHAMMAR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27308-2023</t>
        </is>
      </c>
      <c r="B417" t="inlineStr">
        <is>
          <t>avverkningsanmälan</t>
        </is>
      </c>
      <c r="C417" t="inlineStr">
        <is>
          <t>Föryngringsavverkning</t>
        </is>
      </c>
      <c r="D417" s="1" t="n">
        <v>45096</v>
      </c>
      <c r="E417" s="1" t="n">
        <v>46313</v>
      </c>
      <c r="F417" t="inlineStr">
        <is>
          <t>UPPSALA LÄN</t>
        </is>
      </c>
      <c r="G417" t="inlineStr">
        <is>
          <t>ÖSTHAMMAR</t>
        </is>
      </c>
      <c r="H417" t="inlineStr">
        <is>
          <t>Bergvik skog öst AB</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14433-2024</t>
        </is>
      </c>
      <c r="B418" t="inlineStr">
        <is>
          <t>avverkningsanmälan</t>
        </is>
      </c>
      <c r="C418" t="inlineStr">
        <is>
          <t>Föryngringsavverkning</t>
        </is>
      </c>
      <c r="D418" s="1" t="n">
        <v>45394</v>
      </c>
      <c r="E418" s="1" t="n">
        <v>46313</v>
      </c>
      <c r="F418" t="inlineStr">
        <is>
          <t>UPPSALA LÄN</t>
        </is>
      </c>
      <c r="G418" t="inlineStr">
        <is>
          <t>ÖSTHAMMAR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20038-2023</t>
        </is>
      </c>
      <c r="B419" t="inlineStr">
        <is>
          <t>avverkningsanmälan</t>
        </is>
      </c>
      <c r="C419" t="inlineStr">
        <is>
          <t>Föryngringsavverkning</t>
        </is>
      </c>
      <c r="D419" s="1" t="n">
        <v>45054</v>
      </c>
      <c r="E419" s="1" t="n">
        <v>46313</v>
      </c>
      <c r="F419" t="inlineStr">
        <is>
          <t>UPPSALA LÄN</t>
        </is>
      </c>
      <c r="G419" t="inlineStr">
        <is>
          <t>ÖSTHAMMAR</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56757-2025</t>
        </is>
      </c>
      <c r="B420" t="inlineStr">
        <is>
          <t>avverkningsanmälan</t>
        </is>
      </c>
      <c r="C420" t="inlineStr">
        <is>
          <t>Föryngringsavverkning</t>
        </is>
      </c>
      <c r="D420" s="1" t="n">
        <v>45978</v>
      </c>
      <c r="E420" s="1" t="n">
        <v>46313</v>
      </c>
      <c r="F420" t="inlineStr">
        <is>
          <t>UPPSALA LÄN</t>
        </is>
      </c>
      <c r="G420" t="inlineStr">
        <is>
          <t>ÖSTHAMMAR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13738-2023</t>
        </is>
      </c>
      <c r="B421" t="inlineStr">
        <is>
          <t>avverkningsanmälan</t>
        </is>
      </c>
      <c r="C421" t="inlineStr">
        <is>
          <t>Föryngringsavverkning</t>
        </is>
      </c>
      <c r="D421" s="1" t="n">
        <v>45007</v>
      </c>
      <c r="E421" s="1" t="n">
        <v>46313</v>
      </c>
      <c r="F421" t="inlineStr">
        <is>
          <t>UPPSALA LÄN</t>
        </is>
      </c>
      <c r="G421" t="inlineStr">
        <is>
          <t>ÖSTHAMMAR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56748-2025</t>
        </is>
      </c>
      <c r="B422" t="inlineStr">
        <is>
          <t>avverkningsanmälan</t>
        </is>
      </c>
      <c r="C422" t="inlineStr">
        <is>
          <t>Föryngringsavverkning</t>
        </is>
      </c>
      <c r="D422" s="1" t="n">
        <v>45978</v>
      </c>
      <c r="E422" s="1" t="n">
        <v>46313</v>
      </c>
      <c r="F422" t="inlineStr">
        <is>
          <t>UPPSALA LÄN</t>
        </is>
      </c>
      <c r="G422" t="inlineStr">
        <is>
          <t>ÖSTHAMMAR</t>
        </is>
      </c>
      <c r="H422" t="inlineStr">
        <is>
          <t>Sveaskog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43439-2024</t>
        </is>
      </c>
      <c r="B423" t="inlineStr">
        <is>
          <t>avverkningsanmälan</t>
        </is>
      </c>
      <c r="C423" t="inlineStr">
        <is>
          <t>Föryngringsavverkning</t>
        </is>
      </c>
      <c r="D423" s="1" t="n">
        <v>45568</v>
      </c>
      <c r="E423" s="1" t="n">
        <v>46313</v>
      </c>
      <c r="F423" t="inlineStr">
        <is>
          <t>UPPSALA LÄN</t>
        </is>
      </c>
      <c r="G423" t="inlineStr">
        <is>
          <t>ÖSTHAMMAR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56753-2025</t>
        </is>
      </c>
      <c r="B424" t="inlineStr">
        <is>
          <t>avverkningsanmälan</t>
        </is>
      </c>
      <c r="C424" t="inlineStr">
        <is>
          <t>Föryngringsavverkning</t>
        </is>
      </c>
      <c r="D424" s="1" t="n">
        <v>45978</v>
      </c>
      <c r="E424" s="1" t="n">
        <v>46313</v>
      </c>
      <c r="F424" t="inlineStr">
        <is>
          <t>UPPSALA LÄN</t>
        </is>
      </c>
      <c r="G424" t="inlineStr">
        <is>
          <t>ÖSTHAMMAR</t>
        </is>
      </c>
      <c r="H424" t="inlineStr">
        <is>
          <t>Sveaskog</t>
        </is>
      </c>
      <c r="I424" t="n">
        <v>8.6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56823-2025</t>
        </is>
      </c>
      <c r="B425" t="inlineStr">
        <is>
          <t>avverkningsanmälan</t>
        </is>
      </c>
      <c r="C425" t="inlineStr">
        <is>
          <t>Föryngringsavverkning</t>
        </is>
      </c>
      <c r="D425" s="1" t="n">
        <v>45978</v>
      </c>
      <c r="E425" s="1" t="n">
        <v>46313</v>
      </c>
      <c r="F425" t="inlineStr">
        <is>
          <t>UPPSALA LÄN</t>
        </is>
      </c>
      <c r="G425" t="inlineStr">
        <is>
          <t>ÖSTHAMMAR</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23414-2026</t>
        </is>
      </c>
      <c r="B426" t="inlineStr">
        <is>
          <t>avverkningsanmälan</t>
        </is>
      </c>
      <c r="C426" t="inlineStr">
        <is>
          <t>Föryngringsavverkning</t>
        </is>
      </c>
      <c r="D426" s="1" t="n">
        <v>46163</v>
      </c>
      <c r="E426" s="1" t="n">
        <v>46313</v>
      </c>
      <c r="F426" t="inlineStr">
        <is>
          <t>UPPSALA LÄN</t>
        </is>
      </c>
      <c r="G426" t="inlineStr">
        <is>
          <t>ÖSTHAMMAR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11469-2023</t>
        </is>
      </c>
      <c r="B427" t="inlineStr">
        <is>
          <t>avverkningsanmälan</t>
        </is>
      </c>
      <c r="C427" t="inlineStr">
        <is>
          <t>Föryngringsavverkning</t>
        </is>
      </c>
      <c r="D427" s="1" t="n">
        <v>44993</v>
      </c>
      <c r="E427" s="1" t="n">
        <v>46313</v>
      </c>
      <c r="F427" t="inlineStr">
        <is>
          <t>UPPSALA LÄN</t>
        </is>
      </c>
      <c r="G427" t="inlineStr">
        <is>
          <t>ÖSTHAMMAR</t>
        </is>
      </c>
      <c r="H427" t="inlineStr">
        <is>
          <t>Bergvik skog öst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58399-2025</t>
        </is>
      </c>
      <c r="B428" t="inlineStr">
        <is>
          <t>avverkningsanmälan</t>
        </is>
      </c>
      <c r="C428" t="inlineStr">
        <is>
          <t>Föryngringsavverkning</t>
        </is>
      </c>
      <c r="D428" s="1" t="n">
        <v>45985</v>
      </c>
      <c r="E428" s="1" t="n">
        <v>46313</v>
      </c>
      <c r="F428" t="inlineStr">
        <is>
          <t>UPPSALA LÄN</t>
        </is>
      </c>
      <c r="G428" t="inlineStr">
        <is>
          <t>ÖSTHAMMAR</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25418-2022</t>
        </is>
      </c>
      <c r="B429" t="inlineStr">
        <is>
          <t>avverkningsanmälan</t>
        </is>
      </c>
      <c r="C429" t="inlineStr">
        <is>
          <t>Föryngringsavverkning</t>
        </is>
      </c>
      <c r="D429" s="1" t="n">
        <v>44732</v>
      </c>
      <c r="E429" s="1" t="n">
        <v>46313</v>
      </c>
      <c r="F429" t="inlineStr">
        <is>
          <t>UPPSALA LÄN</t>
        </is>
      </c>
      <c r="G429" t="inlineStr">
        <is>
          <t>ÖSTHAMMAR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14671-2022</t>
        </is>
      </c>
      <c r="B430" t="inlineStr">
        <is>
          <t>avverkningsanmälan</t>
        </is>
      </c>
      <c r="C430" t="inlineStr">
        <is>
          <t>Föryngringsavverkning</t>
        </is>
      </c>
      <c r="D430" s="1" t="n">
        <v>44655</v>
      </c>
      <c r="E430" s="1" t="n">
        <v>46313</v>
      </c>
      <c r="F430" t="inlineStr">
        <is>
          <t>UPPSALA LÄN</t>
        </is>
      </c>
      <c r="G430" t="inlineStr">
        <is>
          <t>ÖSTHAMMAR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46399-2023</t>
        </is>
      </c>
      <c r="B431" t="inlineStr">
        <is>
          <t>avverkningsanmälan</t>
        </is>
      </c>
      <c r="C431" t="inlineStr">
        <is>
          <t>Föryngringsavverkning</t>
        </is>
      </c>
      <c r="D431" s="1" t="n">
        <v>45197</v>
      </c>
      <c r="E431" s="1" t="n">
        <v>46313</v>
      </c>
      <c r="F431" t="inlineStr">
        <is>
          <t>UPPSALA LÄN</t>
        </is>
      </c>
      <c r="G431" t="inlineStr">
        <is>
          <t>ÖSTHAMMAR</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45550-2023</t>
        </is>
      </c>
      <c r="B432" t="inlineStr">
        <is>
          <t>avverkningsanmälan</t>
        </is>
      </c>
      <c r="C432" t="inlineStr">
        <is>
          <t>Föryngringsavverkning</t>
        </is>
      </c>
      <c r="D432" s="1" t="n">
        <v>45194</v>
      </c>
      <c r="E432" s="1" t="n">
        <v>46313</v>
      </c>
      <c r="F432" t="inlineStr">
        <is>
          <t>UPPSALA LÄN</t>
        </is>
      </c>
      <c r="G432" t="inlineStr">
        <is>
          <t>ÖSTHAMMAR</t>
        </is>
      </c>
      <c r="H432" t="inlineStr">
        <is>
          <t>Bergvik skog öst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15445-2022</t>
        </is>
      </c>
      <c r="B433" t="inlineStr">
        <is>
          <t>avverkningsanmälan</t>
        </is>
      </c>
      <c r="C433" t="inlineStr">
        <is>
          <t>Föryngringsavverkning</t>
        </is>
      </c>
      <c r="D433" s="1" t="n">
        <v>44660</v>
      </c>
      <c r="E433" s="1" t="n">
        <v>46313</v>
      </c>
      <c r="F433" t="inlineStr">
        <is>
          <t>UPPSALA LÄN</t>
        </is>
      </c>
      <c r="G433" t="inlineStr">
        <is>
          <t>ÖSTHAMMAR</t>
        </is>
      </c>
      <c r="H433" t="inlineStr">
        <is>
          <t>Bergvik skog öst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60603-2025</t>
        </is>
      </c>
      <c r="B434" t="inlineStr">
        <is>
          <t>avverkningsanmälan</t>
        </is>
      </c>
      <c r="C434" t="inlineStr">
        <is>
          <t>Föryngringsavverkning</t>
        </is>
      </c>
      <c r="D434" s="1" t="n">
        <v>45996</v>
      </c>
      <c r="E434" s="1" t="n">
        <v>46313</v>
      </c>
      <c r="F434" t="inlineStr">
        <is>
          <t>UPPSALA LÄN</t>
        </is>
      </c>
      <c r="G434" t="inlineStr">
        <is>
          <t>ÖSTHAMMAR</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60910-2025</t>
        </is>
      </c>
      <c r="B435" t="inlineStr">
        <is>
          <t>avverkningsanmälan</t>
        </is>
      </c>
      <c r="C435" t="inlineStr">
        <is>
          <t>Föryngringsavverkning</t>
        </is>
      </c>
      <c r="D435" s="1" t="n">
        <v>45999</v>
      </c>
      <c r="E435" s="1" t="n">
        <v>46313</v>
      </c>
      <c r="F435" t="inlineStr">
        <is>
          <t>UPPSALA LÄN</t>
        </is>
      </c>
      <c r="G435" t="inlineStr">
        <is>
          <t>ÖSTHAMMAR</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61838-2025</t>
        </is>
      </c>
      <c r="B436" t="inlineStr">
        <is>
          <t>avverkningsanmälan</t>
        </is>
      </c>
      <c r="C436" t="inlineStr">
        <is>
          <t>Föryngringsavverkning</t>
        </is>
      </c>
      <c r="D436" s="1" t="n">
        <v>46003</v>
      </c>
      <c r="E436" s="1" t="n">
        <v>46313</v>
      </c>
      <c r="F436" t="inlineStr">
        <is>
          <t>UPPSALA LÄN</t>
        </is>
      </c>
      <c r="G436" t="inlineStr">
        <is>
          <t>ÖSTHAMMAR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62745-2025</t>
        </is>
      </c>
      <c r="B437" t="inlineStr">
        <is>
          <t>avverkningsanmälan</t>
        </is>
      </c>
      <c r="C437" t="inlineStr">
        <is>
          <t>Föryngringsavverkning</t>
        </is>
      </c>
      <c r="D437" s="1" t="n">
        <v>46008</v>
      </c>
      <c r="E437" s="1" t="n">
        <v>46313</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33973-2025</t>
        </is>
      </c>
      <c r="B438" t="inlineStr">
        <is>
          <t>avverkningsanmälan</t>
        </is>
      </c>
      <c r="C438" t="inlineStr">
        <is>
          <t>Föryngringsavverkning</t>
        </is>
      </c>
      <c r="D438" s="1" t="n">
        <v>45842</v>
      </c>
      <c r="E438" s="1" t="n">
        <v>46313</v>
      </c>
      <c r="F438" t="inlineStr">
        <is>
          <t>UPPSALA LÄN</t>
        </is>
      </c>
      <c r="G438" t="inlineStr">
        <is>
          <t>ÖSTHAMMAR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32778-2023</t>
        </is>
      </c>
      <c r="B439" t="inlineStr">
        <is>
          <t>avverkningsanmälan</t>
        </is>
      </c>
      <c r="C439" t="inlineStr">
        <is>
          <t>Föryngringsavverkning</t>
        </is>
      </c>
      <c r="D439" s="1" t="n">
        <v>45123</v>
      </c>
      <c r="E439" s="1" t="n">
        <v>46313</v>
      </c>
      <c r="F439" t="inlineStr">
        <is>
          <t>UPPSALA LÄN</t>
        </is>
      </c>
      <c r="G439" t="inlineStr">
        <is>
          <t>ÖSTHAMMAR</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24367-2022</t>
        </is>
      </c>
      <c r="B440" t="inlineStr">
        <is>
          <t>avverkningsanmälan</t>
        </is>
      </c>
      <c r="C440" t="inlineStr">
        <is>
          <t>Föryngringsavverkning</t>
        </is>
      </c>
      <c r="D440" s="1" t="n">
        <v>44726</v>
      </c>
      <c r="E440" s="1" t="n">
        <v>46313</v>
      </c>
      <c r="F440" t="inlineStr">
        <is>
          <t>UPPSALA LÄN</t>
        </is>
      </c>
      <c r="G440" t="inlineStr">
        <is>
          <t>ÖSTHAMMAR</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5933-2022</t>
        </is>
      </c>
      <c r="B441" t="inlineStr">
        <is>
          <t>avverkningsanmälan</t>
        </is>
      </c>
      <c r="C441" t="inlineStr">
        <is>
          <t>Föryngringsavverkning</t>
        </is>
      </c>
      <c r="D441" s="1" t="n">
        <v>44598</v>
      </c>
      <c r="E441" s="1" t="n">
        <v>46313</v>
      </c>
      <c r="F441" t="inlineStr">
        <is>
          <t>UPPSALA LÄN</t>
        </is>
      </c>
      <c r="G441" t="inlineStr">
        <is>
          <t>ÖSTHAMMAR</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16531-2025</t>
        </is>
      </c>
      <c r="B442" t="inlineStr">
        <is>
          <t>avverkningsanmälan</t>
        </is>
      </c>
      <c r="C442" t="inlineStr">
        <is>
          <t>Avverkning för annat ändamål</t>
        </is>
      </c>
      <c r="D442" s="1" t="n">
        <v>45751</v>
      </c>
      <c r="E442" s="1" t="n">
        <v>46313</v>
      </c>
      <c r="F442" t="inlineStr">
        <is>
          <t>UPPSALA LÄN</t>
        </is>
      </c>
      <c r="G442" t="inlineStr">
        <is>
          <t>ÖSTHAMMAR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18401-2025</t>
        </is>
      </c>
      <c r="B443" t="inlineStr">
        <is>
          <t>avverkningsanmälan</t>
        </is>
      </c>
      <c r="C443" t="inlineStr">
        <is>
          <t>Föryngringsavverkning</t>
        </is>
      </c>
      <c r="D443" s="1" t="n">
        <v>45762</v>
      </c>
      <c r="E443" s="1" t="n">
        <v>46313</v>
      </c>
      <c r="F443" t="inlineStr">
        <is>
          <t>UPPSALA LÄN</t>
        </is>
      </c>
      <c r="G443" t="inlineStr">
        <is>
          <t>ÖSTHAMMAR</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64774-2023</t>
        </is>
      </c>
      <c r="B444" t="inlineStr">
        <is>
          <t>avverkningsanmälan</t>
        </is>
      </c>
      <c r="C444" t="inlineStr">
        <is>
          <t>Avverkning för annat ändamål</t>
        </is>
      </c>
      <c r="D444" s="1" t="n">
        <v>45282</v>
      </c>
      <c r="E444" s="1" t="n">
        <v>46313</v>
      </c>
      <c r="F444" t="inlineStr">
        <is>
          <t>UPPSALA LÄN</t>
        </is>
      </c>
      <c r="G444" t="inlineStr">
        <is>
          <t>ÖSTHAMMAR</t>
        </is>
      </c>
      <c r="H444" t="inlineStr">
        <is>
          <t>Övriga Aktiebolag</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29873-2023</t>
        </is>
      </c>
      <c r="B445" t="inlineStr">
        <is>
          <t>avverkningsanmälan</t>
        </is>
      </c>
      <c r="C445" t="inlineStr">
        <is>
          <t>Föryngringsavverkning</t>
        </is>
      </c>
      <c r="D445" s="1" t="n">
        <v>45107</v>
      </c>
      <c r="E445" s="1" t="n">
        <v>46313</v>
      </c>
      <c r="F445" t="inlineStr">
        <is>
          <t>UPPSALA LÄN</t>
        </is>
      </c>
      <c r="G445" t="inlineStr">
        <is>
          <t>ÖSTHAMMAR</t>
        </is>
      </c>
      <c r="H445" t="inlineStr">
        <is>
          <t>Naturvårdsverket</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61062-2023</t>
        </is>
      </c>
      <c r="B446" t="inlineStr">
        <is>
          <t>avverkningsanmälan</t>
        </is>
      </c>
      <c r="C446" t="inlineStr">
        <is>
          <t>Föryngringsavverkning</t>
        </is>
      </c>
      <c r="D446" s="1" t="n">
        <v>45259</v>
      </c>
      <c r="E446" s="1" t="n">
        <v>46313</v>
      </c>
      <c r="F446" t="inlineStr">
        <is>
          <t>UPPSALA LÄN</t>
        </is>
      </c>
      <c r="G446" t="inlineStr">
        <is>
          <t>ÖSTHAMMAR</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25377-2026</t>
        </is>
      </c>
      <c r="B447" t="inlineStr">
        <is>
          <t>avverkningsanmälan</t>
        </is>
      </c>
      <c r="C447" t="inlineStr">
        <is>
          <t>Föryngringsavverkning</t>
        </is>
      </c>
      <c r="D447" s="1" t="n">
        <v>46176</v>
      </c>
      <c r="E447" s="1" t="n">
        <v>46313</v>
      </c>
      <c r="F447" t="inlineStr">
        <is>
          <t>UPPSALA LÄN</t>
        </is>
      </c>
      <c r="G447" t="inlineStr">
        <is>
          <t>ÖSTHAMMAR</t>
        </is>
      </c>
      <c r="I447" t="n">
        <v>14.3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25394-2026</t>
        </is>
      </c>
      <c r="B448" t="inlineStr">
        <is>
          <t>avverkningsanmälan</t>
        </is>
      </c>
      <c r="C448" t="inlineStr">
        <is>
          <t>Föryngringsavverkning</t>
        </is>
      </c>
      <c r="D448" s="1" t="n">
        <v>46176</v>
      </c>
      <c r="E448" s="1" t="n">
        <v>46313</v>
      </c>
      <c r="F448" t="inlineStr">
        <is>
          <t>UPPSALA LÄN</t>
        </is>
      </c>
      <c r="G448" t="inlineStr">
        <is>
          <t>ÖSTHAMMAR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55100-2024</t>
        </is>
      </c>
      <c r="B449" t="inlineStr">
        <is>
          <t>avverkningsanmälan</t>
        </is>
      </c>
      <c r="C449" t="inlineStr">
        <is>
          <t>Föryngringsavverkning</t>
        </is>
      </c>
      <c r="D449" s="1" t="n">
        <v>45621</v>
      </c>
      <c r="E449" s="1" t="n">
        <v>46313</v>
      </c>
      <c r="F449" t="inlineStr">
        <is>
          <t>UPPSALA LÄN</t>
        </is>
      </c>
      <c r="G449" t="inlineStr">
        <is>
          <t>ÖSTHAMMAR</t>
        </is>
      </c>
      <c r="H449" t="inlineStr">
        <is>
          <t>Sveaskog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31669-2022</t>
        </is>
      </c>
      <c r="B450" t="inlineStr">
        <is>
          <t>avverkningsanmälan</t>
        </is>
      </c>
      <c r="C450" t="inlineStr">
        <is>
          <t>Föryngringsavverkning</t>
        </is>
      </c>
      <c r="D450" s="1" t="n">
        <v>44775</v>
      </c>
      <c r="E450" s="1" t="n">
        <v>46313</v>
      </c>
      <c r="F450" t="inlineStr">
        <is>
          <t>UPPSALA LÄN</t>
        </is>
      </c>
      <c r="G450" t="inlineStr">
        <is>
          <t>ÖSTHAMMAR</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25366-2026</t>
        </is>
      </c>
      <c r="B451" t="inlineStr">
        <is>
          <t>avverkningsanmälan</t>
        </is>
      </c>
      <c r="C451" t="inlineStr">
        <is>
          <t>Föryngringsavverkning</t>
        </is>
      </c>
      <c r="D451" s="1" t="n">
        <v>46176</v>
      </c>
      <c r="E451" s="1" t="n">
        <v>46313</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67151-2021</t>
        </is>
      </c>
      <c r="B452" t="inlineStr">
        <is>
          <t>avverkningsanmälan</t>
        </is>
      </c>
      <c r="C452" t="inlineStr">
        <is>
          <t>Föryngringsavverkning</t>
        </is>
      </c>
      <c r="D452" s="1" t="n">
        <v>44523</v>
      </c>
      <c r="E452" s="1" t="n">
        <v>46313</v>
      </c>
      <c r="F452" t="inlineStr">
        <is>
          <t>UPPSALA LÄN</t>
        </is>
      </c>
      <c r="G452" t="inlineStr">
        <is>
          <t>ÖSTHAMMAR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25398-2026</t>
        </is>
      </c>
      <c r="B453" t="inlineStr">
        <is>
          <t>avverkningsanmälan</t>
        </is>
      </c>
      <c r="C453" t="inlineStr">
        <is>
          <t>Föryngringsavverkning</t>
        </is>
      </c>
      <c r="D453" s="1" t="n">
        <v>46176</v>
      </c>
      <c r="E453" s="1" t="n">
        <v>46313</v>
      </c>
      <c r="F453" t="inlineStr">
        <is>
          <t>UPPSALA LÄN</t>
        </is>
      </c>
      <c r="G453" t="inlineStr">
        <is>
          <t>ÖSTHAMMAR</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25381-2026</t>
        </is>
      </c>
      <c r="B454" t="inlineStr">
        <is>
          <t>avverkningsanmälan</t>
        </is>
      </c>
      <c r="C454" t="inlineStr">
        <is>
          <t>Föryngringsavverkning</t>
        </is>
      </c>
      <c r="D454" s="1" t="n">
        <v>46176</v>
      </c>
      <c r="E454" s="1" t="n">
        <v>46313</v>
      </c>
      <c r="F454" t="inlineStr">
        <is>
          <t>UPPSALA LÄN</t>
        </is>
      </c>
      <c r="G454" t="inlineStr">
        <is>
          <t>ÖSTHAMMAR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25396-2026</t>
        </is>
      </c>
      <c r="B455" t="inlineStr">
        <is>
          <t>avverkningsanmälan</t>
        </is>
      </c>
      <c r="C455" t="inlineStr">
        <is>
          <t>Föryngringsavverkning</t>
        </is>
      </c>
      <c r="D455" s="1" t="n">
        <v>46176</v>
      </c>
      <c r="E455" s="1" t="n">
        <v>46313</v>
      </c>
      <c r="F455" t="inlineStr">
        <is>
          <t>UPPSALA LÄN</t>
        </is>
      </c>
      <c r="G455" t="inlineStr">
        <is>
          <t>ÖSTHAMMAR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14269-2025</t>
        </is>
      </c>
      <c r="B456" t="inlineStr">
        <is>
          <t>avverkningsanmälan</t>
        </is>
      </c>
      <c r="C456" t="inlineStr">
        <is>
          <t>Föryngringsavverkning</t>
        </is>
      </c>
      <c r="D456" s="1" t="n">
        <v>45740</v>
      </c>
      <c r="E456" s="1" t="n">
        <v>46313</v>
      </c>
      <c r="F456" t="inlineStr">
        <is>
          <t>UPPSALA LÄN</t>
        </is>
      </c>
      <c r="G456" t="inlineStr">
        <is>
          <t>ÖSTHAMMAR</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3095-2026</t>
        </is>
      </c>
      <c r="B457" t="inlineStr">
        <is>
          <t>avverkningsanmälan</t>
        </is>
      </c>
      <c r="C457" t="inlineStr">
        <is>
          <t>Föryngringsavverkning</t>
        </is>
      </c>
      <c r="D457" s="1" t="n">
        <v>46040</v>
      </c>
      <c r="E457" s="1" t="n">
        <v>46313</v>
      </c>
      <c r="F457" t="inlineStr">
        <is>
          <t>UPPSALA LÄN</t>
        </is>
      </c>
      <c r="G457" t="inlineStr">
        <is>
          <t>ÖSTHAMMAR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9542-2023</t>
        </is>
      </c>
      <c r="B458" t="inlineStr">
        <is>
          <t>avverkningsanmälan</t>
        </is>
      </c>
      <c r="C458" t="inlineStr">
        <is>
          <t>Föryngringsavverkning</t>
        </is>
      </c>
      <c r="D458" s="1" t="n">
        <v>44981</v>
      </c>
      <c r="E458" s="1" t="n">
        <v>46313</v>
      </c>
      <c r="F458" t="inlineStr">
        <is>
          <t>UPPSALA LÄN</t>
        </is>
      </c>
      <c r="G458" t="inlineStr">
        <is>
          <t>ÖSTHAMMAR</t>
        </is>
      </c>
      <c r="H458" t="inlineStr">
        <is>
          <t>Bergvik skog öst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36343-2022</t>
        </is>
      </c>
      <c r="B459" t="inlineStr">
        <is>
          <t>avverkningsanmälan</t>
        </is>
      </c>
      <c r="C459" t="inlineStr">
        <is>
          <t>Föryngringsavverkning</t>
        </is>
      </c>
      <c r="D459" s="1" t="n">
        <v>44803</v>
      </c>
      <c r="E459" s="1" t="n">
        <v>46313</v>
      </c>
      <c r="F459" t="inlineStr">
        <is>
          <t>UPPSALA LÄN</t>
        </is>
      </c>
      <c r="G459" t="inlineStr">
        <is>
          <t>ÖSTHAMMAR</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3668-2026</t>
        </is>
      </c>
      <c r="B460" t="inlineStr">
        <is>
          <t>avverkningsanmälan</t>
        </is>
      </c>
      <c r="C460" t="inlineStr">
        <is>
          <t>Föryngringsavverkning</t>
        </is>
      </c>
      <c r="D460" s="1" t="n">
        <v>46043</v>
      </c>
      <c r="E460" s="1" t="n">
        <v>46313</v>
      </c>
      <c r="F460" t="inlineStr">
        <is>
          <t>UPPSALA LÄN</t>
        </is>
      </c>
      <c r="G460" t="inlineStr">
        <is>
          <t>ÖSTHAMMAR</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3926-2026</t>
        </is>
      </c>
      <c r="B461" t="inlineStr">
        <is>
          <t>avverkningsanmälan</t>
        </is>
      </c>
      <c r="C461" t="inlineStr">
        <is>
          <t>Föryngringsavverkning</t>
        </is>
      </c>
      <c r="D461" s="1" t="n">
        <v>46043</v>
      </c>
      <c r="E461" s="1" t="n">
        <v>46313</v>
      </c>
      <c r="F461" t="inlineStr">
        <is>
          <t>UPPSALA LÄN</t>
        </is>
      </c>
      <c r="G461" t="inlineStr">
        <is>
          <t>ÖSTHAMMAR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5855-2022</t>
        </is>
      </c>
      <c r="B462" t="inlineStr">
        <is>
          <t>avverkningsanmälan</t>
        </is>
      </c>
      <c r="C462" t="inlineStr">
        <is>
          <t>Föryngringsavverkning</t>
        </is>
      </c>
      <c r="D462" s="1" t="n">
        <v>44596</v>
      </c>
      <c r="E462" s="1" t="n">
        <v>46313</v>
      </c>
      <c r="F462" t="inlineStr">
        <is>
          <t>UPPSALA LÄN</t>
        </is>
      </c>
      <c r="G462" t="inlineStr">
        <is>
          <t>ÖSTHAMMAR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4570-2026</t>
        </is>
      </c>
      <c r="B463" t="inlineStr">
        <is>
          <t>avverkningsanmälan</t>
        </is>
      </c>
      <c r="C463" t="inlineStr">
        <is>
          <t>Föryngringsavverkning</t>
        </is>
      </c>
      <c r="D463" s="1" t="n">
        <v>46048</v>
      </c>
      <c r="E463" s="1" t="n">
        <v>46313</v>
      </c>
      <c r="F463" t="inlineStr">
        <is>
          <t>UPPSALA LÄN</t>
        </is>
      </c>
      <c r="G463" t="inlineStr">
        <is>
          <t>ÖSTHAMMAR</t>
        </is>
      </c>
      <c r="H463" t="inlineStr">
        <is>
          <t>Allmännings- och besparingsskogar</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26162-2026</t>
        </is>
      </c>
      <c r="B464" t="inlineStr">
        <is>
          <t>avverkningsanmälan</t>
        </is>
      </c>
      <c r="C464" t="inlineStr">
        <is>
          <t>Föryngringsavverkning</t>
        </is>
      </c>
      <c r="D464" s="1" t="n">
        <v>46181</v>
      </c>
      <c r="E464" s="1" t="n">
        <v>46313</v>
      </c>
      <c r="F464" t="inlineStr">
        <is>
          <t>UPPSALA LÄN</t>
        </is>
      </c>
      <c r="G464" t="inlineStr">
        <is>
          <t>ÖSTHAMMAR</t>
        </is>
      </c>
      <c r="H464" t="inlineStr">
        <is>
          <t>Bergvik skog öst AB</t>
        </is>
      </c>
      <c r="I464" t="n">
        <v>8.300000000000001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5469-2026</t>
        </is>
      </c>
      <c r="B465" t="inlineStr">
        <is>
          <t>avverkningsanmälan</t>
        </is>
      </c>
      <c r="C465" t="inlineStr">
        <is>
          <t>Avverkning för annat ändamål</t>
        </is>
      </c>
      <c r="D465" s="1" t="n">
        <v>46050</v>
      </c>
      <c r="E465" s="1" t="n">
        <v>46313</v>
      </c>
      <c r="F465" t="inlineStr">
        <is>
          <t>UPPSALA LÄN</t>
        </is>
      </c>
      <c r="G465" t="inlineStr">
        <is>
          <t>ÖSTHAMMAR</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24493-2023</t>
        </is>
      </c>
      <c r="B466" t="inlineStr">
        <is>
          <t>avverkningsanmälan</t>
        </is>
      </c>
      <c r="C466" t="inlineStr">
        <is>
          <t>Föryngringsavverkning</t>
        </is>
      </c>
      <c r="D466" s="1" t="n">
        <v>45082</v>
      </c>
      <c r="E466" s="1" t="n">
        <v>46313</v>
      </c>
      <c r="F466" t="inlineStr">
        <is>
          <t>UPPSALA LÄN</t>
        </is>
      </c>
      <c r="G466" t="inlineStr">
        <is>
          <t>ÖSTHAMMAR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7560-2023</t>
        </is>
      </c>
      <c r="B467" t="inlineStr">
        <is>
          <t>avverkningsanmälan</t>
        </is>
      </c>
      <c r="C467" t="inlineStr">
        <is>
          <t>Föryngringsavverkning</t>
        </is>
      </c>
      <c r="D467" s="1" t="n">
        <v>44972</v>
      </c>
      <c r="E467" s="1" t="n">
        <v>46313</v>
      </c>
      <c r="F467" t="inlineStr">
        <is>
          <t>UPPSALA LÄN</t>
        </is>
      </c>
      <c r="G467" t="inlineStr">
        <is>
          <t>ÖSTHAMMAR</t>
        </is>
      </c>
      <c r="H467" t="inlineStr">
        <is>
          <t>Bergvik skog öst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26305-2026</t>
        </is>
      </c>
      <c r="B468" t="inlineStr">
        <is>
          <t>avverkningsanmälan</t>
        </is>
      </c>
      <c r="C468" t="inlineStr">
        <is>
          <t>Föryngringsavverkning</t>
        </is>
      </c>
      <c r="D468" s="1" t="n">
        <v>46182</v>
      </c>
      <c r="E468" s="1" t="n">
        <v>46313</v>
      </c>
      <c r="F468" t="inlineStr">
        <is>
          <t>UPPSALA LÄN</t>
        </is>
      </c>
      <c r="G468" t="inlineStr">
        <is>
          <t>ÖSTHAMMAR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19040-2023</t>
        </is>
      </c>
      <c r="B469" t="inlineStr">
        <is>
          <t>avverkningsanmälan</t>
        </is>
      </c>
      <c r="C469" t="inlineStr">
        <is>
          <t>Föryngringsavverkning</t>
        </is>
      </c>
      <c r="D469" s="1" t="n">
        <v>45047</v>
      </c>
      <c r="E469" s="1" t="n">
        <v>46313</v>
      </c>
      <c r="F469" t="inlineStr">
        <is>
          <t>UPPSALA LÄN</t>
        </is>
      </c>
      <c r="G469" t="inlineStr">
        <is>
          <t>ÖSTHAMMAR</t>
        </is>
      </c>
      <c r="H469" t="inlineStr">
        <is>
          <t>Bergvik skog öst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4004-2023</t>
        </is>
      </c>
      <c r="B470" t="inlineStr">
        <is>
          <t>avverkningsanmälan</t>
        </is>
      </c>
      <c r="C470" t="inlineStr">
        <is>
          <t>Föryngringsavverkning</t>
        </is>
      </c>
      <c r="D470" s="1" t="n">
        <v>44952</v>
      </c>
      <c r="E470" s="1" t="n">
        <v>46313</v>
      </c>
      <c r="F470" t="inlineStr">
        <is>
          <t>UPPSALA LÄN</t>
        </is>
      </c>
      <c r="G470" t="inlineStr">
        <is>
          <t>ÖSTHAMMAR</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31549-2022</t>
        </is>
      </c>
      <c r="B471" t="inlineStr">
        <is>
          <t>avverkningsanmälan</t>
        </is>
      </c>
      <c r="C471" t="inlineStr">
        <is>
          <t>Föryngringsavverkning</t>
        </is>
      </c>
      <c r="D471" s="1" t="n">
        <v>44775</v>
      </c>
      <c r="E471" s="1" t="n">
        <v>46313</v>
      </c>
      <c r="F471" t="inlineStr">
        <is>
          <t>UPPSALA LÄN</t>
        </is>
      </c>
      <c r="G471" t="inlineStr">
        <is>
          <t>ÖSTHAMMAR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26524-2026</t>
        </is>
      </c>
      <c r="B472" t="inlineStr">
        <is>
          <t>avverkningsanmälan</t>
        </is>
      </c>
      <c r="C472" t="inlineStr">
        <is>
          <t>Föryngringsavverkning</t>
        </is>
      </c>
      <c r="D472" s="1" t="n">
        <v>46183</v>
      </c>
      <c r="E472" s="1" t="n">
        <v>46313</v>
      </c>
      <c r="F472" t="inlineStr">
        <is>
          <t>UPPSALA LÄN</t>
        </is>
      </c>
      <c r="G472" t="inlineStr">
        <is>
          <t>ÖSTHAMMAR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26581-2026</t>
        </is>
      </c>
      <c r="B473" t="inlineStr">
        <is>
          <t>avverkningsanmälan</t>
        </is>
      </c>
      <c r="C473" t="inlineStr">
        <is>
          <t>Föryngringsavverkning</t>
        </is>
      </c>
      <c r="D473" s="1" t="n">
        <v>46183</v>
      </c>
      <c r="E473" s="1" t="n">
        <v>46313</v>
      </c>
      <c r="F473" t="inlineStr">
        <is>
          <t>UPPSALA LÄN</t>
        </is>
      </c>
      <c r="G473" t="inlineStr">
        <is>
          <t>ÖSTHAMMAR</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8530-2026</t>
        </is>
      </c>
      <c r="B474" t="inlineStr">
        <is>
          <t>avverkningsanmälan</t>
        </is>
      </c>
      <c r="C474" t="inlineStr">
        <is>
          <t>Föryngringsavverkning</t>
        </is>
      </c>
      <c r="D474" s="1" t="n">
        <v>46065</v>
      </c>
      <c r="E474" s="1" t="n">
        <v>46313</v>
      </c>
      <c r="F474" t="inlineStr">
        <is>
          <t>UPPSALA LÄN</t>
        </is>
      </c>
      <c r="G474" t="inlineStr">
        <is>
          <t>ÖSTHAMMAR</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8269-2026</t>
        </is>
      </c>
      <c r="B475" t="inlineStr">
        <is>
          <t>avverkningsanmälan</t>
        </is>
      </c>
      <c r="C475" t="inlineStr">
        <is>
          <t>Föryngringsavverkning</t>
        </is>
      </c>
      <c r="D475" s="1" t="n">
        <v>46064</v>
      </c>
      <c r="E475" s="1" t="n">
        <v>46313</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8291-2026</t>
        </is>
      </c>
      <c r="B476" t="inlineStr">
        <is>
          <t>avverkningsanmälan</t>
        </is>
      </c>
      <c r="C476" t="inlineStr">
        <is>
          <t>Föryngringsavverkning</t>
        </is>
      </c>
      <c r="D476" s="1" t="n">
        <v>46064</v>
      </c>
      <c r="E476" s="1" t="n">
        <v>46313</v>
      </c>
      <c r="F476" t="inlineStr">
        <is>
          <t>UPPSALA LÄN</t>
        </is>
      </c>
      <c r="G476" t="inlineStr">
        <is>
          <t>ÖSTHAMMAR</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8525-2026</t>
        </is>
      </c>
      <c r="B477" t="inlineStr">
        <is>
          <t>avverkningsanmälan</t>
        </is>
      </c>
      <c r="C477" t="inlineStr">
        <is>
          <t>Föryngringsavverkning</t>
        </is>
      </c>
      <c r="D477" s="1" t="n">
        <v>46065</v>
      </c>
      <c r="E477" s="1" t="n">
        <v>46313</v>
      </c>
      <c r="F477" t="inlineStr">
        <is>
          <t>UPPSALA LÄN</t>
        </is>
      </c>
      <c r="G477" t="inlineStr">
        <is>
          <t>ÖSTHAMMAR</t>
        </is>
      </c>
      <c r="H477" t="inlineStr">
        <is>
          <t>Övriga Aktiebolag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26778-2026</t>
        </is>
      </c>
      <c r="B478" t="inlineStr">
        <is>
          <t>avverkningsanmälan</t>
        </is>
      </c>
      <c r="C478" t="inlineStr">
        <is>
          <t>Föryngringsavverkning</t>
        </is>
      </c>
      <c r="D478" s="1" t="n">
        <v>46184</v>
      </c>
      <c r="E478" s="1" t="n">
        <v>46313</v>
      </c>
      <c r="F478" t="inlineStr">
        <is>
          <t>UPPSALA LÄN</t>
        </is>
      </c>
      <c r="G478" t="inlineStr">
        <is>
          <t>ÖSTHAMMAR</t>
        </is>
      </c>
      <c r="I478" t="n">
        <v>12.5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36857-2023</t>
        </is>
      </c>
      <c r="B479" t="inlineStr">
        <is>
          <t>avverkningsanmälan</t>
        </is>
      </c>
      <c r="C479" t="inlineStr">
        <is>
          <t>Föryngringsavverkning</t>
        </is>
      </c>
      <c r="D479" s="1" t="n">
        <v>45154</v>
      </c>
      <c r="E479" s="1" t="n">
        <v>46313</v>
      </c>
      <c r="F479" t="inlineStr">
        <is>
          <t>UPPSALA LÄN</t>
        </is>
      </c>
      <c r="G479" t="inlineStr">
        <is>
          <t>ÖSTHAMMAR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1800-2023</t>
        </is>
      </c>
      <c r="B480" t="inlineStr">
        <is>
          <t>avverkningsanmälan</t>
        </is>
      </c>
      <c r="C480" t="inlineStr">
        <is>
          <t>Föryngringsavverkning</t>
        </is>
      </c>
      <c r="D480" s="1" t="n">
        <v>44938</v>
      </c>
      <c r="E480" s="1" t="n">
        <v>46313</v>
      </c>
      <c r="F480" t="inlineStr">
        <is>
          <t>UPPSALA LÄN</t>
        </is>
      </c>
      <c r="G480" t="inlineStr">
        <is>
          <t>ÖSTHAMMAR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31485-2023</t>
        </is>
      </c>
      <c r="B481" t="inlineStr">
        <is>
          <t>avverkningsanmälan</t>
        </is>
      </c>
      <c r="C481" t="inlineStr">
        <is>
          <t>Föryngringsavverkning</t>
        </is>
      </c>
      <c r="D481" s="1" t="n">
        <v>45114</v>
      </c>
      <c r="E481" s="1" t="n">
        <v>46313</v>
      </c>
      <c r="F481" t="inlineStr">
        <is>
          <t>UPPSALA LÄN</t>
        </is>
      </c>
      <c r="G481" t="inlineStr">
        <is>
          <t>ÖSTHAMMAR</t>
        </is>
      </c>
      <c r="H481" t="inlineStr">
        <is>
          <t>Bergvik skog öst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9664-2026</t>
        </is>
      </c>
      <c r="B482" t="inlineStr">
        <is>
          <t>avverkningsanmälan</t>
        </is>
      </c>
      <c r="C482" t="inlineStr">
        <is>
          <t>Föryngringsavverkning</t>
        </is>
      </c>
      <c r="D482" s="1" t="n">
        <v>46072</v>
      </c>
      <c r="E482" s="1" t="n">
        <v>46313</v>
      </c>
      <c r="F482" t="inlineStr">
        <is>
          <t>UPPSALA LÄN</t>
        </is>
      </c>
      <c r="G482" t="inlineStr">
        <is>
          <t>ÖSTHAMMAR</t>
        </is>
      </c>
      <c r="H482" t="inlineStr">
        <is>
          <t>Bergvik skog öst AB</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25897-2023</t>
        </is>
      </c>
      <c r="B483" t="inlineStr">
        <is>
          <t>avverkningsanmälan</t>
        </is>
      </c>
      <c r="C483" t="inlineStr">
        <is>
          <t>Föryngringsavverkning</t>
        </is>
      </c>
      <c r="D483" s="1" t="n">
        <v>45090</v>
      </c>
      <c r="E483" s="1" t="n">
        <v>46313</v>
      </c>
      <c r="F483" t="inlineStr">
        <is>
          <t>UPPSALA LÄN</t>
        </is>
      </c>
      <c r="G483" t="inlineStr">
        <is>
          <t>ÖSTHAMMAR</t>
        </is>
      </c>
      <c r="H483" t="inlineStr">
        <is>
          <t>Bergvik skog öst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67848-2021</t>
        </is>
      </c>
      <c r="B484" t="inlineStr">
        <is>
          <t>avverkningsanmälan</t>
        </is>
      </c>
      <c r="C484" t="inlineStr">
        <is>
          <t>Föryngringsavverkning</t>
        </is>
      </c>
      <c r="D484" s="1" t="n">
        <v>44525</v>
      </c>
      <c r="E484" s="1" t="n">
        <v>46313</v>
      </c>
      <c r="F484" t="inlineStr">
        <is>
          <t>UPPSALA LÄN</t>
        </is>
      </c>
      <c r="G484" t="inlineStr">
        <is>
          <t>ÖSTHAMMAR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64811-2021</t>
        </is>
      </c>
      <c r="B485" t="inlineStr">
        <is>
          <t>avverkningsanmälan</t>
        </is>
      </c>
      <c r="C485" t="inlineStr">
        <is>
          <t>Föryngringsavverkning</t>
        </is>
      </c>
      <c r="D485" s="1" t="n">
        <v>44512</v>
      </c>
      <c r="E485" s="1" t="n">
        <v>46313</v>
      </c>
      <c r="F485" t="inlineStr">
        <is>
          <t>UPPSALA LÄN</t>
        </is>
      </c>
      <c r="G485" t="inlineStr">
        <is>
          <t>ÖSTHAMMAR</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56382-2022</t>
        </is>
      </c>
      <c r="B486" t="inlineStr">
        <is>
          <t>avverkningsanmälan</t>
        </is>
      </c>
      <c r="C486" t="inlineStr">
        <is>
          <t>Föryngringsavverkning</t>
        </is>
      </c>
      <c r="D486" s="1" t="n">
        <v>44890</v>
      </c>
      <c r="E486" s="1" t="n">
        <v>46313</v>
      </c>
      <c r="F486" t="inlineStr">
        <is>
          <t>UPPSALA LÄN</t>
        </is>
      </c>
      <c r="G486" t="inlineStr">
        <is>
          <t>ÖSTHAMMAR</t>
        </is>
      </c>
      <c r="H486" t="inlineStr">
        <is>
          <t>Allmännings- och besparingsskogar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12261-2026</t>
        </is>
      </c>
      <c r="B487" t="inlineStr">
        <is>
          <t>avverkningsanmälan</t>
        </is>
      </c>
      <c r="C487" t="inlineStr">
        <is>
          <t>Föryngringsavverkning</t>
        </is>
      </c>
      <c r="D487" s="1" t="n">
        <v>46087</v>
      </c>
      <c r="E487" s="1" t="n">
        <v>46313</v>
      </c>
      <c r="F487" t="inlineStr">
        <is>
          <t>UPPSALA LÄN</t>
        </is>
      </c>
      <c r="G487" t="inlineStr">
        <is>
          <t>ÖSTHAMMAR</t>
        </is>
      </c>
      <c r="H487" t="inlineStr">
        <is>
          <t>Övriga Aktiebolag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12262-2026</t>
        </is>
      </c>
      <c r="B488" t="inlineStr">
        <is>
          <t>avverkningsanmälan</t>
        </is>
      </c>
      <c r="C488" t="inlineStr">
        <is>
          <t>Föryngringsavverkning</t>
        </is>
      </c>
      <c r="D488" s="1" t="n">
        <v>46087</v>
      </c>
      <c r="E488" s="1" t="n">
        <v>46313</v>
      </c>
      <c r="F488" t="inlineStr">
        <is>
          <t>UPPSALA LÄN</t>
        </is>
      </c>
      <c r="G488" t="inlineStr">
        <is>
          <t>ÖSTHAMMAR</t>
        </is>
      </c>
      <c r="H488" t="inlineStr">
        <is>
          <t>Övriga Aktiebolag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12263-2026</t>
        </is>
      </c>
      <c r="B489" t="inlineStr">
        <is>
          <t>avverkningsanmälan</t>
        </is>
      </c>
      <c r="C489" t="inlineStr">
        <is>
          <t>Föryngringsavverkning</t>
        </is>
      </c>
      <c r="D489" s="1" t="n">
        <v>46087</v>
      </c>
      <c r="E489" s="1" t="n">
        <v>46313</v>
      </c>
      <c r="F489" t="inlineStr">
        <is>
          <t>UPPSALA LÄN</t>
        </is>
      </c>
      <c r="G489" t="inlineStr">
        <is>
          <t>ÖSTHAMMAR</t>
        </is>
      </c>
      <c r="H489" t="inlineStr">
        <is>
          <t>Övriga Aktiebolag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57043-2022</t>
        </is>
      </c>
      <c r="B490" t="inlineStr">
        <is>
          <t>avverkningsanmälan</t>
        </is>
      </c>
      <c r="C490" t="inlineStr">
        <is>
          <t>Föryngringsavverkning</t>
        </is>
      </c>
      <c r="D490" s="1" t="n">
        <v>44895</v>
      </c>
      <c r="E490" s="1" t="n">
        <v>46313</v>
      </c>
      <c r="F490" t="inlineStr">
        <is>
          <t>UPPSALA LÄN</t>
        </is>
      </c>
      <c r="G490" t="inlineStr">
        <is>
          <t>ÖSTHAMMAR</t>
        </is>
      </c>
      <c r="H490" t="inlineStr">
        <is>
          <t>Bergvik skog öst AB</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59880-2022</t>
        </is>
      </c>
      <c r="B491" t="inlineStr">
        <is>
          <t>avverkningsanmälan</t>
        </is>
      </c>
      <c r="C491" t="inlineStr">
        <is>
          <t>Föryngringsavverkning</t>
        </is>
      </c>
      <c r="D491" s="1" t="n">
        <v>44908</v>
      </c>
      <c r="E491" s="1" t="n">
        <v>46313</v>
      </c>
      <c r="F491" t="inlineStr">
        <is>
          <t>UPPSALA LÄN</t>
        </is>
      </c>
      <c r="G491" t="inlineStr">
        <is>
          <t>ÖSTHAMMAR</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6884-2026</t>
        </is>
      </c>
      <c r="B492" t="inlineStr">
        <is>
          <t>avverkningsanmälan</t>
        </is>
      </c>
      <c r="C492" t="inlineStr">
        <is>
          <t>Föryngringsavverkning</t>
        </is>
      </c>
      <c r="D492" s="1" t="n">
        <v>46057</v>
      </c>
      <c r="E492" s="1" t="n">
        <v>46313</v>
      </c>
      <c r="F492" t="inlineStr">
        <is>
          <t>UPPSALA LÄN</t>
        </is>
      </c>
      <c r="G492" t="inlineStr">
        <is>
          <t>ÖSTHAMMAR</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7944-2023</t>
        </is>
      </c>
      <c r="B493" t="inlineStr">
        <is>
          <t>avverkningsanmälan</t>
        </is>
      </c>
      <c r="C493" t="inlineStr">
        <is>
          <t>Föryngringsavverkning</t>
        </is>
      </c>
      <c r="D493" s="1" t="n">
        <v>44973</v>
      </c>
      <c r="E493" s="1" t="n">
        <v>46313</v>
      </c>
      <c r="F493" t="inlineStr">
        <is>
          <t>UPPSALA LÄN</t>
        </is>
      </c>
      <c r="G493" t="inlineStr">
        <is>
          <t>ÖSTHAMMAR</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7216-2025</t>
        </is>
      </c>
      <c r="B494" t="inlineStr">
        <is>
          <t>avverkningsanmälan</t>
        </is>
      </c>
      <c r="C494" t="inlineStr">
        <is>
          <t>Föryngringsavverkning</t>
        </is>
      </c>
      <c r="D494" s="1" t="n">
        <v>45702</v>
      </c>
      <c r="E494" s="1" t="n">
        <v>46313</v>
      </c>
      <c r="F494" t="inlineStr">
        <is>
          <t>UPPSALA LÄN</t>
        </is>
      </c>
      <c r="G494" t="inlineStr">
        <is>
          <t>ÖSTHAMMAR</t>
        </is>
      </c>
      <c r="H494" t="inlineStr">
        <is>
          <t>Övriga Aktiebolag</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73965-2021</t>
        </is>
      </c>
      <c r="B495" t="inlineStr">
        <is>
          <t>avverkningsanmälan</t>
        </is>
      </c>
      <c r="C495" t="inlineStr">
        <is>
          <t>Föryngringsavverkning</t>
        </is>
      </c>
      <c r="D495" s="1" t="n">
        <v>44553</v>
      </c>
      <c r="E495" s="1" t="n">
        <v>46313</v>
      </c>
      <c r="F495" t="inlineStr">
        <is>
          <t>UPPSALA LÄN</t>
        </is>
      </c>
      <c r="G495" t="inlineStr">
        <is>
          <t>ÖSTHAMMAR</t>
        </is>
      </c>
      <c r="H495" t="inlineStr">
        <is>
          <t>Bergvik skog öst AB</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3418-2025</t>
        </is>
      </c>
      <c r="B496" t="inlineStr">
        <is>
          <t>avverkningsanmälan</t>
        </is>
      </c>
      <c r="C496" t="inlineStr">
        <is>
          <t>Föryngringsavverkning</t>
        </is>
      </c>
      <c r="D496" s="1" t="n">
        <v>45680</v>
      </c>
      <c r="E496" s="1" t="n">
        <v>46313</v>
      </c>
      <c r="F496" t="inlineStr">
        <is>
          <t>UPPSALA LÄN</t>
        </is>
      </c>
      <c r="G496" t="inlineStr">
        <is>
          <t>ÖSTHAMMAR</t>
        </is>
      </c>
      <c r="H496" t="inlineStr">
        <is>
          <t>Bergvik skog väst AB</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14007-2026</t>
        </is>
      </c>
      <c r="B497" t="inlineStr">
        <is>
          <t>avverkningsanmälan</t>
        </is>
      </c>
      <c r="C497" t="inlineStr">
        <is>
          <t>Föryngringsavverkning</t>
        </is>
      </c>
      <c r="D497" s="1" t="n">
        <v>46098</v>
      </c>
      <c r="E497" s="1" t="n">
        <v>46313</v>
      </c>
      <c r="F497" t="inlineStr">
        <is>
          <t>UPPSALA LÄN</t>
        </is>
      </c>
      <c r="G497" t="inlineStr">
        <is>
          <t>ÖSTHAMMAR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52661-2022</t>
        </is>
      </c>
      <c r="B498" t="inlineStr">
        <is>
          <t>avverkningsanmälan</t>
        </is>
      </c>
      <c r="C498" t="inlineStr">
        <is>
          <t>Föryngringsavverkning</t>
        </is>
      </c>
      <c r="D498" s="1" t="n">
        <v>44874</v>
      </c>
      <c r="E498" s="1" t="n">
        <v>46313</v>
      </c>
      <c r="F498" t="inlineStr">
        <is>
          <t>UPPSALA LÄN</t>
        </is>
      </c>
      <c r="G498" t="inlineStr">
        <is>
          <t>ÖSTHAMMAR</t>
        </is>
      </c>
      <c r="H498" t="inlineStr">
        <is>
          <t>Bergvik skog öst AB</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28385-2026</t>
        </is>
      </c>
      <c r="B499" t="inlineStr">
        <is>
          <t>avverkningsanmälan</t>
        </is>
      </c>
      <c r="C499" t="inlineStr">
        <is>
          <t>Föryngringsavverkning</t>
        </is>
      </c>
      <c r="D499" s="1" t="n">
        <v>46196</v>
      </c>
      <c r="E499" s="1" t="n">
        <v>46313</v>
      </c>
      <c r="F499" t="inlineStr">
        <is>
          <t>UPPSALA LÄN</t>
        </is>
      </c>
      <c r="G499" t="inlineStr">
        <is>
          <t>ÖSTHAMMAR</t>
        </is>
      </c>
      <c r="H499" t="inlineStr">
        <is>
          <t>Bergvik skog öst AB</t>
        </is>
      </c>
      <c r="I499" t="n">
        <v>18.6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28021-2026</t>
        </is>
      </c>
      <c r="B500" t="inlineStr">
        <is>
          <t>avverkningsanmälan</t>
        </is>
      </c>
      <c r="C500" t="inlineStr">
        <is>
          <t>Föryngringsavverkning</t>
        </is>
      </c>
      <c r="D500" s="1" t="n">
        <v>46195</v>
      </c>
      <c r="E500" s="1" t="n">
        <v>46313</v>
      </c>
      <c r="F500" t="inlineStr">
        <is>
          <t>UPPSALA LÄN</t>
        </is>
      </c>
      <c r="G500" t="inlineStr">
        <is>
          <t>ÖSTHAMMAR</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65028-2021</t>
        </is>
      </c>
      <c r="B501" t="inlineStr">
        <is>
          <t>avverkningsanmälan</t>
        </is>
      </c>
      <c r="C501" t="inlineStr">
        <is>
          <t>Avverkning för att bevara och utveckla /försöksver</t>
        </is>
      </c>
      <c r="D501" s="1" t="n">
        <v>44515</v>
      </c>
      <c r="E501" s="1" t="n">
        <v>46313</v>
      </c>
      <c r="F501" t="inlineStr">
        <is>
          <t>UPPSALA LÄN</t>
        </is>
      </c>
      <c r="G501" t="inlineStr">
        <is>
          <t>ÖSTHAMMAR</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40547-2023</t>
        </is>
      </c>
      <c r="B502" t="inlineStr">
        <is>
          <t>avverkningsanmälan</t>
        </is>
      </c>
      <c r="C502" t="inlineStr">
        <is>
          <t>Föryngringsavverkning</t>
        </is>
      </c>
      <c r="D502" s="1" t="n">
        <v>45170</v>
      </c>
      <c r="E502" s="1" t="n">
        <v>46313</v>
      </c>
      <c r="F502" t="inlineStr">
        <is>
          <t>UPPSALA LÄN</t>
        </is>
      </c>
      <c r="G502" t="inlineStr">
        <is>
          <t>ÖSTHAMMAR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15006-2026</t>
        </is>
      </c>
      <c r="B503" t="inlineStr">
        <is>
          <t>avverkningsanmälan</t>
        </is>
      </c>
      <c r="C503" t="inlineStr">
        <is>
          <t>Föryngringsavverkning</t>
        </is>
      </c>
      <c r="D503" s="1" t="n">
        <v>46104</v>
      </c>
      <c r="E503" s="1" t="n">
        <v>46313</v>
      </c>
      <c r="F503" t="inlineStr">
        <is>
          <t>UPPSALA LÄN</t>
        </is>
      </c>
      <c r="G503" t="inlineStr">
        <is>
          <t>ÖSTHAMMAR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15478-2026</t>
        </is>
      </c>
      <c r="B504" t="inlineStr">
        <is>
          <t>avverkningsanmälan</t>
        </is>
      </c>
      <c r="C504" t="inlineStr">
        <is>
          <t>Föryngringsavverkning</t>
        </is>
      </c>
      <c r="D504" s="1" t="n">
        <v>46106</v>
      </c>
      <c r="E504" s="1" t="n">
        <v>46313</v>
      </c>
      <c r="F504" t="inlineStr">
        <is>
          <t>UPPSALA LÄN</t>
        </is>
      </c>
      <c r="G504" t="inlineStr">
        <is>
          <t>ÖSTHAMMAR</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14505-2023</t>
        </is>
      </c>
      <c r="B505" t="inlineStr">
        <is>
          <t>avverkningsanmälan</t>
        </is>
      </c>
      <c r="C505" t="inlineStr">
        <is>
          <t>Föryngringsavverkning</t>
        </is>
      </c>
      <c r="D505" s="1" t="n">
        <v>45012</v>
      </c>
      <c r="E505" s="1" t="n">
        <v>46313</v>
      </c>
      <c r="F505" t="inlineStr">
        <is>
          <t>UPPSALA LÄN</t>
        </is>
      </c>
      <c r="G505" t="inlineStr">
        <is>
          <t>ÖSTHAMMAR</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16038-2026</t>
        </is>
      </c>
      <c r="B506" t="inlineStr">
        <is>
          <t>avverkningsanmälan</t>
        </is>
      </c>
      <c r="C506" t="inlineStr">
        <is>
          <t>Föryngringsavverkning</t>
        </is>
      </c>
      <c r="D506" s="1" t="n">
        <v>46108</v>
      </c>
      <c r="E506" s="1" t="n">
        <v>46313</v>
      </c>
      <c r="F506" t="inlineStr">
        <is>
          <t>UPPSALA LÄN</t>
        </is>
      </c>
      <c r="G506" t="inlineStr">
        <is>
          <t>ÖSTHAMMAR</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47341-2023</t>
        </is>
      </c>
      <c r="B507" t="inlineStr">
        <is>
          <t>avverkningsanmälan</t>
        </is>
      </c>
      <c r="C507" t="inlineStr">
        <is>
          <t>Föryngringsavverkning</t>
        </is>
      </c>
      <c r="D507" s="1" t="n">
        <v>45202</v>
      </c>
      <c r="E507" s="1" t="n">
        <v>46313</v>
      </c>
      <c r="F507" t="inlineStr">
        <is>
          <t>UPPSALA LÄN</t>
        </is>
      </c>
      <c r="G507" t="inlineStr">
        <is>
          <t>ÖSTHAMMAR</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3732-2022</t>
        </is>
      </c>
      <c r="B508" t="inlineStr">
        <is>
          <t>avverkningsanmälan</t>
        </is>
      </c>
      <c r="C508" t="inlineStr">
        <is>
          <t>Föryngringsavverkning</t>
        </is>
      </c>
      <c r="D508" s="1" t="n">
        <v>44586</v>
      </c>
      <c r="E508" s="1" t="n">
        <v>46313</v>
      </c>
      <c r="F508" t="inlineStr">
        <is>
          <t>UPPSALA LÄN</t>
        </is>
      </c>
      <c r="G508" t="inlineStr">
        <is>
          <t>ÖSTHAMMAR</t>
        </is>
      </c>
      <c r="H508" t="inlineStr">
        <is>
          <t>Bergvik skog öst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16042-2026</t>
        </is>
      </c>
      <c r="B509" t="inlineStr">
        <is>
          <t>avverkningsanmälan</t>
        </is>
      </c>
      <c r="C509" t="inlineStr">
        <is>
          <t>Föryngringsavverkning</t>
        </is>
      </c>
      <c r="D509" s="1" t="n">
        <v>46108</v>
      </c>
      <c r="E509" s="1" t="n">
        <v>46313</v>
      </c>
      <c r="F509" t="inlineStr">
        <is>
          <t>UPPSALA LÄN</t>
        </is>
      </c>
      <c r="G509" t="inlineStr">
        <is>
          <t>ÖSTHAMMAR</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16522-2026</t>
        </is>
      </c>
      <c r="B510" t="inlineStr">
        <is>
          <t>avverkningsanmälan</t>
        </is>
      </c>
      <c r="C510" t="inlineStr">
        <is>
          <t>Föryngringsavverkning</t>
        </is>
      </c>
      <c r="D510" s="1" t="n">
        <v>46112</v>
      </c>
      <c r="E510" s="1" t="n">
        <v>46313</v>
      </c>
      <c r="F510" t="inlineStr">
        <is>
          <t>UPPSALA LÄN</t>
        </is>
      </c>
      <c r="G510" t="inlineStr">
        <is>
          <t>ÖSTHAMMAR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16494-2026</t>
        </is>
      </c>
      <c r="B511" t="inlineStr">
        <is>
          <t>avverkningsanmälan</t>
        </is>
      </c>
      <c r="C511" t="inlineStr">
        <is>
          <t>Föryngringsavverkning</t>
        </is>
      </c>
      <c r="D511" s="1" t="n">
        <v>46112</v>
      </c>
      <c r="E511" s="1" t="n">
        <v>46313</v>
      </c>
      <c r="F511" t="inlineStr">
        <is>
          <t>UPPSALA LÄN</t>
        </is>
      </c>
      <c r="G511" t="inlineStr">
        <is>
          <t>ÖSTHAMMAR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16359-2026</t>
        </is>
      </c>
      <c r="B512" t="inlineStr">
        <is>
          <t>avverkningsanmälan</t>
        </is>
      </c>
      <c r="C512" t="inlineStr">
        <is>
          <t>Föryngringsavverkning</t>
        </is>
      </c>
      <c r="D512" s="1" t="n">
        <v>46111</v>
      </c>
      <c r="E512" s="1" t="n">
        <v>46313</v>
      </c>
      <c r="F512" t="inlineStr">
        <is>
          <t>UPPSALA LÄN</t>
        </is>
      </c>
      <c r="G512" t="inlineStr">
        <is>
          <t>ÖSTHAMMAR</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16498-2026</t>
        </is>
      </c>
      <c r="B513" t="inlineStr">
        <is>
          <t>avverkningsanmälan</t>
        </is>
      </c>
      <c r="C513" t="inlineStr">
        <is>
          <t>Föryngringsavverkning</t>
        </is>
      </c>
      <c r="D513" s="1" t="n">
        <v>46112</v>
      </c>
      <c r="E513" s="1" t="n">
        <v>46313</v>
      </c>
      <c r="F513" t="inlineStr">
        <is>
          <t>UPPSALA LÄN</t>
        </is>
      </c>
      <c r="G513" t="inlineStr">
        <is>
          <t>ÖSTHAMMAR</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16640-2026</t>
        </is>
      </c>
      <c r="B514" t="inlineStr">
        <is>
          <t>avverkningsanmälan</t>
        </is>
      </c>
      <c r="C514" t="inlineStr">
        <is>
          <t>Föryngringsavverkning</t>
        </is>
      </c>
      <c r="D514" s="1" t="n">
        <v>46112</v>
      </c>
      <c r="E514" s="1" t="n">
        <v>46313</v>
      </c>
      <c r="F514" t="inlineStr">
        <is>
          <t>UPPSALA LÄN</t>
        </is>
      </c>
      <c r="G514" t="inlineStr">
        <is>
          <t>ÖSTHAMMAR</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16796-2026</t>
        </is>
      </c>
      <c r="B515" t="inlineStr">
        <is>
          <t>avverkningsanmälan</t>
        </is>
      </c>
      <c r="C515" t="inlineStr">
        <is>
          <t>Föryngringsavverkning</t>
        </is>
      </c>
      <c r="D515" s="1" t="n">
        <v>46113</v>
      </c>
      <c r="E515" s="1" t="n">
        <v>46313</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16788-2026</t>
        </is>
      </c>
      <c r="B516" t="inlineStr">
        <is>
          <t>avverkningsanmälan</t>
        </is>
      </c>
      <c r="C516" t="inlineStr">
        <is>
          <t>Föryngringsavverkning</t>
        </is>
      </c>
      <c r="D516" s="1" t="n">
        <v>46113</v>
      </c>
      <c r="E516" s="1" t="n">
        <v>46313</v>
      </c>
      <c r="F516" t="inlineStr">
        <is>
          <t>UPPSALA LÄN</t>
        </is>
      </c>
      <c r="G516" t="inlineStr">
        <is>
          <t>ÖSTHAMMAR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25269-2024</t>
        </is>
      </c>
      <c r="B517" t="inlineStr">
        <is>
          <t>avverkningsanmälan</t>
        </is>
      </c>
      <c r="C517" t="inlineStr">
        <is>
          <t>Föryngringsavverkning</t>
        </is>
      </c>
      <c r="D517" s="1" t="n">
        <v>45462</v>
      </c>
      <c r="E517" s="1" t="n">
        <v>46313</v>
      </c>
      <c r="F517" t="inlineStr">
        <is>
          <t>UPPSALA LÄN</t>
        </is>
      </c>
      <c r="G517" t="inlineStr">
        <is>
          <t>ÖSTHAMMAR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28938-2026</t>
        </is>
      </c>
      <c r="B518" t="inlineStr">
        <is>
          <t>avverkningsanmälan</t>
        </is>
      </c>
      <c r="C518" t="inlineStr">
        <is>
          <t>Föryngringsavverkning</t>
        </is>
      </c>
      <c r="D518" s="1" t="n">
        <v>46199</v>
      </c>
      <c r="E518" s="1" t="n">
        <v>46313</v>
      </c>
      <c r="F518" t="inlineStr">
        <is>
          <t>UPPSALA LÄN</t>
        </is>
      </c>
      <c r="G518" t="inlineStr">
        <is>
          <t>ÖSTHAMMAR</t>
        </is>
      </c>
      <c r="H518" t="inlineStr">
        <is>
          <t>Övriga Aktiebolag</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13352-2023</t>
        </is>
      </c>
      <c r="B519" t="inlineStr">
        <is>
          <t>avverkningsanmälan</t>
        </is>
      </c>
      <c r="C519" t="inlineStr">
        <is>
          <t>Föryngringsavverkning</t>
        </is>
      </c>
      <c r="D519" s="1" t="n">
        <v>45005</v>
      </c>
      <c r="E519" s="1" t="n">
        <v>46313</v>
      </c>
      <c r="F519" t="inlineStr">
        <is>
          <t>UPPSALA LÄN</t>
        </is>
      </c>
      <c r="G519" t="inlineStr">
        <is>
          <t>ÖSTHAMMAR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22804-2022</t>
        </is>
      </c>
      <c r="B520" t="inlineStr">
        <is>
          <t>avverkningsanmälan</t>
        </is>
      </c>
      <c r="C520" t="inlineStr">
        <is>
          <t>Föryngringsavverkning</t>
        </is>
      </c>
      <c r="D520" s="1" t="n">
        <v>44715</v>
      </c>
      <c r="E520" s="1" t="n">
        <v>46313</v>
      </c>
      <c r="F520" t="inlineStr">
        <is>
          <t>UPPSALA LÄN</t>
        </is>
      </c>
      <c r="G520" t="inlineStr">
        <is>
          <t>ÖSTHAMMAR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45795-2023</t>
        </is>
      </c>
      <c r="B521" t="inlineStr">
        <is>
          <t>avverkningsanmälan</t>
        </is>
      </c>
      <c r="C521" t="inlineStr">
        <is>
          <t>Avverkning för annat ändamål</t>
        </is>
      </c>
      <c r="D521" s="1" t="n">
        <v>45195</v>
      </c>
      <c r="E521" s="1" t="n">
        <v>46313</v>
      </c>
      <c r="F521" t="inlineStr">
        <is>
          <t>UPPSALA LÄN</t>
        </is>
      </c>
      <c r="G521" t="inlineStr">
        <is>
          <t>ÖSTHAMMAR</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29100-2026</t>
        </is>
      </c>
      <c r="B522" t="inlineStr">
        <is>
          <t>avverkningsanmälan</t>
        </is>
      </c>
      <c r="C522" t="inlineStr">
        <is>
          <t>Föryngringsavverkning</t>
        </is>
      </c>
      <c r="D522" s="1" t="n">
        <v>46200</v>
      </c>
      <c r="E522" s="1" t="n">
        <v>46313</v>
      </c>
      <c r="F522" t="inlineStr">
        <is>
          <t>UPPSALA LÄN</t>
        </is>
      </c>
      <c r="G522" t="inlineStr">
        <is>
          <t>ÖSTHAMMAR</t>
        </is>
      </c>
      <c r="H522" t="inlineStr">
        <is>
          <t>Bergvik skog öst AB</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7997-2022</t>
        </is>
      </c>
      <c r="B523" t="inlineStr">
        <is>
          <t>avverkningsanmälan</t>
        </is>
      </c>
      <c r="C523" t="inlineStr">
        <is>
          <t>Föryngringsavverkning</t>
        </is>
      </c>
      <c r="D523" s="1" t="n">
        <v>44609</v>
      </c>
      <c r="E523" s="1" t="n">
        <v>46313</v>
      </c>
      <c r="F523" t="inlineStr">
        <is>
          <t>UPPSALA LÄN</t>
        </is>
      </c>
      <c r="G523" t="inlineStr">
        <is>
          <t>ÖSTHAMMAR</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29101-2026</t>
        </is>
      </c>
      <c r="B524" t="inlineStr">
        <is>
          <t>avverkningsanmälan</t>
        </is>
      </c>
      <c r="C524" t="inlineStr">
        <is>
          <t>Föryngringsavverkning</t>
        </is>
      </c>
      <c r="D524" s="1" t="n">
        <v>46200</v>
      </c>
      <c r="E524" s="1" t="n">
        <v>46313</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67199-2021</t>
        </is>
      </c>
      <c r="B525" t="inlineStr">
        <is>
          <t>avverkningsanmälan</t>
        </is>
      </c>
      <c r="C525" t="inlineStr">
        <is>
          <t>Föryngringsavverkning</t>
        </is>
      </c>
      <c r="D525" s="1" t="n">
        <v>44523</v>
      </c>
      <c r="E525" s="1" t="n">
        <v>46313</v>
      </c>
      <c r="F525" t="inlineStr">
        <is>
          <t>UPPSALA LÄN</t>
        </is>
      </c>
      <c r="G525" t="inlineStr">
        <is>
          <t>ÖSTHAMMAR</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15449-2022</t>
        </is>
      </c>
      <c r="B526" t="inlineStr">
        <is>
          <t>avverkningsanmälan</t>
        </is>
      </c>
      <c r="C526" t="inlineStr">
        <is>
          <t>Föryngringsavverkning</t>
        </is>
      </c>
      <c r="D526" s="1" t="n">
        <v>44660</v>
      </c>
      <c r="E526" s="1" t="n">
        <v>46313</v>
      </c>
      <c r="F526" t="inlineStr">
        <is>
          <t>UPPSALA LÄN</t>
        </is>
      </c>
      <c r="G526" t="inlineStr">
        <is>
          <t>ÖSTHAMMAR</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18183-2022</t>
        </is>
      </c>
      <c r="B527" t="inlineStr">
        <is>
          <t>avverkningsanmälan</t>
        </is>
      </c>
      <c r="C527" t="inlineStr">
        <is>
          <t>Föryngringsavverkning</t>
        </is>
      </c>
      <c r="D527" s="1" t="n">
        <v>44684</v>
      </c>
      <c r="E527" s="1" t="n">
        <v>46313</v>
      </c>
      <c r="F527" t="inlineStr">
        <is>
          <t>UPPSALA LÄN</t>
        </is>
      </c>
      <c r="G527" t="inlineStr">
        <is>
          <t>ÖSTHAMMAR</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28949-2026</t>
        </is>
      </c>
      <c r="B528" t="inlineStr">
        <is>
          <t>avverkningsanmälan</t>
        </is>
      </c>
      <c r="C528" t="inlineStr">
        <is>
          <t>Föryngringsavverkning</t>
        </is>
      </c>
      <c r="D528" s="1" t="n">
        <v>46199</v>
      </c>
      <c r="E528" s="1" t="n">
        <v>46313</v>
      </c>
      <c r="F528" t="inlineStr">
        <is>
          <t>UPPSALA LÄN</t>
        </is>
      </c>
      <c r="G528" t="inlineStr">
        <is>
          <t>ÖSTHAMMAR</t>
        </is>
      </c>
      <c r="H528" t="inlineStr">
        <is>
          <t>Naturvårdsverket</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29106-2026</t>
        </is>
      </c>
      <c r="B529" t="inlineStr">
        <is>
          <t>avverkningsanmälan</t>
        </is>
      </c>
      <c r="C529" t="inlineStr">
        <is>
          <t>Föryngringsavverkning</t>
        </is>
      </c>
      <c r="D529" s="1" t="n">
        <v>46200</v>
      </c>
      <c r="E529" s="1" t="n">
        <v>46313</v>
      </c>
      <c r="F529" t="inlineStr">
        <is>
          <t>UPPSALA LÄN</t>
        </is>
      </c>
      <c r="G529" t="inlineStr">
        <is>
          <t>ÖSTHAMMAR</t>
        </is>
      </c>
      <c r="H529" t="inlineStr">
        <is>
          <t>Bergvik skog öst AB</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6892-2022</t>
        </is>
      </c>
      <c r="B530" t="inlineStr">
        <is>
          <t>avverkningsanmälan</t>
        </is>
      </c>
      <c r="C530" t="inlineStr">
        <is>
          <t>Föryngringsavverkning</t>
        </is>
      </c>
      <c r="D530" s="1" t="n">
        <v>44602</v>
      </c>
      <c r="E530" s="1" t="n">
        <v>46313</v>
      </c>
      <c r="F530" t="inlineStr">
        <is>
          <t>UPPSALA LÄN</t>
        </is>
      </c>
      <c r="G530" t="inlineStr">
        <is>
          <t>ÖSTHAMMAR</t>
        </is>
      </c>
      <c r="H530" t="inlineStr">
        <is>
          <t>Bergvik skog öst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62295-2022</t>
        </is>
      </c>
      <c r="B531" t="inlineStr">
        <is>
          <t>avverkningsanmälan</t>
        </is>
      </c>
      <c r="C531" t="inlineStr">
        <is>
          <t>Föryngringsavverkning</t>
        </is>
      </c>
      <c r="D531" s="1" t="n">
        <v>44916</v>
      </c>
      <c r="E531" s="1" t="n">
        <v>46313</v>
      </c>
      <c r="F531" t="inlineStr">
        <is>
          <t>UPPSALA LÄN</t>
        </is>
      </c>
      <c r="G531" t="inlineStr">
        <is>
          <t>ÖSTHAMMAR</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19631-2026</t>
        </is>
      </c>
      <c r="B532" t="inlineStr">
        <is>
          <t>avverkningsanmälan</t>
        </is>
      </c>
      <c r="C532" t="inlineStr">
        <is>
          <t>Föryngringsavverkning</t>
        </is>
      </c>
      <c r="D532" s="1" t="n">
        <v>46134</v>
      </c>
      <c r="E532" s="1" t="n">
        <v>46313</v>
      </c>
      <c r="F532" t="inlineStr">
        <is>
          <t>UPPSALA LÄN</t>
        </is>
      </c>
      <c r="G532" t="inlineStr">
        <is>
          <t>ÖSTHAMMAR</t>
        </is>
      </c>
      <c r="H532" t="inlineStr">
        <is>
          <t>Övriga Aktiebolag</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19485-2026</t>
        </is>
      </c>
      <c r="B533" t="inlineStr">
        <is>
          <t>avverkningsanmälan</t>
        </is>
      </c>
      <c r="C533" t="inlineStr">
        <is>
          <t>Föryngringsavverkning</t>
        </is>
      </c>
      <c r="D533" s="1" t="n">
        <v>46134</v>
      </c>
      <c r="E533" s="1" t="n">
        <v>46313</v>
      </c>
      <c r="F533" t="inlineStr">
        <is>
          <t>UPPSALA LÄN</t>
        </is>
      </c>
      <c r="G533" t="inlineStr">
        <is>
          <t>ÖSTHAMMAR</t>
        </is>
      </c>
      <c r="H533" t="inlineStr">
        <is>
          <t>Övriga Aktiebolag</t>
        </is>
      </c>
      <c r="I533" t="n">
        <v>12.1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8830-2023</t>
        </is>
      </c>
      <c r="B534" t="inlineStr">
        <is>
          <t>avverkningsanmälan</t>
        </is>
      </c>
      <c r="C534" t="inlineStr">
        <is>
          <t>Föryngringsavverkning</t>
        </is>
      </c>
      <c r="D534" s="1" t="n">
        <v>44978</v>
      </c>
      <c r="E534" s="1" t="n">
        <v>46313</v>
      </c>
      <c r="F534" t="inlineStr">
        <is>
          <t>UPPSALA LÄN</t>
        </is>
      </c>
      <c r="G534" t="inlineStr">
        <is>
          <t>ÖSTHAMMAR</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24174-2025</t>
        </is>
      </c>
      <c r="B535" t="inlineStr">
        <is>
          <t>avverkningsanmälan</t>
        </is>
      </c>
      <c r="C535" t="inlineStr">
        <is>
          <t>Föryngringsavverkning</t>
        </is>
      </c>
      <c r="D535" s="1" t="n">
        <v>45796</v>
      </c>
      <c r="E535" s="1" t="n">
        <v>46313</v>
      </c>
      <c r="F535" t="inlineStr">
        <is>
          <t>UPPSALA LÄN</t>
        </is>
      </c>
      <c r="G535" t="inlineStr">
        <is>
          <t>ÖSTHAMMAR</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26557-2022</t>
        </is>
      </c>
      <c r="B536" t="inlineStr">
        <is>
          <t>avverkningsanmälan</t>
        </is>
      </c>
      <c r="C536" t="inlineStr">
        <is>
          <t>Föryngringsavverkning</t>
        </is>
      </c>
      <c r="D536" s="1" t="n">
        <v>44739</v>
      </c>
      <c r="E536" s="1" t="n">
        <v>46313</v>
      </c>
      <c r="F536" t="inlineStr">
        <is>
          <t>UPPSALA LÄN</t>
        </is>
      </c>
      <c r="G536" t="inlineStr">
        <is>
          <t>ÖSTHAMMAR</t>
        </is>
      </c>
      <c r="H536" t="inlineStr">
        <is>
          <t>Övriga statliga verk och myndigheter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18091-2023</t>
        </is>
      </c>
      <c r="B537" t="inlineStr">
        <is>
          <t>avverkningsanmälan</t>
        </is>
      </c>
      <c r="C537" t="inlineStr">
        <is>
          <t>Föryngringsavverkning</t>
        </is>
      </c>
      <c r="D537" s="1" t="n">
        <v>45040</v>
      </c>
      <c r="E537" s="1" t="n">
        <v>46313</v>
      </c>
      <c r="F537" t="inlineStr">
        <is>
          <t>UPPSALA LÄN</t>
        </is>
      </c>
      <c r="G537" t="inlineStr">
        <is>
          <t>ÖSTHAMMAR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47522-2023</t>
        </is>
      </c>
      <c r="B538" t="inlineStr">
        <is>
          <t>avverkningsanmälan</t>
        </is>
      </c>
      <c r="C538" t="inlineStr">
        <is>
          <t>Föryngringsavverkning</t>
        </is>
      </c>
      <c r="D538" s="1" t="n">
        <v>45203</v>
      </c>
      <c r="E538" s="1" t="n">
        <v>46313</v>
      </c>
      <c r="F538" t="inlineStr">
        <is>
          <t>UPPSALA LÄN</t>
        </is>
      </c>
      <c r="G538" t="inlineStr">
        <is>
          <t>ÖSTHAMMAR</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28442-2025</t>
        </is>
      </c>
      <c r="B539" t="inlineStr">
        <is>
          <t>avverkningsanmälan</t>
        </is>
      </c>
      <c r="C539" t="inlineStr">
        <is>
          <t>Föryngringsavverkning</t>
        </is>
      </c>
      <c r="D539" s="1" t="n">
        <v>45819</v>
      </c>
      <c r="E539" s="1" t="n">
        <v>46313</v>
      </c>
      <c r="F539" t="inlineStr">
        <is>
          <t>UPPSALA LÄN</t>
        </is>
      </c>
      <c r="G539" t="inlineStr">
        <is>
          <t>ÖSTHAMMAR</t>
        </is>
      </c>
      <c r="H539" t="inlineStr">
        <is>
          <t>Övriga Aktiebolag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54366-2023</t>
        </is>
      </c>
      <c r="B540" t="inlineStr">
        <is>
          <t>avverkningsanmälan</t>
        </is>
      </c>
      <c r="C540" t="inlineStr">
        <is>
          <t>Föryngringsavverkning</t>
        </is>
      </c>
      <c r="D540" s="1" t="n">
        <v>45233</v>
      </c>
      <c r="E540" s="1" t="n">
        <v>46313</v>
      </c>
      <c r="F540" t="inlineStr">
        <is>
          <t>UPPSALA LÄN</t>
        </is>
      </c>
      <c r="G540" t="inlineStr">
        <is>
          <t>ÖSTHAMMAR</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52694-2023</t>
        </is>
      </c>
      <c r="B541" t="inlineStr">
        <is>
          <t>avverkningsanmälan</t>
        </is>
      </c>
      <c r="C541" t="inlineStr">
        <is>
          <t>Föryngringsavverkning</t>
        </is>
      </c>
      <c r="D541" s="1" t="n">
        <v>45225</v>
      </c>
      <c r="E541" s="1" t="n">
        <v>46313</v>
      </c>
      <c r="F541" t="inlineStr">
        <is>
          <t>UPPSALA LÄN</t>
        </is>
      </c>
      <c r="G541" t="inlineStr">
        <is>
          <t>ÖSTHAMMAR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21133-2025</t>
        </is>
      </c>
      <c r="B542" t="inlineStr">
        <is>
          <t>avverkningsanmälan</t>
        </is>
      </c>
      <c r="C542" t="inlineStr">
        <is>
          <t>Föryngringsavverkning</t>
        </is>
      </c>
      <c r="D542" s="1" t="n">
        <v>45778</v>
      </c>
      <c r="E542" s="1" t="n">
        <v>46313</v>
      </c>
      <c r="F542" t="inlineStr">
        <is>
          <t>UPPSALA LÄN</t>
        </is>
      </c>
      <c r="G542" t="inlineStr">
        <is>
          <t>ÖSTHAMMAR</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31956-2025</t>
        </is>
      </c>
      <c r="B543" t="inlineStr">
        <is>
          <t>avverkningsanmälan</t>
        </is>
      </c>
      <c r="C543" t="inlineStr">
        <is>
          <t>Föryngringsavverkning</t>
        </is>
      </c>
      <c r="D543" s="1" t="n">
        <v>45835</v>
      </c>
      <c r="E543" s="1" t="n">
        <v>46313</v>
      </c>
      <c r="F543" t="inlineStr">
        <is>
          <t>UPPSALA LÄN</t>
        </is>
      </c>
      <c r="G543" t="inlineStr">
        <is>
          <t>ÖSTHAMMAR</t>
        </is>
      </c>
      <c r="H543" t="inlineStr">
        <is>
          <t>Övriga Aktiebolag</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27352-2025</t>
        </is>
      </c>
      <c r="B544" t="inlineStr">
        <is>
          <t>avverkningsanmälan</t>
        </is>
      </c>
      <c r="C544" t="inlineStr">
        <is>
          <t>Föryngringsavverkning</t>
        </is>
      </c>
      <c r="D544" s="1" t="n">
        <v>45812</v>
      </c>
      <c r="E544" s="1" t="n">
        <v>46313</v>
      </c>
      <c r="F544" t="inlineStr">
        <is>
          <t>UPPSALA LÄN</t>
        </is>
      </c>
      <c r="G544" t="inlineStr">
        <is>
          <t>ÖSTHAMMAR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19901-2026</t>
        </is>
      </c>
      <c r="B545" t="inlineStr">
        <is>
          <t>avverkningsanmälan</t>
        </is>
      </c>
      <c r="C545" t="inlineStr">
        <is>
          <t>Föryngringsavverkning</t>
        </is>
      </c>
      <c r="D545" s="1" t="n">
        <v>46136</v>
      </c>
      <c r="E545" s="1" t="n">
        <v>46313</v>
      </c>
      <c r="F545" t="inlineStr">
        <is>
          <t>UPPSALA LÄN</t>
        </is>
      </c>
      <c r="G545" t="inlineStr">
        <is>
          <t>ÖSTHAMMAR</t>
        </is>
      </c>
      <c r="H545" t="inlineStr">
        <is>
          <t>Övriga Aktiebolag</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36873-2022</t>
        </is>
      </c>
      <c r="B546" t="inlineStr">
        <is>
          <t>avverkningsanmälan</t>
        </is>
      </c>
      <c r="C546" t="inlineStr">
        <is>
          <t>Föryngringsavverkning</t>
        </is>
      </c>
      <c r="D546" s="1" t="n">
        <v>44805</v>
      </c>
      <c r="E546" s="1" t="n">
        <v>46313</v>
      </c>
      <c r="F546" t="inlineStr">
        <is>
          <t>UPPSALA LÄN</t>
        </is>
      </c>
      <c r="G546" t="inlineStr">
        <is>
          <t>ÖSTHAMMAR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30189-2026</t>
        </is>
      </c>
      <c r="B547" t="inlineStr">
        <is>
          <t>avverkningsanmälan</t>
        </is>
      </c>
      <c r="C547" t="inlineStr">
        <is>
          <t>Föryngringsavverkning</t>
        </is>
      </c>
      <c r="D547" s="1" t="n">
        <v>46206</v>
      </c>
      <c r="E547" s="1" t="n">
        <v>46313</v>
      </c>
      <c r="F547" t="inlineStr">
        <is>
          <t>UPPSALA LÄN</t>
        </is>
      </c>
      <c r="G547" t="inlineStr">
        <is>
          <t>ÖSTHAMMAR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61817-2021</t>
        </is>
      </c>
      <c r="B548" t="inlineStr">
        <is>
          <t>avverkningsanmälan</t>
        </is>
      </c>
      <c r="C548" t="inlineStr">
        <is>
          <t>Föryngringsavverkning</t>
        </is>
      </c>
      <c r="D548" s="1" t="n">
        <v>44501</v>
      </c>
      <c r="E548" s="1" t="n">
        <v>46313</v>
      </c>
      <c r="F548" t="inlineStr">
        <is>
          <t>UPPSALA LÄN</t>
        </is>
      </c>
      <c r="G548" t="inlineStr">
        <is>
          <t>ÖSTHAMMAR</t>
        </is>
      </c>
      <c r="H548" t="inlineStr">
        <is>
          <t>Bergvik skog öst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30207-2026</t>
        </is>
      </c>
      <c r="B549" t="inlineStr">
        <is>
          <t>avverkningsanmälan</t>
        </is>
      </c>
      <c r="C549" t="inlineStr">
        <is>
          <t>Föryngringsavverkning</t>
        </is>
      </c>
      <c r="D549" s="1" t="n">
        <v>46206</v>
      </c>
      <c r="E549" s="1" t="n">
        <v>46313</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30242-2026</t>
        </is>
      </c>
      <c r="B550" t="inlineStr">
        <is>
          <t>avverkningsanmälan</t>
        </is>
      </c>
      <c r="C550" t="inlineStr">
        <is>
          <t>Föryngringsavverkning</t>
        </is>
      </c>
      <c r="D550" s="1" t="n">
        <v>46206</v>
      </c>
      <c r="E550" s="1" t="n">
        <v>46313</v>
      </c>
      <c r="F550" t="inlineStr">
        <is>
          <t>UPPSALA LÄN</t>
        </is>
      </c>
      <c r="G550" t="inlineStr">
        <is>
          <t>ÖSTHAMMAR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30338-2026</t>
        </is>
      </c>
      <c r="B551" t="inlineStr">
        <is>
          <t>avverkningsanmälan</t>
        </is>
      </c>
      <c r="C551" t="inlineStr">
        <is>
          <t>Föryngringsavverkning</t>
        </is>
      </c>
      <c r="D551" s="1" t="n">
        <v>46209</v>
      </c>
      <c r="E551" s="1" t="n">
        <v>46313</v>
      </c>
      <c r="F551" t="inlineStr">
        <is>
          <t>UPPSALA LÄN</t>
        </is>
      </c>
      <c r="G551" t="inlineStr">
        <is>
          <t>ÖSTHAMMAR</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54437-2024</t>
        </is>
      </c>
      <c r="B552" t="inlineStr">
        <is>
          <t>avverkningsanmälan</t>
        </is>
      </c>
      <c r="C552" t="inlineStr">
        <is>
          <t>Föryngringsavverkning</t>
        </is>
      </c>
      <c r="D552" s="1" t="n">
        <v>45617</v>
      </c>
      <c r="E552" s="1" t="n">
        <v>46313</v>
      </c>
      <c r="F552" t="inlineStr">
        <is>
          <t>UPPSALA LÄN</t>
        </is>
      </c>
      <c r="G552" t="inlineStr">
        <is>
          <t>ÖSTHAMMAR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30424-2026</t>
        </is>
      </c>
      <c r="B553" t="inlineStr">
        <is>
          <t>avverkningsanmälan</t>
        </is>
      </c>
      <c r="C553" t="inlineStr">
        <is>
          <t>Föryngringsavverkning</t>
        </is>
      </c>
      <c r="D553" s="1" t="n">
        <v>46209</v>
      </c>
      <c r="E553" s="1" t="n">
        <v>46313</v>
      </c>
      <c r="F553" t="inlineStr">
        <is>
          <t>UPPSALA LÄN</t>
        </is>
      </c>
      <c r="G553" t="inlineStr">
        <is>
          <t>ÖSTHAMMAR</t>
        </is>
      </c>
      <c r="H553" t="inlineStr">
        <is>
          <t>Bergvik skog öst AB</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28152-2024</t>
        </is>
      </c>
      <c r="B554" t="inlineStr">
        <is>
          <t>avverkningsanmälan</t>
        </is>
      </c>
      <c r="C554" t="inlineStr">
        <is>
          <t>Föryngringsavverkning</t>
        </is>
      </c>
      <c r="D554" s="1" t="n">
        <v>45476</v>
      </c>
      <c r="E554" s="1" t="n">
        <v>46313</v>
      </c>
      <c r="F554" t="inlineStr">
        <is>
          <t>UPPSALA LÄN</t>
        </is>
      </c>
      <c r="G554" t="inlineStr">
        <is>
          <t>ÖSTHAMMAR</t>
        </is>
      </c>
      <c r="H554" t="inlineStr">
        <is>
          <t>Bergvik skog öst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30420-2026</t>
        </is>
      </c>
      <c r="B555" t="inlineStr">
        <is>
          <t>avverkningsanmälan</t>
        </is>
      </c>
      <c r="C555" t="inlineStr">
        <is>
          <t>Föryngringsavverkning</t>
        </is>
      </c>
      <c r="D555" s="1" t="n">
        <v>46209</v>
      </c>
      <c r="E555" s="1" t="n">
        <v>46313</v>
      </c>
      <c r="F555" t="inlineStr">
        <is>
          <t>UPPSALA LÄN</t>
        </is>
      </c>
      <c r="G555" t="inlineStr">
        <is>
          <t>ÖSTHAMMAR</t>
        </is>
      </c>
      <c r="H555" t="inlineStr">
        <is>
          <t>Bergvik skog öst AB</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30427-2026</t>
        </is>
      </c>
      <c r="B556" t="inlineStr">
        <is>
          <t>avverkningsanmälan</t>
        </is>
      </c>
      <c r="C556" t="inlineStr">
        <is>
          <t>Föryngringsavverkning</t>
        </is>
      </c>
      <c r="D556" s="1" t="n">
        <v>46209</v>
      </c>
      <c r="E556" s="1" t="n">
        <v>46313</v>
      </c>
      <c r="F556" t="inlineStr">
        <is>
          <t>UPPSALA LÄN</t>
        </is>
      </c>
      <c r="G556" t="inlineStr">
        <is>
          <t>ÖSTHAMMAR</t>
        </is>
      </c>
      <c r="H556" t="inlineStr">
        <is>
          <t>Bergvik skog öst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30429-2026</t>
        </is>
      </c>
      <c r="B557" t="inlineStr">
        <is>
          <t>avverkningsanmälan</t>
        </is>
      </c>
      <c r="C557" t="inlineStr">
        <is>
          <t>Föryngringsavverkning</t>
        </is>
      </c>
      <c r="D557" s="1" t="n">
        <v>46209</v>
      </c>
      <c r="E557" s="1" t="n">
        <v>46313</v>
      </c>
      <c r="F557" t="inlineStr">
        <is>
          <t>UPPSALA LÄN</t>
        </is>
      </c>
      <c r="G557" t="inlineStr">
        <is>
          <t>ÖSTHAMMAR</t>
        </is>
      </c>
      <c r="H557" t="inlineStr">
        <is>
          <t>Bergvik skog öst AB</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30421-2026</t>
        </is>
      </c>
      <c r="B558" t="inlineStr">
        <is>
          <t>avverkningsanmälan</t>
        </is>
      </c>
      <c r="C558" t="inlineStr">
        <is>
          <t>Föryngringsavverkning</t>
        </is>
      </c>
      <c r="D558" s="1" t="n">
        <v>46209</v>
      </c>
      <c r="E558" s="1" t="n">
        <v>46313</v>
      </c>
      <c r="F558" t="inlineStr">
        <is>
          <t>UPPSALA LÄN</t>
        </is>
      </c>
      <c r="G558" t="inlineStr">
        <is>
          <t>ÖSTHAMMAR</t>
        </is>
      </c>
      <c r="H558" t="inlineStr">
        <is>
          <t>Bergvik skog öst AB</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30680-2026</t>
        </is>
      </c>
      <c r="B559" t="inlineStr">
        <is>
          <t>avverkningsanmälan</t>
        </is>
      </c>
      <c r="C559" t="inlineStr">
        <is>
          <t>Föryngringsavverkning</t>
        </is>
      </c>
      <c r="D559" s="1" t="n">
        <v>46211</v>
      </c>
      <c r="E559" s="1" t="n">
        <v>46313</v>
      </c>
      <c r="F559" t="inlineStr">
        <is>
          <t>UPPSALA LÄN</t>
        </is>
      </c>
      <c r="G559" t="inlineStr">
        <is>
          <t>ÖSTHAMMAR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41478-2024</t>
        </is>
      </c>
      <c r="B560" t="inlineStr">
        <is>
          <t>avverkningsanmälan</t>
        </is>
      </c>
      <c r="C560" t="inlineStr">
        <is>
          <t>Föryngringsavverkning</t>
        </is>
      </c>
      <c r="D560" s="1" t="n">
        <v>45560</v>
      </c>
      <c r="E560" s="1" t="n">
        <v>46313</v>
      </c>
      <c r="F560" t="inlineStr">
        <is>
          <t>UPPSALA LÄN</t>
        </is>
      </c>
      <c r="G560" t="inlineStr">
        <is>
          <t>ÖSTHAMMAR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30728-2026</t>
        </is>
      </c>
      <c r="B561" t="inlineStr">
        <is>
          <t>avverkningsanmälan</t>
        </is>
      </c>
      <c r="C561" t="inlineStr">
        <is>
          <t>Föryngringsavverkning</t>
        </is>
      </c>
      <c r="D561" s="1" t="n">
        <v>46211</v>
      </c>
      <c r="E561" s="1" t="n">
        <v>46313</v>
      </c>
      <c r="F561" t="inlineStr">
        <is>
          <t>UPPSALA LÄN</t>
        </is>
      </c>
      <c r="G561" t="inlineStr">
        <is>
          <t>ÖSTHAMMAR</t>
        </is>
      </c>
      <c r="H561" t="inlineStr">
        <is>
          <t>Övriga Aktiebolag</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16141-2022</t>
        </is>
      </c>
      <c r="B562" t="inlineStr">
        <is>
          <t>avverkningsanmälan</t>
        </is>
      </c>
      <c r="C562" t="inlineStr">
        <is>
          <t>Föryngringsavverkning</t>
        </is>
      </c>
      <c r="D562" s="1" t="n">
        <v>44665</v>
      </c>
      <c r="E562" s="1" t="n">
        <v>46313</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34922-2023</t>
        </is>
      </c>
      <c r="B563" t="inlineStr">
        <is>
          <t>avverkningsanmälan</t>
        </is>
      </c>
      <c r="C563" t="inlineStr">
        <is>
          <t>Föryngringsavverkning</t>
        </is>
      </c>
      <c r="D563" s="1" t="n">
        <v>45142</v>
      </c>
      <c r="E563" s="1" t="n">
        <v>46313</v>
      </c>
      <c r="F563" t="inlineStr">
        <is>
          <t>UPPSALA LÄN</t>
        </is>
      </c>
      <c r="G563" t="inlineStr">
        <is>
          <t>ÖSTHAMMAR</t>
        </is>
      </c>
      <c r="H563" t="inlineStr">
        <is>
          <t>Bergvik skog öst AB</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23495-2023</t>
        </is>
      </c>
      <c r="B564" t="inlineStr">
        <is>
          <t>avverkningsanmälan</t>
        </is>
      </c>
      <c r="C564" t="inlineStr">
        <is>
          <t>Föryngringsavverkning</t>
        </is>
      </c>
      <c r="D564" s="1" t="n">
        <v>45076</v>
      </c>
      <c r="E564" s="1" t="n">
        <v>46313</v>
      </c>
      <c r="F564" t="inlineStr">
        <is>
          <t>UPPSALA LÄN</t>
        </is>
      </c>
      <c r="G564" t="inlineStr">
        <is>
          <t>ÖSTHAMMAR</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31240-2026</t>
        </is>
      </c>
      <c r="B565" t="inlineStr">
        <is>
          <t>avverkningsanmälan</t>
        </is>
      </c>
      <c r="C565" t="inlineStr">
        <is>
          <t>Föryngringsavverkning</t>
        </is>
      </c>
      <c r="D565" s="1" t="n">
        <v>46217</v>
      </c>
      <c r="E565" s="1" t="n">
        <v>46313</v>
      </c>
      <c r="F565" t="inlineStr">
        <is>
          <t>UPPSALA LÄN</t>
        </is>
      </c>
      <c r="G565" t="inlineStr">
        <is>
          <t>ÖSTHAMMAR</t>
        </is>
      </c>
      <c r="H565" t="inlineStr">
        <is>
          <t>Bergvik skog öst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31241-2026</t>
        </is>
      </c>
      <c r="B566" t="inlineStr">
        <is>
          <t>avverkningsanmälan</t>
        </is>
      </c>
      <c r="C566" t="inlineStr">
        <is>
          <t>Föryngringsavverkning</t>
        </is>
      </c>
      <c r="D566" s="1" t="n">
        <v>46217</v>
      </c>
      <c r="E566" s="1" t="n">
        <v>46313</v>
      </c>
      <c r="F566" t="inlineStr">
        <is>
          <t>UPPSALA LÄN</t>
        </is>
      </c>
      <c r="G566" t="inlineStr">
        <is>
          <t>ÖSTHAMMAR</t>
        </is>
      </c>
      <c r="H566" t="inlineStr">
        <is>
          <t>Bergvik skog öst AB</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31330-2026</t>
        </is>
      </c>
      <c r="B567" t="inlineStr">
        <is>
          <t>avverkningsanmälan</t>
        </is>
      </c>
      <c r="C567" t="inlineStr">
        <is>
          <t>Föryngringsavverkning</t>
        </is>
      </c>
      <c r="D567" s="1" t="n">
        <v>46219</v>
      </c>
      <c r="E567" s="1" t="n">
        <v>46313</v>
      </c>
      <c r="F567" t="inlineStr">
        <is>
          <t>UPPSALA LÄN</t>
        </is>
      </c>
      <c r="G567" t="inlineStr">
        <is>
          <t>ÖSTHAMMAR</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31333-2026</t>
        </is>
      </c>
      <c r="B568" t="inlineStr">
        <is>
          <t>avverkningsanmälan</t>
        </is>
      </c>
      <c r="C568" t="inlineStr">
        <is>
          <t>Föryngringsavverkning</t>
        </is>
      </c>
      <c r="D568" s="1" t="n">
        <v>46219</v>
      </c>
      <c r="E568" s="1" t="n">
        <v>46313</v>
      </c>
      <c r="F568" t="inlineStr">
        <is>
          <t>UPPSALA LÄN</t>
        </is>
      </c>
      <c r="G568" t="inlineStr">
        <is>
          <t>ÖSTHAMMAR</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25983-2026</t>
        </is>
      </c>
      <c r="B569" t="inlineStr">
        <is>
          <t>avverkningsanmälan</t>
        </is>
      </c>
      <c r="C569" t="inlineStr">
        <is>
          <t>Avverkning för annat ändamål</t>
        </is>
      </c>
      <c r="D569" s="1" t="n">
        <v>46181</v>
      </c>
      <c r="E569" s="1" t="n">
        <v>46313</v>
      </c>
      <c r="F569" t="inlineStr">
        <is>
          <t>UPPSALA LÄN</t>
        </is>
      </c>
      <c r="G569" t="inlineStr">
        <is>
          <t>ÖSTHAMMAR</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31372-2026</t>
        </is>
      </c>
      <c r="B570" t="inlineStr">
        <is>
          <t>avverkningsanmälan</t>
        </is>
      </c>
      <c r="C570" t="inlineStr">
        <is>
          <t>Föryngringsavverkning</t>
        </is>
      </c>
      <c r="D570" s="1" t="n">
        <v>46219</v>
      </c>
      <c r="E570" s="1" t="n">
        <v>46313</v>
      </c>
      <c r="F570" t="inlineStr">
        <is>
          <t>UPPSALA LÄN</t>
        </is>
      </c>
      <c r="G570" t="inlineStr">
        <is>
          <t>ÖSTHAMMAR</t>
        </is>
      </c>
      <c r="H570" t="inlineStr">
        <is>
          <t>Bergvik skog öst AB</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22798-2023</t>
        </is>
      </c>
      <c r="B571" t="inlineStr">
        <is>
          <t>avverkningsanmälan</t>
        </is>
      </c>
      <c r="C571" t="inlineStr">
        <is>
          <t>Avverkning för annat ändamål</t>
        </is>
      </c>
      <c r="D571" s="1" t="n">
        <v>45072</v>
      </c>
      <c r="E571" s="1" t="n">
        <v>46313</v>
      </c>
      <c r="F571" t="inlineStr">
        <is>
          <t>UPPSALA LÄN</t>
        </is>
      </c>
      <c r="G571" t="inlineStr">
        <is>
          <t>ÖSTHAMMAR</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4561-2022</t>
        </is>
      </c>
      <c r="B572" t="inlineStr">
        <is>
          <t>avverkningsanmälan</t>
        </is>
      </c>
      <c r="C572" t="inlineStr">
        <is>
          <t>Föryngringsavverkning</t>
        </is>
      </c>
      <c r="D572" s="1" t="n">
        <v>44591</v>
      </c>
      <c r="E572" s="1" t="n">
        <v>46313</v>
      </c>
      <c r="F572" t="inlineStr">
        <is>
          <t>UPPSALA LÄN</t>
        </is>
      </c>
      <c r="G572" t="inlineStr">
        <is>
          <t>ÖSTHAMMAR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23741-2024</t>
        </is>
      </c>
      <c r="B573" t="inlineStr">
        <is>
          <t>avverkningsanmälan</t>
        </is>
      </c>
      <c r="C573" t="inlineStr">
        <is>
          <t>Föryngringsavverkning</t>
        </is>
      </c>
      <c r="D573" s="1" t="n">
        <v>45455</v>
      </c>
      <c r="E573" s="1" t="n">
        <v>46313</v>
      </c>
      <c r="F573" t="inlineStr">
        <is>
          <t>UPPSALA LÄN</t>
        </is>
      </c>
      <c r="G573" t="inlineStr">
        <is>
          <t>ÖSTHAMMAR</t>
        </is>
      </c>
      <c r="H573" t="inlineStr">
        <is>
          <t>Bergvik skog öst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8030-2026</t>
        </is>
      </c>
      <c r="B574" t="inlineStr">
        <is>
          <t>avverkningsanmälan</t>
        </is>
      </c>
      <c r="C574" t="inlineStr">
        <is>
          <t>Föryngringsavverkning</t>
        </is>
      </c>
      <c r="D574" s="1" t="n">
        <v>46063</v>
      </c>
      <c r="E574" s="1" t="n">
        <v>46313</v>
      </c>
      <c r="F574" t="inlineStr">
        <is>
          <t>UPPSALA LÄN</t>
        </is>
      </c>
      <c r="G574" t="inlineStr">
        <is>
          <t>ÖSTHAMMAR</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26612-2023</t>
        </is>
      </c>
      <c r="B575" t="inlineStr">
        <is>
          <t>avverkningsanmälan</t>
        </is>
      </c>
      <c r="C575" t="inlineStr">
        <is>
          <t>Föryngringsavverkning</t>
        </is>
      </c>
      <c r="D575" s="1" t="n">
        <v>45089</v>
      </c>
      <c r="E575" s="1" t="n">
        <v>46313</v>
      </c>
      <c r="F575" t="inlineStr">
        <is>
          <t>UPPSALA LÄN</t>
        </is>
      </c>
      <c r="G575" t="inlineStr">
        <is>
          <t>ÖSTHAMMAR</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37175-2026</t>
        </is>
      </c>
      <c r="B576" t="inlineStr">
        <is>
          <t>avverkningsanmälan</t>
        </is>
      </c>
      <c r="C576" t="inlineStr">
        <is>
          <t>Föryngringsavverkning</t>
        </is>
      </c>
      <c r="D576" s="1" t="n">
        <v>46274</v>
      </c>
      <c r="E576" s="1" t="n">
        <v>46313</v>
      </c>
      <c r="F576" t="inlineStr">
        <is>
          <t>UPPSALA LÄN</t>
        </is>
      </c>
      <c r="G576" t="inlineStr">
        <is>
          <t>ÖSTHAMMAR</t>
        </is>
      </c>
      <c r="H576" t="inlineStr">
        <is>
          <t>Bergvik skog öst AB</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60079-2022</t>
        </is>
      </c>
      <c r="B577" t="inlineStr">
        <is>
          <t>avverkningsanmälan</t>
        </is>
      </c>
      <c r="C577" t="inlineStr">
        <is>
          <t>Föryngringsavverkning</t>
        </is>
      </c>
      <c r="D577" s="1" t="n">
        <v>44909</v>
      </c>
      <c r="E577" s="1" t="n">
        <v>46313</v>
      </c>
      <c r="F577" t="inlineStr">
        <is>
          <t>UPPSALA LÄN</t>
        </is>
      </c>
      <c r="G577" t="inlineStr">
        <is>
          <t>ÖSTHAMMAR</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37176-2026</t>
        </is>
      </c>
      <c r="B578" t="inlineStr">
        <is>
          <t>avverkningsanmälan</t>
        </is>
      </c>
      <c r="C578" t="inlineStr">
        <is>
          <t>Föryngringsavverkning</t>
        </is>
      </c>
      <c r="D578" s="1" t="n">
        <v>46274</v>
      </c>
      <c r="E578" s="1" t="n">
        <v>46313</v>
      </c>
      <c r="F578" t="inlineStr">
        <is>
          <t>UPPSALA LÄN</t>
        </is>
      </c>
      <c r="G578" t="inlineStr">
        <is>
          <t>ÖSTHAMMAR</t>
        </is>
      </c>
      <c r="H578" t="inlineStr">
        <is>
          <t>Bergvik skog öst AB</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37225-2026</t>
        </is>
      </c>
      <c r="B579" t="inlineStr">
        <is>
          <t>avverkningsanmälan</t>
        </is>
      </c>
      <c r="C579" t="inlineStr">
        <is>
          <t>Föryngringsavverkning</t>
        </is>
      </c>
      <c r="D579" s="1" t="n">
        <v>46274</v>
      </c>
      <c r="E579" s="1" t="n">
        <v>46313</v>
      </c>
      <c r="F579" t="inlineStr">
        <is>
          <t>UPPSALA LÄN</t>
        </is>
      </c>
      <c r="G579" t="inlineStr">
        <is>
          <t>ÖSTHAMMAR</t>
        </is>
      </c>
      <c r="H579" t="inlineStr">
        <is>
          <t>Bergvik skog öst AB</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37190-2026</t>
        </is>
      </c>
      <c r="B580" t="inlineStr">
        <is>
          <t>avverkningsanmälan</t>
        </is>
      </c>
      <c r="C580" t="inlineStr">
        <is>
          <t>Föryngringsavverkning</t>
        </is>
      </c>
      <c r="D580" s="1" t="n">
        <v>46274</v>
      </c>
      <c r="E580" s="1" t="n">
        <v>46313</v>
      </c>
      <c r="F580" t="inlineStr">
        <is>
          <t>UPPSALA LÄN</t>
        </is>
      </c>
      <c r="G580" t="inlineStr">
        <is>
          <t>ÖSTHAMMAR</t>
        </is>
      </c>
      <c r="H580" t="inlineStr">
        <is>
          <t>Bergvik skog öst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40637-2022</t>
        </is>
      </c>
      <c r="B581" t="inlineStr">
        <is>
          <t>avverkningsanmälan</t>
        </is>
      </c>
      <c r="C581" t="inlineStr">
        <is>
          <t>Avverkning för annat ändamål</t>
        </is>
      </c>
      <c r="D581" s="1" t="n">
        <v>44824</v>
      </c>
      <c r="E581" s="1" t="n">
        <v>46313</v>
      </c>
      <c r="F581" t="inlineStr">
        <is>
          <t>UPPSALA LÄN</t>
        </is>
      </c>
      <c r="G581" t="inlineStr">
        <is>
          <t>ÖSTHAMMAR</t>
        </is>
      </c>
      <c r="H581" t="inlineStr">
        <is>
          <t>Övriga Aktiebolag</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56260-2022</t>
        </is>
      </c>
      <c r="B582" t="inlineStr">
        <is>
          <t>avverkningsanmälan</t>
        </is>
      </c>
      <c r="C582" t="inlineStr">
        <is>
          <t>Avverkning för annat ändamål</t>
        </is>
      </c>
      <c r="D582" s="1" t="n">
        <v>44890</v>
      </c>
      <c r="E582" s="1" t="n">
        <v>46313</v>
      </c>
      <c r="F582" t="inlineStr">
        <is>
          <t>UPPSALA LÄN</t>
        </is>
      </c>
      <c r="G582" t="inlineStr">
        <is>
          <t>ÖSTHAMMAR</t>
        </is>
      </c>
      <c r="H582" t="inlineStr">
        <is>
          <t>Bergvik skog öst AB</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37856-2026</t>
        </is>
      </c>
      <c r="B583" t="inlineStr">
        <is>
          <t>avverkningsanmälan</t>
        </is>
      </c>
      <c r="C583" t="inlineStr">
        <is>
          <t>Föryngringsavverkning</t>
        </is>
      </c>
      <c r="D583" s="1" t="n">
        <v>46279</v>
      </c>
      <c r="E583" s="1" t="n">
        <v>46313</v>
      </c>
      <c r="F583" t="inlineStr">
        <is>
          <t>UPPSALA LÄN</t>
        </is>
      </c>
      <c r="G583" t="inlineStr">
        <is>
          <t>ÖSTHAMMAR</t>
        </is>
      </c>
      <c r="H583" t="inlineStr">
        <is>
          <t>Bergvik skog öst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37518-2026</t>
        </is>
      </c>
      <c r="B584" t="inlineStr">
        <is>
          <t>avverkningsanmälan</t>
        </is>
      </c>
      <c r="C584" t="inlineStr">
        <is>
          <t>Föryngringsavverkning</t>
        </is>
      </c>
      <c r="D584" s="1" t="n">
        <v>46276</v>
      </c>
      <c r="E584" s="1" t="n">
        <v>46313</v>
      </c>
      <c r="F584" t="inlineStr">
        <is>
          <t>UPPSALA LÄN</t>
        </is>
      </c>
      <c r="G584" t="inlineStr">
        <is>
          <t>ÖSTHAMMAR</t>
        </is>
      </c>
      <c r="H584" t="inlineStr">
        <is>
          <t>Bergvik skog öst AB</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62394-2022</t>
        </is>
      </c>
      <c r="B585" t="inlineStr">
        <is>
          <t>avverkningsanmälan</t>
        </is>
      </c>
      <c r="C585" t="inlineStr">
        <is>
          <t>Föryngringsavverkning</t>
        </is>
      </c>
      <c r="D585" s="1" t="n">
        <v>44923</v>
      </c>
      <c r="E585" s="1" t="n">
        <v>46313</v>
      </c>
      <c r="F585" t="inlineStr">
        <is>
          <t>UPPSALA LÄN</t>
        </is>
      </c>
      <c r="G585" t="inlineStr">
        <is>
          <t>ÖSTHAMMAR</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37521-2026</t>
        </is>
      </c>
      <c r="B586" t="inlineStr">
        <is>
          <t>avverkningsanmälan</t>
        </is>
      </c>
      <c r="C586" t="inlineStr">
        <is>
          <t>Föryngringsavverkning</t>
        </is>
      </c>
      <c r="D586" s="1" t="n">
        <v>46276</v>
      </c>
      <c r="E586" s="1" t="n">
        <v>46313</v>
      </c>
      <c r="F586" t="inlineStr">
        <is>
          <t>UPPSALA LÄN</t>
        </is>
      </c>
      <c r="G586" t="inlineStr">
        <is>
          <t>ÖSTHAMMAR</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8616-2023</t>
        </is>
      </c>
      <c r="B587" t="inlineStr">
        <is>
          <t>avverkningsanmälan</t>
        </is>
      </c>
      <c r="C587" t="inlineStr">
        <is>
          <t>Föryngringsavverkning</t>
        </is>
      </c>
      <c r="D587" s="1" t="n">
        <v>44977</v>
      </c>
      <c r="E587" s="1" t="n">
        <v>46313</v>
      </c>
      <c r="F587" t="inlineStr">
        <is>
          <t>UPPSALA LÄN</t>
        </is>
      </c>
      <c r="G587" t="inlineStr">
        <is>
          <t>ÖSTHAMMAR</t>
        </is>
      </c>
      <c r="H587" t="inlineStr">
        <is>
          <t>Bergvik skog öst AB</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34742-2022</t>
        </is>
      </c>
      <c r="B588" t="inlineStr">
        <is>
          <t>avverkningsanmälan</t>
        </is>
      </c>
      <c r="C588" t="inlineStr">
        <is>
          <t>Föryngringsavverkning</t>
        </is>
      </c>
      <c r="D588" s="1" t="n">
        <v>44795</v>
      </c>
      <c r="E588" s="1" t="n">
        <v>46313</v>
      </c>
      <c r="F588" t="inlineStr">
        <is>
          <t>UPPSALA LÄN</t>
        </is>
      </c>
      <c r="G588" t="inlineStr">
        <is>
          <t>ÖSTHAMMAR</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38254-2026</t>
        </is>
      </c>
      <c r="B589" t="inlineStr">
        <is>
          <t>avverkningsanmälan</t>
        </is>
      </c>
      <c r="C589" t="inlineStr">
        <is>
          <t>Föryngringsavverkning</t>
        </is>
      </c>
      <c r="D589" s="1" t="n">
        <v>46281</v>
      </c>
      <c r="E589" s="1" t="n">
        <v>46313</v>
      </c>
      <c r="F589" t="inlineStr">
        <is>
          <t>UPPSALA LÄN</t>
        </is>
      </c>
      <c r="G589" t="inlineStr">
        <is>
          <t>ÖSTHAMMAR</t>
        </is>
      </c>
      <c r="H589" t="inlineStr">
        <is>
          <t>Bergvik skog öst AB</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38257-2026</t>
        </is>
      </c>
      <c r="B590" t="inlineStr">
        <is>
          <t>avverkningsanmälan</t>
        </is>
      </c>
      <c r="C590" t="inlineStr">
        <is>
          <t>Föryngringsavverkning</t>
        </is>
      </c>
      <c r="D590" s="1" t="n">
        <v>46281</v>
      </c>
      <c r="E590" s="1" t="n">
        <v>46313</v>
      </c>
      <c r="F590" t="inlineStr">
        <is>
          <t>UPPSALA LÄN</t>
        </is>
      </c>
      <c r="G590" t="inlineStr">
        <is>
          <t>ÖSTHAMMAR</t>
        </is>
      </c>
      <c r="H590" t="inlineStr">
        <is>
          <t>Bergvik skog öst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55090-2024</t>
        </is>
      </c>
      <c r="B591" t="inlineStr">
        <is>
          <t>avverkningsanmälan</t>
        </is>
      </c>
      <c r="C591" t="inlineStr">
        <is>
          <t>Föryngringsavverkning</t>
        </is>
      </c>
      <c r="D591" s="1" t="n">
        <v>45621</v>
      </c>
      <c r="E591" s="1" t="n">
        <v>46313</v>
      </c>
      <c r="F591" t="inlineStr">
        <is>
          <t>UPPSALA LÄN</t>
        </is>
      </c>
      <c r="G591" t="inlineStr">
        <is>
          <t>ÖSTHAMMAR</t>
        </is>
      </c>
      <c r="H591" t="inlineStr">
        <is>
          <t>Sveaskog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55093-2024</t>
        </is>
      </c>
      <c r="B592" t="inlineStr">
        <is>
          <t>avverkningsanmälan</t>
        </is>
      </c>
      <c r="C592" t="inlineStr">
        <is>
          <t>Föryngringsavverkning</t>
        </is>
      </c>
      <c r="D592" s="1" t="n">
        <v>45621</v>
      </c>
      <c r="E592" s="1" t="n">
        <v>46313</v>
      </c>
      <c r="F592" t="inlineStr">
        <is>
          <t>UPPSALA LÄN</t>
        </is>
      </c>
      <c r="G592" t="inlineStr">
        <is>
          <t>ÖSTHAMMAR</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55097-2024</t>
        </is>
      </c>
      <c r="B593" t="inlineStr">
        <is>
          <t>avverkningsanmälan</t>
        </is>
      </c>
      <c r="C593" t="inlineStr">
        <is>
          <t>Föryngringsavverkning</t>
        </is>
      </c>
      <c r="D593" s="1" t="n">
        <v>45621</v>
      </c>
      <c r="E593" s="1" t="n">
        <v>46313</v>
      </c>
      <c r="F593" t="inlineStr">
        <is>
          <t>UPPSALA LÄN</t>
        </is>
      </c>
      <c r="G593" t="inlineStr">
        <is>
          <t>ÖSTHAMMAR</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32514-2026</t>
        </is>
      </c>
      <c r="B594" t="inlineStr">
        <is>
          <t>avverkningsanmälan</t>
        </is>
      </c>
      <c r="C594" t="inlineStr">
        <is>
          <t>Föryngringsavverkning</t>
        </is>
      </c>
      <c r="D594" s="1" t="n">
        <v>46239</v>
      </c>
      <c r="E594" s="1" t="n">
        <v>46313</v>
      </c>
      <c r="F594" t="inlineStr">
        <is>
          <t>UPPSALA LÄN</t>
        </is>
      </c>
      <c r="G594" t="inlineStr">
        <is>
          <t>ÖSTHAMMAR</t>
        </is>
      </c>
      <c r="H594" t="inlineStr">
        <is>
          <t>Bergvik skog öst AB</t>
        </is>
      </c>
      <c r="I594" t="n">
        <v>6.1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32515-2026</t>
        </is>
      </c>
      <c r="B595" t="inlineStr">
        <is>
          <t>avverkningsanmälan</t>
        </is>
      </c>
      <c r="C595" t="inlineStr">
        <is>
          <t>Föryngringsavverkning</t>
        </is>
      </c>
      <c r="D595" s="1" t="n">
        <v>46239</v>
      </c>
      <c r="E595" s="1" t="n">
        <v>46313</v>
      </c>
      <c r="F595" t="inlineStr">
        <is>
          <t>UPPSALA LÄN</t>
        </is>
      </c>
      <c r="G595" t="inlineStr">
        <is>
          <t>ÖSTHAMMAR</t>
        </is>
      </c>
      <c r="H595" t="inlineStr">
        <is>
          <t>Bergvik skog öst AB</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32593-2026</t>
        </is>
      </c>
      <c r="B596" t="inlineStr">
        <is>
          <t>avverkningsanmälan</t>
        </is>
      </c>
      <c r="C596" t="inlineStr">
        <is>
          <t>Föryngringsavverkning</t>
        </is>
      </c>
      <c r="D596" s="1" t="n">
        <v>46240</v>
      </c>
      <c r="E596" s="1" t="n">
        <v>46313</v>
      </c>
      <c r="F596" t="inlineStr">
        <is>
          <t>UPPSALA LÄN</t>
        </is>
      </c>
      <c r="G596" t="inlineStr">
        <is>
          <t>ÖSTHAMMAR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38324-2026</t>
        </is>
      </c>
      <c r="B597" t="inlineStr">
        <is>
          <t>avverkningsanmälan</t>
        </is>
      </c>
      <c r="C597" t="inlineStr">
        <is>
          <t>Föryngringsavverkning</t>
        </is>
      </c>
      <c r="D597" s="1" t="n">
        <v>46282</v>
      </c>
      <c r="E597" s="1" t="n">
        <v>46313</v>
      </c>
      <c r="F597" t="inlineStr">
        <is>
          <t>UPPSALA LÄN</t>
        </is>
      </c>
      <c r="G597" t="inlineStr">
        <is>
          <t>ÖSTHAMMAR</t>
        </is>
      </c>
      <c r="H597" t="inlineStr">
        <is>
          <t>Kyrkan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3327-2023</t>
        </is>
      </c>
      <c r="B598" t="inlineStr">
        <is>
          <t>avverkningsanmälan</t>
        </is>
      </c>
      <c r="C598" t="inlineStr">
        <is>
          <t>Föryngringsavverkning</t>
        </is>
      </c>
      <c r="D598" s="1" t="n">
        <v>44949</v>
      </c>
      <c r="E598" s="1" t="n">
        <v>46313</v>
      </c>
      <c r="F598" t="inlineStr">
        <is>
          <t>UPPSALA LÄN</t>
        </is>
      </c>
      <c r="G598" t="inlineStr">
        <is>
          <t>ÖSTHAMMAR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32694-2026</t>
        </is>
      </c>
      <c r="B599" t="inlineStr">
        <is>
          <t>avverkningsanmälan</t>
        </is>
      </c>
      <c r="C599" t="inlineStr">
        <is>
          <t>Föryngringsavverkning</t>
        </is>
      </c>
      <c r="D599" s="1" t="n">
        <v>46240</v>
      </c>
      <c r="E599" s="1" t="n">
        <v>46313</v>
      </c>
      <c r="F599" t="inlineStr">
        <is>
          <t>UPPSALA LÄN</t>
        </is>
      </c>
      <c r="G599" t="inlineStr">
        <is>
          <t>ÖSTHAMMAR</t>
        </is>
      </c>
      <c r="H599" t="inlineStr">
        <is>
          <t>Bergvik skog öst AB</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32696-2026</t>
        </is>
      </c>
      <c r="B600" t="inlineStr">
        <is>
          <t>avverkningsanmälan</t>
        </is>
      </c>
      <c r="C600" t="inlineStr">
        <is>
          <t>Föryngringsavverkning</t>
        </is>
      </c>
      <c r="D600" s="1" t="n">
        <v>46240</v>
      </c>
      <c r="E600" s="1" t="n">
        <v>46313</v>
      </c>
      <c r="F600" t="inlineStr">
        <is>
          <t>UPPSALA LÄN</t>
        </is>
      </c>
      <c r="G600" t="inlineStr">
        <is>
          <t>ÖSTHAMMAR</t>
        </is>
      </c>
      <c r="H600" t="inlineStr">
        <is>
          <t>Bergvik skog öst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32697-2026</t>
        </is>
      </c>
      <c r="B601" t="inlineStr">
        <is>
          <t>avverkningsanmälan</t>
        </is>
      </c>
      <c r="C601" t="inlineStr">
        <is>
          <t>Föryngringsavverkning</t>
        </is>
      </c>
      <c r="D601" s="1" t="n">
        <v>46240</v>
      </c>
      <c r="E601" s="1" t="n">
        <v>46313</v>
      </c>
      <c r="F601" t="inlineStr">
        <is>
          <t>UPPSALA LÄN</t>
        </is>
      </c>
      <c r="G601" t="inlineStr">
        <is>
          <t>ÖSTHAMMAR</t>
        </is>
      </c>
      <c r="H601" t="inlineStr">
        <is>
          <t>Bergvik skog öst AB</t>
        </is>
      </c>
      <c r="I601" t="n">
        <v>11.2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41821-2023</t>
        </is>
      </c>
      <c r="B602" t="inlineStr">
        <is>
          <t>avverkningsanmälan</t>
        </is>
      </c>
      <c r="C602" t="inlineStr">
        <is>
          <t>Föryngringsavverkning</t>
        </is>
      </c>
      <c r="D602" s="1" t="n">
        <v>45176</v>
      </c>
      <c r="E602" s="1" t="n">
        <v>46313</v>
      </c>
      <c r="F602" t="inlineStr">
        <is>
          <t>UPPSALA LÄN</t>
        </is>
      </c>
      <c r="G602" t="inlineStr">
        <is>
          <t>ÖSTHAMMAR</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14272-2025</t>
        </is>
      </c>
      <c r="B603" t="inlineStr">
        <is>
          <t>avverkningsanmälan</t>
        </is>
      </c>
      <c r="C603" t="inlineStr">
        <is>
          <t>Föryngringsavverkning</t>
        </is>
      </c>
      <c r="D603" s="1" t="n">
        <v>45740</v>
      </c>
      <c r="E603" s="1" t="n">
        <v>46313</v>
      </c>
      <c r="F603" t="inlineStr">
        <is>
          <t>UPPSALA LÄN</t>
        </is>
      </c>
      <c r="G603" t="inlineStr">
        <is>
          <t>ÖSTHAMMAR</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12215-2023</t>
        </is>
      </c>
      <c r="B604" t="inlineStr">
        <is>
          <t>avverkningsanmälan</t>
        </is>
      </c>
      <c r="C604" t="inlineStr">
        <is>
          <t>Föryngringsavverkning</t>
        </is>
      </c>
      <c r="D604" s="1" t="n">
        <v>44998</v>
      </c>
      <c r="E604" s="1" t="n">
        <v>46313</v>
      </c>
      <c r="F604" t="inlineStr">
        <is>
          <t>UPPSALA LÄN</t>
        </is>
      </c>
      <c r="G604" t="inlineStr">
        <is>
          <t>ÖSTHAMMAR</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66779-2021</t>
        </is>
      </c>
      <c r="B605" t="inlineStr">
        <is>
          <t>avverkningsanmälan</t>
        </is>
      </c>
      <c r="C605" t="inlineStr">
        <is>
          <t>Föryngringsavverkning</t>
        </is>
      </c>
      <c r="D605" s="1" t="n">
        <v>44522</v>
      </c>
      <c r="E605" s="1" t="n">
        <v>46313</v>
      </c>
      <c r="F605" t="inlineStr">
        <is>
          <t>UPPSALA LÄN</t>
        </is>
      </c>
      <c r="G605" t="inlineStr">
        <is>
          <t>ÖSTHAMMAR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32812-2026</t>
        </is>
      </c>
      <c r="B606" t="inlineStr">
        <is>
          <t>avverkningsanmälan</t>
        </is>
      </c>
      <c r="C606" t="inlineStr">
        <is>
          <t>Föryngringsavverkning</t>
        </is>
      </c>
      <c r="D606" s="1" t="n">
        <v>46241</v>
      </c>
      <c r="E606" s="1" t="n">
        <v>46313</v>
      </c>
      <c r="F606" t="inlineStr">
        <is>
          <t>UPPSALA LÄN</t>
        </is>
      </c>
      <c r="G606" t="inlineStr">
        <is>
          <t>ÖSTHAMMAR</t>
        </is>
      </c>
      <c r="H606" t="inlineStr">
        <is>
          <t>Bergvik skog öst AB</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70495-2021</t>
        </is>
      </c>
      <c r="B607" t="inlineStr">
        <is>
          <t>avverkningsanmälan</t>
        </is>
      </c>
      <c r="C607" t="inlineStr">
        <is>
          <t>Föryngringsavverkning</t>
        </is>
      </c>
      <c r="D607" s="1" t="n">
        <v>44536</v>
      </c>
      <c r="E607" s="1" t="n">
        <v>46313</v>
      </c>
      <c r="F607" t="inlineStr">
        <is>
          <t>UPPSALA LÄN</t>
        </is>
      </c>
      <c r="G607" t="inlineStr">
        <is>
          <t>ÖSTHAMMAR</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3638-2022</t>
        </is>
      </c>
      <c r="B608" t="inlineStr">
        <is>
          <t>avverkningsanmälan</t>
        </is>
      </c>
      <c r="C608" t="inlineStr">
        <is>
          <t>Föryngringsavverkning</t>
        </is>
      </c>
      <c r="D608" s="1" t="n">
        <v>44578</v>
      </c>
      <c r="E608" s="1" t="n">
        <v>46313</v>
      </c>
      <c r="F608" t="inlineStr">
        <is>
          <t>UPPSALA LÄN</t>
        </is>
      </c>
      <c r="G608" t="inlineStr">
        <is>
          <t>ÖSTHAMMAR</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39199-2026</t>
        </is>
      </c>
      <c r="B609" t="inlineStr">
        <is>
          <t>avverkningsanmälan</t>
        </is>
      </c>
      <c r="C609" t="inlineStr">
        <is>
          <t>Föryngringsavverkning</t>
        </is>
      </c>
      <c r="D609" s="1" t="n">
        <v>46287</v>
      </c>
      <c r="E609" s="1" t="n">
        <v>46313</v>
      </c>
      <c r="F609" t="inlineStr">
        <is>
          <t>UPPSALA LÄN</t>
        </is>
      </c>
      <c r="G609" t="inlineStr">
        <is>
          <t>ÖSTHAMMAR</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38964-2026</t>
        </is>
      </c>
      <c r="B610" t="inlineStr">
        <is>
          <t>avverkningsanmälan</t>
        </is>
      </c>
      <c r="C610" t="inlineStr">
        <is>
          <t>Föryngringsavverkning</t>
        </is>
      </c>
      <c r="D610" s="1" t="n">
        <v>46286</v>
      </c>
      <c r="E610" s="1" t="n">
        <v>46313</v>
      </c>
      <c r="F610" t="inlineStr">
        <is>
          <t>UPPSALA LÄN</t>
        </is>
      </c>
      <c r="G610" t="inlineStr">
        <is>
          <t>ÖSTHAMMAR</t>
        </is>
      </c>
      <c r="I610" t="n">
        <v>12.8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49897-2023</t>
        </is>
      </c>
      <c r="B611" t="inlineStr">
        <is>
          <t>avverkningsanmälan</t>
        </is>
      </c>
      <c r="C611" t="inlineStr">
        <is>
          <t>Avverkning för att bevara och utveckla /försöksver</t>
        </is>
      </c>
      <c r="D611" s="1" t="n">
        <v>45213</v>
      </c>
      <c r="E611" s="1" t="n">
        <v>46313</v>
      </c>
      <c r="F611" t="inlineStr">
        <is>
          <t>UPPSALA LÄN</t>
        </is>
      </c>
      <c r="G611" t="inlineStr">
        <is>
          <t>ÖSTHAMMAR</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37812-2022</t>
        </is>
      </c>
      <c r="B612" t="inlineStr">
        <is>
          <t>avverkningsanmälan</t>
        </is>
      </c>
      <c r="C612" t="inlineStr">
        <is>
          <t>Föryngringsavverkning</t>
        </is>
      </c>
      <c r="D612" s="1" t="n">
        <v>44810</v>
      </c>
      <c r="E612" s="1" t="n">
        <v>46313</v>
      </c>
      <c r="F612" t="inlineStr">
        <is>
          <t>UPPSALA LÄN</t>
        </is>
      </c>
      <c r="G612" t="inlineStr">
        <is>
          <t>ÖSTHAMMAR</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33330-2026</t>
        </is>
      </c>
      <c r="B613" t="inlineStr">
        <is>
          <t>avverkningsanmälan</t>
        </is>
      </c>
      <c r="C613" t="inlineStr">
        <is>
          <t>Föryngringsavverkning</t>
        </is>
      </c>
      <c r="D613" s="1" t="n">
        <v>46246</v>
      </c>
      <c r="E613" s="1" t="n">
        <v>46313</v>
      </c>
      <c r="F613" t="inlineStr">
        <is>
          <t>UPPSALA LÄN</t>
        </is>
      </c>
      <c r="G613" t="inlineStr">
        <is>
          <t>ÖSTHAMMAR</t>
        </is>
      </c>
      <c r="H613" t="inlineStr">
        <is>
          <t>Bergvik skog öst AB</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33172-2026</t>
        </is>
      </c>
      <c r="B614" t="inlineStr">
        <is>
          <t>avverkningsanmälan</t>
        </is>
      </c>
      <c r="C614" t="inlineStr">
        <is>
          <t>Föryngringsavverkning</t>
        </is>
      </c>
      <c r="D614" s="1" t="n">
        <v>46245</v>
      </c>
      <c r="E614" s="1" t="n">
        <v>46313</v>
      </c>
      <c r="F614" t="inlineStr">
        <is>
          <t>UPPSALA LÄN</t>
        </is>
      </c>
      <c r="G614" t="inlineStr">
        <is>
          <t>ÖSTHAMMAR</t>
        </is>
      </c>
      <c r="H614" t="inlineStr">
        <is>
          <t>Övriga Aktiebolag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60555-2023</t>
        </is>
      </c>
      <c r="B615" t="inlineStr">
        <is>
          <t>avverkningsanmälan</t>
        </is>
      </c>
      <c r="C615" t="inlineStr">
        <is>
          <t>Föryngringsavverkning</t>
        </is>
      </c>
      <c r="D615" s="1" t="n">
        <v>45259</v>
      </c>
      <c r="E615" s="1" t="n">
        <v>46313</v>
      </c>
      <c r="F615" t="inlineStr">
        <is>
          <t>UPPSALA LÄN</t>
        </is>
      </c>
      <c r="G615" t="inlineStr">
        <is>
          <t>ÖSTHAMMAR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33331-2026</t>
        </is>
      </c>
      <c r="B616" t="inlineStr">
        <is>
          <t>avverkningsanmälan</t>
        </is>
      </c>
      <c r="C616" t="inlineStr">
        <is>
          <t>Föryngringsavverkning</t>
        </is>
      </c>
      <c r="D616" s="1" t="n">
        <v>46246</v>
      </c>
      <c r="E616" s="1" t="n">
        <v>46313</v>
      </c>
      <c r="F616" t="inlineStr">
        <is>
          <t>UPPSALA LÄN</t>
        </is>
      </c>
      <c r="G616" t="inlineStr">
        <is>
          <t>ÖSTHAMMAR</t>
        </is>
      </c>
      <c r="H616" t="inlineStr">
        <is>
          <t>Bergvik skog öst AB</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39520-2026</t>
        </is>
      </c>
      <c r="B617" t="inlineStr">
        <is>
          <t>avverkningsanmälan</t>
        </is>
      </c>
      <c r="C617" t="inlineStr">
        <is>
          <t>Föryngringsavverkning</t>
        </is>
      </c>
      <c r="D617" s="1" t="n">
        <v>46289</v>
      </c>
      <c r="E617" s="1" t="n">
        <v>46313</v>
      </c>
      <c r="F617" t="inlineStr">
        <is>
          <t>UPPSALA LÄN</t>
        </is>
      </c>
      <c r="G617" t="inlineStr">
        <is>
          <t>ÖSTHAMMAR</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44815-2022</t>
        </is>
      </c>
      <c r="B618" t="inlineStr">
        <is>
          <t>avverkningsanmälan</t>
        </is>
      </c>
      <c r="C618" t="inlineStr">
        <is>
          <t>Föryngringsavverkning</t>
        </is>
      </c>
      <c r="D618" s="1" t="n">
        <v>44841</v>
      </c>
      <c r="E618" s="1" t="n">
        <v>46313</v>
      </c>
      <c r="F618" t="inlineStr">
        <is>
          <t>UPPSALA LÄN</t>
        </is>
      </c>
      <c r="G618" t="inlineStr">
        <is>
          <t>ÖSTHAMMAR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73483-2021</t>
        </is>
      </c>
      <c r="B619" t="inlineStr">
        <is>
          <t>avverkningsanmälan</t>
        </is>
      </c>
      <c r="C619" t="inlineStr">
        <is>
          <t>Föryngringsavverkning</t>
        </is>
      </c>
      <c r="D619" s="1" t="n">
        <v>44550</v>
      </c>
      <c r="E619" s="1" t="n">
        <v>46313</v>
      </c>
      <c r="F619" t="inlineStr">
        <is>
          <t>UPPSALA LÄN</t>
        </is>
      </c>
      <c r="G619" t="inlineStr">
        <is>
          <t>ÖSTHAMMAR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6121-2024</t>
        </is>
      </c>
      <c r="B620" t="inlineStr">
        <is>
          <t>avverkningsanmälan</t>
        </is>
      </c>
      <c r="C620" t="inlineStr">
        <is>
          <t>Föryngringsavverkning</t>
        </is>
      </c>
      <c r="D620" s="1" t="n">
        <v>45337</v>
      </c>
      <c r="E620" s="1" t="n">
        <v>46313</v>
      </c>
      <c r="F620" t="inlineStr">
        <is>
          <t>UPPSALA LÄN</t>
        </is>
      </c>
      <c r="G620" t="inlineStr">
        <is>
          <t>ÖSTHAMMAR</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62391-2022</t>
        </is>
      </c>
      <c r="B621" t="inlineStr">
        <is>
          <t>avverkningsanmälan</t>
        </is>
      </c>
      <c r="C621" t="inlineStr">
        <is>
          <t>Föryngringsavverkning</t>
        </is>
      </c>
      <c r="D621" s="1" t="n">
        <v>44923</v>
      </c>
      <c r="E621" s="1" t="n">
        <v>46313</v>
      </c>
      <c r="F621" t="inlineStr">
        <is>
          <t>UPPSALA LÄN</t>
        </is>
      </c>
      <c r="G621" t="inlineStr">
        <is>
          <t>ÖSTHAMMAR</t>
        </is>
      </c>
      <c r="H621" t="inlineStr">
        <is>
          <t>Bergvik skog öst AB</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40106-2026</t>
        </is>
      </c>
      <c r="B622" t="inlineStr">
        <is>
          <t>avverkningsanmälan</t>
        </is>
      </c>
      <c r="C622" t="inlineStr">
        <is>
          <t>Föryngringsavverkning</t>
        </is>
      </c>
      <c r="D622" s="1" t="n">
        <v>46293</v>
      </c>
      <c r="E622" s="1" t="n">
        <v>46313</v>
      </c>
      <c r="F622" t="inlineStr">
        <is>
          <t>UPPSALA LÄN</t>
        </is>
      </c>
      <c r="G622" t="inlineStr">
        <is>
          <t>ÖSTHAMMAR</t>
        </is>
      </c>
      <c r="H622" t="inlineStr">
        <is>
          <t>Bergvik skog öst AB</t>
        </is>
      </c>
      <c r="I622" t="n">
        <v>26.6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39833-2026</t>
        </is>
      </c>
      <c r="B623" t="inlineStr">
        <is>
          <t>avverkningsanmälan</t>
        </is>
      </c>
      <c r="C623" t="inlineStr">
        <is>
          <t>Föryngringsavverkning</t>
        </is>
      </c>
      <c r="D623" s="1" t="n">
        <v>46290</v>
      </c>
      <c r="E623" s="1" t="n">
        <v>46313</v>
      </c>
      <c r="F623" t="inlineStr">
        <is>
          <t>UPPSALA LÄN</t>
        </is>
      </c>
      <c r="G623" t="inlineStr">
        <is>
          <t>ÖSTHAMMAR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54314-2023</t>
        </is>
      </c>
      <c r="B624" t="inlineStr">
        <is>
          <t>avverkningsanmälan</t>
        </is>
      </c>
      <c r="C624" t="inlineStr">
        <is>
          <t>Föryngringsavverkning</t>
        </is>
      </c>
      <c r="D624" s="1" t="n">
        <v>45225</v>
      </c>
      <c r="E624" s="1" t="n">
        <v>46313</v>
      </c>
      <c r="F624" t="inlineStr">
        <is>
          <t>UPPSALA LÄN</t>
        </is>
      </c>
      <c r="G624" t="inlineStr">
        <is>
          <t>ÖSTHAMMAR</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4233-2023</t>
        </is>
      </c>
      <c r="B625" t="inlineStr">
        <is>
          <t>avverkningsanmälan</t>
        </is>
      </c>
      <c r="C625" t="inlineStr">
        <is>
          <t>Föryngringsavverkning</t>
        </is>
      </c>
      <c r="D625" s="1" t="n">
        <v>44953</v>
      </c>
      <c r="E625" s="1" t="n">
        <v>46313</v>
      </c>
      <c r="F625" t="inlineStr">
        <is>
          <t>UPPSALA LÄN</t>
        </is>
      </c>
      <c r="G625" t="inlineStr">
        <is>
          <t>ÖSTHAMMAR</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73592-2021</t>
        </is>
      </c>
      <c r="B626" t="inlineStr">
        <is>
          <t>avverkningsanmälan</t>
        </is>
      </c>
      <c r="C626" t="inlineStr">
        <is>
          <t>Föryngringsavverkning</t>
        </is>
      </c>
      <c r="D626" s="1" t="n">
        <v>44552</v>
      </c>
      <c r="E626" s="1" t="n">
        <v>46313</v>
      </c>
      <c r="F626" t="inlineStr">
        <is>
          <t>UPPSALA LÄN</t>
        </is>
      </c>
      <c r="G626" t="inlineStr">
        <is>
          <t>ÖSTHAMMAR</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25938-2024</t>
        </is>
      </c>
      <c r="B627" t="inlineStr">
        <is>
          <t>avverkningsanmälan</t>
        </is>
      </c>
      <c r="C627" t="inlineStr">
        <is>
          <t>Föryngringsavverkning</t>
        </is>
      </c>
      <c r="D627" s="1" t="n">
        <v>45467</v>
      </c>
      <c r="E627" s="1" t="n">
        <v>46313</v>
      </c>
      <c r="F627" t="inlineStr">
        <is>
          <t>UPPSALA LÄN</t>
        </is>
      </c>
      <c r="G627" t="inlineStr">
        <is>
          <t>ÖSTHAMMAR</t>
        </is>
      </c>
      <c r="H627" t="inlineStr">
        <is>
          <t>Bergvik skog öst AB</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35539-2023</t>
        </is>
      </c>
      <c r="B628" t="inlineStr">
        <is>
          <t>avverkningsanmälan</t>
        </is>
      </c>
      <c r="C628" t="inlineStr">
        <is>
          <t>Föryngringsavverkning</t>
        </is>
      </c>
      <c r="D628" s="1" t="n">
        <v>45147</v>
      </c>
      <c r="E628" s="1" t="n">
        <v>46313</v>
      </c>
      <c r="F628" t="inlineStr">
        <is>
          <t>UPPSALA LÄN</t>
        </is>
      </c>
      <c r="G628" t="inlineStr">
        <is>
          <t>ÖSTHAMMAR</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32744-2022</t>
        </is>
      </c>
      <c r="B629" t="inlineStr">
        <is>
          <t>avverkningsanmälan</t>
        </is>
      </c>
      <c r="C629" t="inlineStr">
        <is>
          <t>Föryngringsavverkning</t>
        </is>
      </c>
      <c r="D629" s="1" t="n">
        <v>44783</v>
      </c>
      <c r="E629" s="1" t="n">
        <v>46313</v>
      </c>
      <c r="F629" t="inlineStr">
        <is>
          <t>UPPSALA LÄN</t>
        </is>
      </c>
      <c r="G629" t="inlineStr">
        <is>
          <t>ÖSTHAMMAR</t>
        </is>
      </c>
      <c r="H629" t="inlineStr">
        <is>
          <t>Bergvik skog öst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8006-2023</t>
        </is>
      </c>
      <c r="B630" t="inlineStr">
        <is>
          <t>avverkningsanmälan</t>
        </is>
      </c>
      <c r="C630" t="inlineStr">
        <is>
          <t>Föryngringsavverkning</t>
        </is>
      </c>
      <c r="D630" s="1" t="n">
        <v>44973</v>
      </c>
      <c r="E630" s="1" t="n">
        <v>46313</v>
      </c>
      <c r="F630" t="inlineStr">
        <is>
          <t>UPPSALA LÄN</t>
        </is>
      </c>
      <c r="G630" t="inlineStr">
        <is>
          <t>ÖSTHAMMAR</t>
        </is>
      </c>
      <c r="H630" t="inlineStr">
        <is>
          <t>Bergvik skog öst AB</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33988-2026</t>
        </is>
      </c>
      <c r="B631" t="inlineStr">
        <is>
          <t>avverkningsanmälan</t>
        </is>
      </c>
      <c r="C631" t="inlineStr">
        <is>
          <t>Föryngringsavverkning</t>
        </is>
      </c>
      <c r="D631" s="1" t="n">
        <v>46252</v>
      </c>
      <c r="E631" s="1" t="n">
        <v>46313</v>
      </c>
      <c r="F631" t="inlineStr">
        <is>
          <t>UPPSALA LÄN</t>
        </is>
      </c>
      <c r="G631" t="inlineStr">
        <is>
          <t>ÖSTHAMMAR</t>
        </is>
      </c>
      <c r="H631" t="inlineStr">
        <is>
          <t>Övriga Aktiebolag</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7543-2023</t>
        </is>
      </c>
      <c r="B632" t="inlineStr">
        <is>
          <t>avverkningsanmälan</t>
        </is>
      </c>
      <c r="C632" t="inlineStr">
        <is>
          <t>Föryngringsavverkning</t>
        </is>
      </c>
      <c r="D632" s="1" t="n">
        <v>44972</v>
      </c>
      <c r="E632" s="1" t="n">
        <v>46313</v>
      </c>
      <c r="F632" t="inlineStr">
        <is>
          <t>UPPSALA LÄN</t>
        </is>
      </c>
      <c r="G632" t="inlineStr">
        <is>
          <t>ÖSTHAMMAR</t>
        </is>
      </c>
      <c r="H632" t="inlineStr">
        <is>
          <t>Bergvik skog öst AB</t>
        </is>
      </c>
      <c r="I632" t="n">
        <v>13.3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4676-2025</t>
        </is>
      </c>
      <c r="B633" t="inlineStr">
        <is>
          <t>avverkningsanmälan</t>
        </is>
      </c>
      <c r="C633" t="inlineStr">
        <is>
          <t>Föryngringsavverkning</t>
        </is>
      </c>
      <c r="D633" s="1" t="n">
        <v>45687</v>
      </c>
      <c r="E633" s="1" t="n">
        <v>46313</v>
      </c>
      <c r="F633" t="inlineStr">
        <is>
          <t>UPPSALA LÄN</t>
        </is>
      </c>
      <c r="G633" t="inlineStr">
        <is>
          <t>ÖSTHAMMAR</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6517-2026</t>
        </is>
      </c>
      <c r="B634" t="inlineStr">
        <is>
          <t>avverkningsanmälan</t>
        </is>
      </c>
      <c r="C634" t="inlineStr">
        <is>
          <t>Föryngringsavverkning</t>
        </is>
      </c>
      <c r="D634" s="1" t="n">
        <v>46056</v>
      </c>
      <c r="E634" s="1" t="n">
        <v>46313</v>
      </c>
      <c r="F634" t="inlineStr">
        <is>
          <t>UPPSALA LÄN</t>
        </is>
      </c>
      <c r="G634" t="inlineStr">
        <is>
          <t>ÖSTHAMMAR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24259-2022</t>
        </is>
      </c>
      <c r="B635" t="inlineStr">
        <is>
          <t>avverkningsanmälan</t>
        </is>
      </c>
      <c r="C635" t="inlineStr">
        <is>
          <t>Föryngringsavverkning</t>
        </is>
      </c>
      <c r="D635" s="1" t="n">
        <v>44725</v>
      </c>
      <c r="E635" s="1" t="n">
        <v>46313</v>
      </c>
      <c r="F635" t="inlineStr">
        <is>
          <t>UPPSALA LÄN</t>
        </is>
      </c>
      <c r="G635" t="inlineStr">
        <is>
          <t>ÖSTHAMMAR</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18113-2023</t>
        </is>
      </c>
      <c r="B636" t="inlineStr">
        <is>
          <t>avverkningsanmälan</t>
        </is>
      </c>
      <c r="C636" t="inlineStr">
        <is>
          <t>Föryngringsavverkning</t>
        </is>
      </c>
      <c r="D636" s="1" t="n">
        <v>45040</v>
      </c>
      <c r="E636" s="1" t="n">
        <v>46313</v>
      </c>
      <c r="F636" t="inlineStr">
        <is>
          <t>UPPSALA LÄN</t>
        </is>
      </c>
      <c r="G636" t="inlineStr">
        <is>
          <t>ÖSTHAMMAR</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61216-2022</t>
        </is>
      </c>
      <c r="B637" t="inlineStr">
        <is>
          <t>avverkningsanmälan</t>
        </is>
      </c>
      <c r="C637" t="inlineStr">
        <is>
          <t>Föryngringsavverkning</t>
        </is>
      </c>
      <c r="D637" s="1" t="n">
        <v>44915</v>
      </c>
      <c r="E637" s="1" t="n">
        <v>46313</v>
      </c>
      <c r="F637" t="inlineStr">
        <is>
          <t>UPPSALA LÄN</t>
        </is>
      </c>
      <c r="G637" t="inlineStr">
        <is>
          <t>ÖSTHAMMAR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27660-2023</t>
        </is>
      </c>
      <c r="B638" t="inlineStr">
        <is>
          <t>avverkningsanmälan</t>
        </is>
      </c>
      <c r="C638" t="inlineStr">
        <is>
          <t>Föryngringsavverkning</t>
        </is>
      </c>
      <c r="D638" s="1" t="n">
        <v>45097</v>
      </c>
      <c r="E638" s="1" t="n">
        <v>46313</v>
      </c>
      <c r="F638" t="inlineStr">
        <is>
          <t>UPPSALA LÄN</t>
        </is>
      </c>
      <c r="G638" t="inlineStr">
        <is>
          <t>ÖSTHAMMAR</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69411-2021</t>
        </is>
      </c>
      <c r="B639" t="inlineStr">
        <is>
          <t>avverkningsanmälan</t>
        </is>
      </c>
      <c r="C639" t="inlineStr">
        <is>
          <t>Föryngringsavverkning</t>
        </is>
      </c>
      <c r="D639" s="1" t="n">
        <v>44531</v>
      </c>
      <c r="E639" s="1" t="n">
        <v>46313</v>
      </c>
      <c r="F639" t="inlineStr">
        <is>
          <t>UPPSALA LÄN</t>
        </is>
      </c>
      <c r="G639" t="inlineStr">
        <is>
          <t>ÖSTHAMMAR</t>
        </is>
      </c>
      <c r="H639" t="inlineStr">
        <is>
          <t>Bergvik skog öst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37857-2026</t>
        </is>
      </c>
      <c r="B640" t="inlineStr">
        <is>
          <t>avverkningsanmälan</t>
        </is>
      </c>
      <c r="C640" t="inlineStr">
        <is>
          <t>Föryngringsavverkning</t>
        </is>
      </c>
      <c r="D640" s="1" t="n">
        <v>46279</v>
      </c>
      <c r="E640" s="1" t="n">
        <v>46313</v>
      </c>
      <c r="F640" t="inlineStr">
        <is>
          <t>UPPSALA LÄN</t>
        </is>
      </c>
      <c r="G640" t="inlineStr">
        <is>
          <t>ÖSTHAMMAR</t>
        </is>
      </c>
      <c r="H640" t="inlineStr">
        <is>
          <t>Bergvik skog öst AB</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34276-2026</t>
        </is>
      </c>
      <c r="B641" t="inlineStr">
        <is>
          <t>avverkningsanmälan</t>
        </is>
      </c>
      <c r="C641" t="inlineStr">
        <is>
          <t>Föryngringsavverkning</t>
        </is>
      </c>
      <c r="D641" s="1" t="n">
        <v>46253</v>
      </c>
      <c r="E641" s="1" t="n">
        <v>46313</v>
      </c>
      <c r="F641" t="inlineStr">
        <is>
          <t>UPPSALA LÄN</t>
        </is>
      </c>
      <c r="G641" t="inlineStr">
        <is>
          <t>ÖSTHAMMAR</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26303-2024</t>
        </is>
      </c>
      <c r="B642" t="inlineStr">
        <is>
          <t>avverkningsanmälan</t>
        </is>
      </c>
      <c r="C642" t="inlineStr">
        <is>
          <t>Föryngringsavverkning</t>
        </is>
      </c>
      <c r="D642" s="1" t="n">
        <v>45468</v>
      </c>
      <c r="E642" s="1" t="n">
        <v>46313</v>
      </c>
      <c r="F642" t="inlineStr">
        <is>
          <t>UPPSALA LÄN</t>
        </is>
      </c>
      <c r="G642" t="inlineStr">
        <is>
          <t>ÖSTHAMMAR</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6522-2026</t>
        </is>
      </c>
      <c r="B643" t="inlineStr">
        <is>
          <t>avverkningsanmälan</t>
        </is>
      </c>
      <c r="C643" t="inlineStr">
        <is>
          <t>Föryngringsavverkning</t>
        </is>
      </c>
      <c r="D643" s="1" t="n">
        <v>46056</v>
      </c>
      <c r="E643" s="1" t="n">
        <v>46313</v>
      </c>
      <c r="F643" t="inlineStr">
        <is>
          <t>UPPSALA LÄN</t>
        </is>
      </c>
      <c r="G643" t="inlineStr">
        <is>
          <t>ÖSTHAMMAR</t>
        </is>
      </c>
      <c r="H643" t="inlineStr">
        <is>
          <t>Bergvik skog öst AB</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41127-2026</t>
        </is>
      </c>
      <c r="B644" t="inlineStr">
        <is>
          <t>avverkningsanmälan</t>
        </is>
      </c>
      <c r="C644" t="inlineStr">
        <is>
          <t>Föryngringsavverkning</t>
        </is>
      </c>
      <c r="D644" s="1" t="n">
        <v>46300</v>
      </c>
      <c r="E644" s="1" t="n">
        <v>46313</v>
      </c>
      <c r="F644" t="inlineStr">
        <is>
          <t>UPPSALA LÄN</t>
        </is>
      </c>
      <c r="G644" t="inlineStr">
        <is>
          <t>ÖSTHAMMAR</t>
        </is>
      </c>
      <c r="H644" t="inlineStr">
        <is>
          <t>Övriga Aktiebolag</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60577-2021</t>
        </is>
      </c>
      <c r="B645" t="inlineStr">
        <is>
          <t>avverkningsanmälan</t>
        </is>
      </c>
      <c r="C645" t="inlineStr">
        <is>
          <t>Föryngringsavverkning</t>
        </is>
      </c>
      <c r="D645" s="1" t="n">
        <v>44496</v>
      </c>
      <c r="E645" s="1" t="n">
        <v>46313</v>
      </c>
      <c r="F645" t="inlineStr">
        <is>
          <t>UPPSALA LÄN</t>
        </is>
      </c>
      <c r="G645" t="inlineStr">
        <is>
          <t>ÖSTHAMMAR</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34782-2026</t>
        </is>
      </c>
      <c r="B646" t="inlineStr">
        <is>
          <t>avverkningsanmälan</t>
        </is>
      </c>
      <c r="C646" t="inlineStr">
        <is>
          <t>Föryngringsavverkning</t>
        </is>
      </c>
      <c r="D646" s="1" t="n">
        <v>46258</v>
      </c>
      <c r="E646" s="1" t="n">
        <v>46313</v>
      </c>
      <c r="F646" t="inlineStr">
        <is>
          <t>UPPSALA LÄN</t>
        </is>
      </c>
      <c r="G646" t="inlineStr">
        <is>
          <t>ÖSTHAMMAR</t>
        </is>
      </c>
      <c r="H646" t="inlineStr">
        <is>
          <t>Övriga Aktiebolag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27476-2025</t>
        </is>
      </c>
      <c r="B647" t="inlineStr">
        <is>
          <t>avverkningsanmälan</t>
        </is>
      </c>
      <c r="C647" t="inlineStr">
        <is>
          <t>Föryngringsavverkning</t>
        </is>
      </c>
      <c r="D647" s="1" t="n">
        <v>45813</v>
      </c>
      <c r="E647" s="1" t="n">
        <v>46313</v>
      </c>
      <c r="F647" t="inlineStr">
        <is>
          <t>UPPSALA LÄN</t>
        </is>
      </c>
      <c r="G647" t="inlineStr">
        <is>
          <t>ÖSTHAMMAR</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1791-2023</t>
        </is>
      </c>
      <c r="B648" t="inlineStr">
        <is>
          <t>avverkningsanmälan</t>
        </is>
      </c>
      <c r="C648" t="inlineStr">
        <is>
          <t>Föryngringsavverkning</t>
        </is>
      </c>
      <c r="D648" s="1" t="n">
        <v>44938</v>
      </c>
      <c r="E648" s="1" t="n">
        <v>46313</v>
      </c>
      <c r="F648" t="inlineStr">
        <is>
          <t>UPPSALA LÄN</t>
        </is>
      </c>
      <c r="G648" t="inlineStr">
        <is>
          <t>ÖSTHAMMAR</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41138-2026</t>
        </is>
      </c>
      <c r="B649" t="inlineStr">
        <is>
          <t>avverkningsanmälan</t>
        </is>
      </c>
      <c r="C649" t="inlineStr">
        <is>
          <t>Föryngringsavverkning</t>
        </is>
      </c>
      <c r="D649" s="1" t="n">
        <v>46300</v>
      </c>
      <c r="E649" s="1" t="n">
        <v>46313</v>
      </c>
      <c r="F649" t="inlineStr">
        <is>
          <t>UPPSALA LÄN</t>
        </is>
      </c>
      <c r="G649" t="inlineStr">
        <is>
          <t>ÖSTHAMMAR</t>
        </is>
      </c>
      <c r="H649" t="inlineStr">
        <is>
          <t>Övriga Aktiebolag</t>
        </is>
      </c>
      <c r="I649" t="n">
        <v>9.800000000000001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41143-2026</t>
        </is>
      </c>
      <c r="B650" t="inlineStr">
        <is>
          <t>avverkningsanmälan</t>
        </is>
      </c>
      <c r="C650" t="inlineStr">
        <is>
          <t>Föryngringsavverkning</t>
        </is>
      </c>
      <c r="D650" s="1" t="n">
        <v>46300</v>
      </c>
      <c r="E650" s="1" t="n">
        <v>46313</v>
      </c>
      <c r="F650" t="inlineStr">
        <is>
          <t>UPPSALA LÄN</t>
        </is>
      </c>
      <c r="G650" t="inlineStr">
        <is>
          <t>ÖSTHAMMAR</t>
        </is>
      </c>
      <c r="H650" t="inlineStr">
        <is>
          <t>Övriga Aktiebolag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41146-2026</t>
        </is>
      </c>
      <c r="B651" t="inlineStr">
        <is>
          <t>avverkningsanmälan</t>
        </is>
      </c>
      <c r="C651" t="inlineStr">
        <is>
          <t>Föryngringsavverkning</t>
        </is>
      </c>
      <c r="D651" s="1" t="n">
        <v>46300</v>
      </c>
      <c r="E651" s="1" t="n">
        <v>46313</v>
      </c>
      <c r="F651" t="inlineStr">
        <is>
          <t>UPPSALA LÄN</t>
        </is>
      </c>
      <c r="G651" t="inlineStr">
        <is>
          <t>ÖSTHAMMAR</t>
        </is>
      </c>
      <c r="H651" t="inlineStr">
        <is>
          <t>Övriga Aktiebolag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49796-2024</t>
        </is>
      </c>
      <c r="B652" t="inlineStr">
        <is>
          <t>avverkningsanmälan</t>
        </is>
      </c>
      <c r="C652" t="inlineStr">
        <is>
          <t>Föryngringsavverkning</t>
        </is>
      </c>
      <c r="D652" s="1" t="n">
        <v>45597</v>
      </c>
      <c r="E652" s="1" t="n">
        <v>46313</v>
      </c>
      <c r="F652" t="inlineStr">
        <is>
          <t>UPPSALA LÄN</t>
        </is>
      </c>
      <c r="G652" t="inlineStr">
        <is>
          <t>ÖSTHAMMAR</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26161-2026</t>
        </is>
      </c>
      <c r="B653" t="inlineStr">
        <is>
          <t>avverkningsanmälan</t>
        </is>
      </c>
      <c r="C653" t="inlineStr">
        <is>
          <t>Föryngringsavverkning</t>
        </is>
      </c>
      <c r="D653" s="1" t="n">
        <v>46181</v>
      </c>
      <c r="E653" s="1" t="n">
        <v>46313</v>
      </c>
      <c r="F653" t="inlineStr">
        <is>
          <t>UPPSALA LÄN</t>
        </is>
      </c>
      <c r="G653" t="inlineStr">
        <is>
          <t>ÖSTHAMMAR</t>
        </is>
      </c>
      <c r="H653" t="inlineStr">
        <is>
          <t>Bergvik skog öst AB</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3642-2026</t>
        </is>
      </c>
      <c r="B654" t="inlineStr">
        <is>
          <t>avverkningsanmälan</t>
        </is>
      </c>
      <c r="C654" t="inlineStr">
        <is>
          <t>Föryngringsavverkning</t>
        </is>
      </c>
      <c r="D654" s="1" t="n">
        <v>46043</v>
      </c>
      <c r="E654" s="1" t="n">
        <v>46313</v>
      </c>
      <c r="F654" t="inlineStr">
        <is>
          <t>UPPSALA LÄN</t>
        </is>
      </c>
      <c r="G654" t="inlineStr">
        <is>
          <t>ÖSTHAMMAR</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25399-2026</t>
        </is>
      </c>
      <c r="B655" t="inlineStr">
        <is>
          <t>avverkningsanmälan</t>
        </is>
      </c>
      <c r="C655" t="inlineStr">
        <is>
          <t>Föryngringsavverkning</t>
        </is>
      </c>
      <c r="D655" s="1" t="n">
        <v>46176</v>
      </c>
      <c r="E655" s="1" t="n">
        <v>46313</v>
      </c>
      <c r="F655" t="inlineStr">
        <is>
          <t>UPPSALA LÄN</t>
        </is>
      </c>
      <c r="G655" t="inlineStr">
        <is>
          <t>ÖSTHAMMAR</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42262-2024</t>
        </is>
      </c>
      <c r="B656" t="inlineStr">
        <is>
          <t>avverkningsanmälan</t>
        </is>
      </c>
      <c r="C656" t="inlineStr">
        <is>
          <t>Föryngringsavverkning</t>
        </is>
      </c>
      <c r="D656" s="1" t="n">
        <v>45562</v>
      </c>
      <c r="E656" s="1" t="n">
        <v>46313</v>
      </c>
      <c r="F656" t="inlineStr">
        <is>
          <t>UPPSALA LÄN</t>
        </is>
      </c>
      <c r="G656" t="inlineStr">
        <is>
          <t>ÖSTHAMMAR</t>
        </is>
      </c>
      <c r="H656" t="inlineStr">
        <is>
          <t>Bergvik skog öst AB</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34779-2026</t>
        </is>
      </c>
      <c r="B657" t="inlineStr">
        <is>
          <t>avverkningsanmälan</t>
        </is>
      </c>
      <c r="C657" t="inlineStr">
        <is>
          <t>Föryngringsavverkning</t>
        </is>
      </c>
      <c r="D657" s="1" t="n">
        <v>46258</v>
      </c>
      <c r="E657" s="1" t="n">
        <v>46313</v>
      </c>
      <c r="F657" t="inlineStr">
        <is>
          <t>UPPSALA LÄN</t>
        </is>
      </c>
      <c r="G657" t="inlineStr">
        <is>
          <t>ÖSTHAMMAR</t>
        </is>
      </c>
      <c r="H657" t="inlineStr">
        <is>
          <t>Övriga Aktiebolag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34786-2026</t>
        </is>
      </c>
      <c r="B658" t="inlineStr">
        <is>
          <t>avverkningsanmälan</t>
        </is>
      </c>
      <c r="C658" t="inlineStr">
        <is>
          <t>Föryngringsavverkning</t>
        </is>
      </c>
      <c r="D658" s="1" t="n">
        <v>46258</v>
      </c>
      <c r="E658" s="1" t="n">
        <v>46313</v>
      </c>
      <c r="F658" t="inlineStr">
        <is>
          <t>UPPSALA LÄN</t>
        </is>
      </c>
      <c r="G658" t="inlineStr">
        <is>
          <t>ÖSTHAMMAR</t>
        </is>
      </c>
      <c r="H658" t="inlineStr">
        <is>
          <t>Övriga Aktiebolag</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25856-2026</t>
        </is>
      </c>
      <c r="B659" t="inlineStr">
        <is>
          <t>avverkningsanmälan</t>
        </is>
      </c>
      <c r="C659" t="inlineStr">
        <is>
          <t>Föryngringsavverkning</t>
        </is>
      </c>
      <c r="D659" s="1" t="n">
        <v>46178</v>
      </c>
      <c r="E659" s="1" t="n">
        <v>46313</v>
      </c>
      <c r="F659" t="inlineStr">
        <is>
          <t>UPPSALA LÄN</t>
        </is>
      </c>
      <c r="G659" t="inlineStr">
        <is>
          <t>ÖSTHAMMAR</t>
        </is>
      </c>
      <c r="H659" t="inlineStr">
        <is>
          <t>Bergvik skog öst AB</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41148-2026</t>
        </is>
      </c>
      <c r="B660" t="inlineStr">
        <is>
          <t>avverkningsanmälan</t>
        </is>
      </c>
      <c r="C660" t="inlineStr">
        <is>
          <t>Föryngringsavverkning</t>
        </is>
      </c>
      <c r="D660" s="1" t="n">
        <v>46300</v>
      </c>
      <c r="E660" s="1" t="n">
        <v>46313</v>
      </c>
      <c r="F660" t="inlineStr">
        <is>
          <t>UPPSALA LÄN</t>
        </is>
      </c>
      <c r="G660" t="inlineStr">
        <is>
          <t>ÖSTHAMMAR</t>
        </is>
      </c>
      <c r="H660" t="inlineStr">
        <is>
          <t>Övriga Aktiebolag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41078-2026</t>
        </is>
      </c>
      <c r="B661" t="inlineStr">
        <is>
          <t>avverkningsanmälan</t>
        </is>
      </c>
      <c r="C661" t="inlineStr">
        <is>
          <t>Föryngringsavverkning</t>
        </is>
      </c>
      <c r="D661" s="1" t="n">
        <v>46300</v>
      </c>
      <c r="E661" s="1" t="n">
        <v>46313</v>
      </c>
      <c r="F661" t="inlineStr">
        <is>
          <t>UPPSALA LÄN</t>
        </is>
      </c>
      <c r="G661" t="inlineStr">
        <is>
          <t>ÖSTHAMMAR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36954-2024</t>
        </is>
      </c>
      <c r="B662" t="inlineStr">
        <is>
          <t>avverkningsanmälan</t>
        </is>
      </c>
      <c r="C662" t="inlineStr">
        <is>
          <t>Föryngringsavverkning</t>
        </is>
      </c>
      <c r="D662" s="1" t="n">
        <v>45538</v>
      </c>
      <c r="E662" s="1" t="n">
        <v>46313</v>
      </c>
      <c r="F662" t="inlineStr">
        <is>
          <t>UPPSALA LÄN</t>
        </is>
      </c>
      <c r="G662" t="inlineStr">
        <is>
          <t>ÖSTHAMMAR</t>
        </is>
      </c>
      <c r="H662" t="inlineStr">
        <is>
          <t>Bergvik skog öst AB</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33685-2024</t>
        </is>
      </c>
      <c r="B663" t="inlineStr">
        <is>
          <t>avverkningsanmälan</t>
        </is>
      </c>
      <c r="C663" t="inlineStr">
        <is>
          <t>Föryngringsavverkning</t>
        </is>
      </c>
      <c r="D663" s="1" t="n">
        <v>45520</v>
      </c>
      <c r="E663" s="1" t="n">
        <v>46313</v>
      </c>
      <c r="F663" t="inlineStr">
        <is>
          <t>UPPSALA LÄN</t>
        </is>
      </c>
      <c r="G663" t="inlineStr">
        <is>
          <t>ÖSTHAMMAR</t>
        </is>
      </c>
      <c r="H663" t="inlineStr">
        <is>
          <t>Bergvik skog öst AB</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43655-2024</t>
        </is>
      </c>
      <c r="B664" t="inlineStr">
        <is>
          <t>avverkningsanmälan</t>
        </is>
      </c>
      <c r="C664" t="inlineStr">
        <is>
          <t>Föryngringsavverkning</t>
        </is>
      </c>
      <c r="D664" s="1" t="n">
        <v>45569</v>
      </c>
      <c r="E664" s="1" t="n">
        <v>46313</v>
      </c>
      <c r="F664" t="inlineStr">
        <is>
          <t>UPPSALA LÄN</t>
        </is>
      </c>
      <c r="G664" t="inlineStr">
        <is>
          <t>ÖSTHAMMAR</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14595-2023</t>
        </is>
      </c>
      <c r="B665" t="inlineStr">
        <is>
          <t>avverkningsanmälan</t>
        </is>
      </c>
      <c r="C665" t="inlineStr">
        <is>
          <t>Föryngringsavverkning</t>
        </is>
      </c>
      <c r="D665" s="1" t="n">
        <v>45013</v>
      </c>
      <c r="E665" s="1" t="n">
        <v>46313</v>
      </c>
      <c r="F665" t="inlineStr">
        <is>
          <t>UPPSALA LÄN</t>
        </is>
      </c>
      <c r="G665" t="inlineStr">
        <is>
          <t>ÖSTHAMMAR</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38575-2024</t>
        </is>
      </c>
      <c r="B666" t="inlineStr">
        <is>
          <t>avverkningsanmälan</t>
        </is>
      </c>
      <c r="C666" t="inlineStr">
        <is>
          <t>Föryngringsavverkning</t>
        </is>
      </c>
      <c r="D666" s="1" t="n">
        <v>45546</v>
      </c>
      <c r="E666" s="1" t="n">
        <v>46313</v>
      </c>
      <c r="F666" t="inlineStr">
        <is>
          <t>UPPSALA LÄN</t>
        </is>
      </c>
      <c r="G666" t="inlineStr">
        <is>
          <t>ÖSTHAMMAR</t>
        </is>
      </c>
      <c r="H666" t="inlineStr">
        <is>
          <t>Bergvik skog öst AB</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43685-2024</t>
        </is>
      </c>
      <c r="B667" t="inlineStr">
        <is>
          <t>avverkningsanmälan</t>
        </is>
      </c>
      <c r="C667" t="inlineStr">
        <is>
          <t>Föryngringsavverkning</t>
        </is>
      </c>
      <c r="D667" s="1" t="n">
        <v>45569</v>
      </c>
      <c r="E667" s="1" t="n">
        <v>46313</v>
      </c>
      <c r="F667" t="inlineStr">
        <is>
          <t>UPPSALA LÄN</t>
        </is>
      </c>
      <c r="G667" t="inlineStr">
        <is>
          <t>ÖSTHAMMAR</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44796-2024</t>
        </is>
      </c>
      <c r="B668" t="inlineStr">
        <is>
          <t>avverkningsanmälan</t>
        </is>
      </c>
      <c r="C668" t="inlineStr">
        <is>
          <t>Avverkning för annat ändamål</t>
        </is>
      </c>
      <c r="D668" s="1" t="n">
        <v>45574</v>
      </c>
      <c r="E668" s="1" t="n">
        <v>46313</v>
      </c>
      <c r="F668" t="inlineStr">
        <is>
          <t>UPPSALA LÄN</t>
        </is>
      </c>
      <c r="G668" t="inlineStr">
        <is>
          <t>ÖSTHAMMAR</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44027-2024</t>
        </is>
      </c>
      <c r="B669" t="inlineStr">
        <is>
          <t>avverkningsanmälan</t>
        </is>
      </c>
      <c r="C669" t="inlineStr">
        <is>
          <t>Föryngringsavverkning</t>
        </is>
      </c>
      <c r="D669" s="1" t="n">
        <v>45572</v>
      </c>
      <c r="E669" s="1" t="n">
        <v>46313</v>
      </c>
      <c r="F669" t="inlineStr">
        <is>
          <t>UPPSALA LÄN</t>
        </is>
      </c>
      <c r="G669" t="inlineStr">
        <is>
          <t>ÖSTHAMMAR</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5931-2022</t>
        </is>
      </c>
      <c r="B670" t="inlineStr">
        <is>
          <t>avverkningsanmälan</t>
        </is>
      </c>
      <c r="C670" t="inlineStr">
        <is>
          <t>Föryngringsavverkning</t>
        </is>
      </c>
      <c r="D670" s="1" t="n">
        <v>44598</v>
      </c>
      <c r="E670" s="1" t="n">
        <v>46313</v>
      </c>
      <c r="F670" t="inlineStr">
        <is>
          <t>UPPSALA LÄN</t>
        </is>
      </c>
      <c r="G670" t="inlineStr">
        <is>
          <t>ÖSTHAMMAR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43683-2024</t>
        </is>
      </c>
      <c r="B671" t="inlineStr">
        <is>
          <t>avverkningsanmälan</t>
        </is>
      </c>
      <c r="C671" t="inlineStr">
        <is>
          <t>Föryngringsavverkning</t>
        </is>
      </c>
      <c r="D671" s="1" t="n">
        <v>45569</v>
      </c>
      <c r="E671" s="1" t="n">
        <v>46313</v>
      </c>
      <c r="F671" t="inlineStr">
        <is>
          <t>UPPSALA LÄN</t>
        </is>
      </c>
      <c r="G671" t="inlineStr">
        <is>
          <t>ÖSTHAMMAR</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28973-2026</t>
        </is>
      </c>
      <c r="B672" t="inlineStr">
        <is>
          <t>avverkningsanmälan</t>
        </is>
      </c>
      <c r="C672" t="inlineStr">
        <is>
          <t>Föryngringsavverkning</t>
        </is>
      </c>
      <c r="D672" s="1" t="n">
        <v>46199</v>
      </c>
      <c r="E672" s="1" t="n">
        <v>46313</v>
      </c>
      <c r="F672" t="inlineStr">
        <is>
          <t>UPPSALA LÄN</t>
        </is>
      </c>
      <c r="G672" t="inlineStr">
        <is>
          <t>ÖSTHAMMAR</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43993-2024</t>
        </is>
      </c>
      <c r="B673" t="inlineStr">
        <is>
          <t>avverkningsanmälan</t>
        </is>
      </c>
      <c r="C673" t="inlineStr">
        <is>
          <t>Föryngringsavverkning</t>
        </is>
      </c>
      <c r="D673" s="1" t="n">
        <v>45572</v>
      </c>
      <c r="E673" s="1" t="n">
        <v>46313</v>
      </c>
      <c r="F673" t="inlineStr">
        <is>
          <t>UPPSALA LÄN</t>
        </is>
      </c>
      <c r="G673" t="inlineStr">
        <is>
          <t>ÖSTHAMMAR</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59291-2023</t>
        </is>
      </c>
      <c r="B674" t="inlineStr">
        <is>
          <t>avverkningsanmälan</t>
        </is>
      </c>
      <c r="C674" t="inlineStr">
        <is>
          <t>Föryngringsavverkning</t>
        </is>
      </c>
      <c r="D674" s="1" t="n">
        <v>45253</v>
      </c>
      <c r="E674" s="1" t="n">
        <v>46313</v>
      </c>
      <c r="F674" t="inlineStr">
        <is>
          <t>UPPSALA LÄN</t>
        </is>
      </c>
      <c r="G674" t="inlineStr">
        <is>
          <t>ÖSTHAMMAR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34847-2026</t>
        </is>
      </c>
      <c r="B675" t="inlineStr">
        <is>
          <t>avverkningsanmälan</t>
        </is>
      </c>
      <c r="C675" t="inlineStr">
        <is>
          <t>Föryngringsavverkning</t>
        </is>
      </c>
      <c r="D675" s="1" t="n">
        <v>46258</v>
      </c>
      <c r="E675" s="1" t="n">
        <v>46313</v>
      </c>
      <c r="F675" t="inlineStr">
        <is>
          <t>UPPSALA LÄN</t>
        </is>
      </c>
      <c r="G675" t="inlineStr">
        <is>
          <t>ÖSTHAMMAR</t>
        </is>
      </c>
      <c r="H675" t="inlineStr">
        <is>
          <t>Bergvik skog öst AB</t>
        </is>
      </c>
      <c r="I675" t="n">
        <v>11.2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34978-2026</t>
        </is>
      </c>
      <c r="B676" t="inlineStr">
        <is>
          <t>avverkningsanmälan</t>
        </is>
      </c>
      <c r="C676" t="inlineStr">
        <is>
          <t>Föryngringsavverkning</t>
        </is>
      </c>
      <c r="D676" s="1" t="n">
        <v>46259</v>
      </c>
      <c r="E676" s="1" t="n">
        <v>46313</v>
      </c>
      <c r="F676" t="inlineStr">
        <is>
          <t>UPPSALA LÄN</t>
        </is>
      </c>
      <c r="G676" t="inlineStr">
        <is>
          <t>ÖSTHAMMAR</t>
        </is>
      </c>
      <c r="H676" t="inlineStr">
        <is>
          <t>Bergvik skog öst AB</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35197-2026</t>
        </is>
      </c>
      <c r="B677" t="inlineStr">
        <is>
          <t>avverkningsanmälan</t>
        </is>
      </c>
      <c r="C677" t="inlineStr">
        <is>
          <t>Föryngringsavverkning</t>
        </is>
      </c>
      <c r="D677" s="1" t="n">
        <v>46260</v>
      </c>
      <c r="E677" s="1" t="n">
        <v>46313</v>
      </c>
      <c r="F677" t="inlineStr">
        <is>
          <t>UPPSALA LÄN</t>
        </is>
      </c>
      <c r="G677" t="inlineStr">
        <is>
          <t>ÖSTHAMMAR</t>
        </is>
      </c>
      <c r="H677" t="inlineStr">
        <is>
          <t>Bergvik skog öst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42141-2026</t>
        </is>
      </c>
      <c r="B678" t="inlineStr">
        <is>
          <t>avverkningsanmälan</t>
        </is>
      </c>
      <c r="C678" t="inlineStr">
        <is>
          <t>Föryngringsavverkning</t>
        </is>
      </c>
      <c r="D678" s="1" t="n">
        <v>46304</v>
      </c>
      <c r="E678" s="1" t="n">
        <v>46313</v>
      </c>
      <c r="F678" t="inlineStr">
        <is>
          <t>UPPSALA LÄN</t>
        </is>
      </c>
      <c r="G678" t="inlineStr">
        <is>
          <t>ÖSTHAMMAR</t>
        </is>
      </c>
      <c r="H678" t="inlineStr">
        <is>
          <t>Bergvik skog öst AB</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42142-2026</t>
        </is>
      </c>
      <c r="B679" t="inlineStr">
        <is>
          <t>avverkningsanmälan</t>
        </is>
      </c>
      <c r="C679" t="inlineStr">
        <is>
          <t>Föryngringsavverkning</t>
        </is>
      </c>
      <c r="D679" s="1" t="n">
        <v>46304</v>
      </c>
      <c r="E679" s="1" t="n">
        <v>46313</v>
      </c>
      <c r="F679" t="inlineStr">
        <is>
          <t>UPPSALA LÄN</t>
        </is>
      </c>
      <c r="G679" t="inlineStr">
        <is>
          <t>ÖSTHAMMAR</t>
        </is>
      </c>
      <c r="H679" t="inlineStr">
        <is>
          <t>Bergvik skog öst AB</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1584-2025</t>
        </is>
      </c>
      <c r="B680" t="inlineStr">
        <is>
          <t>avverkningsanmälan</t>
        </is>
      </c>
      <c r="C680" t="inlineStr">
        <is>
          <t>Föryngringsavverkning</t>
        </is>
      </c>
      <c r="D680" s="1" t="n">
        <v>45670</v>
      </c>
      <c r="E680" s="1" t="n">
        <v>46313</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30972-2024</t>
        </is>
      </c>
      <c r="B681" t="inlineStr">
        <is>
          <t>avverkningsanmälan</t>
        </is>
      </c>
      <c r="C681" t="inlineStr">
        <is>
          <t>Föryngringsavverkning</t>
        </is>
      </c>
      <c r="D681" s="1" t="n">
        <v>45499</v>
      </c>
      <c r="E681" s="1" t="n">
        <v>46313</v>
      </c>
      <c r="F681" t="inlineStr">
        <is>
          <t>UPPSALA LÄN</t>
        </is>
      </c>
      <c r="G681" t="inlineStr">
        <is>
          <t>ÖSTHAMMAR</t>
        </is>
      </c>
      <c r="H681" t="inlineStr">
        <is>
          <t>Bergvik skog öst AB</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24160-2024</t>
        </is>
      </c>
      <c r="B682" t="inlineStr">
        <is>
          <t>avverkningsanmälan</t>
        </is>
      </c>
      <c r="C682" t="inlineStr">
        <is>
          <t>Föryngringsavverkning</t>
        </is>
      </c>
      <c r="D682" s="1" t="n">
        <v>45456</v>
      </c>
      <c r="E682" s="1" t="n">
        <v>46313</v>
      </c>
      <c r="F682" t="inlineStr">
        <is>
          <t>UPPSALA LÄN</t>
        </is>
      </c>
      <c r="G682" t="inlineStr">
        <is>
          <t>ÖSTHAMMAR</t>
        </is>
      </c>
      <c r="H682" t="inlineStr">
        <is>
          <t>Bergvik skog öst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24415-2025</t>
        </is>
      </c>
      <c r="B683" t="inlineStr">
        <is>
          <t>avverkningsanmälan</t>
        </is>
      </c>
      <c r="C683" t="inlineStr">
        <is>
          <t>Föryngringsavverkning</t>
        </is>
      </c>
      <c r="D683" s="1" t="n">
        <v>45797</v>
      </c>
      <c r="E683" s="1" t="n">
        <v>46313</v>
      </c>
      <c r="F683" t="inlineStr">
        <is>
          <t>UPPSALA LÄN</t>
        </is>
      </c>
      <c r="G683" t="inlineStr">
        <is>
          <t>ÖSTHAMMAR</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22241-2026</t>
        </is>
      </c>
      <c r="B684" t="inlineStr">
        <is>
          <t>avverkningsanmälan</t>
        </is>
      </c>
      <c r="C684" t="inlineStr">
        <is>
          <t>Föryngringsavverkning</t>
        </is>
      </c>
      <c r="D684" s="1" t="n">
        <v>46154</v>
      </c>
      <c r="E684" s="1" t="n">
        <v>46313</v>
      </c>
      <c r="F684" t="inlineStr">
        <is>
          <t>UPPSALA LÄN</t>
        </is>
      </c>
      <c r="G684" t="inlineStr">
        <is>
          <t>ÖSTHAMMAR</t>
        </is>
      </c>
      <c r="H684" t="inlineStr">
        <is>
          <t>Övriga Aktiebolag</t>
        </is>
      </c>
      <c r="I684" t="n">
        <v>14.6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22709-2026</t>
        </is>
      </c>
      <c r="B685" t="inlineStr">
        <is>
          <t>avverkningsanmälan</t>
        </is>
      </c>
      <c r="C685" t="inlineStr">
        <is>
          <t>Föryngringsavverkning</t>
        </is>
      </c>
      <c r="D685" s="1" t="n">
        <v>46156</v>
      </c>
      <c r="E685" s="1" t="n">
        <v>46313</v>
      </c>
      <c r="F685" t="inlineStr">
        <is>
          <t>UPPSALA LÄN</t>
        </is>
      </c>
      <c r="G685" t="inlineStr">
        <is>
          <t>ÖSTHAMMAR</t>
        </is>
      </c>
      <c r="H685" t="inlineStr">
        <is>
          <t>Övriga Aktiebolag</t>
        </is>
      </c>
      <c r="I685" t="n">
        <v>15.5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35517-2026</t>
        </is>
      </c>
      <c r="B686" t="inlineStr">
        <is>
          <t>avverkningsanmälan</t>
        </is>
      </c>
      <c r="C686" t="inlineStr">
        <is>
          <t>Föryngringsavverkning</t>
        </is>
      </c>
      <c r="D686" s="1" t="n">
        <v>46262</v>
      </c>
      <c r="E686" s="1" t="n">
        <v>46313</v>
      </c>
      <c r="F686" t="inlineStr">
        <is>
          <t>UPPSALA LÄN</t>
        </is>
      </c>
      <c r="G686" t="inlineStr">
        <is>
          <t>ÖSTHAMMAR</t>
        </is>
      </c>
      <c r="H686" t="inlineStr">
        <is>
          <t>Bergvik skog öst AB</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31336-2026</t>
        </is>
      </c>
      <c r="B687" t="inlineStr">
        <is>
          <t>avverkningsanmälan</t>
        </is>
      </c>
      <c r="C687" t="inlineStr">
        <is>
          <t>Föryngringsavverkning</t>
        </is>
      </c>
      <c r="D687" s="1" t="n">
        <v>46219</v>
      </c>
      <c r="E687" s="1" t="n">
        <v>46313</v>
      </c>
      <c r="F687" t="inlineStr">
        <is>
          <t>UPPSALA LÄN</t>
        </is>
      </c>
      <c r="G687" t="inlineStr">
        <is>
          <t>ÖSTHAMMAR</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47614-2025</t>
        </is>
      </c>
      <c r="B688" t="inlineStr">
        <is>
          <t>avverkningsanmälan</t>
        </is>
      </c>
      <c r="C688" t="inlineStr">
        <is>
          <t>Föryngringsavverkning</t>
        </is>
      </c>
      <c r="D688" s="1" t="n">
        <v>45931</v>
      </c>
      <c r="E688" s="1" t="n">
        <v>46313</v>
      </c>
      <c r="F688" t="inlineStr">
        <is>
          <t>UPPSALA LÄN</t>
        </is>
      </c>
      <c r="G688" t="inlineStr">
        <is>
          <t>ÖSTHAMMAR</t>
        </is>
      </c>
      <c r="I688" t="n">
        <v>22.8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27490-2025</t>
        </is>
      </c>
      <c r="B689" t="inlineStr">
        <is>
          <t>avverkningsanmälan</t>
        </is>
      </c>
      <c r="C689" t="inlineStr">
        <is>
          <t>Föryngringsavverkning</t>
        </is>
      </c>
      <c r="D689" s="1" t="n">
        <v>45813</v>
      </c>
      <c r="E689" s="1" t="n">
        <v>46313</v>
      </c>
      <c r="F689" t="inlineStr">
        <is>
          <t>UPPSALA LÄN</t>
        </is>
      </c>
      <c r="G689" t="inlineStr">
        <is>
          <t>ÖSTHAMMAR</t>
        </is>
      </c>
      <c r="H689" t="inlineStr">
        <is>
          <t>Bergvik skog öst AB</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33078-2026</t>
        </is>
      </c>
      <c r="B690" t="inlineStr">
        <is>
          <t>avverkningsanmälan</t>
        </is>
      </c>
      <c r="C690" t="inlineStr">
        <is>
          <t>Föryngringsavverkning</t>
        </is>
      </c>
      <c r="D690" s="1" t="n">
        <v>46245</v>
      </c>
      <c r="E690" s="1" t="n">
        <v>46313</v>
      </c>
      <c r="F690" t="inlineStr">
        <is>
          <t>UPPSALA LÄN</t>
        </is>
      </c>
      <c r="G690" t="inlineStr">
        <is>
          <t>ÖSTHAMMAR</t>
        </is>
      </c>
      <c r="H690" t="inlineStr">
        <is>
          <t>Övriga Aktiebolag</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12945-2025</t>
        </is>
      </c>
      <c r="B691" t="inlineStr">
        <is>
          <t>avverkningsanmälan</t>
        </is>
      </c>
      <c r="C691" t="inlineStr">
        <is>
          <t>Föryngringsavverkning</t>
        </is>
      </c>
      <c r="D691" s="1" t="n">
        <v>45734</v>
      </c>
      <c r="E691" s="1" t="n">
        <v>46313</v>
      </c>
      <c r="F691" t="inlineStr">
        <is>
          <t>UPPSALA LÄN</t>
        </is>
      </c>
      <c r="G691" t="inlineStr">
        <is>
          <t>ÖSTHAMMAR</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34185-2024</t>
        </is>
      </c>
      <c r="B692" t="inlineStr">
        <is>
          <t>avverkningsanmälan</t>
        </is>
      </c>
      <c r="C692" t="inlineStr">
        <is>
          <t>Föryngringsavverkning</t>
        </is>
      </c>
      <c r="D692" s="1" t="n">
        <v>45524</v>
      </c>
      <c r="E692" s="1" t="n">
        <v>46313</v>
      </c>
      <c r="F692" t="inlineStr">
        <is>
          <t>UPPSALA LÄN</t>
        </is>
      </c>
      <c r="G692" t="inlineStr">
        <is>
          <t>ÖSTHAMMAR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35949-2026</t>
        </is>
      </c>
      <c r="B693" t="inlineStr">
        <is>
          <t>avverkningsanmälan</t>
        </is>
      </c>
      <c r="C693" t="inlineStr">
        <is>
          <t>Avverkning för annat ändamål</t>
        </is>
      </c>
      <c r="D693" s="1" t="n">
        <v>46266</v>
      </c>
      <c r="E693" s="1" t="n">
        <v>46313</v>
      </c>
      <c r="F693" t="inlineStr">
        <is>
          <t>UPPSALA LÄN</t>
        </is>
      </c>
      <c r="G693" t="inlineStr">
        <is>
          <t>ÖSTHAMMAR</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16089-2025</t>
        </is>
      </c>
      <c r="B694" t="inlineStr">
        <is>
          <t>avverkningsanmälan</t>
        </is>
      </c>
      <c r="C694" t="inlineStr">
        <is>
          <t>Föryngringsavverkning</t>
        </is>
      </c>
      <c r="D694" s="1" t="n">
        <v>45749</v>
      </c>
      <c r="E694" s="1" t="n">
        <v>46313</v>
      </c>
      <c r="F694" t="inlineStr">
        <is>
          <t>UPPSALA LÄN</t>
        </is>
      </c>
      <c r="G694" t="inlineStr">
        <is>
          <t>ÖSTHAMMAR</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35888-2026</t>
        </is>
      </c>
      <c r="B695" t="inlineStr">
        <is>
          <t>avverkningsanmälan</t>
        </is>
      </c>
      <c r="C695" t="inlineStr">
        <is>
          <t>Föryngringsavverkning</t>
        </is>
      </c>
      <c r="D695" s="1" t="n">
        <v>46266</v>
      </c>
      <c r="E695" s="1" t="n">
        <v>46313</v>
      </c>
      <c r="F695" t="inlineStr">
        <is>
          <t>UPPSALA LÄN</t>
        </is>
      </c>
      <c r="G695" t="inlineStr">
        <is>
          <t>ÖSTHAMMAR</t>
        </is>
      </c>
      <c r="H695" t="inlineStr">
        <is>
          <t>Kyrkan</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14170-2025</t>
        </is>
      </c>
      <c r="B696" t="inlineStr">
        <is>
          <t>avverkningsanmälan</t>
        </is>
      </c>
      <c r="C696" t="inlineStr">
        <is>
          <t>Föryngringsavverkning</t>
        </is>
      </c>
      <c r="D696" s="1" t="n">
        <v>45740</v>
      </c>
      <c r="E696" s="1" t="n">
        <v>46313</v>
      </c>
      <c r="F696" t="inlineStr">
        <is>
          <t>UPPSALA LÄN</t>
        </is>
      </c>
      <c r="G696" t="inlineStr">
        <is>
          <t>ÖSTHAMMAR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42724-2026</t>
        </is>
      </c>
      <c r="B697" t="inlineStr">
        <is>
          <t>avverkningsanmälan</t>
        </is>
      </c>
      <c r="C697" t="inlineStr">
        <is>
          <t>Föryngringsavverkning</t>
        </is>
      </c>
      <c r="D697" s="1" t="n">
        <v>46309</v>
      </c>
      <c r="E697" s="1" t="n">
        <v>46313</v>
      </c>
      <c r="F697" t="inlineStr">
        <is>
          <t>UPPSALA LÄN</t>
        </is>
      </c>
      <c r="G697" t="inlineStr">
        <is>
          <t>ÖSTHAMMAR</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58297-2024</t>
        </is>
      </c>
      <c r="B698" t="inlineStr">
        <is>
          <t>avverkningsanmälan</t>
        </is>
      </c>
      <c r="C698" t="inlineStr">
        <is>
          <t>Föryngringsavverkning</t>
        </is>
      </c>
      <c r="D698" s="1" t="n">
        <v>45632</v>
      </c>
      <c r="E698" s="1" t="n">
        <v>46313</v>
      </c>
      <c r="F698" t="inlineStr">
        <is>
          <t>UPPSALA LÄN</t>
        </is>
      </c>
      <c r="G698" t="inlineStr">
        <is>
          <t>ÖSTHAMMAR</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42772-2026</t>
        </is>
      </c>
      <c r="B699" t="inlineStr">
        <is>
          <t>avverkningsanmälan</t>
        </is>
      </c>
      <c r="C699" t="inlineStr">
        <is>
          <t>Föryngringsavverkning</t>
        </is>
      </c>
      <c r="D699" s="1" t="n">
        <v>46309</v>
      </c>
      <c r="E699" s="1" t="n">
        <v>46313</v>
      </c>
      <c r="F699" t="inlineStr">
        <is>
          <t>UPPSALA LÄN</t>
        </is>
      </c>
      <c r="G699" t="inlineStr">
        <is>
          <t>ÖSTHAMMAR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26330-2025</t>
        </is>
      </c>
      <c r="B700" t="inlineStr">
        <is>
          <t>avverkningsanmälan</t>
        </is>
      </c>
      <c r="C700" t="inlineStr">
        <is>
          <t>Föryngringsavverkning</t>
        </is>
      </c>
      <c r="D700" s="1" t="n">
        <v>45805</v>
      </c>
      <c r="E700" s="1" t="n">
        <v>46313</v>
      </c>
      <c r="F700" t="inlineStr">
        <is>
          <t>UPPSALA LÄN</t>
        </is>
      </c>
      <c r="G700" t="inlineStr">
        <is>
          <t>ÖSTHAMMAR</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42628-2026</t>
        </is>
      </c>
      <c r="B701" t="inlineStr">
        <is>
          <t>avverkningsanmälan</t>
        </is>
      </c>
      <c r="C701" t="inlineStr">
        <is>
          <t>Föryngringsavverkning</t>
        </is>
      </c>
      <c r="D701" s="1" t="n">
        <v>46309</v>
      </c>
      <c r="E701" s="1" t="n">
        <v>46313</v>
      </c>
      <c r="F701" t="inlineStr">
        <is>
          <t>UPPSALA LÄN</t>
        </is>
      </c>
      <c r="G701" t="inlineStr">
        <is>
          <t>ÖSTHAMMAR</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27132-2025</t>
        </is>
      </c>
      <c r="B702" t="inlineStr">
        <is>
          <t>avverkningsanmälan</t>
        </is>
      </c>
      <c r="C702" t="inlineStr">
        <is>
          <t>Föryngringsavverkning</t>
        </is>
      </c>
      <c r="D702" s="1" t="n">
        <v>45811</v>
      </c>
      <c r="E702" s="1" t="n">
        <v>46313</v>
      </c>
      <c r="F702" t="inlineStr">
        <is>
          <t>UPPSALA LÄN</t>
        </is>
      </c>
      <c r="G702" t="inlineStr">
        <is>
          <t>ÖSTHAMMAR</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27347-2025</t>
        </is>
      </c>
      <c r="B703" t="inlineStr">
        <is>
          <t>avverkningsanmälan</t>
        </is>
      </c>
      <c r="C703" t="inlineStr">
        <is>
          <t>Föryngringsavverkning</t>
        </is>
      </c>
      <c r="D703" s="1" t="n">
        <v>45812</v>
      </c>
      <c r="E703" s="1" t="n">
        <v>46313</v>
      </c>
      <c r="F703" t="inlineStr">
        <is>
          <t>UPPSALA LÄN</t>
        </is>
      </c>
      <c r="G703" t="inlineStr">
        <is>
          <t>ÖSTHAMMAR</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36186-2026</t>
        </is>
      </c>
      <c r="B704" t="inlineStr">
        <is>
          <t>avverkningsanmälan</t>
        </is>
      </c>
      <c r="C704" t="inlineStr">
        <is>
          <t>Föryngringsavverkning</t>
        </is>
      </c>
      <c r="D704" s="1" t="n">
        <v>46267</v>
      </c>
      <c r="E704" s="1" t="n">
        <v>46313</v>
      </c>
      <c r="F704" t="inlineStr">
        <is>
          <t>UPPSALA LÄN</t>
        </is>
      </c>
      <c r="G704" t="inlineStr">
        <is>
          <t>ÖSTHAMMAR</t>
        </is>
      </c>
      <c r="H704" t="inlineStr">
        <is>
          <t>Övriga Aktiebolag</t>
        </is>
      </c>
      <c r="I704" t="n">
        <v>21.5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27920-2025</t>
        </is>
      </c>
      <c r="B705" t="inlineStr">
        <is>
          <t>avverkningsanmälan</t>
        </is>
      </c>
      <c r="C705" t="inlineStr">
        <is>
          <t>Föryngringsavverkning</t>
        </is>
      </c>
      <c r="D705" s="1" t="n">
        <v>45817</v>
      </c>
      <c r="E705" s="1" t="n">
        <v>46313</v>
      </c>
      <c r="F705" t="inlineStr">
        <is>
          <t>UPPSALA LÄN</t>
        </is>
      </c>
      <c r="G705" t="inlineStr">
        <is>
          <t>ÖSTHAMMAR</t>
        </is>
      </c>
      <c r="H705" t="inlineStr">
        <is>
          <t>Bergvik skog öst AB</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39518-2026</t>
        </is>
      </c>
      <c r="B706" t="inlineStr">
        <is>
          <t>avverkningsanmälan</t>
        </is>
      </c>
      <c r="C706" t="inlineStr">
        <is>
          <t>Föryngringsavverkning</t>
        </is>
      </c>
      <c r="D706" s="1" t="n">
        <v>46289</v>
      </c>
      <c r="E706" s="1" t="n">
        <v>46313</v>
      </c>
      <c r="F706" t="inlineStr">
        <is>
          <t>UPPSALA LÄN</t>
        </is>
      </c>
      <c r="G706" t="inlineStr">
        <is>
          <t>ÖSTHAMMAR</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8330-2025</t>
        </is>
      </c>
      <c r="B707" t="inlineStr">
        <is>
          <t>avverkningsanmälan</t>
        </is>
      </c>
      <c r="C707" t="inlineStr">
        <is>
          <t>Föryngringsavverkning</t>
        </is>
      </c>
      <c r="D707" s="1" t="n">
        <v>45708</v>
      </c>
      <c r="E707" s="1" t="n">
        <v>46313</v>
      </c>
      <c r="F707" t="inlineStr">
        <is>
          <t>UPPSALA LÄN</t>
        </is>
      </c>
      <c r="G707" t="inlineStr">
        <is>
          <t>ÖSTHAMMAR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27509-2025</t>
        </is>
      </c>
      <c r="B708" t="inlineStr">
        <is>
          <t>avverkningsanmälan</t>
        </is>
      </c>
      <c r="C708" t="inlineStr">
        <is>
          <t>Föryngringsavverkning</t>
        </is>
      </c>
      <c r="D708" s="1" t="n">
        <v>45813</v>
      </c>
      <c r="E708" s="1" t="n">
        <v>46313</v>
      </c>
      <c r="F708" t="inlineStr">
        <is>
          <t>UPPSALA LÄN</t>
        </is>
      </c>
      <c r="G708" t="inlineStr">
        <is>
          <t>ÖSTHAMMAR</t>
        </is>
      </c>
      <c r="H708" t="inlineStr">
        <is>
          <t>Bergvik skog öst AB</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43026-2026</t>
        </is>
      </c>
      <c r="B709" t="inlineStr">
        <is>
          <t>avverkningsanmälan</t>
        </is>
      </c>
      <c r="C709" t="inlineStr">
        <is>
          <t>Avverkning för att bevara och utveckla /försöksver</t>
        </is>
      </c>
      <c r="D709" s="1" t="n">
        <v>46311</v>
      </c>
      <c r="E709" s="1" t="n">
        <v>46313</v>
      </c>
      <c r="F709" t="inlineStr">
        <is>
          <t>UPPSALA LÄN</t>
        </is>
      </c>
      <c r="G709" t="inlineStr">
        <is>
          <t>ÖSTHAMMAR</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29384-2025</t>
        </is>
      </c>
      <c r="B710" t="inlineStr">
        <is>
          <t>avverkningsanmälan</t>
        </is>
      </c>
      <c r="C710" t="inlineStr">
        <is>
          <t>Föryngringsavverkning</t>
        </is>
      </c>
      <c r="D710" s="1" t="n">
        <v>45824</v>
      </c>
      <c r="E710" s="1" t="n">
        <v>46313</v>
      </c>
      <c r="F710" t="inlineStr">
        <is>
          <t>UPPSALA LÄN</t>
        </is>
      </c>
      <c r="G710" t="inlineStr">
        <is>
          <t>ÖSTHAMMAR</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30610-2025</t>
        </is>
      </c>
      <c r="B711" t="inlineStr">
        <is>
          <t>avverkningsanmälan</t>
        </is>
      </c>
      <c r="C711" t="inlineStr">
        <is>
          <t>Föryngringsavverkning</t>
        </is>
      </c>
      <c r="D711" s="1" t="n">
        <v>45831</v>
      </c>
      <c r="E711" s="1" t="n">
        <v>46313</v>
      </c>
      <c r="F711" t="inlineStr">
        <is>
          <t>UPPSALA LÄN</t>
        </is>
      </c>
      <c r="G711" t="inlineStr">
        <is>
          <t>ÖSTHAMMAR</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30504-2025</t>
        </is>
      </c>
      <c r="B712" t="inlineStr">
        <is>
          <t>avverkningsanmälan</t>
        </is>
      </c>
      <c r="C712" t="inlineStr">
        <is>
          <t>Föryngringsavverkning</t>
        </is>
      </c>
      <c r="D712" s="1" t="n">
        <v>45830</v>
      </c>
      <c r="E712" s="1" t="n">
        <v>46313</v>
      </c>
      <c r="F712" t="inlineStr">
        <is>
          <t>UPPSALA LÄN</t>
        </is>
      </c>
      <c r="G712" t="inlineStr">
        <is>
          <t>ÖSTHAMMAR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30503-2025</t>
        </is>
      </c>
      <c r="B713" t="inlineStr">
        <is>
          <t>avverkningsanmälan</t>
        </is>
      </c>
      <c r="C713" t="inlineStr">
        <is>
          <t>Föryngringsavverkning</t>
        </is>
      </c>
      <c r="D713" s="1" t="n">
        <v>45830</v>
      </c>
      <c r="E713" s="1" t="n">
        <v>46313</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31579-2025</t>
        </is>
      </c>
      <c r="B714" t="inlineStr">
        <is>
          <t>avverkningsanmälan</t>
        </is>
      </c>
      <c r="C714" t="inlineStr">
        <is>
          <t>Föryngringsavverkning</t>
        </is>
      </c>
      <c r="D714" s="1" t="n">
        <v>45833</v>
      </c>
      <c r="E714" s="1" t="n">
        <v>46313</v>
      </c>
      <c r="F714" t="inlineStr">
        <is>
          <t>UPPSALA LÄN</t>
        </is>
      </c>
      <c r="G714" t="inlineStr">
        <is>
          <t>ÖSTHAMMAR</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26395-2025</t>
        </is>
      </c>
      <c r="B715" t="inlineStr">
        <is>
          <t>avverkningsanmälan</t>
        </is>
      </c>
      <c r="C715" t="inlineStr">
        <is>
          <t>Föryngringsavverkning</t>
        </is>
      </c>
      <c r="D715" s="1" t="n">
        <v>45807</v>
      </c>
      <c r="E715" s="1" t="n">
        <v>46313</v>
      </c>
      <c r="F715" t="inlineStr">
        <is>
          <t>UPPSALA LÄN</t>
        </is>
      </c>
      <c r="G715" t="inlineStr">
        <is>
          <t>ÖSTHAMMAR</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33972-2025</t>
        </is>
      </c>
      <c r="B716" t="inlineStr">
        <is>
          <t>avverkningsanmälan</t>
        </is>
      </c>
      <c r="C716" t="inlineStr">
        <is>
          <t>Föryngringsavverkning</t>
        </is>
      </c>
      <c r="D716" s="1" t="n">
        <v>45842</v>
      </c>
      <c r="E716" s="1" t="n">
        <v>46313</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25859-2024</t>
        </is>
      </c>
      <c r="B717" t="inlineStr">
        <is>
          <t>avverkningsanmälan</t>
        </is>
      </c>
      <c r="C717" t="inlineStr">
        <is>
          <t>Föryngringsavverkning</t>
        </is>
      </c>
      <c r="D717" s="1" t="n">
        <v>45467</v>
      </c>
      <c r="E717" s="1" t="n">
        <v>46313</v>
      </c>
      <c r="F717" t="inlineStr">
        <is>
          <t>UPPSALA LÄN</t>
        </is>
      </c>
      <c r="G717" t="inlineStr">
        <is>
          <t>ÖSTHAMMAR</t>
        </is>
      </c>
      <c r="I717" t="n">
        <v>7.9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10117-2025</t>
        </is>
      </c>
      <c r="B718" t="inlineStr">
        <is>
          <t>avverkningsanmälan</t>
        </is>
      </c>
      <c r="C718" t="inlineStr">
        <is>
          <t>Föryngringsavverkning</t>
        </is>
      </c>
      <c r="D718" s="1" t="n">
        <v>45719</v>
      </c>
      <c r="E718" s="1" t="n">
        <v>46313</v>
      </c>
      <c r="F718" t="inlineStr">
        <is>
          <t>UPPSALA LÄN</t>
        </is>
      </c>
      <c r="G718" t="inlineStr">
        <is>
          <t>ÖSTHAMMAR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19640-2025</t>
        </is>
      </c>
      <c r="B719" t="inlineStr">
        <is>
          <t>avverkningsanmälan</t>
        </is>
      </c>
      <c r="C719" t="inlineStr">
        <is>
          <t>Föryngringsavverkning</t>
        </is>
      </c>
      <c r="D719" s="1" t="n">
        <v>45770</v>
      </c>
      <c r="E719" s="1" t="n">
        <v>46313</v>
      </c>
      <c r="F719" t="inlineStr">
        <is>
          <t>UPPSALA LÄN</t>
        </is>
      </c>
      <c r="G719" t="inlineStr">
        <is>
          <t>ÖSTHAMMAR</t>
        </is>
      </c>
      <c r="H719" t="inlineStr">
        <is>
          <t>Övriga Aktiebolag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17929-2025</t>
        </is>
      </c>
      <c r="B720" t="inlineStr">
        <is>
          <t>avverkningsanmälan</t>
        </is>
      </c>
      <c r="C720" t="inlineStr">
        <is>
          <t>Föryngringsavverkning</t>
        </is>
      </c>
      <c r="D720" s="1" t="n">
        <v>45759</v>
      </c>
      <c r="E720" s="1" t="n">
        <v>46313</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36451-2025</t>
        </is>
      </c>
      <c r="B721" t="inlineStr">
        <is>
          <t>avverkningsanmälan</t>
        </is>
      </c>
      <c r="C721" t="inlineStr">
        <is>
          <t>Föryngringsavverkning</t>
        </is>
      </c>
      <c r="D721" s="1" t="n">
        <v>45869</v>
      </c>
      <c r="E721" s="1" t="n">
        <v>46313</v>
      </c>
      <c r="F721" t="inlineStr">
        <is>
          <t>UPPSALA LÄN</t>
        </is>
      </c>
      <c r="G721" t="inlineStr">
        <is>
          <t>ÖSTHAMMAR</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7118-2023</t>
        </is>
      </c>
      <c r="B722" t="inlineStr">
        <is>
          <t>avverkningsanmälan</t>
        </is>
      </c>
      <c r="C722" t="inlineStr">
        <is>
          <t>Föryngringsavverkning</t>
        </is>
      </c>
      <c r="D722" s="1" t="n">
        <v>44970</v>
      </c>
      <c r="E722" s="1" t="n">
        <v>46313</v>
      </c>
      <c r="F722" t="inlineStr">
        <is>
          <t>UPPSALA LÄN</t>
        </is>
      </c>
      <c r="G722" t="inlineStr">
        <is>
          <t>ÖSTHAMMAR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46313</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46313</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46313</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46313</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3374-2022</t>
        </is>
      </c>
      <c r="B727" t="inlineStr">
        <is>
          <t>samrådsanmälan</t>
        </is>
      </c>
      <c r="C727" t="inlineStr">
        <is>
          <t>Skogsbilväg</t>
        </is>
      </c>
      <c r="D727" s="1" t="n">
        <v>44729</v>
      </c>
      <c r="E727" s="1" t="n">
        <v>46313</v>
      </c>
      <c r="F727" t="inlineStr">
        <is>
          <t>UPPSALA LÄN</t>
        </is>
      </c>
      <c r="G727" t="inlineStr">
        <is>
          <t>ÖSTHAMMAR</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46313</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2054-2022</t>
        </is>
      </c>
      <c r="B729" t="inlineStr">
        <is>
          <t>samrådsanmälan</t>
        </is>
      </c>
      <c r="C729" t="inlineStr">
        <is>
          <t>Annan skogsbruksåtgärd</t>
        </is>
      </c>
      <c r="D729" s="1" t="n">
        <v>44672</v>
      </c>
      <c r="E729" s="1" t="n">
        <v>46313</v>
      </c>
      <c r="F729" t="inlineStr">
        <is>
          <t>UPPSALA LÄN</t>
        </is>
      </c>
      <c r="G729" t="inlineStr">
        <is>
          <t>ÖSTHAMMAR</t>
        </is>
      </c>
      <c r="I729" t="n">
        <v>4.4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3110-2023</t>
        </is>
      </c>
      <c r="B730" t="inlineStr">
        <is>
          <t>samrådsanmälan</t>
        </is>
      </c>
      <c r="C730" t="inlineStr">
        <is>
          <t>Annan skogsbruksåtgärd</t>
        </is>
      </c>
      <c r="D730" s="1" t="n">
        <v>45182</v>
      </c>
      <c r="E730" s="1" t="n">
        <v>46313</v>
      </c>
      <c r="F730" t="inlineStr">
        <is>
          <t>UPPSALA LÄN</t>
        </is>
      </c>
      <c r="G730" t="inlineStr">
        <is>
          <t>ÖSTHAMMAR</t>
        </is>
      </c>
      <c r="H730" t="inlineStr">
        <is>
          <t>Bergvik skog öst AB</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2611-2025</t>
        </is>
      </c>
      <c r="B731" t="inlineStr">
        <is>
          <t>samrådsanmälan</t>
        </is>
      </c>
      <c r="C731" t="inlineStr">
        <is>
          <t>Annan skogsbruksåtgärd</t>
        </is>
      </c>
      <c r="D731" s="1" t="n">
        <v>45916</v>
      </c>
      <c r="E731" s="1" t="n">
        <v>46313</v>
      </c>
      <c r="F731" t="inlineStr">
        <is>
          <t>UPPSALA LÄN</t>
        </is>
      </c>
      <c r="G731" t="inlineStr">
        <is>
          <t>ÖSTHAMMAR</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2995-2025</t>
        </is>
      </c>
      <c r="B732" t="inlineStr">
        <is>
          <t>samrådsanmälan</t>
        </is>
      </c>
      <c r="C732" t="inlineStr">
        <is>
          <t>Annan skogsbruksåtgärd</t>
        </is>
      </c>
      <c r="D732" s="1" t="n">
        <v>45957</v>
      </c>
      <c r="E732" s="1" t="n">
        <v>46313</v>
      </c>
      <c r="F732" t="inlineStr">
        <is>
          <t>UPPSALA LÄN</t>
        </is>
      </c>
      <c r="G732" t="inlineStr">
        <is>
          <t>ÖSTHAMMAR</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84-2026</t>
        </is>
      </c>
      <c r="B733" t="inlineStr">
        <is>
          <t>samrådsanmälan</t>
        </is>
      </c>
      <c r="C733" t="inlineStr">
        <is>
          <t>Annan skogsbruksåtgärd</t>
        </is>
      </c>
      <c r="D733" s="1" t="n">
        <v>46034</v>
      </c>
      <c r="E733" s="1" t="n">
        <v>46313</v>
      </c>
      <c r="F733" t="inlineStr">
        <is>
          <t>UPPSALA LÄN</t>
        </is>
      </c>
      <c r="G733" t="inlineStr">
        <is>
          <t>ÖSTHAMMAR</t>
        </is>
      </c>
      <c r="H733" t="inlineStr">
        <is>
          <t>Bergvik skog öst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750-2026</t>
        </is>
      </c>
      <c r="B734" t="inlineStr">
        <is>
          <t>samrådsanmälan</t>
        </is>
      </c>
      <c r="C734" t="inlineStr">
        <is>
          <t>Skogsgödsling</t>
        </is>
      </c>
      <c r="D734" s="1" t="n">
        <v>46089</v>
      </c>
      <c r="E734" s="1" t="n">
        <v>46313</v>
      </c>
      <c r="F734" t="inlineStr">
        <is>
          <t>UPPSALA LÄN</t>
        </is>
      </c>
      <c r="G734" t="inlineStr">
        <is>
          <t>ÖSTHAMMAR</t>
        </is>
      </c>
      <c r="H734" t="inlineStr">
        <is>
          <t>Bergvik skog öst AB</t>
        </is>
      </c>
      <c r="I734" t="n">
        <v>7.6</v>
      </c>
      <c r="J734" t="n">
        <v>0</v>
      </c>
      <c r="K734" t="n">
        <v>0</v>
      </c>
      <c r="L734" t="n">
        <v>0</v>
      </c>
      <c r="M734" t="n">
        <v>0</v>
      </c>
      <c r="N734" t="n">
        <v>0</v>
      </c>
      <c r="O734" t="n">
        <v>0</v>
      </c>
      <c r="P734" t="n">
        <v>0</v>
      </c>
      <c r="Q734" t="n">
        <v>0</v>
      </c>
      <c r="R734" t="n">
        <v>0</v>
      </c>
      <c r="S734" t="n">
        <v>0</v>
      </c>
      <c r="T734" t="n">
        <v>0</v>
      </c>
      <c r="U734" t="n">
        <v>0</v>
      </c>
      <c r="V734" s="2" t="inlineStr"/>
    </row>
    <row r="735">
      <c r="A735" t="inlineStr">
        <is>
          <t>S 2588-2026</t>
        </is>
      </c>
      <c r="B735" t="inlineStr">
        <is>
          <t>samrådsanmälan</t>
        </is>
      </c>
      <c r="C735" t="inlineStr">
        <is>
          <t>Annan skogsbruksåtgärd</t>
        </is>
      </c>
      <c r="D735" s="1" t="n">
        <v>46296</v>
      </c>
      <c r="E735" s="1" t="n">
        <v>46313</v>
      </c>
      <c r="F735" t="inlineStr">
        <is>
          <t>UPPSALA LÄN</t>
        </is>
      </c>
      <c r="G735" t="inlineStr">
        <is>
          <t>ÖSTHAMMAR</t>
        </is>
      </c>
      <c r="I735" t="n">
        <v>0.4</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2026-10-18T08:04:07Z</dcterms:created>
  <dcterms:modified xmlns:dcterms="http://purl.org/dc/terms/" xmlns:xsi="http://www.w3.org/2001/XMLSchema-instance" xsi:type="dcterms:W3CDTF">2026-10-18T08:04:08Z</dcterms:modified>
</cp:coreProperties>
</file>