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45822</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45822</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45822</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45822</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45822</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45822</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45822</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45822</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45822</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45822</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45822</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45822</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45822</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45822</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45822</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45822</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45822</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45822</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45822</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45822</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45822</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45822</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45822</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45822</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45822</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45822</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45822</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45822</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45822</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45822</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45822</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45822</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45822</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45822</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45822</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45822</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45822</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45822</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45822</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45822</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45822</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45822</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45822</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45822</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45822</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45822</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45822</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45822</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45822</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45822</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45822</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45822</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45822</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45822</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45822</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45822</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45822</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45822</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45822</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45822</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45822</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45822</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45822</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45822</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45822</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45822</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45822</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45822</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45822</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45822</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45822</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45822</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45822</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45822</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45822</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45822</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45822</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45822</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45822</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45822</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45822</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45822</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45822</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45822</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45822</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45822</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45822</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45822</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45822</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45822</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45822</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45822</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45822</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45822</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45822</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45822</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45822</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45822</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45822</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45822</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45822</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45822</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45822</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45822</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45822</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45822</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45822</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45822</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45822</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45822</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45822</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45822</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45822</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45822</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45822</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45822</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45822</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45822</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45822</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45822</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45822</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45822</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45822</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45822</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45822</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45822</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45822</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45822</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45822</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45822</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45822</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45822</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45822</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45822</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45822</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45822</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45822</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45822</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45822</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45822</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45822</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45822</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45822</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45822</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45822</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45822</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45822</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45822</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45822</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36622-2024</t>
        </is>
      </c>
      <c r="B187" s="1" t="n">
        <v>45537</v>
      </c>
      <c r="C187" s="1" t="n">
        <v>45822</v>
      </c>
      <c r="D187" t="inlineStr">
        <is>
          <t>UPPSALA LÄN</t>
        </is>
      </c>
      <c r="E187" t="inlineStr">
        <is>
          <t>ÖSTHAMMAR</t>
        </is>
      </c>
      <c r="F187" t="inlineStr">
        <is>
          <t>Bergvik skog väst AB</t>
        </is>
      </c>
      <c r="G187" t="n">
        <v>5.2</v>
      </c>
      <c r="H187" t="n">
        <v>1</v>
      </c>
      <c r="I187" t="n">
        <v>0</v>
      </c>
      <c r="J187" t="n">
        <v>0</v>
      </c>
      <c r="K187" t="n">
        <v>0</v>
      </c>
      <c r="L187" t="n">
        <v>0</v>
      </c>
      <c r="M187" t="n">
        <v>0</v>
      </c>
      <c r="N187" t="n">
        <v>0</v>
      </c>
      <c r="O187" t="n">
        <v>0</v>
      </c>
      <c r="P187" t="n">
        <v>0</v>
      </c>
      <c r="Q187" t="n">
        <v>1</v>
      </c>
      <c r="R187" s="2" t="inlineStr">
        <is>
          <t>Blåsippa</t>
        </is>
      </c>
      <c r="S187">
        <f>HYPERLINK("https://klasma.github.io/Logging_0382/artfynd/A 36622-2024 artfynd.xlsx", "A 36622-2024")</f>
        <v/>
      </c>
      <c r="T187">
        <f>HYPERLINK("https://klasma.github.io/Logging_0382/kartor/A 36622-2024 karta.png", "A 36622-2024")</f>
        <v/>
      </c>
      <c r="V187">
        <f>HYPERLINK("https://klasma.github.io/Logging_0382/klagomål/A 36622-2024 FSC-klagomål.docx", "A 36622-2024")</f>
        <v/>
      </c>
      <c r="W187">
        <f>HYPERLINK("https://klasma.github.io/Logging_0382/klagomålsmail/A 36622-2024 FSC-klagomål mail.docx", "A 36622-2024")</f>
        <v/>
      </c>
      <c r="X187">
        <f>HYPERLINK("https://klasma.github.io/Logging_0382/tillsyn/A 36622-2024 tillsynsbegäran.docx", "A 36622-2024")</f>
        <v/>
      </c>
      <c r="Y187">
        <f>HYPERLINK("https://klasma.github.io/Logging_0382/tillsynsmail/A 36622-2024 tillsynsbegäran mail.docx", "A 36622-2024")</f>
        <v/>
      </c>
    </row>
    <row r="188" ht="15" customHeight="1">
      <c r="A188" t="inlineStr">
        <is>
          <t>A 46632-2024</t>
        </is>
      </c>
      <c r="B188" s="1" t="n">
        <v>45583</v>
      </c>
      <c r="C188" s="1" t="n">
        <v>45822</v>
      </c>
      <c r="D188" t="inlineStr">
        <is>
          <t>UPPSALA LÄN</t>
        </is>
      </c>
      <c r="E188" t="inlineStr">
        <is>
          <t>ÖSTHAMMAR</t>
        </is>
      </c>
      <c r="F188" t="inlineStr">
        <is>
          <t>Bergvik skog öst AB</t>
        </is>
      </c>
      <c r="G188" t="n">
        <v>5.3</v>
      </c>
      <c r="H188" t="n">
        <v>0</v>
      </c>
      <c r="I188" t="n">
        <v>0</v>
      </c>
      <c r="J188" t="n">
        <v>1</v>
      </c>
      <c r="K188" t="n">
        <v>0</v>
      </c>
      <c r="L188" t="n">
        <v>0</v>
      </c>
      <c r="M188" t="n">
        <v>0</v>
      </c>
      <c r="N188" t="n">
        <v>0</v>
      </c>
      <c r="O188" t="n">
        <v>1</v>
      </c>
      <c r="P188" t="n">
        <v>0</v>
      </c>
      <c r="Q188" t="n">
        <v>1</v>
      </c>
      <c r="R188" s="2" t="inlineStr">
        <is>
          <t>Sexfläckig bastardsvärmare</t>
        </is>
      </c>
      <c r="S188">
        <f>HYPERLINK("https://klasma.github.io/Logging_0382/artfynd/A 46632-2024 artfynd.xlsx", "A 46632-2024")</f>
        <v/>
      </c>
      <c r="T188">
        <f>HYPERLINK("https://klasma.github.io/Logging_0382/kartor/A 46632-2024 karta.png", "A 46632-2024")</f>
        <v/>
      </c>
      <c r="V188">
        <f>HYPERLINK("https://klasma.github.io/Logging_0382/klagomål/A 46632-2024 FSC-klagomål.docx", "A 46632-2024")</f>
        <v/>
      </c>
      <c r="W188">
        <f>HYPERLINK("https://klasma.github.io/Logging_0382/klagomålsmail/A 46632-2024 FSC-klagomål mail.docx", "A 46632-2024")</f>
        <v/>
      </c>
      <c r="X188">
        <f>HYPERLINK("https://klasma.github.io/Logging_0382/tillsyn/A 46632-2024 tillsynsbegäran.docx", "A 46632-2024")</f>
        <v/>
      </c>
      <c r="Y188">
        <f>HYPERLINK("https://klasma.github.io/Logging_0382/tillsynsmail/A 46632-2024 tillsynsbegäran mail.docx", "A 46632-2024")</f>
        <v/>
      </c>
    </row>
    <row r="189" ht="15" customHeight="1">
      <c r="A189" t="inlineStr">
        <is>
          <t>A 46629-2024</t>
        </is>
      </c>
      <c r="B189" s="1" t="n">
        <v>45583</v>
      </c>
      <c r="C189" s="1" t="n">
        <v>45822</v>
      </c>
      <c r="D189" t="inlineStr">
        <is>
          <t>UPPSALA LÄN</t>
        </is>
      </c>
      <c r="E189" t="inlineStr">
        <is>
          <t>ÖSTHAMMAR</t>
        </is>
      </c>
      <c r="F189" t="inlineStr">
        <is>
          <t>Bergvik skog öst AB</t>
        </is>
      </c>
      <c r="G189" t="n">
        <v>0.7</v>
      </c>
      <c r="H189" t="n">
        <v>0</v>
      </c>
      <c r="I189" t="n">
        <v>0</v>
      </c>
      <c r="J189" t="n">
        <v>1</v>
      </c>
      <c r="K189" t="n">
        <v>0</v>
      </c>
      <c r="L189" t="n">
        <v>0</v>
      </c>
      <c r="M189" t="n">
        <v>0</v>
      </c>
      <c r="N189" t="n">
        <v>0</v>
      </c>
      <c r="O189" t="n">
        <v>1</v>
      </c>
      <c r="P189" t="n">
        <v>0</v>
      </c>
      <c r="Q189" t="n">
        <v>1</v>
      </c>
      <c r="R189" s="2" t="inlineStr">
        <is>
          <t>Slåtterfibbla</t>
        </is>
      </c>
      <c r="S189">
        <f>HYPERLINK("https://klasma.github.io/Logging_0382/artfynd/A 46629-2024 artfynd.xlsx", "A 46629-2024")</f>
        <v/>
      </c>
      <c r="T189">
        <f>HYPERLINK("https://klasma.github.io/Logging_0382/kartor/A 46629-2024 karta.png", "A 46629-2024")</f>
        <v/>
      </c>
      <c r="V189">
        <f>HYPERLINK("https://klasma.github.io/Logging_0382/klagomål/A 46629-2024 FSC-klagomål.docx", "A 46629-2024")</f>
        <v/>
      </c>
      <c r="W189">
        <f>HYPERLINK("https://klasma.github.io/Logging_0382/klagomålsmail/A 46629-2024 FSC-klagomål mail.docx", "A 46629-2024")</f>
        <v/>
      </c>
      <c r="X189">
        <f>HYPERLINK("https://klasma.github.io/Logging_0382/tillsyn/A 46629-2024 tillsynsbegäran.docx", "A 46629-2024")</f>
        <v/>
      </c>
      <c r="Y189">
        <f>HYPERLINK("https://klasma.github.io/Logging_0382/tillsynsmail/A 46629-2024 tillsynsbegäran mail.docx", "A 46629-2024")</f>
        <v/>
      </c>
    </row>
    <row r="190" ht="15" customHeight="1">
      <c r="A190" t="inlineStr">
        <is>
          <t>A 55169-2024</t>
        </is>
      </c>
      <c r="B190" s="1" t="n">
        <v>45621</v>
      </c>
      <c r="C190" s="1" t="n">
        <v>45822</v>
      </c>
      <c r="D190" t="inlineStr">
        <is>
          <t>UPPSALA LÄN</t>
        </is>
      </c>
      <c r="E190" t="inlineStr">
        <is>
          <t>ÖSTHAMMAR</t>
        </is>
      </c>
      <c r="G190" t="n">
        <v>1.1</v>
      </c>
      <c r="H190" t="n">
        <v>0</v>
      </c>
      <c r="I190" t="n">
        <v>1</v>
      </c>
      <c r="J190" t="n">
        <v>0</v>
      </c>
      <c r="K190" t="n">
        <v>0</v>
      </c>
      <c r="L190" t="n">
        <v>0</v>
      </c>
      <c r="M190" t="n">
        <v>0</v>
      </c>
      <c r="N190" t="n">
        <v>0</v>
      </c>
      <c r="O190" t="n">
        <v>0</v>
      </c>
      <c r="P190" t="n">
        <v>0</v>
      </c>
      <c r="Q190" t="n">
        <v>1</v>
      </c>
      <c r="R190" s="2" t="inlineStr">
        <is>
          <t>Svavelriska</t>
        </is>
      </c>
      <c r="S190">
        <f>HYPERLINK("https://klasma.github.io/Logging_0382/artfynd/A 55169-2024 artfynd.xlsx", "A 55169-2024")</f>
        <v/>
      </c>
      <c r="T190">
        <f>HYPERLINK("https://klasma.github.io/Logging_0382/kartor/A 55169-2024 karta.png", "A 55169-2024")</f>
        <v/>
      </c>
      <c r="V190">
        <f>HYPERLINK("https://klasma.github.io/Logging_0382/klagomål/A 55169-2024 FSC-klagomål.docx", "A 55169-2024")</f>
        <v/>
      </c>
      <c r="W190">
        <f>HYPERLINK("https://klasma.github.io/Logging_0382/klagomålsmail/A 55169-2024 FSC-klagomål mail.docx", "A 55169-2024")</f>
        <v/>
      </c>
      <c r="X190">
        <f>HYPERLINK("https://klasma.github.io/Logging_0382/tillsyn/A 55169-2024 tillsynsbegäran.docx", "A 55169-2024")</f>
        <v/>
      </c>
      <c r="Y190">
        <f>HYPERLINK("https://klasma.github.io/Logging_0382/tillsynsmail/A 55169-2024 tillsynsbegäran mail.docx", "A 55169-2024")</f>
        <v/>
      </c>
    </row>
    <row r="191" ht="15" customHeight="1">
      <c r="A191" t="inlineStr">
        <is>
          <t>A 6143-2025</t>
        </is>
      </c>
      <c r="B191" s="1" t="n">
        <v>45698</v>
      </c>
      <c r="C191" s="1" t="n">
        <v>45822</v>
      </c>
      <c r="D191" t="inlineStr">
        <is>
          <t>UPPSALA LÄN</t>
        </is>
      </c>
      <c r="E191" t="inlineStr">
        <is>
          <t>ÖSTHAMMAR</t>
        </is>
      </c>
      <c r="F191" t="inlineStr">
        <is>
          <t>Bergvik skog öst AB</t>
        </is>
      </c>
      <c r="G191" t="n">
        <v>3.6</v>
      </c>
      <c r="H191" t="n">
        <v>0</v>
      </c>
      <c r="I191" t="n">
        <v>1</v>
      </c>
      <c r="J191" t="n">
        <v>0</v>
      </c>
      <c r="K191" t="n">
        <v>0</v>
      </c>
      <c r="L191" t="n">
        <v>0</v>
      </c>
      <c r="M191" t="n">
        <v>0</v>
      </c>
      <c r="N191" t="n">
        <v>0</v>
      </c>
      <c r="O191" t="n">
        <v>0</v>
      </c>
      <c r="P191" t="n">
        <v>0</v>
      </c>
      <c r="Q191" t="n">
        <v>1</v>
      </c>
      <c r="R191" s="2" t="inlineStr">
        <is>
          <t>Svavelriska</t>
        </is>
      </c>
      <c r="S191">
        <f>HYPERLINK("https://klasma.github.io/Logging_0382/artfynd/A 6143-2025 artfynd.xlsx", "A 6143-2025")</f>
        <v/>
      </c>
      <c r="T191">
        <f>HYPERLINK("https://klasma.github.io/Logging_0382/kartor/A 6143-2025 karta.png", "A 6143-2025")</f>
        <v/>
      </c>
      <c r="V191">
        <f>HYPERLINK("https://klasma.github.io/Logging_0382/klagomål/A 6143-2025 FSC-klagomål.docx", "A 6143-2025")</f>
        <v/>
      </c>
      <c r="W191">
        <f>HYPERLINK("https://klasma.github.io/Logging_0382/klagomålsmail/A 6143-2025 FSC-klagomål mail.docx", "A 6143-2025")</f>
        <v/>
      </c>
      <c r="X191">
        <f>HYPERLINK("https://klasma.github.io/Logging_0382/tillsyn/A 6143-2025 tillsynsbegäran.docx", "A 6143-2025")</f>
        <v/>
      </c>
      <c r="Y191">
        <f>HYPERLINK("https://klasma.github.io/Logging_0382/tillsynsmail/A 6143-2025 tillsynsbegäran mail.docx", "A 6143-2025")</f>
        <v/>
      </c>
    </row>
    <row r="192" ht="15" customHeight="1">
      <c r="A192" t="inlineStr">
        <is>
          <t>A 17141-2025</t>
        </is>
      </c>
      <c r="B192" s="1" t="n">
        <v>45755</v>
      </c>
      <c r="C192" s="1" t="n">
        <v>45822</v>
      </c>
      <c r="D192" t="inlineStr">
        <is>
          <t>UPPSALA LÄN</t>
        </is>
      </c>
      <c r="E192" t="inlineStr">
        <is>
          <t>ÖSTHAMMAR</t>
        </is>
      </c>
      <c r="F192" t="inlineStr">
        <is>
          <t>Bergvik skog öst AB</t>
        </is>
      </c>
      <c r="G192" t="n">
        <v>7</v>
      </c>
      <c r="H192" t="n">
        <v>1</v>
      </c>
      <c r="I192" t="n">
        <v>1</v>
      </c>
      <c r="J192" t="n">
        <v>0</v>
      </c>
      <c r="K192" t="n">
        <v>0</v>
      </c>
      <c r="L192" t="n">
        <v>0</v>
      </c>
      <c r="M192" t="n">
        <v>0</v>
      </c>
      <c r="N192" t="n">
        <v>0</v>
      </c>
      <c r="O192" t="n">
        <v>0</v>
      </c>
      <c r="P192" t="n">
        <v>0</v>
      </c>
      <c r="Q192" t="n">
        <v>1</v>
      </c>
      <c r="R192" s="2" t="inlineStr">
        <is>
          <t>Grönkulla</t>
        </is>
      </c>
      <c r="S192">
        <f>HYPERLINK("https://klasma.github.io/Logging_030382/artfynd/A 17141-2025 artfynd.xlsx", "A 17141-2025")</f>
        <v/>
      </c>
      <c r="T192">
        <f>HYPERLINK("https://klasma.github.io/Logging_030382/kartor/A 17141-2025 karta.png", "A 17141-2025")</f>
        <v/>
      </c>
      <c r="V192">
        <f>HYPERLINK("https://klasma.github.io/Logging_030382/klagomål/A 17141-2025 FSC-klagomål.docx", "A 17141-2025")</f>
        <v/>
      </c>
      <c r="W192">
        <f>HYPERLINK("https://klasma.github.io/Logging_030382/klagomålsmail/A 17141-2025 FSC-klagomål mail.docx", "A 17141-2025")</f>
        <v/>
      </c>
      <c r="X192">
        <f>HYPERLINK("https://klasma.github.io/Logging_030382/tillsyn/A 17141-2025 tillsynsbegäran.docx", "A 17141-2025")</f>
        <v/>
      </c>
      <c r="Y192">
        <f>HYPERLINK("https://klasma.github.io/Logging_030382/tillsynsmail/A 17141-2025 tillsynsbegäran mail.docx", "A 17141-2025")</f>
        <v/>
      </c>
    </row>
    <row r="193" ht="15" customHeight="1">
      <c r="A193" t="inlineStr">
        <is>
          <t>A 18596-2019</t>
        </is>
      </c>
      <c r="B193" s="1" t="n">
        <v>43560</v>
      </c>
      <c r="C193" s="1" t="n">
        <v>45822</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18781-2019</t>
        </is>
      </c>
      <c r="B194" s="1" t="n">
        <v>43561</v>
      </c>
      <c r="C194" s="1" t="n">
        <v>45822</v>
      </c>
      <c r="D194" t="inlineStr">
        <is>
          <t>UPPSALA LÄN</t>
        </is>
      </c>
      <c r="E194" t="inlineStr">
        <is>
          <t>ÖSTHAMMAR</t>
        </is>
      </c>
      <c r="F194" t="inlineStr">
        <is>
          <t>Bergvik skog öst AB</t>
        </is>
      </c>
      <c r="G194" t="n">
        <v>0.7</v>
      </c>
      <c r="H194" t="n">
        <v>0</v>
      </c>
      <c r="I194" t="n">
        <v>0</v>
      </c>
      <c r="J194" t="n">
        <v>0</v>
      </c>
      <c r="K194" t="n">
        <v>0</v>
      </c>
      <c r="L194" t="n">
        <v>0</v>
      </c>
      <c r="M194" t="n">
        <v>0</v>
      </c>
      <c r="N194" t="n">
        <v>0</v>
      </c>
      <c r="O194" t="n">
        <v>0</v>
      </c>
      <c r="P194" t="n">
        <v>0</v>
      </c>
      <c r="Q194" t="n">
        <v>0</v>
      </c>
      <c r="R194" s="2" t="inlineStr"/>
    </row>
    <row r="195" ht="15" customHeight="1">
      <c r="A195" t="inlineStr">
        <is>
          <t>A 18792-2019</t>
        </is>
      </c>
      <c r="B195" s="1" t="n">
        <v>43562</v>
      </c>
      <c r="C195" s="1" t="n">
        <v>45822</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18800-2019</t>
        </is>
      </c>
      <c r="B196" s="1" t="n">
        <v>43562</v>
      </c>
      <c r="C196" s="1" t="n">
        <v>45822</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20683-2019</t>
        </is>
      </c>
      <c r="B197" s="1" t="n">
        <v>43573</v>
      </c>
      <c r="C197" s="1" t="n">
        <v>45822</v>
      </c>
      <c r="D197" t="inlineStr">
        <is>
          <t>UPPSALA LÄN</t>
        </is>
      </c>
      <c r="E197" t="inlineStr">
        <is>
          <t>ÖSTHAMMAR</t>
        </is>
      </c>
      <c r="G197" t="n">
        <v>2.6</v>
      </c>
      <c r="H197" t="n">
        <v>0</v>
      </c>
      <c r="I197" t="n">
        <v>0</v>
      </c>
      <c r="J197" t="n">
        <v>0</v>
      </c>
      <c r="K197" t="n">
        <v>0</v>
      </c>
      <c r="L197" t="n">
        <v>0</v>
      </c>
      <c r="M197" t="n">
        <v>0</v>
      </c>
      <c r="N197" t="n">
        <v>0</v>
      </c>
      <c r="O197" t="n">
        <v>0</v>
      </c>
      <c r="P197" t="n">
        <v>0</v>
      </c>
      <c r="Q197" t="n">
        <v>0</v>
      </c>
      <c r="R197" s="2" t="inlineStr"/>
    </row>
    <row r="198" ht="15" customHeight="1">
      <c r="A198" t="inlineStr">
        <is>
          <t>A 21471-2019</t>
        </is>
      </c>
      <c r="B198" s="1" t="n">
        <v>43580</v>
      </c>
      <c r="C198" s="1" t="n">
        <v>45822</v>
      </c>
      <c r="D198" t="inlineStr">
        <is>
          <t>UPPSALA LÄN</t>
        </is>
      </c>
      <c r="E198" t="inlineStr">
        <is>
          <t>ÖSTHAMMAR</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22800-2019</t>
        </is>
      </c>
      <c r="B199" s="1" t="n">
        <v>43590</v>
      </c>
      <c r="C199" s="1" t="n">
        <v>45822</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c r="U199">
        <f>HYPERLINK("https://klasma.github.io/Logging_0382/knärot/A 22800-2019 karta knärot.png", "A 22800-2019")</f>
        <v/>
      </c>
      <c r="V199">
        <f>HYPERLINK("https://klasma.github.io/Logging_0382/klagomål/A 22800-2019 FSC-klagomål.docx", "A 22800-2019")</f>
        <v/>
      </c>
      <c r="W199">
        <f>HYPERLINK("https://klasma.github.io/Logging_0382/klagomålsmail/A 22800-2019 FSC-klagomål mail.docx", "A 22800-2019")</f>
        <v/>
      </c>
      <c r="X199">
        <f>HYPERLINK("https://klasma.github.io/Logging_0382/tillsyn/A 22800-2019 tillsynsbegäran.docx", "A 22800-2019")</f>
        <v/>
      </c>
      <c r="Y199">
        <f>HYPERLINK("https://klasma.github.io/Logging_0382/tillsynsmail/A 22800-2019 tillsynsbegäran mail.docx", "A 22800-2019")</f>
        <v/>
      </c>
    </row>
    <row r="200" ht="15" customHeight="1">
      <c r="A200" t="inlineStr">
        <is>
          <t>A 22801-2019</t>
        </is>
      </c>
      <c r="B200" s="1" t="n">
        <v>43590</v>
      </c>
      <c r="C200" s="1" t="n">
        <v>45822</v>
      </c>
      <c r="D200" t="inlineStr">
        <is>
          <t>UPPSALA LÄN</t>
        </is>
      </c>
      <c r="E200" t="inlineStr">
        <is>
          <t>ÖSTHAMMAR</t>
        </is>
      </c>
      <c r="G200" t="n">
        <v>2.2</v>
      </c>
      <c r="H200" t="n">
        <v>0</v>
      </c>
      <c r="I200" t="n">
        <v>0</v>
      </c>
      <c r="J200" t="n">
        <v>0</v>
      </c>
      <c r="K200" t="n">
        <v>0</v>
      </c>
      <c r="L200" t="n">
        <v>0</v>
      </c>
      <c r="M200" t="n">
        <v>0</v>
      </c>
      <c r="N200" t="n">
        <v>0</v>
      </c>
      <c r="O200" t="n">
        <v>0</v>
      </c>
      <c r="P200" t="n">
        <v>0</v>
      </c>
      <c r="Q200" t="n">
        <v>0</v>
      </c>
      <c r="R200" s="2" t="inlineStr"/>
    </row>
    <row r="201" ht="15" customHeight="1">
      <c r="A201" t="inlineStr">
        <is>
          <t>A 23008-2019</t>
        </is>
      </c>
      <c r="B201" s="1" t="n">
        <v>43591</v>
      </c>
      <c r="C201" s="1" t="n">
        <v>45822</v>
      </c>
      <c r="D201" t="inlineStr">
        <is>
          <t>UPPSALA LÄN</t>
        </is>
      </c>
      <c r="E201" t="inlineStr">
        <is>
          <t>ÖSTHAMMAR</t>
        </is>
      </c>
      <c r="G201" t="n">
        <v>4.5</v>
      </c>
      <c r="H201" t="n">
        <v>0</v>
      </c>
      <c r="I201" t="n">
        <v>0</v>
      </c>
      <c r="J201" t="n">
        <v>0</v>
      </c>
      <c r="K201" t="n">
        <v>0</v>
      </c>
      <c r="L201" t="n">
        <v>0</v>
      </c>
      <c r="M201" t="n">
        <v>0</v>
      </c>
      <c r="N201" t="n">
        <v>0</v>
      </c>
      <c r="O201" t="n">
        <v>0</v>
      </c>
      <c r="P201" t="n">
        <v>0</v>
      </c>
      <c r="Q201" t="n">
        <v>0</v>
      </c>
      <c r="R201" s="2" t="inlineStr"/>
    </row>
    <row r="202" ht="15" customHeight="1">
      <c r="A202" t="inlineStr">
        <is>
          <t>A 25874-2019</t>
        </is>
      </c>
      <c r="B202" s="1" t="n">
        <v>43605</v>
      </c>
      <c r="C202" s="1" t="n">
        <v>45822</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25703-2019</t>
        </is>
      </c>
      <c r="B203" s="1" t="n">
        <v>43607</v>
      </c>
      <c r="C203" s="1" t="n">
        <v>45822</v>
      </c>
      <c r="D203" t="inlineStr">
        <is>
          <t>UPPSALA LÄN</t>
        </is>
      </c>
      <c r="E203" t="inlineStr">
        <is>
          <t>ÖSTHAMMAR</t>
        </is>
      </c>
      <c r="F203" t="inlineStr">
        <is>
          <t>Bergvik skog öst AB</t>
        </is>
      </c>
      <c r="G203" t="n">
        <v>2.2</v>
      </c>
      <c r="H203" t="n">
        <v>0</v>
      </c>
      <c r="I203" t="n">
        <v>0</v>
      </c>
      <c r="J203" t="n">
        <v>0</v>
      </c>
      <c r="K203" t="n">
        <v>0</v>
      </c>
      <c r="L203" t="n">
        <v>0</v>
      </c>
      <c r="M203" t="n">
        <v>0</v>
      </c>
      <c r="N203" t="n">
        <v>0</v>
      </c>
      <c r="O203" t="n">
        <v>0</v>
      </c>
      <c r="P203" t="n">
        <v>0</v>
      </c>
      <c r="Q203" t="n">
        <v>0</v>
      </c>
      <c r="R203" s="2" t="inlineStr"/>
    </row>
    <row r="204" ht="15" customHeight="1">
      <c r="A204" t="inlineStr">
        <is>
          <t>A 25708-2019</t>
        </is>
      </c>
      <c r="B204" s="1" t="n">
        <v>43607</v>
      </c>
      <c r="C204" s="1" t="n">
        <v>45822</v>
      </c>
      <c r="D204" t="inlineStr">
        <is>
          <t>UPPSALA LÄN</t>
        </is>
      </c>
      <c r="E204" t="inlineStr">
        <is>
          <t>ÖSTHAMMAR</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25706-2019</t>
        </is>
      </c>
      <c r="B205" s="1" t="n">
        <v>43607</v>
      </c>
      <c r="C205" s="1" t="n">
        <v>45822</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26562-2019</t>
        </is>
      </c>
      <c r="B206" s="1" t="n">
        <v>43612</v>
      </c>
      <c r="C206" s="1" t="n">
        <v>45822</v>
      </c>
      <c r="D206" t="inlineStr">
        <is>
          <t>UPPSALA LÄN</t>
        </is>
      </c>
      <c r="E206" t="inlineStr">
        <is>
          <t>ÖSTHAMMAR</t>
        </is>
      </c>
      <c r="G206" t="n">
        <v>3.2</v>
      </c>
      <c r="H206" t="n">
        <v>0</v>
      </c>
      <c r="I206" t="n">
        <v>0</v>
      </c>
      <c r="J206" t="n">
        <v>0</v>
      </c>
      <c r="K206" t="n">
        <v>0</v>
      </c>
      <c r="L206" t="n">
        <v>0</v>
      </c>
      <c r="M206" t="n">
        <v>0</v>
      </c>
      <c r="N206" t="n">
        <v>0</v>
      </c>
      <c r="O206" t="n">
        <v>0</v>
      </c>
      <c r="P206" t="n">
        <v>0</v>
      </c>
      <c r="Q206" t="n">
        <v>0</v>
      </c>
      <c r="R206" s="2" t="inlineStr"/>
    </row>
    <row r="207" ht="15" customHeight="1">
      <c r="A207" t="inlineStr">
        <is>
          <t>A 26724-2019</t>
        </is>
      </c>
      <c r="B207" s="1" t="n">
        <v>43613</v>
      </c>
      <c r="C207" s="1" t="n">
        <v>45822</v>
      </c>
      <c r="D207" t="inlineStr">
        <is>
          <t>UPPSALA LÄN</t>
        </is>
      </c>
      <c r="E207" t="inlineStr">
        <is>
          <t>ÖSTHAMMAR</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26796-2019</t>
        </is>
      </c>
      <c r="B208" s="1" t="n">
        <v>43613</v>
      </c>
      <c r="C208" s="1" t="n">
        <v>45822</v>
      </c>
      <c r="D208" t="inlineStr">
        <is>
          <t>UPPSALA LÄN</t>
        </is>
      </c>
      <c r="E208" t="inlineStr">
        <is>
          <t>ÖSTHAMMAR</t>
        </is>
      </c>
      <c r="F208" t="inlineStr">
        <is>
          <t>Bergvik skog öst AB</t>
        </is>
      </c>
      <c r="G208" t="n">
        <v>4.4</v>
      </c>
      <c r="H208" t="n">
        <v>0</v>
      </c>
      <c r="I208" t="n">
        <v>0</v>
      </c>
      <c r="J208" t="n">
        <v>0</v>
      </c>
      <c r="K208" t="n">
        <v>0</v>
      </c>
      <c r="L208" t="n">
        <v>0</v>
      </c>
      <c r="M208" t="n">
        <v>0</v>
      </c>
      <c r="N208" t="n">
        <v>0</v>
      </c>
      <c r="O208" t="n">
        <v>0</v>
      </c>
      <c r="P208" t="n">
        <v>0</v>
      </c>
      <c r="Q208" t="n">
        <v>0</v>
      </c>
      <c r="R208" s="2" t="inlineStr"/>
    </row>
    <row r="209" ht="15" customHeight="1">
      <c r="A209" t="inlineStr">
        <is>
          <t>A 27458-2019</t>
        </is>
      </c>
      <c r="B209" s="1" t="n">
        <v>43618</v>
      </c>
      <c r="C209" s="1" t="n">
        <v>45822</v>
      </c>
      <c r="D209" t="inlineStr">
        <is>
          <t>UPPSALA LÄN</t>
        </is>
      </c>
      <c r="E209" t="inlineStr">
        <is>
          <t>ÖSTHAMMAR</t>
        </is>
      </c>
      <c r="F209" t="inlineStr">
        <is>
          <t>Bergvik skog öst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29204-2019</t>
        </is>
      </c>
      <c r="B210" s="1" t="n">
        <v>43623</v>
      </c>
      <c r="C210" s="1" t="n">
        <v>45822</v>
      </c>
      <c r="D210" t="inlineStr">
        <is>
          <t>UPPSALA LÄN</t>
        </is>
      </c>
      <c r="E210" t="inlineStr">
        <is>
          <t>ÖSTHAMMAR</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31106-2019</t>
        </is>
      </c>
      <c r="B211" s="1" t="n">
        <v>43635</v>
      </c>
      <c r="C211" s="1" t="n">
        <v>45822</v>
      </c>
      <c r="D211" t="inlineStr">
        <is>
          <t>UPPSALA LÄN</t>
        </is>
      </c>
      <c r="E211" t="inlineStr">
        <is>
          <t>ÖSTHAMMAR</t>
        </is>
      </c>
      <c r="F211" t="inlineStr">
        <is>
          <t>Övriga statliga verk och myndigheter</t>
        </is>
      </c>
      <c r="G211" t="n">
        <v>1.5</v>
      </c>
      <c r="H211" t="n">
        <v>0</v>
      </c>
      <c r="I211" t="n">
        <v>0</v>
      </c>
      <c r="J211" t="n">
        <v>0</v>
      </c>
      <c r="K211" t="n">
        <v>0</v>
      </c>
      <c r="L211" t="n">
        <v>0</v>
      </c>
      <c r="M211" t="n">
        <v>0</v>
      </c>
      <c r="N211" t="n">
        <v>0</v>
      </c>
      <c r="O211" t="n">
        <v>0</v>
      </c>
      <c r="P211" t="n">
        <v>0</v>
      </c>
      <c r="Q211" t="n">
        <v>0</v>
      </c>
      <c r="R211" s="2" t="inlineStr"/>
    </row>
    <row r="212" ht="15" customHeight="1">
      <c r="A212" t="inlineStr">
        <is>
          <t>A 31716-2019</t>
        </is>
      </c>
      <c r="B212" s="1" t="n">
        <v>43642</v>
      </c>
      <c r="C212" s="1" t="n">
        <v>45822</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31882-2019</t>
        </is>
      </c>
      <c r="B213" s="1" t="n">
        <v>43642</v>
      </c>
      <c r="C213" s="1" t="n">
        <v>45822</v>
      </c>
      <c r="D213" t="inlineStr">
        <is>
          <t>UPPSALA LÄN</t>
        </is>
      </c>
      <c r="E213" t="inlineStr">
        <is>
          <t>ÖSTHAMMAR</t>
        </is>
      </c>
      <c r="G213" t="n">
        <v>3.5</v>
      </c>
      <c r="H213" t="n">
        <v>0</v>
      </c>
      <c r="I213" t="n">
        <v>0</v>
      </c>
      <c r="J213" t="n">
        <v>0</v>
      </c>
      <c r="K213" t="n">
        <v>0</v>
      </c>
      <c r="L213" t="n">
        <v>0</v>
      </c>
      <c r="M213" t="n">
        <v>0</v>
      </c>
      <c r="N213" t="n">
        <v>0</v>
      </c>
      <c r="O213" t="n">
        <v>0</v>
      </c>
      <c r="P213" t="n">
        <v>0</v>
      </c>
      <c r="Q213" t="n">
        <v>0</v>
      </c>
      <c r="R213" s="2" t="inlineStr"/>
    </row>
    <row r="214" ht="15" customHeight="1">
      <c r="A214" t="inlineStr">
        <is>
          <t>A 32718-2019</t>
        </is>
      </c>
      <c r="B214" s="1" t="n">
        <v>43647</v>
      </c>
      <c r="C214" s="1" t="n">
        <v>45822</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33532-2019</t>
        </is>
      </c>
      <c r="B215" s="1" t="n">
        <v>43651</v>
      </c>
      <c r="C215" s="1" t="n">
        <v>45822</v>
      </c>
      <c r="D215" t="inlineStr">
        <is>
          <t>UPPSALA LÄN</t>
        </is>
      </c>
      <c r="E215" t="inlineStr">
        <is>
          <t>ÖSTHAMMAR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33544-2019</t>
        </is>
      </c>
      <c r="B216" s="1" t="n">
        <v>43651</v>
      </c>
      <c r="C216" s="1" t="n">
        <v>45822</v>
      </c>
      <c r="D216" t="inlineStr">
        <is>
          <t>UPPSALA LÄN</t>
        </is>
      </c>
      <c r="E216" t="inlineStr">
        <is>
          <t>ÖSTHAMMAR</t>
        </is>
      </c>
      <c r="G216" t="n">
        <v>4.3</v>
      </c>
      <c r="H216" t="n">
        <v>0</v>
      </c>
      <c r="I216" t="n">
        <v>0</v>
      </c>
      <c r="J216" t="n">
        <v>0</v>
      </c>
      <c r="K216" t="n">
        <v>0</v>
      </c>
      <c r="L216" t="n">
        <v>0</v>
      </c>
      <c r="M216" t="n">
        <v>0</v>
      </c>
      <c r="N216" t="n">
        <v>0</v>
      </c>
      <c r="O216" t="n">
        <v>0</v>
      </c>
      <c r="P216" t="n">
        <v>0</v>
      </c>
      <c r="Q216" t="n">
        <v>0</v>
      </c>
      <c r="R216" s="2" t="inlineStr"/>
    </row>
    <row r="217" ht="15" customHeight="1">
      <c r="A217" t="inlineStr">
        <is>
          <t>A 33539-2019</t>
        </is>
      </c>
      <c r="B217" s="1" t="n">
        <v>43651</v>
      </c>
      <c r="C217" s="1" t="n">
        <v>45822</v>
      </c>
      <c r="D217" t="inlineStr">
        <is>
          <t>UPPSALA LÄN</t>
        </is>
      </c>
      <c r="E217" t="inlineStr">
        <is>
          <t>ÖSTHAMMAR</t>
        </is>
      </c>
      <c r="G217" t="n">
        <v>4.6</v>
      </c>
      <c r="H217" t="n">
        <v>0</v>
      </c>
      <c r="I217" t="n">
        <v>0</v>
      </c>
      <c r="J217" t="n">
        <v>0</v>
      </c>
      <c r="K217" t="n">
        <v>0</v>
      </c>
      <c r="L217" t="n">
        <v>0</v>
      </c>
      <c r="M217" t="n">
        <v>0</v>
      </c>
      <c r="N217" t="n">
        <v>0</v>
      </c>
      <c r="O217" t="n">
        <v>0</v>
      </c>
      <c r="P217" t="n">
        <v>0</v>
      </c>
      <c r="Q217" t="n">
        <v>0</v>
      </c>
      <c r="R217" s="2" t="inlineStr"/>
    </row>
    <row r="218" ht="15" customHeight="1">
      <c r="A218" t="inlineStr">
        <is>
          <t>A 33551-2019</t>
        </is>
      </c>
      <c r="B218" s="1" t="n">
        <v>43651</v>
      </c>
      <c r="C218" s="1" t="n">
        <v>45822</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33784-2019</t>
        </is>
      </c>
      <c r="B219" s="1" t="n">
        <v>43651</v>
      </c>
      <c r="C219" s="1" t="n">
        <v>45822</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39582-2019</t>
        </is>
      </c>
      <c r="B220" s="1" t="n">
        <v>43686</v>
      </c>
      <c r="C220" s="1" t="n">
        <v>45822</v>
      </c>
      <c r="D220" t="inlineStr">
        <is>
          <t>UPPSALA LÄN</t>
        </is>
      </c>
      <c r="E220" t="inlineStr">
        <is>
          <t>ÖSTHAMMAR</t>
        </is>
      </c>
      <c r="G220" t="n">
        <v>12.2</v>
      </c>
      <c r="H220" t="n">
        <v>0</v>
      </c>
      <c r="I220" t="n">
        <v>0</v>
      </c>
      <c r="J220" t="n">
        <v>0</v>
      </c>
      <c r="K220" t="n">
        <v>0</v>
      </c>
      <c r="L220" t="n">
        <v>0</v>
      </c>
      <c r="M220" t="n">
        <v>0</v>
      </c>
      <c r="N220" t="n">
        <v>0</v>
      </c>
      <c r="O220" t="n">
        <v>0</v>
      </c>
      <c r="P220" t="n">
        <v>0</v>
      </c>
      <c r="Q220" t="n">
        <v>0</v>
      </c>
      <c r="R220" s="2" t="inlineStr"/>
    </row>
    <row r="221" ht="15" customHeight="1">
      <c r="A221" t="inlineStr">
        <is>
          <t>A 39910-2019</t>
        </is>
      </c>
      <c r="B221" s="1" t="n">
        <v>43692</v>
      </c>
      <c r="C221" s="1" t="n">
        <v>45822</v>
      </c>
      <c r="D221" t="inlineStr">
        <is>
          <t>UPPSALA LÄN</t>
        </is>
      </c>
      <c r="E221" t="inlineStr">
        <is>
          <t>ÖSTHAMMAR</t>
        </is>
      </c>
      <c r="G221" t="n">
        <v>3.9</v>
      </c>
      <c r="H221" t="n">
        <v>0</v>
      </c>
      <c r="I221" t="n">
        <v>0</v>
      </c>
      <c r="J221" t="n">
        <v>0</v>
      </c>
      <c r="K221" t="n">
        <v>0</v>
      </c>
      <c r="L221" t="n">
        <v>0</v>
      </c>
      <c r="M221" t="n">
        <v>0</v>
      </c>
      <c r="N221" t="n">
        <v>0</v>
      </c>
      <c r="O221" t="n">
        <v>0</v>
      </c>
      <c r="P221" t="n">
        <v>0</v>
      </c>
      <c r="Q221" t="n">
        <v>0</v>
      </c>
      <c r="R221" s="2" t="inlineStr"/>
    </row>
    <row r="222" ht="15" customHeight="1">
      <c r="A222" t="inlineStr">
        <is>
          <t>A 41697-2019</t>
        </is>
      </c>
      <c r="B222" s="1" t="n">
        <v>43699</v>
      </c>
      <c r="C222" s="1" t="n">
        <v>45822</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41539-2019</t>
        </is>
      </c>
      <c r="B223" s="1" t="n">
        <v>43699</v>
      </c>
      <c r="C223" s="1" t="n">
        <v>45822</v>
      </c>
      <c r="D223" t="inlineStr">
        <is>
          <t>UPPSALA LÄN</t>
        </is>
      </c>
      <c r="E223" t="inlineStr">
        <is>
          <t>ÖSTHAMMAR</t>
        </is>
      </c>
      <c r="G223" t="n">
        <v>0.5</v>
      </c>
      <c r="H223" t="n">
        <v>0</v>
      </c>
      <c r="I223" t="n">
        <v>0</v>
      </c>
      <c r="J223" t="n">
        <v>0</v>
      </c>
      <c r="K223" t="n">
        <v>0</v>
      </c>
      <c r="L223" t="n">
        <v>0</v>
      </c>
      <c r="M223" t="n">
        <v>0</v>
      </c>
      <c r="N223" t="n">
        <v>0</v>
      </c>
      <c r="O223" t="n">
        <v>0</v>
      </c>
      <c r="P223" t="n">
        <v>0</v>
      </c>
      <c r="Q223" t="n">
        <v>0</v>
      </c>
      <c r="R223" s="2" t="inlineStr"/>
    </row>
    <row r="224" ht="15" customHeight="1">
      <c r="A224" t="inlineStr">
        <is>
          <t>A 43426-2019</t>
        </is>
      </c>
      <c r="B224" s="1" t="n">
        <v>43706</v>
      </c>
      <c r="C224" s="1" t="n">
        <v>45822</v>
      </c>
      <c r="D224" t="inlineStr">
        <is>
          <t>UPPSALA LÄN</t>
        </is>
      </c>
      <c r="E224" t="inlineStr">
        <is>
          <t>ÖSTHAMMAR</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45140-2019</t>
        </is>
      </c>
      <c r="B225" s="1" t="n">
        <v>43713</v>
      </c>
      <c r="C225" s="1" t="n">
        <v>45822</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45681-2019</t>
        </is>
      </c>
      <c r="B226" s="1" t="n">
        <v>43717</v>
      </c>
      <c r="C226" s="1" t="n">
        <v>45822</v>
      </c>
      <c r="D226" t="inlineStr">
        <is>
          <t>UPPSALA LÄN</t>
        </is>
      </c>
      <c r="E226" t="inlineStr">
        <is>
          <t>ÖSTHAMMAR</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47440-2019</t>
        </is>
      </c>
      <c r="B227" s="1" t="n">
        <v>43723</v>
      </c>
      <c r="C227" s="1" t="n">
        <v>45822</v>
      </c>
      <c r="D227" t="inlineStr">
        <is>
          <t>UPPSALA LÄN</t>
        </is>
      </c>
      <c r="E227" t="inlineStr">
        <is>
          <t>ÖSTHAMMAR</t>
        </is>
      </c>
      <c r="G227" t="n">
        <v>0.1</v>
      </c>
      <c r="H227" t="n">
        <v>0</v>
      </c>
      <c r="I227" t="n">
        <v>0</v>
      </c>
      <c r="J227" t="n">
        <v>0</v>
      </c>
      <c r="K227" t="n">
        <v>0</v>
      </c>
      <c r="L227" t="n">
        <v>0</v>
      </c>
      <c r="M227" t="n">
        <v>0</v>
      </c>
      <c r="N227" t="n">
        <v>0</v>
      </c>
      <c r="O227" t="n">
        <v>0</v>
      </c>
      <c r="P227" t="n">
        <v>0</v>
      </c>
      <c r="Q227" t="n">
        <v>0</v>
      </c>
      <c r="R227" s="2" t="inlineStr"/>
    </row>
    <row r="228" ht="15" customHeight="1">
      <c r="A228" t="inlineStr">
        <is>
          <t>A 47436-2019</t>
        </is>
      </c>
      <c r="B228" s="1" t="n">
        <v>43723</v>
      </c>
      <c r="C228" s="1" t="n">
        <v>45822</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51025-2019</t>
        </is>
      </c>
      <c r="B229" s="1" t="n">
        <v>43739</v>
      </c>
      <c r="C229" s="1" t="n">
        <v>45822</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53442-2019</t>
        </is>
      </c>
      <c r="B230" s="1" t="n">
        <v>43748</v>
      </c>
      <c r="C230" s="1" t="n">
        <v>45822</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55382-2019</t>
        </is>
      </c>
      <c r="B231" s="1" t="n">
        <v>43755</v>
      </c>
      <c r="C231" s="1" t="n">
        <v>45822</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57686-2019</t>
        </is>
      </c>
      <c r="B232" s="1" t="n">
        <v>43761</v>
      </c>
      <c r="C232" s="1" t="n">
        <v>45822</v>
      </c>
      <c r="D232" t="inlineStr">
        <is>
          <t>UPPSALA LÄN</t>
        </is>
      </c>
      <c r="E232" t="inlineStr">
        <is>
          <t>ÖSTHAMMAR</t>
        </is>
      </c>
      <c r="G232" t="n">
        <v>5.7</v>
      </c>
      <c r="H232" t="n">
        <v>0</v>
      </c>
      <c r="I232" t="n">
        <v>0</v>
      </c>
      <c r="J232" t="n">
        <v>0</v>
      </c>
      <c r="K232" t="n">
        <v>0</v>
      </c>
      <c r="L232" t="n">
        <v>0</v>
      </c>
      <c r="M232" t="n">
        <v>0</v>
      </c>
      <c r="N232" t="n">
        <v>0</v>
      </c>
      <c r="O232" t="n">
        <v>0</v>
      </c>
      <c r="P232" t="n">
        <v>0</v>
      </c>
      <c r="Q232" t="n">
        <v>0</v>
      </c>
      <c r="R232" s="2" t="inlineStr"/>
    </row>
    <row r="233" ht="15" customHeight="1">
      <c r="A233" t="inlineStr">
        <is>
          <t>A 57304-2019</t>
        </is>
      </c>
      <c r="B233" s="1" t="n">
        <v>43767</v>
      </c>
      <c r="C233" s="1" t="n">
        <v>45822</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58665-2019</t>
        </is>
      </c>
      <c r="B234" s="1" t="n">
        <v>43773</v>
      </c>
      <c r="C234" s="1" t="n">
        <v>45822</v>
      </c>
      <c r="D234" t="inlineStr">
        <is>
          <t>UPPSALA LÄN</t>
        </is>
      </c>
      <c r="E234" t="inlineStr">
        <is>
          <t>ÖSTHAMMAR</t>
        </is>
      </c>
      <c r="G234" t="n">
        <v>2</v>
      </c>
      <c r="H234" t="n">
        <v>0</v>
      </c>
      <c r="I234" t="n">
        <v>0</v>
      </c>
      <c r="J234" t="n">
        <v>0</v>
      </c>
      <c r="K234" t="n">
        <v>0</v>
      </c>
      <c r="L234" t="n">
        <v>0</v>
      </c>
      <c r="M234" t="n">
        <v>0</v>
      </c>
      <c r="N234" t="n">
        <v>0</v>
      </c>
      <c r="O234" t="n">
        <v>0</v>
      </c>
      <c r="P234" t="n">
        <v>0</v>
      </c>
      <c r="Q234" t="n">
        <v>0</v>
      </c>
      <c r="R234" s="2" t="inlineStr"/>
    </row>
    <row r="235" ht="15" customHeight="1">
      <c r="A235" t="inlineStr">
        <is>
          <t>A 60977-2019</t>
        </is>
      </c>
      <c r="B235" s="1" t="n">
        <v>43782</v>
      </c>
      <c r="C235" s="1" t="n">
        <v>45822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61866-2019</t>
        </is>
      </c>
      <c r="B236" s="1" t="n">
        <v>43787</v>
      </c>
      <c r="C236" s="1" t="n">
        <v>45822</v>
      </c>
      <c r="D236" t="inlineStr">
        <is>
          <t>UPPSALA LÄN</t>
        </is>
      </c>
      <c r="E236" t="inlineStr">
        <is>
          <t>ÖSTHAMMAR</t>
        </is>
      </c>
      <c r="F236" t="inlineStr">
        <is>
          <t>Bergvik skog öst AB</t>
        </is>
      </c>
      <c r="G236" t="n">
        <v>6.6</v>
      </c>
      <c r="H236" t="n">
        <v>0</v>
      </c>
      <c r="I236" t="n">
        <v>0</v>
      </c>
      <c r="J236" t="n">
        <v>0</v>
      </c>
      <c r="K236" t="n">
        <v>0</v>
      </c>
      <c r="L236" t="n">
        <v>0</v>
      </c>
      <c r="M236" t="n">
        <v>0</v>
      </c>
      <c r="N236" t="n">
        <v>0</v>
      </c>
      <c r="O236" t="n">
        <v>0</v>
      </c>
      <c r="P236" t="n">
        <v>0</v>
      </c>
      <c r="Q236" t="n">
        <v>0</v>
      </c>
      <c r="R236" s="2" t="inlineStr"/>
    </row>
    <row r="237" ht="15" customHeight="1">
      <c r="A237" t="inlineStr">
        <is>
          <t>A 62808-2019</t>
        </is>
      </c>
      <c r="B237" s="1" t="n">
        <v>43790</v>
      </c>
      <c r="C237" s="1" t="n">
        <v>45822</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63564-2019</t>
        </is>
      </c>
      <c r="B238" s="1" t="n">
        <v>43795</v>
      </c>
      <c r="C238" s="1" t="n">
        <v>45822</v>
      </c>
      <c r="D238" t="inlineStr">
        <is>
          <t>UPPSALA LÄN</t>
        </is>
      </c>
      <c r="E238" t="inlineStr">
        <is>
          <t>ÖSTHAMMAR</t>
        </is>
      </c>
      <c r="F238" t="inlineStr">
        <is>
          <t>Övriga Aktiebolag</t>
        </is>
      </c>
      <c r="G238" t="n">
        <v>4.7</v>
      </c>
      <c r="H238" t="n">
        <v>0</v>
      </c>
      <c r="I238" t="n">
        <v>0</v>
      </c>
      <c r="J238" t="n">
        <v>0</v>
      </c>
      <c r="K238" t="n">
        <v>0</v>
      </c>
      <c r="L238" t="n">
        <v>0</v>
      </c>
      <c r="M238" t="n">
        <v>0</v>
      </c>
      <c r="N238" t="n">
        <v>0</v>
      </c>
      <c r="O238" t="n">
        <v>0</v>
      </c>
      <c r="P238" t="n">
        <v>0</v>
      </c>
      <c r="Q238" t="n">
        <v>0</v>
      </c>
      <c r="R238" s="2" t="inlineStr"/>
    </row>
    <row r="239" ht="15" customHeight="1">
      <c r="A239" t="inlineStr">
        <is>
          <t>A 64344-2019</t>
        </is>
      </c>
      <c r="B239" s="1" t="n">
        <v>43797</v>
      </c>
      <c r="C239" s="1" t="n">
        <v>45822</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65107-2019</t>
        </is>
      </c>
      <c r="B240" s="1" t="n">
        <v>43802</v>
      </c>
      <c r="C240" s="1" t="n">
        <v>45822</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67647-2019</t>
        </is>
      </c>
      <c r="B241" s="1" t="n">
        <v>43808</v>
      </c>
      <c r="C241" s="1" t="n">
        <v>45822</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66802-2019</t>
        </is>
      </c>
      <c r="B242" s="1" t="n">
        <v>43810</v>
      </c>
      <c r="C242" s="1" t="n">
        <v>45822</v>
      </c>
      <c r="D242" t="inlineStr">
        <is>
          <t>UPPSALA LÄN</t>
        </is>
      </c>
      <c r="E242" t="inlineStr">
        <is>
          <t>ÖSTHAMMAR</t>
        </is>
      </c>
      <c r="F242" t="inlineStr">
        <is>
          <t>Bergvik skog öst AB</t>
        </is>
      </c>
      <c r="G242" t="n">
        <v>34.8</v>
      </c>
      <c r="H242" t="n">
        <v>0</v>
      </c>
      <c r="I242" t="n">
        <v>0</v>
      </c>
      <c r="J242" t="n">
        <v>0</v>
      </c>
      <c r="K242" t="n">
        <v>0</v>
      </c>
      <c r="L242" t="n">
        <v>0</v>
      </c>
      <c r="M242" t="n">
        <v>0</v>
      </c>
      <c r="N242" t="n">
        <v>0</v>
      </c>
      <c r="O242" t="n">
        <v>0</v>
      </c>
      <c r="P242" t="n">
        <v>0</v>
      </c>
      <c r="Q242" t="n">
        <v>0</v>
      </c>
      <c r="R242" s="2" t="inlineStr"/>
    </row>
    <row r="243" ht="15" customHeight="1">
      <c r="A243" t="inlineStr">
        <is>
          <t>A 67254-2019</t>
        </is>
      </c>
      <c r="B243" s="1" t="n">
        <v>43812</v>
      </c>
      <c r="C243" s="1" t="n">
        <v>45822</v>
      </c>
      <c r="D243" t="inlineStr">
        <is>
          <t>UPPSALA LÄN</t>
        </is>
      </c>
      <c r="E243" t="inlineStr">
        <is>
          <t>ÖSTHAMMAR</t>
        </is>
      </c>
      <c r="F243" t="inlineStr">
        <is>
          <t>Allmännings- och besparingsskogar</t>
        </is>
      </c>
      <c r="G243" t="n">
        <v>0.8</v>
      </c>
      <c r="H243" t="n">
        <v>0</v>
      </c>
      <c r="I243" t="n">
        <v>0</v>
      </c>
      <c r="J243" t="n">
        <v>0</v>
      </c>
      <c r="K243" t="n">
        <v>0</v>
      </c>
      <c r="L243" t="n">
        <v>0</v>
      </c>
      <c r="M243" t="n">
        <v>0</v>
      </c>
      <c r="N243" t="n">
        <v>0</v>
      </c>
      <c r="O243" t="n">
        <v>0</v>
      </c>
      <c r="P243" t="n">
        <v>0</v>
      </c>
      <c r="Q243" t="n">
        <v>0</v>
      </c>
      <c r="R243" s="2" t="inlineStr"/>
    </row>
    <row r="244" ht="15" customHeight="1">
      <c r="A244" t="inlineStr">
        <is>
          <t>A 618-2020</t>
        </is>
      </c>
      <c r="B244" s="1" t="n">
        <v>43817</v>
      </c>
      <c r="C244" s="1" t="n">
        <v>45822</v>
      </c>
      <c r="D244" t="inlineStr">
        <is>
          <t>UPPSALA LÄN</t>
        </is>
      </c>
      <c r="E244" t="inlineStr">
        <is>
          <t>ÖSTHAMMAR</t>
        </is>
      </c>
      <c r="G244" t="n">
        <v>3.2</v>
      </c>
      <c r="H244" t="n">
        <v>0</v>
      </c>
      <c r="I244" t="n">
        <v>0</v>
      </c>
      <c r="J244" t="n">
        <v>0</v>
      </c>
      <c r="K244" t="n">
        <v>0</v>
      </c>
      <c r="L244" t="n">
        <v>0</v>
      </c>
      <c r="M244" t="n">
        <v>0</v>
      </c>
      <c r="N244" t="n">
        <v>0</v>
      </c>
      <c r="O244" t="n">
        <v>0</v>
      </c>
      <c r="P244" t="n">
        <v>0</v>
      </c>
      <c r="Q244" t="n">
        <v>0</v>
      </c>
      <c r="R244" s="2" t="inlineStr"/>
    </row>
    <row r="245" ht="15" customHeight="1">
      <c r="A245" t="inlineStr">
        <is>
          <t>A 68870-2019</t>
        </is>
      </c>
      <c r="B245" s="1" t="n">
        <v>43821</v>
      </c>
      <c r="C245" s="1" t="n">
        <v>45822</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68871-2019</t>
        </is>
      </c>
      <c r="B246" s="1" t="n">
        <v>43821</v>
      </c>
      <c r="C246" s="1" t="n">
        <v>45822</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68868-2019</t>
        </is>
      </c>
      <c r="B247" s="1" t="n">
        <v>43821</v>
      </c>
      <c r="C247" s="1" t="n">
        <v>45822</v>
      </c>
      <c r="D247" t="inlineStr">
        <is>
          <t>UPPSALA LÄN</t>
        </is>
      </c>
      <c r="E247" t="inlineStr">
        <is>
          <t>ÖSTHAMMAR</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685-2020</t>
        </is>
      </c>
      <c r="B248" s="1" t="n">
        <v>43838</v>
      </c>
      <c r="C248" s="1" t="n">
        <v>45822</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1685-2020</t>
        </is>
      </c>
      <c r="B249" s="1" t="n">
        <v>43844</v>
      </c>
      <c r="C249" s="1" t="n">
        <v>45822</v>
      </c>
      <c r="D249" t="inlineStr">
        <is>
          <t>UPPSALA LÄN</t>
        </is>
      </c>
      <c r="E249" t="inlineStr">
        <is>
          <t>ÖSTHAMMAR</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1681-2020</t>
        </is>
      </c>
      <c r="B250" s="1" t="n">
        <v>43844</v>
      </c>
      <c r="C250" s="1" t="n">
        <v>45822</v>
      </c>
      <c r="D250" t="inlineStr">
        <is>
          <t>UPPSALA LÄN</t>
        </is>
      </c>
      <c r="E250" t="inlineStr">
        <is>
          <t>ÖSTHAMMAR</t>
        </is>
      </c>
      <c r="F250" t="inlineStr">
        <is>
          <t>Övriga Aktiebolag</t>
        </is>
      </c>
      <c r="G250" t="n">
        <v>1.6</v>
      </c>
      <c r="H250" t="n">
        <v>0</v>
      </c>
      <c r="I250" t="n">
        <v>0</v>
      </c>
      <c r="J250" t="n">
        <v>0</v>
      </c>
      <c r="K250" t="n">
        <v>0</v>
      </c>
      <c r="L250" t="n">
        <v>0</v>
      </c>
      <c r="M250" t="n">
        <v>0</v>
      </c>
      <c r="N250" t="n">
        <v>0</v>
      </c>
      <c r="O250" t="n">
        <v>0</v>
      </c>
      <c r="P250" t="n">
        <v>0</v>
      </c>
      <c r="Q250" t="n">
        <v>0</v>
      </c>
      <c r="R250" s="2" t="inlineStr"/>
    </row>
    <row r="251" ht="15" customHeight="1">
      <c r="A251" t="inlineStr">
        <is>
          <t>A 4473-2020</t>
        </is>
      </c>
      <c r="B251" s="1" t="n">
        <v>43850</v>
      </c>
      <c r="C251" s="1" t="n">
        <v>45822</v>
      </c>
      <c r="D251" t="inlineStr">
        <is>
          <t>UPPSALA LÄN</t>
        </is>
      </c>
      <c r="E251" t="inlineStr">
        <is>
          <t>ÖSTHAMMAR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3334-2020</t>
        </is>
      </c>
      <c r="B252" s="1" t="n">
        <v>43852</v>
      </c>
      <c r="C252" s="1" t="n">
        <v>45822</v>
      </c>
      <c r="D252" t="inlineStr">
        <is>
          <t>UPPSALA LÄN</t>
        </is>
      </c>
      <c r="E252" t="inlineStr">
        <is>
          <t>ÖSTHAMMAR</t>
        </is>
      </c>
      <c r="G252" t="n">
        <v>2.5</v>
      </c>
      <c r="H252" t="n">
        <v>0</v>
      </c>
      <c r="I252" t="n">
        <v>0</v>
      </c>
      <c r="J252" t="n">
        <v>0</v>
      </c>
      <c r="K252" t="n">
        <v>0</v>
      </c>
      <c r="L252" t="n">
        <v>0</v>
      </c>
      <c r="M252" t="n">
        <v>0</v>
      </c>
      <c r="N252" t="n">
        <v>0</v>
      </c>
      <c r="O252" t="n">
        <v>0</v>
      </c>
      <c r="P252" t="n">
        <v>0</v>
      </c>
      <c r="Q252" t="n">
        <v>0</v>
      </c>
      <c r="R252" s="2" t="inlineStr"/>
    </row>
    <row r="253" ht="15" customHeight="1">
      <c r="A253" t="inlineStr">
        <is>
          <t>A 3984-2020</t>
        </is>
      </c>
      <c r="B253" s="1" t="n">
        <v>43855</v>
      </c>
      <c r="C253" s="1" t="n">
        <v>45822</v>
      </c>
      <c r="D253" t="inlineStr">
        <is>
          <t>UPPSALA LÄN</t>
        </is>
      </c>
      <c r="E253" t="inlineStr">
        <is>
          <t>ÖSTHAMMAR</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6052-2020</t>
        </is>
      </c>
      <c r="B254" s="1" t="n">
        <v>43864</v>
      </c>
      <c r="C254" s="1" t="n">
        <v>45822</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6026-2020</t>
        </is>
      </c>
      <c r="B255" s="1" t="n">
        <v>43865</v>
      </c>
      <c r="C255" s="1" t="n">
        <v>45822</v>
      </c>
      <c r="D255" t="inlineStr">
        <is>
          <t>UPPSALA LÄN</t>
        </is>
      </c>
      <c r="E255" t="inlineStr">
        <is>
          <t>ÖSTHAMMAR</t>
        </is>
      </c>
      <c r="F255" t="inlineStr">
        <is>
          <t>Övriga Aktiebolag</t>
        </is>
      </c>
      <c r="G255" t="n">
        <v>0.3</v>
      </c>
      <c r="H255" t="n">
        <v>0</v>
      </c>
      <c r="I255" t="n">
        <v>0</v>
      </c>
      <c r="J255" t="n">
        <v>0</v>
      </c>
      <c r="K255" t="n">
        <v>0</v>
      </c>
      <c r="L255" t="n">
        <v>0</v>
      </c>
      <c r="M255" t="n">
        <v>0</v>
      </c>
      <c r="N255" t="n">
        <v>0</v>
      </c>
      <c r="O255" t="n">
        <v>0</v>
      </c>
      <c r="P255" t="n">
        <v>0</v>
      </c>
      <c r="Q255" t="n">
        <v>0</v>
      </c>
      <c r="R255" s="2" t="inlineStr"/>
    </row>
    <row r="256" ht="15" customHeight="1">
      <c r="A256" t="inlineStr">
        <is>
          <t>A 6791-2020</t>
        </is>
      </c>
      <c r="B256" s="1" t="n">
        <v>43867</v>
      </c>
      <c r="C256" s="1" t="n">
        <v>45822</v>
      </c>
      <c r="D256" t="inlineStr">
        <is>
          <t>UPPSALA LÄN</t>
        </is>
      </c>
      <c r="E256" t="inlineStr">
        <is>
          <t>ÖSTHAMMAR</t>
        </is>
      </c>
      <c r="G256" t="n">
        <v>3</v>
      </c>
      <c r="H256" t="n">
        <v>0</v>
      </c>
      <c r="I256" t="n">
        <v>0</v>
      </c>
      <c r="J256" t="n">
        <v>0</v>
      </c>
      <c r="K256" t="n">
        <v>0</v>
      </c>
      <c r="L256" t="n">
        <v>0</v>
      </c>
      <c r="M256" t="n">
        <v>0</v>
      </c>
      <c r="N256" t="n">
        <v>0</v>
      </c>
      <c r="O256" t="n">
        <v>0</v>
      </c>
      <c r="P256" t="n">
        <v>0</v>
      </c>
      <c r="Q256" t="n">
        <v>0</v>
      </c>
      <c r="R256" s="2" t="inlineStr"/>
    </row>
    <row r="257" ht="15" customHeight="1">
      <c r="A257" t="inlineStr">
        <is>
          <t>A 7847-2020</t>
        </is>
      </c>
      <c r="B257" s="1" t="n">
        <v>43873</v>
      </c>
      <c r="C257" s="1" t="n">
        <v>45822</v>
      </c>
      <c r="D257" t="inlineStr">
        <is>
          <t>UPPSALA LÄN</t>
        </is>
      </c>
      <c r="E257" t="inlineStr">
        <is>
          <t>ÖSTHAMMAR</t>
        </is>
      </c>
      <c r="F257" t="inlineStr">
        <is>
          <t>Övriga Aktiebolag</t>
        </is>
      </c>
      <c r="G257" t="n">
        <v>15.3</v>
      </c>
      <c r="H257" t="n">
        <v>0</v>
      </c>
      <c r="I257" t="n">
        <v>0</v>
      </c>
      <c r="J257" t="n">
        <v>0</v>
      </c>
      <c r="K257" t="n">
        <v>0</v>
      </c>
      <c r="L257" t="n">
        <v>0</v>
      </c>
      <c r="M257" t="n">
        <v>0</v>
      </c>
      <c r="N257" t="n">
        <v>0</v>
      </c>
      <c r="O257" t="n">
        <v>0</v>
      </c>
      <c r="P257" t="n">
        <v>0</v>
      </c>
      <c r="Q257" t="n">
        <v>0</v>
      </c>
      <c r="R257" s="2" t="inlineStr"/>
    </row>
    <row r="258" ht="15" customHeight="1">
      <c r="A258" t="inlineStr">
        <is>
          <t>A 10008-2020</t>
        </is>
      </c>
      <c r="B258" s="1" t="n">
        <v>43882</v>
      </c>
      <c r="C258" s="1" t="n">
        <v>45822</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10345-2020</t>
        </is>
      </c>
      <c r="B259" s="1" t="n">
        <v>43885</v>
      </c>
      <c r="C259" s="1" t="n">
        <v>45822</v>
      </c>
      <c r="D259" t="inlineStr">
        <is>
          <t>UPPSALA LÄN</t>
        </is>
      </c>
      <c r="E259" t="inlineStr">
        <is>
          <t>ÖSTHAMMAR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10347-2020</t>
        </is>
      </c>
      <c r="B260" s="1" t="n">
        <v>43885</v>
      </c>
      <c r="C260" s="1" t="n">
        <v>45822</v>
      </c>
      <c r="D260" t="inlineStr">
        <is>
          <t>UPPSALA LÄN</t>
        </is>
      </c>
      <c r="E260" t="inlineStr">
        <is>
          <t>ÖSTHAMMAR</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12080-2020</t>
        </is>
      </c>
      <c r="B261" s="1" t="n">
        <v>43895</v>
      </c>
      <c r="C261" s="1" t="n">
        <v>45822</v>
      </c>
      <c r="D261" t="inlineStr">
        <is>
          <t>UPPSALA LÄN</t>
        </is>
      </c>
      <c r="E261" t="inlineStr">
        <is>
          <t>ÖSTHAMMAR</t>
        </is>
      </c>
      <c r="F261" t="inlineStr">
        <is>
          <t>Övriga Aktiebolag</t>
        </is>
      </c>
      <c r="G261" t="n">
        <v>13.9</v>
      </c>
      <c r="H261" t="n">
        <v>0</v>
      </c>
      <c r="I261" t="n">
        <v>0</v>
      </c>
      <c r="J261" t="n">
        <v>0</v>
      </c>
      <c r="K261" t="n">
        <v>0</v>
      </c>
      <c r="L261" t="n">
        <v>0</v>
      </c>
      <c r="M261" t="n">
        <v>0</v>
      </c>
      <c r="N261" t="n">
        <v>0</v>
      </c>
      <c r="O261" t="n">
        <v>0</v>
      </c>
      <c r="P261" t="n">
        <v>0</v>
      </c>
      <c r="Q261" t="n">
        <v>0</v>
      </c>
      <c r="R261" s="2" t="inlineStr"/>
    </row>
    <row r="262" ht="15" customHeight="1">
      <c r="A262" t="inlineStr">
        <is>
          <t>A 13112-2020</t>
        </is>
      </c>
      <c r="B262" s="1" t="n">
        <v>43901</v>
      </c>
      <c r="C262" s="1" t="n">
        <v>45822</v>
      </c>
      <c r="D262" t="inlineStr">
        <is>
          <t>UPPSALA LÄN</t>
        </is>
      </c>
      <c r="E262" t="inlineStr">
        <is>
          <t>ÖSTHAMMAR</t>
        </is>
      </c>
      <c r="F262" t="inlineStr">
        <is>
          <t>Övriga Aktiebolag</t>
        </is>
      </c>
      <c r="G262" t="n">
        <v>6.5</v>
      </c>
      <c r="H262" t="n">
        <v>0</v>
      </c>
      <c r="I262" t="n">
        <v>0</v>
      </c>
      <c r="J262" t="n">
        <v>0</v>
      </c>
      <c r="K262" t="n">
        <v>0</v>
      </c>
      <c r="L262" t="n">
        <v>0</v>
      </c>
      <c r="M262" t="n">
        <v>0</v>
      </c>
      <c r="N262" t="n">
        <v>0</v>
      </c>
      <c r="O262" t="n">
        <v>0</v>
      </c>
      <c r="P262" t="n">
        <v>0</v>
      </c>
      <c r="Q262" t="n">
        <v>0</v>
      </c>
      <c r="R262" s="2" t="inlineStr"/>
    </row>
    <row r="263" ht="15" customHeight="1">
      <c r="A263" t="inlineStr">
        <is>
          <t>A 13310-2020</t>
        </is>
      </c>
      <c r="B263" s="1" t="n">
        <v>43902</v>
      </c>
      <c r="C263" s="1" t="n">
        <v>45822</v>
      </c>
      <c r="D263" t="inlineStr">
        <is>
          <t>UPPSALA LÄN</t>
        </is>
      </c>
      <c r="E263" t="inlineStr">
        <is>
          <t>ÖSTHAMMAR</t>
        </is>
      </c>
      <c r="F263" t="inlineStr">
        <is>
          <t>Bergvik skog öst AB</t>
        </is>
      </c>
      <c r="G263" t="n">
        <v>14.4</v>
      </c>
      <c r="H263" t="n">
        <v>0</v>
      </c>
      <c r="I263" t="n">
        <v>0</v>
      </c>
      <c r="J263" t="n">
        <v>0</v>
      </c>
      <c r="K263" t="n">
        <v>0</v>
      </c>
      <c r="L263" t="n">
        <v>0</v>
      </c>
      <c r="M263" t="n">
        <v>0</v>
      </c>
      <c r="N263" t="n">
        <v>0</v>
      </c>
      <c r="O263" t="n">
        <v>0</v>
      </c>
      <c r="P263" t="n">
        <v>0</v>
      </c>
      <c r="Q263" t="n">
        <v>0</v>
      </c>
      <c r="R263" s="2" t="inlineStr"/>
    </row>
    <row r="264" ht="15" customHeight="1">
      <c r="A264" t="inlineStr">
        <is>
          <t>A 13595-2020</t>
        </is>
      </c>
      <c r="B264" s="1" t="n">
        <v>43903</v>
      </c>
      <c r="C264" s="1" t="n">
        <v>45822</v>
      </c>
      <c r="D264" t="inlineStr">
        <is>
          <t>UPPSALA LÄN</t>
        </is>
      </c>
      <c r="E264" t="inlineStr">
        <is>
          <t>ÖSTHAMMAR</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13945-2020</t>
        </is>
      </c>
      <c r="B265" s="1" t="n">
        <v>43906</v>
      </c>
      <c r="C265" s="1" t="n">
        <v>45822</v>
      </c>
      <c r="D265" t="inlineStr">
        <is>
          <t>UPPSALA LÄN</t>
        </is>
      </c>
      <c r="E265" t="inlineStr">
        <is>
          <t>ÖSTHAMMAR</t>
        </is>
      </c>
      <c r="G265" t="n">
        <v>3.5</v>
      </c>
      <c r="H265" t="n">
        <v>0</v>
      </c>
      <c r="I265" t="n">
        <v>0</v>
      </c>
      <c r="J265" t="n">
        <v>0</v>
      </c>
      <c r="K265" t="n">
        <v>0</v>
      </c>
      <c r="L265" t="n">
        <v>0</v>
      </c>
      <c r="M265" t="n">
        <v>0</v>
      </c>
      <c r="N265" t="n">
        <v>0</v>
      </c>
      <c r="O265" t="n">
        <v>0</v>
      </c>
      <c r="P265" t="n">
        <v>0</v>
      </c>
      <c r="Q265" t="n">
        <v>0</v>
      </c>
      <c r="R265" s="2" t="inlineStr"/>
    </row>
    <row r="266" ht="15" customHeight="1">
      <c r="A266" t="inlineStr">
        <is>
          <t>A 14802-2020</t>
        </is>
      </c>
      <c r="B266" s="1" t="n">
        <v>43909</v>
      </c>
      <c r="C266" s="1" t="n">
        <v>45822</v>
      </c>
      <c r="D266" t="inlineStr">
        <is>
          <t>UPPSALA LÄN</t>
        </is>
      </c>
      <c r="E266" t="inlineStr">
        <is>
          <t>ÖSTHAMMAR</t>
        </is>
      </c>
      <c r="F266" t="inlineStr">
        <is>
          <t>Allmännings- och besparingsskogar</t>
        </is>
      </c>
      <c r="G266" t="n">
        <v>0.9</v>
      </c>
      <c r="H266" t="n">
        <v>0</v>
      </c>
      <c r="I266" t="n">
        <v>0</v>
      </c>
      <c r="J266" t="n">
        <v>0</v>
      </c>
      <c r="K266" t="n">
        <v>0</v>
      </c>
      <c r="L266" t="n">
        <v>0</v>
      </c>
      <c r="M266" t="n">
        <v>0</v>
      </c>
      <c r="N266" t="n">
        <v>0</v>
      </c>
      <c r="O266" t="n">
        <v>0</v>
      </c>
      <c r="P266" t="n">
        <v>0</v>
      </c>
      <c r="Q266" t="n">
        <v>0</v>
      </c>
      <c r="R266" s="2" t="inlineStr"/>
    </row>
    <row r="267" ht="15" customHeight="1">
      <c r="A267" t="inlineStr">
        <is>
          <t>A 14817-2020</t>
        </is>
      </c>
      <c r="B267" s="1" t="n">
        <v>43909</v>
      </c>
      <c r="C267" s="1" t="n">
        <v>45822</v>
      </c>
      <c r="D267" t="inlineStr">
        <is>
          <t>UPPSALA LÄN</t>
        </is>
      </c>
      <c r="E267" t="inlineStr">
        <is>
          <t>ÖSTHAMMAR</t>
        </is>
      </c>
      <c r="F267" t="inlineStr">
        <is>
          <t>Bergvik skog öst AB</t>
        </is>
      </c>
      <c r="G267" t="n">
        <v>3.1</v>
      </c>
      <c r="H267" t="n">
        <v>0</v>
      </c>
      <c r="I267" t="n">
        <v>0</v>
      </c>
      <c r="J267" t="n">
        <v>0</v>
      </c>
      <c r="K267" t="n">
        <v>0</v>
      </c>
      <c r="L267" t="n">
        <v>0</v>
      </c>
      <c r="M267" t="n">
        <v>0</v>
      </c>
      <c r="N267" t="n">
        <v>0</v>
      </c>
      <c r="O267" t="n">
        <v>0</v>
      </c>
      <c r="P267" t="n">
        <v>0</v>
      </c>
      <c r="Q267" t="n">
        <v>0</v>
      </c>
      <c r="R267" s="2" t="inlineStr"/>
    </row>
    <row r="268" ht="15" customHeight="1">
      <c r="A268" t="inlineStr">
        <is>
          <t>A 15067-2020</t>
        </is>
      </c>
      <c r="B268" s="1" t="n">
        <v>43910</v>
      </c>
      <c r="C268" s="1" t="n">
        <v>45822</v>
      </c>
      <c r="D268" t="inlineStr">
        <is>
          <t>UPPSALA LÄN</t>
        </is>
      </c>
      <c r="E268" t="inlineStr">
        <is>
          <t>ÖSTHAMMAR</t>
        </is>
      </c>
      <c r="F268" t="inlineStr">
        <is>
          <t>Bergvik skog öst AB</t>
        </is>
      </c>
      <c r="G268" t="n">
        <v>20.5</v>
      </c>
      <c r="H268" t="n">
        <v>0</v>
      </c>
      <c r="I268" t="n">
        <v>0</v>
      </c>
      <c r="J268" t="n">
        <v>0</v>
      </c>
      <c r="K268" t="n">
        <v>0</v>
      </c>
      <c r="L268" t="n">
        <v>0</v>
      </c>
      <c r="M268" t="n">
        <v>0</v>
      </c>
      <c r="N268" t="n">
        <v>0</v>
      </c>
      <c r="O268" t="n">
        <v>0</v>
      </c>
      <c r="P268" t="n">
        <v>0</v>
      </c>
      <c r="Q268" t="n">
        <v>0</v>
      </c>
      <c r="R268" s="2" t="inlineStr"/>
    </row>
    <row r="269" ht="15" customHeight="1">
      <c r="A269" t="inlineStr">
        <is>
          <t>A 17549-2020</t>
        </is>
      </c>
      <c r="B269" s="1" t="n">
        <v>43920</v>
      </c>
      <c r="C269" s="1" t="n">
        <v>45822</v>
      </c>
      <c r="D269" t="inlineStr">
        <is>
          <t>UPPSALA LÄN</t>
        </is>
      </c>
      <c r="E269" t="inlineStr">
        <is>
          <t>ÖSTHAMMAR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19556-2020</t>
        </is>
      </c>
      <c r="B270" s="1" t="n">
        <v>43936</v>
      </c>
      <c r="C270" s="1" t="n">
        <v>45822</v>
      </c>
      <c r="D270" t="inlineStr">
        <is>
          <t>UPPSALA LÄN</t>
        </is>
      </c>
      <c r="E270" t="inlineStr">
        <is>
          <t>ÖSTHAMMAR</t>
        </is>
      </c>
      <c r="G270" t="n">
        <v>6.3</v>
      </c>
      <c r="H270" t="n">
        <v>0</v>
      </c>
      <c r="I270" t="n">
        <v>0</v>
      </c>
      <c r="J270" t="n">
        <v>0</v>
      </c>
      <c r="K270" t="n">
        <v>0</v>
      </c>
      <c r="L270" t="n">
        <v>0</v>
      </c>
      <c r="M270" t="n">
        <v>0</v>
      </c>
      <c r="N270" t="n">
        <v>0</v>
      </c>
      <c r="O270" t="n">
        <v>0</v>
      </c>
      <c r="P270" t="n">
        <v>0</v>
      </c>
      <c r="Q270" t="n">
        <v>0</v>
      </c>
      <c r="R270" s="2" t="inlineStr"/>
    </row>
    <row r="271" ht="15" customHeight="1">
      <c r="A271" t="inlineStr">
        <is>
          <t>A 23621-2020</t>
        </is>
      </c>
      <c r="B271" s="1" t="n">
        <v>43969</v>
      </c>
      <c r="C271" s="1" t="n">
        <v>45822</v>
      </c>
      <c r="D271" t="inlineStr">
        <is>
          <t>UPPSALA LÄN</t>
        </is>
      </c>
      <c r="E271" t="inlineStr">
        <is>
          <t>ÖSTHAMMAR</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26198-2020</t>
        </is>
      </c>
      <c r="B272" s="1" t="n">
        <v>43986</v>
      </c>
      <c r="C272" s="1" t="n">
        <v>45822</v>
      </c>
      <c r="D272" t="inlineStr">
        <is>
          <t>UPPSALA LÄN</t>
        </is>
      </c>
      <c r="E272" t="inlineStr">
        <is>
          <t>ÖSTHAMMAR</t>
        </is>
      </c>
      <c r="F272" t="inlineStr">
        <is>
          <t>Bergvik skog öst AB</t>
        </is>
      </c>
      <c r="G272" t="n">
        <v>0.3</v>
      </c>
      <c r="H272" t="n">
        <v>0</v>
      </c>
      <c r="I272" t="n">
        <v>0</v>
      </c>
      <c r="J272" t="n">
        <v>0</v>
      </c>
      <c r="K272" t="n">
        <v>0</v>
      </c>
      <c r="L272" t="n">
        <v>0</v>
      </c>
      <c r="M272" t="n">
        <v>0</v>
      </c>
      <c r="N272" t="n">
        <v>0</v>
      </c>
      <c r="O272" t="n">
        <v>0</v>
      </c>
      <c r="P272" t="n">
        <v>0</v>
      </c>
      <c r="Q272" t="n">
        <v>0</v>
      </c>
      <c r="R272" s="2" t="inlineStr"/>
    </row>
    <row r="273" ht="15" customHeight="1">
      <c r="A273" t="inlineStr">
        <is>
          <t>A 30338-2020</t>
        </is>
      </c>
      <c r="B273" s="1" t="n">
        <v>44007</v>
      </c>
      <c r="C273" s="1" t="n">
        <v>45822</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30419-2020</t>
        </is>
      </c>
      <c r="B274" s="1" t="n">
        <v>44007</v>
      </c>
      <c r="C274" s="1" t="n">
        <v>45822</v>
      </c>
      <c r="D274" t="inlineStr">
        <is>
          <t>UPPSALA LÄN</t>
        </is>
      </c>
      <c r="E274" t="inlineStr">
        <is>
          <t>ÖSTHAMMAR</t>
        </is>
      </c>
      <c r="G274" t="n">
        <v>5.6</v>
      </c>
      <c r="H274" t="n">
        <v>0</v>
      </c>
      <c r="I274" t="n">
        <v>0</v>
      </c>
      <c r="J274" t="n">
        <v>0</v>
      </c>
      <c r="K274" t="n">
        <v>0</v>
      </c>
      <c r="L274" t="n">
        <v>0</v>
      </c>
      <c r="M274" t="n">
        <v>0</v>
      </c>
      <c r="N274" t="n">
        <v>0</v>
      </c>
      <c r="O274" t="n">
        <v>0</v>
      </c>
      <c r="P274" t="n">
        <v>0</v>
      </c>
      <c r="Q274" t="n">
        <v>0</v>
      </c>
      <c r="R274" s="2" t="inlineStr"/>
    </row>
    <row r="275" ht="15" customHeight="1">
      <c r="A275" t="inlineStr">
        <is>
          <t>A 32192-2020</t>
        </is>
      </c>
      <c r="B275" s="1" t="n">
        <v>44015</v>
      </c>
      <c r="C275" s="1" t="n">
        <v>45822</v>
      </c>
      <c r="D275" t="inlineStr">
        <is>
          <t>UPPSALA LÄN</t>
        </is>
      </c>
      <c r="E275" t="inlineStr">
        <is>
          <t>ÖSTHAMMAR</t>
        </is>
      </c>
      <c r="G275" t="n">
        <v>1.6</v>
      </c>
      <c r="H275" t="n">
        <v>0</v>
      </c>
      <c r="I275" t="n">
        <v>0</v>
      </c>
      <c r="J275" t="n">
        <v>0</v>
      </c>
      <c r="K275" t="n">
        <v>0</v>
      </c>
      <c r="L275" t="n">
        <v>0</v>
      </c>
      <c r="M275" t="n">
        <v>0</v>
      </c>
      <c r="N275" t="n">
        <v>0</v>
      </c>
      <c r="O275" t="n">
        <v>0</v>
      </c>
      <c r="P275" t="n">
        <v>0</v>
      </c>
      <c r="Q275" t="n">
        <v>0</v>
      </c>
      <c r="R275" s="2" t="inlineStr"/>
    </row>
    <row r="276" ht="15" customHeight="1">
      <c r="A276" t="inlineStr">
        <is>
          <t>A 33098-2020</t>
        </is>
      </c>
      <c r="B276" s="1" t="n">
        <v>44021</v>
      </c>
      <c r="C276" s="1" t="n">
        <v>45822</v>
      </c>
      <c r="D276" t="inlineStr">
        <is>
          <t>UPPSALA LÄN</t>
        </is>
      </c>
      <c r="E276" t="inlineStr">
        <is>
          <t>ÖSTHAMMAR</t>
        </is>
      </c>
      <c r="G276" t="n">
        <v>3.8</v>
      </c>
      <c r="H276" t="n">
        <v>0</v>
      </c>
      <c r="I276" t="n">
        <v>0</v>
      </c>
      <c r="J276" t="n">
        <v>0</v>
      </c>
      <c r="K276" t="n">
        <v>0</v>
      </c>
      <c r="L276" t="n">
        <v>0</v>
      </c>
      <c r="M276" t="n">
        <v>0</v>
      </c>
      <c r="N276" t="n">
        <v>0</v>
      </c>
      <c r="O276" t="n">
        <v>0</v>
      </c>
      <c r="P276" t="n">
        <v>0</v>
      </c>
      <c r="Q276" t="n">
        <v>0</v>
      </c>
      <c r="R276" s="2" t="inlineStr"/>
    </row>
    <row r="277" ht="15" customHeight="1">
      <c r="A277" t="inlineStr">
        <is>
          <t>A 34943-2020</t>
        </is>
      </c>
      <c r="B277" s="1" t="n">
        <v>44038</v>
      </c>
      <c r="C277" s="1" t="n">
        <v>45822</v>
      </c>
      <c r="D277" t="inlineStr">
        <is>
          <t>UPPSALA LÄN</t>
        </is>
      </c>
      <c r="E277" t="inlineStr">
        <is>
          <t>ÖSTHAMMAR</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34941-2020</t>
        </is>
      </c>
      <c r="B278" s="1" t="n">
        <v>44038</v>
      </c>
      <c r="C278" s="1" t="n">
        <v>45822</v>
      </c>
      <c r="D278" t="inlineStr">
        <is>
          <t>UPPSALA LÄN</t>
        </is>
      </c>
      <c r="E278" t="inlineStr">
        <is>
          <t>ÖSTHAMMAR</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34940-2020</t>
        </is>
      </c>
      <c r="B279" s="1" t="n">
        <v>44038</v>
      </c>
      <c r="C279" s="1" t="n">
        <v>45822</v>
      </c>
      <c r="D279" t="inlineStr">
        <is>
          <t>UPPSALA LÄN</t>
        </is>
      </c>
      <c r="E279" t="inlineStr">
        <is>
          <t>ÖSTHAMMAR</t>
        </is>
      </c>
      <c r="F279" t="inlineStr">
        <is>
          <t>Bergvik skog öst AB</t>
        </is>
      </c>
      <c r="G279" t="n">
        <v>3.5</v>
      </c>
      <c r="H279" t="n">
        <v>0</v>
      </c>
      <c r="I279" t="n">
        <v>0</v>
      </c>
      <c r="J279" t="n">
        <v>0</v>
      </c>
      <c r="K279" t="n">
        <v>0</v>
      </c>
      <c r="L279" t="n">
        <v>0</v>
      </c>
      <c r="M279" t="n">
        <v>0</v>
      </c>
      <c r="N279" t="n">
        <v>0</v>
      </c>
      <c r="O279" t="n">
        <v>0</v>
      </c>
      <c r="P279" t="n">
        <v>0</v>
      </c>
      <c r="Q279" t="n">
        <v>0</v>
      </c>
      <c r="R279" s="2" t="inlineStr"/>
    </row>
    <row r="280" ht="15" customHeight="1">
      <c r="A280" t="inlineStr">
        <is>
          <t>A 35094-2020</t>
        </is>
      </c>
      <c r="B280" s="1" t="n">
        <v>44040</v>
      </c>
      <c r="C280" s="1" t="n">
        <v>45822</v>
      </c>
      <c r="D280" t="inlineStr">
        <is>
          <t>UPPSALA LÄN</t>
        </is>
      </c>
      <c r="E280" t="inlineStr">
        <is>
          <t>ÖSTHAMMAR</t>
        </is>
      </c>
      <c r="F280" t="inlineStr">
        <is>
          <t>Bergvik skog öst AB</t>
        </is>
      </c>
      <c r="G280" t="n">
        <v>14.5</v>
      </c>
      <c r="H280" t="n">
        <v>0</v>
      </c>
      <c r="I280" t="n">
        <v>0</v>
      </c>
      <c r="J280" t="n">
        <v>0</v>
      </c>
      <c r="K280" t="n">
        <v>0</v>
      </c>
      <c r="L280" t="n">
        <v>0</v>
      </c>
      <c r="M280" t="n">
        <v>0</v>
      </c>
      <c r="N280" t="n">
        <v>0</v>
      </c>
      <c r="O280" t="n">
        <v>0</v>
      </c>
      <c r="P280" t="n">
        <v>0</v>
      </c>
      <c r="Q280" t="n">
        <v>0</v>
      </c>
      <c r="R280" s="2" t="inlineStr"/>
    </row>
    <row r="281" ht="15" customHeight="1">
      <c r="A281" t="inlineStr">
        <is>
          <t>A 35096-2020</t>
        </is>
      </c>
      <c r="B281" s="1" t="n">
        <v>44040</v>
      </c>
      <c r="C281" s="1" t="n">
        <v>45822</v>
      </c>
      <c r="D281" t="inlineStr">
        <is>
          <t>UPPSALA LÄN</t>
        </is>
      </c>
      <c r="E281" t="inlineStr">
        <is>
          <t>ÖSTHAMMAR</t>
        </is>
      </c>
      <c r="F281" t="inlineStr">
        <is>
          <t>Bergvik skog öst AB</t>
        </is>
      </c>
      <c r="G281" t="n">
        <v>7.6</v>
      </c>
      <c r="H281" t="n">
        <v>0</v>
      </c>
      <c r="I281" t="n">
        <v>0</v>
      </c>
      <c r="J281" t="n">
        <v>0</v>
      </c>
      <c r="K281" t="n">
        <v>0</v>
      </c>
      <c r="L281" t="n">
        <v>0</v>
      </c>
      <c r="M281" t="n">
        <v>0</v>
      </c>
      <c r="N281" t="n">
        <v>0</v>
      </c>
      <c r="O281" t="n">
        <v>0</v>
      </c>
      <c r="P281" t="n">
        <v>0</v>
      </c>
      <c r="Q281" t="n">
        <v>0</v>
      </c>
      <c r="R281" s="2" t="inlineStr"/>
    </row>
    <row r="282" ht="15" customHeight="1">
      <c r="A282" t="inlineStr">
        <is>
          <t>A 38285-2020</t>
        </is>
      </c>
      <c r="B282" s="1" t="n">
        <v>44060</v>
      </c>
      <c r="C282" s="1" t="n">
        <v>45822</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38630-2020</t>
        </is>
      </c>
      <c r="B283" s="1" t="n">
        <v>44061</v>
      </c>
      <c r="C283" s="1" t="n">
        <v>45822</v>
      </c>
      <c r="D283" t="inlineStr">
        <is>
          <t>UPPSALA LÄN</t>
        </is>
      </c>
      <c r="E283" t="inlineStr">
        <is>
          <t>ÖSTHAMMAR</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39640-2020</t>
        </is>
      </c>
      <c r="B284" s="1" t="n">
        <v>44064</v>
      </c>
      <c r="C284" s="1" t="n">
        <v>45822</v>
      </c>
      <c r="D284" t="inlineStr">
        <is>
          <t>UPPSALA LÄN</t>
        </is>
      </c>
      <c r="E284" t="inlineStr">
        <is>
          <t>ÖSTHAMMAR</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41849-2020</t>
        </is>
      </c>
      <c r="B285" s="1" t="n">
        <v>44074</v>
      </c>
      <c r="C285" s="1" t="n">
        <v>45822</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42549-2020</t>
        </is>
      </c>
      <c r="B286" s="1" t="n">
        <v>44077</v>
      </c>
      <c r="C286" s="1" t="n">
        <v>45822</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46311-2020</t>
        </is>
      </c>
      <c r="B287" s="1" t="n">
        <v>44092</v>
      </c>
      <c r="C287" s="1" t="n">
        <v>45822</v>
      </c>
      <c r="D287" t="inlineStr">
        <is>
          <t>UPPSALA LÄN</t>
        </is>
      </c>
      <c r="E287" t="inlineStr">
        <is>
          <t>ÖSTHAMMAR</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46423-2020</t>
        </is>
      </c>
      <c r="B288" s="1" t="n">
        <v>44095</v>
      </c>
      <c r="C288" s="1" t="n">
        <v>45822</v>
      </c>
      <c r="D288" t="inlineStr">
        <is>
          <t>UPPSALA LÄN</t>
        </is>
      </c>
      <c r="E288" t="inlineStr">
        <is>
          <t>ÖSTHAMMAR</t>
        </is>
      </c>
      <c r="G288" t="n">
        <v>3</v>
      </c>
      <c r="H288" t="n">
        <v>0</v>
      </c>
      <c r="I288" t="n">
        <v>0</v>
      </c>
      <c r="J288" t="n">
        <v>0</v>
      </c>
      <c r="K288" t="n">
        <v>0</v>
      </c>
      <c r="L288" t="n">
        <v>0</v>
      </c>
      <c r="M288" t="n">
        <v>0</v>
      </c>
      <c r="N288" t="n">
        <v>0</v>
      </c>
      <c r="O288" t="n">
        <v>0</v>
      </c>
      <c r="P288" t="n">
        <v>0</v>
      </c>
      <c r="Q288" t="n">
        <v>0</v>
      </c>
      <c r="R288" s="2" t="inlineStr"/>
    </row>
    <row r="289" ht="15" customHeight="1">
      <c r="A289" t="inlineStr">
        <is>
          <t>A 47481-2020</t>
        </is>
      </c>
      <c r="B289" s="1" t="n">
        <v>44098</v>
      </c>
      <c r="C289" s="1" t="n">
        <v>45822</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49206-2020</t>
        </is>
      </c>
      <c r="B290" s="1" t="n">
        <v>44105</v>
      </c>
      <c r="C290" s="1" t="n">
        <v>45822</v>
      </c>
      <c r="D290" t="inlineStr">
        <is>
          <t>UPPSALA LÄN</t>
        </is>
      </c>
      <c r="E290" t="inlineStr">
        <is>
          <t>ÖSTHAMMAR</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49336-2020</t>
        </is>
      </c>
      <c r="B291" s="1" t="n">
        <v>44105</v>
      </c>
      <c r="C291" s="1" t="n">
        <v>45822</v>
      </c>
      <c r="D291" t="inlineStr">
        <is>
          <t>UPPSALA LÄN</t>
        </is>
      </c>
      <c r="E291" t="inlineStr">
        <is>
          <t>ÖSTHAMMAR</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52432-2020</t>
        </is>
      </c>
      <c r="B292" s="1" t="n">
        <v>44118</v>
      </c>
      <c r="C292" s="1" t="n">
        <v>45822</v>
      </c>
      <c r="D292" t="inlineStr">
        <is>
          <t>UPPSALA LÄN</t>
        </is>
      </c>
      <c r="E292" t="inlineStr">
        <is>
          <t>ÖSTHAMMAR</t>
        </is>
      </c>
      <c r="G292" t="n">
        <v>2.7</v>
      </c>
      <c r="H292" t="n">
        <v>0</v>
      </c>
      <c r="I292" t="n">
        <v>0</v>
      </c>
      <c r="J292" t="n">
        <v>0</v>
      </c>
      <c r="K292" t="n">
        <v>0</v>
      </c>
      <c r="L292" t="n">
        <v>0</v>
      </c>
      <c r="M292" t="n">
        <v>0</v>
      </c>
      <c r="N292" t="n">
        <v>0</v>
      </c>
      <c r="O292" t="n">
        <v>0</v>
      </c>
      <c r="P292" t="n">
        <v>0</v>
      </c>
      <c r="Q292" t="n">
        <v>0</v>
      </c>
      <c r="R292" s="2" t="inlineStr"/>
    </row>
    <row r="293" ht="15" customHeight="1">
      <c r="A293" t="inlineStr">
        <is>
          <t>A 52434-2020</t>
        </is>
      </c>
      <c r="B293" s="1" t="n">
        <v>44118</v>
      </c>
      <c r="C293" s="1" t="n">
        <v>45822</v>
      </c>
      <c r="D293" t="inlineStr">
        <is>
          <t>UPPSALA LÄN</t>
        </is>
      </c>
      <c r="E293" t="inlineStr">
        <is>
          <t>ÖSTHAMMAR</t>
        </is>
      </c>
      <c r="G293" t="n">
        <v>2.8</v>
      </c>
      <c r="H293" t="n">
        <v>0</v>
      </c>
      <c r="I293" t="n">
        <v>0</v>
      </c>
      <c r="J293" t="n">
        <v>0</v>
      </c>
      <c r="K293" t="n">
        <v>0</v>
      </c>
      <c r="L293" t="n">
        <v>0</v>
      </c>
      <c r="M293" t="n">
        <v>0</v>
      </c>
      <c r="N293" t="n">
        <v>0</v>
      </c>
      <c r="O293" t="n">
        <v>0</v>
      </c>
      <c r="P293" t="n">
        <v>0</v>
      </c>
      <c r="Q293" t="n">
        <v>0</v>
      </c>
      <c r="R293" s="2" t="inlineStr"/>
    </row>
    <row r="294" ht="15" customHeight="1">
      <c r="A294" t="inlineStr">
        <is>
          <t>A 53137-2020</t>
        </is>
      </c>
      <c r="B294" s="1" t="n">
        <v>44120</v>
      </c>
      <c r="C294" s="1" t="n">
        <v>45822</v>
      </c>
      <c r="D294" t="inlineStr">
        <is>
          <t>UPPSALA LÄN</t>
        </is>
      </c>
      <c r="E294" t="inlineStr">
        <is>
          <t>ÖSTHAMMAR</t>
        </is>
      </c>
      <c r="G294" t="n">
        <v>1.9</v>
      </c>
      <c r="H294" t="n">
        <v>0</v>
      </c>
      <c r="I294" t="n">
        <v>0</v>
      </c>
      <c r="J294" t="n">
        <v>0</v>
      </c>
      <c r="K294" t="n">
        <v>0</v>
      </c>
      <c r="L294" t="n">
        <v>0</v>
      </c>
      <c r="M294" t="n">
        <v>0</v>
      </c>
      <c r="N294" t="n">
        <v>0</v>
      </c>
      <c r="O294" t="n">
        <v>0</v>
      </c>
      <c r="P294" t="n">
        <v>0</v>
      </c>
      <c r="Q294" t="n">
        <v>0</v>
      </c>
      <c r="R294" s="2" t="inlineStr"/>
    </row>
    <row r="295" ht="15" customHeight="1">
      <c r="A295" t="inlineStr">
        <is>
          <t>A 55389-2020</t>
        </is>
      </c>
      <c r="B295" s="1" t="n">
        <v>44131</v>
      </c>
      <c r="C295" s="1" t="n">
        <v>45822</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56041-2020</t>
        </is>
      </c>
      <c r="B296" s="1" t="n">
        <v>44133</v>
      </c>
      <c r="C296" s="1" t="n">
        <v>45822</v>
      </c>
      <c r="D296" t="inlineStr">
        <is>
          <t>UPPSALA LÄN</t>
        </is>
      </c>
      <c r="E296" t="inlineStr">
        <is>
          <t>ÖSTHAMMAR</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56079-2020</t>
        </is>
      </c>
      <c r="B297" s="1" t="n">
        <v>44133</v>
      </c>
      <c r="C297" s="1" t="n">
        <v>45822</v>
      </c>
      <c r="D297" t="inlineStr">
        <is>
          <t>UPPSALA LÄN</t>
        </is>
      </c>
      <c r="E297" t="inlineStr">
        <is>
          <t>ÖSTHAMMAR</t>
        </is>
      </c>
      <c r="F297" t="inlineStr">
        <is>
          <t>Bergvik skog öst AB</t>
        </is>
      </c>
      <c r="G297" t="n">
        <v>2.9</v>
      </c>
      <c r="H297" t="n">
        <v>0</v>
      </c>
      <c r="I297" t="n">
        <v>0</v>
      </c>
      <c r="J297" t="n">
        <v>0</v>
      </c>
      <c r="K297" t="n">
        <v>0</v>
      </c>
      <c r="L297" t="n">
        <v>0</v>
      </c>
      <c r="M297" t="n">
        <v>0</v>
      </c>
      <c r="N297" t="n">
        <v>0</v>
      </c>
      <c r="O297" t="n">
        <v>0</v>
      </c>
      <c r="P297" t="n">
        <v>0</v>
      </c>
      <c r="Q297" t="n">
        <v>0</v>
      </c>
      <c r="R297" s="2" t="inlineStr"/>
    </row>
    <row r="298" ht="15" customHeight="1">
      <c r="A298" t="inlineStr">
        <is>
          <t>A 56089-2020</t>
        </is>
      </c>
      <c r="B298" s="1" t="n">
        <v>44133</v>
      </c>
      <c r="C298" s="1" t="n">
        <v>45822</v>
      </c>
      <c r="D298" t="inlineStr">
        <is>
          <t>UPPSALA LÄN</t>
        </is>
      </c>
      <c r="E298" t="inlineStr">
        <is>
          <t>ÖSTHAMMAR</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57408-2020</t>
        </is>
      </c>
      <c r="B299" s="1" t="n">
        <v>44140</v>
      </c>
      <c r="C299" s="1" t="n">
        <v>45822</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59432-2020</t>
        </is>
      </c>
      <c r="B300" s="1" t="n">
        <v>44148</v>
      </c>
      <c r="C300" s="1" t="n">
        <v>45822</v>
      </c>
      <c r="D300" t="inlineStr">
        <is>
          <t>UPPSALA LÄN</t>
        </is>
      </c>
      <c r="E300" t="inlineStr">
        <is>
          <t>ÖSTHAMMAR</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59414-2020</t>
        </is>
      </c>
      <c r="B301" s="1" t="n">
        <v>44148</v>
      </c>
      <c r="C301" s="1" t="n">
        <v>45822</v>
      </c>
      <c r="D301" t="inlineStr">
        <is>
          <t>UPPSALA LÄN</t>
        </is>
      </c>
      <c r="E301" t="inlineStr">
        <is>
          <t>ÖSTHAMMAR</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59417-2020</t>
        </is>
      </c>
      <c r="B302" s="1" t="n">
        <v>44148</v>
      </c>
      <c r="C302" s="1" t="n">
        <v>45822</v>
      </c>
      <c r="D302" t="inlineStr">
        <is>
          <t>UPPSALA LÄN</t>
        </is>
      </c>
      <c r="E302" t="inlineStr">
        <is>
          <t>ÖSTHAMMAR</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59714-2020</t>
        </is>
      </c>
      <c r="B303" s="1" t="n">
        <v>44151</v>
      </c>
      <c r="C303" s="1" t="n">
        <v>45822</v>
      </c>
      <c r="D303" t="inlineStr">
        <is>
          <t>UPPSALA LÄN</t>
        </is>
      </c>
      <c r="E303" t="inlineStr">
        <is>
          <t>ÖSTHAMMAR</t>
        </is>
      </c>
      <c r="F303" t="inlineStr">
        <is>
          <t>Bergvik skog öst AB</t>
        </is>
      </c>
      <c r="G303" t="n">
        <v>2.5</v>
      </c>
      <c r="H303" t="n">
        <v>0</v>
      </c>
      <c r="I303" t="n">
        <v>0</v>
      </c>
      <c r="J303" t="n">
        <v>0</v>
      </c>
      <c r="K303" t="n">
        <v>0</v>
      </c>
      <c r="L303" t="n">
        <v>0</v>
      </c>
      <c r="M303" t="n">
        <v>0</v>
      </c>
      <c r="N303" t="n">
        <v>0</v>
      </c>
      <c r="O303" t="n">
        <v>0</v>
      </c>
      <c r="P303" t="n">
        <v>0</v>
      </c>
      <c r="Q303" t="n">
        <v>0</v>
      </c>
      <c r="R303" s="2" t="inlineStr"/>
    </row>
    <row r="304" ht="15" customHeight="1">
      <c r="A304" t="inlineStr">
        <is>
          <t>A 59807-2020</t>
        </is>
      </c>
      <c r="B304" s="1" t="n">
        <v>44151</v>
      </c>
      <c r="C304" s="1" t="n">
        <v>45822</v>
      </c>
      <c r="D304" t="inlineStr">
        <is>
          <t>UPPSALA LÄN</t>
        </is>
      </c>
      <c r="E304" t="inlineStr">
        <is>
          <t>ÖSTHAMMAR</t>
        </is>
      </c>
      <c r="G304" t="n">
        <v>3.4</v>
      </c>
      <c r="H304" t="n">
        <v>0</v>
      </c>
      <c r="I304" t="n">
        <v>0</v>
      </c>
      <c r="J304" t="n">
        <v>0</v>
      </c>
      <c r="K304" t="n">
        <v>0</v>
      </c>
      <c r="L304" t="n">
        <v>0</v>
      </c>
      <c r="M304" t="n">
        <v>0</v>
      </c>
      <c r="N304" t="n">
        <v>0</v>
      </c>
      <c r="O304" t="n">
        <v>0</v>
      </c>
      <c r="P304" t="n">
        <v>0</v>
      </c>
      <c r="Q304" t="n">
        <v>0</v>
      </c>
      <c r="R304" s="2" t="inlineStr"/>
    </row>
    <row r="305" ht="15" customHeight="1">
      <c r="A305" t="inlineStr">
        <is>
          <t>A 61193-2020</t>
        </is>
      </c>
      <c r="B305" s="1" t="n">
        <v>44155</v>
      </c>
      <c r="C305" s="1" t="n">
        <v>45822</v>
      </c>
      <c r="D305" t="inlineStr">
        <is>
          <t>UPPSALA LÄN</t>
        </is>
      </c>
      <c r="E305" t="inlineStr">
        <is>
          <t>ÖSTHAMMAR</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62484-2020</t>
        </is>
      </c>
      <c r="B306" s="1" t="n">
        <v>44160</v>
      </c>
      <c r="C306" s="1" t="n">
        <v>45822</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63637-2020</t>
        </is>
      </c>
      <c r="B307" s="1" t="n">
        <v>44162</v>
      </c>
      <c r="C307" s="1" t="n">
        <v>45822</v>
      </c>
      <c r="D307" t="inlineStr">
        <is>
          <t>UPPSALA LÄN</t>
        </is>
      </c>
      <c r="E307" t="inlineStr">
        <is>
          <t>ÖSTHAMMAR</t>
        </is>
      </c>
      <c r="G307" t="n">
        <v>4</v>
      </c>
      <c r="H307" t="n">
        <v>0</v>
      </c>
      <c r="I307" t="n">
        <v>0</v>
      </c>
      <c r="J307" t="n">
        <v>0</v>
      </c>
      <c r="K307" t="n">
        <v>0</v>
      </c>
      <c r="L307" t="n">
        <v>0</v>
      </c>
      <c r="M307" t="n">
        <v>0</v>
      </c>
      <c r="N307" t="n">
        <v>0</v>
      </c>
      <c r="O307" t="n">
        <v>0</v>
      </c>
      <c r="P307" t="n">
        <v>0</v>
      </c>
      <c r="Q307" t="n">
        <v>0</v>
      </c>
      <c r="R307" s="2" t="inlineStr"/>
    </row>
    <row r="308" ht="15" customHeight="1">
      <c r="A308" t="inlineStr">
        <is>
          <t>A 63577-2020</t>
        </is>
      </c>
      <c r="B308" s="1" t="n">
        <v>44165</v>
      </c>
      <c r="C308" s="1" t="n">
        <v>45822</v>
      </c>
      <c r="D308" t="inlineStr">
        <is>
          <t>UPPSALA LÄN</t>
        </is>
      </c>
      <c r="E308" t="inlineStr">
        <is>
          <t>ÖSTHAMMAR</t>
        </is>
      </c>
      <c r="G308" t="n">
        <v>0.9</v>
      </c>
      <c r="H308" t="n">
        <v>0</v>
      </c>
      <c r="I308" t="n">
        <v>0</v>
      </c>
      <c r="J308" t="n">
        <v>0</v>
      </c>
      <c r="K308" t="n">
        <v>0</v>
      </c>
      <c r="L308" t="n">
        <v>0</v>
      </c>
      <c r="M308" t="n">
        <v>0</v>
      </c>
      <c r="N308" t="n">
        <v>0</v>
      </c>
      <c r="O308" t="n">
        <v>0</v>
      </c>
      <c r="P308" t="n">
        <v>0</v>
      </c>
      <c r="Q308" t="n">
        <v>0</v>
      </c>
      <c r="R308" s="2" t="inlineStr"/>
    </row>
    <row r="309" ht="15" customHeight="1">
      <c r="A309" t="inlineStr">
        <is>
          <t>A 63987-2020</t>
        </is>
      </c>
      <c r="B309" s="1" t="n">
        <v>44167</v>
      </c>
      <c r="C309" s="1" t="n">
        <v>45822</v>
      </c>
      <c r="D309" t="inlineStr">
        <is>
          <t>UPPSALA LÄN</t>
        </is>
      </c>
      <c r="E309" t="inlineStr">
        <is>
          <t>ÖSTHAMMAR</t>
        </is>
      </c>
      <c r="G309" t="n">
        <v>5.9</v>
      </c>
      <c r="H309" t="n">
        <v>0</v>
      </c>
      <c r="I309" t="n">
        <v>0</v>
      </c>
      <c r="J309" t="n">
        <v>0</v>
      </c>
      <c r="K309" t="n">
        <v>0</v>
      </c>
      <c r="L309" t="n">
        <v>0</v>
      </c>
      <c r="M309" t="n">
        <v>0</v>
      </c>
      <c r="N309" t="n">
        <v>0</v>
      </c>
      <c r="O309" t="n">
        <v>0</v>
      </c>
      <c r="P309" t="n">
        <v>0</v>
      </c>
      <c r="Q309" t="n">
        <v>0</v>
      </c>
      <c r="R309" s="2" t="inlineStr"/>
    </row>
    <row r="310" ht="15" customHeight="1">
      <c r="A310" t="inlineStr">
        <is>
          <t>A 65361-2020</t>
        </is>
      </c>
      <c r="B310" s="1" t="n">
        <v>44173</v>
      </c>
      <c r="C310" s="1" t="n">
        <v>45822</v>
      </c>
      <c r="D310" t="inlineStr">
        <is>
          <t>UPPSALA LÄN</t>
        </is>
      </c>
      <c r="E310" t="inlineStr">
        <is>
          <t>ÖSTHAMMAR</t>
        </is>
      </c>
      <c r="G310" t="n">
        <v>3.6</v>
      </c>
      <c r="H310" t="n">
        <v>0</v>
      </c>
      <c r="I310" t="n">
        <v>0</v>
      </c>
      <c r="J310" t="n">
        <v>0</v>
      </c>
      <c r="K310" t="n">
        <v>0</v>
      </c>
      <c r="L310" t="n">
        <v>0</v>
      </c>
      <c r="M310" t="n">
        <v>0</v>
      </c>
      <c r="N310" t="n">
        <v>0</v>
      </c>
      <c r="O310" t="n">
        <v>0</v>
      </c>
      <c r="P310" t="n">
        <v>0</v>
      </c>
      <c r="Q310" t="n">
        <v>0</v>
      </c>
      <c r="R310" s="2" t="inlineStr"/>
    </row>
    <row r="311" ht="15" customHeight="1">
      <c r="A311" t="inlineStr">
        <is>
          <t>A 68243-2020</t>
        </is>
      </c>
      <c r="B311" s="1" t="n">
        <v>44183</v>
      </c>
      <c r="C311" s="1" t="n">
        <v>45822</v>
      </c>
      <c r="D311" t="inlineStr">
        <is>
          <t>UPPSALA LÄN</t>
        </is>
      </c>
      <c r="E311" t="inlineStr">
        <is>
          <t>ÖSTHAMMAR</t>
        </is>
      </c>
      <c r="G311" t="n">
        <v>8.5</v>
      </c>
      <c r="H311" t="n">
        <v>0</v>
      </c>
      <c r="I311" t="n">
        <v>0</v>
      </c>
      <c r="J311" t="n">
        <v>0</v>
      </c>
      <c r="K311" t="n">
        <v>0</v>
      </c>
      <c r="L311" t="n">
        <v>0</v>
      </c>
      <c r="M311" t="n">
        <v>0</v>
      </c>
      <c r="N311" t="n">
        <v>0</v>
      </c>
      <c r="O311" t="n">
        <v>0</v>
      </c>
      <c r="P311" t="n">
        <v>0</v>
      </c>
      <c r="Q311" t="n">
        <v>0</v>
      </c>
      <c r="R311" s="2" t="inlineStr"/>
    </row>
    <row r="312" ht="15" customHeight="1">
      <c r="A312" t="inlineStr">
        <is>
          <t>A 68828-2020</t>
        </is>
      </c>
      <c r="B312" s="1" t="n">
        <v>44186</v>
      </c>
      <c r="C312" s="1" t="n">
        <v>45822</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69681-2020</t>
        </is>
      </c>
      <c r="B313" s="1" t="n">
        <v>44196</v>
      </c>
      <c r="C313" s="1" t="n">
        <v>45822</v>
      </c>
      <c r="D313" t="inlineStr">
        <is>
          <t>UPPSALA LÄN</t>
        </is>
      </c>
      <c r="E313" t="inlineStr">
        <is>
          <t>ÖSTHAMMAR</t>
        </is>
      </c>
      <c r="F313" t="inlineStr">
        <is>
          <t>Bergvik skog öst AB</t>
        </is>
      </c>
      <c r="G313" t="n">
        <v>21.9</v>
      </c>
      <c r="H313" t="n">
        <v>0</v>
      </c>
      <c r="I313" t="n">
        <v>0</v>
      </c>
      <c r="J313" t="n">
        <v>0</v>
      </c>
      <c r="K313" t="n">
        <v>0</v>
      </c>
      <c r="L313" t="n">
        <v>0</v>
      </c>
      <c r="M313" t="n">
        <v>0</v>
      </c>
      <c r="N313" t="n">
        <v>0</v>
      </c>
      <c r="O313" t="n">
        <v>0</v>
      </c>
      <c r="P313" t="n">
        <v>0</v>
      </c>
      <c r="Q313" t="n">
        <v>0</v>
      </c>
      <c r="R313" s="2" t="inlineStr"/>
    </row>
    <row r="314" ht="15" customHeight="1">
      <c r="A314" t="inlineStr">
        <is>
          <t>A 3693-2021</t>
        </is>
      </c>
      <c r="B314" s="1" t="n">
        <v>44221</v>
      </c>
      <c r="C314" s="1" t="n">
        <v>45822</v>
      </c>
      <c r="D314" t="inlineStr">
        <is>
          <t>UPPSALA LÄN</t>
        </is>
      </c>
      <c r="E314" t="inlineStr">
        <is>
          <t>ÖSTHAMMAR</t>
        </is>
      </c>
      <c r="G314" t="n">
        <v>0.3</v>
      </c>
      <c r="H314" t="n">
        <v>0</v>
      </c>
      <c r="I314" t="n">
        <v>0</v>
      </c>
      <c r="J314" t="n">
        <v>0</v>
      </c>
      <c r="K314" t="n">
        <v>0</v>
      </c>
      <c r="L314" t="n">
        <v>0</v>
      </c>
      <c r="M314" t="n">
        <v>0</v>
      </c>
      <c r="N314" t="n">
        <v>0</v>
      </c>
      <c r="O314" t="n">
        <v>0</v>
      </c>
      <c r="P314" t="n">
        <v>0</v>
      </c>
      <c r="Q314" t="n">
        <v>0</v>
      </c>
      <c r="R314" s="2" t="inlineStr"/>
    </row>
    <row r="315" ht="15" customHeight="1">
      <c r="A315" t="inlineStr">
        <is>
          <t>A 4151-2021</t>
        </is>
      </c>
      <c r="B315" s="1" t="n">
        <v>44221</v>
      </c>
      <c r="C315" s="1" t="n">
        <v>45822</v>
      </c>
      <c r="D315" t="inlineStr">
        <is>
          <t>UPPSALA LÄN</t>
        </is>
      </c>
      <c r="E315" t="inlineStr">
        <is>
          <t>ÖSTHAMMAR</t>
        </is>
      </c>
      <c r="G315" t="n">
        <v>2.9</v>
      </c>
      <c r="H315" t="n">
        <v>0</v>
      </c>
      <c r="I315" t="n">
        <v>0</v>
      </c>
      <c r="J315" t="n">
        <v>0</v>
      </c>
      <c r="K315" t="n">
        <v>0</v>
      </c>
      <c r="L315" t="n">
        <v>0</v>
      </c>
      <c r="M315" t="n">
        <v>0</v>
      </c>
      <c r="N315" t="n">
        <v>0</v>
      </c>
      <c r="O315" t="n">
        <v>0</v>
      </c>
      <c r="P315" t="n">
        <v>0</v>
      </c>
      <c r="Q315" t="n">
        <v>0</v>
      </c>
      <c r="R315" s="2" t="inlineStr"/>
    </row>
    <row r="316" ht="15" customHeight="1">
      <c r="A316" t="inlineStr">
        <is>
          <t>A 4590-2021</t>
        </is>
      </c>
      <c r="B316" s="1" t="n">
        <v>44224</v>
      </c>
      <c r="C316" s="1" t="n">
        <v>45822</v>
      </c>
      <c r="D316" t="inlineStr">
        <is>
          <t>UPPSALA LÄN</t>
        </is>
      </c>
      <c r="E316" t="inlineStr">
        <is>
          <t>ÖSTHAMMAR</t>
        </is>
      </c>
      <c r="F316" t="inlineStr">
        <is>
          <t>Bergvik skog öst AB</t>
        </is>
      </c>
      <c r="G316" t="n">
        <v>2.4</v>
      </c>
      <c r="H316" t="n">
        <v>0</v>
      </c>
      <c r="I316" t="n">
        <v>0</v>
      </c>
      <c r="J316" t="n">
        <v>0</v>
      </c>
      <c r="K316" t="n">
        <v>0</v>
      </c>
      <c r="L316" t="n">
        <v>0</v>
      </c>
      <c r="M316" t="n">
        <v>0</v>
      </c>
      <c r="N316" t="n">
        <v>0</v>
      </c>
      <c r="O316" t="n">
        <v>0</v>
      </c>
      <c r="P316" t="n">
        <v>0</v>
      </c>
      <c r="Q316" t="n">
        <v>0</v>
      </c>
      <c r="R316" s="2" t="inlineStr"/>
    </row>
    <row r="317" ht="15" customHeight="1">
      <c r="A317" t="inlineStr">
        <is>
          <t>A 6221-2021</t>
        </is>
      </c>
      <c r="B317" s="1" t="n">
        <v>44235</v>
      </c>
      <c r="C317" s="1" t="n">
        <v>45822</v>
      </c>
      <c r="D317" t="inlineStr">
        <is>
          <t>UPPSALA LÄN</t>
        </is>
      </c>
      <c r="E317" t="inlineStr">
        <is>
          <t>ÖSTHAMMAR</t>
        </is>
      </c>
      <c r="G317" t="n">
        <v>0.8</v>
      </c>
      <c r="H317" t="n">
        <v>0</v>
      </c>
      <c r="I317" t="n">
        <v>0</v>
      </c>
      <c r="J317" t="n">
        <v>0</v>
      </c>
      <c r="K317" t="n">
        <v>0</v>
      </c>
      <c r="L317" t="n">
        <v>0</v>
      </c>
      <c r="M317" t="n">
        <v>0</v>
      </c>
      <c r="N317" t="n">
        <v>0</v>
      </c>
      <c r="O317" t="n">
        <v>0</v>
      </c>
      <c r="P317" t="n">
        <v>0</v>
      </c>
      <c r="Q317" t="n">
        <v>0</v>
      </c>
      <c r="R317" s="2" t="inlineStr"/>
    </row>
    <row r="318" ht="15" customHeight="1">
      <c r="A318" t="inlineStr">
        <is>
          <t>A 7113-2021</t>
        </is>
      </c>
      <c r="B318" s="1" t="n">
        <v>44238</v>
      </c>
      <c r="C318" s="1" t="n">
        <v>45822</v>
      </c>
      <c r="D318" t="inlineStr">
        <is>
          <t>UPPSALA LÄN</t>
        </is>
      </c>
      <c r="E318" t="inlineStr">
        <is>
          <t>ÖSTHAMMAR</t>
        </is>
      </c>
      <c r="F318" t="inlineStr">
        <is>
          <t>Bergvik skog öst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8009-2021</t>
        </is>
      </c>
      <c r="B319" s="1" t="n">
        <v>44243</v>
      </c>
      <c r="C319" s="1" t="n">
        <v>45822</v>
      </c>
      <c r="D319" t="inlineStr">
        <is>
          <t>UPPSALA LÄN</t>
        </is>
      </c>
      <c r="E319" t="inlineStr">
        <is>
          <t>ÖSTHAMMAR</t>
        </is>
      </c>
      <c r="G319" t="n">
        <v>9.9</v>
      </c>
      <c r="H319" t="n">
        <v>0</v>
      </c>
      <c r="I319" t="n">
        <v>0</v>
      </c>
      <c r="J319" t="n">
        <v>0</v>
      </c>
      <c r="K319" t="n">
        <v>0</v>
      </c>
      <c r="L319" t="n">
        <v>0</v>
      </c>
      <c r="M319" t="n">
        <v>0</v>
      </c>
      <c r="N319" t="n">
        <v>0</v>
      </c>
      <c r="O319" t="n">
        <v>0</v>
      </c>
      <c r="P319" t="n">
        <v>0</v>
      </c>
      <c r="Q319" t="n">
        <v>0</v>
      </c>
      <c r="R319" s="2" t="inlineStr"/>
    </row>
    <row r="320" ht="15" customHeight="1">
      <c r="A320" t="inlineStr">
        <is>
          <t>A 10316-2021</t>
        </is>
      </c>
      <c r="B320" s="1" t="n">
        <v>44257</v>
      </c>
      <c r="C320" s="1" t="n">
        <v>45822</v>
      </c>
      <c r="D320" t="inlineStr">
        <is>
          <t>UPPSALA LÄN</t>
        </is>
      </c>
      <c r="E320" t="inlineStr">
        <is>
          <t>ÖSTHAMMAR</t>
        </is>
      </c>
      <c r="F320" t="inlineStr">
        <is>
          <t>Övriga Aktiebolag</t>
        </is>
      </c>
      <c r="G320" t="n">
        <v>3.3</v>
      </c>
      <c r="H320" t="n">
        <v>0</v>
      </c>
      <c r="I320" t="n">
        <v>0</v>
      </c>
      <c r="J320" t="n">
        <v>0</v>
      </c>
      <c r="K320" t="n">
        <v>0</v>
      </c>
      <c r="L320" t="n">
        <v>0</v>
      </c>
      <c r="M320" t="n">
        <v>0</v>
      </c>
      <c r="N320" t="n">
        <v>0</v>
      </c>
      <c r="O320" t="n">
        <v>0</v>
      </c>
      <c r="P320" t="n">
        <v>0</v>
      </c>
      <c r="Q320" t="n">
        <v>0</v>
      </c>
      <c r="R320" s="2" t="inlineStr"/>
    </row>
    <row r="321" ht="15" customHeight="1">
      <c r="A321" t="inlineStr">
        <is>
          <t>A 10498-2021</t>
        </is>
      </c>
      <c r="B321" s="1" t="n">
        <v>44258</v>
      </c>
      <c r="C321" s="1" t="n">
        <v>45822</v>
      </c>
      <c r="D321" t="inlineStr">
        <is>
          <t>UPPSALA LÄN</t>
        </is>
      </c>
      <c r="E321" t="inlineStr">
        <is>
          <t>ÖSTHAMMAR</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14248-2021</t>
        </is>
      </c>
      <c r="B322" s="1" t="n">
        <v>44278</v>
      </c>
      <c r="C322" s="1" t="n">
        <v>45822</v>
      </c>
      <c r="D322" t="inlineStr">
        <is>
          <t>UPPSALA LÄN</t>
        </is>
      </c>
      <c r="E322" t="inlineStr">
        <is>
          <t>ÖSTHAMMAR</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14525-2021</t>
        </is>
      </c>
      <c r="B323" s="1" t="n">
        <v>44279</v>
      </c>
      <c r="C323" s="1" t="n">
        <v>45822</v>
      </c>
      <c r="D323" t="inlineStr">
        <is>
          <t>UPPSALA LÄN</t>
        </is>
      </c>
      <c r="E323" t="inlineStr">
        <is>
          <t>ÖSTHAMMAR</t>
        </is>
      </c>
      <c r="F323" t="inlineStr">
        <is>
          <t>Bergvik skog öst AB</t>
        </is>
      </c>
      <c r="G323" t="n">
        <v>2.1</v>
      </c>
      <c r="H323" t="n">
        <v>0</v>
      </c>
      <c r="I323" t="n">
        <v>0</v>
      </c>
      <c r="J323" t="n">
        <v>0</v>
      </c>
      <c r="K323" t="n">
        <v>0</v>
      </c>
      <c r="L323" t="n">
        <v>0</v>
      </c>
      <c r="M323" t="n">
        <v>0</v>
      </c>
      <c r="N323" t="n">
        <v>0</v>
      </c>
      <c r="O323" t="n">
        <v>0</v>
      </c>
      <c r="P323" t="n">
        <v>0</v>
      </c>
      <c r="Q323" t="n">
        <v>0</v>
      </c>
      <c r="R323" s="2" t="inlineStr"/>
    </row>
    <row r="324" ht="15" customHeight="1">
      <c r="A324" t="inlineStr">
        <is>
          <t>A 16212-2021</t>
        </is>
      </c>
      <c r="B324" s="1" t="n">
        <v>44287</v>
      </c>
      <c r="C324" s="1" t="n">
        <v>45822</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16209-2021</t>
        </is>
      </c>
      <c r="B325" s="1" t="n">
        <v>44287</v>
      </c>
      <c r="C325" s="1" t="n">
        <v>45822</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17009-2021</t>
        </is>
      </c>
      <c r="B326" s="1" t="n">
        <v>44295</v>
      </c>
      <c r="C326" s="1" t="n">
        <v>45822</v>
      </c>
      <c r="D326" t="inlineStr">
        <is>
          <t>UPPSALA LÄN</t>
        </is>
      </c>
      <c r="E326" t="inlineStr">
        <is>
          <t>ÖSTHAMMAR</t>
        </is>
      </c>
      <c r="F326" t="inlineStr">
        <is>
          <t>Bergvik skog öst AB</t>
        </is>
      </c>
      <c r="G326" t="n">
        <v>3.2</v>
      </c>
      <c r="H326" t="n">
        <v>0</v>
      </c>
      <c r="I326" t="n">
        <v>0</v>
      </c>
      <c r="J326" t="n">
        <v>0</v>
      </c>
      <c r="K326" t="n">
        <v>0</v>
      </c>
      <c r="L326" t="n">
        <v>0</v>
      </c>
      <c r="M326" t="n">
        <v>0</v>
      </c>
      <c r="N326" t="n">
        <v>0</v>
      </c>
      <c r="O326" t="n">
        <v>0</v>
      </c>
      <c r="P326" t="n">
        <v>0</v>
      </c>
      <c r="Q326" t="n">
        <v>0</v>
      </c>
      <c r="R326" s="2" t="inlineStr"/>
    </row>
    <row r="327" ht="15" customHeight="1">
      <c r="A327" t="inlineStr">
        <is>
          <t>A 17022-2021</t>
        </is>
      </c>
      <c r="B327" s="1" t="n">
        <v>44295</v>
      </c>
      <c r="C327" s="1" t="n">
        <v>45822</v>
      </c>
      <c r="D327" t="inlineStr">
        <is>
          <t>UPPSALA LÄN</t>
        </is>
      </c>
      <c r="E327" t="inlineStr">
        <is>
          <t>ÖSTHAMMAR</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17033-2021</t>
        </is>
      </c>
      <c r="B328" s="1" t="n">
        <v>44295</v>
      </c>
      <c r="C328" s="1" t="n">
        <v>45822</v>
      </c>
      <c r="D328" t="inlineStr">
        <is>
          <t>UPPSALA LÄN</t>
        </is>
      </c>
      <c r="E328" t="inlineStr">
        <is>
          <t>ÖSTHAMMAR</t>
        </is>
      </c>
      <c r="F328" t="inlineStr">
        <is>
          <t>Bergvik skog öst AB</t>
        </is>
      </c>
      <c r="G328" t="n">
        <v>4.7</v>
      </c>
      <c r="H328" t="n">
        <v>0</v>
      </c>
      <c r="I328" t="n">
        <v>0</v>
      </c>
      <c r="J328" t="n">
        <v>0</v>
      </c>
      <c r="K328" t="n">
        <v>0</v>
      </c>
      <c r="L328" t="n">
        <v>0</v>
      </c>
      <c r="M328" t="n">
        <v>0</v>
      </c>
      <c r="N328" t="n">
        <v>0</v>
      </c>
      <c r="O328" t="n">
        <v>0</v>
      </c>
      <c r="P328" t="n">
        <v>0</v>
      </c>
      <c r="Q328" t="n">
        <v>0</v>
      </c>
      <c r="R328" s="2" t="inlineStr"/>
    </row>
    <row r="329" ht="15" customHeight="1">
      <c r="A329" t="inlineStr">
        <is>
          <t>A 17349-2021</t>
        </is>
      </c>
      <c r="B329" s="1" t="n">
        <v>44298</v>
      </c>
      <c r="C329" s="1" t="n">
        <v>45822</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18944-2021</t>
        </is>
      </c>
      <c r="B330" s="1" t="n">
        <v>44308</v>
      </c>
      <c r="C330" s="1" t="n">
        <v>45822</v>
      </c>
      <c r="D330" t="inlineStr">
        <is>
          <t>UPPSALA LÄN</t>
        </is>
      </c>
      <c r="E330" t="inlineStr">
        <is>
          <t>ÖSTHAMMAR</t>
        </is>
      </c>
      <c r="F330" t="inlineStr">
        <is>
          <t>Bergvik skog öst AB</t>
        </is>
      </c>
      <c r="G330" t="n">
        <v>12.5</v>
      </c>
      <c r="H330" t="n">
        <v>0</v>
      </c>
      <c r="I330" t="n">
        <v>0</v>
      </c>
      <c r="J330" t="n">
        <v>0</v>
      </c>
      <c r="K330" t="n">
        <v>0</v>
      </c>
      <c r="L330" t="n">
        <v>0</v>
      </c>
      <c r="M330" t="n">
        <v>0</v>
      </c>
      <c r="N330" t="n">
        <v>0</v>
      </c>
      <c r="O330" t="n">
        <v>0</v>
      </c>
      <c r="P330" t="n">
        <v>0</v>
      </c>
      <c r="Q330" t="n">
        <v>0</v>
      </c>
      <c r="R330" s="2" t="inlineStr"/>
    </row>
    <row r="331" ht="15" customHeight="1">
      <c r="A331" t="inlineStr">
        <is>
          <t>A 20326-2021</t>
        </is>
      </c>
      <c r="B331" s="1" t="n">
        <v>44308</v>
      </c>
      <c r="C331" s="1" t="n">
        <v>45822</v>
      </c>
      <c r="D331" t="inlineStr">
        <is>
          <t>UPPSALA LÄN</t>
        </is>
      </c>
      <c r="E331" t="inlineStr">
        <is>
          <t>ÖSTHAMMAR</t>
        </is>
      </c>
      <c r="G331" t="n">
        <v>7.8</v>
      </c>
      <c r="H331" t="n">
        <v>0</v>
      </c>
      <c r="I331" t="n">
        <v>0</v>
      </c>
      <c r="J331" t="n">
        <v>0</v>
      </c>
      <c r="K331" t="n">
        <v>0</v>
      </c>
      <c r="L331" t="n">
        <v>0</v>
      </c>
      <c r="M331" t="n">
        <v>0</v>
      </c>
      <c r="N331" t="n">
        <v>0</v>
      </c>
      <c r="O331" t="n">
        <v>0</v>
      </c>
      <c r="P331" t="n">
        <v>0</v>
      </c>
      <c r="Q331" t="n">
        <v>0</v>
      </c>
      <c r="R331" s="2" t="inlineStr"/>
    </row>
    <row r="332" ht="15" customHeight="1">
      <c r="A332" t="inlineStr">
        <is>
          <t>A 20325-2021</t>
        </is>
      </c>
      <c r="B332" s="1" t="n">
        <v>44308</v>
      </c>
      <c r="C332" s="1" t="n">
        <v>45822</v>
      </c>
      <c r="D332" t="inlineStr">
        <is>
          <t>UPPSALA LÄN</t>
        </is>
      </c>
      <c r="E332" t="inlineStr">
        <is>
          <t>ÖSTHAMMAR</t>
        </is>
      </c>
      <c r="G332" t="n">
        <v>5</v>
      </c>
      <c r="H332" t="n">
        <v>0</v>
      </c>
      <c r="I332" t="n">
        <v>0</v>
      </c>
      <c r="J332" t="n">
        <v>0</v>
      </c>
      <c r="K332" t="n">
        <v>0</v>
      </c>
      <c r="L332" t="n">
        <v>0</v>
      </c>
      <c r="M332" t="n">
        <v>0</v>
      </c>
      <c r="N332" t="n">
        <v>0</v>
      </c>
      <c r="O332" t="n">
        <v>0</v>
      </c>
      <c r="P332" t="n">
        <v>0</v>
      </c>
      <c r="Q332" t="n">
        <v>0</v>
      </c>
      <c r="R332" s="2" t="inlineStr"/>
    </row>
    <row r="333" ht="15" customHeight="1">
      <c r="A333" t="inlineStr">
        <is>
          <t>A 20324-2021</t>
        </is>
      </c>
      <c r="B333" s="1" t="n">
        <v>44308</v>
      </c>
      <c r="C333" s="1" t="n">
        <v>45822</v>
      </c>
      <c r="D333" t="inlineStr">
        <is>
          <t>UPPSALA LÄN</t>
        </is>
      </c>
      <c r="E333" t="inlineStr">
        <is>
          <t>ÖSTHAMMAR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19214-2021</t>
        </is>
      </c>
      <c r="B334" s="1" t="n">
        <v>44309</v>
      </c>
      <c r="C334" s="1" t="n">
        <v>45822</v>
      </c>
      <c r="D334" t="inlineStr">
        <is>
          <t>UPPSALA LÄN</t>
        </is>
      </c>
      <c r="E334" t="inlineStr">
        <is>
          <t>ÖSTHAMMAR</t>
        </is>
      </c>
      <c r="F334" t="inlineStr">
        <is>
          <t>Bergvik skog öst AB</t>
        </is>
      </c>
      <c r="G334" t="n">
        <v>6</v>
      </c>
      <c r="H334" t="n">
        <v>0</v>
      </c>
      <c r="I334" t="n">
        <v>0</v>
      </c>
      <c r="J334" t="n">
        <v>0</v>
      </c>
      <c r="K334" t="n">
        <v>0</v>
      </c>
      <c r="L334" t="n">
        <v>0</v>
      </c>
      <c r="M334" t="n">
        <v>0</v>
      </c>
      <c r="N334" t="n">
        <v>0</v>
      </c>
      <c r="O334" t="n">
        <v>0</v>
      </c>
      <c r="P334" t="n">
        <v>0</v>
      </c>
      <c r="Q334" t="n">
        <v>0</v>
      </c>
      <c r="R334" s="2" t="inlineStr"/>
    </row>
    <row r="335" ht="15" customHeight="1">
      <c r="A335" t="inlineStr">
        <is>
          <t>A 19552-2021</t>
        </is>
      </c>
      <c r="B335" s="1" t="n">
        <v>44312</v>
      </c>
      <c r="C335" s="1" t="n">
        <v>45822</v>
      </c>
      <c r="D335" t="inlineStr">
        <is>
          <t>UPPSALA LÄN</t>
        </is>
      </c>
      <c r="E335" t="inlineStr">
        <is>
          <t>ÖSTHAMMAR</t>
        </is>
      </c>
      <c r="G335" t="n">
        <v>4.5</v>
      </c>
      <c r="H335" t="n">
        <v>0</v>
      </c>
      <c r="I335" t="n">
        <v>0</v>
      </c>
      <c r="J335" t="n">
        <v>0</v>
      </c>
      <c r="K335" t="n">
        <v>0</v>
      </c>
      <c r="L335" t="n">
        <v>0</v>
      </c>
      <c r="M335" t="n">
        <v>0</v>
      </c>
      <c r="N335" t="n">
        <v>0</v>
      </c>
      <c r="O335" t="n">
        <v>0</v>
      </c>
      <c r="P335" t="n">
        <v>0</v>
      </c>
      <c r="Q335" t="n">
        <v>0</v>
      </c>
      <c r="R335" s="2" t="inlineStr"/>
    </row>
    <row r="336" ht="15" customHeight="1">
      <c r="A336" t="inlineStr">
        <is>
          <t>A 22709-2021</t>
        </is>
      </c>
      <c r="B336" s="1" t="n">
        <v>44327</v>
      </c>
      <c r="C336" s="1" t="n">
        <v>45822</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23120-2021</t>
        </is>
      </c>
      <c r="B337" s="1" t="n">
        <v>44330</v>
      </c>
      <c r="C337" s="1" t="n">
        <v>45822</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24062-2021</t>
        </is>
      </c>
      <c r="B338" s="1" t="n">
        <v>44336</v>
      </c>
      <c r="C338" s="1" t="n">
        <v>45822</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24316-2021</t>
        </is>
      </c>
      <c r="B339" s="1" t="n">
        <v>44337</v>
      </c>
      <c r="C339" s="1" t="n">
        <v>45822</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25033-2021</t>
        </is>
      </c>
      <c r="B340" s="1" t="n">
        <v>44341</v>
      </c>
      <c r="C340" s="1" t="n">
        <v>45822</v>
      </c>
      <c r="D340" t="inlineStr">
        <is>
          <t>UPPSALA LÄN</t>
        </is>
      </c>
      <c r="E340" t="inlineStr">
        <is>
          <t>ÖSTHAMMAR</t>
        </is>
      </c>
      <c r="F340" t="inlineStr">
        <is>
          <t>Bergvik skog öst AB</t>
        </is>
      </c>
      <c r="G340" t="n">
        <v>1</v>
      </c>
      <c r="H340" t="n">
        <v>0</v>
      </c>
      <c r="I340" t="n">
        <v>0</v>
      </c>
      <c r="J340" t="n">
        <v>0</v>
      </c>
      <c r="K340" t="n">
        <v>0</v>
      </c>
      <c r="L340" t="n">
        <v>0</v>
      </c>
      <c r="M340" t="n">
        <v>0</v>
      </c>
      <c r="N340" t="n">
        <v>0</v>
      </c>
      <c r="O340" t="n">
        <v>0</v>
      </c>
      <c r="P340" t="n">
        <v>0</v>
      </c>
      <c r="Q340" t="n">
        <v>0</v>
      </c>
      <c r="R340" s="2" t="inlineStr"/>
    </row>
    <row r="341" ht="15" customHeight="1">
      <c r="A341" t="inlineStr">
        <is>
          <t>A 25378-2021</t>
        </is>
      </c>
      <c r="B341" s="1" t="n">
        <v>44342</v>
      </c>
      <c r="C341" s="1" t="n">
        <v>45822</v>
      </c>
      <c r="D341" t="inlineStr">
        <is>
          <t>UPPSALA LÄN</t>
        </is>
      </c>
      <c r="E341" t="inlineStr">
        <is>
          <t>ÖSTHAMMAR</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25395-2021</t>
        </is>
      </c>
      <c r="B342" s="1" t="n">
        <v>44342</v>
      </c>
      <c r="C342" s="1" t="n">
        <v>45822</v>
      </c>
      <c r="D342" t="inlineStr">
        <is>
          <t>UPPSALA LÄN</t>
        </is>
      </c>
      <c r="E342" t="inlineStr">
        <is>
          <t>ÖSTHAMMAR</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26257-2021</t>
        </is>
      </c>
      <c r="B343" s="1" t="n">
        <v>44347</v>
      </c>
      <c r="C343" s="1" t="n">
        <v>45822</v>
      </c>
      <c r="D343" t="inlineStr">
        <is>
          <t>UPPSALA LÄN</t>
        </is>
      </c>
      <c r="E343" t="inlineStr">
        <is>
          <t>ÖSTHAMMAR</t>
        </is>
      </c>
      <c r="G343" t="n">
        <v>3.2</v>
      </c>
      <c r="H343" t="n">
        <v>0</v>
      </c>
      <c r="I343" t="n">
        <v>0</v>
      </c>
      <c r="J343" t="n">
        <v>0</v>
      </c>
      <c r="K343" t="n">
        <v>0</v>
      </c>
      <c r="L343" t="n">
        <v>0</v>
      </c>
      <c r="M343" t="n">
        <v>0</v>
      </c>
      <c r="N343" t="n">
        <v>0</v>
      </c>
      <c r="O343" t="n">
        <v>0</v>
      </c>
      <c r="P343" t="n">
        <v>0</v>
      </c>
      <c r="Q343" t="n">
        <v>0</v>
      </c>
      <c r="R343" s="2" t="inlineStr"/>
    </row>
    <row r="344" ht="15" customHeight="1">
      <c r="A344" t="inlineStr">
        <is>
          <t>A 27939-2021</t>
        </is>
      </c>
      <c r="B344" s="1" t="n">
        <v>44354</v>
      </c>
      <c r="C344" s="1" t="n">
        <v>45822</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27940-2021</t>
        </is>
      </c>
      <c r="B345" s="1" t="n">
        <v>44354</v>
      </c>
      <c r="C345" s="1" t="n">
        <v>45822</v>
      </c>
      <c r="D345" t="inlineStr">
        <is>
          <t>UPPSALA LÄN</t>
        </is>
      </c>
      <c r="E345" t="inlineStr">
        <is>
          <t>ÖSTHAMMAR</t>
        </is>
      </c>
      <c r="G345" t="n">
        <v>1.6</v>
      </c>
      <c r="H345" t="n">
        <v>0</v>
      </c>
      <c r="I345" t="n">
        <v>0</v>
      </c>
      <c r="J345" t="n">
        <v>0</v>
      </c>
      <c r="K345" t="n">
        <v>0</v>
      </c>
      <c r="L345" t="n">
        <v>0</v>
      </c>
      <c r="M345" t="n">
        <v>0</v>
      </c>
      <c r="N345" t="n">
        <v>0</v>
      </c>
      <c r="O345" t="n">
        <v>0</v>
      </c>
      <c r="P345" t="n">
        <v>0</v>
      </c>
      <c r="Q345" t="n">
        <v>0</v>
      </c>
      <c r="R345" s="2" t="inlineStr"/>
    </row>
    <row r="346" ht="15" customHeight="1">
      <c r="A346" t="inlineStr">
        <is>
          <t>A 29282-2021</t>
        </is>
      </c>
      <c r="B346" s="1" t="n">
        <v>44361</v>
      </c>
      <c r="C346" s="1" t="n">
        <v>45822</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30927-2021</t>
        </is>
      </c>
      <c r="B347" s="1" t="n">
        <v>44365</v>
      </c>
      <c r="C347" s="1" t="n">
        <v>45822</v>
      </c>
      <c r="D347" t="inlineStr">
        <is>
          <t>UPPSALA LÄN</t>
        </is>
      </c>
      <c r="E347" t="inlineStr">
        <is>
          <t>ÖSTHAMMAR</t>
        </is>
      </c>
      <c r="F347" t="inlineStr">
        <is>
          <t>Bergvik skog öst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30931-2021</t>
        </is>
      </c>
      <c r="B348" s="1" t="n">
        <v>44365</v>
      </c>
      <c r="C348" s="1" t="n">
        <v>45822</v>
      </c>
      <c r="D348" t="inlineStr">
        <is>
          <t>UPPSALA LÄN</t>
        </is>
      </c>
      <c r="E348" t="inlineStr">
        <is>
          <t>ÖSTHAMMAR</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31263-2021</t>
        </is>
      </c>
      <c r="B349" s="1" t="n">
        <v>44368</v>
      </c>
      <c r="C349" s="1" t="n">
        <v>45822</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32244-2021</t>
        </is>
      </c>
      <c r="B350" s="1" t="n">
        <v>44371</v>
      </c>
      <c r="C350" s="1" t="n">
        <v>45822</v>
      </c>
      <c r="D350" t="inlineStr">
        <is>
          <t>UPPSALA LÄN</t>
        </is>
      </c>
      <c r="E350" t="inlineStr">
        <is>
          <t>ÖSTHAMMAR</t>
        </is>
      </c>
      <c r="F350" t="inlineStr">
        <is>
          <t>Bergvik skog öst AB</t>
        </is>
      </c>
      <c r="G350" t="n">
        <v>2.6</v>
      </c>
      <c r="H350" t="n">
        <v>0</v>
      </c>
      <c r="I350" t="n">
        <v>0</v>
      </c>
      <c r="J350" t="n">
        <v>0</v>
      </c>
      <c r="K350" t="n">
        <v>0</v>
      </c>
      <c r="L350" t="n">
        <v>0</v>
      </c>
      <c r="M350" t="n">
        <v>0</v>
      </c>
      <c r="N350" t="n">
        <v>0</v>
      </c>
      <c r="O350" t="n">
        <v>0</v>
      </c>
      <c r="P350" t="n">
        <v>0</v>
      </c>
      <c r="Q350" t="n">
        <v>0</v>
      </c>
      <c r="R350" s="2" t="inlineStr"/>
    </row>
    <row r="351" ht="15" customHeight="1">
      <c r="A351" t="inlineStr">
        <is>
          <t>A 32939-2021</t>
        </is>
      </c>
      <c r="B351" s="1" t="n">
        <v>44376</v>
      </c>
      <c r="C351" s="1" t="n">
        <v>45822</v>
      </c>
      <c r="D351" t="inlineStr">
        <is>
          <t>UPPSALA LÄN</t>
        </is>
      </c>
      <c r="E351" t="inlineStr">
        <is>
          <t>ÖSTHAMMAR</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32948-2021</t>
        </is>
      </c>
      <c r="B352" s="1" t="n">
        <v>44376</v>
      </c>
      <c r="C352" s="1" t="n">
        <v>45822</v>
      </c>
      <c r="D352" t="inlineStr">
        <is>
          <t>UPPSALA LÄN</t>
        </is>
      </c>
      <c r="E352" t="inlineStr">
        <is>
          <t>ÖSTHAMMAR</t>
        </is>
      </c>
      <c r="F352" t="inlineStr">
        <is>
          <t>Bergvik skog öst AB</t>
        </is>
      </c>
      <c r="G352" t="n">
        <v>13.5</v>
      </c>
      <c r="H352" t="n">
        <v>0</v>
      </c>
      <c r="I352" t="n">
        <v>0</v>
      </c>
      <c r="J352" t="n">
        <v>0</v>
      </c>
      <c r="K352" t="n">
        <v>0</v>
      </c>
      <c r="L352" t="n">
        <v>0</v>
      </c>
      <c r="M352" t="n">
        <v>0</v>
      </c>
      <c r="N352" t="n">
        <v>0</v>
      </c>
      <c r="O352" t="n">
        <v>0</v>
      </c>
      <c r="P352" t="n">
        <v>0</v>
      </c>
      <c r="Q352" t="n">
        <v>0</v>
      </c>
      <c r="R352" s="2" t="inlineStr"/>
    </row>
    <row r="353" ht="15" customHeight="1">
      <c r="A353" t="inlineStr">
        <is>
          <t>A 33062-2021</t>
        </is>
      </c>
      <c r="B353" s="1" t="n">
        <v>44376</v>
      </c>
      <c r="C353" s="1" t="n">
        <v>45822</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33056-2021</t>
        </is>
      </c>
      <c r="B354" s="1" t="n">
        <v>44376</v>
      </c>
      <c r="C354" s="1" t="n">
        <v>45822</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33271-2021</t>
        </is>
      </c>
      <c r="B355" s="1" t="n">
        <v>44377</v>
      </c>
      <c r="C355" s="1" t="n">
        <v>45822</v>
      </c>
      <c r="D355" t="inlineStr">
        <is>
          <t>UPPSALA LÄN</t>
        </is>
      </c>
      <c r="E355" t="inlineStr">
        <is>
          <t>ÖSTHAMMAR</t>
        </is>
      </c>
      <c r="F355" t="inlineStr">
        <is>
          <t>Bergvik skog öst AB</t>
        </is>
      </c>
      <c r="G355" t="n">
        <v>3.9</v>
      </c>
      <c r="H355" t="n">
        <v>0</v>
      </c>
      <c r="I355" t="n">
        <v>0</v>
      </c>
      <c r="J355" t="n">
        <v>0</v>
      </c>
      <c r="K355" t="n">
        <v>0</v>
      </c>
      <c r="L355" t="n">
        <v>0</v>
      </c>
      <c r="M355" t="n">
        <v>0</v>
      </c>
      <c r="N355" t="n">
        <v>0</v>
      </c>
      <c r="O355" t="n">
        <v>0</v>
      </c>
      <c r="P355" t="n">
        <v>0</v>
      </c>
      <c r="Q355" t="n">
        <v>0</v>
      </c>
      <c r="R355" s="2" t="inlineStr"/>
    </row>
    <row r="356" ht="15" customHeight="1">
      <c r="A356" t="inlineStr">
        <is>
          <t>A 38411-2021</t>
        </is>
      </c>
      <c r="B356" s="1" t="n">
        <v>44406</v>
      </c>
      <c r="C356" s="1" t="n">
        <v>45822</v>
      </c>
      <c r="D356" t="inlineStr">
        <is>
          <t>UPPSALA LÄN</t>
        </is>
      </c>
      <c r="E356" t="inlineStr">
        <is>
          <t>ÖSTHAMMAR</t>
        </is>
      </c>
      <c r="F356" t="inlineStr">
        <is>
          <t>Bergvik skog öst AB</t>
        </is>
      </c>
      <c r="G356" t="n">
        <v>20.6</v>
      </c>
      <c r="H356" t="n">
        <v>0</v>
      </c>
      <c r="I356" t="n">
        <v>0</v>
      </c>
      <c r="J356" t="n">
        <v>0</v>
      </c>
      <c r="K356" t="n">
        <v>0</v>
      </c>
      <c r="L356" t="n">
        <v>0</v>
      </c>
      <c r="M356" t="n">
        <v>0</v>
      </c>
      <c r="N356" t="n">
        <v>0</v>
      </c>
      <c r="O356" t="n">
        <v>0</v>
      </c>
      <c r="P356" t="n">
        <v>0</v>
      </c>
      <c r="Q356" t="n">
        <v>0</v>
      </c>
      <c r="R356" s="2" t="inlineStr"/>
    </row>
    <row r="357" ht="15" customHeight="1">
      <c r="A357" t="inlineStr">
        <is>
          <t>A 40606-2021</t>
        </is>
      </c>
      <c r="B357" s="1" t="n">
        <v>44420</v>
      </c>
      <c r="C357" s="1" t="n">
        <v>45822</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41531-2021</t>
        </is>
      </c>
      <c r="B358" s="1" t="n">
        <v>44425</v>
      </c>
      <c r="C358" s="1" t="n">
        <v>45822</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41558-2021</t>
        </is>
      </c>
      <c r="B359" s="1" t="n">
        <v>44425</v>
      </c>
      <c r="C359" s="1" t="n">
        <v>45822</v>
      </c>
      <c r="D359" t="inlineStr">
        <is>
          <t>UPPSALA LÄN</t>
        </is>
      </c>
      <c r="E359" t="inlineStr">
        <is>
          <t>ÖSTHAMMAR</t>
        </is>
      </c>
      <c r="F359" t="inlineStr">
        <is>
          <t>Bergvik skog öst AB</t>
        </is>
      </c>
      <c r="G359" t="n">
        <v>1.4</v>
      </c>
      <c r="H359" t="n">
        <v>0</v>
      </c>
      <c r="I359" t="n">
        <v>0</v>
      </c>
      <c r="J359" t="n">
        <v>0</v>
      </c>
      <c r="K359" t="n">
        <v>0</v>
      </c>
      <c r="L359" t="n">
        <v>0</v>
      </c>
      <c r="M359" t="n">
        <v>0</v>
      </c>
      <c r="N359" t="n">
        <v>0</v>
      </c>
      <c r="O359" t="n">
        <v>0</v>
      </c>
      <c r="P359" t="n">
        <v>0</v>
      </c>
      <c r="Q359" t="n">
        <v>0</v>
      </c>
      <c r="R359" s="2" t="inlineStr"/>
    </row>
    <row r="360" ht="15" customHeight="1">
      <c r="A360" t="inlineStr">
        <is>
          <t>A 41538-2021</t>
        </is>
      </c>
      <c r="B360" s="1" t="n">
        <v>44425</v>
      </c>
      <c r="C360" s="1" t="n">
        <v>45822</v>
      </c>
      <c r="D360" t="inlineStr">
        <is>
          <t>UPPSALA LÄN</t>
        </is>
      </c>
      <c r="E360" t="inlineStr">
        <is>
          <t>ÖSTHAMMAR</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41744-2021</t>
        </is>
      </c>
      <c r="B361" s="1" t="n">
        <v>44425</v>
      </c>
      <c r="C361" s="1" t="n">
        <v>45822</v>
      </c>
      <c r="D361" t="inlineStr">
        <is>
          <t>UPPSALA LÄN</t>
        </is>
      </c>
      <c r="E361" t="inlineStr">
        <is>
          <t>ÖSTHAMMAR</t>
        </is>
      </c>
      <c r="F361" t="inlineStr">
        <is>
          <t>Bergvik skog öst AB</t>
        </is>
      </c>
      <c r="G361" t="n">
        <v>2.7</v>
      </c>
      <c r="H361" t="n">
        <v>0</v>
      </c>
      <c r="I361" t="n">
        <v>0</v>
      </c>
      <c r="J361" t="n">
        <v>0</v>
      </c>
      <c r="K361" t="n">
        <v>0</v>
      </c>
      <c r="L361" t="n">
        <v>0</v>
      </c>
      <c r="M361" t="n">
        <v>0</v>
      </c>
      <c r="N361" t="n">
        <v>0</v>
      </c>
      <c r="O361" t="n">
        <v>0</v>
      </c>
      <c r="P361" t="n">
        <v>0</v>
      </c>
      <c r="Q361" t="n">
        <v>0</v>
      </c>
      <c r="R361" s="2" t="inlineStr"/>
    </row>
    <row r="362" ht="15" customHeight="1">
      <c r="A362" t="inlineStr">
        <is>
          <t>A 43469-2021</t>
        </is>
      </c>
      <c r="B362" s="1" t="n">
        <v>44432</v>
      </c>
      <c r="C362" s="1" t="n">
        <v>45822</v>
      </c>
      <c r="D362" t="inlineStr">
        <is>
          <t>UPPSALA LÄN</t>
        </is>
      </c>
      <c r="E362" t="inlineStr">
        <is>
          <t>ÖSTHAMMAR</t>
        </is>
      </c>
      <c r="G362" t="n">
        <v>3.9</v>
      </c>
      <c r="H362" t="n">
        <v>0</v>
      </c>
      <c r="I362" t="n">
        <v>0</v>
      </c>
      <c r="J362" t="n">
        <v>0</v>
      </c>
      <c r="K362" t="n">
        <v>0</v>
      </c>
      <c r="L362" t="n">
        <v>0</v>
      </c>
      <c r="M362" t="n">
        <v>0</v>
      </c>
      <c r="N362" t="n">
        <v>0</v>
      </c>
      <c r="O362" t="n">
        <v>0</v>
      </c>
      <c r="P362" t="n">
        <v>0</v>
      </c>
      <c r="Q362" t="n">
        <v>0</v>
      </c>
      <c r="R362" s="2" t="inlineStr"/>
    </row>
    <row r="363" ht="15" customHeight="1">
      <c r="A363" t="inlineStr">
        <is>
          <t>A 48308-2021</t>
        </is>
      </c>
      <c r="B363" s="1" t="n">
        <v>44450</v>
      </c>
      <c r="C363" s="1" t="n">
        <v>45822</v>
      </c>
      <c r="D363" t="inlineStr">
        <is>
          <t>UPPSALA LÄN</t>
        </is>
      </c>
      <c r="E363" t="inlineStr">
        <is>
          <t>ÖSTHAMMAR</t>
        </is>
      </c>
      <c r="G363" t="n">
        <v>3.5</v>
      </c>
      <c r="H363" t="n">
        <v>0</v>
      </c>
      <c r="I363" t="n">
        <v>0</v>
      </c>
      <c r="J363" t="n">
        <v>0</v>
      </c>
      <c r="K363" t="n">
        <v>0</v>
      </c>
      <c r="L363" t="n">
        <v>0</v>
      </c>
      <c r="M363" t="n">
        <v>0</v>
      </c>
      <c r="N363" t="n">
        <v>0</v>
      </c>
      <c r="O363" t="n">
        <v>0</v>
      </c>
      <c r="P363" t="n">
        <v>0</v>
      </c>
      <c r="Q363" t="n">
        <v>0</v>
      </c>
      <c r="R363" s="2" t="inlineStr"/>
    </row>
    <row r="364" ht="15" customHeight="1">
      <c r="A364" t="inlineStr">
        <is>
          <t>A 51010-2021</t>
        </is>
      </c>
      <c r="B364" s="1" t="n">
        <v>44460</v>
      </c>
      <c r="C364" s="1" t="n">
        <v>45822</v>
      </c>
      <c r="D364" t="inlineStr">
        <is>
          <t>UPPSALA LÄN</t>
        </is>
      </c>
      <c r="E364" t="inlineStr">
        <is>
          <t>ÖSTHAMMAR</t>
        </is>
      </c>
      <c r="G364" t="n">
        <v>2.3</v>
      </c>
      <c r="H364" t="n">
        <v>0</v>
      </c>
      <c r="I364" t="n">
        <v>0</v>
      </c>
      <c r="J364" t="n">
        <v>0</v>
      </c>
      <c r="K364" t="n">
        <v>0</v>
      </c>
      <c r="L364" t="n">
        <v>0</v>
      </c>
      <c r="M364" t="n">
        <v>0</v>
      </c>
      <c r="N364" t="n">
        <v>0</v>
      </c>
      <c r="O364" t="n">
        <v>0</v>
      </c>
      <c r="P364" t="n">
        <v>0</v>
      </c>
      <c r="Q364" t="n">
        <v>0</v>
      </c>
      <c r="R364" s="2" t="inlineStr"/>
    </row>
    <row r="365" ht="15" customHeight="1">
      <c r="A365" t="inlineStr">
        <is>
          <t>A 51412-2021</t>
        </is>
      </c>
      <c r="B365" s="1" t="n">
        <v>44461</v>
      </c>
      <c r="C365" s="1" t="n">
        <v>45822</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51364-2021</t>
        </is>
      </c>
      <c r="B366" s="1" t="n">
        <v>44461</v>
      </c>
      <c r="C366" s="1" t="n">
        <v>45822</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51612-2021</t>
        </is>
      </c>
      <c r="B367" s="1" t="n">
        <v>44462</v>
      </c>
      <c r="C367" s="1" t="n">
        <v>45822</v>
      </c>
      <c r="D367" t="inlineStr">
        <is>
          <t>UPPSALA LÄN</t>
        </is>
      </c>
      <c r="E367" t="inlineStr">
        <is>
          <t>ÖSTHAMMAR</t>
        </is>
      </c>
      <c r="G367" t="n">
        <v>2.7</v>
      </c>
      <c r="H367" t="n">
        <v>0</v>
      </c>
      <c r="I367" t="n">
        <v>0</v>
      </c>
      <c r="J367" t="n">
        <v>0</v>
      </c>
      <c r="K367" t="n">
        <v>0</v>
      </c>
      <c r="L367" t="n">
        <v>0</v>
      </c>
      <c r="M367" t="n">
        <v>0</v>
      </c>
      <c r="N367" t="n">
        <v>0</v>
      </c>
      <c r="O367" t="n">
        <v>0</v>
      </c>
      <c r="P367" t="n">
        <v>0</v>
      </c>
      <c r="Q367" t="n">
        <v>0</v>
      </c>
      <c r="R367" s="2" t="inlineStr"/>
    </row>
    <row r="368" ht="15" customHeight="1">
      <c r="A368" t="inlineStr">
        <is>
          <t>A 52659-2021</t>
        </is>
      </c>
      <c r="B368" s="1" t="n">
        <v>44466</v>
      </c>
      <c r="C368" s="1" t="n">
        <v>45822</v>
      </c>
      <c r="D368" t="inlineStr">
        <is>
          <t>UPPSALA LÄN</t>
        </is>
      </c>
      <c r="E368" t="inlineStr">
        <is>
          <t>ÖSTHAMMAR</t>
        </is>
      </c>
      <c r="G368" t="n">
        <v>13</v>
      </c>
      <c r="H368" t="n">
        <v>0</v>
      </c>
      <c r="I368" t="n">
        <v>0</v>
      </c>
      <c r="J368" t="n">
        <v>0</v>
      </c>
      <c r="K368" t="n">
        <v>0</v>
      </c>
      <c r="L368" t="n">
        <v>0</v>
      </c>
      <c r="M368" t="n">
        <v>0</v>
      </c>
      <c r="N368" t="n">
        <v>0</v>
      </c>
      <c r="O368" t="n">
        <v>0</v>
      </c>
      <c r="P368" t="n">
        <v>0</v>
      </c>
      <c r="Q368" t="n">
        <v>0</v>
      </c>
      <c r="R368" s="2" t="inlineStr"/>
    </row>
    <row r="369" ht="15" customHeight="1">
      <c r="A369" t="inlineStr">
        <is>
          <t>A 52544-2021</t>
        </is>
      </c>
      <c r="B369" s="1" t="n">
        <v>44466</v>
      </c>
      <c r="C369" s="1" t="n">
        <v>45822</v>
      </c>
      <c r="D369" t="inlineStr">
        <is>
          <t>UPPSALA LÄN</t>
        </is>
      </c>
      <c r="E369" t="inlineStr">
        <is>
          <t>ÖSTHAMMAR</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52898-2021</t>
        </is>
      </c>
      <c r="B370" s="1" t="n">
        <v>44467</v>
      </c>
      <c r="C370" s="1" t="n">
        <v>45822</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55646-2021</t>
        </is>
      </c>
      <c r="B371" s="1" t="n">
        <v>44476</v>
      </c>
      <c r="C371" s="1" t="n">
        <v>45822</v>
      </c>
      <c r="D371" t="inlineStr">
        <is>
          <t>UPPSALA LÄN</t>
        </is>
      </c>
      <c r="E371" t="inlineStr">
        <is>
          <t>ÖSTHAMMAR</t>
        </is>
      </c>
      <c r="F371" t="inlineStr">
        <is>
          <t>Bergvik skog öst AB</t>
        </is>
      </c>
      <c r="G371" t="n">
        <v>0.2</v>
      </c>
      <c r="H371" t="n">
        <v>0</v>
      </c>
      <c r="I371" t="n">
        <v>0</v>
      </c>
      <c r="J371" t="n">
        <v>0</v>
      </c>
      <c r="K371" t="n">
        <v>0</v>
      </c>
      <c r="L371" t="n">
        <v>0</v>
      </c>
      <c r="M371" t="n">
        <v>0</v>
      </c>
      <c r="N371" t="n">
        <v>0</v>
      </c>
      <c r="O371" t="n">
        <v>0</v>
      </c>
      <c r="P371" t="n">
        <v>0</v>
      </c>
      <c r="Q371" t="n">
        <v>0</v>
      </c>
      <c r="R371" s="2" t="inlineStr"/>
    </row>
    <row r="372" ht="15" customHeight="1">
      <c r="A372" t="inlineStr">
        <is>
          <t>A 55872-2021</t>
        </is>
      </c>
      <c r="B372" s="1" t="n">
        <v>44476</v>
      </c>
      <c r="C372" s="1" t="n">
        <v>45822</v>
      </c>
      <c r="D372" t="inlineStr">
        <is>
          <t>UPPSALA LÄN</t>
        </is>
      </c>
      <c r="E372" t="inlineStr">
        <is>
          <t>ÖSTHAMMAR</t>
        </is>
      </c>
      <c r="F372" t="inlineStr">
        <is>
          <t>Bergvik skog öst AB</t>
        </is>
      </c>
      <c r="G372" t="n">
        <v>13.7</v>
      </c>
      <c r="H372" t="n">
        <v>0</v>
      </c>
      <c r="I372" t="n">
        <v>0</v>
      </c>
      <c r="J372" t="n">
        <v>0</v>
      </c>
      <c r="K372" t="n">
        <v>0</v>
      </c>
      <c r="L372" t="n">
        <v>0</v>
      </c>
      <c r="M372" t="n">
        <v>0</v>
      </c>
      <c r="N372" t="n">
        <v>0</v>
      </c>
      <c r="O372" t="n">
        <v>0</v>
      </c>
      <c r="P372" t="n">
        <v>0</v>
      </c>
      <c r="Q372" t="n">
        <v>0</v>
      </c>
      <c r="R372" s="2" t="inlineStr"/>
    </row>
    <row r="373" ht="15" customHeight="1">
      <c r="A373" t="inlineStr">
        <is>
          <t>A 57003-2021</t>
        </is>
      </c>
      <c r="B373" s="1" t="n">
        <v>44482</v>
      </c>
      <c r="C373" s="1" t="n">
        <v>45822</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57080-2021</t>
        </is>
      </c>
      <c r="B374" s="1" t="n">
        <v>44482</v>
      </c>
      <c r="C374" s="1" t="n">
        <v>45822</v>
      </c>
      <c r="D374" t="inlineStr">
        <is>
          <t>UPPSALA LÄN</t>
        </is>
      </c>
      <c r="E374" t="inlineStr">
        <is>
          <t>ÖSTHAMMAR</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58334-2021</t>
        </is>
      </c>
      <c r="B375" s="1" t="n">
        <v>44488</v>
      </c>
      <c r="C375" s="1" t="n">
        <v>45822</v>
      </c>
      <c r="D375" t="inlineStr">
        <is>
          <t>UPPSALA LÄN</t>
        </is>
      </c>
      <c r="E375" t="inlineStr">
        <is>
          <t>ÖSTHAMMAR</t>
        </is>
      </c>
      <c r="G375" t="n">
        <v>5.7</v>
      </c>
      <c r="H375" t="n">
        <v>0</v>
      </c>
      <c r="I375" t="n">
        <v>0</v>
      </c>
      <c r="J375" t="n">
        <v>0</v>
      </c>
      <c r="K375" t="n">
        <v>0</v>
      </c>
      <c r="L375" t="n">
        <v>0</v>
      </c>
      <c r="M375" t="n">
        <v>0</v>
      </c>
      <c r="N375" t="n">
        <v>0</v>
      </c>
      <c r="O375" t="n">
        <v>0</v>
      </c>
      <c r="P375" t="n">
        <v>0</v>
      </c>
      <c r="Q375" t="n">
        <v>0</v>
      </c>
      <c r="R375" s="2" t="inlineStr"/>
    </row>
    <row r="376" ht="15" customHeight="1">
      <c r="A376" t="inlineStr">
        <is>
          <t>A 59360-2021</t>
        </is>
      </c>
      <c r="B376" s="1" t="n">
        <v>44491</v>
      </c>
      <c r="C376" s="1" t="n">
        <v>45822</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59498-2021</t>
        </is>
      </c>
      <c r="B377" s="1" t="n">
        <v>44491</v>
      </c>
      <c r="C377" s="1" t="n">
        <v>45822</v>
      </c>
      <c r="D377" t="inlineStr">
        <is>
          <t>UPPSALA LÄN</t>
        </is>
      </c>
      <c r="E377" t="inlineStr">
        <is>
          <t>ÖSTHAMMAR</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60047-2021</t>
        </is>
      </c>
      <c r="B378" s="1" t="n">
        <v>44495</v>
      </c>
      <c r="C378" s="1" t="n">
        <v>45822</v>
      </c>
      <c r="D378" t="inlineStr">
        <is>
          <t>UPPSALA LÄN</t>
        </is>
      </c>
      <c r="E378" t="inlineStr">
        <is>
          <t>ÖSTHAMMAR</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60577-2021</t>
        </is>
      </c>
      <c r="B379" s="1" t="n">
        <v>44496</v>
      </c>
      <c r="C379" s="1" t="n">
        <v>45822</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60584-2021</t>
        </is>
      </c>
      <c r="B380" s="1" t="n">
        <v>44496</v>
      </c>
      <c r="C380" s="1" t="n">
        <v>45822</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61746-2021</t>
        </is>
      </c>
      <c r="B381" s="1" t="n">
        <v>44498</v>
      </c>
      <c r="C381" s="1" t="n">
        <v>45822</v>
      </c>
      <c r="D381" t="inlineStr">
        <is>
          <t>UPPSALA LÄN</t>
        </is>
      </c>
      <c r="E381" t="inlineStr">
        <is>
          <t>ÖSTHAMMAR</t>
        </is>
      </c>
      <c r="G381" t="n">
        <v>5.6</v>
      </c>
      <c r="H381" t="n">
        <v>0</v>
      </c>
      <c r="I381" t="n">
        <v>0</v>
      </c>
      <c r="J381" t="n">
        <v>0</v>
      </c>
      <c r="K381" t="n">
        <v>0</v>
      </c>
      <c r="L381" t="n">
        <v>0</v>
      </c>
      <c r="M381" t="n">
        <v>0</v>
      </c>
      <c r="N381" t="n">
        <v>0</v>
      </c>
      <c r="O381" t="n">
        <v>0</v>
      </c>
      <c r="P381" t="n">
        <v>0</v>
      </c>
      <c r="Q381" t="n">
        <v>0</v>
      </c>
      <c r="R381" s="2" t="inlineStr"/>
    </row>
    <row r="382" ht="15" customHeight="1">
      <c r="A382" t="inlineStr">
        <is>
          <t>A 61555-2021</t>
        </is>
      </c>
      <c r="B382" s="1" t="n">
        <v>44501</v>
      </c>
      <c r="C382" s="1" t="n">
        <v>45822</v>
      </c>
      <c r="D382" t="inlineStr">
        <is>
          <t>UPPSALA LÄN</t>
        </is>
      </c>
      <c r="E382" t="inlineStr">
        <is>
          <t>ÖSTHAMMAR</t>
        </is>
      </c>
      <c r="F382" t="inlineStr">
        <is>
          <t>Sveaskog</t>
        </is>
      </c>
      <c r="G382" t="n">
        <v>0.6</v>
      </c>
      <c r="H382" t="n">
        <v>0</v>
      </c>
      <c r="I382" t="n">
        <v>0</v>
      </c>
      <c r="J382" t="n">
        <v>0</v>
      </c>
      <c r="K382" t="n">
        <v>0</v>
      </c>
      <c r="L382" t="n">
        <v>0</v>
      </c>
      <c r="M382" t="n">
        <v>0</v>
      </c>
      <c r="N382" t="n">
        <v>0</v>
      </c>
      <c r="O382" t="n">
        <v>0</v>
      </c>
      <c r="P382" t="n">
        <v>0</v>
      </c>
      <c r="Q382" t="n">
        <v>0</v>
      </c>
      <c r="R382" s="2" t="inlineStr"/>
    </row>
    <row r="383" ht="15" customHeight="1">
      <c r="A383" t="inlineStr">
        <is>
          <t>A 61560-2021</t>
        </is>
      </c>
      <c r="B383" s="1" t="n">
        <v>44501</v>
      </c>
      <c r="C383" s="1" t="n">
        <v>45822</v>
      </c>
      <c r="D383" t="inlineStr">
        <is>
          <t>UPPSALA LÄN</t>
        </is>
      </c>
      <c r="E383" t="inlineStr">
        <is>
          <t>ÖSTHAMMAR</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v>
      </c>
      <c r="C384" s="1" t="n">
        <v>45822</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62854-2021</t>
        </is>
      </c>
      <c r="B385" s="1" t="n">
        <v>44504</v>
      </c>
      <c r="C385" s="1" t="n">
        <v>45822</v>
      </c>
      <c r="D385" t="inlineStr">
        <is>
          <t>UPPSALA LÄN</t>
        </is>
      </c>
      <c r="E385" t="inlineStr">
        <is>
          <t>ÖSTHAMMAR</t>
        </is>
      </c>
      <c r="F385" t="inlineStr">
        <is>
          <t>Bergvik skog öst AB</t>
        </is>
      </c>
      <c r="G385" t="n">
        <v>10.3</v>
      </c>
      <c r="H385" t="n">
        <v>0</v>
      </c>
      <c r="I385" t="n">
        <v>0</v>
      </c>
      <c r="J385" t="n">
        <v>0</v>
      </c>
      <c r="K385" t="n">
        <v>0</v>
      </c>
      <c r="L385" t="n">
        <v>0</v>
      </c>
      <c r="M385" t="n">
        <v>0</v>
      </c>
      <c r="N385" t="n">
        <v>0</v>
      </c>
      <c r="O385" t="n">
        <v>0</v>
      </c>
      <c r="P385" t="n">
        <v>0</v>
      </c>
      <c r="Q385" t="n">
        <v>0</v>
      </c>
      <c r="R385" s="2" t="inlineStr"/>
    </row>
    <row r="386" ht="15" customHeight="1">
      <c r="A386" t="inlineStr">
        <is>
          <t>A 62782-2021</t>
        </is>
      </c>
      <c r="B386" s="1" t="n">
        <v>44504</v>
      </c>
      <c r="C386" s="1" t="n">
        <v>45822</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64586-2021</t>
        </is>
      </c>
      <c r="B387" s="1" t="n">
        <v>44511</v>
      </c>
      <c r="C387" s="1" t="n">
        <v>45822</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64811-2021</t>
        </is>
      </c>
      <c r="B388" s="1" t="n">
        <v>44512</v>
      </c>
      <c r="C388" s="1" t="n">
        <v>45822</v>
      </c>
      <c r="D388" t="inlineStr">
        <is>
          <t>UPPSALA LÄN</t>
        </is>
      </c>
      <c r="E388" t="inlineStr">
        <is>
          <t>ÖSTHAMMAR</t>
        </is>
      </c>
      <c r="G388" t="n">
        <v>4.2</v>
      </c>
      <c r="H388" t="n">
        <v>0</v>
      </c>
      <c r="I388" t="n">
        <v>0</v>
      </c>
      <c r="J388" t="n">
        <v>0</v>
      </c>
      <c r="K388" t="n">
        <v>0</v>
      </c>
      <c r="L388" t="n">
        <v>0</v>
      </c>
      <c r="M388" t="n">
        <v>0</v>
      </c>
      <c r="N388" t="n">
        <v>0</v>
      </c>
      <c r="O388" t="n">
        <v>0</v>
      </c>
      <c r="P388" t="n">
        <v>0</v>
      </c>
      <c r="Q388" t="n">
        <v>0</v>
      </c>
      <c r="R388" s="2" t="inlineStr"/>
    </row>
    <row r="389" ht="15" customHeight="1">
      <c r="A389" t="inlineStr">
        <is>
          <t>A 64872-2021</t>
        </is>
      </c>
      <c r="B389" s="1" t="n">
        <v>44512</v>
      </c>
      <c r="C389" s="1" t="n">
        <v>45822</v>
      </c>
      <c r="D389" t="inlineStr">
        <is>
          <t>UPPSALA LÄN</t>
        </is>
      </c>
      <c r="E389" t="inlineStr">
        <is>
          <t>ÖSTHAMMAR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64885-2021</t>
        </is>
      </c>
      <c r="B390" s="1" t="n">
        <v>44512</v>
      </c>
      <c r="C390" s="1" t="n">
        <v>45822</v>
      </c>
      <c r="D390" t="inlineStr">
        <is>
          <t>UPPSALA LÄN</t>
        </is>
      </c>
      <c r="E390" t="inlineStr">
        <is>
          <t>ÖSTHAMMAR</t>
        </is>
      </c>
      <c r="G390" t="n">
        <v>2.1</v>
      </c>
      <c r="H390" t="n">
        <v>0</v>
      </c>
      <c r="I390" t="n">
        <v>0</v>
      </c>
      <c r="J390" t="n">
        <v>0</v>
      </c>
      <c r="K390" t="n">
        <v>0</v>
      </c>
      <c r="L390" t="n">
        <v>0</v>
      </c>
      <c r="M390" t="n">
        <v>0</v>
      </c>
      <c r="N390" t="n">
        <v>0</v>
      </c>
      <c r="O390" t="n">
        <v>0</v>
      </c>
      <c r="P390" t="n">
        <v>0</v>
      </c>
      <c r="Q390" t="n">
        <v>0</v>
      </c>
      <c r="R390" s="2" t="inlineStr"/>
    </row>
    <row r="391" ht="15" customHeight="1">
      <c r="A391" t="inlineStr">
        <is>
          <t>A 65020-2021</t>
        </is>
      </c>
      <c r="B391" s="1" t="n">
        <v>44515</v>
      </c>
      <c r="C391" s="1" t="n">
        <v>45822</v>
      </c>
      <c r="D391" t="inlineStr">
        <is>
          <t>UPPSALA LÄN</t>
        </is>
      </c>
      <c r="E391" t="inlineStr">
        <is>
          <t>ÖSTHAMMAR</t>
        </is>
      </c>
      <c r="F391" t="inlineStr">
        <is>
          <t>Sveaskog</t>
        </is>
      </c>
      <c r="G391" t="n">
        <v>4.7</v>
      </c>
      <c r="H391" t="n">
        <v>0</v>
      </c>
      <c r="I391" t="n">
        <v>0</v>
      </c>
      <c r="J391" t="n">
        <v>0</v>
      </c>
      <c r="K391" t="n">
        <v>0</v>
      </c>
      <c r="L391" t="n">
        <v>0</v>
      </c>
      <c r="M391" t="n">
        <v>0</v>
      </c>
      <c r="N391" t="n">
        <v>0</v>
      </c>
      <c r="O391" t="n">
        <v>0</v>
      </c>
      <c r="P391" t="n">
        <v>0</v>
      </c>
      <c r="Q391" t="n">
        <v>0</v>
      </c>
      <c r="R391" s="2" t="inlineStr"/>
    </row>
    <row r="392" ht="15" customHeight="1">
      <c r="A392" t="inlineStr">
        <is>
          <t>A 65104-2021</t>
        </is>
      </c>
      <c r="B392" s="1" t="n">
        <v>44515</v>
      </c>
      <c r="C392" s="1" t="n">
        <v>45822</v>
      </c>
      <c r="D392" t="inlineStr">
        <is>
          <t>UPPSALA LÄN</t>
        </is>
      </c>
      <c r="E392" t="inlineStr">
        <is>
          <t>ÖSTHAMMAR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65028-2021</t>
        </is>
      </c>
      <c r="B393" s="1" t="n">
        <v>44515</v>
      </c>
      <c r="C393" s="1" t="n">
        <v>45822</v>
      </c>
      <c r="D393" t="inlineStr">
        <is>
          <t>UPPSALA LÄN</t>
        </is>
      </c>
      <c r="E393" t="inlineStr">
        <is>
          <t>ÖSTHAMMAR</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66549-2021</t>
        </is>
      </c>
      <c r="B394" s="1" t="n">
        <v>44519</v>
      </c>
      <c r="C394" s="1" t="n">
        <v>45822</v>
      </c>
      <c r="D394" t="inlineStr">
        <is>
          <t>UPPSALA LÄN</t>
        </is>
      </c>
      <c r="E394" t="inlineStr">
        <is>
          <t>ÖSTHAMMAR</t>
        </is>
      </c>
      <c r="F394" t="inlineStr">
        <is>
          <t>Bergvik skog öst AB</t>
        </is>
      </c>
      <c r="G394" t="n">
        <v>2.8</v>
      </c>
      <c r="H394" t="n">
        <v>0</v>
      </c>
      <c r="I394" t="n">
        <v>0</v>
      </c>
      <c r="J394" t="n">
        <v>0</v>
      </c>
      <c r="K394" t="n">
        <v>0</v>
      </c>
      <c r="L394" t="n">
        <v>0</v>
      </c>
      <c r="M394" t="n">
        <v>0</v>
      </c>
      <c r="N394" t="n">
        <v>0</v>
      </c>
      <c r="O394" t="n">
        <v>0</v>
      </c>
      <c r="P394" t="n">
        <v>0</v>
      </c>
      <c r="Q394" t="n">
        <v>0</v>
      </c>
      <c r="R394" s="2" t="inlineStr"/>
    </row>
    <row r="395" ht="15" customHeight="1">
      <c r="A395" t="inlineStr">
        <is>
          <t>A 66779-2021</t>
        </is>
      </c>
      <c r="B395" s="1" t="n">
        <v>44522</v>
      </c>
      <c r="C395" s="1" t="n">
        <v>45822</v>
      </c>
      <c r="D395" t="inlineStr">
        <is>
          <t>UPPSALA LÄN</t>
        </is>
      </c>
      <c r="E395" t="inlineStr">
        <is>
          <t>ÖSTHAMMAR</t>
        </is>
      </c>
      <c r="G395" t="n">
        <v>2</v>
      </c>
      <c r="H395" t="n">
        <v>0</v>
      </c>
      <c r="I395" t="n">
        <v>0</v>
      </c>
      <c r="J395" t="n">
        <v>0</v>
      </c>
      <c r="K395" t="n">
        <v>0</v>
      </c>
      <c r="L395" t="n">
        <v>0</v>
      </c>
      <c r="M395" t="n">
        <v>0</v>
      </c>
      <c r="N395" t="n">
        <v>0</v>
      </c>
      <c r="O395" t="n">
        <v>0</v>
      </c>
      <c r="P395" t="n">
        <v>0</v>
      </c>
      <c r="Q395" t="n">
        <v>0</v>
      </c>
      <c r="R395" s="2" t="inlineStr"/>
    </row>
    <row r="396" ht="15" customHeight="1">
      <c r="A396" t="inlineStr">
        <is>
          <t>A 67033-2021</t>
        </is>
      </c>
      <c r="B396" s="1" t="n">
        <v>44522</v>
      </c>
      <c r="C396" s="1" t="n">
        <v>45822</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67030-2021</t>
        </is>
      </c>
      <c r="B397" s="1" t="n">
        <v>44522</v>
      </c>
      <c r="C397" s="1" t="n">
        <v>45822</v>
      </c>
      <c r="D397" t="inlineStr">
        <is>
          <t>UPPSALA LÄN</t>
        </is>
      </c>
      <c r="E397" t="inlineStr">
        <is>
          <t>ÖSTHAMMAR</t>
        </is>
      </c>
      <c r="G397" t="n">
        <v>8.6</v>
      </c>
      <c r="H397" t="n">
        <v>0</v>
      </c>
      <c r="I397" t="n">
        <v>0</v>
      </c>
      <c r="J397" t="n">
        <v>0</v>
      </c>
      <c r="K397" t="n">
        <v>0</v>
      </c>
      <c r="L397" t="n">
        <v>0</v>
      </c>
      <c r="M397" t="n">
        <v>0</v>
      </c>
      <c r="N397" t="n">
        <v>0</v>
      </c>
      <c r="O397" t="n">
        <v>0</v>
      </c>
      <c r="P397" t="n">
        <v>0</v>
      </c>
      <c r="Q397" t="n">
        <v>0</v>
      </c>
      <c r="R397" s="2" t="inlineStr"/>
    </row>
    <row r="398" ht="15" customHeight="1">
      <c r="A398" t="inlineStr">
        <is>
          <t>A 67151-2021</t>
        </is>
      </c>
      <c r="B398" s="1" t="n">
        <v>44523</v>
      </c>
      <c r="C398" s="1" t="n">
        <v>45822</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67199-2021</t>
        </is>
      </c>
      <c r="B399" s="1" t="n">
        <v>44523</v>
      </c>
      <c r="C399" s="1" t="n">
        <v>45822</v>
      </c>
      <c r="D399" t="inlineStr">
        <is>
          <t>UPPSALA LÄN</t>
        </is>
      </c>
      <c r="E399" t="inlineStr">
        <is>
          <t>ÖSTHAMMAR</t>
        </is>
      </c>
      <c r="G399" t="n">
        <v>2.3</v>
      </c>
      <c r="H399" t="n">
        <v>0</v>
      </c>
      <c r="I399" t="n">
        <v>0</v>
      </c>
      <c r="J399" t="n">
        <v>0</v>
      </c>
      <c r="K399" t="n">
        <v>0</v>
      </c>
      <c r="L399" t="n">
        <v>0</v>
      </c>
      <c r="M399" t="n">
        <v>0</v>
      </c>
      <c r="N399" t="n">
        <v>0</v>
      </c>
      <c r="O399" t="n">
        <v>0</v>
      </c>
      <c r="P399" t="n">
        <v>0</v>
      </c>
      <c r="Q399" t="n">
        <v>0</v>
      </c>
      <c r="R399" s="2" t="inlineStr"/>
    </row>
    <row r="400" ht="15" customHeight="1">
      <c r="A400" t="inlineStr">
        <is>
          <t>A 67217-2021</t>
        </is>
      </c>
      <c r="B400" s="1" t="n">
        <v>44523</v>
      </c>
      <c r="C400" s="1" t="n">
        <v>45822</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67859-2021</t>
        </is>
      </c>
      <c r="B401" s="1" t="n">
        <v>44525</v>
      </c>
      <c r="C401" s="1" t="n">
        <v>45822</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67848-2021</t>
        </is>
      </c>
      <c r="B402" s="1" t="n">
        <v>44525</v>
      </c>
      <c r="C402" s="1" t="n">
        <v>45822</v>
      </c>
      <c r="D402" t="inlineStr">
        <is>
          <t>UPPSALA LÄN</t>
        </is>
      </c>
      <c r="E402" t="inlineStr">
        <is>
          <t>ÖSTHAMMAR</t>
        </is>
      </c>
      <c r="G402" t="n">
        <v>1</v>
      </c>
      <c r="H402" t="n">
        <v>0</v>
      </c>
      <c r="I402" t="n">
        <v>0</v>
      </c>
      <c r="J402" t="n">
        <v>0</v>
      </c>
      <c r="K402" t="n">
        <v>0</v>
      </c>
      <c r="L402" t="n">
        <v>0</v>
      </c>
      <c r="M402" t="n">
        <v>0</v>
      </c>
      <c r="N402" t="n">
        <v>0</v>
      </c>
      <c r="O402" t="n">
        <v>0</v>
      </c>
      <c r="P402" t="n">
        <v>0</v>
      </c>
      <c r="Q402" t="n">
        <v>0</v>
      </c>
      <c r="R402" s="2" t="inlineStr"/>
    </row>
    <row r="403" ht="15" customHeight="1">
      <c r="A403" t="inlineStr">
        <is>
          <t>A 69505-2021</t>
        </is>
      </c>
      <c r="B403" s="1" t="n">
        <v>44531</v>
      </c>
      <c r="C403" s="1" t="n">
        <v>45822</v>
      </c>
      <c r="D403" t="inlineStr">
        <is>
          <t>UPPSALA LÄN</t>
        </is>
      </c>
      <c r="E403" t="inlineStr">
        <is>
          <t>ÖSTHAMMAR</t>
        </is>
      </c>
      <c r="F403" t="inlineStr">
        <is>
          <t>Bergvik skog öst AB</t>
        </is>
      </c>
      <c r="G403" t="n">
        <v>5.4</v>
      </c>
      <c r="H403" t="n">
        <v>0</v>
      </c>
      <c r="I403" t="n">
        <v>0</v>
      </c>
      <c r="J403" t="n">
        <v>0</v>
      </c>
      <c r="K403" t="n">
        <v>0</v>
      </c>
      <c r="L403" t="n">
        <v>0</v>
      </c>
      <c r="M403" t="n">
        <v>0</v>
      </c>
      <c r="N403" t="n">
        <v>0</v>
      </c>
      <c r="O403" t="n">
        <v>0</v>
      </c>
      <c r="P403" t="n">
        <v>0</v>
      </c>
      <c r="Q403" t="n">
        <v>0</v>
      </c>
      <c r="R403" s="2" t="inlineStr"/>
    </row>
    <row r="404" ht="15" customHeight="1">
      <c r="A404" t="inlineStr">
        <is>
          <t>A 69411-2021</t>
        </is>
      </c>
      <c r="B404" s="1" t="n">
        <v>44531</v>
      </c>
      <c r="C404" s="1" t="n">
        <v>45822</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69518-2021</t>
        </is>
      </c>
      <c r="B405" s="1" t="n">
        <v>44531</v>
      </c>
      <c r="C405" s="1" t="n">
        <v>45822</v>
      </c>
      <c r="D405" t="inlineStr">
        <is>
          <t>UPPSALA LÄN</t>
        </is>
      </c>
      <c r="E405" t="inlineStr">
        <is>
          <t>ÖSTHAMMAR</t>
        </is>
      </c>
      <c r="G405" t="n">
        <v>4.5</v>
      </c>
      <c r="H405" t="n">
        <v>0</v>
      </c>
      <c r="I405" t="n">
        <v>0</v>
      </c>
      <c r="J405" t="n">
        <v>0</v>
      </c>
      <c r="K405" t="n">
        <v>0</v>
      </c>
      <c r="L405" t="n">
        <v>0</v>
      </c>
      <c r="M405" t="n">
        <v>0</v>
      </c>
      <c r="N405" t="n">
        <v>0</v>
      </c>
      <c r="O405" t="n">
        <v>0</v>
      </c>
      <c r="P405" t="n">
        <v>0</v>
      </c>
      <c r="Q405" t="n">
        <v>0</v>
      </c>
      <c r="R405" s="2" t="inlineStr"/>
    </row>
    <row r="406" ht="15" customHeight="1">
      <c r="A406" t="inlineStr">
        <is>
          <t>A 70008-2021</t>
        </is>
      </c>
      <c r="B406" s="1" t="n">
        <v>44533</v>
      </c>
      <c r="C406" s="1" t="n">
        <v>45822</v>
      </c>
      <c r="D406" t="inlineStr">
        <is>
          <t>UPPSALA LÄN</t>
        </is>
      </c>
      <c r="E406" t="inlineStr">
        <is>
          <t>ÖSTHAMMAR</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70408-2021</t>
        </is>
      </c>
      <c r="B407" s="1" t="n">
        <v>44536</v>
      </c>
      <c r="C407" s="1" t="n">
        <v>45822</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72627-2021</t>
        </is>
      </c>
      <c r="B408" s="1" t="n">
        <v>44546</v>
      </c>
      <c r="C408" s="1" t="n">
        <v>45822</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72637-2021</t>
        </is>
      </c>
      <c r="B409" s="1" t="n">
        <v>44546</v>
      </c>
      <c r="C409" s="1" t="n">
        <v>45822</v>
      </c>
      <c r="D409" t="inlineStr">
        <is>
          <t>UPPSALA LÄN</t>
        </is>
      </c>
      <c r="E409" t="inlineStr">
        <is>
          <t>ÖSTHAMMAR</t>
        </is>
      </c>
      <c r="G409" t="n">
        <v>2.5</v>
      </c>
      <c r="H409" t="n">
        <v>0</v>
      </c>
      <c r="I409" t="n">
        <v>0</v>
      </c>
      <c r="J409" t="n">
        <v>0</v>
      </c>
      <c r="K409" t="n">
        <v>0</v>
      </c>
      <c r="L409" t="n">
        <v>0</v>
      </c>
      <c r="M409" t="n">
        <v>0</v>
      </c>
      <c r="N409" t="n">
        <v>0</v>
      </c>
      <c r="O409" t="n">
        <v>0</v>
      </c>
      <c r="P409" t="n">
        <v>0</v>
      </c>
      <c r="Q409" t="n">
        <v>0</v>
      </c>
      <c r="R409" s="2" t="inlineStr"/>
    </row>
    <row r="410" ht="15" customHeight="1">
      <c r="A410" t="inlineStr">
        <is>
          <t>A 72969-2021</t>
        </is>
      </c>
      <c r="B410" s="1" t="n">
        <v>44548</v>
      </c>
      <c r="C410" s="1" t="n">
        <v>45822</v>
      </c>
      <c r="D410" t="inlineStr">
        <is>
          <t>UPPSALA LÄN</t>
        </is>
      </c>
      <c r="E410" t="inlineStr">
        <is>
          <t>ÖSTHAMMAR</t>
        </is>
      </c>
      <c r="F410" t="inlineStr">
        <is>
          <t>Bergvik skog öst AB</t>
        </is>
      </c>
      <c r="G410" t="n">
        <v>8</v>
      </c>
      <c r="H410" t="n">
        <v>0</v>
      </c>
      <c r="I410" t="n">
        <v>0</v>
      </c>
      <c r="J410" t="n">
        <v>0</v>
      </c>
      <c r="K410" t="n">
        <v>0</v>
      </c>
      <c r="L410" t="n">
        <v>0</v>
      </c>
      <c r="M410" t="n">
        <v>0</v>
      </c>
      <c r="N410" t="n">
        <v>0</v>
      </c>
      <c r="O410" t="n">
        <v>0</v>
      </c>
      <c r="P410" t="n">
        <v>0</v>
      </c>
      <c r="Q410" t="n">
        <v>0</v>
      </c>
      <c r="R410" s="2" t="inlineStr"/>
    </row>
    <row r="411" ht="15" customHeight="1">
      <c r="A411" t="inlineStr">
        <is>
          <t>A 73483-2021</t>
        </is>
      </c>
      <c r="B411" s="1" t="n">
        <v>44550</v>
      </c>
      <c r="C411" s="1" t="n">
        <v>45822</v>
      </c>
      <c r="D411" t="inlineStr">
        <is>
          <t>UPPSALA LÄN</t>
        </is>
      </c>
      <c r="E411" t="inlineStr">
        <is>
          <t>ÖSTHAMMAR</t>
        </is>
      </c>
      <c r="G411" t="n">
        <v>2.8</v>
      </c>
      <c r="H411" t="n">
        <v>0</v>
      </c>
      <c r="I411" t="n">
        <v>0</v>
      </c>
      <c r="J411" t="n">
        <v>0</v>
      </c>
      <c r="K411" t="n">
        <v>0</v>
      </c>
      <c r="L411" t="n">
        <v>0</v>
      </c>
      <c r="M411" t="n">
        <v>0</v>
      </c>
      <c r="N411" t="n">
        <v>0</v>
      </c>
      <c r="O411" t="n">
        <v>0</v>
      </c>
      <c r="P411" t="n">
        <v>0</v>
      </c>
      <c r="Q411" t="n">
        <v>0</v>
      </c>
      <c r="R411" s="2" t="inlineStr"/>
    </row>
    <row r="412" ht="15" customHeight="1">
      <c r="A412" t="inlineStr">
        <is>
          <t>A 73592-2021</t>
        </is>
      </c>
      <c r="B412" s="1" t="n">
        <v>44552</v>
      </c>
      <c r="C412" s="1" t="n">
        <v>45822</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73965-2021</t>
        </is>
      </c>
      <c r="B413" s="1" t="n">
        <v>44553</v>
      </c>
      <c r="C413" s="1" t="n">
        <v>45822</v>
      </c>
      <c r="D413" t="inlineStr">
        <is>
          <t>UPPSALA LÄN</t>
        </is>
      </c>
      <c r="E413" t="inlineStr">
        <is>
          <t>ÖSTHAMMAR</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73982-2021</t>
        </is>
      </c>
      <c r="B414" s="1" t="n">
        <v>44555</v>
      </c>
      <c r="C414" s="1" t="n">
        <v>45822</v>
      </c>
      <c r="D414" t="inlineStr">
        <is>
          <t>UPPSALA LÄN</t>
        </is>
      </c>
      <c r="E414" t="inlineStr">
        <is>
          <t>ÖSTHAMMAR</t>
        </is>
      </c>
      <c r="G414" t="n">
        <v>0.9</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v>
      </c>
      <c r="C415" s="1" t="n">
        <v>45822</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74429-2021</t>
        </is>
      </c>
      <c r="B416" s="1" t="n">
        <v>44560</v>
      </c>
      <c r="C416" s="1" t="n">
        <v>45822</v>
      </c>
      <c r="D416" t="inlineStr">
        <is>
          <t>UPPSALA LÄN</t>
        </is>
      </c>
      <c r="E416" t="inlineStr">
        <is>
          <t>ÖSTHAMMAR</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74467-2021</t>
        </is>
      </c>
      <c r="B417" s="1" t="n">
        <v>44560</v>
      </c>
      <c r="C417" s="1" t="n">
        <v>45822</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74428-2021</t>
        </is>
      </c>
      <c r="B418" s="1" t="n">
        <v>44560</v>
      </c>
      <c r="C418" s="1" t="n">
        <v>45822</v>
      </c>
      <c r="D418" t="inlineStr">
        <is>
          <t>UPPSALA LÄN</t>
        </is>
      </c>
      <c r="E418" t="inlineStr">
        <is>
          <t>ÖSTHAMMAR</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74436-2021</t>
        </is>
      </c>
      <c r="B419" s="1" t="n">
        <v>44560</v>
      </c>
      <c r="C419" s="1" t="n">
        <v>45822</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v>
      </c>
      <c r="C420" s="1" t="n">
        <v>45822</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1609-2022</t>
        </is>
      </c>
      <c r="B421" s="1" t="n">
        <v>44573</v>
      </c>
      <c r="C421" s="1" t="n">
        <v>45822</v>
      </c>
      <c r="D421" t="inlineStr">
        <is>
          <t>UPPSALA LÄN</t>
        </is>
      </c>
      <c r="E421" t="inlineStr">
        <is>
          <t>ÖSTHAMMAR</t>
        </is>
      </c>
      <c r="G421" t="n">
        <v>5.3</v>
      </c>
      <c r="H421" t="n">
        <v>0</v>
      </c>
      <c r="I421" t="n">
        <v>0</v>
      </c>
      <c r="J421" t="n">
        <v>0</v>
      </c>
      <c r="K421" t="n">
        <v>0</v>
      </c>
      <c r="L421" t="n">
        <v>0</v>
      </c>
      <c r="M421" t="n">
        <v>0</v>
      </c>
      <c r="N421" t="n">
        <v>0</v>
      </c>
      <c r="O421" t="n">
        <v>0</v>
      </c>
      <c r="P421" t="n">
        <v>0</v>
      </c>
      <c r="Q421" t="n">
        <v>0</v>
      </c>
      <c r="R421" s="2" t="inlineStr"/>
    </row>
    <row r="422" ht="15" customHeight="1">
      <c r="A422" t="inlineStr">
        <is>
          <t>A 2085-2022</t>
        </is>
      </c>
      <c r="B422" s="1" t="n">
        <v>44576</v>
      </c>
      <c r="C422" s="1" t="n">
        <v>45822</v>
      </c>
      <c r="D422" t="inlineStr">
        <is>
          <t>UPPSALA LÄN</t>
        </is>
      </c>
      <c r="E422" t="inlineStr">
        <is>
          <t>ÖSTHAMMAR</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2108-2022</t>
        </is>
      </c>
      <c r="B423" s="1" t="n">
        <v>44577</v>
      </c>
      <c r="C423" s="1" t="n">
        <v>45822</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2168-2022</t>
        </is>
      </c>
      <c r="B424" s="1" t="n">
        <v>44578</v>
      </c>
      <c r="C424" s="1" t="n">
        <v>45822</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3638-2022</t>
        </is>
      </c>
      <c r="B425" s="1" t="n">
        <v>44578</v>
      </c>
      <c r="C425" s="1" t="n">
        <v>45822</v>
      </c>
      <c r="D425" t="inlineStr">
        <is>
          <t>UPPSALA LÄN</t>
        </is>
      </c>
      <c r="E425" t="inlineStr">
        <is>
          <t>ÖSTHAMMAR</t>
        </is>
      </c>
      <c r="G425" t="n">
        <v>1.7</v>
      </c>
      <c r="H425" t="n">
        <v>0</v>
      </c>
      <c r="I425" t="n">
        <v>0</v>
      </c>
      <c r="J425" t="n">
        <v>0</v>
      </c>
      <c r="K425" t="n">
        <v>0</v>
      </c>
      <c r="L425" t="n">
        <v>0</v>
      </c>
      <c r="M425" t="n">
        <v>0</v>
      </c>
      <c r="N425" t="n">
        <v>0</v>
      </c>
      <c r="O425" t="n">
        <v>0</v>
      </c>
      <c r="P425" t="n">
        <v>0</v>
      </c>
      <c r="Q425" t="n">
        <v>0</v>
      </c>
      <c r="R425" s="2" t="inlineStr"/>
    </row>
    <row r="426" ht="15" customHeight="1">
      <c r="A426" t="inlineStr">
        <is>
          <t>A 3725-2022</t>
        </is>
      </c>
      <c r="B426" s="1" t="n">
        <v>44586</v>
      </c>
      <c r="C426" s="1" t="n">
        <v>45822</v>
      </c>
      <c r="D426" t="inlineStr">
        <is>
          <t>UPPSALA LÄN</t>
        </is>
      </c>
      <c r="E426" t="inlineStr">
        <is>
          <t>ÖSTHAMMAR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v>
      </c>
      <c r="C427" s="1" t="n">
        <v>45822</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3740-2022</t>
        </is>
      </c>
      <c r="B428" s="1" t="n">
        <v>44586</v>
      </c>
      <c r="C428" s="1" t="n">
        <v>45822</v>
      </c>
      <c r="D428" t="inlineStr">
        <is>
          <t>UPPSALA LÄN</t>
        </is>
      </c>
      <c r="E428" t="inlineStr">
        <is>
          <t>ÖSTHAMMAR</t>
        </is>
      </c>
      <c r="F428" t="inlineStr">
        <is>
          <t>Bergvik skog öst AB</t>
        </is>
      </c>
      <c r="G428" t="n">
        <v>7.7</v>
      </c>
      <c r="H428" t="n">
        <v>0</v>
      </c>
      <c r="I428" t="n">
        <v>0</v>
      </c>
      <c r="J428" t="n">
        <v>0</v>
      </c>
      <c r="K428" t="n">
        <v>0</v>
      </c>
      <c r="L428" t="n">
        <v>0</v>
      </c>
      <c r="M428" t="n">
        <v>0</v>
      </c>
      <c r="N428" t="n">
        <v>0</v>
      </c>
      <c r="O428" t="n">
        <v>0</v>
      </c>
      <c r="P428" t="n">
        <v>0</v>
      </c>
      <c r="Q428" t="n">
        <v>0</v>
      </c>
      <c r="R428" s="2" t="inlineStr"/>
    </row>
    <row r="429" ht="15" customHeight="1">
      <c r="A429" t="inlineStr">
        <is>
          <t>A 3991-2022</t>
        </is>
      </c>
      <c r="B429" s="1" t="n">
        <v>44587</v>
      </c>
      <c r="C429" s="1" t="n">
        <v>45822</v>
      </c>
      <c r="D429" t="inlineStr">
        <is>
          <t>UPPSALA LÄN</t>
        </is>
      </c>
      <c r="E429" t="inlineStr">
        <is>
          <t>ÖSTHAMMAR</t>
        </is>
      </c>
      <c r="F429" t="inlineStr">
        <is>
          <t>Bergvik skog öst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4101-2022</t>
        </is>
      </c>
      <c r="B430" s="1" t="n">
        <v>44588</v>
      </c>
      <c r="C430" s="1" t="n">
        <v>45822</v>
      </c>
      <c r="D430" t="inlineStr">
        <is>
          <t>UPPSALA LÄN</t>
        </is>
      </c>
      <c r="E430" t="inlineStr">
        <is>
          <t>ÖSTHAMMAR</t>
        </is>
      </c>
      <c r="G430" t="n">
        <v>4.4</v>
      </c>
      <c r="H430" t="n">
        <v>0</v>
      </c>
      <c r="I430" t="n">
        <v>0</v>
      </c>
      <c r="J430" t="n">
        <v>0</v>
      </c>
      <c r="K430" t="n">
        <v>0</v>
      </c>
      <c r="L430" t="n">
        <v>0</v>
      </c>
      <c r="M430" t="n">
        <v>0</v>
      </c>
      <c r="N430" t="n">
        <v>0</v>
      </c>
      <c r="O430" t="n">
        <v>0</v>
      </c>
      <c r="P430" t="n">
        <v>0</v>
      </c>
      <c r="Q430" t="n">
        <v>0</v>
      </c>
      <c r="R430" s="2" t="inlineStr"/>
    </row>
    <row r="431" ht="15" customHeight="1">
      <c r="A431" t="inlineStr">
        <is>
          <t>A 4318-2022</t>
        </is>
      </c>
      <c r="B431" s="1" t="n">
        <v>44588</v>
      </c>
      <c r="C431" s="1" t="n">
        <v>45822</v>
      </c>
      <c r="D431" t="inlineStr">
        <is>
          <t>UPPSALA LÄN</t>
        </is>
      </c>
      <c r="E431" t="inlineStr">
        <is>
          <t>ÖSTHAMMAR</t>
        </is>
      </c>
      <c r="F431" t="inlineStr">
        <is>
          <t>Bergvik skog öst AB</t>
        </is>
      </c>
      <c r="G431" t="n">
        <v>9.6</v>
      </c>
      <c r="H431" t="n">
        <v>0</v>
      </c>
      <c r="I431" t="n">
        <v>0</v>
      </c>
      <c r="J431" t="n">
        <v>0</v>
      </c>
      <c r="K431" t="n">
        <v>0</v>
      </c>
      <c r="L431" t="n">
        <v>0</v>
      </c>
      <c r="M431" t="n">
        <v>0</v>
      </c>
      <c r="N431" t="n">
        <v>0</v>
      </c>
      <c r="O431" t="n">
        <v>0</v>
      </c>
      <c r="P431" t="n">
        <v>0</v>
      </c>
      <c r="Q431" t="n">
        <v>0</v>
      </c>
      <c r="R431" s="2" t="inlineStr"/>
    </row>
    <row r="432" ht="15" customHeight="1">
      <c r="A432" t="inlineStr">
        <is>
          <t>A 4315-2022</t>
        </is>
      </c>
      <c r="B432" s="1" t="n">
        <v>44588</v>
      </c>
      <c r="C432" s="1" t="n">
        <v>45822</v>
      </c>
      <c r="D432" t="inlineStr">
        <is>
          <t>UPPSALA LÄN</t>
        </is>
      </c>
      <c r="E432" t="inlineStr">
        <is>
          <t>ÖSTHAMMAR</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4491-2022</t>
        </is>
      </c>
      <c r="B433" s="1" t="n">
        <v>44589</v>
      </c>
      <c r="C433" s="1" t="n">
        <v>45822</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4357-2022</t>
        </is>
      </c>
      <c r="B434" s="1" t="n">
        <v>44589</v>
      </c>
      <c r="C434" s="1" t="n">
        <v>45822</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4563-2022</t>
        </is>
      </c>
      <c r="B435" s="1" t="n">
        <v>44591</v>
      </c>
      <c r="C435" s="1" t="n">
        <v>45822</v>
      </c>
      <c r="D435" t="inlineStr">
        <is>
          <t>UPPSALA LÄN</t>
        </is>
      </c>
      <c r="E435" t="inlineStr">
        <is>
          <t>ÖSTHAMMAR</t>
        </is>
      </c>
      <c r="F435" t="inlineStr">
        <is>
          <t>Bergvik skog öst AB</t>
        </is>
      </c>
      <c r="G435" t="n">
        <v>1.9</v>
      </c>
      <c r="H435" t="n">
        <v>0</v>
      </c>
      <c r="I435" t="n">
        <v>0</v>
      </c>
      <c r="J435" t="n">
        <v>0</v>
      </c>
      <c r="K435" t="n">
        <v>0</v>
      </c>
      <c r="L435" t="n">
        <v>0</v>
      </c>
      <c r="M435" t="n">
        <v>0</v>
      </c>
      <c r="N435" t="n">
        <v>0</v>
      </c>
      <c r="O435" t="n">
        <v>0</v>
      </c>
      <c r="P435" t="n">
        <v>0</v>
      </c>
      <c r="Q435" t="n">
        <v>0</v>
      </c>
      <c r="R435" s="2" t="inlineStr"/>
    </row>
    <row r="436" ht="15" customHeight="1">
      <c r="A436" t="inlineStr">
        <is>
          <t>A 4562-2022</t>
        </is>
      </c>
      <c r="B436" s="1" t="n">
        <v>44591</v>
      </c>
      <c r="C436" s="1" t="n">
        <v>45822</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4561-2022</t>
        </is>
      </c>
      <c r="B437" s="1" t="n">
        <v>44591</v>
      </c>
      <c r="C437" s="1" t="n">
        <v>45822</v>
      </c>
      <c r="D437" t="inlineStr">
        <is>
          <t>UPPSALA LÄN</t>
        </is>
      </c>
      <c r="E437" t="inlineStr">
        <is>
          <t>ÖSTHAMMAR</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4559-2022</t>
        </is>
      </c>
      <c r="B438" s="1" t="n">
        <v>44591</v>
      </c>
      <c r="C438" s="1" t="n">
        <v>45822</v>
      </c>
      <c r="D438" t="inlineStr">
        <is>
          <t>UPPSALA LÄN</t>
        </is>
      </c>
      <c r="E438" t="inlineStr">
        <is>
          <t>ÖSTHAMMAR</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4565-2022</t>
        </is>
      </c>
      <c r="B439" s="1" t="n">
        <v>44591</v>
      </c>
      <c r="C439" s="1" t="n">
        <v>45822</v>
      </c>
      <c r="D439" t="inlineStr">
        <is>
          <t>UPPSALA LÄN</t>
        </is>
      </c>
      <c r="E439" t="inlineStr">
        <is>
          <t>ÖSTHAMMAR</t>
        </is>
      </c>
      <c r="F439" t="inlineStr">
        <is>
          <t>Bergvik skog öst AB</t>
        </is>
      </c>
      <c r="G439" t="n">
        <v>5.3</v>
      </c>
      <c r="H439" t="n">
        <v>0</v>
      </c>
      <c r="I439" t="n">
        <v>0</v>
      </c>
      <c r="J439" t="n">
        <v>0</v>
      </c>
      <c r="K439" t="n">
        <v>0</v>
      </c>
      <c r="L439" t="n">
        <v>0</v>
      </c>
      <c r="M439" t="n">
        <v>0</v>
      </c>
      <c r="N439" t="n">
        <v>0</v>
      </c>
      <c r="O439" t="n">
        <v>0</v>
      </c>
      <c r="P439" t="n">
        <v>0</v>
      </c>
      <c r="Q439" t="n">
        <v>0</v>
      </c>
      <c r="R439" s="2" t="inlineStr"/>
    </row>
    <row r="440" ht="15" customHeight="1">
      <c r="A440" t="inlineStr">
        <is>
          <t>A 5855-2022</t>
        </is>
      </c>
      <c r="B440" s="1" t="n">
        <v>44596</v>
      </c>
      <c r="C440" s="1" t="n">
        <v>45822</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5974-2022</t>
        </is>
      </c>
      <c r="B441" s="1" t="n">
        <v>44597</v>
      </c>
      <c r="C441" s="1" t="n">
        <v>45822</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5933-2022</t>
        </is>
      </c>
      <c r="B442" s="1" t="n">
        <v>44598</v>
      </c>
      <c r="C442" s="1" t="n">
        <v>45822</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5934-2022</t>
        </is>
      </c>
      <c r="B443" s="1" t="n">
        <v>44598</v>
      </c>
      <c r="C443" s="1" t="n">
        <v>45822</v>
      </c>
      <c r="D443" t="inlineStr">
        <is>
          <t>UPPSALA LÄN</t>
        </is>
      </c>
      <c r="E443" t="inlineStr">
        <is>
          <t>ÖSTHAMMAR</t>
        </is>
      </c>
      <c r="F443" t="inlineStr">
        <is>
          <t>Bergvik skog öst AB</t>
        </is>
      </c>
      <c r="G443" t="n">
        <v>2.4</v>
      </c>
      <c r="H443" t="n">
        <v>0</v>
      </c>
      <c r="I443" t="n">
        <v>0</v>
      </c>
      <c r="J443" t="n">
        <v>0</v>
      </c>
      <c r="K443" t="n">
        <v>0</v>
      </c>
      <c r="L443" t="n">
        <v>0</v>
      </c>
      <c r="M443" t="n">
        <v>0</v>
      </c>
      <c r="N443" t="n">
        <v>0</v>
      </c>
      <c r="O443" t="n">
        <v>0</v>
      </c>
      <c r="P443" t="n">
        <v>0</v>
      </c>
      <c r="Q443" t="n">
        <v>0</v>
      </c>
      <c r="R443" s="2" t="inlineStr"/>
    </row>
    <row r="444" ht="15" customHeight="1">
      <c r="A444" t="inlineStr">
        <is>
          <t>A 5932-2022</t>
        </is>
      </c>
      <c r="B444" s="1" t="n">
        <v>44598</v>
      </c>
      <c r="C444" s="1" t="n">
        <v>45822</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5931-2022</t>
        </is>
      </c>
      <c r="B445" s="1" t="n">
        <v>44598</v>
      </c>
      <c r="C445" s="1" t="n">
        <v>45822</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6143-2022</t>
        </is>
      </c>
      <c r="B446" s="1" t="n">
        <v>44599</v>
      </c>
      <c r="C446" s="1" t="n">
        <v>45822</v>
      </c>
      <c r="D446" t="inlineStr">
        <is>
          <t>UPPSALA LÄN</t>
        </is>
      </c>
      <c r="E446" t="inlineStr">
        <is>
          <t>ÖSTHAMMAR</t>
        </is>
      </c>
      <c r="G446" t="n">
        <v>3.4</v>
      </c>
      <c r="H446" t="n">
        <v>0</v>
      </c>
      <c r="I446" t="n">
        <v>0</v>
      </c>
      <c r="J446" t="n">
        <v>0</v>
      </c>
      <c r="K446" t="n">
        <v>0</v>
      </c>
      <c r="L446" t="n">
        <v>0</v>
      </c>
      <c r="M446" t="n">
        <v>0</v>
      </c>
      <c r="N446" t="n">
        <v>0</v>
      </c>
      <c r="O446" t="n">
        <v>0</v>
      </c>
      <c r="P446" t="n">
        <v>0</v>
      </c>
      <c r="Q446" t="n">
        <v>0</v>
      </c>
      <c r="R446" s="2" t="inlineStr"/>
    </row>
    <row r="447" ht="15" customHeight="1">
      <c r="A447" t="inlineStr">
        <is>
          <t>A 6153-2022</t>
        </is>
      </c>
      <c r="B447" s="1" t="n">
        <v>44599</v>
      </c>
      <c r="C447" s="1" t="n">
        <v>45822</v>
      </c>
      <c r="D447" t="inlineStr">
        <is>
          <t>UPPSALA LÄN</t>
        </is>
      </c>
      <c r="E447" t="inlineStr">
        <is>
          <t>ÖSTHAMMAR</t>
        </is>
      </c>
      <c r="G447" t="n">
        <v>1.2</v>
      </c>
      <c r="H447" t="n">
        <v>0</v>
      </c>
      <c r="I447" t="n">
        <v>0</v>
      </c>
      <c r="J447" t="n">
        <v>0</v>
      </c>
      <c r="K447" t="n">
        <v>0</v>
      </c>
      <c r="L447" t="n">
        <v>0</v>
      </c>
      <c r="M447" t="n">
        <v>0</v>
      </c>
      <c r="N447" t="n">
        <v>0</v>
      </c>
      <c r="O447" t="n">
        <v>0</v>
      </c>
      <c r="P447" t="n">
        <v>0</v>
      </c>
      <c r="Q447" t="n">
        <v>0</v>
      </c>
      <c r="R447" s="2" t="inlineStr"/>
    </row>
    <row r="448" ht="15" customHeight="1">
      <c r="A448" t="inlineStr">
        <is>
          <t>A 6206-2022</t>
        </is>
      </c>
      <c r="B448" s="1" t="n">
        <v>44600</v>
      </c>
      <c r="C448" s="1" t="n">
        <v>45822</v>
      </c>
      <c r="D448" t="inlineStr">
        <is>
          <t>UPPSALA LÄN</t>
        </is>
      </c>
      <c r="E448" t="inlineStr">
        <is>
          <t>ÖSTHAMMAR</t>
        </is>
      </c>
      <c r="G448" t="n">
        <v>7.4</v>
      </c>
      <c r="H448" t="n">
        <v>0</v>
      </c>
      <c r="I448" t="n">
        <v>0</v>
      </c>
      <c r="J448" t="n">
        <v>0</v>
      </c>
      <c r="K448" t="n">
        <v>0</v>
      </c>
      <c r="L448" t="n">
        <v>0</v>
      </c>
      <c r="M448" t="n">
        <v>0</v>
      </c>
      <c r="N448" t="n">
        <v>0</v>
      </c>
      <c r="O448" t="n">
        <v>0</v>
      </c>
      <c r="P448" t="n">
        <v>0</v>
      </c>
      <c r="Q448" t="n">
        <v>0</v>
      </c>
      <c r="R448" s="2" t="inlineStr"/>
    </row>
    <row r="449" ht="15" customHeight="1">
      <c r="A449" t="inlineStr">
        <is>
          <t>A 6313-2022</t>
        </is>
      </c>
      <c r="B449" s="1" t="n">
        <v>44600</v>
      </c>
      <c r="C449" s="1" t="n">
        <v>45822</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6892-2022</t>
        </is>
      </c>
      <c r="B450" s="1" t="n">
        <v>44602</v>
      </c>
      <c r="C450" s="1" t="n">
        <v>45822</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7181-2022</t>
        </is>
      </c>
      <c r="B451" s="1" t="n">
        <v>44605</v>
      </c>
      <c r="C451" s="1" t="n">
        <v>45822</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7302-2022</t>
        </is>
      </c>
      <c r="B452" s="1" t="n">
        <v>44606</v>
      </c>
      <c r="C452" s="1" t="n">
        <v>45822</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7475-2022</t>
        </is>
      </c>
      <c r="B453" s="1" t="n">
        <v>44607</v>
      </c>
      <c r="C453" s="1" t="n">
        <v>45822</v>
      </c>
      <c r="D453" t="inlineStr">
        <is>
          <t>UPPSALA LÄN</t>
        </is>
      </c>
      <c r="E453" t="inlineStr">
        <is>
          <t>ÖSTHAMMAR</t>
        </is>
      </c>
      <c r="G453" t="n">
        <v>2.2</v>
      </c>
      <c r="H453" t="n">
        <v>0</v>
      </c>
      <c r="I453" t="n">
        <v>0</v>
      </c>
      <c r="J453" t="n">
        <v>0</v>
      </c>
      <c r="K453" t="n">
        <v>0</v>
      </c>
      <c r="L453" t="n">
        <v>0</v>
      </c>
      <c r="M453" t="n">
        <v>0</v>
      </c>
      <c r="N453" t="n">
        <v>0</v>
      </c>
      <c r="O453" t="n">
        <v>0</v>
      </c>
      <c r="P453" t="n">
        <v>0</v>
      </c>
      <c r="Q453" t="n">
        <v>0</v>
      </c>
      <c r="R453" s="2" t="inlineStr"/>
    </row>
    <row r="454" ht="15" customHeight="1">
      <c r="A454" t="inlineStr">
        <is>
          <t>A 7488-2022</t>
        </is>
      </c>
      <c r="B454" s="1" t="n">
        <v>44607</v>
      </c>
      <c r="C454" s="1" t="n">
        <v>45822</v>
      </c>
      <c r="D454" t="inlineStr">
        <is>
          <t>UPPSALA LÄN</t>
        </is>
      </c>
      <c r="E454" t="inlineStr">
        <is>
          <t>ÖSTHAMMAR</t>
        </is>
      </c>
      <c r="G454" t="n">
        <v>2.3</v>
      </c>
      <c r="H454" t="n">
        <v>0</v>
      </c>
      <c r="I454" t="n">
        <v>0</v>
      </c>
      <c r="J454" t="n">
        <v>0</v>
      </c>
      <c r="K454" t="n">
        <v>0</v>
      </c>
      <c r="L454" t="n">
        <v>0</v>
      </c>
      <c r="M454" t="n">
        <v>0</v>
      </c>
      <c r="N454" t="n">
        <v>0</v>
      </c>
      <c r="O454" t="n">
        <v>0</v>
      </c>
      <c r="P454" t="n">
        <v>0</v>
      </c>
      <c r="Q454" t="n">
        <v>0</v>
      </c>
      <c r="R454" s="2" t="inlineStr"/>
    </row>
    <row r="455" ht="15" customHeight="1">
      <c r="A455" t="inlineStr">
        <is>
          <t>A 7858-2022</t>
        </is>
      </c>
      <c r="B455" s="1" t="n">
        <v>44608</v>
      </c>
      <c r="C455" s="1" t="n">
        <v>45822</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7871-2022</t>
        </is>
      </c>
      <c r="B456" s="1" t="n">
        <v>44608</v>
      </c>
      <c r="C456" s="1" t="n">
        <v>45822</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7997-2022</t>
        </is>
      </c>
      <c r="B457" s="1" t="n">
        <v>44609</v>
      </c>
      <c r="C457" s="1" t="n">
        <v>45822</v>
      </c>
      <c r="D457" t="inlineStr">
        <is>
          <t>UPPSALA LÄN</t>
        </is>
      </c>
      <c r="E457" t="inlineStr">
        <is>
          <t>ÖSTHAMMAR</t>
        </is>
      </c>
      <c r="G457" t="n">
        <v>1.8</v>
      </c>
      <c r="H457" t="n">
        <v>0</v>
      </c>
      <c r="I457" t="n">
        <v>0</v>
      </c>
      <c r="J457" t="n">
        <v>0</v>
      </c>
      <c r="K457" t="n">
        <v>0</v>
      </c>
      <c r="L457" t="n">
        <v>0</v>
      </c>
      <c r="M457" t="n">
        <v>0</v>
      </c>
      <c r="N457" t="n">
        <v>0</v>
      </c>
      <c r="O457" t="n">
        <v>0</v>
      </c>
      <c r="P457" t="n">
        <v>0</v>
      </c>
      <c r="Q457" t="n">
        <v>0</v>
      </c>
      <c r="R457" s="2" t="inlineStr"/>
    </row>
    <row r="458" ht="15" customHeight="1">
      <c r="A458" t="inlineStr">
        <is>
          <t>A 8283-2022</t>
        </is>
      </c>
      <c r="B458" s="1" t="n">
        <v>44610</v>
      </c>
      <c r="C458" s="1" t="n">
        <v>45822</v>
      </c>
      <c r="D458" t="inlineStr">
        <is>
          <t>UPPSALA LÄN</t>
        </is>
      </c>
      <c r="E458" t="inlineStr">
        <is>
          <t>ÖSTHAMMAR</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8592-2022</t>
        </is>
      </c>
      <c r="B459" s="1" t="n">
        <v>44613</v>
      </c>
      <c r="C459" s="1" t="n">
        <v>45822</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8708-2022</t>
        </is>
      </c>
      <c r="B460" s="1" t="n">
        <v>44613</v>
      </c>
      <c r="C460" s="1" t="n">
        <v>45822</v>
      </c>
      <c r="D460" t="inlineStr">
        <is>
          <t>UPPSALA LÄN</t>
        </is>
      </c>
      <c r="E460" t="inlineStr">
        <is>
          <t>ÖSTHAMMAR</t>
        </is>
      </c>
      <c r="G460" t="n">
        <v>4.3</v>
      </c>
      <c r="H460" t="n">
        <v>0</v>
      </c>
      <c r="I460" t="n">
        <v>0</v>
      </c>
      <c r="J460" t="n">
        <v>0</v>
      </c>
      <c r="K460" t="n">
        <v>0</v>
      </c>
      <c r="L460" t="n">
        <v>0</v>
      </c>
      <c r="M460" t="n">
        <v>0</v>
      </c>
      <c r="N460" t="n">
        <v>0</v>
      </c>
      <c r="O460" t="n">
        <v>0</v>
      </c>
      <c r="P460" t="n">
        <v>0</v>
      </c>
      <c r="Q460" t="n">
        <v>0</v>
      </c>
      <c r="R460" s="2" t="inlineStr"/>
    </row>
    <row r="461" ht="15" customHeight="1">
      <c r="A461" t="inlineStr">
        <is>
          <t>A 8710-2022</t>
        </is>
      </c>
      <c r="B461" s="1" t="n">
        <v>44613</v>
      </c>
      <c r="C461" s="1" t="n">
        <v>45822</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8537-2022</t>
        </is>
      </c>
      <c r="B462" s="1" t="n">
        <v>44613</v>
      </c>
      <c r="C462" s="1" t="n">
        <v>45822</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8554-2022</t>
        </is>
      </c>
      <c r="B463" s="1" t="n">
        <v>44613</v>
      </c>
      <c r="C463" s="1" t="n">
        <v>45822</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8556-2022</t>
        </is>
      </c>
      <c r="B464" s="1" t="n">
        <v>44613</v>
      </c>
      <c r="C464" s="1" t="n">
        <v>45822</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8775-2022</t>
        </is>
      </c>
      <c r="B465" s="1" t="n">
        <v>44614</v>
      </c>
      <c r="C465" s="1" t="n">
        <v>45822</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8750-2022</t>
        </is>
      </c>
      <c r="B466" s="1" t="n">
        <v>44614</v>
      </c>
      <c r="C466" s="1" t="n">
        <v>45822</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9755-2022</t>
        </is>
      </c>
      <c r="B467" s="1" t="n">
        <v>44618</v>
      </c>
      <c r="C467" s="1" t="n">
        <v>45822</v>
      </c>
      <c r="D467" t="inlineStr">
        <is>
          <t>UPPSALA LÄN</t>
        </is>
      </c>
      <c r="E467" t="inlineStr">
        <is>
          <t>ÖSTHAMMAR</t>
        </is>
      </c>
      <c r="F467" t="inlineStr">
        <is>
          <t>Bergvik skog öst AB</t>
        </is>
      </c>
      <c r="G467" t="n">
        <v>13.9</v>
      </c>
      <c r="H467" t="n">
        <v>0</v>
      </c>
      <c r="I467" t="n">
        <v>0</v>
      </c>
      <c r="J467" t="n">
        <v>0</v>
      </c>
      <c r="K467" t="n">
        <v>0</v>
      </c>
      <c r="L467" t="n">
        <v>0</v>
      </c>
      <c r="M467" t="n">
        <v>0</v>
      </c>
      <c r="N467" t="n">
        <v>0</v>
      </c>
      <c r="O467" t="n">
        <v>0</v>
      </c>
      <c r="P467" t="n">
        <v>0</v>
      </c>
      <c r="Q467" t="n">
        <v>0</v>
      </c>
      <c r="R467" s="2" t="inlineStr"/>
    </row>
    <row r="468" ht="15" customHeight="1">
      <c r="A468" t="inlineStr">
        <is>
          <t>A 9789-2022</t>
        </is>
      </c>
      <c r="B468" s="1" t="n">
        <v>44620</v>
      </c>
      <c r="C468" s="1" t="n">
        <v>45822</v>
      </c>
      <c r="D468" t="inlineStr">
        <is>
          <t>UPPSALA LÄN</t>
        </is>
      </c>
      <c r="E468" t="inlineStr">
        <is>
          <t>ÖSTHAMMAR</t>
        </is>
      </c>
      <c r="G468" t="n">
        <v>1.2</v>
      </c>
      <c r="H468" t="n">
        <v>0</v>
      </c>
      <c r="I468" t="n">
        <v>0</v>
      </c>
      <c r="J468" t="n">
        <v>0</v>
      </c>
      <c r="K468" t="n">
        <v>0</v>
      </c>
      <c r="L468" t="n">
        <v>0</v>
      </c>
      <c r="M468" t="n">
        <v>0</v>
      </c>
      <c r="N468" t="n">
        <v>0</v>
      </c>
      <c r="O468" t="n">
        <v>0</v>
      </c>
      <c r="P468" t="n">
        <v>0</v>
      </c>
      <c r="Q468" t="n">
        <v>0</v>
      </c>
      <c r="R468" s="2" t="inlineStr"/>
    </row>
    <row r="469" ht="15" customHeight="1">
      <c r="A469" t="inlineStr">
        <is>
          <t>A 9795-2022</t>
        </is>
      </c>
      <c r="B469" s="1" t="n">
        <v>44620</v>
      </c>
      <c r="C469" s="1" t="n">
        <v>45822</v>
      </c>
      <c r="D469" t="inlineStr">
        <is>
          <t>UPPSALA LÄN</t>
        </is>
      </c>
      <c r="E469" t="inlineStr">
        <is>
          <t>ÖSTHAMMAR</t>
        </is>
      </c>
      <c r="G469" t="n">
        <v>1.3</v>
      </c>
      <c r="H469" t="n">
        <v>0</v>
      </c>
      <c r="I469" t="n">
        <v>0</v>
      </c>
      <c r="J469" t="n">
        <v>0</v>
      </c>
      <c r="K469" t="n">
        <v>0</v>
      </c>
      <c r="L469" t="n">
        <v>0</v>
      </c>
      <c r="M469" t="n">
        <v>0</v>
      </c>
      <c r="N469" t="n">
        <v>0</v>
      </c>
      <c r="O469" t="n">
        <v>0</v>
      </c>
      <c r="P469" t="n">
        <v>0</v>
      </c>
      <c r="Q469" t="n">
        <v>0</v>
      </c>
      <c r="R469" s="2" t="inlineStr"/>
    </row>
    <row r="470" ht="15" customHeight="1">
      <c r="A470" t="inlineStr">
        <is>
          <t>A 10287-2022</t>
        </is>
      </c>
      <c r="B470" s="1" t="n">
        <v>44622</v>
      </c>
      <c r="C470" s="1" t="n">
        <v>45822</v>
      </c>
      <c r="D470" t="inlineStr">
        <is>
          <t>UPPSALA LÄN</t>
        </is>
      </c>
      <c r="E470" t="inlineStr">
        <is>
          <t>ÖSTHAMMAR</t>
        </is>
      </c>
      <c r="F470" t="inlineStr">
        <is>
          <t>Bergvik skog öst AB</t>
        </is>
      </c>
      <c r="G470" t="n">
        <v>0.2</v>
      </c>
      <c r="H470" t="n">
        <v>0</v>
      </c>
      <c r="I470" t="n">
        <v>0</v>
      </c>
      <c r="J470" t="n">
        <v>0</v>
      </c>
      <c r="K470" t="n">
        <v>0</v>
      </c>
      <c r="L470" t="n">
        <v>0</v>
      </c>
      <c r="M470" t="n">
        <v>0</v>
      </c>
      <c r="N470" t="n">
        <v>0</v>
      </c>
      <c r="O470" t="n">
        <v>0</v>
      </c>
      <c r="P470" t="n">
        <v>0</v>
      </c>
      <c r="Q470" t="n">
        <v>0</v>
      </c>
      <c r="R470" s="2" t="inlineStr"/>
    </row>
    <row r="471" ht="15" customHeight="1">
      <c r="A471" t="inlineStr">
        <is>
          <t>A 10294-2022</t>
        </is>
      </c>
      <c r="B471" s="1" t="n">
        <v>44622</v>
      </c>
      <c r="C471" s="1" t="n">
        <v>45822</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45822</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10298-2022</t>
        </is>
      </c>
      <c r="B473" s="1" t="n">
        <v>44622</v>
      </c>
      <c r="C473" s="1" t="n">
        <v>45822</v>
      </c>
      <c r="D473" t="inlineStr">
        <is>
          <t>UPPSALA LÄN</t>
        </is>
      </c>
      <c r="E473" t="inlineStr">
        <is>
          <t>ÖSTHAMMAR</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10980-2022</t>
        </is>
      </c>
      <c r="B474" s="1" t="n">
        <v>44628</v>
      </c>
      <c r="C474" s="1" t="n">
        <v>45822</v>
      </c>
      <c r="D474" t="inlineStr">
        <is>
          <t>UPPSALA LÄN</t>
        </is>
      </c>
      <c r="E474" t="inlineStr">
        <is>
          <t>ÖSTHAMMAR</t>
        </is>
      </c>
      <c r="G474" t="n">
        <v>7.4</v>
      </c>
      <c r="H474" t="n">
        <v>0</v>
      </c>
      <c r="I474" t="n">
        <v>0</v>
      </c>
      <c r="J474" t="n">
        <v>0</v>
      </c>
      <c r="K474" t="n">
        <v>0</v>
      </c>
      <c r="L474" t="n">
        <v>0</v>
      </c>
      <c r="M474" t="n">
        <v>0</v>
      </c>
      <c r="N474" t="n">
        <v>0</v>
      </c>
      <c r="O474" t="n">
        <v>0</v>
      </c>
      <c r="P474" t="n">
        <v>0</v>
      </c>
      <c r="Q474" t="n">
        <v>0</v>
      </c>
      <c r="R474" s="2" t="inlineStr"/>
    </row>
    <row r="475" ht="15" customHeight="1">
      <c r="A475" t="inlineStr">
        <is>
          <t>A 11547-2022</t>
        </is>
      </c>
      <c r="B475" s="1" t="n">
        <v>44631</v>
      </c>
      <c r="C475" s="1" t="n">
        <v>45822</v>
      </c>
      <c r="D475" t="inlineStr">
        <is>
          <t>UPPSALA LÄN</t>
        </is>
      </c>
      <c r="E475" t="inlineStr">
        <is>
          <t>ÖSTHAMMAR</t>
        </is>
      </c>
      <c r="G475" t="n">
        <v>4.4</v>
      </c>
      <c r="H475" t="n">
        <v>0</v>
      </c>
      <c r="I475" t="n">
        <v>0</v>
      </c>
      <c r="J475" t="n">
        <v>0</v>
      </c>
      <c r="K475" t="n">
        <v>0</v>
      </c>
      <c r="L475" t="n">
        <v>0</v>
      </c>
      <c r="M475" t="n">
        <v>0</v>
      </c>
      <c r="N475" t="n">
        <v>0</v>
      </c>
      <c r="O475" t="n">
        <v>0</v>
      </c>
      <c r="P475" t="n">
        <v>0</v>
      </c>
      <c r="Q475" t="n">
        <v>0</v>
      </c>
      <c r="R475" s="2" t="inlineStr"/>
    </row>
    <row r="476" ht="15" customHeight="1">
      <c r="A476" t="inlineStr">
        <is>
          <t>A 11643-2022</t>
        </is>
      </c>
      <c r="B476" s="1" t="n">
        <v>44631</v>
      </c>
      <c r="C476" s="1" t="n">
        <v>45822</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11884-2022</t>
        </is>
      </c>
      <c r="B477" s="1" t="n">
        <v>44635</v>
      </c>
      <c r="C477" s="1" t="n">
        <v>45822</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11987-2022</t>
        </is>
      </c>
      <c r="B478" s="1" t="n">
        <v>44635</v>
      </c>
      <c r="C478" s="1" t="n">
        <v>45822</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11986-2022</t>
        </is>
      </c>
      <c r="B479" s="1" t="n">
        <v>44635</v>
      </c>
      <c r="C479" s="1" t="n">
        <v>45822</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12176-2022</t>
        </is>
      </c>
      <c r="B480" s="1" t="n">
        <v>44636</v>
      </c>
      <c r="C480" s="1" t="n">
        <v>45822</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12999-2022</t>
        </is>
      </c>
      <c r="B481" s="1" t="n">
        <v>44643</v>
      </c>
      <c r="C481" s="1" t="n">
        <v>45822</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13044-2022</t>
        </is>
      </c>
      <c r="B482" s="1" t="n">
        <v>44643</v>
      </c>
      <c r="C482" s="1" t="n">
        <v>45822</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v>
      </c>
      <c r="C483" s="1" t="n">
        <v>45822</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45822</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13279-2022</t>
        </is>
      </c>
      <c r="B485" s="1" t="n">
        <v>44644</v>
      </c>
      <c r="C485" s="1" t="n">
        <v>45822</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13867-2022</t>
        </is>
      </c>
      <c r="B486" s="1" t="n">
        <v>44649</v>
      </c>
      <c r="C486" s="1" t="n">
        <v>45822</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14272-2022</t>
        </is>
      </c>
      <c r="B487" s="1" t="n">
        <v>44651</v>
      </c>
      <c r="C487" s="1" t="n">
        <v>45822</v>
      </c>
      <c r="D487" t="inlineStr">
        <is>
          <t>UPPSALA LÄN</t>
        </is>
      </c>
      <c r="E487" t="inlineStr">
        <is>
          <t>ÖSTHAMMAR</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14124-2022</t>
        </is>
      </c>
      <c r="B488" s="1" t="n">
        <v>44651</v>
      </c>
      <c r="C488" s="1" t="n">
        <v>45822</v>
      </c>
      <c r="D488" t="inlineStr">
        <is>
          <t>UPPSALA LÄN</t>
        </is>
      </c>
      <c r="E488" t="inlineStr">
        <is>
          <t>ÖSTHAMMAR</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14187-2022</t>
        </is>
      </c>
      <c r="B489" s="1" t="n">
        <v>44651</v>
      </c>
      <c r="C489" s="1" t="n">
        <v>45822</v>
      </c>
      <c r="D489" t="inlineStr">
        <is>
          <t>UPPSALA LÄN</t>
        </is>
      </c>
      <c r="E489" t="inlineStr">
        <is>
          <t>ÖSTHAMMAR</t>
        </is>
      </c>
      <c r="F489" t="inlineStr">
        <is>
          <t>Övriga Aktiebolag</t>
        </is>
      </c>
      <c r="G489" t="n">
        <v>14.1</v>
      </c>
      <c r="H489" t="n">
        <v>0</v>
      </c>
      <c r="I489" t="n">
        <v>0</v>
      </c>
      <c r="J489" t="n">
        <v>0</v>
      </c>
      <c r="K489" t="n">
        <v>0</v>
      </c>
      <c r="L489" t="n">
        <v>0</v>
      </c>
      <c r="M489" t="n">
        <v>0</v>
      </c>
      <c r="N489" t="n">
        <v>0</v>
      </c>
      <c r="O489" t="n">
        <v>0</v>
      </c>
      <c r="P489" t="n">
        <v>0</v>
      </c>
      <c r="Q489" t="n">
        <v>0</v>
      </c>
      <c r="R489" s="2" t="inlineStr"/>
    </row>
    <row r="490" ht="15" customHeight="1">
      <c r="A490" t="inlineStr">
        <is>
          <t>A 14271-2022</t>
        </is>
      </c>
      <c r="B490" s="1" t="n">
        <v>44651</v>
      </c>
      <c r="C490" s="1" t="n">
        <v>45822</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14671-2022</t>
        </is>
      </c>
      <c r="B491" s="1" t="n">
        <v>44655</v>
      </c>
      <c r="C491" s="1" t="n">
        <v>45822</v>
      </c>
      <c r="D491" t="inlineStr">
        <is>
          <t>UPPSALA LÄN</t>
        </is>
      </c>
      <c r="E491" t="inlineStr">
        <is>
          <t>ÖSTHAMMAR</t>
        </is>
      </c>
      <c r="G491" t="n">
        <v>1.9</v>
      </c>
      <c r="H491" t="n">
        <v>0</v>
      </c>
      <c r="I491" t="n">
        <v>0</v>
      </c>
      <c r="J491" t="n">
        <v>0</v>
      </c>
      <c r="K491" t="n">
        <v>0</v>
      </c>
      <c r="L491" t="n">
        <v>0</v>
      </c>
      <c r="M491" t="n">
        <v>0</v>
      </c>
      <c r="N491" t="n">
        <v>0</v>
      </c>
      <c r="O491" t="n">
        <v>0</v>
      </c>
      <c r="P491" t="n">
        <v>0</v>
      </c>
      <c r="Q491" t="n">
        <v>0</v>
      </c>
      <c r="R491" s="2" t="inlineStr"/>
    </row>
    <row r="492" ht="15" customHeight="1">
      <c r="A492" t="inlineStr">
        <is>
          <t>A 15064-2022</t>
        </is>
      </c>
      <c r="B492" s="1" t="n">
        <v>44657</v>
      </c>
      <c r="C492" s="1" t="n">
        <v>45822</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15311-2022</t>
        </is>
      </c>
      <c r="B493" s="1" t="n">
        <v>44659</v>
      </c>
      <c r="C493" s="1" t="n">
        <v>45822</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15334-2022</t>
        </is>
      </c>
      <c r="B494" s="1" t="n">
        <v>44659</v>
      </c>
      <c r="C494" s="1" t="n">
        <v>45822</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15447-2022</t>
        </is>
      </c>
      <c r="B495" s="1" t="n">
        <v>44660</v>
      </c>
      <c r="C495" s="1" t="n">
        <v>45822</v>
      </c>
      <c r="D495" t="inlineStr">
        <is>
          <t>UPPSALA LÄN</t>
        </is>
      </c>
      <c r="E495" t="inlineStr">
        <is>
          <t>ÖSTHAMMAR</t>
        </is>
      </c>
      <c r="F495" t="inlineStr">
        <is>
          <t>Bergvik skog öst AB</t>
        </is>
      </c>
      <c r="G495" t="n">
        <v>2.2</v>
      </c>
      <c r="H495" t="n">
        <v>0</v>
      </c>
      <c r="I495" t="n">
        <v>0</v>
      </c>
      <c r="J495" t="n">
        <v>0</v>
      </c>
      <c r="K495" t="n">
        <v>0</v>
      </c>
      <c r="L495" t="n">
        <v>0</v>
      </c>
      <c r="M495" t="n">
        <v>0</v>
      </c>
      <c r="N495" t="n">
        <v>0</v>
      </c>
      <c r="O495" t="n">
        <v>0</v>
      </c>
      <c r="P495" t="n">
        <v>0</v>
      </c>
      <c r="Q495" t="n">
        <v>0</v>
      </c>
      <c r="R495" s="2" t="inlineStr"/>
    </row>
    <row r="496" ht="15" customHeight="1">
      <c r="A496" t="inlineStr">
        <is>
          <t>A 15445-2022</t>
        </is>
      </c>
      <c r="B496" s="1" t="n">
        <v>44660</v>
      </c>
      <c r="C496" s="1" t="n">
        <v>45822</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15449-2022</t>
        </is>
      </c>
      <c r="B497" s="1" t="n">
        <v>44660</v>
      </c>
      <c r="C497" s="1" t="n">
        <v>45822</v>
      </c>
      <c r="D497" t="inlineStr">
        <is>
          <t>UPPSALA LÄN</t>
        </is>
      </c>
      <c r="E497" t="inlineStr">
        <is>
          <t>ÖSTHAMMAR</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15456-2022</t>
        </is>
      </c>
      <c r="B498" s="1" t="n">
        <v>44661</v>
      </c>
      <c r="C498" s="1" t="n">
        <v>45822</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15457-2022</t>
        </is>
      </c>
      <c r="B499" s="1" t="n">
        <v>44661</v>
      </c>
      <c r="C499" s="1" t="n">
        <v>45822</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15847-2022</t>
        </is>
      </c>
      <c r="B500" s="1" t="n">
        <v>44664</v>
      </c>
      <c r="C500" s="1" t="n">
        <v>45822</v>
      </c>
      <c r="D500" t="inlineStr">
        <is>
          <t>UPPSALA LÄN</t>
        </is>
      </c>
      <c r="E500" t="inlineStr">
        <is>
          <t>ÖSTHAMMAR</t>
        </is>
      </c>
      <c r="G500" t="n">
        <v>0.3</v>
      </c>
      <c r="H500" t="n">
        <v>0</v>
      </c>
      <c r="I500" t="n">
        <v>0</v>
      </c>
      <c r="J500" t="n">
        <v>0</v>
      </c>
      <c r="K500" t="n">
        <v>0</v>
      </c>
      <c r="L500" t="n">
        <v>0</v>
      </c>
      <c r="M500" t="n">
        <v>0</v>
      </c>
      <c r="N500" t="n">
        <v>0</v>
      </c>
      <c r="O500" t="n">
        <v>0</v>
      </c>
      <c r="P500" t="n">
        <v>0</v>
      </c>
      <c r="Q500" t="n">
        <v>0</v>
      </c>
      <c r="R500" s="2" t="inlineStr"/>
    </row>
    <row r="501" ht="15" customHeight="1">
      <c r="A501" t="inlineStr">
        <is>
          <t>A 15845-2022</t>
        </is>
      </c>
      <c r="B501" s="1" t="n">
        <v>44664</v>
      </c>
      <c r="C501" s="1" t="n">
        <v>45822</v>
      </c>
      <c r="D501" t="inlineStr">
        <is>
          <t>UPPSALA LÄN</t>
        </is>
      </c>
      <c r="E501" t="inlineStr">
        <is>
          <t>ÖSTHAMMAR</t>
        </is>
      </c>
      <c r="G501" t="n">
        <v>4.5</v>
      </c>
      <c r="H501" t="n">
        <v>0</v>
      </c>
      <c r="I501" t="n">
        <v>0</v>
      </c>
      <c r="J501" t="n">
        <v>0</v>
      </c>
      <c r="K501" t="n">
        <v>0</v>
      </c>
      <c r="L501" t="n">
        <v>0</v>
      </c>
      <c r="M501" t="n">
        <v>0</v>
      </c>
      <c r="N501" t="n">
        <v>0</v>
      </c>
      <c r="O501" t="n">
        <v>0</v>
      </c>
      <c r="P501" t="n">
        <v>0</v>
      </c>
      <c r="Q501" t="n">
        <v>0</v>
      </c>
      <c r="R501" s="2" t="inlineStr"/>
    </row>
    <row r="502" ht="15" customHeight="1">
      <c r="A502" t="inlineStr">
        <is>
          <t>A 15928-2022</t>
        </is>
      </c>
      <c r="B502" s="1" t="n">
        <v>44664</v>
      </c>
      <c r="C502" s="1" t="n">
        <v>45822</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16141-2022</t>
        </is>
      </c>
      <c r="B503" s="1" t="n">
        <v>44665</v>
      </c>
      <c r="C503" s="1" t="n">
        <v>45822</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16142-2022</t>
        </is>
      </c>
      <c r="B504" s="1" t="n">
        <v>44665</v>
      </c>
      <c r="C504" s="1" t="n">
        <v>45822</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16167-2022</t>
        </is>
      </c>
      <c r="B505" s="1" t="n">
        <v>44667</v>
      </c>
      <c r="C505" s="1" t="n">
        <v>45822</v>
      </c>
      <c r="D505" t="inlineStr">
        <is>
          <t>UPPSALA LÄN</t>
        </is>
      </c>
      <c r="E505" t="inlineStr">
        <is>
          <t>ÖSTHAMMAR</t>
        </is>
      </c>
      <c r="F505" t="inlineStr">
        <is>
          <t>Bergvik skog öst AB</t>
        </is>
      </c>
      <c r="G505" t="n">
        <v>18.7</v>
      </c>
      <c r="H505" t="n">
        <v>0</v>
      </c>
      <c r="I505" t="n">
        <v>0</v>
      </c>
      <c r="J505" t="n">
        <v>0</v>
      </c>
      <c r="K505" t="n">
        <v>0</v>
      </c>
      <c r="L505" t="n">
        <v>0</v>
      </c>
      <c r="M505" t="n">
        <v>0</v>
      </c>
      <c r="N505" t="n">
        <v>0</v>
      </c>
      <c r="O505" t="n">
        <v>0</v>
      </c>
      <c r="P505" t="n">
        <v>0</v>
      </c>
      <c r="Q505" t="n">
        <v>0</v>
      </c>
      <c r="R505" s="2" t="inlineStr"/>
    </row>
    <row r="506" ht="15" customHeight="1">
      <c r="A506" t="inlineStr">
        <is>
          <t>A 16185-2022</t>
        </is>
      </c>
      <c r="B506" s="1" t="n">
        <v>44669</v>
      </c>
      <c r="C506" s="1" t="n">
        <v>45822</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16184-2022</t>
        </is>
      </c>
      <c r="B507" s="1" t="n">
        <v>44669</v>
      </c>
      <c r="C507" s="1" t="n">
        <v>45822</v>
      </c>
      <c r="D507" t="inlineStr">
        <is>
          <t>UPPSALA LÄN</t>
        </is>
      </c>
      <c r="E507" t="inlineStr">
        <is>
          <t>ÖSTHAMMAR</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16254-2022</t>
        </is>
      </c>
      <c r="B508" s="1" t="n">
        <v>44670</v>
      </c>
      <c r="C508" s="1" t="n">
        <v>45822</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16933-2022</t>
        </is>
      </c>
      <c r="B509" s="1" t="n">
        <v>44676</v>
      </c>
      <c r="C509" s="1" t="n">
        <v>45822</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17013-2022</t>
        </is>
      </c>
      <c r="B510" s="1" t="n">
        <v>44676</v>
      </c>
      <c r="C510" s="1" t="n">
        <v>45822</v>
      </c>
      <c r="D510" t="inlineStr">
        <is>
          <t>UPPSALA LÄN</t>
        </is>
      </c>
      <c r="E510" t="inlineStr">
        <is>
          <t>ÖSTHAMMAR</t>
        </is>
      </c>
      <c r="F510" t="inlineStr">
        <is>
          <t>Bergvik skog öst AB</t>
        </is>
      </c>
      <c r="G510" t="n">
        <v>0.2</v>
      </c>
      <c r="H510" t="n">
        <v>0</v>
      </c>
      <c r="I510" t="n">
        <v>0</v>
      </c>
      <c r="J510" t="n">
        <v>0</v>
      </c>
      <c r="K510" t="n">
        <v>0</v>
      </c>
      <c r="L510" t="n">
        <v>0</v>
      </c>
      <c r="M510" t="n">
        <v>0</v>
      </c>
      <c r="N510" t="n">
        <v>0</v>
      </c>
      <c r="O510" t="n">
        <v>0</v>
      </c>
      <c r="P510" t="n">
        <v>0</v>
      </c>
      <c r="Q510" t="n">
        <v>0</v>
      </c>
      <c r="R510" s="2" t="inlineStr"/>
    </row>
    <row r="511" ht="15" customHeight="1">
      <c r="A511" t="inlineStr">
        <is>
          <t>A 17947-2022</t>
        </is>
      </c>
      <c r="B511" s="1" t="n">
        <v>44683</v>
      </c>
      <c r="C511" s="1" t="n">
        <v>45822</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18183-2022</t>
        </is>
      </c>
      <c r="B512" s="1" t="n">
        <v>44684</v>
      </c>
      <c r="C512" s="1" t="n">
        <v>45822</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18732-2022</t>
        </is>
      </c>
      <c r="B513" s="1" t="n">
        <v>44687</v>
      </c>
      <c r="C513" s="1" t="n">
        <v>45822</v>
      </c>
      <c r="D513" t="inlineStr">
        <is>
          <t>UPPSALA LÄN</t>
        </is>
      </c>
      <c r="E513" t="inlineStr">
        <is>
          <t>ÖSTHAMMAR</t>
        </is>
      </c>
      <c r="G513" t="n">
        <v>10.5</v>
      </c>
      <c r="H513" t="n">
        <v>0</v>
      </c>
      <c r="I513" t="n">
        <v>0</v>
      </c>
      <c r="J513" t="n">
        <v>0</v>
      </c>
      <c r="K513" t="n">
        <v>0</v>
      </c>
      <c r="L513" t="n">
        <v>0</v>
      </c>
      <c r="M513" t="n">
        <v>0</v>
      </c>
      <c r="N513" t="n">
        <v>0</v>
      </c>
      <c r="O513" t="n">
        <v>0</v>
      </c>
      <c r="P513" t="n">
        <v>0</v>
      </c>
      <c r="Q513" t="n">
        <v>0</v>
      </c>
      <c r="R513" s="2" t="inlineStr"/>
    </row>
    <row r="514" ht="15" customHeight="1">
      <c r="A514" t="inlineStr">
        <is>
          <t>A 18727-2022</t>
        </is>
      </c>
      <c r="B514" s="1" t="n">
        <v>44687</v>
      </c>
      <c r="C514" s="1" t="n">
        <v>45822</v>
      </c>
      <c r="D514" t="inlineStr">
        <is>
          <t>UPPSALA LÄN</t>
        </is>
      </c>
      <c r="E514" t="inlineStr">
        <is>
          <t>ÖSTHAMMAR</t>
        </is>
      </c>
      <c r="G514" t="n">
        <v>0.4</v>
      </c>
      <c r="H514" t="n">
        <v>0</v>
      </c>
      <c r="I514" t="n">
        <v>0</v>
      </c>
      <c r="J514" t="n">
        <v>0</v>
      </c>
      <c r="K514" t="n">
        <v>0</v>
      </c>
      <c r="L514" t="n">
        <v>0</v>
      </c>
      <c r="M514" t="n">
        <v>0</v>
      </c>
      <c r="N514" t="n">
        <v>0</v>
      </c>
      <c r="O514" t="n">
        <v>0</v>
      </c>
      <c r="P514" t="n">
        <v>0</v>
      </c>
      <c r="Q514" t="n">
        <v>0</v>
      </c>
      <c r="R514" s="2" t="inlineStr"/>
    </row>
    <row r="515" ht="15" customHeight="1">
      <c r="A515" t="inlineStr">
        <is>
          <t>A 18728-2022</t>
        </is>
      </c>
      <c r="B515" s="1" t="n">
        <v>44687</v>
      </c>
      <c r="C515" s="1" t="n">
        <v>45822</v>
      </c>
      <c r="D515" t="inlineStr">
        <is>
          <t>UPPSALA LÄN</t>
        </is>
      </c>
      <c r="E515" t="inlineStr">
        <is>
          <t>ÖSTHAMMAR</t>
        </is>
      </c>
      <c r="G515" t="n">
        <v>8.1</v>
      </c>
      <c r="H515" t="n">
        <v>0</v>
      </c>
      <c r="I515" t="n">
        <v>0</v>
      </c>
      <c r="J515" t="n">
        <v>0</v>
      </c>
      <c r="K515" t="n">
        <v>0</v>
      </c>
      <c r="L515" t="n">
        <v>0</v>
      </c>
      <c r="M515" t="n">
        <v>0</v>
      </c>
      <c r="N515" t="n">
        <v>0</v>
      </c>
      <c r="O515" t="n">
        <v>0</v>
      </c>
      <c r="P515" t="n">
        <v>0</v>
      </c>
      <c r="Q515" t="n">
        <v>0</v>
      </c>
      <c r="R515" s="2" t="inlineStr"/>
    </row>
    <row r="516" ht="15" customHeight="1">
      <c r="A516" t="inlineStr">
        <is>
          <t>A 18734-2022</t>
        </is>
      </c>
      <c r="B516" s="1" t="n">
        <v>44687</v>
      </c>
      <c r="C516" s="1" t="n">
        <v>45822</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18731-2022</t>
        </is>
      </c>
      <c r="B517" s="1" t="n">
        <v>44687</v>
      </c>
      <c r="C517" s="1" t="n">
        <v>45822</v>
      </c>
      <c r="D517" t="inlineStr">
        <is>
          <t>UPPSALA LÄN</t>
        </is>
      </c>
      <c r="E517" t="inlineStr">
        <is>
          <t>ÖSTHAMMAR</t>
        </is>
      </c>
      <c r="G517" t="n">
        <v>4.9</v>
      </c>
      <c r="H517" t="n">
        <v>0</v>
      </c>
      <c r="I517" t="n">
        <v>0</v>
      </c>
      <c r="J517" t="n">
        <v>0</v>
      </c>
      <c r="K517" t="n">
        <v>0</v>
      </c>
      <c r="L517" t="n">
        <v>0</v>
      </c>
      <c r="M517" t="n">
        <v>0</v>
      </c>
      <c r="N517" t="n">
        <v>0</v>
      </c>
      <c r="O517" t="n">
        <v>0</v>
      </c>
      <c r="P517" t="n">
        <v>0</v>
      </c>
      <c r="Q517" t="n">
        <v>0</v>
      </c>
      <c r="R517" s="2" t="inlineStr"/>
    </row>
    <row r="518" ht="15" customHeight="1">
      <c r="A518" t="inlineStr">
        <is>
          <t>A 18736-2022</t>
        </is>
      </c>
      <c r="B518" s="1" t="n">
        <v>44687</v>
      </c>
      <c r="C518" s="1" t="n">
        <v>45822</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19174-2022</t>
        </is>
      </c>
      <c r="B519" s="1" t="n">
        <v>44691</v>
      </c>
      <c r="C519" s="1" t="n">
        <v>45822</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19181-2022</t>
        </is>
      </c>
      <c r="B520" s="1" t="n">
        <v>44691</v>
      </c>
      <c r="C520" s="1" t="n">
        <v>45822</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19287-2022</t>
        </is>
      </c>
      <c r="B521" s="1" t="n">
        <v>44692</v>
      </c>
      <c r="C521" s="1" t="n">
        <v>45822</v>
      </c>
      <c r="D521" t="inlineStr">
        <is>
          <t>UPPSALA LÄN</t>
        </is>
      </c>
      <c r="E521" t="inlineStr">
        <is>
          <t>ÖSTHAMMAR</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19707-2022</t>
        </is>
      </c>
      <c r="B522" s="1" t="n">
        <v>44694</v>
      </c>
      <c r="C522" s="1" t="n">
        <v>45822</v>
      </c>
      <c r="D522" t="inlineStr">
        <is>
          <t>UPPSALA LÄN</t>
        </is>
      </c>
      <c r="E522" t="inlineStr">
        <is>
          <t>ÖSTHAMMAR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20468-2022</t>
        </is>
      </c>
      <c r="B523" s="1" t="n">
        <v>44699</v>
      </c>
      <c r="C523" s="1" t="n">
        <v>45822</v>
      </c>
      <c r="D523" t="inlineStr">
        <is>
          <t>UPPSALA LÄN</t>
        </is>
      </c>
      <c r="E523" t="inlineStr">
        <is>
          <t>ÖSTHAMMAR</t>
        </is>
      </c>
      <c r="G523" t="n">
        <v>3.7</v>
      </c>
      <c r="H523" t="n">
        <v>0</v>
      </c>
      <c r="I523" t="n">
        <v>0</v>
      </c>
      <c r="J523" t="n">
        <v>0</v>
      </c>
      <c r="K523" t="n">
        <v>0</v>
      </c>
      <c r="L523" t="n">
        <v>0</v>
      </c>
      <c r="M523" t="n">
        <v>0</v>
      </c>
      <c r="N523" t="n">
        <v>0</v>
      </c>
      <c r="O523" t="n">
        <v>0</v>
      </c>
      <c r="P523" t="n">
        <v>0</v>
      </c>
      <c r="Q523" t="n">
        <v>0</v>
      </c>
      <c r="R523" s="2" t="inlineStr"/>
    </row>
    <row r="524" ht="15" customHeight="1">
      <c r="A524" t="inlineStr">
        <is>
          <t>A 21522-2022</t>
        </is>
      </c>
      <c r="B524" s="1" t="n">
        <v>44706</v>
      </c>
      <c r="C524" s="1" t="n">
        <v>45822</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21830-2022</t>
        </is>
      </c>
      <c r="B525" s="1" t="n">
        <v>44710</v>
      </c>
      <c r="C525" s="1" t="n">
        <v>45822</v>
      </c>
      <c r="D525" t="inlineStr">
        <is>
          <t>UPPSALA LÄN</t>
        </is>
      </c>
      <c r="E525" t="inlineStr">
        <is>
          <t>ÖSTHAMMAR</t>
        </is>
      </c>
      <c r="F525" t="inlineStr">
        <is>
          <t>Bergvik skog öst AB</t>
        </is>
      </c>
      <c r="G525" t="n">
        <v>3.6</v>
      </c>
      <c r="H525" t="n">
        <v>0</v>
      </c>
      <c r="I525" t="n">
        <v>0</v>
      </c>
      <c r="J525" t="n">
        <v>0</v>
      </c>
      <c r="K525" t="n">
        <v>0</v>
      </c>
      <c r="L525" t="n">
        <v>0</v>
      </c>
      <c r="M525" t="n">
        <v>0</v>
      </c>
      <c r="N525" t="n">
        <v>0</v>
      </c>
      <c r="O525" t="n">
        <v>0</v>
      </c>
      <c r="P525" t="n">
        <v>0</v>
      </c>
      <c r="Q525" t="n">
        <v>0</v>
      </c>
      <c r="R525" s="2" t="inlineStr"/>
    </row>
    <row r="526" ht="15" customHeight="1">
      <c r="A526" t="inlineStr">
        <is>
          <t>A 21829-2022</t>
        </is>
      </c>
      <c r="B526" s="1" t="n">
        <v>44710</v>
      </c>
      <c r="C526" s="1" t="n">
        <v>45822</v>
      </c>
      <c r="D526" t="inlineStr">
        <is>
          <t>UPPSALA LÄN</t>
        </is>
      </c>
      <c r="E526" t="inlineStr">
        <is>
          <t>ÖSTHAMMAR</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22207-2022</t>
        </is>
      </c>
      <c r="B527" s="1" t="n">
        <v>44712</v>
      </c>
      <c r="C527" s="1" t="n">
        <v>45822</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22619-2022</t>
        </is>
      </c>
      <c r="B528" s="1" t="n">
        <v>44714</v>
      </c>
      <c r="C528" s="1" t="n">
        <v>45822</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22804-2022</t>
        </is>
      </c>
      <c r="B529" s="1" t="n">
        <v>44715</v>
      </c>
      <c r="C529" s="1" t="n">
        <v>45822</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22887-2022</t>
        </is>
      </c>
      <c r="B530" s="1" t="n">
        <v>44715</v>
      </c>
      <c r="C530" s="1" t="n">
        <v>45822</v>
      </c>
      <c r="D530" t="inlineStr">
        <is>
          <t>UPPSALA LÄN</t>
        </is>
      </c>
      <c r="E530" t="inlineStr">
        <is>
          <t>ÖSTHAMMAR</t>
        </is>
      </c>
      <c r="G530" t="n">
        <v>0.2</v>
      </c>
      <c r="H530" t="n">
        <v>0</v>
      </c>
      <c r="I530" t="n">
        <v>0</v>
      </c>
      <c r="J530" t="n">
        <v>0</v>
      </c>
      <c r="K530" t="n">
        <v>0</v>
      </c>
      <c r="L530" t="n">
        <v>0</v>
      </c>
      <c r="M530" t="n">
        <v>0</v>
      </c>
      <c r="N530" t="n">
        <v>0</v>
      </c>
      <c r="O530" t="n">
        <v>0</v>
      </c>
      <c r="P530" t="n">
        <v>0</v>
      </c>
      <c r="Q530" t="n">
        <v>0</v>
      </c>
      <c r="R530" s="2" t="inlineStr"/>
    </row>
    <row r="531" ht="15" customHeight="1">
      <c r="A531" t="inlineStr">
        <is>
          <t>A 22945-2022</t>
        </is>
      </c>
      <c r="B531" s="1" t="n">
        <v>44715</v>
      </c>
      <c r="C531" s="1" t="n">
        <v>45822</v>
      </c>
      <c r="D531" t="inlineStr">
        <is>
          <t>UPPSALA LÄN</t>
        </is>
      </c>
      <c r="E531" t="inlineStr">
        <is>
          <t>ÖSTHAMMAR</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22993-2022</t>
        </is>
      </c>
      <c r="B532" s="1" t="n">
        <v>44718</v>
      </c>
      <c r="C532" s="1" t="n">
        <v>45822</v>
      </c>
      <c r="D532" t="inlineStr">
        <is>
          <t>UPPSALA LÄN</t>
        </is>
      </c>
      <c r="E532" t="inlineStr">
        <is>
          <t>ÖSTHAMMAR</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22994-2022</t>
        </is>
      </c>
      <c r="B533" s="1" t="n">
        <v>44718</v>
      </c>
      <c r="C533" s="1" t="n">
        <v>45822</v>
      </c>
      <c r="D533" t="inlineStr">
        <is>
          <t>UPPSALA LÄN</t>
        </is>
      </c>
      <c r="E533" t="inlineStr">
        <is>
          <t>ÖSTHAMMAR</t>
        </is>
      </c>
      <c r="F533" t="inlineStr">
        <is>
          <t>Bergvik skog öst AB</t>
        </is>
      </c>
      <c r="G533" t="n">
        <v>29.9</v>
      </c>
      <c r="H533" t="n">
        <v>0</v>
      </c>
      <c r="I533" t="n">
        <v>0</v>
      </c>
      <c r="J533" t="n">
        <v>0</v>
      </c>
      <c r="K533" t="n">
        <v>0</v>
      </c>
      <c r="L533" t="n">
        <v>0</v>
      </c>
      <c r="M533" t="n">
        <v>0</v>
      </c>
      <c r="N533" t="n">
        <v>0</v>
      </c>
      <c r="O533" t="n">
        <v>0</v>
      </c>
      <c r="P533" t="n">
        <v>0</v>
      </c>
      <c r="Q533" t="n">
        <v>0</v>
      </c>
      <c r="R533" s="2" t="inlineStr"/>
    </row>
    <row r="534" ht="15" customHeight="1">
      <c r="A534" t="inlineStr">
        <is>
          <t>A 23603-2022</t>
        </is>
      </c>
      <c r="B534" s="1" t="n">
        <v>44721</v>
      </c>
      <c r="C534" s="1" t="n">
        <v>45822</v>
      </c>
      <c r="D534" t="inlineStr">
        <is>
          <t>UPPSALA LÄN</t>
        </is>
      </c>
      <c r="E534" t="inlineStr">
        <is>
          <t>ÖSTHAMMAR</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24138-2022</t>
        </is>
      </c>
      <c r="B535" s="1" t="n">
        <v>44725</v>
      </c>
      <c r="C535" s="1" t="n">
        <v>45822</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24149-2022</t>
        </is>
      </c>
      <c r="B536" s="1" t="n">
        <v>44725</v>
      </c>
      <c r="C536" s="1" t="n">
        <v>45822</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24181-2022</t>
        </is>
      </c>
      <c r="B537" s="1" t="n">
        <v>44725</v>
      </c>
      <c r="C537" s="1" t="n">
        <v>45822</v>
      </c>
      <c r="D537" t="inlineStr">
        <is>
          <t>UPPSALA LÄN</t>
        </is>
      </c>
      <c r="E537" t="inlineStr">
        <is>
          <t>ÖSTHAMMAR</t>
        </is>
      </c>
      <c r="G537" t="n">
        <v>1.4</v>
      </c>
      <c r="H537" t="n">
        <v>0</v>
      </c>
      <c r="I537" t="n">
        <v>0</v>
      </c>
      <c r="J537" t="n">
        <v>0</v>
      </c>
      <c r="K537" t="n">
        <v>0</v>
      </c>
      <c r="L537" t="n">
        <v>0</v>
      </c>
      <c r="M537" t="n">
        <v>0</v>
      </c>
      <c r="N537" t="n">
        <v>0</v>
      </c>
      <c r="O537" t="n">
        <v>0</v>
      </c>
      <c r="P537" t="n">
        <v>0</v>
      </c>
      <c r="Q537" t="n">
        <v>0</v>
      </c>
      <c r="R537" s="2" t="inlineStr"/>
    </row>
    <row r="538" ht="15" customHeight="1">
      <c r="A538" t="inlineStr">
        <is>
          <t>A 24259-2022</t>
        </is>
      </c>
      <c r="B538" s="1" t="n">
        <v>44725</v>
      </c>
      <c r="C538" s="1" t="n">
        <v>45822</v>
      </c>
      <c r="D538" t="inlineStr">
        <is>
          <t>UPPSALA LÄN</t>
        </is>
      </c>
      <c r="E538" t="inlineStr">
        <is>
          <t>ÖSTHAMMAR</t>
        </is>
      </c>
      <c r="G538" t="n">
        <v>2.4</v>
      </c>
      <c r="H538" t="n">
        <v>0</v>
      </c>
      <c r="I538" t="n">
        <v>0</v>
      </c>
      <c r="J538" t="n">
        <v>0</v>
      </c>
      <c r="K538" t="n">
        <v>0</v>
      </c>
      <c r="L538" t="n">
        <v>0</v>
      </c>
      <c r="M538" t="n">
        <v>0</v>
      </c>
      <c r="N538" t="n">
        <v>0</v>
      </c>
      <c r="O538" t="n">
        <v>0</v>
      </c>
      <c r="P538" t="n">
        <v>0</v>
      </c>
      <c r="Q538" t="n">
        <v>0</v>
      </c>
      <c r="R538" s="2" t="inlineStr"/>
    </row>
    <row r="539" ht="15" customHeight="1">
      <c r="A539" t="inlineStr">
        <is>
          <t>A 24447-2022</t>
        </is>
      </c>
      <c r="B539" s="1" t="n">
        <v>44726</v>
      </c>
      <c r="C539" s="1" t="n">
        <v>45822</v>
      </c>
      <c r="D539" t="inlineStr">
        <is>
          <t>UPPSALA LÄN</t>
        </is>
      </c>
      <c r="E539" t="inlineStr">
        <is>
          <t>ÖSTHAMMAR</t>
        </is>
      </c>
      <c r="G539" t="n">
        <v>5.5</v>
      </c>
      <c r="H539" t="n">
        <v>0</v>
      </c>
      <c r="I539" t="n">
        <v>0</v>
      </c>
      <c r="J539" t="n">
        <v>0</v>
      </c>
      <c r="K539" t="n">
        <v>0</v>
      </c>
      <c r="L539" t="n">
        <v>0</v>
      </c>
      <c r="M539" t="n">
        <v>0</v>
      </c>
      <c r="N539" t="n">
        <v>0</v>
      </c>
      <c r="O539" t="n">
        <v>0</v>
      </c>
      <c r="P539" t="n">
        <v>0</v>
      </c>
      <c r="Q539" t="n">
        <v>0</v>
      </c>
      <c r="R539" s="2" t="inlineStr"/>
    </row>
    <row r="540" ht="15" customHeight="1">
      <c r="A540" t="inlineStr">
        <is>
          <t>A 24367-2022</t>
        </is>
      </c>
      <c r="B540" s="1" t="n">
        <v>44726</v>
      </c>
      <c r="C540" s="1" t="n">
        <v>45822</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24817-2022</t>
        </is>
      </c>
      <c r="B541" s="1" t="n">
        <v>44728</v>
      </c>
      <c r="C541" s="1" t="n">
        <v>45822</v>
      </c>
      <c r="D541" t="inlineStr">
        <is>
          <t>UPPSALA LÄN</t>
        </is>
      </c>
      <c r="E541" t="inlineStr">
        <is>
          <t>ÖSTHAMMAR</t>
        </is>
      </c>
      <c r="F541" t="inlineStr">
        <is>
          <t>Sveaskog</t>
        </is>
      </c>
      <c r="G541" t="n">
        <v>0.2</v>
      </c>
      <c r="H541" t="n">
        <v>0</v>
      </c>
      <c r="I541" t="n">
        <v>0</v>
      </c>
      <c r="J541" t="n">
        <v>0</v>
      </c>
      <c r="K541" t="n">
        <v>0</v>
      </c>
      <c r="L541" t="n">
        <v>0</v>
      </c>
      <c r="M541" t="n">
        <v>0</v>
      </c>
      <c r="N541" t="n">
        <v>0</v>
      </c>
      <c r="O541" t="n">
        <v>0</v>
      </c>
      <c r="P541" t="n">
        <v>0</v>
      </c>
      <c r="Q541" t="n">
        <v>0</v>
      </c>
      <c r="R541" s="2" t="inlineStr"/>
    </row>
    <row r="542" ht="15" customHeight="1">
      <c r="A542" t="inlineStr">
        <is>
          <t>A 25076-2022</t>
        </is>
      </c>
      <c r="B542" s="1" t="n">
        <v>44729</v>
      </c>
      <c r="C542" s="1" t="n">
        <v>45822</v>
      </c>
      <c r="D542" t="inlineStr">
        <is>
          <t>UPPSALA LÄN</t>
        </is>
      </c>
      <c r="E542" t="inlineStr">
        <is>
          <t>ÖSTHAMMAR</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25418-2022</t>
        </is>
      </c>
      <c r="B543" s="1" t="n">
        <v>44732</v>
      </c>
      <c r="C543" s="1" t="n">
        <v>45822</v>
      </c>
      <c r="D543" t="inlineStr">
        <is>
          <t>UPPSALA LÄN</t>
        </is>
      </c>
      <c r="E543" t="inlineStr">
        <is>
          <t>ÖSTHAMMAR</t>
        </is>
      </c>
      <c r="G543" t="n">
        <v>2.8</v>
      </c>
      <c r="H543" t="n">
        <v>0</v>
      </c>
      <c r="I543" t="n">
        <v>0</v>
      </c>
      <c r="J543" t="n">
        <v>0</v>
      </c>
      <c r="K543" t="n">
        <v>0</v>
      </c>
      <c r="L543" t="n">
        <v>0</v>
      </c>
      <c r="M543" t="n">
        <v>0</v>
      </c>
      <c r="N543" t="n">
        <v>0</v>
      </c>
      <c r="O543" t="n">
        <v>0</v>
      </c>
      <c r="P543" t="n">
        <v>0</v>
      </c>
      <c r="Q543" t="n">
        <v>0</v>
      </c>
      <c r="R543" s="2" t="inlineStr"/>
    </row>
    <row r="544" ht="15" customHeight="1">
      <c r="A544" t="inlineStr">
        <is>
          <t>A 25434-2022</t>
        </is>
      </c>
      <c r="B544" s="1" t="n">
        <v>44732</v>
      </c>
      <c r="C544" s="1" t="n">
        <v>45822</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26008-2022</t>
        </is>
      </c>
      <c r="B545" s="1" t="n">
        <v>44734</v>
      </c>
      <c r="C545" s="1" t="n">
        <v>45822</v>
      </c>
      <c r="D545" t="inlineStr">
        <is>
          <t>UPPSALA LÄN</t>
        </is>
      </c>
      <c r="E545" t="inlineStr">
        <is>
          <t>ÖSTHAMMAR</t>
        </is>
      </c>
      <c r="F545" t="inlineStr">
        <is>
          <t>Bergvik skog öst AB</t>
        </is>
      </c>
      <c r="G545" t="n">
        <v>8.4</v>
      </c>
      <c r="H545" t="n">
        <v>0</v>
      </c>
      <c r="I545" t="n">
        <v>0</v>
      </c>
      <c r="J545" t="n">
        <v>0</v>
      </c>
      <c r="K545" t="n">
        <v>0</v>
      </c>
      <c r="L545" t="n">
        <v>0</v>
      </c>
      <c r="M545" t="n">
        <v>0</v>
      </c>
      <c r="N545" t="n">
        <v>0</v>
      </c>
      <c r="O545" t="n">
        <v>0</v>
      </c>
      <c r="P545" t="n">
        <v>0</v>
      </c>
      <c r="Q545" t="n">
        <v>0</v>
      </c>
      <c r="R545" s="2" t="inlineStr"/>
    </row>
    <row r="546" ht="15" customHeight="1">
      <c r="A546" t="inlineStr">
        <is>
          <t>A 25987-2022</t>
        </is>
      </c>
      <c r="B546" s="1" t="n">
        <v>44734</v>
      </c>
      <c r="C546" s="1" t="n">
        <v>45822</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25983-2022</t>
        </is>
      </c>
      <c r="B547" s="1" t="n">
        <v>44734</v>
      </c>
      <c r="C547" s="1" t="n">
        <v>45822</v>
      </c>
      <c r="D547" t="inlineStr">
        <is>
          <t>UPPSALA LÄN</t>
        </is>
      </c>
      <c r="E547" t="inlineStr">
        <is>
          <t>ÖSTHAMMAR</t>
        </is>
      </c>
      <c r="G547" t="n">
        <v>4.7</v>
      </c>
      <c r="H547" t="n">
        <v>0</v>
      </c>
      <c r="I547" t="n">
        <v>0</v>
      </c>
      <c r="J547" t="n">
        <v>0</v>
      </c>
      <c r="K547" t="n">
        <v>0</v>
      </c>
      <c r="L547" t="n">
        <v>0</v>
      </c>
      <c r="M547" t="n">
        <v>0</v>
      </c>
      <c r="N547" t="n">
        <v>0</v>
      </c>
      <c r="O547" t="n">
        <v>0</v>
      </c>
      <c r="P547" t="n">
        <v>0</v>
      </c>
      <c r="Q547" t="n">
        <v>0</v>
      </c>
      <c r="R547" s="2" t="inlineStr"/>
    </row>
    <row r="548" ht="15" customHeight="1">
      <c r="A548" t="inlineStr">
        <is>
          <t>A 26004-2022</t>
        </is>
      </c>
      <c r="B548" s="1" t="n">
        <v>44734</v>
      </c>
      <c r="C548" s="1" t="n">
        <v>45822</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26534-2022</t>
        </is>
      </c>
      <c r="B549" s="1" t="n">
        <v>44739</v>
      </c>
      <c r="C549" s="1" t="n">
        <v>45822</v>
      </c>
      <c r="D549" t="inlineStr">
        <is>
          <t>UPPSALA LÄN</t>
        </is>
      </c>
      <c r="E549" t="inlineStr">
        <is>
          <t>ÖSTHAMMAR</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26552-2022</t>
        </is>
      </c>
      <c r="B550" s="1" t="n">
        <v>44739</v>
      </c>
      <c r="C550" s="1" t="n">
        <v>45822</v>
      </c>
      <c r="D550" t="inlineStr">
        <is>
          <t>UPPSALA LÄN</t>
        </is>
      </c>
      <c r="E550" t="inlineStr">
        <is>
          <t>ÖSTHAMMAR</t>
        </is>
      </c>
      <c r="G550" t="n">
        <v>2.2</v>
      </c>
      <c r="H550" t="n">
        <v>0</v>
      </c>
      <c r="I550" t="n">
        <v>0</v>
      </c>
      <c r="J550" t="n">
        <v>0</v>
      </c>
      <c r="K550" t="n">
        <v>0</v>
      </c>
      <c r="L550" t="n">
        <v>0</v>
      </c>
      <c r="M550" t="n">
        <v>0</v>
      </c>
      <c r="N550" t="n">
        <v>0</v>
      </c>
      <c r="O550" t="n">
        <v>0</v>
      </c>
      <c r="P550" t="n">
        <v>0</v>
      </c>
      <c r="Q550" t="n">
        <v>0</v>
      </c>
      <c r="R550" s="2" t="inlineStr"/>
    </row>
    <row r="551" ht="15" customHeight="1">
      <c r="A551" t="inlineStr">
        <is>
          <t>A 26561-2022</t>
        </is>
      </c>
      <c r="B551" s="1" t="n">
        <v>44739</v>
      </c>
      <c r="C551" s="1" t="n">
        <v>45822</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28228-2022</t>
        </is>
      </c>
      <c r="B552" s="1" t="n">
        <v>44746</v>
      </c>
      <c r="C552" s="1" t="n">
        <v>45822</v>
      </c>
      <c r="D552" t="inlineStr">
        <is>
          <t>UPPSALA LÄN</t>
        </is>
      </c>
      <c r="E552" t="inlineStr">
        <is>
          <t>ÖSTHAMMAR</t>
        </is>
      </c>
      <c r="G552" t="n">
        <v>2.7</v>
      </c>
      <c r="H552" t="n">
        <v>0</v>
      </c>
      <c r="I552" t="n">
        <v>0</v>
      </c>
      <c r="J552" t="n">
        <v>0</v>
      </c>
      <c r="K552" t="n">
        <v>0</v>
      </c>
      <c r="L552" t="n">
        <v>0</v>
      </c>
      <c r="M552" t="n">
        <v>0</v>
      </c>
      <c r="N552" t="n">
        <v>0</v>
      </c>
      <c r="O552" t="n">
        <v>0</v>
      </c>
      <c r="P552" t="n">
        <v>0</v>
      </c>
      <c r="Q552" t="n">
        <v>0</v>
      </c>
      <c r="R552" s="2" t="inlineStr"/>
    </row>
    <row r="553" ht="15" customHeight="1">
      <c r="A553" t="inlineStr">
        <is>
          <t>A 29753-2022</t>
        </is>
      </c>
      <c r="B553" s="1" t="n">
        <v>44755</v>
      </c>
      <c r="C553" s="1" t="n">
        <v>45822</v>
      </c>
      <c r="D553" t="inlineStr">
        <is>
          <t>UPPSALA LÄN</t>
        </is>
      </c>
      <c r="E553" t="inlineStr">
        <is>
          <t>ÖSTHAMMAR</t>
        </is>
      </c>
      <c r="G553" t="n">
        <v>9.4</v>
      </c>
      <c r="H553" t="n">
        <v>0</v>
      </c>
      <c r="I553" t="n">
        <v>0</v>
      </c>
      <c r="J553" t="n">
        <v>0</v>
      </c>
      <c r="K553" t="n">
        <v>0</v>
      </c>
      <c r="L553" t="n">
        <v>0</v>
      </c>
      <c r="M553" t="n">
        <v>0</v>
      </c>
      <c r="N553" t="n">
        <v>0</v>
      </c>
      <c r="O553" t="n">
        <v>0</v>
      </c>
      <c r="P553" t="n">
        <v>0</v>
      </c>
      <c r="Q553" t="n">
        <v>0</v>
      </c>
      <c r="R553" s="2" t="inlineStr"/>
    </row>
    <row r="554" ht="15" customHeight="1">
      <c r="A554" t="inlineStr">
        <is>
          <t>A 30212-2022</t>
        </is>
      </c>
      <c r="B554" s="1" t="n">
        <v>44757</v>
      </c>
      <c r="C554" s="1" t="n">
        <v>45822</v>
      </c>
      <c r="D554" t="inlineStr">
        <is>
          <t>UPPSALA LÄN</t>
        </is>
      </c>
      <c r="E554" t="inlineStr">
        <is>
          <t>ÖSTHAMMAR</t>
        </is>
      </c>
      <c r="F554" t="inlineStr">
        <is>
          <t>Bergvik skog öst AB</t>
        </is>
      </c>
      <c r="G554" t="n">
        <v>13.6</v>
      </c>
      <c r="H554" t="n">
        <v>0</v>
      </c>
      <c r="I554" t="n">
        <v>0</v>
      </c>
      <c r="J554" t="n">
        <v>0</v>
      </c>
      <c r="K554" t="n">
        <v>0</v>
      </c>
      <c r="L554" t="n">
        <v>0</v>
      </c>
      <c r="M554" t="n">
        <v>0</v>
      </c>
      <c r="N554" t="n">
        <v>0</v>
      </c>
      <c r="O554" t="n">
        <v>0</v>
      </c>
      <c r="P554" t="n">
        <v>0</v>
      </c>
      <c r="Q554" t="n">
        <v>0</v>
      </c>
      <c r="R554" s="2" t="inlineStr"/>
    </row>
    <row r="555" ht="15" customHeight="1">
      <c r="A555" t="inlineStr">
        <is>
          <t>A 30209-2022</t>
        </is>
      </c>
      <c r="B555" s="1" t="n">
        <v>44757</v>
      </c>
      <c r="C555" s="1" t="n">
        <v>45822</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30549-2022</t>
        </is>
      </c>
      <c r="B556" s="1" t="n">
        <v>44762</v>
      </c>
      <c r="C556" s="1" t="n">
        <v>45822</v>
      </c>
      <c r="D556" t="inlineStr">
        <is>
          <t>UPPSALA LÄN</t>
        </is>
      </c>
      <c r="E556" t="inlineStr">
        <is>
          <t>ÖSTHAMMAR</t>
        </is>
      </c>
      <c r="F556" t="inlineStr">
        <is>
          <t>Bergvik skog öst AB</t>
        </is>
      </c>
      <c r="G556" t="n">
        <v>6.2</v>
      </c>
      <c r="H556" t="n">
        <v>0</v>
      </c>
      <c r="I556" t="n">
        <v>0</v>
      </c>
      <c r="J556" t="n">
        <v>0</v>
      </c>
      <c r="K556" t="n">
        <v>0</v>
      </c>
      <c r="L556" t="n">
        <v>0</v>
      </c>
      <c r="M556" t="n">
        <v>0</v>
      </c>
      <c r="N556" t="n">
        <v>0</v>
      </c>
      <c r="O556" t="n">
        <v>0</v>
      </c>
      <c r="P556" t="n">
        <v>0</v>
      </c>
      <c r="Q556" t="n">
        <v>0</v>
      </c>
      <c r="R556" s="2" t="inlineStr"/>
    </row>
    <row r="557" ht="15" customHeight="1">
      <c r="A557" t="inlineStr">
        <is>
          <t>A 31027-2022</t>
        </is>
      </c>
      <c r="B557" s="1" t="n">
        <v>44768</v>
      </c>
      <c r="C557" s="1" t="n">
        <v>45822</v>
      </c>
      <c r="D557" t="inlineStr">
        <is>
          <t>UPPSALA LÄN</t>
        </is>
      </c>
      <c r="E557" t="inlineStr">
        <is>
          <t>ÖSTHAMMAR</t>
        </is>
      </c>
      <c r="F557" t="inlineStr">
        <is>
          <t>Bergvik skog öst AB</t>
        </is>
      </c>
      <c r="G557" t="n">
        <v>2.4</v>
      </c>
      <c r="H557" t="n">
        <v>0</v>
      </c>
      <c r="I557" t="n">
        <v>0</v>
      </c>
      <c r="J557" t="n">
        <v>0</v>
      </c>
      <c r="K557" t="n">
        <v>0</v>
      </c>
      <c r="L557" t="n">
        <v>0</v>
      </c>
      <c r="M557" t="n">
        <v>0</v>
      </c>
      <c r="N557" t="n">
        <v>0</v>
      </c>
      <c r="O557" t="n">
        <v>0</v>
      </c>
      <c r="P557" t="n">
        <v>0</v>
      </c>
      <c r="Q557" t="n">
        <v>0</v>
      </c>
      <c r="R557" s="2" t="inlineStr"/>
    </row>
    <row r="558" ht="15" customHeight="1">
      <c r="A558" t="inlineStr">
        <is>
          <t>A 31035-2022</t>
        </is>
      </c>
      <c r="B558" s="1" t="n">
        <v>44768</v>
      </c>
      <c r="C558" s="1" t="n">
        <v>45822</v>
      </c>
      <c r="D558" t="inlineStr">
        <is>
          <t>UPPSALA LÄN</t>
        </is>
      </c>
      <c r="E558" t="inlineStr">
        <is>
          <t>ÖSTHAMMAR</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31026-2022</t>
        </is>
      </c>
      <c r="B559" s="1" t="n">
        <v>44768</v>
      </c>
      <c r="C559" s="1" t="n">
        <v>45822</v>
      </c>
      <c r="D559" t="inlineStr">
        <is>
          <t>UPPSALA LÄN</t>
        </is>
      </c>
      <c r="E559" t="inlineStr">
        <is>
          <t>ÖSTHAMMAR</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31182-2022</t>
        </is>
      </c>
      <c r="B560" s="1" t="n">
        <v>44770</v>
      </c>
      <c r="C560" s="1" t="n">
        <v>45822</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31140-2022</t>
        </is>
      </c>
      <c r="B561" s="1" t="n">
        <v>44770</v>
      </c>
      <c r="C561" s="1" t="n">
        <v>45822</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31137-2022</t>
        </is>
      </c>
      <c r="B562" s="1" t="n">
        <v>44770</v>
      </c>
      <c r="C562" s="1" t="n">
        <v>45822</v>
      </c>
      <c r="D562" t="inlineStr">
        <is>
          <t>UPPSALA LÄN</t>
        </is>
      </c>
      <c r="E562" t="inlineStr">
        <is>
          <t>ÖSTHAMMAR</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31282-2022</t>
        </is>
      </c>
      <c r="B563" s="1" t="n">
        <v>44771</v>
      </c>
      <c r="C563" s="1" t="n">
        <v>45822</v>
      </c>
      <c r="D563" t="inlineStr">
        <is>
          <t>UPPSALA LÄN</t>
        </is>
      </c>
      <c r="E563" t="inlineStr">
        <is>
          <t>ÖSTHAMMAR</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31574-2022</t>
        </is>
      </c>
      <c r="B564" s="1" t="n">
        <v>44775</v>
      </c>
      <c r="C564" s="1" t="n">
        <v>45822</v>
      </c>
      <c r="D564" t="inlineStr">
        <is>
          <t>UPPSALA LÄN</t>
        </is>
      </c>
      <c r="E564" t="inlineStr">
        <is>
          <t>ÖSTHAMMAR</t>
        </is>
      </c>
      <c r="G564" t="n">
        <v>29.7</v>
      </c>
      <c r="H564" t="n">
        <v>0</v>
      </c>
      <c r="I564" t="n">
        <v>0</v>
      </c>
      <c r="J564" t="n">
        <v>0</v>
      </c>
      <c r="K564" t="n">
        <v>0</v>
      </c>
      <c r="L564" t="n">
        <v>0</v>
      </c>
      <c r="M564" t="n">
        <v>0</v>
      </c>
      <c r="N564" t="n">
        <v>0</v>
      </c>
      <c r="O564" t="n">
        <v>0</v>
      </c>
      <c r="P564" t="n">
        <v>0</v>
      </c>
      <c r="Q564" t="n">
        <v>0</v>
      </c>
      <c r="R564" s="2" t="inlineStr"/>
    </row>
    <row r="565" ht="15" customHeight="1">
      <c r="A565" t="inlineStr">
        <is>
          <t>A 31549-2022</t>
        </is>
      </c>
      <c r="B565" s="1" t="n">
        <v>44775</v>
      </c>
      <c r="C565" s="1" t="n">
        <v>45822</v>
      </c>
      <c r="D565" t="inlineStr">
        <is>
          <t>UPPSALA LÄN</t>
        </is>
      </c>
      <c r="E565" t="inlineStr">
        <is>
          <t>ÖSTHAMMAR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31669-2022</t>
        </is>
      </c>
      <c r="B566" s="1" t="n">
        <v>44775</v>
      </c>
      <c r="C566" s="1" t="n">
        <v>45822</v>
      </c>
      <c r="D566" t="inlineStr">
        <is>
          <t>UPPSALA LÄN</t>
        </is>
      </c>
      <c r="E566" t="inlineStr">
        <is>
          <t>ÖSTHAMMAR</t>
        </is>
      </c>
      <c r="G566" t="n">
        <v>6</v>
      </c>
      <c r="H566" t="n">
        <v>0</v>
      </c>
      <c r="I566" t="n">
        <v>0</v>
      </c>
      <c r="J566" t="n">
        <v>0</v>
      </c>
      <c r="K566" t="n">
        <v>0</v>
      </c>
      <c r="L566" t="n">
        <v>0</v>
      </c>
      <c r="M566" t="n">
        <v>0</v>
      </c>
      <c r="N566" t="n">
        <v>0</v>
      </c>
      <c r="O566" t="n">
        <v>0</v>
      </c>
      <c r="P566" t="n">
        <v>0</v>
      </c>
      <c r="Q566" t="n">
        <v>0</v>
      </c>
      <c r="R566" s="2" t="inlineStr"/>
    </row>
    <row r="567" ht="15" customHeight="1">
      <c r="A567" t="inlineStr">
        <is>
          <t>A 32678-2022</t>
        </is>
      </c>
      <c r="B567" s="1" t="n">
        <v>44783</v>
      </c>
      <c r="C567" s="1" t="n">
        <v>45822</v>
      </c>
      <c r="D567" t="inlineStr">
        <is>
          <t>UPPSALA LÄN</t>
        </is>
      </c>
      <c r="E567" t="inlineStr">
        <is>
          <t>ÖSTHAMMAR</t>
        </is>
      </c>
      <c r="G567" t="n">
        <v>1.3</v>
      </c>
      <c r="H567" t="n">
        <v>0</v>
      </c>
      <c r="I567" t="n">
        <v>0</v>
      </c>
      <c r="J567" t="n">
        <v>0</v>
      </c>
      <c r="K567" t="n">
        <v>0</v>
      </c>
      <c r="L567" t="n">
        <v>0</v>
      </c>
      <c r="M567" t="n">
        <v>0</v>
      </c>
      <c r="N567" t="n">
        <v>0</v>
      </c>
      <c r="O567" t="n">
        <v>0</v>
      </c>
      <c r="P567" t="n">
        <v>0</v>
      </c>
      <c r="Q567" t="n">
        <v>0</v>
      </c>
      <c r="R567" s="2" t="inlineStr"/>
    </row>
    <row r="568" ht="15" customHeight="1">
      <c r="A568" t="inlineStr">
        <is>
          <t>A 32742-2022</t>
        </is>
      </c>
      <c r="B568" s="1" t="n">
        <v>44783</v>
      </c>
      <c r="C568" s="1" t="n">
        <v>45822</v>
      </c>
      <c r="D568" t="inlineStr">
        <is>
          <t>UPPSALA LÄN</t>
        </is>
      </c>
      <c r="E568" t="inlineStr">
        <is>
          <t>ÖSTHAMMAR</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32744-2022</t>
        </is>
      </c>
      <c r="B569" s="1" t="n">
        <v>44783</v>
      </c>
      <c r="C569" s="1" t="n">
        <v>45822</v>
      </c>
      <c r="D569" t="inlineStr">
        <is>
          <t>UPPSALA LÄN</t>
        </is>
      </c>
      <c r="E569" t="inlineStr">
        <is>
          <t>ÖSTHAMMAR</t>
        </is>
      </c>
      <c r="F569" t="inlineStr">
        <is>
          <t>Bergvik skog öst AB</t>
        </is>
      </c>
      <c r="G569" t="n">
        <v>3</v>
      </c>
      <c r="H569" t="n">
        <v>0</v>
      </c>
      <c r="I569" t="n">
        <v>0</v>
      </c>
      <c r="J569" t="n">
        <v>0</v>
      </c>
      <c r="K569" t="n">
        <v>0</v>
      </c>
      <c r="L569" t="n">
        <v>0</v>
      </c>
      <c r="M569" t="n">
        <v>0</v>
      </c>
      <c r="N569" t="n">
        <v>0</v>
      </c>
      <c r="O569" t="n">
        <v>0</v>
      </c>
      <c r="P569" t="n">
        <v>0</v>
      </c>
      <c r="Q569" t="n">
        <v>0</v>
      </c>
      <c r="R569" s="2" t="inlineStr"/>
    </row>
    <row r="570" ht="15" customHeight="1">
      <c r="A570" t="inlineStr">
        <is>
          <t>A 34418-2022</t>
        </is>
      </c>
      <c r="B570" s="1" t="n">
        <v>44792</v>
      </c>
      <c r="C570" s="1" t="n">
        <v>45822</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34742-2022</t>
        </is>
      </c>
      <c r="B571" s="1" t="n">
        <v>44795</v>
      </c>
      <c r="C571" s="1" t="n">
        <v>45822</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34971-2022</t>
        </is>
      </c>
      <c r="B572" s="1" t="n">
        <v>44796</v>
      </c>
      <c r="C572" s="1" t="n">
        <v>45822</v>
      </c>
      <c r="D572" t="inlineStr">
        <is>
          <t>UPPSALA LÄN</t>
        </is>
      </c>
      <c r="E572" t="inlineStr">
        <is>
          <t>ÖSTHAMMAR</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34994-2022</t>
        </is>
      </c>
      <c r="B573" s="1" t="n">
        <v>44796</v>
      </c>
      <c r="C573" s="1" t="n">
        <v>45822</v>
      </c>
      <c r="D573" t="inlineStr">
        <is>
          <t>UPPSALA LÄN</t>
        </is>
      </c>
      <c r="E573" t="inlineStr">
        <is>
          <t>ÖSTHAMMAR</t>
        </is>
      </c>
      <c r="F573" t="inlineStr">
        <is>
          <t>Bergvik skog öst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36343-2022</t>
        </is>
      </c>
      <c r="B574" s="1" t="n">
        <v>44803</v>
      </c>
      <c r="C574" s="1" t="n">
        <v>45822</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36873-2022</t>
        </is>
      </c>
      <c r="B575" s="1" t="n">
        <v>44805</v>
      </c>
      <c r="C575" s="1" t="n">
        <v>45822</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37545-2022</t>
        </is>
      </c>
      <c r="B576" s="1" t="n">
        <v>44809</v>
      </c>
      <c r="C576" s="1" t="n">
        <v>45822</v>
      </c>
      <c r="D576" t="inlineStr">
        <is>
          <t>UPPSALA LÄN</t>
        </is>
      </c>
      <c r="E576" t="inlineStr">
        <is>
          <t>ÖSTHAMMAR</t>
        </is>
      </c>
      <c r="G576" t="n">
        <v>3.1</v>
      </c>
      <c r="H576" t="n">
        <v>0</v>
      </c>
      <c r="I576" t="n">
        <v>0</v>
      </c>
      <c r="J576" t="n">
        <v>0</v>
      </c>
      <c r="K576" t="n">
        <v>0</v>
      </c>
      <c r="L576" t="n">
        <v>0</v>
      </c>
      <c r="M576" t="n">
        <v>0</v>
      </c>
      <c r="N576" t="n">
        <v>0</v>
      </c>
      <c r="O576" t="n">
        <v>0</v>
      </c>
      <c r="P576" t="n">
        <v>0</v>
      </c>
      <c r="Q576" t="n">
        <v>0</v>
      </c>
      <c r="R576" s="2" t="inlineStr"/>
    </row>
    <row r="577" ht="15" customHeight="1">
      <c r="A577" t="inlineStr">
        <is>
          <t>A 37570-2022</t>
        </is>
      </c>
      <c r="B577" s="1" t="n">
        <v>44809</v>
      </c>
      <c r="C577" s="1" t="n">
        <v>45822</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37813-2022</t>
        </is>
      </c>
      <c r="B578" s="1" t="n">
        <v>44810</v>
      </c>
      <c r="C578" s="1" t="n">
        <v>45822</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37812-2022</t>
        </is>
      </c>
      <c r="B579" s="1" t="n">
        <v>44810</v>
      </c>
      <c r="C579" s="1" t="n">
        <v>45822</v>
      </c>
      <c r="D579" t="inlineStr">
        <is>
          <t>UPPSALA LÄN</t>
        </is>
      </c>
      <c r="E579" t="inlineStr">
        <is>
          <t>ÖSTHAMMAR</t>
        </is>
      </c>
      <c r="G579" t="n">
        <v>1</v>
      </c>
      <c r="H579" t="n">
        <v>0</v>
      </c>
      <c r="I579" t="n">
        <v>0</v>
      </c>
      <c r="J579" t="n">
        <v>0</v>
      </c>
      <c r="K579" t="n">
        <v>0</v>
      </c>
      <c r="L579" t="n">
        <v>0</v>
      </c>
      <c r="M579" t="n">
        <v>0</v>
      </c>
      <c r="N579" t="n">
        <v>0</v>
      </c>
      <c r="O579" t="n">
        <v>0</v>
      </c>
      <c r="P579" t="n">
        <v>0</v>
      </c>
      <c r="Q579" t="n">
        <v>0</v>
      </c>
      <c r="R579" s="2" t="inlineStr"/>
    </row>
    <row r="580" ht="15" customHeight="1">
      <c r="A580" t="inlineStr">
        <is>
          <t>A 38501-2022</t>
        </is>
      </c>
      <c r="B580" s="1" t="n">
        <v>44813</v>
      </c>
      <c r="C580" s="1" t="n">
        <v>45822</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38702-2022</t>
        </is>
      </c>
      <c r="B581" s="1" t="n">
        <v>44814</v>
      </c>
      <c r="C581" s="1" t="n">
        <v>45822</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39480-2022</t>
        </is>
      </c>
      <c r="B582" s="1" t="n">
        <v>44818</v>
      </c>
      <c r="C582" s="1" t="n">
        <v>45822</v>
      </c>
      <c r="D582" t="inlineStr">
        <is>
          <t>UPPSALA LÄN</t>
        </is>
      </c>
      <c r="E582" t="inlineStr">
        <is>
          <t>ÖSTHAMMAR</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40336-2022</t>
        </is>
      </c>
      <c r="B583" s="1" t="n">
        <v>44823</v>
      </c>
      <c r="C583" s="1" t="n">
        <v>45822</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40637-2022</t>
        </is>
      </c>
      <c r="B584" s="1" t="n">
        <v>44824</v>
      </c>
      <c r="C584" s="1" t="n">
        <v>45822</v>
      </c>
      <c r="D584" t="inlineStr">
        <is>
          <t>UPPSALA LÄN</t>
        </is>
      </c>
      <c r="E584" t="inlineStr">
        <is>
          <t>ÖSTHAMMAR</t>
        </is>
      </c>
      <c r="F584" t="inlineStr">
        <is>
          <t>Övriga Aktiebolag</t>
        </is>
      </c>
      <c r="G584" t="n">
        <v>3.7</v>
      </c>
      <c r="H584" t="n">
        <v>0</v>
      </c>
      <c r="I584" t="n">
        <v>0</v>
      </c>
      <c r="J584" t="n">
        <v>0</v>
      </c>
      <c r="K584" t="n">
        <v>0</v>
      </c>
      <c r="L584" t="n">
        <v>0</v>
      </c>
      <c r="M584" t="n">
        <v>0</v>
      </c>
      <c r="N584" t="n">
        <v>0</v>
      </c>
      <c r="O584" t="n">
        <v>0</v>
      </c>
      <c r="P584" t="n">
        <v>0</v>
      </c>
      <c r="Q584" t="n">
        <v>0</v>
      </c>
      <c r="R584" s="2" t="inlineStr"/>
    </row>
    <row r="585" ht="15" customHeight="1">
      <c r="A585" t="inlineStr">
        <is>
          <t>A 40681-2022</t>
        </is>
      </c>
      <c r="B585" s="1" t="n">
        <v>44824</v>
      </c>
      <c r="C585" s="1" t="n">
        <v>45822</v>
      </c>
      <c r="D585" t="inlineStr">
        <is>
          <t>UPPSALA LÄN</t>
        </is>
      </c>
      <c r="E585" t="inlineStr">
        <is>
          <t>ÖSTHAMMAR</t>
        </is>
      </c>
      <c r="G585" t="n">
        <v>1.7</v>
      </c>
      <c r="H585" t="n">
        <v>0</v>
      </c>
      <c r="I585" t="n">
        <v>0</v>
      </c>
      <c r="J585" t="n">
        <v>0</v>
      </c>
      <c r="K585" t="n">
        <v>0</v>
      </c>
      <c r="L585" t="n">
        <v>0</v>
      </c>
      <c r="M585" t="n">
        <v>0</v>
      </c>
      <c r="N585" t="n">
        <v>0</v>
      </c>
      <c r="O585" t="n">
        <v>0</v>
      </c>
      <c r="P585" t="n">
        <v>0</v>
      </c>
      <c r="Q585" t="n">
        <v>0</v>
      </c>
      <c r="R585" s="2" t="inlineStr"/>
    </row>
    <row r="586" ht="15" customHeight="1">
      <c r="A586" t="inlineStr">
        <is>
          <t>A 41033-2022</t>
        </is>
      </c>
      <c r="B586" s="1" t="n">
        <v>44825</v>
      </c>
      <c r="C586" s="1" t="n">
        <v>45822</v>
      </c>
      <c r="D586" t="inlineStr">
        <is>
          <t>UPPSALA LÄN</t>
        </is>
      </c>
      <c r="E586" t="inlineStr">
        <is>
          <t>ÖSTHAMMAR</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41423-2022</t>
        </is>
      </c>
      <c r="B587" s="1" t="n">
        <v>44826</v>
      </c>
      <c r="C587" s="1" t="n">
        <v>45822</v>
      </c>
      <c r="D587" t="inlineStr">
        <is>
          <t>UPPSALA LÄN</t>
        </is>
      </c>
      <c r="E587" t="inlineStr">
        <is>
          <t>ÖSTHAMMAR</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44020-2022</t>
        </is>
      </c>
      <c r="B588" s="1" t="n">
        <v>44838</v>
      </c>
      <c r="C588" s="1" t="n">
        <v>45822</v>
      </c>
      <c r="D588" t="inlineStr">
        <is>
          <t>UPPSALA LÄN</t>
        </is>
      </c>
      <c r="E588" t="inlineStr">
        <is>
          <t>ÖSTHAMMAR</t>
        </is>
      </c>
      <c r="F588" t="inlineStr">
        <is>
          <t>Bergvik skog öst AB</t>
        </is>
      </c>
      <c r="G588" t="n">
        <v>12.1</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v>
      </c>
      <c r="C589" s="1" t="n">
        <v>45822</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44354-2022</t>
        </is>
      </c>
      <c r="B590" s="1" t="n">
        <v>44839</v>
      </c>
      <c r="C590" s="1" t="n">
        <v>45822</v>
      </c>
      <c r="D590" t="inlineStr">
        <is>
          <t>UPPSALA LÄN</t>
        </is>
      </c>
      <c r="E590" t="inlineStr">
        <is>
          <t>ÖSTHAMMAR</t>
        </is>
      </c>
      <c r="G590" t="n">
        <v>5.4</v>
      </c>
      <c r="H590" t="n">
        <v>0</v>
      </c>
      <c r="I590" t="n">
        <v>0</v>
      </c>
      <c r="J590" t="n">
        <v>0</v>
      </c>
      <c r="K590" t="n">
        <v>0</v>
      </c>
      <c r="L590" t="n">
        <v>0</v>
      </c>
      <c r="M590" t="n">
        <v>0</v>
      </c>
      <c r="N590" t="n">
        <v>0</v>
      </c>
      <c r="O590" t="n">
        <v>0</v>
      </c>
      <c r="P590" t="n">
        <v>0</v>
      </c>
      <c r="Q590" t="n">
        <v>0</v>
      </c>
      <c r="R590" s="2" t="inlineStr"/>
    </row>
    <row r="591" ht="15" customHeight="1">
      <c r="A591" t="inlineStr">
        <is>
          <t>A 44366-2022</t>
        </is>
      </c>
      <c r="B591" s="1" t="n">
        <v>44839</v>
      </c>
      <c r="C591" s="1" t="n">
        <v>45822</v>
      </c>
      <c r="D591" t="inlineStr">
        <is>
          <t>UPPSALA LÄN</t>
        </is>
      </c>
      <c r="E591" t="inlineStr">
        <is>
          <t>ÖSTHAMMAR</t>
        </is>
      </c>
      <c r="G591" t="n">
        <v>8.1</v>
      </c>
      <c r="H591" t="n">
        <v>0</v>
      </c>
      <c r="I591" t="n">
        <v>0</v>
      </c>
      <c r="J591" t="n">
        <v>0</v>
      </c>
      <c r="K591" t="n">
        <v>0</v>
      </c>
      <c r="L591" t="n">
        <v>0</v>
      </c>
      <c r="M591" t="n">
        <v>0</v>
      </c>
      <c r="N591" t="n">
        <v>0</v>
      </c>
      <c r="O591" t="n">
        <v>0</v>
      </c>
      <c r="P591" t="n">
        <v>0</v>
      </c>
      <c r="Q591" t="n">
        <v>0</v>
      </c>
      <c r="R591" s="2" t="inlineStr"/>
    </row>
    <row r="592" ht="15" customHeight="1">
      <c r="A592" t="inlineStr">
        <is>
          <t>A 44184-2022</t>
        </is>
      </c>
      <c r="B592" s="1" t="n">
        <v>44839</v>
      </c>
      <c r="C592" s="1" t="n">
        <v>45822</v>
      </c>
      <c r="D592" t="inlineStr">
        <is>
          <t>UPPSALA LÄN</t>
        </is>
      </c>
      <c r="E592" t="inlineStr">
        <is>
          <t>ÖSTHAMMAR</t>
        </is>
      </c>
      <c r="G592" t="n">
        <v>4.2</v>
      </c>
      <c r="H592" t="n">
        <v>0</v>
      </c>
      <c r="I592" t="n">
        <v>0</v>
      </c>
      <c r="J592" t="n">
        <v>0</v>
      </c>
      <c r="K592" t="n">
        <v>0</v>
      </c>
      <c r="L592" t="n">
        <v>0</v>
      </c>
      <c r="M592" t="n">
        <v>0</v>
      </c>
      <c r="N592" t="n">
        <v>0</v>
      </c>
      <c r="O592" t="n">
        <v>0</v>
      </c>
      <c r="P592" t="n">
        <v>0</v>
      </c>
      <c r="Q592" t="n">
        <v>0</v>
      </c>
      <c r="R592" s="2" t="inlineStr"/>
    </row>
    <row r="593" ht="15" customHeight="1">
      <c r="A593" t="inlineStr">
        <is>
          <t>A 44617-2022</t>
        </is>
      </c>
      <c r="B593" s="1" t="n">
        <v>44840</v>
      </c>
      <c r="C593" s="1" t="n">
        <v>45822</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44945-2022</t>
        </is>
      </c>
      <c r="B594" s="1" t="n">
        <v>44841</v>
      </c>
      <c r="C594" s="1" t="n">
        <v>45822</v>
      </c>
      <c r="D594" t="inlineStr">
        <is>
          <t>UPPSALA LÄN</t>
        </is>
      </c>
      <c r="E594" t="inlineStr">
        <is>
          <t>ÖSTHAMMAR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44815-2022</t>
        </is>
      </c>
      <c r="B595" s="1" t="n">
        <v>44841</v>
      </c>
      <c r="C595" s="1" t="n">
        <v>45822</v>
      </c>
      <c r="D595" t="inlineStr">
        <is>
          <t>UPPSALA LÄN</t>
        </is>
      </c>
      <c r="E595" t="inlineStr">
        <is>
          <t>ÖSTHAMMAR</t>
        </is>
      </c>
      <c r="G595" t="n">
        <v>1.8</v>
      </c>
      <c r="H595" t="n">
        <v>0</v>
      </c>
      <c r="I595" t="n">
        <v>0</v>
      </c>
      <c r="J595" t="n">
        <v>0</v>
      </c>
      <c r="K595" t="n">
        <v>0</v>
      </c>
      <c r="L595" t="n">
        <v>0</v>
      </c>
      <c r="M595" t="n">
        <v>0</v>
      </c>
      <c r="N595" t="n">
        <v>0</v>
      </c>
      <c r="O595" t="n">
        <v>0</v>
      </c>
      <c r="P595" t="n">
        <v>0</v>
      </c>
      <c r="Q595" t="n">
        <v>0</v>
      </c>
      <c r="R595" s="2" t="inlineStr"/>
    </row>
    <row r="596" ht="15" customHeight="1">
      <c r="A596" t="inlineStr">
        <is>
          <t>A 45788-2022</t>
        </is>
      </c>
      <c r="B596" s="1" t="n">
        <v>44846</v>
      </c>
      <c r="C596" s="1" t="n">
        <v>45822</v>
      </c>
      <c r="D596" t="inlineStr">
        <is>
          <t>UPPSALA LÄN</t>
        </is>
      </c>
      <c r="E596" t="inlineStr">
        <is>
          <t>ÖSTHAMMAR</t>
        </is>
      </c>
      <c r="F596" t="inlineStr">
        <is>
          <t>Övriga Aktiebolag</t>
        </is>
      </c>
      <c r="G596" t="n">
        <v>3.3</v>
      </c>
      <c r="H596" t="n">
        <v>0</v>
      </c>
      <c r="I596" t="n">
        <v>0</v>
      </c>
      <c r="J596" t="n">
        <v>0</v>
      </c>
      <c r="K596" t="n">
        <v>0</v>
      </c>
      <c r="L596" t="n">
        <v>0</v>
      </c>
      <c r="M596" t="n">
        <v>0</v>
      </c>
      <c r="N596" t="n">
        <v>0</v>
      </c>
      <c r="O596" t="n">
        <v>0</v>
      </c>
      <c r="P596" t="n">
        <v>0</v>
      </c>
      <c r="Q596" t="n">
        <v>0</v>
      </c>
      <c r="R596" s="2" t="inlineStr"/>
    </row>
    <row r="597" ht="15" customHeight="1">
      <c r="A597" t="inlineStr">
        <is>
          <t>A 46448-2022</t>
        </is>
      </c>
      <c r="B597" s="1" t="n">
        <v>44848</v>
      </c>
      <c r="C597" s="1" t="n">
        <v>45822</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46915-2022</t>
        </is>
      </c>
      <c r="B598" s="1" t="n">
        <v>44851</v>
      </c>
      <c r="C598" s="1" t="n">
        <v>45822</v>
      </c>
      <c r="D598" t="inlineStr">
        <is>
          <t>UPPSALA LÄN</t>
        </is>
      </c>
      <c r="E598" t="inlineStr">
        <is>
          <t>ÖSTHAMMAR</t>
        </is>
      </c>
      <c r="F598" t="inlineStr">
        <is>
          <t>Bergvik skog öst AB</t>
        </is>
      </c>
      <c r="G598" t="n">
        <v>7.9</v>
      </c>
      <c r="H598" t="n">
        <v>0</v>
      </c>
      <c r="I598" t="n">
        <v>0</v>
      </c>
      <c r="J598" t="n">
        <v>0</v>
      </c>
      <c r="K598" t="n">
        <v>0</v>
      </c>
      <c r="L598" t="n">
        <v>0</v>
      </c>
      <c r="M598" t="n">
        <v>0</v>
      </c>
      <c r="N598" t="n">
        <v>0</v>
      </c>
      <c r="O598" t="n">
        <v>0</v>
      </c>
      <c r="P598" t="n">
        <v>0</v>
      </c>
      <c r="Q598" t="n">
        <v>0</v>
      </c>
      <c r="R598" s="2" t="inlineStr"/>
    </row>
    <row r="599" ht="15" customHeight="1">
      <c r="A599" t="inlineStr">
        <is>
          <t>A 47163-2022</t>
        </is>
      </c>
      <c r="B599" s="1" t="n">
        <v>44852</v>
      </c>
      <c r="C599" s="1" t="n">
        <v>45822</v>
      </c>
      <c r="D599" t="inlineStr">
        <is>
          <t>UPPSALA LÄN</t>
        </is>
      </c>
      <c r="E599" t="inlineStr">
        <is>
          <t>ÖSTHAMMAR</t>
        </is>
      </c>
      <c r="G599" t="n">
        <v>5.5</v>
      </c>
      <c r="H599" t="n">
        <v>0</v>
      </c>
      <c r="I599" t="n">
        <v>0</v>
      </c>
      <c r="J599" t="n">
        <v>0</v>
      </c>
      <c r="K599" t="n">
        <v>0</v>
      </c>
      <c r="L599" t="n">
        <v>0</v>
      </c>
      <c r="M599" t="n">
        <v>0</v>
      </c>
      <c r="N599" t="n">
        <v>0</v>
      </c>
      <c r="O599" t="n">
        <v>0</v>
      </c>
      <c r="P599" t="n">
        <v>0</v>
      </c>
      <c r="Q599" t="n">
        <v>0</v>
      </c>
      <c r="R599" s="2" t="inlineStr"/>
    </row>
    <row r="600" ht="15" customHeight="1">
      <c r="A600" t="inlineStr">
        <is>
          <t>A 48191-2022</t>
        </is>
      </c>
      <c r="B600" s="1" t="n">
        <v>44858</v>
      </c>
      <c r="C600" s="1" t="n">
        <v>45822</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48231-2022</t>
        </is>
      </c>
      <c r="B601" s="1" t="n">
        <v>44858</v>
      </c>
      <c r="C601" s="1" t="n">
        <v>45822</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49097-2022</t>
        </is>
      </c>
      <c r="B602" s="1" t="n">
        <v>44860</v>
      </c>
      <c r="C602" s="1" t="n">
        <v>45822</v>
      </c>
      <c r="D602" t="inlineStr">
        <is>
          <t>UPPSALA LÄN</t>
        </is>
      </c>
      <c r="E602" t="inlineStr">
        <is>
          <t>ÖSTHAMMAR</t>
        </is>
      </c>
      <c r="G602" t="n">
        <v>6.9</v>
      </c>
      <c r="H602" t="n">
        <v>0</v>
      </c>
      <c r="I602" t="n">
        <v>0</v>
      </c>
      <c r="J602" t="n">
        <v>0</v>
      </c>
      <c r="K602" t="n">
        <v>0</v>
      </c>
      <c r="L602" t="n">
        <v>0</v>
      </c>
      <c r="M602" t="n">
        <v>0</v>
      </c>
      <c r="N602" t="n">
        <v>0</v>
      </c>
      <c r="O602" t="n">
        <v>0</v>
      </c>
      <c r="P602" t="n">
        <v>0</v>
      </c>
      <c r="Q602" t="n">
        <v>0</v>
      </c>
      <c r="R602" s="2" t="inlineStr"/>
    </row>
    <row r="603" ht="15" customHeight="1">
      <c r="A603" t="inlineStr">
        <is>
          <t>A 49334-2022</t>
        </is>
      </c>
      <c r="B603" s="1" t="n">
        <v>44861</v>
      </c>
      <c r="C603" s="1" t="n">
        <v>45822</v>
      </c>
      <c r="D603" t="inlineStr">
        <is>
          <t>UPPSALA LÄN</t>
        </is>
      </c>
      <c r="E603" t="inlineStr">
        <is>
          <t>ÖSTHAMMAR</t>
        </is>
      </c>
      <c r="G603" t="n">
        <v>3.5</v>
      </c>
      <c r="H603" t="n">
        <v>0</v>
      </c>
      <c r="I603" t="n">
        <v>0</v>
      </c>
      <c r="J603" t="n">
        <v>0</v>
      </c>
      <c r="K603" t="n">
        <v>0</v>
      </c>
      <c r="L603" t="n">
        <v>0</v>
      </c>
      <c r="M603" t="n">
        <v>0</v>
      </c>
      <c r="N603" t="n">
        <v>0</v>
      </c>
      <c r="O603" t="n">
        <v>0</v>
      </c>
      <c r="P603" t="n">
        <v>0</v>
      </c>
      <c r="Q603" t="n">
        <v>0</v>
      </c>
      <c r="R603" s="2" t="inlineStr"/>
    </row>
    <row r="604" ht="15" customHeight="1">
      <c r="A604" t="inlineStr">
        <is>
          <t>A 49914-2022</t>
        </is>
      </c>
      <c r="B604" s="1" t="n">
        <v>44865</v>
      </c>
      <c r="C604" s="1" t="n">
        <v>45822</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50576-2022</t>
        </is>
      </c>
      <c r="B605" s="1" t="n">
        <v>44866</v>
      </c>
      <c r="C605" s="1" t="n">
        <v>45822</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51055-2022</t>
        </is>
      </c>
      <c r="B606" s="1" t="n">
        <v>44868</v>
      </c>
      <c r="C606" s="1" t="n">
        <v>45822</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51696-2022</t>
        </is>
      </c>
      <c r="B607" s="1" t="n">
        <v>44872</v>
      </c>
      <c r="C607" s="1" t="n">
        <v>45822</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51906-2022</t>
        </is>
      </c>
      <c r="B608" s="1" t="n">
        <v>44872</v>
      </c>
      <c r="C608" s="1" t="n">
        <v>45822</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52265-2022</t>
        </is>
      </c>
      <c r="B609" s="1" t="n">
        <v>44873</v>
      </c>
      <c r="C609" s="1" t="n">
        <v>45822</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52255-2022</t>
        </is>
      </c>
      <c r="B610" s="1" t="n">
        <v>44873</v>
      </c>
      <c r="C610" s="1" t="n">
        <v>45822</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52295-2022</t>
        </is>
      </c>
      <c r="B611" s="1" t="n">
        <v>44873</v>
      </c>
      <c r="C611" s="1" t="n">
        <v>45822</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52652-2022</t>
        </is>
      </c>
      <c r="B612" s="1" t="n">
        <v>44874</v>
      </c>
      <c r="C612" s="1" t="n">
        <v>45822</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52389-2022</t>
        </is>
      </c>
      <c r="B613" s="1" t="n">
        <v>44874</v>
      </c>
      <c r="C613" s="1" t="n">
        <v>45822</v>
      </c>
      <c r="D613" t="inlineStr">
        <is>
          <t>UPPSALA LÄN</t>
        </is>
      </c>
      <c r="E613" t="inlineStr">
        <is>
          <t>ÖSTHAMMAR</t>
        </is>
      </c>
      <c r="G613" t="n">
        <v>3.1</v>
      </c>
      <c r="H613" t="n">
        <v>0</v>
      </c>
      <c r="I613" t="n">
        <v>0</v>
      </c>
      <c r="J613" t="n">
        <v>0</v>
      </c>
      <c r="K613" t="n">
        <v>0</v>
      </c>
      <c r="L613" t="n">
        <v>0</v>
      </c>
      <c r="M613" t="n">
        <v>0</v>
      </c>
      <c r="N613" t="n">
        <v>0</v>
      </c>
      <c r="O613" t="n">
        <v>0</v>
      </c>
      <c r="P613" t="n">
        <v>0</v>
      </c>
      <c r="Q613" t="n">
        <v>0</v>
      </c>
      <c r="R613" s="2" t="inlineStr"/>
    </row>
    <row r="614" ht="15" customHeight="1">
      <c r="A614" t="inlineStr">
        <is>
          <t>A 52663-2022</t>
        </is>
      </c>
      <c r="B614" s="1" t="n">
        <v>44874</v>
      </c>
      <c r="C614" s="1" t="n">
        <v>45822</v>
      </c>
      <c r="D614" t="inlineStr">
        <is>
          <t>UPPSALA LÄN</t>
        </is>
      </c>
      <c r="E614" t="inlineStr">
        <is>
          <t>ÖSTHAMMAR</t>
        </is>
      </c>
      <c r="F614" t="inlineStr">
        <is>
          <t>Bergvik skog öst AB</t>
        </is>
      </c>
      <c r="G614" t="n">
        <v>2.6</v>
      </c>
      <c r="H614" t="n">
        <v>0</v>
      </c>
      <c r="I614" t="n">
        <v>0</v>
      </c>
      <c r="J614" t="n">
        <v>0</v>
      </c>
      <c r="K614" t="n">
        <v>0</v>
      </c>
      <c r="L614" t="n">
        <v>0</v>
      </c>
      <c r="M614" t="n">
        <v>0</v>
      </c>
      <c r="N614" t="n">
        <v>0</v>
      </c>
      <c r="O614" t="n">
        <v>0</v>
      </c>
      <c r="P614" t="n">
        <v>0</v>
      </c>
      <c r="Q614" t="n">
        <v>0</v>
      </c>
      <c r="R614" s="2" t="inlineStr"/>
    </row>
    <row r="615" ht="15" customHeight="1">
      <c r="A615" t="inlineStr">
        <is>
          <t>A 52650-2022</t>
        </is>
      </c>
      <c r="B615" s="1" t="n">
        <v>44874</v>
      </c>
      <c r="C615" s="1" t="n">
        <v>45822</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52661-2022</t>
        </is>
      </c>
      <c r="B616" s="1" t="n">
        <v>44874</v>
      </c>
      <c r="C616" s="1" t="n">
        <v>45822</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53180-2022</t>
        </is>
      </c>
      <c r="B617" s="1" t="n">
        <v>44876</v>
      </c>
      <c r="C617" s="1" t="n">
        <v>45822</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54666-2022</t>
        </is>
      </c>
      <c r="B618" s="1" t="n">
        <v>44883</v>
      </c>
      <c r="C618" s="1" t="n">
        <v>45822</v>
      </c>
      <c r="D618" t="inlineStr">
        <is>
          <t>UPPSALA LÄN</t>
        </is>
      </c>
      <c r="E618" t="inlineStr">
        <is>
          <t>ÖSTHAMMAR</t>
        </is>
      </c>
      <c r="G618" t="n">
        <v>14.3</v>
      </c>
      <c r="H618" t="n">
        <v>0</v>
      </c>
      <c r="I618" t="n">
        <v>0</v>
      </c>
      <c r="J618" t="n">
        <v>0</v>
      </c>
      <c r="K618" t="n">
        <v>0</v>
      </c>
      <c r="L618" t="n">
        <v>0</v>
      </c>
      <c r="M618" t="n">
        <v>0</v>
      </c>
      <c r="N618" t="n">
        <v>0</v>
      </c>
      <c r="O618" t="n">
        <v>0</v>
      </c>
      <c r="P618" t="n">
        <v>0</v>
      </c>
      <c r="Q618" t="n">
        <v>0</v>
      </c>
      <c r="R618" s="2" t="inlineStr"/>
    </row>
    <row r="619" ht="15" customHeight="1">
      <c r="A619" t="inlineStr">
        <is>
          <t>A 56260-2022</t>
        </is>
      </c>
      <c r="B619" s="1" t="n">
        <v>44890</v>
      </c>
      <c r="C619" s="1" t="n">
        <v>45822</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56969-2022</t>
        </is>
      </c>
      <c r="B620" s="1" t="n">
        <v>44894</v>
      </c>
      <c r="C620" s="1" t="n">
        <v>45822</v>
      </c>
      <c r="D620" t="inlineStr">
        <is>
          <t>UPPSALA LÄN</t>
        </is>
      </c>
      <c r="E620" t="inlineStr">
        <is>
          <t>ÖSTHAMMAR</t>
        </is>
      </c>
      <c r="G620" t="n">
        <v>5.5</v>
      </c>
      <c r="H620" t="n">
        <v>0</v>
      </c>
      <c r="I620" t="n">
        <v>0</v>
      </c>
      <c r="J620" t="n">
        <v>0</v>
      </c>
      <c r="K620" t="n">
        <v>0</v>
      </c>
      <c r="L620" t="n">
        <v>0</v>
      </c>
      <c r="M620" t="n">
        <v>0</v>
      </c>
      <c r="N620" t="n">
        <v>0</v>
      </c>
      <c r="O620" t="n">
        <v>0</v>
      </c>
      <c r="P620" t="n">
        <v>0</v>
      </c>
      <c r="Q620" t="n">
        <v>0</v>
      </c>
      <c r="R620" s="2" t="inlineStr"/>
    </row>
    <row r="621" ht="15" customHeight="1">
      <c r="A621" t="inlineStr">
        <is>
          <t>A 57462-2022</t>
        </is>
      </c>
      <c r="B621" s="1" t="n">
        <v>44896</v>
      </c>
      <c r="C621" s="1" t="n">
        <v>45822</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57453-2022</t>
        </is>
      </c>
      <c r="B622" s="1" t="n">
        <v>44896</v>
      </c>
      <c r="C622" s="1" t="n">
        <v>45822</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58127-2022</t>
        </is>
      </c>
      <c r="B623" s="1" t="n">
        <v>44900</v>
      </c>
      <c r="C623" s="1" t="n">
        <v>45822</v>
      </c>
      <c r="D623" t="inlineStr">
        <is>
          <t>UPPSALA LÄN</t>
        </is>
      </c>
      <c r="E623" t="inlineStr">
        <is>
          <t>ÖSTHAMMAR</t>
        </is>
      </c>
      <c r="F623" t="inlineStr">
        <is>
          <t>Bergvik skog öst AB</t>
        </is>
      </c>
      <c r="G623" t="n">
        <v>6.4</v>
      </c>
      <c r="H623" t="n">
        <v>0</v>
      </c>
      <c r="I623" t="n">
        <v>0</v>
      </c>
      <c r="J623" t="n">
        <v>0</v>
      </c>
      <c r="K623" t="n">
        <v>0</v>
      </c>
      <c r="L623" t="n">
        <v>0</v>
      </c>
      <c r="M623" t="n">
        <v>0</v>
      </c>
      <c r="N623" t="n">
        <v>0</v>
      </c>
      <c r="O623" t="n">
        <v>0</v>
      </c>
      <c r="P623" t="n">
        <v>0</v>
      </c>
      <c r="Q623" t="n">
        <v>0</v>
      </c>
      <c r="R623" s="2" t="inlineStr"/>
    </row>
    <row r="624" ht="15" customHeight="1">
      <c r="A624" t="inlineStr">
        <is>
          <t>A 58367-2022</t>
        </is>
      </c>
      <c r="B624" s="1" t="n">
        <v>44901</v>
      </c>
      <c r="C624" s="1" t="n">
        <v>45822</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58878-2022</t>
        </is>
      </c>
      <c r="B625" s="1" t="n">
        <v>44903</v>
      </c>
      <c r="C625" s="1" t="n">
        <v>45822</v>
      </c>
      <c r="D625" t="inlineStr">
        <is>
          <t>UPPSALA LÄN</t>
        </is>
      </c>
      <c r="E625" t="inlineStr">
        <is>
          <t>ÖSTHAMMAR</t>
        </is>
      </c>
      <c r="G625" t="n">
        <v>0.8</v>
      </c>
      <c r="H625" t="n">
        <v>0</v>
      </c>
      <c r="I625" t="n">
        <v>0</v>
      </c>
      <c r="J625" t="n">
        <v>0</v>
      </c>
      <c r="K625" t="n">
        <v>0</v>
      </c>
      <c r="L625" t="n">
        <v>0</v>
      </c>
      <c r="M625" t="n">
        <v>0</v>
      </c>
      <c r="N625" t="n">
        <v>0</v>
      </c>
      <c r="O625" t="n">
        <v>0</v>
      </c>
      <c r="P625" t="n">
        <v>0</v>
      </c>
      <c r="Q625" t="n">
        <v>0</v>
      </c>
      <c r="R625" s="2" t="inlineStr"/>
    </row>
    <row r="626" ht="15" customHeight="1">
      <c r="A626" t="inlineStr">
        <is>
          <t>A 60258-2022</t>
        </is>
      </c>
      <c r="B626" s="1" t="n">
        <v>44903</v>
      </c>
      <c r="C626" s="1" t="n">
        <v>45822</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59382-2022</t>
        </is>
      </c>
      <c r="B627" s="1" t="n">
        <v>44905</v>
      </c>
      <c r="C627" s="1" t="n">
        <v>45822</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59563-2022</t>
        </is>
      </c>
      <c r="B628" s="1" t="n">
        <v>44907</v>
      </c>
      <c r="C628" s="1" t="n">
        <v>45822</v>
      </c>
      <c r="D628" t="inlineStr">
        <is>
          <t>UPPSALA LÄN</t>
        </is>
      </c>
      <c r="E628" t="inlineStr">
        <is>
          <t>ÖSTHAMMAR</t>
        </is>
      </c>
      <c r="G628" t="n">
        <v>2.8</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v>
      </c>
      <c r="C629" s="1" t="n">
        <v>45822</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60079-2022</t>
        </is>
      </c>
      <c r="B630" s="1" t="n">
        <v>44909</v>
      </c>
      <c r="C630" s="1" t="n">
        <v>45822</v>
      </c>
      <c r="D630" t="inlineStr">
        <is>
          <t>UPPSALA LÄN</t>
        </is>
      </c>
      <c r="E630" t="inlineStr">
        <is>
          <t>ÖSTHAMMAR</t>
        </is>
      </c>
      <c r="G630" t="n">
        <v>9.6</v>
      </c>
      <c r="H630" t="n">
        <v>0</v>
      </c>
      <c r="I630" t="n">
        <v>0</v>
      </c>
      <c r="J630" t="n">
        <v>0</v>
      </c>
      <c r="K630" t="n">
        <v>0</v>
      </c>
      <c r="L630" t="n">
        <v>0</v>
      </c>
      <c r="M630" t="n">
        <v>0</v>
      </c>
      <c r="N630" t="n">
        <v>0</v>
      </c>
      <c r="O630" t="n">
        <v>0</v>
      </c>
      <c r="P630" t="n">
        <v>0</v>
      </c>
      <c r="Q630" t="n">
        <v>0</v>
      </c>
      <c r="R630" s="2" t="inlineStr"/>
    </row>
    <row r="631" ht="15" customHeight="1">
      <c r="A631" t="inlineStr">
        <is>
          <t>A 60597-2022</t>
        </is>
      </c>
      <c r="B631" s="1" t="n">
        <v>44911</v>
      </c>
      <c r="C631" s="1" t="n">
        <v>45822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61261-2022</t>
        </is>
      </c>
      <c r="B632" s="1" t="n">
        <v>44915</v>
      </c>
      <c r="C632" s="1" t="n">
        <v>45822</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61216-2022</t>
        </is>
      </c>
      <c r="B633" s="1" t="n">
        <v>44915</v>
      </c>
      <c r="C633" s="1" t="n">
        <v>45822</v>
      </c>
      <c r="D633" t="inlineStr">
        <is>
          <t>UPPSALA LÄN</t>
        </is>
      </c>
      <c r="E633" t="inlineStr">
        <is>
          <t>ÖSTHAMMAR</t>
        </is>
      </c>
      <c r="G633" t="n">
        <v>2.9</v>
      </c>
      <c r="H633" t="n">
        <v>0</v>
      </c>
      <c r="I633" t="n">
        <v>0</v>
      </c>
      <c r="J633" t="n">
        <v>0</v>
      </c>
      <c r="K633" t="n">
        <v>0</v>
      </c>
      <c r="L633" t="n">
        <v>0</v>
      </c>
      <c r="M633" t="n">
        <v>0</v>
      </c>
      <c r="N633" t="n">
        <v>0</v>
      </c>
      <c r="O633" t="n">
        <v>0</v>
      </c>
      <c r="P633" t="n">
        <v>0</v>
      </c>
      <c r="Q633" t="n">
        <v>0</v>
      </c>
      <c r="R633" s="2" t="inlineStr"/>
    </row>
    <row r="634" ht="15" customHeight="1">
      <c r="A634" t="inlineStr">
        <is>
          <t>A 61257-2022</t>
        </is>
      </c>
      <c r="B634" s="1" t="n">
        <v>44915</v>
      </c>
      <c r="C634" s="1" t="n">
        <v>45822</v>
      </c>
      <c r="D634" t="inlineStr">
        <is>
          <t>UPPSALA LÄN</t>
        </is>
      </c>
      <c r="E634" t="inlineStr">
        <is>
          <t>ÖSTHAMMAR</t>
        </is>
      </c>
      <c r="G634" t="n">
        <v>1</v>
      </c>
      <c r="H634" t="n">
        <v>0</v>
      </c>
      <c r="I634" t="n">
        <v>0</v>
      </c>
      <c r="J634" t="n">
        <v>0</v>
      </c>
      <c r="K634" t="n">
        <v>0</v>
      </c>
      <c r="L634" t="n">
        <v>0</v>
      </c>
      <c r="M634" t="n">
        <v>0</v>
      </c>
      <c r="N634" t="n">
        <v>0</v>
      </c>
      <c r="O634" t="n">
        <v>0</v>
      </c>
      <c r="P634" t="n">
        <v>0</v>
      </c>
      <c r="Q634" t="n">
        <v>0</v>
      </c>
      <c r="R634" s="2" t="inlineStr"/>
    </row>
    <row r="635" ht="15" customHeight="1">
      <c r="A635" t="inlineStr">
        <is>
          <t>A 62295-2022</t>
        </is>
      </c>
      <c r="B635" s="1" t="n">
        <v>44916</v>
      </c>
      <c r="C635" s="1" t="n">
        <v>45822</v>
      </c>
      <c r="D635" t="inlineStr">
        <is>
          <t>UPPSALA LÄN</t>
        </is>
      </c>
      <c r="E635" t="inlineStr">
        <is>
          <t>ÖSTHAMMAR</t>
        </is>
      </c>
      <c r="G635" t="n">
        <v>3.3</v>
      </c>
      <c r="H635" t="n">
        <v>0</v>
      </c>
      <c r="I635" t="n">
        <v>0</v>
      </c>
      <c r="J635" t="n">
        <v>0</v>
      </c>
      <c r="K635" t="n">
        <v>0</v>
      </c>
      <c r="L635" t="n">
        <v>0</v>
      </c>
      <c r="M635" t="n">
        <v>0</v>
      </c>
      <c r="N635" t="n">
        <v>0</v>
      </c>
      <c r="O635" t="n">
        <v>0</v>
      </c>
      <c r="P635" t="n">
        <v>0</v>
      </c>
      <c r="Q635" t="n">
        <v>0</v>
      </c>
      <c r="R635" s="2" t="inlineStr"/>
    </row>
    <row r="636" ht="15" customHeight="1">
      <c r="A636" t="inlineStr">
        <is>
          <t>A 62394-2022</t>
        </is>
      </c>
      <c r="B636" s="1" t="n">
        <v>44923</v>
      </c>
      <c r="C636" s="1" t="n">
        <v>45822</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62393-2022</t>
        </is>
      </c>
      <c r="B637" s="1" t="n">
        <v>44923</v>
      </c>
      <c r="C637" s="1" t="n">
        <v>45822</v>
      </c>
      <c r="D637" t="inlineStr">
        <is>
          <t>UPPSALA LÄN</t>
        </is>
      </c>
      <c r="E637" t="inlineStr">
        <is>
          <t>ÖSTHAMMAR</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62392-2022</t>
        </is>
      </c>
      <c r="B638" s="1" t="n">
        <v>44923</v>
      </c>
      <c r="C638" s="1" t="n">
        <v>45822</v>
      </c>
      <c r="D638" t="inlineStr">
        <is>
          <t>UPPSALA LÄN</t>
        </is>
      </c>
      <c r="E638" t="inlineStr">
        <is>
          <t>ÖSTHAMMAR</t>
        </is>
      </c>
      <c r="F638" t="inlineStr">
        <is>
          <t>Bergvik skog öst AB</t>
        </is>
      </c>
      <c r="G638" t="n">
        <v>1.7</v>
      </c>
      <c r="H638" t="n">
        <v>0</v>
      </c>
      <c r="I638" t="n">
        <v>0</v>
      </c>
      <c r="J638" t="n">
        <v>0</v>
      </c>
      <c r="K638" t="n">
        <v>0</v>
      </c>
      <c r="L638" t="n">
        <v>0</v>
      </c>
      <c r="M638" t="n">
        <v>0</v>
      </c>
      <c r="N638" t="n">
        <v>0</v>
      </c>
      <c r="O638" t="n">
        <v>0</v>
      </c>
      <c r="P638" t="n">
        <v>0</v>
      </c>
      <c r="Q638" t="n">
        <v>0</v>
      </c>
      <c r="R638" s="2" t="inlineStr"/>
    </row>
    <row r="639" ht="15" customHeight="1">
      <c r="A639" t="inlineStr">
        <is>
          <t>A 62391-2022</t>
        </is>
      </c>
      <c r="B639" s="1" t="n">
        <v>44923</v>
      </c>
      <c r="C639" s="1" t="n">
        <v>45822</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57-2023</t>
        </is>
      </c>
      <c r="B640" s="1" t="n">
        <v>44928</v>
      </c>
      <c r="C640" s="1" t="n">
        <v>45822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59-2023</t>
        </is>
      </c>
      <c r="B641" s="1" t="n">
        <v>44928</v>
      </c>
      <c r="C641" s="1" t="n">
        <v>45822</v>
      </c>
      <c r="D641" t="inlineStr">
        <is>
          <t>UPPSALA LÄN</t>
        </is>
      </c>
      <c r="E641" t="inlineStr">
        <is>
          <t>ÖSTHAMMAR</t>
        </is>
      </c>
      <c r="G641" t="n">
        <v>1.5</v>
      </c>
      <c r="H641" t="n">
        <v>0</v>
      </c>
      <c r="I641" t="n">
        <v>0</v>
      </c>
      <c r="J641" t="n">
        <v>0</v>
      </c>
      <c r="K641" t="n">
        <v>0</v>
      </c>
      <c r="L641" t="n">
        <v>0</v>
      </c>
      <c r="M641" t="n">
        <v>0</v>
      </c>
      <c r="N641" t="n">
        <v>0</v>
      </c>
      <c r="O641" t="n">
        <v>0</v>
      </c>
      <c r="P641" t="n">
        <v>0</v>
      </c>
      <c r="Q641" t="n">
        <v>0</v>
      </c>
      <c r="R641" s="2" t="inlineStr"/>
    </row>
    <row r="642" ht="15" customHeight="1">
      <c r="A642" t="inlineStr">
        <is>
          <t>A 390-2023</t>
        </is>
      </c>
      <c r="B642" s="1" t="n">
        <v>44929</v>
      </c>
      <c r="C642" s="1" t="n">
        <v>45822</v>
      </c>
      <c r="D642" t="inlineStr">
        <is>
          <t>UPPSALA LÄN</t>
        </is>
      </c>
      <c r="E642" t="inlineStr">
        <is>
          <t>ÖSTHAMMAR</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1791-2023</t>
        </is>
      </c>
      <c r="B643" s="1" t="n">
        <v>44938</v>
      </c>
      <c r="C643" s="1" t="n">
        <v>45822</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1800-2023</t>
        </is>
      </c>
      <c r="B644" s="1" t="n">
        <v>44938</v>
      </c>
      <c r="C644" s="1" t="n">
        <v>45822</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1796-2023</t>
        </is>
      </c>
      <c r="B645" s="1" t="n">
        <v>44938</v>
      </c>
      <c r="C645" s="1" t="n">
        <v>45822</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2733-2023</t>
        </is>
      </c>
      <c r="B646" s="1" t="n">
        <v>44943</v>
      </c>
      <c r="C646" s="1" t="n">
        <v>45822</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2967-2023</t>
        </is>
      </c>
      <c r="B647" s="1" t="n">
        <v>44945</v>
      </c>
      <c r="C647" s="1" t="n">
        <v>45822</v>
      </c>
      <c r="D647" t="inlineStr">
        <is>
          <t>UPPSALA LÄN</t>
        </is>
      </c>
      <c r="E647" t="inlineStr">
        <is>
          <t>ÖSTHAMMAR</t>
        </is>
      </c>
      <c r="F647" t="inlineStr">
        <is>
          <t>Övriga Aktiebolag</t>
        </is>
      </c>
      <c r="G647" t="n">
        <v>3.1</v>
      </c>
      <c r="H647" t="n">
        <v>0</v>
      </c>
      <c r="I647" t="n">
        <v>0</v>
      </c>
      <c r="J647" t="n">
        <v>0</v>
      </c>
      <c r="K647" t="n">
        <v>0</v>
      </c>
      <c r="L647" t="n">
        <v>0</v>
      </c>
      <c r="M647" t="n">
        <v>0</v>
      </c>
      <c r="N647" t="n">
        <v>0</v>
      </c>
      <c r="O647" t="n">
        <v>0</v>
      </c>
      <c r="P647" t="n">
        <v>0</v>
      </c>
      <c r="Q647" t="n">
        <v>0</v>
      </c>
      <c r="R647" s="2" t="inlineStr"/>
    </row>
    <row r="648" ht="15" customHeight="1">
      <c r="A648" t="inlineStr">
        <is>
          <t>A 3005-2023</t>
        </is>
      </c>
      <c r="B648" s="1" t="n">
        <v>44945</v>
      </c>
      <c r="C648" s="1" t="n">
        <v>45822</v>
      </c>
      <c r="D648" t="inlineStr">
        <is>
          <t>UPPSALA LÄN</t>
        </is>
      </c>
      <c r="E648" t="inlineStr">
        <is>
          <t>ÖSTHAMMAR</t>
        </is>
      </c>
      <c r="F648" t="inlineStr">
        <is>
          <t>Bergvik skog öst AB</t>
        </is>
      </c>
      <c r="G648" t="n">
        <v>6.5</v>
      </c>
      <c r="H648" t="n">
        <v>0</v>
      </c>
      <c r="I648" t="n">
        <v>0</v>
      </c>
      <c r="J648" t="n">
        <v>0</v>
      </c>
      <c r="K648" t="n">
        <v>0</v>
      </c>
      <c r="L648" t="n">
        <v>0</v>
      </c>
      <c r="M648" t="n">
        <v>0</v>
      </c>
      <c r="N648" t="n">
        <v>0</v>
      </c>
      <c r="O648" t="n">
        <v>0</v>
      </c>
      <c r="P648" t="n">
        <v>0</v>
      </c>
      <c r="Q648" t="n">
        <v>0</v>
      </c>
      <c r="R648" s="2" t="inlineStr"/>
    </row>
    <row r="649" ht="15" customHeight="1">
      <c r="A649" t="inlineStr">
        <is>
          <t>A 3743-2023</t>
        </is>
      </c>
      <c r="B649" s="1" t="n">
        <v>44948</v>
      </c>
      <c r="C649" s="1" t="n">
        <v>45822</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v>
      </c>
      <c r="C650" s="1" t="n">
        <v>45822</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3514-2023</t>
        </is>
      </c>
      <c r="B651" s="1" t="n">
        <v>44950</v>
      </c>
      <c r="C651" s="1" t="n">
        <v>45822</v>
      </c>
      <c r="D651" t="inlineStr">
        <is>
          <t>UPPSALA LÄN</t>
        </is>
      </c>
      <c r="E651" t="inlineStr">
        <is>
          <t>ÖSTHAMMAR</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4004-2023</t>
        </is>
      </c>
      <c r="B652" s="1" t="n">
        <v>44952</v>
      </c>
      <c r="C652" s="1" t="n">
        <v>45822</v>
      </c>
      <c r="D652" t="inlineStr">
        <is>
          <t>UPPSALA LÄN</t>
        </is>
      </c>
      <c r="E652" t="inlineStr">
        <is>
          <t>ÖSTHAMMAR</t>
        </is>
      </c>
      <c r="G652" t="n">
        <v>4.1</v>
      </c>
      <c r="H652" t="n">
        <v>0</v>
      </c>
      <c r="I652" t="n">
        <v>0</v>
      </c>
      <c r="J652" t="n">
        <v>0</v>
      </c>
      <c r="K652" t="n">
        <v>0</v>
      </c>
      <c r="L652" t="n">
        <v>0</v>
      </c>
      <c r="M652" t="n">
        <v>0</v>
      </c>
      <c r="N652" t="n">
        <v>0</v>
      </c>
      <c r="O652" t="n">
        <v>0</v>
      </c>
      <c r="P652" t="n">
        <v>0</v>
      </c>
      <c r="Q652" t="n">
        <v>0</v>
      </c>
      <c r="R652" s="2" t="inlineStr"/>
    </row>
    <row r="653" ht="15" customHeight="1">
      <c r="A653" t="inlineStr">
        <is>
          <t>A 4054-2023</t>
        </is>
      </c>
      <c r="B653" s="1" t="n">
        <v>44952</v>
      </c>
      <c r="C653" s="1" t="n">
        <v>45822</v>
      </c>
      <c r="D653" t="inlineStr">
        <is>
          <t>UPPSALA LÄN</t>
        </is>
      </c>
      <c r="E653" t="inlineStr">
        <is>
          <t>ÖSTHAMMAR</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4233-2023</t>
        </is>
      </c>
      <c r="B654" s="1" t="n">
        <v>44953</v>
      </c>
      <c r="C654" s="1" t="n">
        <v>45822</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4228-2023</t>
        </is>
      </c>
      <c r="B655" s="1" t="n">
        <v>44953</v>
      </c>
      <c r="C655" s="1" t="n">
        <v>45822</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4361-2023</t>
        </is>
      </c>
      <c r="B656" s="1" t="n">
        <v>44954</v>
      </c>
      <c r="C656" s="1" t="n">
        <v>45822</v>
      </c>
      <c r="D656" t="inlineStr">
        <is>
          <t>UPPSALA LÄN</t>
        </is>
      </c>
      <c r="E656" t="inlineStr">
        <is>
          <t>ÖSTHAMMAR</t>
        </is>
      </c>
      <c r="F656" t="inlineStr">
        <is>
          <t>Bergvik skog öst AB</t>
        </is>
      </c>
      <c r="G656" t="n">
        <v>18.3</v>
      </c>
      <c r="H656" t="n">
        <v>0</v>
      </c>
      <c r="I656" t="n">
        <v>0</v>
      </c>
      <c r="J656" t="n">
        <v>0</v>
      </c>
      <c r="K656" t="n">
        <v>0</v>
      </c>
      <c r="L656" t="n">
        <v>0</v>
      </c>
      <c r="M656" t="n">
        <v>0</v>
      </c>
      <c r="N656" t="n">
        <v>0</v>
      </c>
      <c r="O656" t="n">
        <v>0</v>
      </c>
      <c r="P656" t="n">
        <v>0</v>
      </c>
      <c r="Q656" t="n">
        <v>0</v>
      </c>
      <c r="R656" s="2" t="inlineStr"/>
    </row>
    <row r="657" ht="15" customHeight="1">
      <c r="A657" t="inlineStr">
        <is>
          <t>A 5404-2023</t>
        </is>
      </c>
      <c r="B657" s="1" t="n">
        <v>44957</v>
      </c>
      <c r="C657" s="1" t="n">
        <v>45822</v>
      </c>
      <c r="D657" t="inlineStr">
        <is>
          <t>UPPSALA LÄN</t>
        </is>
      </c>
      <c r="E657" t="inlineStr">
        <is>
          <t>ÖSTHAMMAR</t>
        </is>
      </c>
      <c r="G657" t="n">
        <v>2.5</v>
      </c>
      <c r="H657" t="n">
        <v>0</v>
      </c>
      <c r="I657" t="n">
        <v>0</v>
      </c>
      <c r="J657" t="n">
        <v>0</v>
      </c>
      <c r="K657" t="n">
        <v>0</v>
      </c>
      <c r="L657" t="n">
        <v>0</v>
      </c>
      <c r="M657" t="n">
        <v>0</v>
      </c>
      <c r="N657" t="n">
        <v>0</v>
      </c>
      <c r="O657" t="n">
        <v>0</v>
      </c>
      <c r="P657" t="n">
        <v>0</v>
      </c>
      <c r="Q657" t="n">
        <v>0</v>
      </c>
      <c r="R657" s="2" t="inlineStr"/>
    </row>
    <row r="658" ht="15" customHeight="1">
      <c r="A658" t="inlineStr">
        <is>
          <t>A 5429-2023</t>
        </is>
      </c>
      <c r="B658" s="1" t="n">
        <v>44959</v>
      </c>
      <c r="C658" s="1" t="n">
        <v>45822</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5430-2023</t>
        </is>
      </c>
      <c r="B659" s="1" t="n">
        <v>44959</v>
      </c>
      <c r="C659" s="1" t="n">
        <v>45822</v>
      </c>
      <c r="D659" t="inlineStr">
        <is>
          <t>UPPSALA LÄN</t>
        </is>
      </c>
      <c r="E659" t="inlineStr">
        <is>
          <t>ÖSTHAMMAR</t>
        </is>
      </c>
      <c r="F659" t="inlineStr">
        <is>
          <t>Bergvik skog öst AB</t>
        </is>
      </c>
      <c r="G659" t="n">
        <v>18.4</v>
      </c>
      <c r="H659" t="n">
        <v>0</v>
      </c>
      <c r="I659" t="n">
        <v>0</v>
      </c>
      <c r="J659" t="n">
        <v>0</v>
      </c>
      <c r="K659" t="n">
        <v>0</v>
      </c>
      <c r="L659" t="n">
        <v>0</v>
      </c>
      <c r="M659" t="n">
        <v>0</v>
      </c>
      <c r="N659" t="n">
        <v>0</v>
      </c>
      <c r="O659" t="n">
        <v>0</v>
      </c>
      <c r="P659" t="n">
        <v>0</v>
      </c>
      <c r="Q659" t="n">
        <v>0</v>
      </c>
      <c r="R659" s="2" t="inlineStr"/>
    </row>
    <row r="660" ht="15" customHeight="1">
      <c r="A660" t="inlineStr">
        <is>
          <t>A 5643-2023</t>
        </is>
      </c>
      <c r="B660" s="1" t="n">
        <v>44960</v>
      </c>
      <c r="C660" s="1" t="n">
        <v>45822</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6629-2023</t>
        </is>
      </c>
      <c r="B661" s="1" t="n">
        <v>44960</v>
      </c>
      <c r="C661" s="1" t="n">
        <v>45822</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6635-2023</t>
        </is>
      </c>
      <c r="B662" s="1" t="n">
        <v>44960</v>
      </c>
      <c r="C662" s="1" t="n">
        <v>45822</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5832-2023</t>
        </is>
      </c>
      <c r="B663" s="1" t="n">
        <v>44963</v>
      </c>
      <c r="C663" s="1" t="n">
        <v>45822</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5836-2023</t>
        </is>
      </c>
      <c r="B664" s="1" t="n">
        <v>44963</v>
      </c>
      <c r="C664" s="1" t="n">
        <v>45822</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5831-2023</t>
        </is>
      </c>
      <c r="B665" s="1" t="n">
        <v>44963</v>
      </c>
      <c r="C665" s="1" t="n">
        <v>45822</v>
      </c>
      <c r="D665" t="inlineStr">
        <is>
          <t>UPPSALA LÄN</t>
        </is>
      </c>
      <c r="E665" t="inlineStr">
        <is>
          <t>ÖSTHAMMAR</t>
        </is>
      </c>
      <c r="G665" t="n">
        <v>8.1</v>
      </c>
      <c r="H665" t="n">
        <v>0</v>
      </c>
      <c r="I665" t="n">
        <v>0</v>
      </c>
      <c r="J665" t="n">
        <v>0</v>
      </c>
      <c r="K665" t="n">
        <v>0</v>
      </c>
      <c r="L665" t="n">
        <v>0</v>
      </c>
      <c r="M665" t="n">
        <v>0</v>
      </c>
      <c r="N665" t="n">
        <v>0</v>
      </c>
      <c r="O665" t="n">
        <v>0</v>
      </c>
      <c r="P665" t="n">
        <v>0</v>
      </c>
      <c r="Q665" t="n">
        <v>0</v>
      </c>
      <c r="R665" s="2" t="inlineStr"/>
    </row>
    <row r="666" ht="15" customHeight="1">
      <c r="A666" t="inlineStr">
        <is>
          <t>A 5857-2023</t>
        </is>
      </c>
      <c r="B666" s="1" t="n">
        <v>44963</v>
      </c>
      <c r="C666" s="1" t="n">
        <v>45822</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5884-2023</t>
        </is>
      </c>
      <c r="B667" s="1" t="n">
        <v>44963</v>
      </c>
      <c r="C667" s="1" t="n">
        <v>45822</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5877-2023</t>
        </is>
      </c>
      <c r="B668" s="1" t="n">
        <v>44963</v>
      </c>
      <c r="C668" s="1" t="n">
        <v>45822</v>
      </c>
      <c r="D668" t="inlineStr">
        <is>
          <t>UPPSALA LÄN</t>
        </is>
      </c>
      <c r="E668" t="inlineStr">
        <is>
          <t>ÖSTHAMMAR</t>
        </is>
      </c>
      <c r="G668" t="n">
        <v>0.7</v>
      </c>
      <c r="H668" t="n">
        <v>0</v>
      </c>
      <c r="I668" t="n">
        <v>0</v>
      </c>
      <c r="J668" t="n">
        <v>0</v>
      </c>
      <c r="K668" t="n">
        <v>0</v>
      </c>
      <c r="L668" t="n">
        <v>0</v>
      </c>
      <c r="M668" t="n">
        <v>0</v>
      </c>
      <c r="N668" t="n">
        <v>0</v>
      </c>
      <c r="O668" t="n">
        <v>0</v>
      </c>
      <c r="P668" t="n">
        <v>0</v>
      </c>
      <c r="Q668" t="n">
        <v>0</v>
      </c>
      <c r="R668" s="2" t="inlineStr"/>
    </row>
    <row r="669" ht="15" customHeight="1">
      <c r="A669" t="inlineStr">
        <is>
          <t>A 7195-2023</t>
        </is>
      </c>
      <c r="B669" s="1" t="n">
        <v>44970</v>
      </c>
      <c r="C669" s="1" t="n">
        <v>45822</v>
      </c>
      <c r="D669" t="inlineStr">
        <is>
          <t>UPPSALA LÄN</t>
        </is>
      </c>
      <c r="E669" t="inlineStr">
        <is>
          <t>ÖSTHAMMAR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7206-2023</t>
        </is>
      </c>
      <c r="B670" s="1" t="n">
        <v>44970</v>
      </c>
      <c r="C670" s="1" t="n">
        <v>45822</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7118-2023</t>
        </is>
      </c>
      <c r="B671" s="1" t="n">
        <v>44970</v>
      </c>
      <c r="C671" s="1" t="n">
        <v>45822</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7546-2023</t>
        </is>
      </c>
      <c r="B672" s="1" t="n">
        <v>44972</v>
      </c>
      <c r="C672" s="1" t="n">
        <v>45822</v>
      </c>
      <c r="D672" t="inlineStr">
        <is>
          <t>UPPSALA LÄN</t>
        </is>
      </c>
      <c r="E672" t="inlineStr">
        <is>
          <t>ÖSTHAMMAR</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7543-2023</t>
        </is>
      </c>
      <c r="B673" s="1" t="n">
        <v>44972</v>
      </c>
      <c r="C673" s="1" t="n">
        <v>45822</v>
      </c>
      <c r="D673" t="inlineStr">
        <is>
          <t>UPPSALA LÄN</t>
        </is>
      </c>
      <c r="E673" t="inlineStr">
        <is>
          <t>ÖSTHAMMAR</t>
        </is>
      </c>
      <c r="F673" t="inlineStr">
        <is>
          <t>Bergvik skog öst AB</t>
        </is>
      </c>
      <c r="G673" t="n">
        <v>13.3</v>
      </c>
      <c r="H673" t="n">
        <v>0</v>
      </c>
      <c r="I673" t="n">
        <v>0</v>
      </c>
      <c r="J673" t="n">
        <v>0</v>
      </c>
      <c r="K673" t="n">
        <v>0</v>
      </c>
      <c r="L673" t="n">
        <v>0</v>
      </c>
      <c r="M673" t="n">
        <v>0</v>
      </c>
      <c r="N673" t="n">
        <v>0</v>
      </c>
      <c r="O673" t="n">
        <v>0</v>
      </c>
      <c r="P673" t="n">
        <v>0</v>
      </c>
      <c r="Q673" t="n">
        <v>0</v>
      </c>
      <c r="R673" s="2" t="inlineStr"/>
    </row>
    <row r="674" ht="15" customHeight="1">
      <c r="A674" t="inlineStr">
        <is>
          <t>A 7560-2023</t>
        </is>
      </c>
      <c r="B674" s="1" t="n">
        <v>44972</v>
      </c>
      <c r="C674" s="1" t="n">
        <v>45822</v>
      </c>
      <c r="D674" t="inlineStr">
        <is>
          <t>UPPSALA LÄN</t>
        </is>
      </c>
      <c r="E674" t="inlineStr">
        <is>
          <t>ÖSTHAMMAR</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7876-2023</t>
        </is>
      </c>
      <c r="B675" s="1" t="n">
        <v>44973</v>
      </c>
      <c r="C675" s="1" t="n">
        <v>45822</v>
      </c>
      <c r="D675" t="inlineStr">
        <is>
          <t>UPPSALA LÄN</t>
        </is>
      </c>
      <c r="E675" t="inlineStr">
        <is>
          <t>ÖSTHAMMAR</t>
        </is>
      </c>
      <c r="G675" t="n">
        <v>0.9</v>
      </c>
      <c r="H675" t="n">
        <v>0</v>
      </c>
      <c r="I675" t="n">
        <v>0</v>
      </c>
      <c r="J675" t="n">
        <v>0</v>
      </c>
      <c r="K675" t="n">
        <v>0</v>
      </c>
      <c r="L675" t="n">
        <v>0</v>
      </c>
      <c r="M675" t="n">
        <v>0</v>
      </c>
      <c r="N675" t="n">
        <v>0</v>
      </c>
      <c r="O675" t="n">
        <v>0</v>
      </c>
      <c r="P675" t="n">
        <v>0</v>
      </c>
      <c r="Q675" t="n">
        <v>0</v>
      </c>
      <c r="R675" s="2" t="inlineStr"/>
    </row>
    <row r="676" ht="15" customHeight="1">
      <c r="A676" t="inlineStr">
        <is>
          <t>A 7944-2023</t>
        </is>
      </c>
      <c r="B676" s="1" t="n">
        <v>44973</v>
      </c>
      <c r="C676" s="1" t="n">
        <v>45822</v>
      </c>
      <c r="D676" t="inlineStr">
        <is>
          <t>UPPSALA LÄN</t>
        </is>
      </c>
      <c r="E676" t="inlineStr">
        <is>
          <t>ÖSTHAMMAR</t>
        </is>
      </c>
      <c r="G676" t="n">
        <v>4.6</v>
      </c>
      <c r="H676" t="n">
        <v>0</v>
      </c>
      <c r="I676" t="n">
        <v>0</v>
      </c>
      <c r="J676" t="n">
        <v>0</v>
      </c>
      <c r="K676" t="n">
        <v>0</v>
      </c>
      <c r="L676" t="n">
        <v>0</v>
      </c>
      <c r="M676" t="n">
        <v>0</v>
      </c>
      <c r="N676" t="n">
        <v>0</v>
      </c>
      <c r="O676" t="n">
        <v>0</v>
      </c>
      <c r="P676" t="n">
        <v>0</v>
      </c>
      <c r="Q676" t="n">
        <v>0</v>
      </c>
      <c r="R676" s="2" t="inlineStr"/>
    </row>
    <row r="677" ht="15" customHeight="1">
      <c r="A677" t="inlineStr">
        <is>
          <t>A 7975-2023</t>
        </is>
      </c>
      <c r="B677" s="1" t="n">
        <v>44973</v>
      </c>
      <c r="C677" s="1" t="n">
        <v>45822</v>
      </c>
      <c r="D677" t="inlineStr">
        <is>
          <t>UPPSALA LÄN</t>
        </is>
      </c>
      <c r="E677" t="inlineStr">
        <is>
          <t>ÖSTHAMMAR</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8006-2023</t>
        </is>
      </c>
      <c r="B678" s="1" t="n">
        <v>44973</v>
      </c>
      <c r="C678" s="1" t="n">
        <v>45822</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8616-2023</t>
        </is>
      </c>
      <c r="B679" s="1" t="n">
        <v>44977</v>
      </c>
      <c r="C679" s="1" t="n">
        <v>45822</v>
      </c>
      <c r="D679" t="inlineStr">
        <is>
          <t>UPPSALA LÄN</t>
        </is>
      </c>
      <c r="E679" t="inlineStr">
        <is>
          <t>ÖSTHAMMAR</t>
        </is>
      </c>
      <c r="F679" t="inlineStr">
        <is>
          <t>Bergvik skog öst AB</t>
        </is>
      </c>
      <c r="G679" t="n">
        <v>0.2</v>
      </c>
      <c r="H679" t="n">
        <v>0</v>
      </c>
      <c r="I679" t="n">
        <v>0</v>
      </c>
      <c r="J679" t="n">
        <v>0</v>
      </c>
      <c r="K679" t="n">
        <v>0</v>
      </c>
      <c r="L679" t="n">
        <v>0</v>
      </c>
      <c r="M679" t="n">
        <v>0</v>
      </c>
      <c r="N679" t="n">
        <v>0</v>
      </c>
      <c r="O679" t="n">
        <v>0</v>
      </c>
      <c r="P679" t="n">
        <v>0</v>
      </c>
      <c r="Q679" t="n">
        <v>0</v>
      </c>
      <c r="R679" s="2" t="inlineStr"/>
    </row>
    <row r="680" ht="15" customHeight="1">
      <c r="A680" t="inlineStr">
        <is>
          <t>A 8826-2023</t>
        </is>
      </c>
      <c r="B680" s="1" t="n">
        <v>44978</v>
      </c>
      <c r="C680" s="1" t="n">
        <v>45822</v>
      </c>
      <c r="D680" t="inlineStr">
        <is>
          <t>UPPSALA LÄN</t>
        </is>
      </c>
      <c r="E680" t="inlineStr">
        <is>
          <t>ÖSTHAMMAR</t>
        </is>
      </c>
      <c r="F680" t="inlineStr">
        <is>
          <t>Bergvik skog öst AB</t>
        </is>
      </c>
      <c r="G680" t="n">
        <v>4.3</v>
      </c>
      <c r="H680" t="n">
        <v>0</v>
      </c>
      <c r="I680" t="n">
        <v>0</v>
      </c>
      <c r="J680" t="n">
        <v>0</v>
      </c>
      <c r="K680" t="n">
        <v>0</v>
      </c>
      <c r="L680" t="n">
        <v>0</v>
      </c>
      <c r="M680" t="n">
        <v>0</v>
      </c>
      <c r="N680" t="n">
        <v>0</v>
      </c>
      <c r="O680" t="n">
        <v>0</v>
      </c>
      <c r="P680" t="n">
        <v>0</v>
      </c>
      <c r="Q680" t="n">
        <v>0</v>
      </c>
      <c r="R680" s="2" t="inlineStr"/>
    </row>
    <row r="681" ht="15" customHeight="1">
      <c r="A681" t="inlineStr">
        <is>
          <t>A 8830-2023</t>
        </is>
      </c>
      <c r="B681" s="1" t="n">
        <v>44978</v>
      </c>
      <c r="C681" s="1" t="n">
        <v>45822</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9052-2023</t>
        </is>
      </c>
      <c r="B682" s="1" t="n">
        <v>44979</v>
      </c>
      <c r="C682" s="1" t="n">
        <v>45822</v>
      </c>
      <c r="D682" t="inlineStr">
        <is>
          <t>UPPSALA LÄN</t>
        </is>
      </c>
      <c r="E682" t="inlineStr">
        <is>
          <t>ÖSTHAMMAR</t>
        </is>
      </c>
      <c r="F682" t="inlineStr">
        <is>
          <t>Kyrkan</t>
        </is>
      </c>
      <c r="G682" t="n">
        <v>0.2</v>
      </c>
      <c r="H682" t="n">
        <v>0</v>
      </c>
      <c r="I682" t="n">
        <v>0</v>
      </c>
      <c r="J682" t="n">
        <v>0</v>
      </c>
      <c r="K682" t="n">
        <v>0</v>
      </c>
      <c r="L682" t="n">
        <v>0</v>
      </c>
      <c r="M682" t="n">
        <v>0</v>
      </c>
      <c r="N682" t="n">
        <v>0</v>
      </c>
      <c r="O682" t="n">
        <v>0</v>
      </c>
      <c r="P682" t="n">
        <v>0</v>
      </c>
      <c r="Q682" t="n">
        <v>0</v>
      </c>
      <c r="R682" s="2" t="inlineStr"/>
    </row>
    <row r="683" ht="15" customHeight="1">
      <c r="A683" t="inlineStr">
        <is>
          <t>A 9543-2023</t>
        </is>
      </c>
      <c r="B683" s="1" t="n">
        <v>44981</v>
      </c>
      <c r="C683" s="1" t="n">
        <v>45822</v>
      </c>
      <c r="D683" t="inlineStr">
        <is>
          <t>UPPSALA LÄN</t>
        </is>
      </c>
      <c r="E683" t="inlineStr">
        <is>
          <t>ÖSTHAMMAR</t>
        </is>
      </c>
      <c r="F683" t="inlineStr">
        <is>
          <t>Bergvik skog öst AB</t>
        </is>
      </c>
      <c r="G683" t="n">
        <v>5.9</v>
      </c>
      <c r="H683" t="n">
        <v>0</v>
      </c>
      <c r="I683" t="n">
        <v>0</v>
      </c>
      <c r="J683" t="n">
        <v>0</v>
      </c>
      <c r="K683" t="n">
        <v>0</v>
      </c>
      <c r="L683" t="n">
        <v>0</v>
      </c>
      <c r="M683" t="n">
        <v>0</v>
      </c>
      <c r="N683" t="n">
        <v>0</v>
      </c>
      <c r="O683" t="n">
        <v>0</v>
      </c>
      <c r="P683" t="n">
        <v>0</v>
      </c>
      <c r="Q683" t="n">
        <v>0</v>
      </c>
      <c r="R683" s="2" t="inlineStr"/>
    </row>
    <row r="684" ht="15" customHeight="1">
      <c r="A684" t="inlineStr">
        <is>
          <t>A 9542-2023</t>
        </is>
      </c>
      <c r="B684" s="1" t="n">
        <v>44981</v>
      </c>
      <c r="C684" s="1" t="n">
        <v>45822</v>
      </c>
      <c r="D684" t="inlineStr">
        <is>
          <t>UPPSALA LÄN</t>
        </is>
      </c>
      <c r="E684" t="inlineStr">
        <is>
          <t>ÖSTHAMMAR</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10449-2023</t>
        </is>
      </c>
      <c r="B685" s="1" t="n">
        <v>44987</v>
      </c>
      <c r="C685" s="1" t="n">
        <v>45822</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45822</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45822</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45822</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45822</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45822</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45822</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45822</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45822</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45822</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45822</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45822</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45822</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45822</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45822</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45822</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45822</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45822</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45822</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45822</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45822</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45822</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45822</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45822</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45822</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45822</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45822</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45822</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45822</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45822</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45822</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45822</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45822</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45822</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45822</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45822</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45822</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45822</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45822</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45822</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45822</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45822</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45822</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45822</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45822</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45822</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45822</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45822</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45822</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45822</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45822</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45822</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45822</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45822</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45822</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45822</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45822</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45822</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45822</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45822</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45822</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45822</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45822</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45822</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45822</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45822</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45822</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45822</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45822</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45822</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45822</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45822</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45822</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45822</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45822</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45822</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45822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45822</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45822</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45822</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45822</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45822</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45822</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45822</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45822</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45822</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45822</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45822</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45822</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45822</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45822</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45822</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45822</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45822</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45822</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45822</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45822</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45822</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45822</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45822</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45822</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45822</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45822</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45822</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45822</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45822</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45822</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45822</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45822</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45822</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45822</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45822</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45822</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45822</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45822</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45822</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45822</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45822</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45822</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45822</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45822</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45822</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45822</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45822</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45822</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45822</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45822</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45822</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45822</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45822</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45822</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45822</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45822</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45822</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45822</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45822</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45822</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45822</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45822</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45822</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45822</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45822</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45822</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45822</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45822</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45822</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45822</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45822</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45822</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45822</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45822</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45822</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45822</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45822</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45822</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45822</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45822</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45822</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45822</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45822</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45822</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45822</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45822</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45822</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45822</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45822</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45822</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45822</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45822</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45822</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45822</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45822</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45822</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45822</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45822</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45822</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45822</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45822</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45822</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45822</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45822</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45822</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45822</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45822</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45822</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45822</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45822</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45822</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45822</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45822</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45822</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45822</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45822</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45822</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45822</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45822</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45822</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45822</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45822</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45822</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45822</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45822</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45822</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45822</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45822</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45822</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45822</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45822</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45822</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45822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45822</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45822</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45822</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45822</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45822</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45822</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45822</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45822</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45822</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45822</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45822</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45822</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45822</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45822</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45822</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45822</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45822</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45822</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45822</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45822</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45822</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45822</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45822</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45822</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45822</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45822</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45822</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45822</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45822</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45822</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45822</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45822</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45822</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45822</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45822</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45822</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45822</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45822</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45822</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45822</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45822</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45822</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45822</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45822</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45822</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45822</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45822</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45822</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45822</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45822</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45822</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45822</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45822</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45822</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45822</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45822</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45822</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45822</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45822</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45822</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45822</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45822</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45822</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45822</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45822</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45822</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45822</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45822</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45822</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45822</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45822</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45822</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45822</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45822</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45822</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45822</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45822</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45822</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45822</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45822</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45822</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45822</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45822</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45822</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45822</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45822</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45822</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45822</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45822</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45822</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45822</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45822</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45822</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45822</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45822</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45822</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45822</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45822</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45822</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45822</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45822</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45822</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45822</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45822</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45822</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45822</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45822</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45822</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45822</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45822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45822</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45822</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45822</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45822</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45822</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45822</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45822</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45822</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45822</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45822</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45822</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45822</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45822</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45822</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45822</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45822</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45822</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45822</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45822</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45822</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45822</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45822</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45822</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45822</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45822</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45822</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45822</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45822</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45822</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45822</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45822</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45822</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45822</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45822</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45822</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45822</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45822</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45822</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45822</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45822</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45822</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45822</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45822</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45822</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45822</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45822</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45822</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45822</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45822</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45822</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45822</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45822</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45822</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45822</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45822</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45822</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45822</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45822</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45822</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45822</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45822</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45822</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45822</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45822</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45822</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45822</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45822</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45822</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45822</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45822</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45822</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45822</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45822</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45822</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45822</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45822</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45822</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45822</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45822</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45822</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45822</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45822</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45822</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45822</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45822</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45822</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45822</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45822</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45822</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45822</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45822</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45822</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45822</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45822</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45822</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45822</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45822</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45822</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45822</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45822</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45822</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45822</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45822</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45822</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45822</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45822</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45822</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45822</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45822</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45822</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45822</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45822</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45822</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45822</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45822</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45822</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45822</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45822</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45822</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45822</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45822</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45822</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45822</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45822</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45822</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45822</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45822</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45822</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45822</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45822</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45822</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45822</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45822</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45822</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45822</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45822</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45822</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45822</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45822</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45822</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45822</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45822</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45822</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45822</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45822</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45822</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45822</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45822</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45822</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45822</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45822</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45822</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45822</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45822</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45822</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45822</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45822</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45822</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45822</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45822</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45822</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45822</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45822</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45822</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45822</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45822</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45822</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45822</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45822</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45822</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45822</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45822</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45822</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45822</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45822</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45822</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45822</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45822</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45822</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45822</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45822</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45822</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45822</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45822</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45822</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45822</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45822</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45822</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45822</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45822</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45822</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45822</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45822</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45822</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45822</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45822</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45822</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45822</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45822</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45822</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45822</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45822</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45822</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45822</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45822</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45822</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45822</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45822</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45822</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45822</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45822</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45822</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45822</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45822</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45822</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45822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45822</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45822</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45822</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45822</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45822</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45822</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45822</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45822</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45822</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45822</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45822</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45822</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45822</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45822</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45822</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45822</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45822</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45822</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45822</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45822</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45822</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45822</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45822</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45822</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45822</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45822</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45822</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45822</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45822</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45822</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45822</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45822</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45822</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45822</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45822</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45822</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45822</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45822</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45822</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45822</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45822</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45822</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45822</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45822</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45822</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45822</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45822</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45822</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45822</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45822</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45822</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45822</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45822</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45822</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45822</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45822</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45822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45822</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45822</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45822</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45822</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45822</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45822</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45822</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45822</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45822</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45822</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45822</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45822</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45822</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45822</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45822</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45822</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45822</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45822</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45822</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45822</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45822</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45822</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45822</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45822</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45822</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45822</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45822</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45822</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45822</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45822</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45822</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45822</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45822</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45822</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45822</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45822</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45822</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45822</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45822</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45822</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45822</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45822</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45822</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45822</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45822</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45822</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45822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45822</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45822</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45822</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45822</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45822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45822</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45822</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45822</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45822</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45822</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45822</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45822</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45822</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45822</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45822</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45822</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45822</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45822</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45822</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45822</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45822</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45822</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45822</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45822</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45822</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45822</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45822</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45822</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45822</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45822</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45822</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45822</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45822</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45822</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45822</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45822</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45822</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45822</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45822</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45822</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45822</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45822</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45822</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45822</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45822</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45822</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45822</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45822</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45822</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45822</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45822</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45822</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45822</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45822</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45822</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45822</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45822</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45822</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45822</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45822</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45822</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45822</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45822</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45822</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45822</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45822</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45822</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45822</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45822</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45822</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45822</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45822</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45822</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45822</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45822</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45822</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45822</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45822</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45822</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45822</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45822</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45822</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45822</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45822</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45822</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45822</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45822</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45822</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45822</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45822</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45822</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45822</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45822</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45822</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45822</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45822</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45822</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45822</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45822</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45822</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45822</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45822</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45822</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45822</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45822</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45822</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45822</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45822</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45822</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45822</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45822</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45822</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45822</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45822</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45822</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45822</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45822</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45822</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45822</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45822</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45822</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45822</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45822</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45822</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45822</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45822</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45822</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45822</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45822</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45822</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45822</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45822</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45822</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45822</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45822</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45822</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45822</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45822</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45822</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45822</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45822</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45822</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45822</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45822</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45822</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45822</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45822</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45822</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45822</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45822</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45822</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45822</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45822</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45822</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45822</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45822</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45822</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45822</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45822</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45822</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45822</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45822</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45822</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24401-2025</t>
        </is>
      </c>
      <c r="B1488" s="1" t="n">
        <v>45797</v>
      </c>
      <c r="C1488" s="1" t="n">
        <v>45822</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24389-2025</t>
        </is>
      </c>
      <c r="B1489" s="1" t="n">
        <v>45797</v>
      </c>
      <c r="C1489" s="1" t="n">
        <v>45822</v>
      </c>
      <c r="D1489" t="inlineStr">
        <is>
          <t>UPPSALA LÄN</t>
        </is>
      </c>
      <c r="E1489" t="inlineStr">
        <is>
          <t>ÖSTHAMMAR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45822</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45822</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45822</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45822</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45822</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45822</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45822</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26395-2025</t>
        </is>
      </c>
      <c r="B1497" s="1" t="n">
        <v>45807</v>
      </c>
      <c r="C1497" s="1" t="n">
        <v>45822</v>
      </c>
      <c r="D1497" t="inlineStr">
        <is>
          <t>UPPSALA LÄN</t>
        </is>
      </c>
      <c r="E1497" t="inlineStr">
        <is>
          <t>ÖSTHAMMAR</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26521-2025</t>
        </is>
      </c>
      <c r="B1498" s="1" t="n">
        <v>45807</v>
      </c>
      <c r="C1498" s="1" t="n">
        <v>45822</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45822</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27058-2025</t>
        </is>
      </c>
      <c r="B1500" s="1" t="n">
        <v>45811</v>
      </c>
      <c r="C1500" s="1" t="n">
        <v>45822</v>
      </c>
      <c r="D1500" t="inlineStr">
        <is>
          <t>UPPSALA LÄN</t>
        </is>
      </c>
      <c r="E1500" t="inlineStr">
        <is>
          <t>ÖSTHAMMAR</t>
        </is>
      </c>
      <c r="F1500" t="inlineStr">
        <is>
          <t>Bergvik skog öst AB</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45822</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27347-2025</t>
        </is>
      </c>
      <c r="B1502" s="1" t="n">
        <v>45812</v>
      </c>
      <c r="C1502" s="1" t="n">
        <v>45822</v>
      </c>
      <c r="D1502" t="inlineStr">
        <is>
          <t>UPPSALA LÄN</t>
        </is>
      </c>
      <c r="E1502" t="inlineStr">
        <is>
          <t>ÖSTHAMMAR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27383-2025</t>
        </is>
      </c>
      <c r="B1503" s="1" t="n">
        <v>45812</v>
      </c>
      <c r="C1503" s="1" t="n">
        <v>45822</v>
      </c>
      <c r="D1503" t="inlineStr">
        <is>
          <t>UPPSALA LÄN</t>
        </is>
      </c>
      <c r="E1503" t="inlineStr">
        <is>
          <t>ÖSTHAMMAR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27352-2025</t>
        </is>
      </c>
      <c r="B1504" s="1" t="n">
        <v>45812</v>
      </c>
      <c r="C1504" s="1" t="n">
        <v>45822</v>
      </c>
      <c r="D1504" t="inlineStr">
        <is>
          <t>UPPSALA LÄN</t>
        </is>
      </c>
      <c r="E1504" t="inlineStr">
        <is>
          <t>ÖSTHAMMAR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v>
      </c>
      <c r="C1505" s="1" t="n">
        <v>45822</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27350-2025</t>
        </is>
      </c>
      <c r="B1506" s="1" t="n">
        <v>45812</v>
      </c>
      <c r="C1506" s="1" t="n">
        <v>45822</v>
      </c>
      <c r="D1506" t="inlineStr">
        <is>
          <t>UPPSALA LÄN</t>
        </is>
      </c>
      <c r="E1506" t="inlineStr">
        <is>
          <t>ÖSTHAMMAR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27395-2025</t>
        </is>
      </c>
      <c r="B1507" s="1" t="n">
        <v>45812</v>
      </c>
      <c r="C1507" s="1" t="n">
        <v>45822</v>
      </c>
      <c r="D1507" t="inlineStr">
        <is>
          <t>UPPSALA LÄN</t>
        </is>
      </c>
      <c r="E1507" t="inlineStr">
        <is>
          <t>ÖSTHAMMAR</t>
        </is>
      </c>
      <c r="F1507" t="inlineStr">
        <is>
          <t>Bergvik skog öst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45822</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v>
      </c>
      <c r="C1509" s="1" t="n">
        <v>45822</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27509-2025</t>
        </is>
      </c>
      <c r="B1510" s="1" t="n">
        <v>45813</v>
      </c>
      <c r="C1510" s="1" t="n">
        <v>45822</v>
      </c>
      <c r="D1510" t="inlineStr">
        <is>
          <t>UPPSALA LÄN</t>
        </is>
      </c>
      <c r="E1510" t="inlineStr">
        <is>
          <t>ÖSTHAMMAR</t>
        </is>
      </c>
      <c r="F1510" t="inlineStr">
        <is>
          <t>Bergvik skog öst AB</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27494-2025</t>
        </is>
      </c>
      <c r="B1511" s="1" t="n">
        <v>45813</v>
      </c>
      <c r="C1511" s="1" t="n">
        <v>45822</v>
      </c>
      <c r="D1511" t="inlineStr">
        <is>
          <t>UPPSALA LÄN</t>
        </is>
      </c>
      <c r="E1511" t="inlineStr">
        <is>
          <t>ÖSTHAMMAR</t>
        </is>
      </c>
      <c r="F1511" t="inlineStr">
        <is>
          <t>Bergvik skog öst AB</t>
        </is>
      </c>
      <c r="G1511" t="n">
        <v>23.4</v>
      </c>
      <c r="H1511" t="n">
        <v>0</v>
      </c>
      <c r="I1511" t="n">
        <v>0</v>
      </c>
      <c r="J1511" t="n">
        <v>0</v>
      </c>
      <c r="K1511" t="n">
        <v>0</v>
      </c>
      <c r="L1511" t="n">
        <v>0</v>
      </c>
      <c r="M1511" t="n">
        <v>0</v>
      </c>
      <c r="N1511" t="n">
        <v>0</v>
      </c>
      <c r="O1511" t="n">
        <v>0</v>
      </c>
      <c r="P1511" t="n">
        <v>0</v>
      </c>
      <c r="Q1511" t="n">
        <v>0</v>
      </c>
      <c r="R1511" s="2" t="inlineStr"/>
    </row>
    <row r="1512" ht="15" customHeight="1">
      <c r="A1512" t="inlineStr">
        <is>
          <t>A 27476-2025</t>
        </is>
      </c>
      <c r="B1512" s="1" t="n">
        <v>45813</v>
      </c>
      <c r="C1512" s="1" t="n">
        <v>45822</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27676-2025</t>
        </is>
      </c>
      <c r="B1513" s="1" t="n">
        <v>45813</v>
      </c>
      <c r="C1513" s="1" t="n">
        <v>45822</v>
      </c>
      <c r="D1513" t="inlineStr">
        <is>
          <t>UPPSALA LÄN</t>
        </is>
      </c>
      <c r="E1513" t="inlineStr">
        <is>
          <t>ÖSTHAMMAR</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27490-2025</t>
        </is>
      </c>
      <c r="B1514" s="1" t="n">
        <v>45813</v>
      </c>
      <c r="C1514" s="1" t="n">
        <v>45822</v>
      </c>
      <c r="D1514" t="inlineStr">
        <is>
          <t>UPPSALA LÄN</t>
        </is>
      </c>
      <c r="E1514" t="inlineStr">
        <is>
          <t>ÖSTHAMMAR</t>
        </is>
      </c>
      <c r="F1514" t="inlineStr">
        <is>
          <t>Bergvik skog öst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27486-2025</t>
        </is>
      </c>
      <c r="B1515" s="1" t="n">
        <v>45813</v>
      </c>
      <c r="C1515" s="1" t="n">
        <v>45822</v>
      </c>
      <c r="D1515" t="inlineStr">
        <is>
          <t>UPPSALA LÄN</t>
        </is>
      </c>
      <c r="E1515" t="inlineStr">
        <is>
          <t>ÖSTHAMMAR</t>
        </is>
      </c>
      <c r="F1515" t="inlineStr">
        <is>
          <t>Bergvik skog öst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27563-2025</t>
        </is>
      </c>
      <c r="B1516" s="1" t="n">
        <v>45813</v>
      </c>
      <c r="C1516" s="1" t="n">
        <v>45822</v>
      </c>
      <c r="D1516" t="inlineStr">
        <is>
          <t>UPPSALA LÄN</t>
        </is>
      </c>
      <c r="E1516" t="inlineStr">
        <is>
          <t>ÖSTHAMMAR</t>
        </is>
      </c>
      <c r="F1516" t="inlineStr">
        <is>
          <t>Bergvik skog öst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27919-2025</t>
        </is>
      </c>
      <c r="B1517" s="1" t="n">
        <v>45817</v>
      </c>
      <c r="C1517" s="1" t="n">
        <v>45822</v>
      </c>
      <c r="D1517" t="inlineStr">
        <is>
          <t>UPPSALA LÄN</t>
        </is>
      </c>
      <c r="E1517" t="inlineStr">
        <is>
          <t>ÖSTHAMMAR</t>
        </is>
      </c>
      <c r="F1517" t="inlineStr">
        <is>
          <t>Bergvik skog öst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27853-2025</t>
        </is>
      </c>
      <c r="B1518" s="1" t="n">
        <v>45817</v>
      </c>
      <c r="C1518" s="1" t="n">
        <v>45822</v>
      </c>
      <c r="D1518" t="inlineStr">
        <is>
          <t>UPPSALA LÄN</t>
        </is>
      </c>
      <c r="E1518" t="inlineStr">
        <is>
          <t>ÖSTHAMMAR</t>
        </is>
      </c>
      <c r="F1518" t="inlineStr">
        <is>
          <t>Bergvik skog öst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27812-2025</t>
        </is>
      </c>
      <c r="B1519" s="1" t="n">
        <v>45817</v>
      </c>
      <c r="C1519" s="1" t="n">
        <v>45822</v>
      </c>
      <c r="D1519" t="inlineStr">
        <is>
          <t>UPPSALA LÄN</t>
        </is>
      </c>
      <c r="E1519" t="inlineStr">
        <is>
          <t>ÖSTHAMMAR</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45822</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45822</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28101-2025</t>
        </is>
      </c>
      <c r="B1522" s="1" t="n">
        <v>45817</v>
      </c>
      <c r="C1522" s="1" t="n">
        <v>45822</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28099-2025</t>
        </is>
      </c>
      <c r="B1523" s="1" t="n">
        <v>45817</v>
      </c>
      <c r="C1523" s="1" t="n">
        <v>45822</v>
      </c>
      <c r="D1523" t="inlineStr">
        <is>
          <t>UPPSALA LÄN</t>
        </is>
      </c>
      <c r="E1523" t="inlineStr">
        <is>
          <t>ÖSTHAMMAR</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28442-2025</t>
        </is>
      </c>
      <c r="B1524" s="1" t="n">
        <v>45819</v>
      </c>
      <c r="C1524" s="1" t="n">
        <v>45822</v>
      </c>
      <c r="D1524" t="inlineStr">
        <is>
          <t>UPPSALA LÄN</t>
        </is>
      </c>
      <c r="E1524" t="inlineStr">
        <is>
          <t>ÖSTHAMMAR</t>
        </is>
      </c>
      <c r="F1524" t="inlineStr">
        <is>
          <t>Övriga Aktiebolag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28745-2025</t>
        </is>
      </c>
      <c r="B1525" s="1" t="n">
        <v>45820</v>
      </c>
      <c r="C1525" s="1" t="n">
        <v>45822</v>
      </c>
      <c r="D1525" t="inlineStr">
        <is>
          <t>UPPSALA LÄN</t>
        </is>
      </c>
      <c r="E1525" t="inlineStr">
        <is>
          <t>ÖSTHAMMAR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28748-2025</t>
        </is>
      </c>
      <c r="B1526" s="1" t="n">
        <v>45820</v>
      </c>
      <c r="C1526" s="1" t="n">
        <v>45822</v>
      </c>
      <c r="D1526" t="inlineStr">
        <is>
          <t>UPPSALA LÄN</t>
        </is>
      </c>
      <c r="E1526" t="inlineStr">
        <is>
          <t>ÖSTHAMMAR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29031-2025</t>
        </is>
      </c>
      <c r="B1527" s="1" t="n">
        <v>45821</v>
      </c>
      <c r="C1527" s="1" t="n">
        <v>45822</v>
      </c>
      <c r="D1527" t="inlineStr">
        <is>
          <t>UPPSALA LÄN</t>
        </is>
      </c>
      <c r="E1527" t="inlineStr">
        <is>
          <t>ÖSTHAMMAR</t>
        </is>
      </c>
      <c r="F1527" t="inlineStr">
        <is>
          <t>Bergvik skog öst AB</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29029-2025</t>
        </is>
      </c>
      <c r="B1528" s="1" t="n">
        <v>45821</v>
      </c>
      <c r="C1528" s="1" t="n">
        <v>45822</v>
      </c>
      <c r="D1528" t="inlineStr">
        <is>
          <t>UPPSALA LÄN</t>
        </is>
      </c>
      <c r="E1528" t="inlineStr">
        <is>
          <t>ÖSTHAMMAR</t>
        </is>
      </c>
      <c r="F1528" t="inlineStr">
        <is>
          <t>Bergvik skog öst AB</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45822</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c r="A1530" t="inlineStr">
        <is>
          <t>A 29024-2025</t>
        </is>
      </c>
      <c r="B1530" s="1" t="n">
        <v>45821</v>
      </c>
      <c r="C1530" s="1" t="n">
        <v>45822</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2025-06-15T00:05:56Z</dcterms:created>
  <dcterms:modified xmlns:dcterms="http://purl.org/dc/terms/" xmlns:xsi="http://www.w3.org/2001/XMLSchema-instance" xsi:type="dcterms:W3CDTF">2025-06-15T00:05:58Z</dcterms:modified>
</cp:coreProperties>
</file>