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45963</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45963</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45963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45963</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45963</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45963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45963</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45963</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45963</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45963</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40406-2025</t>
        </is>
      </c>
      <c r="B14" s="1" t="n">
        <v>45895.57082175926</v>
      </c>
      <c r="C14" s="1" t="n">
        <v>45963</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45963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45963</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45963</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221-2025</t>
        </is>
      </c>
      <c r="B18" s="1" t="n">
        <v>45660</v>
      </c>
      <c r="C18" s="1" t="n">
        <v>45963</v>
      </c>
      <c r="D18" t="inlineStr">
        <is>
          <t>UPPSALA LÄN</t>
        </is>
      </c>
      <c r="E18" t="inlineStr">
        <is>
          <t>ÖSTHAMMAR</t>
        </is>
      </c>
      <c r="F18" t="inlineStr">
        <is>
          <t>Bergvik skog öst AB</t>
        </is>
      </c>
      <c r="G18" t="n">
        <v>1.3</v>
      </c>
      <c r="H18" t="n">
        <v>3</v>
      </c>
      <c r="I18" t="n">
        <v>4</v>
      </c>
      <c r="J18" t="n">
        <v>2</v>
      </c>
      <c r="K18" t="n">
        <v>0</v>
      </c>
      <c r="L18" t="n">
        <v>0</v>
      </c>
      <c r="M18" t="n">
        <v>0</v>
      </c>
      <c r="N18" t="n">
        <v>0</v>
      </c>
      <c r="O18" t="n">
        <v>2</v>
      </c>
      <c r="P18" t="n">
        <v>0</v>
      </c>
      <c r="Q18" t="n">
        <v>7</v>
      </c>
      <c r="R18" s="2" t="inlineStr">
        <is>
          <t>Gul taggsvamp
Talltita
Fjällig taggsvamp s.str.
Grön sköldmossa
Korallblylav
Rödgul trumpetsvamp
Blåsippa</t>
        </is>
      </c>
      <c r="S18">
        <f>HYPERLINK("https://klasma.github.io/Logging_0382/artfynd/A 221-2025 artfynd.xlsx", "A 221-2025")</f>
        <v/>
      </c>
      <c r="T18">
        <f>HYPERLINK("https://klasma.github.io/Logging_0382/kartor/A 221-2025 karta.png", "A 221-2025")</f>
        <v/>
      </c>
      <c r="V18">
        <f>HYPERLINK("https://klasma.github.io/Logging_0382/klagomål/A 221-2025 FSC-klagomål.docx", "A 221-2025")</f>
        <v/>
      </c>
      <c r="W18">
        <f>HYPERLINK("https://klasma.github.io/Logging_0382/klagomålsmail/A 221-2025 FSC-klagomål mail.docx", "A 221-2025")</f>
        <v/>
      </c>
      <c r="X18">
        <f>HYPERLINK("https://klasma.github.io/Logging_0382/tillsyn/A 221-2025 tillsynsbegäran.docx", "A 221-2025")</f>
        <v/>
      </c>
      <c r="Y18">
        <f>HYPERLINK("https://klasma.github.io/Logging_0382/tillsynsmail/A 221-2025 tillsynsbegäran mail.docx", "A 221-2025")</f>
        <v/>
      </c>
      <c r="Z18">
        <f>HYPERLINK("https://klasma.github.io/Logging_0382/fåglar/A 221-2025 prioriterade fågelarter.docx", "A 221-2025")</f>
        <v/>
      </c>
    </row>
    <row r="19" ht="15" customHeight="1">
      <c r="A19" t="inlineStr">
        <is>
          <t>A 16239-2025</t>
        </is>
      </c>
      <c r="B19" s="1" t="n">
        <v>45746</v>
      </c>
      <c r="C19" s="1" t="n">
        <v>45963</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45963</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49910-2022</t>
        </is>
      </c>
      <c r="B21" s="1" t="n">
        <v>44865</v>
      </c>
      <c r="C21" s="1" t="n">
        <v>45963</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35911-2021</t>
        </is>
      </c>
      <c r="B22" s="1" t="n">
        <v>44387</v>
      </c>
      <c r="C22" s="1" t="n">
        <v>45963</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45963</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48277-2023</t>
        </is>
      </c>
      <c r="B24" s="1" t="n">
        <v>45205</v>
      </c>
      <c r="C24" s="1" t="n">
        <v>45963</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23496-2023</t>
        </is>
      </c>
      <c r="B25" s="1" t="n">
        <v>45076</v>
      </c>
      <c r="C25" s="1" t="n">
        <v>45963</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39834-2025</t>
        </is>
      </c>
      <c r="B26" s="1" t="n">
        <v>45891.56333333333</v>
      </c>
      <c r="C26" s="1" t="n">
        <v>45963</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39763-2022</t>
        </is>
      </c>
      <c r="B27" s="1" t="n">
        <v>44819.44055555556</v>
      </c>
      <c r="C27" s="1" t="n">
        <v>45963</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45963</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45963</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55492-2023</t>
        </is>
      </c>
      <c r="B30" s="1" t="n">
        <v>45238</v>
      </c>
      <c r="C30" s="1" t="n">
        <v>45963</v>
      </c>
      <c r="D30" t="inlineStr">
        <is>
          <t>UPPSALA LÄN</t>
        </is>
      </c>
      <c r="E30" t="inlineStr">
        <is>
          <t>ÖSTHAMMAR</t>
        </is>
      </c>
      <c r="G30" t="n">
        <v>3.1</v>
      </c>
      <c r="H30" t="n">
        <v>4</v>
      </c>
      <c r="I30" t="n">
        <v>2</v>
      </c>
      <c r="J30" t="n">
        <v>0</v>
      </c>
      <c r="K30" t="n">
        <v>2</v>
      </c>
      <c r="L30" t="n">
        <v>0</v>
      </c>
      <c r="M30" t="n">
        <v>0</v>
      </c>
      <c r="N30" t="n">
        <v>0</v>
      </c>
      <c r="O30" t="n">
        <v>2</v>
      </c>
      <c r="P30" t="n">
        <v>2</v>
      </c>
      <c r="Q30" t="n">
        <v>5</v>
      </c>
      <c r="R30" s="2" t="inlineStr">
        <is>
          <t>Knärot
Violgubbe
Skogsknipprot
Tvåblad
Fläcknycklar</t>
        </is>
      </c>
      <c r="S30">
        <f>HYPERLINK("https://klasma.github.io/Logging_0382/artfynd/A 55492-2023 artfynd.xlsx", "A 55492-2023")</f>
        <v/>
      </c>
      <c r="T30">
        <f>HYPERLINK("https://klasma.github.io/Logging_0382/kartor/A 55492-2023 karta.png", "A 55492-2023")</f>
        <v/>
      </c>
      <c r="U30">
        <f>HYPERLINK("https://klasma.github.io/Logging_0382/knärot/A 55492-2023 karta knärot.png", "A 55492-2023")</f>
        <v/>
      </c>
      <c r="V30">
        <f>HYPERLINK("https://klasma.github.io/Logging_0382/klagomål/A 55492-2023 FSC-klagomål.docx", "A 55492-2023")</f>
        <v/>
      </c>
      <c r="W30">
        <f>HYPERLINK("https://klasma.github.io/Logging_0382/klagomålsmail/A 55492-2023 FSC-klagomål mail.docx", "A 55492-2023")</f>
        <v/>
      </c>
      <c r="X30">
        <f>HYPERLINK("https://klasma.github.io/Logging_0382/tillsyn/A 55492-2023 tillsynsbegäran.docx", "A 55492-2023")</f>
        <v/>
      </c>
      <c r="Y30">
        <f>HYPERLINK("https://klasma.github.io/Logging_0382/tillsynsmail/A 55492-2023 tillsynsbegäran mail.docx", "A 55492-2023")</f>
        <v/>
      </c>
    </row>
    <row r="31" ht="15" customHeight="1">
      <c r="A31" t="inlineStr">
        <is>
          <t>A 24563-2022</t>
        </is>
      </c>
      <c r="B31" s="1" t="n">
        <v>44727</v>
      </c>
      <c r="C31" s="1" t="n">
        <v>45963</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45963</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15556-2022</t>
        </is>
      </c>
      <c r="B33" s="1" t="n">
        <v>44662</v>
      </c>
      <c r="C33" s="1" t="n">
        <v>45963</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23498-2023</t>
        </is>
      </c>
      <c r="B34" s="1" t="n">
        <v>45076</v>
      </c>
      <c r="C34" s="1" t="n">
        <v>45963</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c r="Z34">
        <f>HYPERLINK("https://klasma.github.io/Logging_0382/fåglar/A 23498-2023 prioriterade fågelarter.docx", "A 23498-2023")</f>
        <v/>
      </c>
    </row>
    <row r="35" ht="15" customHeight="1">
      <c r="A35" t="inlineStr">
        <is>
          <t>A 26056-2025</t>
        </is>
      </c>
      <c r="B35" s="1" t="n">
        <v>45804.79280092593</v>
      </c>
      <c r="C35" s="1" t="n">
        <v>45963</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51154-2025</t>
        </is>
      </c>
      <c r="B36" s="1" t="n">
        <v>45947.57583333334</v>
      </c>
      <c r="C36" s="1" t="n">
        <v>45963</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51517-2025</t>
        </is>
      </c>
      <c r="B37" s="1" t="n">
        <v>45950.65636574074</v>
      </c>
      <c r="C37" s="1" t="n">
        <v>45963</v>
      </c>
      <c r="D37" t="inlineStr">
        <is>
          <t>UPPSALA LÄN</t>
        </is>
      </c>
      <c r="E37" t="inlineStr">
        <is>
          <t>ÖSTHAMMAR</t>
        </is>
      </c>
      <c r="F37" t="inlineStr">
        <is>
          <t>Bergvik skog öst AB</t>
        </is>
      </c>
      <c r="G37" t="n">
        <v>9.699999999999999</v>
      </c>
      <c r="H37" t="n">
        <v>1</v>
      </c>
      <c r="I37" t="n">
        <v>2</v>
      </c>
      <c r="J37" t="n">
        <v>1</v>
      </c>
      <c r="K37" t="n">
        <v>2</v>
      </c>
      <c r="L37" t="n">
        <v>0</v>
      </c>
      <c r="M37" t="n">
        <v>0</v>
      </c>
      <c r="N37" t="n">
        <v>0</v>
      </c>
      <c r="O37" t="n">
        <v>3</v>
      </c>
      <c r="P37" t="n">
        <v>2</v>
      </c>
      <c r="Q37" t="n">
        <v>5</v>
      </c>
      <c r="R37" s="2" t="inlineStr">
        <is>
          <t>Knärot
Vågticka
Ullticka
Kalktallört
Trådticka</t>
        </is>
      </c>
      <c r="S37">
        <f>HYPERLINK("https://klasma.github.io/Logging_0382/artfynd/A 51517-2025 artfynd.xlsx", "A 51517-2025")</f>
        <v/>
      </c>
      <c r="T37">
        <f>HYPERLINK("https://klasma.github.io/Logging_0382/kartor/A 51517-2025 karta.png", "A 51517-2025")</f>
        <v/>
      </c>
      <c r="U37">
        <f>HYPERLINK("https://klasma.github.io/Logging_0382/knärot/A 51517-2025 karta knärot.png", "A 51517-2025")</f>
        <v/>
      </c>
      <c r="V37">
        <f>HYPERLINK("https://klasma.github.io/Logging_0382/klagomål/A 51517-2025 FSC-klagomål.docx", "A 51517-2025")</f>
        <v/>
      </c>
      <c r="W37">
        <f>HYPERLINK("https://klasma.github.io/Logging_0382/klagomålsmail/A 51517-2025 FSC-klagomål mail.docx", "A 51517-2025")</f>
        <v/>
      </c>
      <c r="X37">
        <f>HYPERLINK("https://klasma.github.io/Logging_0382/tillsyn/A 51517-2025 tillsynsbegäran.docx", "A 51517-2025")</f>
        <v/>
      </c>
      <c r="Y37">
        <f>HYPERLINK("https://klasma.github.io/Logging_0382/tillsynsmail/A 51517-2025 tillsynsbegäran mail.docx", "A 51517-2025")</f>
        <v/>
      </c>
    </row>
    <row r="38" ht="15" customHeight="1">
      <c r="A38" t="inlineStr">
        <is>
          <t>A 52808-2022</t>
        </is>
      </c>
      <c r="B38" s="1" t="n">
        <v>44875</v>
      </c>
      <c r="C38" s="1" t="n">
        <v>45963</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45963</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33051-2021</t>
        </is>
      </c>
      <c r="B40" s="1" t="n">
        <v>44376</v>
      </c>
      <c r="C40" s="1" t="n">
        <v>45963</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74364-2021</t>
        </is>
      </c>
      <c r="B41" s="1" t="n">
        <v>44559</v>
      </c>
      <c r="C41" s="1" t="n">
        <v>45963</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26279-2024</t>
        </is>
      </c>
      <c r="B42" s="1" t="n">
        <v>45468</v>
      </c>
      <c r="C42" s="1" t="n">
        <v>45963</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48352-2022</t>
        </is>
      </c>
      <c r="B43" s="1" t="n">
        <v>44858</v>
      </c>
      <c r="C43" s="1" t="n">
        <v>45963</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54492-2024</t>
        </is>
      </c>
      <c r="B44" s="1" t="n">
        <v>45617</v>
      </c>
      <c r="C44" s="1" t="n">
        <v>45963</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9715-2024</t>
        </is>
      </c>
      <c r="B45" s="1" t="n">
        <v>45362.53928240741</v>
      </c>
      <c r="C45" s="1" t="n">
        <v>45963</v>
      </c>
      <c r="D45" t="inlineStr">
        <is>
          <t>UPPSALA LÄN</t>
        </is>
      </c>
      <c r="E45" t="inlineStr">
        <is>
          <t>ÖSTHAMMAR</t>
        </is>
      </c>
      <c r="G45" t="n">
        <v>4.7</v>
      </c>
      <c r="H45" t="n">
        <v>2</v>
      </c>
      <c r="I45" t="n">
        <v>2</v>
      </c>
      <c r="J45" t="n">
        <v>0</v>
      </c>
      <c r="K45" t="n">
        <v>1</v>
      </c>
      <c r="L45" t="n">
        <v>0</v>
      </c>
      <c r="M45" t="n">
        <v>0</v>
      </c>
      <c r="N45" t="n">
        <v>0</v>
      </c>
      <c r="O45" t="n">
        <v>1</v>
      </c>
      <c r="P45" t="n">
        <v>1</v>
      </c>
      <c r="Q45" t="n">
        <v>3</v>
      </c>
      <c r="R45" s="2" t="inlineStr">
        <is>
          <t>Knärot
Skogsknipprot
Vedticka</t>
        </is>
      </c>
      <c r="S45">
        <f>HYPERLINK("https://klasma.github.io/Logging_0382/artfynd/A 9715-2024 artfynd.xlsx", "A 9715-2024")</f>
        <v/>
      </c>
      <c r="T45">
        <f>HYPERLINK("https://klasma.github.io/Logging_0382/kartor/A 9715-2024 karta.png", "A 9715-2024")</f>
        <v/>
      </c>
      <c r="U45">
        <f>HYPERLINK("https://klasma.github.io/Logging_0382/knärot/A 9715-2024 karta knärot.png", "A 9715-2024")</f>
        <v/>
      </c>
      <c r="V45">
        <f>HYPERLINK("https://klasma.github.io/Logging_0382/klagomål/A 9715-2024 FSC-klagomål.docx", "A 9715-2024")</f>
        <v/>
      </c>
      <c r="W45">
        <f>HYPERLINK("https://klasma.github.io/Logging_0382/klagomålsmail/A 9715-2024 FSC-klagomål mail.docx", "A 9715-2024")</f>
        <v/>
      </c>
      <c r="X45">
        <f>HYPERLINK("https://klasma.github.io/Logging_0382/tillsyn/A 9715-2024 tillsynsbegäran.docx", "A 9715-2024")</f>
        <v/>
      </c>
      <c r="Y45">
        <f>HYPERLINK("https://klasma.github.io/Logging_0382/tillsynsmail/A 9715-2024 tillsynsbegäran mail.docx", "A 9715-2024")</f>
        <v/>
      </c>
    </row>
    <row r="46" ht="15" customHeight="1">
      <c r="A46" t="inlineStr">
        <is>
          <t>A 55051-2021</t>
        </is>
      </c>
      <c r="B46" s="1" t="n">
        <v>44474</v>
      </c>
      <c r="C46" s="1" t="n">
        <v>45963</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46204-2023</t>
        </is>
      </c>
      <c r="B47" s="1" t="n">
        <v>45190</v>
      </c>
      <c r="C47" s="1" t="n">
        <v>45963</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45963</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45963</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9683-2023</t>
        </is>
      </c>
      <c r="B50" s="1" t="n">
        <v>44984.43856481482</v>
      </c>
      <c r="C50" s="1" t="n">
        <v>45963</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33035-2021</t>
        </is>
      </c>
      <c r="B51" s="1" t="n">
        <v>44376</v>
      </c>
      <c r="C51" s="1" t="n">
        <v>45963</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45963</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60078-2021</t>
        </is>
      </c>
      <c r="B53" s="1" t="n">
        <v>44495</v>
      </c>
      <c r="C53" s="1" t="n">
        <v>45963</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45963</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13287-2022</t>
        </is>
      </c>
      <c r="B55" s="1" t="n">
        <v>44644</v>
      </c>
      <c r="C55" s="1" t="n">
        <v>45963</v>
      </c>
      <c r="D55" t="inlineStr">
        <is>
          <t>UPPSALA LÄN</t>
        </is>
      </c>
      <c r="E55" t="inlineStr">
        <is>
          <t>ÖSTHAMMAR</t>
        </is>
      </c>
      <c r="G55" t="n">
        <v>14.6</v>
      </c>
      <c r="H55" t="n">
        <v>0</v>
      </c>
      <c r="I55" t="n">
        <v>1</v>
      </c>
      <c r="J55" t="n">
        <v>0</v>
      </c>
      <c r="K55" t="n">
        <v>1</v>
      </c>
      <c r="L55" t="n">
        <v>0</v>
      </c>
      <c r="M55" t="n">
        <v>0</v>
      </c>
      <c r="N55" t="n">
        <v>0</v>
      </c>
      <c r="O55" t="n">
        <v>1</v>
      </c>
      <c r="P55" t="n">
        <v>1</v>
      </c>
      <c r="Q55" t="n">
        <v>2</v>
      </c>
      <c r="R55" s="2" t="inlineStr">
        <is>
          <t>Bullspindling
Olivspindling</t>
        </is>
      </c>
      <c r="S55">
        <f>HYPERLINK("https://klasma.github.io/Logging_0382/artfynd/A 13287-2022 artfynd.xlsx", "A 13287-2022")</f>
        <v/>
      </c>
      <c r="T55">
        <f>HYPERLINK("https://klasma.github.io/Logging_0382/kartor/A 13287-2022 karta.png", "A 13287-2022")</f>
        <v/>
      </c>
      <c r="V55">
        <f>HYPERLINK("https://klasma.github.io/Logging_0382/klagomål/A 13287-2022 FSC-klagomål.docx", "A 13287-2022")</f>
        <v/>
      </c>
      <c r="W55">
        <f>HYPERLINK("https://klasma.github.io/Logging_0382/klagomålsmail/A 13287-2022 FSC-klagomål mail.docx", "A 13287-2022")</f>
        <v/>
      </c>
      <c r="X55">
        <f>HYPERLINK("https://klasma.github.io/Logging_0382/tillsyn/A 13287-2022 tillsynsbegäran.docx", "A 13287-2022")</f>
        <v/>
      </c>
      <c r="Y55">
        <f>HYPERLINK("https://klasma.github.io/Logging_0382/tillsynsmail/A 13287-2022 tillsynsbegäran mail.docx", "A 13287-2022")</f>
        <v/>
      </c>
    </row>
    <row r="56" ht="15" customHeight="1">
      <c r="A56" t="inlineStr">
        <is>
          <t>A 30943-2024</t>
        </is>
      </c>
      <c r="B56" s="1" t="n">
        <v>45499</v>
      </c>
      <c r="C56" s="1" t="n">
        <v>45963</v>
      </c>
      <c r="D56" t="inlineStr">
        <is>
          <t>UPPSALA LÄN</t>
        </is>
      </c>
      <c r="E56" t="inlineStr">
        <is>
          <t>ÖSTHAMMAR</t>
        </is>
      </c>
      <c r="G56" t="n">
        <v>4.5</v>
      </c>
      <c r="H56" t="n">
        <v>0</v>
      </c>
      <c r="I56" t="n">
        <v>2</v>
      </c>
      <c r="J56" t="n">
        <v>0</v>
      </c>
      <c r="K56" t="n">
        <v>0</v>
      </c>
      <c r="L56" t="n">
        <v>0</v>
      </c>
      <c r="M56" t="n">
        <v>0</v>
      </c>
      <c r="N56" t="n">
        <v>0</v>
      </c>
      <c r="O56" t="n">
        <v>0</v>
      </c>
      <c r="P56" t="n">
        <v>0</v>
      </c>
      <c r="Q56" t="n">
        <v>2</v>
      </c>
      <c r="R56" s="2" t="inlineStr">
        <is>
          <t>Tibast
Underviol</t>
        </is>
      </c>
      <c r="S56">
        <f>HYPERLINK("https://klasma.github.io/Logging_0382/artfynd/A 30943-2024 artfynd.xlsx", "A 30943-2024")</f>
        <v/>
      </c>
      <c r="T56">
        <f>HYPERLINK("https://klasma.github.io/Logging_0382/kartor/A 30943-2024 karta.png", "A 30943-2024")</f>
        <v/>
      </c>
      <c r="V56">
        <f>HYPERLINK("https://klasma.github.io/Logging_0382/klagomål/A 30943-2024 FSC-klagomål.docx", "A 30943-2024")</f>
        <v/>
      </c>
      <c r="W56">
        <f>HYPERLINK("https://klasma.github.io/Logging_0382/klagomålsmail/A 30943-2024 FSC-klagomål mail.docx", "A 30943-2024")</f>
        <v/>
      </c>
      <c r="X56">
        <f>HYPERLINK("https://klasma.github.io/Logging_0382/tillsyn/A 30943-2024 tillsynsbegäran.docx", "A 30943-2024")</f>
        <v/>
      </c>
      <c r="Y56">
        <f>HYPERLINK("https://klasma.github.io/Logging_0382/tillsynsmail/A 30943-2024 tillsynsbegäran mail.docx", "A 30943-2024")</f>
        <v/>
      </c>
    </row>
    <row r="57" ht="15" customHeight="1">
      <c r="A57" t="inlineStr">
        <is>
          <t>A 6223-2021</t>
        </is>
      </c>
      <c r="B57" s="1" t="n">
        <v>44235</v>
      </c>
      <c r="C57" s="1" t="n">
        <v>45963</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9646-2024</t>
        </is>
      </c>
      <c r="B58" s="1" t="n">
        <v>45362.37055555556</v>
      </c>
      <c r="C58" s="1" t="n">
        <v>45963</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18539-2024</t>
        </is>
      </c>
      <c r="B59" s="1" t="n">
        <v>45425.63697916667</v>
      </c>
      <c r="C59" s="1" t="n">
        <v>45963</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45963</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32064-2022</t>
        </is>
      </c>
      <c r="B61" s="1" t="n">
        <v>44778</v>
      </c>
      <c r="C61" s="1" t="n">
        <v>45963</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20553-2025</t>
        </is>
      </c>
      <c r="B62" s="1" t="n">
        <v>45775.63983796296</v>
      </c>
      <c r="C62" s="1" t="n">
        <v>45963</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26277-2024</t>
        </is>
      </c>
      <c r="B63" s="1" t="n">
        <v>45468</v>
      </c>
      <c r="C63" s="1" t="n">
        <v>45963</v>
      </c>
      <c r="D63" t="inlineStr">
        <is>
          <t>UPPSALA LÄN</t>
        </is>
      </c>
      <c r="E63" t="inlineStr">
        <is>
          <t>ÖSTHAMMAR</t>
        </is>
      </c>
      <c r="G63" t="n">
        <v>3.5</v>
      </c>
      <c r="H63" t="n">
        <v>1</v>
      </c>
      <c r="I63" t="n">
        <v>2</v>
      </c>
      <c r="J63" t="n">
        <v>0</v>
      </c>
      <c r="K63" t="n">
        <v>0</v>
      </c>
      <c r="L63" t="n">
        <v>0</v>
      </c>
      <c r="M63" t="n">
        <v>0</v>
      </c>
      <c r="N63" t="n">
        <v>0</v>
      </c>
      <c r="O63" t="n">
        <v>0</v>
      </c>
      <c r="P63" t="n">
        <v>0</v>
      </c>
      <c r="Q63" t="n">
        <v>2</v>
      </c>
      <c r="R63" s="2" t="inlineStr">
        <is>
          <t>Nästrot
Sårläka</t>
        </is>
      </c>
      <c r="S63">
        <f>HYPERLINK("https://klasma.github.io/Logging_0382/artfynd/A 26277-2024 artfynd.xlsx", "A 26277-2024")</f>
        <v/>
      </c>
      <c r="T63">
        <f>HYPERLINK("https://klasma.github.io/Logging_0382/kartor/A 26277-2024 karta.png", "A 26277-2024")</f>
        <v/>
      </c>
      <c r="V63">
        <f>HYPERLINK("https://klasma.github.io/Logging_0382/klagomål/A 26277-2024 FSC-klagomål.docx", "A 26277-2024")</f>
        <v/>
      </c>
      <c r="W63">
        <f>HYPERLINK("https://klasma.github.io/Logging_0382/klagomålsmail/A 26277-2024 FSC-klagomål mail.docx", "A 26277-2024")</f>
        <v/>
      </c>
      <c r="X63">
        <f>HYPERLINK("https://klasma.github.io/Logging_0382/tillsyn/A 26277-2024 tillsynsbegäran.docx", "A 26277-2024")</f>
        <v/>
      </c>
      <c r="Y63">
        <f>HYPERLINK("https://klasma.github.io/Logging_0382/tillsynsmail/A 26277-2024 tillsynsbegäran mail.docx", "A 26277-2024")</f>
        <v/>
      </c>
    </row>
    <row r="64" ht="15" customHeight="1">
      <c r="A64" t="inlineStr">
        <is>
          <t>A 67855-2021</t>
        </is>
      </c>
      <c r="B64" s="1" t="n">
        <v>44525</v>
      </c>
      <c r="C64" s="1" t="n">
        <v>45963</v>
      </c>
      <c r="D64" t="inlineStr">
        <is>
          <t>UPPSALA LÄN</t>
        </is>
      </c>
      <c r="E64" t="inlineStr">
        <is>
          <t>ÖSTHAMMAR</t>
        </is>
      </c>
      <c r="G64" t="n">
        <v>7.5</v>
      </c>
      <c r="H64" t="n">
        <v>0</v>
      </c>
      <c r="I64" t="n">
        <v>2</v>
      </c>
      <c r="J64" t="n">
        <v>0</v>
      </c>
      <c r="K64" t="n">
        <v>0</v>
      </c>
      <c r="L64" t="n">
        <v>0</v>
      </c>
      <c r="M64" t="n">
        <v>0</v>
      </c>
      <c r="N64" t="n">
        <v>0</v>
      </c>
      <c r="O64" t="n">
        <v>0</v>
      </c>
      <c r="P64" t="n">
        <v>0</v>
      </c>
      <c r="Q64" t="n">
        <v>2</v>
      </c>
      <c r="R64" s="2" t="inlineStr">
        <is>
          <t>Guldkremla
Kamjordstjärna</t>
        </is>
      </c>
      <c r="S64">
        <f>HYPERLINK("https://klasma.github.io/Logging_0382/artfynd/A 67855-2021 artfynd.xlsx", "A 67855-2021")</f>
        <v/>
      </c>
      <c r="T64">
        <f>HYPERLINK("https://klasma.github.io/Logging_0382/kartor/A 67855-2021 karta.png", "A 67855-2021")</f>
        <v/>
      </c>
      <c r="V64">
        <f>HYPERLINK("https://klasma.github.io/Logging_0382/klagomål/A 67855-2021 FSC-klagomål.docx", "A 67855-2021")</f>
        <v/>
      </c>
      <c r="W64">
        <f>HYPERLINK("https://klasma.github.io/Logging_0382/klagomålsmail/A 67855-2021 FSC-klagomål mail.docx", "A 67855-2021")</f>
        <v/>
      </c>
      <c r="X64">
        <f>HYPERLINK("https://klasma.github.io/Logging_0382/tillsyn/A 67855-2021 tillsynsbegäran.docx", "A 67855-2021")</f>
        <v/>
      </c>
      <c r="Y64">
        <f>HYPERLINK("https://klasma.github.io/Logging_0382/tillsynsmail/A 67855-2021 tillsynsbegäran mail.docx", "A 67855-2021")</f>
        <v/>
      </c>
    </row>
    <row r="65" ht="15" customHeight="1">
      <c r="A65" t="inlineStr">
        <is>
          <t>A 33269-2025</t>
        </is>
      </c>
      <c r="B65" s="1" t="n">
        <v>45840.68208333333</v>
      </c>
      <c r="C65" s="1" t="n">
        <v>45963</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21453-2023</t>
        </is>
      </c>
      <c r="B66" s="1" t="n">
        <v>45063</v>
      </c>
      <c r="C66" s="1" t="n">
        <v>45963</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73981-2021</t>
        </is>
      </c>
      <c r="B67" s="1" t="n">
        <v>44555</v>
      </c>
      <c r="C67" s="1" t="n">
        <v>45963</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21422-2023</t>
        </is>
      </c>
      <c r="B68" s="1" t="n">
        <v>45063</v>
      </c>
      <c r="C68" s="1" t="n">
        <v>45963</v>
      </c>
      <c r="D68" t="inlineStr">
        <is>
          <t>UPPSALA LÄN</t>
        </is>
      </c>
      <c r="E68" t="inlineStr">
        <is>
          <t>ÖSTHAMMAR</t>
        </is>
      </c>
      <c r="F68" t="inlineStr">
        <is>
          <t>Sveaskog</t>
        </is>
      </c>
      <c r="G68" t="n">
        <v>2.8</v>
      </c>
      <c r="H68" t="n">
        <v>2</v>
      </c>
      <c r="I68" t="n">
        <v>0</v>
      </c>
      <c r="J68" t="n">
        <v>1</v>
      </c>
      <c r="K68" t="n">
        <v>0</v>
      </c>
      <c r="L68" t="n">
        <v>0</v>
      </c>
      <c r="M68" t="n">
        <v>0</v>
      </c>
      <c r="N68" t="n">
        <v>0</v>
      </c>
      <c r="O68" t="n">
        <v>1</v>
      </c>
      <c r="P68" t="n">
        <v>0</v>
      </c>
      <c r="Q68" t="n">
        <v>2</v>
      </c>
      <c r="R68" s="2" t="inlineStr">
        <is>
          <t>Nordfladdermus
Dvärgpipistrell</t>
        </is>
      </c>
      <c r="S68">
        <f>HYPERLINK("https://klasma.github.io/Logging_0382/artfynd/A 21422-2023 artfynd.xlsx", "A 21422-2023")</f>
        <v/>
      </c>
      <c r="T68">
        <f>HYPERLINK("https://klasma.github.io/Logging_0382/kartor/A 21422-2023 karta.png", "A 21422-2023")</f>
        <v/>
      </c>
      <c r="V68">
        <f>HYPERLINK("https://klasma.github.io/Logging_0382/klagomål/A 21422-2023 FSC-klagomål.docx", "A 21422-2023")</f>
        <v/>
      </c>
      <c r="W68">
        <f>HYPERLINK("https://klasma.github.io/Logging_0382/klagomålsmail/A 21422-2023 FSC-klagomål mail.docx", "A 21422-2023")</f>
        <v/>
      </c>
      <c r="X68">
        <f>HYPERLINK("https://klasma.github.io/Logging_0382/tillsyn/A 21422-2023 tillsynsbegäran.docx", "A 21422-2023")</f>
        <v/>
      </c>
      <c r="Y68">
        <f>HYPERLINK("https://klasma.github.io/Logging_0382/tillsynsmail/A 21422-2023 tillsynsbegäran mail.docx", "A 21422-2023")</f>
        <v/>
      </c>
    </row>
    <row r="69" ht="15" customHeight="1">
      <c r="A69" t="inlineStr">
        <is>
          <t>A 37768-2025</t>
        </is>
      </c>
      <c r="B69" s="1" t="n">
        <v>45880</v>
      </c>
      <c r="C69" s="1" t="n">
        <v>45963</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25098-2022</t>
        </is>
      </c>
      <c r="B70" s="1" t="n">
        <v>44729.44149305556</v>
      </c>
      <c r="C70" s="1" t="n">
        <v>45963</v>
      </c>
      <c r="D70" t="inlineStr">
        <is>
          <t>UPPSALA LÄN</t>
        </is>
      </c>
      <c r="E70" t="inlineStr">
        <is>
          <t>ÖSTHAMMAR</t>
        </is>
      </c>
      <c r="G70" t="n">
        <v>2.9</v>
      </c>
      <c r="H70" t="n">
        <v>2</v>
      </c>
      <c r="I70" t="n">
        <v>0</v>
      </c>
      <c r="J70" t="n">
        <v>0</v>
      </c>
      <c r="K70" t="n">
        <v>0</v>
      </c>
      <c r="L70" t="n">
        <v>0</v>
      </c>
      <c r="M70" t="n">
        <v>0</v>
      </c>
      <c r="N70" t="n">
        <v>0</v>
      </c>
      <c r="O70" t="n">
        <v>0</v>
      </c>
      <c r="P70" t="n">
        <v>0</v>
      </c>
      <c r="Q70" t="n">
        <v>2</v>
      </c>
      <c r="R70" s="2" t="inlineStr">
        <is>
          <t>Blåsippa
Gullviva</t>
        </is>
      </c>
      <c r="S70">
        <f>HYPERLINK("https://klasma.github.io/Logging_0382/artfynd/A 25098-2022 artfynd.xlsx", "A 25098-2022")</f>
        <v/>
      </c>
      <c r="T70">
        <f>HYPERLINK("https://klasma.github.io/Logging_0382/kartor/A 25098-2022 karta.png", "A 25098-2022")</f>
        <v/>
      </c>
      <c r="V70">
        <f>HYPERLINK("https://klasma.github.io/Logging_0382/klagomål/A 25098-2022 FSC-klagomål.docx", "A 25098-2022")</f>
        <v/>
      </c>
      <c r="W70">
        <f>HYPERLINK("https://klasma.github.io/Logging_0382/klagomålsmail/A 25098-2022 FSC-klagomål mail.docx", "A 25098-2022")</f>
        <v/>
      </c>
      <c r="X70">
        <f>HYPERLINK("https://klasma.github.io/Logging_0382/tillsyn/A 25098-2022 tillsynsbegäran.docx", "A 25098-2022")</f>
        <v/>
      </c>
      <c r="Y70">
        <f>HYPERLINK("https://klasma.github.io/Logging_0382/tillsynsmail/A 25098-2022 tillsynsbegäran mail.docx", "A 25098-2022")</f>
        <v/>
      </c>
    </row>
    <row r="71" ht="15" customHeight="1">
      <c r="A71" t="inlineStr">
        <is>
          <t>A 41303-2025</t>
        </is>
      </c>
      <c r="B71" s="1" t="n">
        <v>45898.69215277778</v>
      </c>
      <c r="C71" s="1" t="n">
        <v>45963</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51522-2025</t>
        </is>
      </c>
      <c r="B72" s="1" t="n">
        <v>45950.65743055556</v>
      </c>
      <c r="C72" s="1" t="n">
        <v>45963</v>
      </c>
      <c r="D72" t="inlineStr">
        <is>
          <t>UPPSALA LÄN</t>
        </is>
      </c>
      <c r="E72" t="inlineStr">
        <is>
          <t>ÖSTHAMMAR</t>
        </is>
      </c>
      <c r="F72" t="inlineStr">
        <is>
          <t>Bergvik skog öst AB</t>
        </is>
      </c>
      <c r="G72" t="n">
        <v>11</v>
      </c>
      <c r="H72" t="n">
        <v>0</v>
      </c>
      <c r="I72" t="n">
        <v>0</v>
      </c>
      <c r="J72" t="n">
        <v>2</v>
      </c>
      <c r="K72" t="n">
        <v>0</v>
      </c>
      <c r="L72" t="n">
        <v>0</v>
      </c>
      <c r="M72" t="n">
        <v>0</v>
      </c>
      <c r="N72" t="n">
        <v>0</v>
      </c>
      <c r="O72" t="n">
        <v>2</v>
      </c>
      <c r="P72" t="n">
        <v>0</v>
      </c>
      <c r="Q72" t="n">
        <v>2</v>
      </c>
      <c r="R72" s="2" t="inlineStr">
        <is>
          <t>Puderspindling
Rosenticka</t>
        </is>
      </c>
      <c r="S72">
        <f>HYPERLINK("https://klasma.github.io/Logging_0382/artfynd/A 51522-2025 artfynd.xlsx", "A 51522-2025")</f>
        <v/>
      </c>
      <c r="T72">
        <f>HYPERLINK("https://klasma.github.io/Logging_0382/kartor/A 51522-2025 karta.png", "A 51522-2025")</f>
        <v/>
      </c>
      <c r="U72">
        <f>HYPERLINK("https://klasma.github.io/Logging_0382/knärot/A 51522-2025 karta knärot.png", "A 51522-2025")</f>
        <v/>
      </c>
      <c r="V72">
        <f>HYPERLINK("https://klasma.github.io/Logging_0382/klagomål/A 51522-2025 FSC-klagomål.docx", "A 51522-2025")</f>
        <v/>
      </c>
      <c r="W72">
        <f>HYPERLINK("https://klasma.github.io/Logging_0382/klagomålsmail/A 51522-2025 FSC-klagomål mail.docx", "A 51522-2025")</f>
        <v/>
      </c>
      <c r="X72">
        <f>HYPERLINK("https://klasma.github.io/Logging_0382/tillsyn/A 51522-2025 tillsynsbegäran.docx", "A 51522-2025")</f>
        <v/>
      </c>
      <c r="Y72">
        <f>HYPERLINK("https://klasma.github.io/Logging_0382/tillsynsmail/A 51522-2025 tillsynsbegäran mail.docx", "A 51522-2025")</f>
        <v/>
      </c>
    </row>
    <row r="73" ht="15" customHeight="1">
      <c r="A73" t="inlineStr">
        <is>
          <t>A 38442-2022</t>
        </is>
      </c>
      <c r="B73" s="1" t="n">
        <v>44813</v>
      </c>
      <c r="C73" s="1" t="n">
        <v>45963</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45963</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45963</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7470-2022</t>
        </is>
      </c>
      <c r="B76" s="1" t="n">
        <v>44607</v>
      </c>
      <c r="C76" s="1" t="n">
        <v>45963</v>
      </c>
      <c r="D76" t="inlineStr">
        <is>
          <t>UPPSALA LÄN</t>
        </is>
      </c>
      <c r="E76" t="inlineStr">
        <is>
          <t>ÖSTHAMMAR</t>
        </is>
      </c>
      <c r="G76" t="n">
        <v>2.6</v>
      </c>
      <c r="H76" t="n">
        <v>1</v>
      </c>
      <c r="I76" t="n">
        <v>1</v>
      </c>
      <c r="J76" t="n">
        <v>0</v>
      </c>
      <c r="K76" t="n">
        <v>0</v>
      </c>
      <c r="L76" t="n">
        <v>0</v>
      </c>
      <c r="M76" t="n">
        <v>0</v>
      </c>
      <c r="N76" t="n">
        <v>0</v>
      </c>
      <c r="O76" t="n">
        <v>0</v>
      </c>
      <c r="P76" t="n">
        <v>0</v>
      </c>
      <c r="Q76" t="n">
        <v>1</v>
      </c>
      <c r="R76" s="2" t="inlineStr">
        <is>
          <t>Grön sköldmossa</t>
        </is>
      </c>
      <c r="S76">
        <f>HYPERLINK("https://klasma.github.io/Logging_0382/artfynd/A 7470-2022 artfynd.xlsx", "A 7470-2022")</f>
        <v/>
      </c>
      <c r="T76">
        <f>HYPERLINK("https://klasma.github.io/Logging_0382/kartor/A 7470-2022 karta.png", "A 7470-2022")</f>
        <v/>
      </c>
      <c r="V76">
        <f>HYPERLINK("https://klasma.github.io/Logging_0382/klagomål/A 7470-2022 FSC-klagomål.docx", "A 7470-2022")</f>
        <v/>
      </c>
      <c r="W76">
        <f>HYPERLINK("https://klasma.github.io/Logging_0382/klagomålsmail/A 7470-2022 FSC-klagomål mail.docx", "A 7470-2022")</f>
        <v/>
      </c>
      <c r="X76">
        <f>HYPERLINK("https://klasma.github.io/Logging_0382/tillsyn/A 7470-2022 tillsynsbegäran.docx", "A 7470-2022")</f>
        <v/>
      </c>
      <c r="Y76">
        <f>HYPERLINK("https://klasma.github.io/Logging_0382/tillsynsmail/A 7470-2022 tillsynsbegäran mail.docx", "A 7470-2022")</f>
        <v/>
      </c>
    </row>
    <row r="77" ht="15" customHeight="1">
      <c r="A77" t="inlineStr">
        <is>
          <t>A 70495-2021</t>
        </is>
      </c>
      <c r="B77" s="1" t="n">
        <v>44536</v>
      </c>
      <c r="C77" s="1" t="n">
        <v>45963</v>
      </c>
      <c r="D77" t="inlineStr">
        <is>
          <t>UPPSALA LÄN</t>
        </is>
      </c>
      <c r="E77" t="inlineStr">
        <is>
          <t>ÖSTHAMMAR</t>
        </is>
      </c>
      <c r="G77" t="n">
        <v>1</v>
      </c>
      <c r="H77" t="n">
        <v>1</v>
      </c>
      <c r="I77" t="n">
        <v>0</v>
      </c>
      <c r="J77" t="n">
        <v>1</v>
      </c>
      <c r="K77" t="n">
        <v>0</v>
      </c>
      <c r="L77" t="n">
        <v>0</v>
      </c>
      <c r="M77" t="n">
        <v>0</v>
      </c>
      <c r="N77" t="n">
        <v>0</v>
      </c>
      <c r="O77" t="n">
        <v>1</v>
      </c>
      <c r="P77" t="n">
        <v>0</v>
      </c>
      <c r="Q77" t="n">
        <v>1</v>
      </c>
      <c r="R77" s="2" t="inlineStr">
        <is>
          <t>Slaguggla</t>
        </is>
      </c>
      <c r="S77">
        <f>HYPERLINK("https://klasma.github.io/Logging_0382/artfynd/A 70495-2021 artfynd.xlsx", "A 70495-2021")</f>
        <v/>
      </c>
      <c r="T77">
        <f>HYPERLINK("https://klasma.github.io/Logging_0382/kartor/A 70495-2021 karta.png", "A 70495-2021")</f>
        <v/>
      </c>
      <c r="V77">
        <f>HYPERLINK("https://klasma.github.io/Logging_0382/klagomål/A 70495-2021 FSC-klagomål.docx", "A 70495-2021")</f>
        <v/>
      </c>
      <c r="W77">
        <f>HYPERLINK("https://klasma.github.io/Logging_0382/klagomålsmail/A 70495-2021 FSC-klagomål mail.docx", "A 70495-2021")</f>
        <v/>
      </c>
      <c r="X77">
        <f>HYPERLINK("https://klasma.github.io/Logging_0382/tillsyn/A 70495-2021 tillsynsbegäran.docx", "A 70495-2021")</f>
        <v/>
      </c>
      <c r="Y77">
        <f>HYPERLINK("https://klasma.github.io/Logging_0382/tillsynsmail/A 70495-2021 tillsynsbegäran mail.docx", "A 70495-2021")</f>
        <v/>
      </c>
      <c r="Z77">
        <f>HYPERLINK("https://klasma.github.io/Logging_0382/fåglar/A 70495-2021 prioriterade fågelarter.docx", "A 70495-2021")</f>
        <v/>
      </c>
    </row>
    <row r="78" ht="15" customHeight="1">
      <c r="A78" t="inlineStr">
        <is>
          <t>A 49839-2021</t>
        </is>
      </c>
      <c r="B78" s="1" t="n">
        <v>44455</v>
      </c>
      <c r="C78" s="1" t="n">
        <v>45963</v>
      </c>
      <c r="D78" t="inlineStr">
        <is>
          <t>UPPSALA LÄN</t>
        </is>
      </c>
      <c r="E78" t="inlineStr">
        <is>
          <t>ÖSTHAMMAR</t>
        </is>
      </c>
      <c r="G78" t="n">
        <v>3.6</v>
      </c>
      <c r="H78" t="n">
        <v>0</v>
      </c>
      <c r="I78" t="n">
        <v>0</v>
      </c>
      <c r="J78" t="n">
        <v>0</v>
      </c>
      <c r="K78" t="n">
        <v>1</v>
      </c>
      <c r="L78" t="n">
        <v>0</v>
      </c>
      <c r="M78" t="n">
        <v>0</v>
      </c>
      <c r="N78" t="n">
        <v>0</v>
      </c>
      <c r="O78" t="n">
        <v>1</v>
      </c>
      <c r="P78" t="n">
        <v>1</v>
      </c>
      <c r="Q78" t="n">
        <v>1</v>
      </c>
      <c r="R78" s="2" t="inlineStr">
        <is>
          <t>Violgubbe</t>
        </is>
      </c>
      <c r="S78">
        <f>HYPERLINK("https://klasma.github.io/Logging_0382/artfynd/A 49839-2021 artfynd.xlsx", "A 49839-2021")</f>
        <v/>
      </c>
      <c r="T78">
        <f>HYPERLINK("https://klasma.github.io/Logging_0382/kartor/A 49839-2021 karta.png", "A 49839-2021")</f>
        <v/>
      </c>
      <c r="V78">
        <f>HYPERLINK("https://klasma.github.io/Logging_0382/klagomål/A 49839-2021 FSC-klagomål.docx", "A 49839-2021")</f>
        <v/>
      </c>
      <c r="W78">
        <f>HYPERLINK("https://klasma.github.io/Logging_0382/klagomålsmail/A 49839-2021 FSC-klagomål mail.docx", "A 49839-2021")</f>
        <v/>
      </c>
      <c r="X78">
        <f>HYPERLINK("https://klasma.github.io/Logging_0382/tillsyn/A 49839-2021 tillsynsbegäran.docx", "A 49839-2021")</f>
        <v/>
      </c>
      <c r="Y78">
        <f>HYPERLINK("https://klasma.github.io/Logging_0382/tillsynsmail/A 49839-2021 tillsynsbegäran mail.docx", "A 49839-2021")</f>
        <v/>
      </c>
    </row>
    <row r="79" ht="15" customHeight="1">
      <c r="A79" t="inlineStr">
        <is>
          <t>A 22209-2022</t>
        </is>
      </c>
      <c r="B79" s="1" t="n">
        <v>44712</v>
      </c>
      <c r="C79" s="1" t="n">
        <v>45963</v>
      </c>
      <c r="D79" t="inlineStr">
        <is>
          <t>UPPSALA LÄN</t>
        </is>
      </c>
      <c r="E79" t="inlineStr">
        <is>
          <t>ÖSTHAMMAR</t>
        </is>
      </c>
      <c r="F79" t="inlineStr">
        <is>
          <t>Bergvik skog öst AB</t>
        </is>
      </c>
      <c r="G79" t="n">
        <v>1.5</v>
      </c>
      <c r="H79" t="n">
        <v>1</v>
      </c>
      <c r="I79" t="n">
        <v>0</v>
      </c>
      <c r="J79" t="n">
        <v>0</v>
      </c>
      <c r="K79" t="n">
        <v>0</v>
      </c>
      <c r="L79" t="n">
        <v>0</v>
      </c>
      <c r="M79" t="n">
        <v>0</v>
      </c>
      <c r="N79" t="n">
        <v>0</v>
      </c>
      <c r="O79" t="n">
        <v>0</v>
      </c>
      <c r="P79" t="n">
        <v>0</v>
      </c>
      <c r="Q79" t="n">
        <v>1</v>
      </c>
      <c r="R79" s="2" t="inlineStr">
        <is>
          <t>Blåsippa</t>
        </is>
      </c>
      <c r="S79">
        <f>HYPERLINK("https://klasma.github.io/Logging_0382/artfynd/A 22209-2022 artfynd.xlsx", "A 22209-2022")</f>
        <v/>
      </c>
      <c r="T79">
        <f>HYPERLINK("https://klasma.github.io/Logging_0382/kartor/A 22209-2022 karta.png", "A 22209-2022")</f>
        <v/>
      </c>
      <c r="V79">
        <f>HYPERLINK("https://klasma.github.io/Logging_0382/klagomål/A 22209-2022 FSC-klagomål.docx", "A 22209-2022")</f>
        <v/>
      </c>
      <c r="W79">
        <f>HYPERLINK("https://klasma.github.io/Logging_0382/klagomålsmail/A 22209-2022 FSC-klagomål mail.docx", "A 22209-2022")</f>
        <v/>
      </c>
      <c r="X79">
        <f>HYPERLINK("https://klasma.github.io/Logging_0382/tillsyn/A 22209-2022 tillsynsbegäran.docx", "A 22209-2022")</f>
        <v/>
      </c>
      <c r="Y79">
        <f>HYPERLINK("https://klasma.github.io/Logging_0382/tillsynsmail/A 22209-2022 tillsynsbegäran mail.docx", "A 22209-2022")</f>
        <v/>
      </c>
    </row>
    <row r="80" ht="15" customHeight="1">
      <c r="A80" t="inlineStr">
        <is>
          <t>A 12753-2024</t>
        </is>
      </c>
      <c r="B80" s="1" t="n">
        <v>45384</v>
      </c>
      <c r="C80" s="1" t="n">
        <v>45963</v>
      </c>
      <c r="D80" t="inlineStr">
        <is>
          <t>UPPSALA LÄN</t>
        </is>
      </c>
      <c r="E80" t="inlineStr">
        <is>
          <t>ÖSTHAMMAR</t>
        </is>
      </c>
      <c r="G80" t="n">
        <v>1.7</v>
      </c>
      <c r="H80" t="n">
        <v>0</v>
      </c>
      <c r="I80" t="n">
        <v>0</v>
      </c>
      <c r="J80" t="n">
        <v>1</v>
      </c>
      <c r="K80" t="n">
        <v>0</v>
      </c>
      <c r="L80" t="n">
        <v>0</v>
      </c>
      <c r="M80" t="n">
        <v>0</v>
      </c>
      <c r="N80" t="n">
        <v>0</v>
      </c>
      <c r="O80" t="n">
        <v>1</v>
      </c>
      <c r="P80" t="n">
        <v>0</v>
      </c>
      <c r="Q80" t="n">
        <v>1</v>
      </c>
      <c r="R80" s="2" t="inlineStr">
        <is>
          <t>Flattoppad klubbsvamp</t>
        </is>
      </c>
      <c r="S80">
        <f>HYPERLINK("https://klasma.github.io/Logging_0382/artfynd/A 12753-2024 artfynd.xlsx", "A 12753-2024")</f>
        <v/>
      </c>
      <c r="T80">
        <f>HYPERLINK("https://klasma.github.io/Logging_0382/kartor/A 12753-2024 karta.png", "A 12753-2024")</f>
        <v/>
      </c>
      <c r="V80">
        <f>HYPERLINK("https://klasma.github.io/Logging_0382/klagomål/A 12753-2024 FSC-klagomål.docx", "A 12753-2024")</f>
        <v/>
      </c>
      <c r="W80">
        <f>HYPERLINK("https://klasma.github.io/Logging_0382/klagomålsmail/A 12753-2024 FSC-klagomål mail.docx", "A 12753-2024")</f>
        <v/>
      </c>
      <c r="X80">
        <f>HYPERLINK("https://klasma.github.io/Logging_0382/tillsyn/A 12753-2024 tillsynsbegäran.docx", "A 12753-2024")</f>
        <v/>
      </c>
      <c r="Y80">
        <f>HYPERLINK("https://klasma.github.io/Logging_0382/tillsynsmail/A 12753-2024 tillsynsbegäran mail.docx", "A 12753-2024")</f>
        <v/>
      </c>
    </row>
    <row r="81" ht="15" customHeight="1">
      <c r="A81" t="inlineStr">
        <is>
          <t>A 24797-2022</t>
        </is>
      </c>
      <c r="B81" s="1" t="n">
        <v>44728</v>
      </c>
      <c r="C81" s="1" t="n">
        <v>45963</v>
      </c>
      <c r="D81" t="inlineStr">
        <is>
          <t>UPPSALA LÄN</t>
        </is>
      </c>
      <c r="E81" t="inlineStr">
        <is>
          <t>ÖSTHAMMAR</t>
        </is>
      </c>
      <c r="F81" t="inlineStr">
        <is>
          <t>Sveaskog</t>
        </is>
      </c>
      <c r="G81" t="n">
        <v>1.7</v>
      </c>
      <c r="H81" t="n">
        <v>1</v>
      </c>
      <c r="I81" t="n">
        <v>0</v>
      </c>
      <c r="J81" t="n">
        <v>1</v>
      </c>
      <c r="K81" t="n">
        <v>0</v>
      </c>
      <c r="L81" t="n">
        <v>0</v>
      </c>
      <c r="M81" t="n">
        <v>0</v>
      </c>
      <c r="N81" t="n">
        <v>0</v>
      </c>
      <c r="O81" t="n">
        <v>1</v>
      </c>
      <c r="P81" t="n">
        <v>0</v>
      </c>
      <c r="Q81" t="n">
        <v>1</v>
      </c>
      <c r="R81" s="2" t="inlineStr">
        <is>
          <t>Gulsparv</t>
        </is>
      </c>
      <c r="S81">
        <f>HYPERLINK("https://klasma.github.io/Logging_0382/artfynd/A 24797-2022 artfynd.xlsx", "A 24797-2022")</f>
        <v/>
      </c>
      <c r="T81">
        <f>HYPERLINK("https://klasma.github.io/Logging_0382/kartor/A 24797-2022 karta.png", "A 24797-2022")</f>
        <v/>
      </c>
      <c r="V81">
        <f>HYPERLINK("https://klasma.github.io/Logging_0382/klagomål/A 24797-2022 FSC-klagomål.docx", "A 24797-2022")</f>
        <v/>
      </c>
      <c r="W81">
        <f>HYPERLINK("https://klasma.github.io/Logging_0382/klagomålsmail/A 24797-2022 FSC-klagomål mail.docx", "A 24797-2022")</f>
        <v/>
      </c>
      <c r="X81">
        <f>HYPERLINK("https://klasma.github.io/Logging_0382/tillsyn/A 24797-2022 tillsynsbegäran.docx", "A 24797-2022")</f>
        <v/>
      </c>
      <c r="Y81">
        <f>HYPERLINK("https://klasma.github.io/Logging_0382/tillsynsmail/A 24797-2022 tillsynsbegäran mail.docx", "A 24797-2022")</f>
        <v/>
      </c>
      <c r="Z81">
        <f>HYPERLINK("https://klasma.github.io/Logging_0382/fåglar/A 24797-2022 prioriterade fågelarter.docx", "A 24797-2022")</f>
        <v/>
      </c>
    </row>
    <row r="82" ht="15" customHeight="1">
      <c r="A82" t="inlineStr">
        <is>
          <t>A 61479-2020</t>
        </is>
      </c>
      <c r="B82" s="1" t="n">
        <v>44154</v>
      </c>
      <c r="C82" s="1" t="n">
        <v>45963</v>
      </c>
      <c r="D82" t="inlineStr">
        <is>
          <t>UPPSALA LÄN</t>
        </is>
      </c>
      <c r="E82" t="inlineStr">
        <is>
          <t>ÖSTHAMMAR</t>
        </is>
      </c>
      <c r="G82" t="n">
        <v>2.5</v>
      </c>
      <c r="H82" t="n">
        <v>0</v>
      </c>
      <c r="I82" t="n">
        <v>1</v>
      </c>
      <c r="J82" t="n">
        <v>0</v>
      </c>
      <c r="K82" t="n">
        <v>0</v>
      </c>
      <c r="L82" t="n">
        <v>0</v>
      </c>
      <c r="M82" t="n">
        <v>0</v>
      </c>
      <c r="N82" t="n">
        <v>0</v>
      </c>
      <c r="O82" t="n">
        <v>0</v>
      </c>
      <c r="P82" t="n">
        <v>0</v>
      </c>
      <c r="Q82" t="n">
        <v>1</v>
      </c>
      <c r="R82" s="2" t="inlineStr">
        <is>
          <t>Olivspindling</t>
        </is>
      </c>
      <c r="S82">
        <f>HYPERLINK("https://klasma.github.io/Logging_0382/artfynd/A 61479-2020 artfynd.xlsx", "A 61479-2020")</f>
        <v/>
      </c>
      <c r="T82">
        <f>HYPERLINK("https://klasma.github.io/Logging_0382/kartor/A 61479-2020 karta.png", "A 61479-2020")</f>
        <v/>
      </c>
      <c r="V82">
        <f>HYPERLINK("https://klasma.github.io/Logging_0382/klagomål/A 61479-2020 FSC-klagomål.docx", "A 61479-2020")</f>
        <v/>
      </c>
      <c r="W82">
        <f>HYPERLINK("https://klasma.github.io/Logging_0382/klagomålsmail/A 61479-2020 FSC-klagomål mail.docx", "A 61479-2020")</f>
        <v/>
      </c>
      <c r="X82">
        <f>HYPERLINK("https://klasma.github.io/Logging_0382/tillsyn/A 61479-2020 tillsynsbegäran.docx", "A 61479-2020")</f>
        <v/>
      </c>
      <c r="Y82">
        <f>HYPERLINK("https://klasma.github.io/Logging_0382/tillsynsmail/A 61479-2020 tillsynsbegäran mail.docx", "A 61479-2020")</f>
        <v/>
      </c>
    </row>
    <row r="83" ht="15" customHeight="1">
      <c r="A83" t="inlineStr">
        <is>
          <t>A 52651-2022</t>
        </is>
      </c>
      <c r="B83" s="1" t="n">
        <v>44874</v>
      </c>
      <c r="C83" s="1" t="n">
        <v>45963</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7446-2022</t>
        </is>
      </c>
      <c r="B84" s="1" t="n">
        <v>44606</v>
      </c>
      <c r="C84" s="1" t="n">
        <v>45963</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29679-2023</t>
        </is>
      </c>
      <c r="B85" s="1" t="n">
        <v>45107</v>
      </c>
      <c r="C85" s="1" t="n">
        <v>45963</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25179-2023</t>
        </is>
      </c>
      <c r="B86" s="1" t="n">
        <v>45078</v>
      </c>
      <c r="C86" s="1" t="n">
        <v>45963</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63615-2021</t>
        </is>
      </c>
      <c r="B87" s="1" t="n">
        <v>44509</v>
      </c>
      <c r="C87" s="1" t="n">
        <v>45963</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45963</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22287-2023</t>
        </is>
      </c>
      <c r="B89" s="1" t="n">
        <v>45070</v>
      </c>
      <c r="C89" s="1" t="n">
        <v>45963</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33800-2024</t>
        </is>
      </c>
      <c r="B90" s="1" t="n">
        <v>45520</v>
      </c>
      <c r="C90" s="1" t="n">
        <v>45963</v>
      </c>
      <c r="D90" t="inlineStr">
        <is>
          <t>UPPSALA LÄN</t>
        </is>
      </c>
      <c r="E90" t="inlineStr">
        <is>
          <t>ÖSTHAMMAR</t>
        </is>
      </c>
      <c r="F90" t="inlineStr">
        <is>
          <t>Naturvårdsverket</t>
        </is>
      </c>
      <c r="G90" t="n">
        <v>1.5</v>
      </c>
      <c r="H90" t="n">
        <v>1</v>
      </c>
      <c r="I90" t="n">
        <v>0</v>
      </c>
      <c r="J90" t="n">
        <v>0</v>
      </c>
      <c r="K90" t="n">
        <v>0</v>
      </c>
      <c r="L90" t="n">
        <v>0</v>
      </c>
      <c r="M90" t="n">
        <v>0</v>
      </c>
      <c r="N90" t="n">
        <v>0</v>
      </c>
      <c r="O90" t="n">
        <v>0</v>
      </c>
      <c r="P90" t="n">
        <v>0</v>
      </c>
      <c r="Q90" t="n">
        <v>1</v>
      </c>
      <c r="R90" s="2" t="inlineStr">
        <is>
          <t>Fläcknycklar</t>
        </is>
      </c>
      <c r="S90">
        <f>HYPERLINK("https://klasma.github.io/Logging_0382/artfynd/A 33800-2024 artfynd.xlsx", "A 33800-2024")</f>
        <v/>
      </c>
      <c r="T90">
        <f>HYPERLINK("https://klasma.github.io/Logging_0382/kartor/A 33800-2024 karta.png", "A 33800-2024")</f>
        <v/>
      </c>
      <c r="V90">
        <f>HYPERLINK("https://klasma.github.io/Logging_0382/klagomål/A 33800-2024 FSC-klagomål.docx", "A 33800-2024")</f>
        <v/>
      </c>
      <c r="W90">
        <f>HYPERLINK("https://klasma.github.io/Logging_0382/klagomålsmail/A 33800-2024 FSC-klagomål mail.docx", "A 33800-2024")</f>
        <v/>
      </c>
      <c r="X90">
        <f>HYPERLINK("https://klasma.github.io/Logging_0382/tillsyn/A 33800-2024 tillsynsbegäran.docx", "A 33800-2024")</f>
        <v/>
      </c>
      <c r="Y90">
        <f>HYPERLINK("https://klasma.github.io/Logging_0382/tillsynsmail/A 33800-2024 tillsynsbegäran mail.docx", "A 33800-2024")</f>
        <v/>
      </c>
    </row>
    <row r="91" ht="15" customHeight="1">
      <c r="A91" t="inlineStr">
        <is>
          <t>A 14706-2023</t>
        </is>
      </c>
      <c r="B91" s="1" t="n">
        <v>45013</v>
      </c>
      <c r="C91" s="1" t="n">
        <v>45963</v>
      </c>
      <c r="D91" t="inlineStr">
        <is>
          <t>UPPSALA LÄN</t>
        </is>
      </c>
      <c r="E91" t="inlineStr">
        <is>
          <t>ÖSTHAMMAR</t>
        </is>
      </c>
      <c r="G91" t="n">
        <v>0.9</v>
      </c>
      <c r="H91" t="n">
        <v>0</v>
      </c>
      <c r="I91" t="n">
        <v>1</v>
      </c>
      <c r="J91" t="n">
        <v>0</v>
      </c>
      <c r="K91" t="n">
        <v>0</v>
      </c>
      <c r="L91" t="n">
        <v>0</v>
      </c>
      <c r="M91" t="n">
        <v>0</v>
      </c>
      <c r="N91" t="n">
        <v>0</v>
      </c>
      <c r="O91" t="n">
        <v>0</v>
      </c>
      <c r="P91" t="n">
        <v>0</v>
      </c>
      <c r="Q91" t="n">
        <v>1</v>
      </c>
      <c r="R91" s="2" t="inlineStr">
        <is>
          <t>Olivspindling</t>
        </is>
      </c>
      <c r="S91">
        <f>HYPERLINK("https://klasma.github.io/Logging_0382/artfynd/A 14706-2023 artfynd.xlsx", "A 14706-2023")</f>
        <v/>
      </c>
      <c r="T91">
        <f>HYPERLINK("https://klasma.github.io/Logging_0382/kartor/A 14706-2023 karta.png", "A 14706-2023")</f>
        <v/>
      </c>
      <c r="V91">
        <f>HYPERLINK("https://klasma.github.io/Logging_0382/klagomål/A 14706-2023 FSC-klagomål.docx", "A 14706-2023")</f>
        <v/>
      </c>
      <c r="W91">
        <f>HYPERLINK("https://klasma.github.io/Logging_0382/klagomålsmail/A 14706-2023 FSC-klagomål mail.docx", "A 14706-2023")</f>
        <v/>
      </c>
      <c r="X91">
        <f>HYPERLINK("https://klasma.github.io/Logging_0382/tillsyn/A 14706-2023 tillsynsbegäran.docx", "A 14706-2023")</f>
        <v/>
      </c>
      <c r="Y91">
        <f>HYPERLINK("https://klasma.github.io/Logging_0382/tillsynsmail/A 14706-2023 tillsynsbegäran mail.docx", "A 14706-2023")</f>
        <v/>
      </c>
    </row>
    <row r="92" ht="15" customHeight="1">
      <c r="A92" t="inlineStr">
        <is>
          <t>A 1227-2022</t>
        </is>
      </c>
      <c r="B92" s="1" t="n">
        <v>44572.57641203704</v>
      </c>
      <c r="C92" s="1" t="n">
        <v>45963</v>
      </c>
      <c r="D92" t="inlineStr">
        <is>
          <t>UPPSALA LÄN</t>
        </is>
      </c>
      <c r="E92" t="inlineStr">
        <is>
          <t>ÖSTHAMMAR</t>
        </is>
      </c>
      <c r="G92" t="n">
        <v>1.7</v>
      </c>
      <c r="H92" t="n">
        <v>0</v>
      </c>
      <c r="I92" t="n">
        <v>1</v>
      </c>
      <c r="J92" t="n">
        <v>0</v>
      </c>
      <c r="K92" t="n">
        <v>0</v>
      </c>
      <c r="L92" t="n">
        <v>0</v>
      </c>
      <c r="M92" t="n">
        <v>0</v>
      </c>
      <c r="N92" t="n">
        <v>0</v>
      </c>
      <c r="O92" t="n">
        <v>0</v>
      </c>
      <c r="P92" t="n">
        <v>0</v>
      </c>
      <c r="Q92" t="n">
        <v>1</v>
      </c>
      <c r="R92" s="2" t="inlineStr">
        <is>
          <t>Guldkremla</t>
        </is>
      </c>
      <c r="S92">
        <f>HYPERLINK("https://klasma.github.io/Logging_0382/artfynd/A 1227-2022 artfynd.xlsx", "A 1227-2022")</f>
        <v/>
      </c>
      <c r="T92">
        <f>HYPERLINK("https://klasma.github.io/Logging_0382/kartor/A 1227-2022 karta.png", "A 1227-2022")</f>
        <v/>
      </c>
      <c r="V92">
        <f>HYPERLINK("https://klasma.github.io/Logging_0382/klagomål/A 1227-2022 FSC-klagomål.docx", "A 1227-2022")</f>
        <v/>
      </c>
      <c r="W92">
        <f>HYPERLINK("https://klasma.github.io/Logging_0382/klagomålsmail/A 1227-2022 FSC-klagomål mail.docx", "A 1227-2022")</f>
        <v/>
      </c>
      <c r="X92">
        <f>HYPERLINK("https://klasma.github.io/Logging_0382/tillsyn/A 1227-2022 tillsynsbegäran.docx", "A 1227-2022")</f>
        <v/>
      </c>
      <c r="Y92">
        <f>HYPERLINK("https://klasma.github.io/Logging_0382/tillsynsmail/A 1227-2022 tillsynsbegäran mail.docx", "A 1227-2022")</f>
        <v/>
      </c>
    </row>
    <row r="93" ht="15" customHeight="1">
      <c r="A93" t="inlineStr">
        <is>
          <t>A 34090-2023</t>
        </is>
      </c>
      <c r="B93" s="1" t="n">
        <v>45135</v>
      </c>
      <c r="C93" s="1" t="n">
        <v>45963</v>
      </c>
      <c r="D93" t="inlineStr">
        <is>
          <t>UPPSALA LÄN</t>
        </is>
      </c>
      <c r="E93" t="inlineStr">
        <is>
          <t>ÖSTHAMMAR</t>
        </is>
      </c>
      <c r="F93" t="inlineStr">
        <is>
          <t>Bergvik skog öst AB</t>
        </is>
      </c>
      <c r="G93" t="n">
        <v>5.7</v>
      </c>
      <c r="H93" t="n">
        <v>1</v>
      </c>
      <c r="I93" t="n">
        <v>0</v>
      </c>
      <c r="J93" t="n">
        <v>1</v>
      </c>
      <c r="K93" t="n">
        <v>0</v>
      </c>
      <c r="L93" t="n">
        <v>0</v>
      </c>
      <c r="M93" t="n">
        <v>0</v>
      </c>
      <c r="N93" t="n">
        <v>0</v>
      </c>
      <c r="O93" t="n">
        <v>1</v>
      </c>
      <c r="P93" t="n">
        <v>0</v>
      </c>
      <c r="Q93" t="n">
        <v>1</v>
      </c>
      <c r="R93" s="2" t="inlineStr">
        <is>
          <t>Spillkråka</t>
        </is>
      </c>
      <c r="S93">
        <f>HYPERLINK("https://klasma.github.io/Logging_0382/artfynd/A 34090-2023 artfynd.xlsx", "A 34090-2023")</f>
        <v/>
      </c>
      <c r="T93">
        <f>HYPERLINK("https://klasma.github.io/Logging_0382/kartor/A 34090-2023 karta.png", "A 34090-2023")</f>
        <v/>
      </c>
      <c r="V93">
        <f>HYPERLINK("https://klasma.github.io/Logging_0382/klagomål/A 34090-2023 FSC-klagomål.docx", "A 34090-2023")</f>
        <v/>
      </c>
      <c r="W93">
        <f>HYPERLINK("https://klasma.github.io/Logging_0382/klagomålsmail/A 34090-2023 FSC-klagomål mail.docx", "A 34090-2023")</f>
        <v/>
      </c>
      <c r="X93">
        <f>HYPERLINK("https://klasma.github.io/Logging_0382/tillsyn/A 34090-2023 tillsynsbegäran.docx", "A 34090-2023")</f>
        <v/>
      </c>
      <c r="Y93">
        <f>HYPERLINK("https://klasma.github.io/Logging_0382/tillsynsmail/A 34090-2023 tillsynsbegäran mail.docx", "A 34090-2023")</f>
        <v/>
      </c>
      <c r="Z93">
        <f>HYPERLINK("https://klasma.github.io/Logging_0382/fåglar/A 34090-2023 prioriterade fågelarter.docx", "A 34090-2023")</f>
        <v/>
      </c>
    </row>
    <row r="94" ht="15" customHeight="1">
      <c r="A94" t="inlineStr">
        <is>
          <t>A 11017-2023</t>
        </is>
      </c>
      <c r="B94" s="1" t="n">
        <v>44991</v>
      </c>
      <c r="C94" s="1" t="n">
        <v>45963</v>
      </c>
      <c r="D94" t="inlineStr">
        <is>
          <t>UPPSALA LÄN</t>
        </is>
      </c>
      <c r="E94" t="inlineStr">
        <is>
          <t>ÖSTHAMMAR</t>
        </is>
      </c>
      <c r="G94" t="n">
        <v>1.9</v>
      </c>
      <c r="H94" t="n">
        <v>1</v>
      </c>
      <c r="I94" t="n">
        <v>0</v>
      </c>
      <c r="J94" t="n">
        <v>1</v>
      </c>
      <c r="K94" t="n">
        <v>0</v>
      </c>
      <c r="L94" t="n">
        <v>0</v>
      </c>
      <c r="M94" t="n">
        <v>0</v>
      </c>
      <c r="N94" t="n">
        <v>0</v>
      </c>
      <c r="O94" t="n">
        <v>1</v>
      </c>
      <c r="P94" t="n">
        <v>0</v>
      </c>
      <c r="Q94" t="n">
        <v>1</v>
      </c>
      <c r="R94" s="2" t="inlineStr">
        <is>
          <t>Kornknarr</t>
        </is>
      </c>
      <c r="S94">
        <f>HYPERLINK("https://klasma.github.io/Logging_0382/artfynd/A 11017-2023 artfynd.xlsx", "A 11017-2023")</f>
        <v/>
      </c>
      <c r="T94">
        <f>HYPERLINK("https://klasma.github.io/Logging_0382/kartor/A 11017-2023 karta.png", "A 11017-2023")</f>
        <v/>
      </c>
      <c r="V94">
        <f>HYPERLINK("https://klasma.github.io/Logging_0382/klagomål/A 11017-2023 FSC-klagomål.docx", "A 11017-2023")</f>
        <v/>
      </c>
      <c r="W94">
        <f>HYPERLINK("https://klasma.github.io/Logging_0382/klagomålsmail/A 11017-2023 FSC-klagomål mail.docx", "A 11017-2023")</f>
        <v/>
      </c>
      <c r="X94">
        <f>HYPERLINK("https://klasma.github.io/Logging_0382/tillsyn/A 11017-2023 tillsynsbegäran.docx", "A 11017-2023")</f>
        <v/>
      </c>
      <c r="Y94">
        <f>HYPERLINK("https://klasma.github.io/Logging_0382/tillsynsmail/A 11017-2023 tillsynsbegäran mail.docx", "A 11017-2023")</f>
        <v/>
      </c>
    </row>
    <row r="95" ht="15" customHeight="1">
      <c r="A95" t="inlineStr">
        <is>
          <t>A 52818-2022</t>
        </is>
      </c>
      <c r="B95" s="1" t="n">
        <v>44875</v>
      </c>
      <c r="C95" s="1" t="n">
        <v>45963</v>
      </c>
      <c r="D95" t="inlineStr">
        <is>
          <t>UPPSALA LÄN</t>
        </is>
      </c>
      <c r="E95" t="inlineStr">
        <is>
          <t>ÖSTHAMMAR</t>
        </is>
      </c>
      <c r="G95" t="n">
        <v>0.9</v>
      </c>
      <c r="H95" t="n">
        <v>1</v>
      </c>
      <c r="I95" t="n">
        <v>1</v>
      </c>
      <c r="J95" t="n">
        <v>0</v>
      </c>
      <c r="K95" t="n">
        <v>0</v>
      </c>
      <c r="L95" t="n">
        <v>0</v>
      </c>
      <c r="M95" t="n">
        <v>0</v>
      </c>
      <c r="N95" t="n">
        <v>0</v>
      </c>
      <c r="O95" t="n">
        <v>0</v>
      </c>
      <c r="P95" t="n">
        <v>0</v>
      </c>
      <c r="Q95" t="n">
        <v>1</v>
      </c>
      <c r="R95" s="2" t="inlineStr">
        <is>
          <t>Guckusko</t>
        </is>
      </c>
      <c r="S95">
        <f>HYPERLINK("https://klasma.github.io/Logging_0382/artfynd/A 52818-2022 artfynd.xlsx", "A 52818-2022")</f>
        <v/>
      </c>
      <c r="T95">
        <f>HYPERLINK("https://klasma.github.io/Logging_0382/kartor/A 52818-2022 karta.png", "A 52818-2022")</f>
        <v/>
      </c>
      <c r="V95">
        <f>HYPERLINK("https://klasma.github.io/Logging_0382/klagomål/A 52818-2022 FSC-klagomål.docx", "A 52818-2022")</f>
        <v/>
      </c>
      <c r="W95">
        <f>HYPERLINK("https://klasma.github.io/Logging_0382/klagomålsmail/A 52818-2022 FSC-klagomål mail.docx", "A 52818-2022")</f>
        <v/>
      </c>
      <c r="X95">
        <f>HYPERLINK("https://klasma.github.io/Logging_0382/tillsyn/A 52818-2022 tillsynsbegäran.docx", "A 52818-2022")</f>
        <v/>
      </c>
      <c r="Y95">
        <f>HYPERLINK("https://klasma.github.io/Logging_0382/tillsynsmail/A 52818-2022 tillsynsbegäran mail.docx", "A 52818-2022")</f>
        <v/>
      </c>
    </row>
    <row r="96" ht="15" customHeight="1">
      <c r="A96" t="inlineStr">
        <is>
          <t>A 29564-2023</t>
        </is>
      </c>
      <c r="B96" s="1" t="n">
        <v>45106</v>
      </c>
      <c r="C96" s="1" t="n">
        <v>45963</v>
      </c>
      <c r="D96" t="inlineStr">
        <is>
          <t>UPPSALA LÄN</t>
        </is>
      </c>
      <c r="E96" t="inlineStr">
        <is>
          <t>ÖSTHAMMAR</t>
        </is>
      </c>
      <c r="F96" t="inlineStr">
        <is>
          <t>Naturvårdsverket</t>
        </is>
      </c>
      <c r="G96" t="n">
        <v>1.2</v>
      </c>
      <c r="H96" t="n">
        <v>1</v>
      </c>
      <c r="I96" t="n">
        <v>0</v>
      </c>
      <c r="J96" t="n">
        <v>0</v>
      </c>
      <c r="K96" t="n">
        <v>0</v>
      </c>
      <c r="L96" t="n">
        <v>0</v>
      </c>
      <c r="M96" t="n">
        <v>0</v>
      </c>
      <c r="N96" t="n">
        <v>0</v>
      </c>
      <c r="O96" t="n">
        <v>0</v>
      </c>
      <c r="P96" t="n">
        <v>0</v>
      </c>
      <c r="Q96" t="n">
        <v>1</v>
      </c>
      <c r="R96" s="2" t="inlineStr">
        <is>
          <t>Blåsippa</t>
        </is>
      </c>
      <c r="S96">
        <f>HYPERLINK("https://klasma.github.io/Logging_0382/artfynd/A 29564-2023 artfynd.xlsx", "A 29564-2023")</f>
        <v/>
      </c>
      <c r="T96">
        <f>HYPERLINK("https://klasma.github.io/Logging_0382/kartor/A 29564-2023 karta.png", "A 29564-2023")</f>
        <v/>
      </c>
      <c r="V96">
        <f>HYPERLINK("https://klasma.github.io/Logging_0382/klagomål/A 29564-2023 FSC-klagomål.docx", "A 29564-2023")</f>
        <v/>
      </c>
      <c r="W96">
        <f>HYPERLINK("https://klasma.github.io/Logging_0382/klagomålsmail/A 29564-2023 FSC-klagomål mail.docx", "A 29564-2023")</f>
        <v/>
      </c>
      <c r="X96">
        <f>HYPERLINK("https://klasma.github.io/Logging_0382/tillsyn/A 29564-2023 tillsynsbegäran.docx", "A 29564-2023")</f>
        <v/>
      </c>
      <c r="Y96">
        <f>HYPERLINK("https://klasma.github.io/Logging_0382/tillsynsmail/A 29564-2023 tillsynsbegäran mail.docx", "A 29564-2023")</f>
        <v/>
      </c>
    </row>
    <row r="97" ht="15" customHeight="1">
      <c r="A97" t="inlineStr">
        <is>
          <t>A 46629-2024</t>
        </is>
      </c>
      <c r="B97" s="1" t="n">
        <v>45583.33221064815</v>
      </c>
      <c r="C97" s="1" t="n">
        <v>45963</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37296-2023</t>
        </is>
      </c>
      <c r="B98" s="1" t="n">
        <v>45156</v>
      </c>
      <c r="C98" s="1" t="n">
        <v>45963</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30605-2025</t>
        </is>
      </c>
      <c r="B99" s="1" t="n">
        <v>45831.45510416666</v>
      </c>
      <c r="C99" s="1" t="n">
        <v>45963</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10034-2023</t>
        </is>
      </c>
      <c r="B100" s="1" t="n">
        <v>44985</v>
      </c>
      <c r="C100" s="1" t="n">
        <v>45963</v>
      </c>
      <c r="D100" t="inlineStr">
        <is>
          <t>UPPSALA LÄN</t>
        </is>
      </c>
      <c r="E100" t="inlineStr">
        <is>
          <t>ÖSTHAMMAR</t>
        </is>
      </c>
      <c r="G100" t="n">
        <v>2.1</v>
      </c>
      <c r="H100" t="n">
        <v>1</v>
      </c>
      <c r="I100" t="n">
        <v>0</v>
      </c>
      <c r="J100" t="n">
        <v>0</v>
      </c>
      <c r="K100" t="n">
        <v>0</v>
      </c>
      <c r="L100" t="n">
        <v>0</v>
      </c>
      <c r="M100" t="n">
        <v>0</v>
      </c>
      <c r="N100" t="n">
        <v>0</v>
      </c>
      <c r="O100" t="n">
        <v>0</v>
      </c>
      <c r="P100" t="n">
        <v>0</v>
      </c>
      <c r="Q100" t="n">
        <v>1</v>
      </c>
      <c r="R100" s="2" t="inlineStr">
        <is>
          <t>Blåsippa</t>
        </is>
      </c>
      <c r="S100">
        <f>HYPERLINK("https://klasma.github.io/Logging_0382/artfynd/A 10034-2023 artfynd.xlsx", "A 10034-2023")</f>
        <v/>
      </c>
      <c r="T100">
        <f>HYPERLINK("https://klasma.github.io/Logging_0382/kartor/A 10034-2023 karta.png", "A 10034-2023")</f>
        <v/>
      </c>
      <c r="V100">
        <f>HYPERLINK("https://klasma.github.io/Logging_0382/klagomål/A 10034-2023 FSC-klagomål.docx", "A 10034-2023")</f>
        <v/>
      </c>
      <c r="W100">
        <f>HYPERLINK("https://klasma.github.io/Logging_0382/klagomålsmail/A 10034-2023 FSC-klagomål mail.docx", "A 10034-2023")</f>
        <v/>
      </c>
      <c r="X100">
        <f>HYPERLINK("https://klasma.github.io/Logging_0382/tillsyn/A 10034-2023 tillsynsbegäran.docx", "A 10034-2023")</f>
        <v/>
      </c>
      <c r="Y100">
        <f>HYPERLINK("https://klasma.github.io/Logging_0382/tillsynsmail/A 10034-2023 tillsynsbegäran mail.docx", "A 10034-2023")</f>
        <v/>
      </c>
    </row>
    <row r="101" ht="15" customHeight="1">
      <c r="A101" t="inlineStr">
        <is>
          <t>A 65989-2021</t>
        </is>
      </c>
      <c r="B101" s="1" t="n">
        <v>44517</v>
      </c>
      <c r="C101" s="1" t="n">
        <v>45963</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41220-2025</t>
        </is>
      </c>
      <c r="B102" s="1" t="n">
        <v>45898.58630787037</v>
      </c>
      <c r="C102" s="1" t="n">
        <v>45963</v>
      </c>
      <c r="D102" t="inlineStr">
        <is>
          <t>UPPSALA LÄN</t>
        </is>
      </c>
      <c r="E102" t="inlineStr">
        <is>
          <t>ÖSTHAMMAR</t>
        </is>
      </c>
      <c r="F102" t="inlineStr">
        <is>
          <t>Bergvik skog öst AB</t>
        </is>
      </c>
      <c r="G102" t="n">
        <v>2.5</v>
      </c>
      <c r="H102" t="n">
        <v>1</v>
      </c>
      <c r="I102" t="n">
        <v>0</v>
      </c>
      <c r="J102" t="n">
        <v>1</v>
      </c>
      <c r="K102" t="n">
        <v>0</v>
      </c>
      <c r="L102" t="n">
        <v>0</v>
      </c>
      <c r="M102" t="n">
        <v>0</v>
      </c>
      <c r="N102" t="n">
        <v>0</v>
      </c>
      <c r="O102" t="n">
        <v>1</v>
      </c>
      <c r="P102" t="n">
        <v>0</v>
      </c>
      <c r="Q102" t="n">
        <v>1</v>
      </c>
      <c r="R102" s="2" t="inlineStr">
        <is>
          <t>Spillkråka</t>
        </is>
      </c>
      <c r="S102">
        <f>HYPERLINK("https://klasma.github.io/Logging_0382/artfynd/A 41220-2025 artfynd.xlsx", "A 41220-2025")</f>
        <v/>
      </c>
      <c r="T102">
        <f>HYPERLINK("https://klasma.github.io/Logging_0382/kartor/A 41220-2025 karta.png", "A 41220-2025")</f>
        <v/>
      </c>
      <c r="V102">
        <f>HYPERLINK("https://klasma.github.io/Logging_0382/klagomål/A 41220-2025 FSC-klagomål.docx", "A 41220-2025")</f>
        <v/>
      </c>
      <c r="W102">
        <f>HYPERLINK("https://klasma.github.io/Logging_0382/klagomålsmail/A 41220-2025 FSC-klagomål mail.docx", "A 41220-2025")</f>
        <v/>
      </c>
      <c r="X102">
        <f>HYPERLINK("https://klasma.github.io/Logging_0382/tillsyn/A 41220-2025 tillsynsbegäran.docx", "A 41220-2025")</f>
        <v/>
      </c>
      <c r="Y102">
        <f>HYPERLINK("https://klasma.github.io/Logging_0382/tillsynsmail/A 41220-2025 tillsynsbegäran mail.docx", "A 41220-2025")</f>
        <v/>
      </c>
      <c r="Z102">
        <f>HYPERLINK("https://klasma.github.io/Logging_0382/fåglar/A 41220-2025 prioriterade fågelarter.docx", "A 41220-2025")</f>
        <v/>
      </c>
    </row>
    <row r="103" ht="15" customHeight="1">
      <c r="A103" t="inlineStr">
        <is>
          <t>A 22375-2024</t>
        </is>
      </c>
      <c r="B103" s="1" t="n">
        <v>45446</v>
      </c>
      <c r="C103" s="1" t="n">
        <v>45963</v>
      </c>
      <c r="D103" t="inlineStr">
        <is>
          <t>UPPSALA LÄN</t>
        </is>
      </c>
      <c r="E103" t="inlineStr">
        <is>
          <t>ÖSTHAMMAR</t>
        </is>
      </c>
      <c r="F103" t="inlineStr">
        <is>
          <t>Bergvik skog öst AB</t>
        </is>
      </c>
      <c r="G103" t="n">
        <v>2.2</v>
      </c>
      <c r="H103" t="n">
        <v>0</v>
      </c>
      <c r="I103" t="n">
        <v>0</v>
      </c>
      <c r="J103" t="n">
        <v>1</v>
      </c>
      <c r="K103" t="n">
        <v>0</v>
      </c>
      <c r="L103" t="n">
        <v>0</v>
      </c>
      <c r="M103" t="n">
        <v>0</v>
      </c>
      <c r="N103" t="n">
        <v>0</v>
      </c>
      <c r="O103" t="n">
        <v>1</v>
      </c>
      <c r="P103" t="n">
        <v>0</v>
      </c>
      <c r="Q103" t="n">
        <v>1</v>
      </c>
      <c r="R103" s="2" t="inlineStr">
        <is>
          <t>Slåtterfibbla</t>
        </is>
      </c>
      <c r="S103">
        <f>HYPERLINK("https://klasma.github.io/Logging_0382/artfynd/A 22375-2024 artfynd.xlsx", "A 22375-2024")</f>
        <v/>
      </c>
      <c r="T103">
        <f>HYPERLINK("https://klasma.github.io/Logging_0382/kartor/A 22375-2024 karta.png", "A 22375-2024")</f>
        <v/>
      </c>
      <c r="V103">
        <f>HYPERLINK("https://klasma.github.io/Logging_0382/klagomål/A 22375-2024 FSC-klagomål.docx", "A 22375-2024")</f>
        <v/>
      </c>
      <c r="W103">
        <f>HYPERLINK("https://klasma.github.io/Logging_0382/klagomålsmail/A 22375-2024 FSC-klagomål mail.docx", "A 22375-2024")</f>
        <v/>
      </c>
      <c r="X103">
        <f>HYPERLINK("https://klasma.github.io/Logging_0382/tillsyn/A 22375-2024 tillsynsbegäran.docx", "A 22375-2024")</f>
        <v/>
      </c>
      <c r="Y103">
        <f>HYPERLINK("https://klasma.github.io/Logging_0382/tillsynsmail/A 22375-2024 tillsynsbegäran mail.docx", "A 22375-2024")</f>
        <v/>
      </c>
    </row>
    <row r="104" ht="15" customHeight="1">
      <c r="A104" t="inlineStr">
        <is>
          <t>A 52879-2025</t>
        </is>
      </c>
      <c r="B104" s="1" t="n">
        <v>45957.544375</v>
      </c>
      <c r="C104" s="1" t="n">
        <v>45963</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3693-2021</t>
        </is>
      </c>
      <c r="B105" s="1" t="n">
        <v>44221</v>
      </c>
      <c r="C105" s="1" t="n">
        <v>45963</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45963</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45963</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45963</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45963</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45963</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45963</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45963</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45963</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45963</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45963</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45963</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45963</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45963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45963</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45963</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45963</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45963</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45963</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45963</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45963</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45963</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45963</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45963</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19174-2022</t>
        </is>
      </c>
      <c r="B129" s="1" t="n">
        <v>44691</v>
      </c>
      <c r="C129" s="1" t="n">
        <v>45963</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45963</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45963</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45963</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45963</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45963</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45963</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45963</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45963</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45963</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45963</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45963</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45963</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45963</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45963</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45963</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45963</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45963</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45963</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45963</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45963</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45963</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45963</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45963</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45963</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45963</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45963</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45963</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7871-2022</t>
        </is>
      </c>
      <c r="B157" s="1" t="n">
        <v>44608</v>
      </c>
      <c r="C157" s="1" t="n">
        <v>45963</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24817-2022</t>
        </is>
      </c>
      <c r="B158" s="1" t="n">
        <v>44728</v>
      </c>
      <c r="C158" s="1" t="n">
        <v>45963</v>
      </c>
      <c r="D158" t="inlineStr">
        <is>
          <t>UPPSALA LÄN</t>
        </is>
      </c>
      <c r="E158" t="inlineStr">
        <is>
          <t>ÖSTHAMMAR</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37545-2022</t>
        </is>
      </c>
      <c r="B159" s="1" t="n">
        <v>44809.63373842592</v>
      </c>
      <c r="C159" s="1" t="n">
        <v>45963</v>
      </c>
      <c r="D159" t="inlineStr">
        <is>
          <t>UPPSALA LÄN</t>
        </is>
      </c>
      <c r="E159" t="inlineStr">
        <is>
          <t>ÖSTHAMMAR</t>
        </is>
      </c>
      <c r="G159" t="n">
        <v>3.1</v>
      </c>
      <c r="H159" t="n">
        <v>0</v>
      </c>
      <c r="I159" t="n">
        <v>0</v>
      </c>
      <c r="J159" t="n">
        <v>0</v>
      </c>
      <c r="K159" t="n">
        <v>0</v>
      </c>
      <c r="L159" t="n">
        <v>0</v>
      </c>
      <c r="M159" t="n">
        <v>0</v>
      </c>
      <c r="N159" t="n">
        <v>0</v>
      </c>
      <c r="O159" t="n">
        <v>0</v>
      </c>
      <c r="P159" t="n">
        <v>0</v>
      </c>
      <c r="Q159" t="n">
        <v>0</v>
      </c>
      <c r="R159" s="2" t="inlineStr"/>
    </row>
    <row r="160" ht="15" customHeight="1">
      <c r="A160" t="inlineStr">
        <is>
          <t>A 43469-2021</t>
        </is>
      </c>
      <c r="B160" s="1" t="n">
        <v>44432</v>
      </c>
      <c r="C160" s="1" t="n">
        <v>45963</v>
      </c>
      <c r="D160" t="inlineStr">
        <is>
          <t>UPPSALA LÄN</t>
        </is>
      </c>
      <c r="E160" t="inlineStr">
        <is>
          <t>ÖSTHAMMAR</t>
        </is>
      </c>
      <c r="G160" t="n">
        <v>3.9</v>
      </c>
      <c r="H160" t="n">
        <v>0</v>
      </c>
      <c r="I160" t="n">
        <v>0</v>
      </c>
      <c r="J160" t="n">
        <v>0</v>
      </c>
      <c r="K160" t="n">
        <v>0</v>
      </c>
      <c r="L160" t="n">
        <v>0</v>
      </c>
      <c r="M160" t="n">
        <v>0</v>
      </c>
      <c r="N160" t="n">
        <v>0</v>
      </c>
      <c r="O160" t="n">
        <v>0</v>
      </c>
      <c r="P160" t="n">
        <v>0</v>
      </c>
      <c r="Q160" t="n">
        <v>0</v>
      </c>
      <c r="R160" s="2" t="inlineStr"/>
    </row>
    <row r="161" ht="15" customHeight="1">
      <c r="A161" t="inlineStr">
        <is>
          <t>A 51906-2022</t>
        </is>
      </c>
      <c r="B161" s="1" t="n">
        <v>44872.62109953703</v>
      </c>
      <c r="C161" s="1" t="n">
        <v>45963</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38501-2022</t>
        </is>
      </c>
      <c r="B162" s="1" t="n">
        <v>44813</v>
      </c>
      <c r="C162" s="1" t="n">
        <v>45963</v>
      </c>
      <c r="D162" t="inlineStr">
        <is>
          <t>UPPSALA LÄN</t>
        </is>
      </c>
      <c r="E162" t="inlineStr">
        <is>
          <t>ÖSTHAMMAR</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45963</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37813-2022</t>
        </is>
      </c>
      <c r="B164" s="1" t="n">
        <v>44810</v>
      </c>
      <c r="C164" s="1" t="n">
        <v>45963</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45963</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6221-2021</t>
        </is>
      </c>
      <c r="B166" s="1" t="n">
        <v>44235</v>
      </c>
      <c r="C166" s="1" t="n">
        <v>45963</v>
      </c>
      <c r="D166" t="inlineStr">
        <is>
          <t>UPPSALA LÄN</t>
        </is>
      </c>
      <c r="E166" t="inlineStr">
        <is>
          <t>ÖSTHAMMAR</t>
        </is>
      </c>
      <c r="G166" t="n">
        <v>0.8</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45963</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31182-2022</t>
        </is>
      </c>
      <c r="B168" s="1" t="n">
        <v>44770</v>
      </c>
      <c r="C168" s="1" t="n">
        <v>45963</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26534-2022</t>
        </is>
      </c>
      <c r="B169" s="1" t="n">
        <v>44739</v>
      </c>
      <c r="C169" s="1" t="n">
        <v>45963</v>
      </c>
      <c r="D169" t="inlineStr">
        <is>
          <t>UPPSALA LÄN</t>
        </is>
      </c>
      <c r="E169" t="inlineStr">
        <is>
          <t>ÖSTHAMMAR</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11987-2022</t>
        </is>
      </c>
      <c r="B170" s="1" t="n">
        <v>44635.68695601852</v>
      </c>
      <c r="C170" s="1" t="n">
        <v>45963</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30209-2022</t>
        </is>
      </c>
      <c r="B171" s="1" t="n">
        <v>44757.75236111111</v>
      </c>
      <c r="C171" s="1" t="n">
        <v>45963</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22207-2022</t>
        </is>
      </c>
      <c r="B172" s="1" t="n">
        <v>44712.51509259259</v>
      </c>
      <c r="C172" s="1" t="n">
        <v>45963</v>
      </c>
      <c r="D172" t="inlineStr">
        <is>
          <t>UPPSALA LÄN</t>
        </is>
      </c>
      <c r="E172" t="inlineStr">
        <is>
          <t>ÖSTHAMMAR</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49334-2022</t>
        </is>
      </c>
      <c r="B173" s="1" t="n">
        <v>44861</v>
      </c>
      <c r="C173" s="1" t="n">
        <v>45963</v>
      </c>
      <c r="D173" t="inlineStr">
        <is>
          <t>UPPSALA LÄN</t>
        </is>
      </c>
      <c r="E173" t="inlineStr">
        <is>
          <t>ÖSTHAMMAR</t>
        </is>
      </c>
      <c r="G173" t="n">
        <v>3.5</v>
      </c>
      <c r="H173" t="n">
        <v>0</v>
      </c>
      <c r="I173" t="n">
        <v>0</v>
      </c>
      <c r="J173" t="n">
        <v>0</v>
      </c>
      <c r="K173" t="n">
        <v>0</v>
      </c>
      <c r="L173" t="n">
        <v>0</v>
      </c>
      <c r="M173" t="n">
        <v>0</v>
      </c>
      <c r="N173" t="n">
        <v>0</v>
      </c>
      <c r="O173" t="n">
        <v>0</v>
      </c>
      <c r="P173" t="n">
        <v>0</v>
      </c>
      <c r="Q173" t="n">
        <v>0</v>
      </c>
      <c r="R173" s="2" t="inlineStr"/>
    </row>
    <row r="174" ht="15" customHeight="1">
      <c r="A174" t="inlineStr">
        <is>
          <t>A 59432-2020</t>
        </is>
      </c>
      <c r="B174" s="1" t="n">
        <v>44148</v>
      </c>
      <c r="C174" s="1" t="n">
        <v>45963</v>
      </c>
      <c r="D174" t="inlineStr">
        <is>
          <t>UPPSALA LÄN</t>
        </is>
      </c>
      <c r="E174" t="inlineStr">
        <is>
          <t>ÖSTHAMMAR</t>
        </is>
      </c>
      <c r="F174" t="inlineStr">
        <is>
          <t>Sveaskog</t>
        </is>
      </c>
      <c r="G174" t="n">
        <v>3.4</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45963</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16184-2022</t>
        </is>
      </c>
      <c r="B176" s="1" t="n">
        <v>44669.36354166667</v>
      </c>
      <c r="C176" s="1" t="n">
        <v>45963</v>
      </c>
      <c r="D176" t="inlineStr">
        <is>
          <t>UPPSALA LÄN</t>
        </is>
      </c>
      <c r="E176" t="inlineStr">
        <is>
          <t>ÖSTHAMMAR</t>
        </is>
      </c>
      <c r="F176" t="inlineStr">
        <is>
          <t>Bergvik skog öst AB</t>
        </is>
      </c>
      <c r="G176" t="n">
        <v>0.8</v>
      </c>
      <c r="H176" t="n">
        <v>0</v>
      </c>
      <c r="I176" t="n">
        <v>0</v>
      </c>
      <c r="J176" t="n">
        <v>0</v>
      </c>
      <c r="K176" t="n">
        <v>0</v>
      </c>
      <c r="L176" t="n">
        <v>0</v>
      </c>
      <c r="M176" t="n">
        <v>0</v>
      </c>
      <c r="N176" t="n">
        <v>0</v>
      </c>
      <c r="O176" t="n">
        <v>0</v>
      </c>
      <c r="P176" t="n">
        <v>0</v>
      </c>
      <c r="Q176" t="n">
        <v>0</v>
      </c>
      <c r="R176" s="2" t="inlineStr"/>
    </row>
    <row r="177" ht="15" customHeight="1">
      <c r="A177" t="inlineStr">
        <is>
          <t>A 61193-2020</t>
        </is>
      </c>
      <c r="B177" s="1" t="n">
        <v>44155</v>
      </c>
      <c r="C177" s="1" t="n">
        <v>45963</v>
      </c>
      <c r="D177" t="inlineStr">
        <is>
          <t>UPPSALA LÄN</t>
        </is>
      </c>
      <c r="E177" t="inlineStr">
        <is>
          <t>ÖSTHAMMAR</t>
        </is>
      </c>
      <c r="F177" t="inlineStr">
        <is>
          <t>Övriga Aktiebolag</t>
        </is>
      </c>
      <c r="G177" t="n">
        <v>2.1</v>
      </c>
      <c r="H177" t="n">
        <v>0</v>
      </c>
      <c r="I177" t="n">
        <v>0</v>
      </c>
      <c r="J177" t="n">
        <v>0</v>
      </c>
      <c r="K177" t="n">
        <v>0</v>
      </c>
      <c r="L177" t="n">
        <v>0</v>
      </c>
      <c r="M177" t="n">
        <v>0</v>
      </c>
      <c r="N177" t="n">
        <v>0</v>
      </c>
      <c r="O177" t="n">
        <v>0</v>
      </c>
      <c r="P177" t="n">
        <v>0</v>
      </c>
      <c r="Q177" t="n">
        <v>0</v>
      </c>
      <c r="R177" s="2" t="inlineStr"/>
    </row>
    <row r="178" ht="15" customHeight="1">
      <c r="A178" t="inlineStr">
        <is>
          <t>A 9789-2022</t>
        </is>
      </c>
      <c r="B178" s="1" t="n">
        <v>44620.35590277778</v>
      </c>
      <c r="C178" s="1" t="n">
        <v>45963</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4491-2022</t>
        </is>
      </c>
      <c r="B179" s="1" t="n">
        <v>44589.66446759259</v>
      </c>
      <c r="C179" s="1" t="n">
        <v>45963</v>
      </c>
      <c r="D179" t="inlineStr">
        <is>
          <t>UPPSALA LÄN</t>
        </is>
      </c>
      <c r="E179" t="inlineStr">
        <is>
          <t>ÖSTHAMMAR</t>
        </is>
      </c>
      <c r="G179" t="n">
        <v>1.4</v>
      </c>
      <c r="H179" t="n">
        <v>0</v>
      </c>
      <c r="I179" t="n">
        <v>0</v>
      </c>
      <c r="J179" t="n">
        <v>0</v>
      </c>
      <c r="K179" t="n">
        <v>0</v>
      </c>
      <c r="L179" t="n">
        <v>0</v>
      </c>
      <c r="M179" t="n">
        <v>0</v>
      </c>
      <c r="N179" t="n">
        <v>0</v>
      </c>
      <c r="O179" t="n">
        <v>0</v>
      </c>
      <c r="P179" t="n">
        <v>0</v>
      </c>
      <c r="Q179" t="n">
        <v>0</v>
      </c>
      <c r="R179" s="2" t="inlineStr"/>
    </row>
    <row r="180" ht="15" customHeight="1">
      <c r="A180" t="inlineStr">
        <is>
          <t>A 52295-2022</t>
        </is>
      </c>
      <c r="B180" s="1" t="n">
        <v>44873.67842592593</v>
      </c>
      <c r="C180" s="1" t="n">
        <v>45963</v>
      </c>
      <c r="D180" t="inlineStr">
        <is>
          <t>UPPSALA LÄN</t>
        </is>
      </c>
      <c r="E180" t="inlineStr">
        <is>
          <t>ÖSTHAMMAR</t>
        </is>
      </c>
      <c r="G180" t="n">
        <v>0.4</v>
      </c>
      <c r="H180" t="n">
        <v>0</v>
      </c>
      <c r="I180" t="n">
        <v>0</v>
      </c>
      <c r="J180" t="n">
        <v>0</v>
      </c>
      <c r="K180" t="n">
        <v>0</v>
      </c>
      <c r="L180" t="n">
        <v>0</v>
      </c>
      <c r="M180" t="n">
        <v>0</v>
      </c>
      <c r="N180" t="n">
        <v>0</v>
      </c>
      <c r="O180" t="n">
        <v>0</v>
      </c>
      <c r="P180" t="n">
        <v>0</v>
      </c>
      <c r="Q180" t="n">
        <v>0</v>
      </c>
      <c r="R180" s="2" t="inlineStr"/>
    </row>
    <row r="181" ht="15" customHeight="1">
      <c r="A181" t="inlineStr">
        <is>
          <t>A 22887-2022</t>
        </is>
      </c>
      <c r="B181" s="1" t="n">
        <v>44715</v>
      </c>
      <c r="C181" s="1" t="n">
        <v>45963</v>
      </c>
      <c r="D181" t="inlineStr">
        <is>
          <t>UPPSALA LÄN</t>
        </is>
      </c>
      <c r="E181" t="inlineStr">
        <is>
          <t>ÖSTHAMMAR</t>
        </is>
      </c>
      <c r="G181" t="n">
        <v>0.2</v>
      </c>
      <c r="H181" t="n">
        <v>0</v>
      </c>
      <c r="I181" t="n">
        <v>0</v>
      </c>
      <c r="J181" t="n">
        <v>0</v>
      </c>
      <c r="K181" t="n">
        <v>0</v>
      </c>
      <c r="L181" t="n">
        <v>0</v>
      </c>
      <c r="M181" t="n">
        <v>0</v>
      </c>
      <c r="N181" t="n">
        <v>0</v>
      </c>
      <c r="O181" t="n">
        <v>0</v>
      </c>
      <c r="P181" t="n">
        <v>0</v>
      </c>
      <c r="Q181" t="n">
        <v>0</v>
      </c>
      <c r="R181" s="2" t="inlineStr"/>
    </row>
    <row r="182" ht="15" customHeight="1">
      <c r="A182" t="inlineStr">
        <is>
          <t>A 52544-2021</t>
        </is>
      </c>
      <c r="B182" s="1" t="n">
        <v>44466</v>
      </c>
      <c r="C182" s="1" t="n">
        <v>45963</v>
      </c>
      <c r="D182" t="inlineStr">
        <is>
          <t>UPPSALA LÄN</t>
        </is>
      </c>
      <c r="E182" t="inlineStr">
        <is>
          <t>ÖSTHAMMAR</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45963</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41558-2021</t>
        </is>
      </c>
      <c r="B184" s="1" t="n">
        <v>44425.37835648148</v>
      </c>
      <c r="C184" s="1" t="n">
        <v>45963</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18736-2022</t>
        </is>
      </c>
      <c r="B185" s="1" t="n">
        <v>44687.87017361111</v>
      </c>
      <c r="C185" s="1" t="n">
        <v>45963</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34418-2022</t>
        </is>
      </c>
      <c r="B186" s="1" t="n">
        <v>44792</v>
      </c>
      <c r="C186" s="1" t="n">
        <v>45963</v>
      </c>
      <c r="D186" t="inlineStr">
        <is>
          <t>UPPSALA LÄN</t>
        </is>
      </c>
      <c r="E186" t="inlineStr">
        <is>
          <t>ÖSTHAMMAR</t>
        </is>
      </c>
      <c r="G186" t="n">
        <v>0.3</v>
      </c>
      <c r="H186" t="n">
        <v>0</v>
      </c>
      <c r="I186" t="n">
        <v>0</v>
      </c>
      <c r="J186" t="n">
        <v>0</v>
      </c>
      <c r="K186" t="n">
        <v>0</v>
      </c>
      <c r="L186" t="n">
        <v>0</v>
      </c>
      <c r="M186" t="n">
        <v>0</v>
      </c>
      <c r="N186" t="n">
        <v>0</v>
      </c>
      <c r="O186" t="n">
        <v>0</v>
      </c>
      <c r="P186" t="n">
        <v>0</v>
      </c>
      <c r="Q186" t="n">
        <v>0</v>
      </c>
      <c r="R186" s="2" t="inlineStr"/>
    </row>
    <row r="187" ht="15" customHeight="1">
      <c r="A187" t="inlineStr">
        <is>
          <t>A 15457-2022</t>
        </is>
      </c>
      <c r="B187" s="1" t="n">
        <v>44661.74027777778</v>
      </c>
      <c r="C187" s="1" t="n">
        <v>45963</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25987-2022</t>
        </is>
      </c>
      <c r="B188" s="1" t="n">
        <v>44734.49601851852</v>
      </c>
      <c r="C188" s="1" t="n">
        <v>45963</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57003-2021</t>
        </is>
      </c>
      <c r="B189" s="1" t="n">
        <v>44482.47577546296</v>
      </c>
      <c r="C189" s="1" t="n">
        <v>45963</v>
      </c>
      <c r="D189" t="inlineStr">
        <is>
          <t>UPPSALA LÄN</t>
        </is>
      </c>
      <c r="E189" t="inlineStr">
        <is>
          <t>ÖSTHAMMAR</t>
        </is>
      </c>
      <c r="G189" t="n">
        <v>1.9</v>
      </c>
      <c r="H189" t="n">
        <v>0</v>
      </c>
      <c r="I189" t="n">
        <v>0</v>
      </c>
      <c r="J189" t="n">
        <v>0</v>
      </c>
      <c r="K189" t="n">
        <v>0</v>
      </c>
      <c r="L189" t="n">
        <v>0</v>
      </c>
      <c r="M189" t="n">
        <v>0</v>
      </c>
      <c r="N189" t="n">
        <v>0</v>
      </c>
      <c r="O189" t="n">
        <v>0</v>
      </c>
      <c r="P189" t="n">
        <v>0</v>
      </c>
      <c r="Q189" t="n">
        <v>0</v>
      </c>
      <c r="R189" s="2" t="inlineStr"/>
    </row>
    <row r="190" ht="15" customHeight="1">
      <c r="A190" t="inlineStr">
        <is>
          <t>A 13279-2022</t>
        </is>
      </c>
      <c r="B190" s="1" t="n">
        <v>44644</v>
      </c>
      <c r="C190" s="1" t="n">
        <v>45963</v>
      </c>
      <c r="D190" t="inlineStr">
        <is>
          <t>UPPSALA LÄN</t>
        </is>
      </c>
      <c r="E190" t="inlineStr">
        <is>
          <t>ÖSTHAMMAR</t>
        </is>
      </c>
      <c r="G190" t="n">
        <v>1.4</v>
      </c>
      <c r="H190" t="n">
        <v>0</v>
      </c>
      <c r="I190" t="n">
        <v>0</v>
      </c>
      <c r="J190" t="n">
        <v>0</v>
      </c>
      <c r="K190" t="n">
        <v>0</v>
      </c>
      <c r="L190" t="n">
        <v>0</v>
      </c>
      <c r="M190" t="n">
        <v>0</v>
      </c>
      <c r="N190" t="n">
        <v>0</v>
      </c>
      <c r="O190" t="n">
        <v>0</v>
      </c>
      <c r="P190" t="n">
        <v>0</v>
      </c>
      <c r="Q190" t="n">
        <v>0</v>
      </c>
      <c r="R190" s="2" t="inlineStr"/>
    </row>
    <row r="191" ht="15" customHeight="1">
      <c r="A191" t="inlineStr">
        <is>
          <t>A 61560-2021</t>
        </is>
      </c>
      <c r="B191" s="1" t="n">
        <v>44501.42905092592</v>
      </c>
      <c r="C191" s="1" t="n">
        <v>45963</v>
      </c>
      <c r="D191" t="inlineStr">
        <is>
          <t>UPPSALA LÄN</t>
        </is>
      </c>
      <c r="E191" t="inlineStr">
        <is>
          <t>ÖSTHAMMAR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37570-2022</t>
        </is>
      </c>
      <c r="B192" s="1" t="n">
        <v>44809</v>
      </c>
      <c r="C192" s="1" t="n">
        <v>45963</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6046-2025</t>
        </is>
      </c>
      <c r="B193" s="1" t="n">
        <v>45695</v>
      </c>
      <c r="C193" s="1" t="n">
        <v>45963</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c r="U193">
        <f>HYPERLINK("https://klasma.github.io/Logging_0382/knärot/A 6046-2025 karta knärot.png", "A 6046-2025")</f>
        <v/>
      </c>
      <c r="V193">
        <f>HYPERLINK("https://klasma.github.io/Logging_0382/klagomål/A 6046-2025 FSC-klagomål.docx", "A 6046-2025")</f>
        <v/>
      </c>
      <c r="W193">
        <f>HYPERLINK("https://klasma.github.io/Logging_0382/klagomålsmail/A 6046-2025 FSC-klagomål mail.docx", "A 6046-2025")</f>
        <v/>
      </c>
      <c r="X193">
        <f>HYPERLINK("https://klasma.github.io/Logging_0382/tillsyn/A 6046-2025 tillsynsbegäran.docx", "A 6046-2025")</f>
        <v/>
      </c>
      <c r="Y193">
        <f>HYPERLINK("https://klasma.github.io/Logging_0382/tillsynsmail/A 6046-2025 tillsynsbegäran mail.docx", "A 6046-2025")</f>
        <v/>
      </c>
    </row>
    <row r="194" ht="15" customHeight="1">
      <c r="A194" t="inlineStr">
        <is>
          <t>A 45102-2024</t>
        </is>
      </c>
      <c r="B194" s="1" t="n">
        <v>45575.58836805556</v>
      </c>
      <c r="C194" s="1" t="n">
        <v>45963</v>
      </c>
      <c r="D194" t="inlineStr">
        <is>
          <t>UPPSALA LÄN</t>
        </is>
      </c>
      <c r="E194" t="inlineStr">
        <is>
          <t>ÖSTHAMMAR</t>
        </is>
      </c>
      <c r="G194" t="n">
        <v>8.6</v>
      </c>
      <c r="H194" t="n">
        <v>0</v>
      </c>
      <c r="I194" t="n">
        <v>0</v>
      </c>
      <c r="J194" t="n">
        <v>0</v>
      </c>
      <c r="K194" t="n">
        <v>0</v>
      </c>
      <c r="L194" t="n">
        <v>0</v>
      </c>
      <c r="M194" t="n">
        <v>0</v>
      </c>
      <c r="N194" t="n">
        <v>0</v>
      </c>
      <c r="O194" t="n">
        <v>0</v>
      </c>
      <c r="P194" t="n">
        <v>0</v>
      </c>
      <c r="Q194" t="n">
        <v>0</v>
      </c>
      <c r="R194" s="2" t="inlineStr"/>
    </row>
    <row r="195" ht="15" customHeight="1">
      <c r="A195" t="inlineStr">
        <is>
          <t>A 18731-2022</t>
        </is>
      </c>
      <c r="B195" s="1" t="n">
        <v>44687.78673611111</v>
      </c>
      <c r="C195" s="1" t="n">
        <v>45963</v>
      </c>
      <c r="D195" t="inlineStr">
        <is>
          <t>UPPSALA LÄN</t>
        </is>
      </c>
      <c r="E195" t="inlineStr">
        <is>
          <t>ÖSTHAMMAR</t>
        </is>
      </c>
      <c r="G195" t="n">
        <v>4.9</v>
      </c>
      <c r="H195" t="n">
        <v>0</v>
      </c>
      <c r="I195" t="n">
        <v>0</v>
      </c>
      <c r="J195" t="n">
        <v>0</v>
      </c>
      <c r="K195" t="n">
        <v>0</v>
      </c>
      <c r="L195" t="n">
        <v>0</v>
      </c>
      <c r="M195" t="n">
        <v>0</v>
      </c>
      <c r="N195" t="n">
        <v>0</v>
      </c>
      <c r="O195" t="n">
        <v>0</v>
      </c>
      <c r="P195" t="n">
        <v>0</v>
      </c>
      <c r="Q195" t="n">
        <v>0</v>
      </c>
      <c r="R195" s="2" t="inlineStr"/>
    </row>
    <row r="196" ht="15" customHeight="1">
      <c r="A196" t="inlineStr">
        <is>
          <t>A 41821-2023</t>
        </is>
      </c>
      <c r="B196" s="1" t="n">
        <v>45176</v>
      </c>
      <c r="C196" s="1" t="n">
        <v>45963</v>
      </c>
      <c r="D196" t="inlineStr">
        <is>
          <t>UPPSALA LÄN</t>
        </is>
      </c>
      <c r="E196" t="inlineStr">
        <is>
          <t>ÖSTHAMMAR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11385-2024</t>
        </is>
      </c>
      <c r="B197" s="1" t="n">
        <v>45372</v>
      </c>
      <c r="C197" s="1" t="n">
        <v>45963</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9642-2024</t>
        </is>
      </c>
      <c r="B198" s="1" t="n">
        <v>45362.36296296296</v>
      </c>
      <c r="C198" s="1" t="n">
        <v>45963</v>
      </c>
      <c r="D198" t="inlineStr">
        <is>
          <t>UPPSALA LÄN</t>
        </is>
      </c>
      <c r="E198" t="inlineStr">
        <is>
          <t>ÖSTHAMMAR</t>
        </is>
      </c>
      <c r="G198" t="n">
        <v>3.1</v>
      </c>
      <c r="H198" t="n">
        <v>0</v>
      </c>
      <c r="I198" t="n">
        <v>0</v>
      </c>
      <c r="J198" t="n">
        <v>0</v>
      </c>
      <c r="K198" t="n">
        <v>0</v>
      </c>
      <c r="L198" t="n">
        <v>0</v>
      </c>
      <c r="M198" t="n">
        <v>0</v>
      </c>
      <c r="N198" t="n">
        <v>0</v>
      </c>
      <c r="O198" t="n">
        <v>0</v>
      </c>
      <c r="P198" t="n">
        <v>0</v>
      </c>
      <c r="Q198" t="n">
        <v>0</v>
      </c>
      <c r="R198" s="2" t="inlineStr"/>
    </row>
    <row r="199" ht="15" customHeight="1">
      <c r="A199" t="inlineStr">
        <is>
          <t>A 35309-2023</t>
        </is>
      </c>
      <c r="B199" s="1" t="n">
        <v>45146</v>
      </c>
      <c r="C199" s="1" t="n">
        <v>45963</v>
      </c>
      <c r="D199" t="inlineStr">
        <is>
          <t>UPPSALA LÄN</t>
        </is>
      </c>
      <c r="E199" t="inlineStr">
        <is>
          <t>ÖSTHAMMAR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14272-2025</t>
        </is>
      </c>
      <c r="B200" s="1" t="n">
        <v>45740.64327546296</v>
      </c>
      <c r="C200" s="1" t="n">
        <v>45963</v>
      </c>
      <c r="D200" t="inlineStr">
        <is>
          <t>UPPSALA LÄN</t>
        </is>
      </c>
      <c r="E200" t="inlineStr">
        <is>
          <t>ÖSTHAMMAR</t>
        </is>
      </c>
      <c r="G200" t="n">
        <v>5.7</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45963</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17940-2025</t>
        </is>
      </c>
      <c r="B202" s="1" t="n">
        <v>45760.55842592593</v>
      </c>
      <c r="C202" s="1" t="n">
        <v>45963</v>
      </c>
      <c r="D202" t="inlineStr">
        <is>
          <t>UPPSALA LÄN</t>
        </is>
      </c>
      <c r="E202" t="inlineStr">
        <is>
          <t>ÖSTHAMMAR</t>
        </is>
      </c>
      <c r="F202" t="inlineStr">
        <is>
          <t>Bergvik skog öst AB</t>
        </is>
      </c>
      <c r="G202" t="n">
        <v>5.6</v>
      </c>
      <c r="H202" t="n">
        <v>0</v>
      </c>
      <c r="I202" t="n">
        <v>0</v>
      </c>
      <c r="J202" t="n">
        <v>0</v>
      </c>
      <c r="K202" t="n">
        <v>0</v>
      </c>
      <c r="L202" t="n">
        <v>0</v>
      </c>
      <c r="M202" t="n">
        <v>0</v>
      </c>
      <c r="N202" t="n">
        <v>0</v>
      </c>
      <c r="O202" t="n">
        <v>0</v>
      </c>
      <c r="P202" t="n">
        <v>0</v>
      </c>
      <c r="Q202" t="n">
        <v>0</v>
      </c>
      <c r="R202" s="2" t="inlineStr"/>
    </row>
    <row r="203" ht="15" customHeight="1">
      <c r="A203" t="inlineStr">
        <is>
          <t>A 12215-2023</t>
        </is>
      </c>
      <c r="B203" s="1" t="n">
        <v>44998</v>
      </c>
      <c r="C203" s="1" t="n">
        <v>45963</v>
      </c>
      <c r="D203" t="inlineStr">
        <is>
          <t>UPPSALA LÄN</t>
        </is>
      </c>
      <c r="E203" t="inlineStr">
        <is>
          <t>ÖSTHAMMAR</t>
        </is>
      </c>
      <c r="G203" t="n">
        <v>5.1</v>
      </c>
      <c r="H203" t="n">
        <v>0</v>
      </c>
      <c r="I203" t="n">
        <v>0</v>
      </c>
      <c r="J203" t="n">
        <v>0</v>
      </c>
      <c r="K203" t="n">
        <v>0</v>
      </c>
      <c r="L203" t="n">
        <v>0</v>
      </c>
      <c r="M203" t="n">
        <v>0</v>
      </c>
      <c r="N203" t="n">
        <v>0</v>
      </c>
      <c r="O203" t="n">
        <v>0</v>
      </c>
      <c r="P203" t="n">
        <v>0</v>
      </c>
      <c r="Q203" t="n">
        <v>0</v>
      </c>
      <c r="R203" s="2" t="inlineStr"/>
    </row>
    <row r="204" ht="15" customHeight="1">
      <c r="A204" t="inlineStr">
        <is>
          <t>A 18401-2025</t>
        </is>
      </c>
      <c r="B204" s="1" t="n">
        <v>45762.5966087963</v>
      </c>
      <c r="C204" s="1" t="n">
        <v>45963</v>
      </c>
      <c r="D204" t="inlineStr">
        <is>
          <t>UPPSALA LÄN</t>
        </is>
      </c>
      <c r="E204" t="inlineStr">
        <is>
          <t>ÖSTHAMMAR</t>
        </is>
      </c>
      <c r="G204" t="n">
        <v>1.7</v>
      </c>
      <c r="H204" t="n">
        <v>0</v>
      </c>
      <c r="I204" t="n">
        <v>0</v>
      </c>
      <c r="J204" t="n">
        <v>0</v>
      </c>
      <c r="K204" t="n">
        <v>0</v>
      </c>
      <c r="L204" t="n">
        <v>0</v>
      </c>
      <c r="M204" t="n">
        <v>0</v>
      </c>
      <c r="N204" t="n">
        <v>0</v>
      </c>
      <c r="O204" t="n">
        <v>0</v>
      </c>
      <c r="P204" t="n">
        <v>0</v>
      </c>
      <c r="Q204" t="n">
        <v>0</v>
      </c>
      <c r="R204" s="2" t="inlineStr"/>
    </row>
    <row r="205" ht="15" customHeight="1">
      <c r="A205" t="inlineStr">
        <is>
          <t>A 2085-2022</t>
        </is>
      </c>
      <c r="B205" s="1" t="n">
        <v>44576.78626157407</v>
      </c>
      <c r="C205" s="1" t="n">
        <v>45963</v>
      </c>
      <c r="D205" t="inlineStr">
        <is>
          <t>UPPSALA LÄN</t>
        </is>
      </c>
      <c r="E205" t="inlineStr">
        <is>
          <t>ÖSTHAMMAR</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28429-2023</t>
        </is>
      </c>
      <c r="B206" s="1" t="n">
        <v>45102.58728009259</v>
      </c>
      <c r="C206" s="1" t="n">
        <v>45963</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31479-2023</t>
        </is>
      </c>
      <c r="B207" s="1" t="n">
        <v>45114.79793981482</v>
      </c>
      <c r="C207" s="1" t="n">
        <v>45963</v>
      </c>
      <c r="D207" t="inlineStr">
        <is>
          <t>UPPSALA LÄN</t>
        </is>
      </c>
      <c r="E207" t="inlineStr">
        <is>
          <t>ÖSTHAMMAR</t>
        </is>
      </c>
      <c r="F207" t="inlineStr">
        <is>
          <t>Bergvik skog öst AB</t>
        </is>
      </c>
      <c r="G207" t="n">
        <v>1.9</v>
      </c>
      <c r="H207" t="n">
        <v>0</v>
      </c>
      <c r="I207" t="n">
        <v>0</v>
      </c>
      <c r="J207" t="n">
        <v>0</v>
      </c>
      <c r="K207" t="n">
        <v>0</v>
      </c>
      <c r="L207" t="n">
        <v>0</v>
      </c>
      <c r="M207" t="n">
        <v>0</v>
      </c>
      <c r="N207" t="n">
        <v>0</v>
      </c>
      <c r="O207" t="n">
        <v>0</v>
      </c>
      <c r="P207" t="n">
        <v>0</v>
      </c>
      <c r="Q207" t="n">
        <v>0</v>
      </c>
      <c r="R207" s="2" t="inlineStr"/>
    </row>
    <row r="208" ht="15" customHeight="1">
      <c r="A208" t="inlineStr">
        <is>
          <t>A 74436-2021</t>
        </is>
      </c>
      <c r="B208" s="1" t="n">
        <v>44560.4502199074</v>
      </c>
      <c r="C208" s="1" t="n">
        <v>45963</v>
      </c>
      <c r="D208" t="inlineStr">
        <is>
          <t>UPPSALA LÄN</t>
        </is>
      </c>
      <c r="E208" t="inlineStr">
        <is>
          <t>ÖSTHAMMAR</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11884-2022</t>
        </is>
      </c>
      <c r="B209" s="1" t="n">
        <v>44635.39946759259</v>
      </c>
      <c r="C209" s="1" t="n">
        <v>45963</v>
      </c>
      <c r="D209" t="inlineStr">
        <is>
          <t>UPPSALA LÄN</t>
        </is>
      </c>
      <c r="E209" t="inlineStr">
        <is>
          <t>ÖSTHAMMAR</t>
        </is>
      </c>
      <c r="G209" t="n">
        <v>0.8</v>
      </c>
      <c r="H209" t="n">
        <v>0</v>
      </c>
      <c r="I209" t="n">
        <v>0</v>
      </c>
      <c r="J209" t="n">
        <v>0</v>
      </c>
      <c r="K209" t="n">
        <v>0</v>
      </c>
      <c r="L209" t="n">
        <v>0</v>
      </c>
      <c r="M209" t="n">
        <v>0</v>
      </c>
      <c r="N209" t="n">
        <v>0</v>
      </c>
      <c r="O209" t="n">
        <v>0</v>
      </c>
      <c r="P209" t="n">
        <v>0</v>
      </c>
      <c r="Q209" t="n">
        <v>0</v>
      </c>
      <c r="R209" s="2" t="inlineStr"/>
    </row>
    <row r="210" ht="15" customHeight="1">
      <c r="A210" t="inlineStr">
        <is>
          <t>A 17651-2025</t>
        </is>
      </c>
      <c r="B210" s="1" t="n">
        <v>45758.33304398148</v>
      </c>
      <c r="C210" s="1" t="n">
        <v>45963</v>
      </c>
      <c r="D210" t="inlineStr">
        <is>
          <t>UPPSALA LÄN</t>
        </is>
      </c>
      <c r="E210" t="inlineStr">
        <is>
          <t>ÖSTHAMMAR</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58878-2022</t>
        </is>
      </c>
      <c r="B211" s="1" t="n">
        <v>44903</v>
      </c>
      <c r="C211" s="1" t="n">
        <v>45963</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30755-2024</t>
        </is>
      </c>
      <c r="B212" s="1" t="n">
        <v>45496</v>
      </c>
      <c r="C212" s="1" t="n">
        <v>45963</v>
      </c>
      <c r="D212" t="inlineStr">
        <is>
          <t>UPPSALA LÄN</t>
        </is>
      </c>
      <c r="E212" t="inlineStr">
        <is>
          <t>ÖSTHAMMAR</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66779-2021</t>
        </is>
      </c>
      <c r="B213" s="1" t="n">
        <v>44522.31700231481</v>
      </c>
      <c r="C213" s="1" t="n">
        <v>45963</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48719-2023</t>
        </is>
      </c>
      <c r="B214" s="1" t="n">
        <v>45208.70452546296</v>
      </c>
      <c r="C214" s="1" t="n">
        <v>45963</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31574-2022</t>
        </is>
      </c>
      <c r="B215" s="1" t="n">
        <v>44775</v>
      </c>
      <c r="C215" s="1" t="n">
        <v>45963</v>
      </c>
      <c r="D215" t="inlineStr">
        <is>
          <t>UPPSALA LÄN</t>
        </is>
      </c>
      <c r="E215" t="inlineStr">
        <is>
          <t>ÖSTHAMMAR</t>
        </is>
      </c>
      <c r="G215" t="n">
        <v>29.7</v>
      </c>
      <c r="H215" t="n">
        <v>0</v>
      </c>
      <c r="I215" t="n">
        <v>0</v>
      </c>
      <c r="J215" t="n">
        <v>0</v>
      </c>
      <c r="K215" t="n">
        <v>0</v>
      </c>
      <c r="L215" t="n">
        <v>0</v>
      </c>
      <c r="M215" t="n">
        <v>0</v>
      </c>
      <c r="N215" t="n">
        <v>0</v>
      </c>
      <c r="O215" t="n">
        <v>0</v>
      </c>
      <c r="P215" t="n">
        <v>0</v>
      </c>
      <c r="Q215" t="n">
        <v>0</v>
      </c>
      <c r="R215" s="2" t="inlineStr"/>
    </row>
    <row r="216" ht="15" customHeight="1">
      <c r="A216" t="inlineStr">
        <is>
          <t>A 4562-2022</t>
        </is>
      </c>
      <c r="B216" s="1" t="n">
        <v>44591</v>
      </c>
      <c r="C216" s="1" t="n">
        <v>45963</v>
      </c>
      <c r="D216" t="inlineStr">
        <is>
          <t>UPPSALA LÄN</t>
        </is>
      </c>
      <c r="E216" t="inlineStr">
        <is>
          <t>ÖSTHAMMAR</t>
        </is>
      </c>
      <c r="G216" t="n">
        <v>3.4</v>
      </c>
      <c r="H216" t="n">
        <v>0</v>
      </c>
      <c r="I216" t="n">
        <v>0</v>
      </c>
      <c r="J216" t="n">
        <v>0</v>
      </c>
      <c r="K216" t="n">
        <v>0</v>
      </c>
      <c r="L216" t="n">
        <v>0</v>
      </c>
      <c r="M216" t="n">
        <v>0</v>
      </c>
      <c r="N216" t="n">
        <v>0</v>
      </c>
      <c r="O216" t="n">
        <v>0</v>
      </c>
      <c r="P216" t="n">
        <v>0</v>
      </c>
      <c r="Q216" t="n">
        <v>0</v>
      </c>
      <c r="R216" s="2" t="inlineStr"/>
    </row>
    <row r="217" ht="15" customHeight="1">
      <c r="A217" t="inlineStr">
        <is>
          <t>A 21862-2023</t>
        </is>
      </c>
      <c r="B217" s="1" t="n">
        <v>45068</v>
      </c>
      <c r="C217" s="1" t="n">
        <v>45963</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55086-2024</t>
        </is>
      </c>
      <c r="B218" s="1" t="n">
        <v>45621.43098379629</v>
      </c>
      <c r="C218" s="1" t="n">
        <v>45963</v>
      </c>
      <c r="D218" t="inlineStr">
        <is>
          <t>UPPSALA LÄN</t>
        </is>
      </c>
      <c r="E218" t="inlineStr">
        <is>
          <t>ÖSTHAMMAR</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62695-2023</t>
        </is>
      </c>
      <c r="B219" s="1" t="n">
        <v>45271</v>
      </c>
      <c r="C219" s="1" t="n">
        <v>45963</v>
      </c>
      <c r="D219" t="inlineStr">
        <is>
          <t>UPPSALA LÄN</t>
        </is>
      </c>
      <c r="E219" t="inlineStr">
        <is>
          <t>ÖSTHAMMAR</t>
        </is>
      </c>
      <c r="G219" t="n">
        <v>5.3</v>
      </c>
      <c r="H219" t="n">
        <v>0</v>
      </c>
      <c r="I219" t="n">
        <v>0</v>
      </c>
      <c r="J219" t="n">
        <v>0</v>
      </c>
      <c r="K219" t="n">
        <v>0</v>
      </c>
      <c r="L219" t="n">
        <v>0</v>
      </c>
      <c r="M219" t="n">
        <v>0</v>
      </c>
      <c r="N219" t="n">
        <v>0</v>
      </c>
      <c r="O219" t="n">
        <v>0</v>
      </c>
      <c r="P219" t="n">
        <v>0</v>
      </c>
      <c r="Q219" t="n">
        <v>0</v>
      </c>
      <c r="R219" s="2" t="inlineStr"/>
    </row>
    <row r="220" ht="15" customHeight="1">
      <c r="A220" t="inlineStr">
        <is>
          <t>A 4559-2022</t>
        </is>
      </c>
      <c r="B220" s="1" t="n">
        <v>44591.51854166666</v>
      </c>
      <c r="C220" s="1" t="n">
        <v>45963</v>
      </c>
      <c r="D220" t="inlineStr">
        <is>
          <t>UPPSALA LÄN</t>
        </is>
      </c>
      <c r="E220" t="inlineStr">
        <is>
          <t>ÖSTHAMMAR</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53733-2023</t>
        </is>
      </c>
      <c r="B221" s="1" t="n">
        <v>45230.76862268519</v>
      </c>
      <c r="C221" s="1" t="n">
        <v>45963</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33062-2021</t>
        </is>
      </c>
      <c r="B222" s="1" t="n">
        <v>44376</v>
      </c>
      <c r="C222" s="1" t="n">
        <v>45963</v>
      </c>
      <c r="D222" t="inlineStr">
        <is>
          <t>UPPSALA LÄN</t>
        </is>
      </c>
      <c r="E222" t="inlineStr">
        <is>
          <t>ÖSTHAMMAR</t>
        </is>
      </c>
      <c r="G222" t="n">
        <v>12</v>
      </c>
      <c r="H222" t="n">
        <v>0</v>
      </c>
      <c r="I222" t="n">
        <v>0</v>
      </c>
      <c r="J222" t="n">
        <v>0</v>
      </c>
      <c r="K222" t="n">
        <v>0</v>
      </c>
      <c r="L222" t="n">
        <v>0</v>
      </c>
      <c r="M222" t="n">
        <v>0</v>
      </c>
      <c r="N222" t="n">
        <v>0</v>
      </c>
      <c r="O222" t="n">
        <v>0</v>
      </c>
      <c r="P222" t="n">
        <v>0</v>
      </c>
      <c r="Q222" t="n">
        <v>0</v>
      </c>
      <c r="R222" s="2" t="inlineStr"/>
    </row>
    <row r="223" ht="15" customHeight="1">
      <c r="A223" t="inlineStr">
        <is>
          <t>A 24033-2023</t>
        </is>
      </c>
      <c r="B223" s="1" t="n">
        <v>45078</v>
      </c>
      <c r="C223" s="1" t="n">
        <v>45963</v>
      </c>
      <c r="D223" t="inlineStr">
        <is>
          <t>UPPSALA LÄN</t>
        </is>
      </c>
      <c r="E223" t="inlineStr">
        <is>
          <t>ÖSTHAMMAR</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18734-2022</t>
        </is>
      </c>
      <c r="B224" s="1" t="n">
        <v>44687.86751157408</v>
      </c>
      <c r="C224" s="1" t="n">
        <v>45963</v>
      </c>
      <c r="D224" t="inlineStr">
        <is>
          <t>UPPSALA LÄN</t>
        </is>
      </c>
      <c r="E224" t="inlineStr">
        <is>
          <t>ÖSTHAMMAR</t>
        </is>
      </c>
      <c r="F224" t="inlineStr">
        <is>
          <t>Bergvik skog öst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41308-2023</t>
        </is>
      </c>
      <c r="B225" s="1" t="n">
        <v>45174.62788194444</v>
      </c>
      <c r="C225" s="1" t="n">
        <v>45963</v>
      </c>
      <c r="D225" t="inlineStr">
        <is>
          <t>UPPSALA LÄN</t>
        </is>
      </c>
      <c r="E225" t="inlineStr">
        <is>
          <t>ÖSTHAMMAR</t>
        </is>
      </c>
      <c r="F225" t="inlineStr">
        <is>
          <t>Övriga Aktiebolag</t>
        </is>
      </c>
      <c r="G225" t="n">
        <v>2.8</v>
      </c>
      <c r="H225" t="n">
        <v>0</v>
      </c>
      <c r="I225" t="n">
        <v>0</v>
      </c>
      <c r="J225" t="n">
        <v>0</v>
      </c>
      <c r="K225" t="n">
        <v>0</v>
      </c>
      <c r="L225" t="n">
        <v>0</v>
      </c>
      <c r="M225" t="n">
        <v>0</v>
      </c>
      <c r="N225" t="n">
        <v>0</v>
      </c>
      <c r="O225" t="n">
        <v>0</v>
      </c>
      <c r="P225" t="n">
        <v>0</v>
      </c>
      <c r="Q225" t="n">
        <v>0</v>
      </c>
      <c r="R225" s="2" t="inlineStr"/>
    </row>
    <row r="226" ht="15" customHeight="1">
      <c r="A226" t="inlineStr">
        <is>
          <t>A 29824-2023</t>
        </is>
      </c>
      <c r="B226" s="1" t="n">
        <v>45107</v>
      </c>
      <c r="C226" s="1" t="n">
        <v>45963</v>
      </c>
      <c r="D226" t="inlineStr">
        <is>
          <t>UPPSALA LÄN</t>
        </is>
      </c>
      <c r="E226" t="inlineStr">
        <is>
          <t>ÖSTHAMMAR</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17969-2023</t>
        </is>
      </c>
      <c r="B227" s="1" t="n">
        <v>45040.47081018519</v>
      </c>
      <c r="C227" s="1" t="n">
        <v>45963</v>
      </c>
      <c r="D227" t="inlineStr">
        <is>
          <t>UPPSALA LÄN</t>
        </is>
      </c>
      <c r="E227" t="inlineStr">
        <is>
          <t>ÖSTHAMMAR</t>
        </is>
      </c>
      <c r="G227" t="n">
        <v>5.4</v>
      </c>
      <c r="H227" t="n">
        <v>0</v>
      </c>
      <c r="I227" t="n">
        <v>0</v>
      </c>
      <c r="J227" t="n">
        <v>0</v>
      </c>
      <c r="K227" t="n">
        <v>0</v>
      </c>
      <c r="L227" t="n">
        <v>0</v>
      </c>
      <c r="M227" t="n">
        <v>0</v>
      </c>
      <c r="N227" t="n">
        <v>0</v>
      </c>
      <c r="O227" t="n">
        <v>0</v>
      </c>
      <c r="P227" t="n">
        <v>0</v>
      </c>
      <c r="Q227" t="n">
        <v>0</v>
      </c>
      <c r="R227" s="2" t="inlineStr"/>
    </row>
    <row r="228" ht="15" customHeight="1">
      <c r="A228" t="inlineStr">
        <is>
          <t>A 17939-2025</t>
        </is>
      </c>
      <c r="B228" s="1" t="n">
        <v>45760.55671296296</v>
      </c>
      <c r="C228" s="1" t="n">
        <v>45963</v>
      </c>
      <c r="D228" t="inlineStr">
        <is>
          <t>UPPSALA LÄN</t>
        </is>
      </c>
      <c r="E228" t="inlineStr">
        <is>
          <t>ÖSTHAMMAR</t>
        </is>
      </c>
      <c r="F228" t="inlineStr">
        <is>
          <t>Bergvik skog öst AB</t>
        </is>
      </c>
      <c r="G228" t="n">
        <v>5.4</v>
      </c>
      <c r="H228" t="n">
        <v>0</v>
      </c>
      <c r="I228" t="n">
        <v>0</v>
      </c>
      <c r="J228" t="n">
        <v>0</v>
      </c>
      <c r="K228" t="n">
        <v>0</v>
      </c>
      <c r="L228" t="n">
        <v>0</v>
      </c>
      <c r="M228" t="n">
        <v>0</v>
      </c>
      <c r="N228" t="n">
        <v>0</v>
      </c>
      <c r="O228" t="n">
        <v>0</v>
      </c>
      <c r="P228" t="n">
        <v>0</v>
      </c>
      <c r="Q228" t="n">
        <v>0</v>
      </c>
      <c r="R228" s="2" t="inlineStr"/>
    </row>
    <row r="229" ht="15" customHeight="1">
      <c r="A229" t="inlineStr">
        <is>
          <t>A 3638-2022</t>
        </is>
      </c>
      <c r="B229" s="1" t="n">
        <v>44578</v>
      </c>
      <c r="C229" s="1" t="n">
        <v>45963</v>
      </c>
      <c r="D229" t="inlineStr">
        <is>
          <t>UPPSALA LÄN</t>
        </is>
      </c>
      <c r="E229" t="inlineStr">
        <is>
          <t>ÖSTHAMMAR</t>
        </is>
      </c>
      <c r="G229" t="n">
        <v>1.7</v>
      </c>
      <c r="H229" t="n">
        <v>0</v>
      </c>
      <c r="I229" t="n">
        <v>0</v>
      </c>
      <c r="J229" t="n">
        <v>0</v>
      </c>
      <c r="K229" t="n">
        <v>0</v>
      </c>
      <c r="L229" t="n">
        <v>0</v>
      </c>
      <c r="M229" t="n">
        <v>0</v>
      </c>
      <c r="N229" t="n">
        <v>0</v>
      </c>
      <c r="O229" t="n">
        <v>0</v>
      </c>
      <c r="P229" t="n">
        <v>0</v>
      </c>
      <c r="Q229" t="n">
        <v>0</v>
      </c>
      <c r="R229" s="2" t="inlineStr"/>
    </row>
    <row r="230" ht="15" customHeight="1">
      <c r="A230" t="inlineStr">
        <is>
          <t>A 25969-2023</t>
        </is>
      </c>
      <c r="B230" s="1" t="n">
        <v>45090</v>
      </c>
      <c r="C230" s="1" t="n">
        <v>45963</v>
      </c>
      <c r="D230" t="inlineStr">
        <is>
          <t>UPPSALA LÄN</t>
        </is>
      </c>
      <c r="E230" t="inlineStr">
        <is>
          <t>ÖSTHAMMAR</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10982-2023</t>
        </is>
      </c>
      <c r="B231" s="1" t="n">
        <v>44991.62203703704</v>
      </c>
      <c r="C231" s="1" t="n">
        <v>45963</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50998-2023</t>
        </is>
      </c>
      <c r="B232" s="1" t="n">
        <v>45218.5586574074</v>
      </c>
      <c r="C232" s="1" t="n">
        <v>45963</v>
      </c>
      <c r="D232" t="inlineStr">
        <is>
          <t>UPPSALA LÄN</t>
        </is>
      </c>
      <c r="E232" t="inlineStr">
        <is>
          <t>ÖSTHAMMAR</t>
        </is>
      </c>
      <c r="G232" t="n">
        <v>3.6</v>
      </c>
      <c r="H232" t="n">
        <v>0</v>
      </c>
      <c r="I232" t="n">
        <v>0</v>
      </c>
      <c r="J232" t="n">
        <v>0</v>
      </c>
      <c r="K232" t="n">
        <v>0</v>
      </c>
      <c r="L232" t="n">
        <v>0</v>
      </c>
      <c r="M232" t="n">
        <v>0</v>
      </c>
      <c r="N232" t="n">
        <v>0</v>
      </c>
      <c r="O232" t="n">
        <v>0</v>
      </c>
      <c r="P232" t="n">
        <v>0</v>
      </c>
      <c r="Q232" t="n">
        <v>0</v>
      </c>
      <c r="R232" s="2" t="inlineStr"/>
    </row>
    <row r="233" ht="15" customHeight="1">
      <c r="A233" t="inlineStr">
        <is>
          <t>A 55837-2023</t>
        </is>
      </c>
      <c r="B233" s="1" t="n">
        <v>45239</v>
      </c>
      <c r="C233" s="1" t="n">
        <v>45963</v>
      </c>
      <c r="D233" t="inlineStr">
        <is>
          <t>UPPSALA LÄN</t>
        </is>
      </c>
      <c r="E233" t="inlineStr">
        <is>
          <t>ÖSTHAMMAR</t>
        </is>
      </c>
      <c r="G233" t="n">
        <v>0.5</v>
      </c>
      <c r="H233" t="n">
        <v>0</v>
      </c>
      <c r="I233" t="n">
        <v>0</v>
      </c>
      <c r="J233" t="n">
        <v>0</v>
      </c>
      <c r="K233" t="n">
        <v>0</v>
      </c>
      <c r="L233" t="n">
        <v>0</v>
      </c>
      <c r="M233" t="n">
        <v>0</v>
      </c>
      <c r="N233" t="n">
        <v>0</v>
      </c>
      <c r="O233" t="n">
        <v>0</v>
      </c>
      <c r="P233" t="n">
        <v>0</v>
      </c>
      <c r="Q233" t="n">
        <v>0</v>
      </c>
      <c r="R233" s="2" t="inlineStr"/>
    </row>
    <row r="234" ht="15" customHeight="1">
      <c r="A234" t="inlineStr">
        <is>
          <t>A 18838-2023</t>
        </is>
      </c>
      <c r="B234" s="1" t="n">
        <v>45044</v>
      </c>
      <c r="C234" s="1" t="n">
        <v>45963</v>
      </c>
      <c r="D234" t="inlineStr">
        <is>
          <t>UPPSALA LÄN</t>
        </is>
      </c>
      <c r="E234" t="inlineStr">
        <is>
          <t>ÖSTHAMMAR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59382-2022</t>
        </is>
      </c>
      <c r="B235" s="1" t="n">
        <v>44905.50363425926</v>
      </c>
      <c r="C235" s="1" t="n">
        <v>45963</v>
      </c>
      <c r="D235" t="inlineStr">
        <is>
          <t>UPPSALA LÄN</t>
        </is>
      </c>
      <c r="E235" t="inlineStr">
        <is>
          <t>ÖSTHAMMAR</t>
        </is>
      </c>
      <c r="G235" t="n">
        <v>2.9</v>
      </c>
      <c r="H235" t="n">
        <v>0</v>
      </c>
      <c r="I235" t="n">
        <v>0</v>
      </c>
      <c r="J235" t="n">
        <v>0</v>
      </c>
      <c r="K235" t="n">
        <v>0</v>
      </c>
      <c r="L235" t="n">
        <v>0</v>
      </c>
      <c r="M235" t="n">
        <v>0</v>
      </c>
      <c r="N235" t="n">
        <v>0</v>
      </c>
      <c r="O235" t="n">
        <v>0</v>
      </c>
      <c r="P235" t="n">
        <v>0</v>
      </c>
      <c r="Q235" t="n">
        <v>0</v>
      </c>
      <c r="R235" s="2" t="inlineStr"/>
    </row>
    <row r="236" ht="15" customHeight="1">
      <c r="A236" t="inlineStr">
        <is>
          <t>A 20046-2023</t>
        </is>
      </c>
      <c r="B236" s="1" t="n">
        <v>45054</v>
      </c>
      <c r="C236" s="1" t="n">
        <v>45963</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49897-2023</t>
        </is>
      </c>
      <c r="B237" s="1" t="n">
        <v>45213.84846064815</v>
      </c>
      <c r="C237" s="1" t="n">
        <v>45963</v>
      </c>
      <c r="D237" t="inlineStr">
        <is>
          <t>UPPSALA LÄN</t>
        </is>
      </c>
      <c r="E237" t="inlineStr">
        <is>
          <t>ÖSTHAMMAR</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30086-2023</t>
        </is>
      </c>
      <c r="B238" s="1" t="n">
        <v>45110.43907407407</v>
      </c>
      <c r="C238" s="1" t="n">
        <v>45963</v>
      </c>
      <c r="D238" t="inlineStr">
        <is>
          <t>UPPSALA LÄN</t>
        </is>
      </c>
      <c r="E238" t="inlineStr">
        <is>
          <t>ÖSTHAMMAR</t>
        </is>
      </c>
      <c r="G238" t="n">
        <v>3.5</v>
      </c>
      <c r="H238" t="n">
        <v>0</v>
      </c>
      <c r="I238" t="n">
        <v>0</v>
      </c>
      <c r="J238" t="n">
        <v>0</v>
      </c>
      <c r="K238" t="n">
        <v>0</v>
      </c>
      <c r="L238" t="n">
        <v>0</v>
      </c>
      <c r="M238" t="n">
        <v>0</v>
      </c>
      <c r="N238" t="n">
        <v>0</v>
      </c>
      <c r="O238" t="n">
        <v>0</v>
      </c>
      <c r="P238" t="n">
        <v>0</v>
      </c>
      <c r="Q238" t="n">
        <v>0</v>
      </c>
      <c r="R238" s="2" t="inlineStr"/>
    </row>
    <row r="239" ht="15" customHeight="1">
      <c r="A239" t="inlineStr">
        <is>
          <t>A 17085-2025</t>
        </is>
      </c>
      <c r="B239" s="1" t="n">
        <v>45755.64612268518</v>
      </c>
      <c r="C239" s="1" t="n">
        <v>45963</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22884-2024</t>
        </is>
      </c>
      <c r="B240" s="1" t="n">
        <v>45448</v>
      </c>
      <c r="C240" s="1" t="n">
        <v>45963</v>
      </c>
      <c r="D240" t="inlineStr">
        <is>
          <t>UPPSALA LÄN</t>
        </is>
      </c>
      <c r="E240" t="inlineStr">
        <is>
          <t>ÖSTHAMMAR</t>
        </is>
      </c>
      <c r="G240" t="n">
        <v>3.3</v>
      </c>
      <c r="H240" t="n">
        <v>0</v>
      </c>
      <c r="I240" t="n">
        <v>0</v>
      </c>
      <c r="J240" t="n">
        <v>0</v>
      </c>
      <c r="K240" t="n">
        <v>0</v>
      </c>
      <c r="L240" t="n">
        <v>0</v>
      </c>
      <c r="M240" t="n">
        <v>0</v>
      </c>
      <c r="N240" t="n">
        <v>0</v>
      </c>
      <c r="O240" t="n">
        <v>0</v>
      </c>
      <c r="P240" t="n">
        <v>0</v>
      </c>
      <c r="Q240" t="n">
        <v>0</v>
      </c>
      <c r="R240" s="2" t="inlineStr"/>
    </row>
    <row r="241" ht="15" customHeight="1">
      <c r="A241" t="inlineStr">
        <is>
          <t>A 37812-2022</t>
        </is>
      </c>
      <c r="B241" s="1" t="n">
        <v>44810</v>
      </c>
      <c r="C241" s="1" t="n">
        <v>45963</v>
      </c>
      <c r="D241" t="inlineStr">
        <is>
          <t>UPPSALA LÄN</t>
        </is>
      </c>
      <c r="E241" t="inlineStr">
        <is>
          <t>ÖSTHAMMAR</t>
        </is>
      </c>
      <c r="G241" t="n">
        <v>1</v>
      </c>
      <c r="H241" t="n">
        <v>0</v>
      </c>
      <c r="I241" t="n">
        <v>0</v>
      </c>
      <c r="J241" t="n">
        <v>0</v>
      </c>
      <c r="K241" t="n">
        <v>0</v>
      </c>
      <c r="L241" t="n">
        <v>0</v>
      </c>
      <c r="M241" t="n">
        <v>0</v>
      </c>
      <c r="N241" t="n">
        <v>0</v>
      </c>
      <c r="O241" t="n">
        <v>0</v>
      </c>
      <c r="P241" t="n">
        <v>0</v>
      </c>
      <c r="Q241" t="n">
        <v>0</v>
      </c>
      <c r="R241" s="2" t="inlineStr"/>
    </row>
    <row r="242" ht="15" customHeight="1">
      <c r="A242" t="inlineStr">
        <is>
          <t>A 20385-2025</t>
        </is>
      </c>
      <c r="B242" s="1" t="n">
        <v>45775.44483796296</v>
      </c>
      <c r="C242" s="1" t="n">
        <v>45963</v>
      </c>
      <c r="D242" t="inlineStr">
        <is>
          <t>UPPSALA LÄN</t>
        </is>
      </c>
      <c r="E242" t="inlineStr">
        <is>
          <t>ÖSTHAMMAR</t>
        </is>
      </c>
      <c r="G242" t="n">
        <v>1.9</v>
      </c>
      <c r="H242" t="n">
        <v>0</v>
      </c>
      <c r="I242" t="n">
        <v>0</v>
      </c>
      <c r="J242" t="n">
        <v>0</v>
      </c>
      <c r="K242" t="n">
        <v>0</v>
      </c>
      <c r="L242" t="n">
        <v>0</v>
      </c>
      <c r="M242" t="n">
        <v>0</v>
      </c>
      <c r="N242" t="n">
        <v>0</v>
      </c>
      <c r="O242" t="n">
        <v>0</v>
      </c>
      <c r="P242" t="n">
        <v>0</v>
      </c>
      <c r="Q242" t="n">
        <v>0</v>
      </c>
      <c r="R242" s="2" t="inlineStr"/>
    </row>
    <row r="243" ht="15" customHeight="1">
      <c r="A243" t="inlineStr">
        <is>
          <t>A 26552-2022</t>
        </is>
      </c>
      <c r="B243" s="1" t="n">
        <v>44739</v>
      </c>
      <c r="C243" s="1" t="n">
        <v>45963</v>
      </c>
      <c r="D243" t="inlineStr">
        <is>
          <t>UPPSALA LÄN</t>
        </is>
      </c>
      <c r="E243" t="inlineStr">
        <is>
          <t>ÖSTHAMMAR</t>
        </is>
      </c>
      <c r="G243" t="n">
        <v>2.2</v>
      </c>
      <c r="H243" t="n">
        <v>0</v>
      </c>
      <c r="I243" t="n">
        <v>0</v>
      </c>
      <c r="J243" t="n">
        <v>0</v>
      </c>
      <c r="K243" t="n">
        <v>0</v>
      </c>
      <c r="L243" t="n">
        <v>0</v>
      </c>
      <c r="M243" t="n">
        <v>0</v>
      </c>
      <c r="N243" t="n">
        <v>0</v>
      </c>
      <c r="O243" t="n">
        <v>0</v>
      </c>
      <c r="P243" t="n">
        <v>0</v>
      </c>
      <c r="Q243" t="n">
        <v>0</v>
      </c>
      <c r="R243" s="2" t="inlineStr"/>
    </row>
    <row r="244" ht="15" customHeight="1">
      <c r="A244" t="inlineStr">
        <is>
          <t>A 29231-2024</t>
        </is>
      </c>
      <c r="B244" s="1" t="n">
        <v>45482</v>
      </c>
      <c r="C244" s="1" t="n">
        <v>45963</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29753-2022</t>
        </is>
      </c>
      <c r="B245" s="1" t="n">
        <v>44755</v>
      </c>
      <c r="C245" s="1" t="n">
        <v>45963</v>
      </c>
      <c r="D245" t="inlineStr">
        <is>
          <t>UPPSALA LÄN</t>
        </is>
      </c>
      <c r="E245" t="inlineStr">
        <is>
          <t>ÖSTHAMMAR</t>
        </is>
      </c>
      <c r="G245" t="n">
        <v>9.4</v>
      </c>
      <c r="H245" t="n">
        <v>0</v>
      </c>
      <c r="I245" t="n">
        <v>0</v>
      </c>
      <c r="J245" t="n">
        <v>0</v>
      </c>
      <c r="K245" t="n">
        <v>0</v>
      </c>
      <c r="L245" t="n">
        <v>0</v>
      </c>
      <c r="M245" t="n">
        <v>0</v>
      </c>
      <c r="N245" t="n">
        <v>0</v>
      </c>
      <c r="O245" t="n">
        <v>0</v>
      </c>
      <c r="P245" t="n">
        <v>0</v>
      </c>
      <c r="Q245" t="n">
        <v>0</v>
      </c>
      <c r="R245" s="2" t="inlineStr"/>
    </row>
    <row r="246" ht="15" customHeight="1">
      <c r="A246" t="inlineStr">
        <is>
          <t>A 63637-2020</t>
        </is>
      </c>
      <c r="B246" s="1" t="n">
        <v>44162</v>
      </c>
      <c r="C246" s="1" t="n">
        <v>45963</v>
      </c>
      <c r="D246" t="inlineStr">
        <is>
          <t>UPPSALA LÄN</t>
        </is>
      </c>
      <c r="E246" t="inlineStr">
        <is>
          <t>ÖSTHAMMAR</t>
        </is>
      </c>
      <c r="G246" t="n">
        <v>4</v>
      </c>
      <c r="H246" t="n">
        <v>0</v>
      </c>
      <c r="I246" t="n">
        <v>0</v>
      </c>
      <c r="J246" t="n">
        <v>0</v>
      </c>
      <c r="K246" t="n">
        <v>0</v>
      </c>
      <c r="L246" t="n">
        <v>0</v>
      </c>
      <c r="M246" t="n">
        <v>0</v>
      </c>
      <c r="N246" t="n">
        <v>0</v>
      </c>
      <c r="O246" t="n">
        <v>0</v>
      </c>
      <c r="P246" t="n">
        <v>0</v>
      </c>
      <c r="Q246" t="n">
        <v>0</v>
      </c>
      <c r="R246" s="2" t="inlineStr"/>
    </row>
    <row r="247" ht="15" customHeight="1">
      <c r="A247" t="inlineStr">
        <is>
          <t>A 44184-2024</t>
        </is>
      </c>
      <c r="B247" s="1" t="n">
        <v>45572</v>
      </c>
      <c r="C247" s="1" t="n">
        <v>45963</v>
      </c>
      <c r="D247" t="inlineStr">
        <is>
          <t>UPPSALA LÄN</t>
        </is>
      </c>
      <c r="E247" t="inlineStr">
        <is>
          <t>ÖSTHAMMAR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32742-2022</t>
        </is>
      </c>
      <c r="B248" s="1" t="n">
        <v>44783.69886574074</v>
      </c>
      <c r="C248" s="1" t="n">
        <v>45963</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49833-2023</t>
        </is>
      </c>
      <c r="B249" s="1" t="n">
        <v>45212.71481481481</v>
      </c>
      <c r="C249" s="1" t="n">
        <v>45963</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45307-2023</t>
        </is>
      </c>
      <c r="B250" s="1" t="n">
        <v>45191</v>
      </c>
      <c r="C250" s="1" t="n">
        <v>45963</v>
      </c>
      <c r="D250" t="inlineStr">
        <is>
          <t>UPPSALA LÄN</t>
        </is>
      </c>
      <c r="E250" t="inlineStr">
        <is>
          <t>ÖSTHAMMAR</t>
        </is>
      </c>
      <c r="F250" t="inlineStr">
        <is>
          <t>Bergvik skog öst AB</t>
        </is>
      </c>
      <c r="G250" t="n">
        <v>0.6</v>
      </c>
      <c r="H250" t="n">
        <v>0</v>
      </c>
      <c r="I250" t="n">
        <v>0</v>
      </c>
      <c r="J250" t="n">
        <v>0</v>
      </c>
      <c r="K250" t="n">
        <v>0</v>
      </c>
      <c r="L250" t="n">
        <v>0</v>
      </c>
      <c r="M250" t="n">
        <v>0</v>
      </c>
      <c r="N250" t="n">
        <v>0</v>
      </c>
      <c r="O250" t="n">
        <v>0</v>
      </c>
      <c r="P250" t="n">
        <v>0</v>
      </c>
      <c r="Q250" t="n">
        <v>0</v>
      </c>
      <c r="R250" s="2" t="inlineStr"/>
    </row>
    <row r="251" ht="15" customHeight="1">
      <c r="A251" t="inlineStr">
        <is>
          <t>A 60555-2023</t>
        </is>
      </c>
      <c r="B251" s="1" t="n">
        <v>45259</v>
      </c>
      <c r="C251" s="1" t="n">
        <v>45963</v>
      </c>
      <c r="D251" t="inlineStr">
        <is>
          <t>UPPSALA LÄN</t>
        </is>
      </c>
      <c r="E251" t="inlineStr">
        <is>
          <t>ÖSTHAMMAR</t>
        </is>
      </c>
      <c r="G251" t="n">
        <v>2</v>
      </c>
      <c r="H251" t="n">
        <v>0</v>
      </c>
      <c r="I251" t="n">
        <v>0</v>
      </c>
      <c r="J251" t="n">
        <v>0</v>
      </c>
      <c r="K251" t="n">
        <v>0</v>
      </c>
      <c r="L251" t="n">
        <v>0</v>
      </c>
      <c r="M251" t="n">
        <v>0</v>
      </c>
      <c r="N251" t="n">
        <v>0</v>
      </c>
      <c r="O251" t="n">
        <v>0</v>
      </c>
      <c r="P251" t="n">
        <v>0</v>
      </c>
      <c r="Q251" t="n">
        <v>0</v>
      </c>
      <c r="R251" s="2" t="inlineStr"/>
    </row>
    <row r="252" ht="15" customHeight="1">
      <c r="A252" t="inlineStr">
        <is>
          <t>A 9264-2024</t>
        </is>
      </c>
      <c r="B252" s="1" t="n">
        <v>45358</v>
      </c>
      <c r="C252" s="1" t="n">
        <v>45963</v>
      </c>
      <c r="D252" t="inlineStr">
        <is>
          <t>UPPSALA LÄN</t>
        </is>
      </c>
      <c r="E252" t="inlineStr">
        <is>
          <t>ÖSTHAMMAR</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33784-2024</t>
        </is>
      </c>
      <c r="B253" s="1" t="n">
        <v>45520</v>
      </c>
      <c r="C253" s="1" t="n">
        <v>45963</v>
      </c>
      <c r="D253" t="inlineStr">
        <is>
          <t>UPPSALA LÄN</t>
        </is>
      </c>
      <c r="E253" t="inlineStr">
        <is>
          <t>ÖSTHAMMAR</t>
        </is>
      </c>
      <c r="F253" t="inlineStr">
        <is>
          <t>Naturvårdsverket</t>
        </is>
      </c>
      <c r="G253" t="n">
        <v>0.6</v>
      </c>
      <c r="H253" t="n">
        <v>0</v>
      </c>
      <c r="I253" t="n">
        <v>0</v>
      </c>
      <c r="J253" t="n">
        <v>0</v>
      </c>
      <c r="K253" t="n">
        <v>0</v>
      </c>
      <c r="L253" t="n">
        <v>0</v>
      </c>
      <c r="M253" t="n">
        <v>0</v>
      </c>
      <c r="N253" t="n">
        <v>0</v>
      </c>
      <c r="O253" t="n">
        <v>0</v>
      </c>
      <c r="P253" t="n">
        <v>0</v>
      </c>
      <c r="Q253" t="n">
        <v>0</v>
      </c>
      <c r="R253" s="2" t="inlineStr"/>
    </row>
    <row r="254" ht="15" customHeight="1">
      <c r="A254" t="inlineStr">
        <is>
          <t>A 11643-2022</t>
        </is>
      </c>
      <c r="B254" s="1" t="n">
        <v>44631.92662037037</v>
      </c>
      <c r="C254" s="1" t="n">
        <v>45963</v>
      </c>
      <c r="D254" t="inlineStr">
        <is>
          <t>UPPSALA LÄN</t>
        </is>
      </c>
      <c r="E254" t="inlineStr">
        <is>
          <t>ÖSTHAMMAR</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37865-2023</t>
        </is>
      </c>
      <c r="B255" s="1" t="n">
        <v>45160</v>
      </c>
      <c r="C255" s="1" t="n">
        <v>45963</v>
      </c>
      <c r="D255" t="inlineStr">
        <is>
          <t>UPPSALA LÄN</t>
        </is>
      </c>
      <c r="E255" t="inlineStr">
        <is>
          <t>ÖSTHAMMAR</t>
        </is>
      </c>
      <c r="G255" t="n">
        <v>1.4</v>
      </c>
      <c r="H255" t="n">
        <v>0</v>
      </c>
      <c r="I255" t="n">
        <v>0</v>
      </c>
      <c r="J255" t="n">
        <v>0</v>
      </c>
      <c r="K255" t="n">
        <v>0</v>
      </c>
      <c r="L255" t="n">
        <v>0</v>
      </c>
      <c r="M255" t="n">
        <v>0</v>
      </c>
      <c r="N255" t="n">
        <v>0</v>
      </c>
      <c r="O255" t="n">
        <v>0</v>
      </c>
      <c r="P255" t="n">
        <v>0</v>
      </c>
      <c r="Q255" t="n">
        <v>0</v>
      </c>
      <c r="R255" s="2" t="inlineStr"/>
    </row>
    <row r="256" ht="15" customHeight="1">
      <c r="A256" t="inlineStr">
        <is>
          <t>A 34607-2023</t>
        </is>
      </c>
      <c r="B256" s="1" t="n">
        <v>45138</v>
      </c>
      <c r="C256" s="1" t="n">
        <v>45963</v>
      </c>
      <c r="D256" t="inlineStr">
        <is>
          <t>UPPSALA LÄN</t>
        </is>
      </c>
      <c r="E256" t="inlineStr">
        <is>
          <t>ÖSTHAMMAR</t>
        </is>
      </c>
      <c r="G256" t="n">
        <v>4.7</v>
      </c>
      <c r="H256" t="n">
        <v>0</v>
      </c>
      <c r="I256" t="n">
        <v>0</v>
      </c>
      <c r="J256" t="n">
        <v>0</v>
      </c>
      <c r="K256" t="n">
        <v>0</v>
      </c>
      <c r="L256" t="n">
        <v>0</v>
      </c>
      <c r="M256" t="n">
        <v>0</v>
      </c>
      <c r="N256" t="n">
        <v>0</v>
      </c>
      <c r="O256" t="n">
        <v>0</v>
      </c>
      <c r="P256" t="n">
        <v>0</v>
      </c>
      <c r="Q256" t="n">
        <v>0</v>
      </c>
      <c r="R256" s="2" t="inlineStr"/>
    </row>
    <row r="257" ht="15" customHeight="1">
      <c r="A257" t="inlineStr">
        <is>
          <t>A 61261-2022</t>
        </is>
      </c>
      <c r="B257" s="1" t="n">
        <v>44915.59645833333</v>
      </c>
      <c r="C257" s="1" t="n">
        <v>45963</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5215-2025</t>
        </is>
      </c>
      <c r="B258" s="1" t="n">
        <v>45691</v>
      </c>
      <c r="C258" s="1" t="n">
        <v>45963</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2733-2023</t>
        </is>
      </c>
      <c r="B259" s="1" t="n">
        <v>44943</v>
      </c>
      <c r="C259" s="1" t="n">
        <v>45963</v>
      </c>
      <c r="D259" t="inlineStr">
        <is>
          <t>UPPSALA LÄN</t>
        </is>
      </c>
      <c r="E259" t="inlineStr">
        <is>
          <t>ÖSTHAMMAR</t>
        </is>
      </c>
      <c r="G259" t="n">
        <v>2.6</v>
      </c>
      <c r="H259" t="n">
        <v>0</v>
      </c>
      <c r="I259" t="n">
        <v>0</v>
      </c>
      <c r="J259" t="n">
        <v>0</v>
      </c>
      <c r="K259" t="n">
        <v>0</v>
      </c>
      <c r="L259" t="n">
        <v>0</v>
      </c>
      <c r="M259" t="n">
        <v>0</v>
      </c>
      <c r="N259" t="n">
        <v>0</v>
      </c>
      <c r="O259" t="n">
        <v>0</v>
      </c>
      <c r="P259" t="n">
        <v>0</v>
      </c>
      <c r="Q259" t="n">
        <v>0</v>
      </c>
      <c r="R259" s="2" t="inlineStr"/>
    </row>
    <row r="260" ht="15" customHeight="1">
      <c r="A260" t="inlineStr">
        <is>
          <t>A 44815-2022</t>
        </is>
      </c>
      <c r="B260" s="1" t="n">
        <v>44841.40452546296</v>
      </c>
      <c r="C260" s="1" t="n">
        <v>45963</v>
      </c>
      <c r="D260" t="inlineStr">
        <is>
          <t>UPPSALA LÄN</t>
        </is>
      </c>
      <c r="E260" t="inlineStr">
        <is>
          <t>ÖSTHAMMAR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68828-2020</t>
        </is>
      </c>
      <c r="B261" s="1" t="n">
        <v>44186</v>
      </c>
      <c r="C261" s="1" t="n">
        <v>45963</v>
      </c>
      <c r="D261" t="inlineStr">
        <is>
          <t>UPPSALA LÄN</t>
        </is>
      </c>
      <c r="E261" t="inlineStr">
        <is>
          <t>ÖSTHAMMAR</t>
        </is>
      </c>
      <c r="G261" t="n">
        <v>1.5</v>
      </c>
      <c r="H261" t="n">
        <v>0</v>
      </c>
      <c r="I261" t="n">
        <v>0</v>
      </c>
      <c r="J261" t="n">
        <v>0</v>
      </c>
      <c r="K261" t="n">
        <v>0</v>
      </c>
      <c r="L261" t="n">
        <v>0</v>
      </c>
      <c r="M261" t="n">
        <v>0</v>
      </c>
      <c r="N261" t="n">
        <v>0</v>
      </c>
      <c r="O261" t="n">
        <v>0</v>
      </c>
      <c r="P261" t="n">
        <v>0</v>
      </c>
      <c r="Q261" t="n">
        <v>0</v>
      </c>
      <c r="R261" s="2" t="inlineStr"/>
    </row>
    <row r="262" ht="15" customHeight="1">
      <c r="A262" t="inlineStr">
        <is>
          <t>A 14187-2022</t>
        </is>
      </c>
      <c r="B262" s="1" t="n">
        <v>44651.5625</v>
      </c>
      <c r="C262" s="1" t="n">
        <v>45963</v>
      </c>
      <c r="D262" t="inlineStr">
        <is>
          <t>UPPSALA LÄN</t>
        </is>
      </c>
      <c r="E262" t="inlineStr">
        <is>
          <t>ÖSTHAMMAR</t>
        </is>
      </c>
      <c r="F262" t="inlineStr">
        <is>
          <t>Övriga Aktiebolag</t>
        </is>
      </c>
      <c r="G262" t="n">
        <v>14.1</v>
      </c>
      <c r="H262" t="n">
        <v>0</v>
      </c>
      <c r="I262" t="n">
        <v>0</v>
      </c>
      <c r="J262" t="n">
        <v>0</v>
      </c>
      <c r="K262" t="n">
        <v>0</v>
      </c>
      <c r="L262" t="n">
        <v>0</v>
      </c>
      <c r="M262" t="n">
        <v>0</v>
      </c>
      <c r="N262" t="n">
        <v>0</v>
      </c>
      <c r="O262" t="n">
        <v>0</v>
      </c>
      <c r="P262" t="n">
        <v>0</v>
      </c>
      <c r="Q262" t="n">
        <v>0</v>
      </c>
      <c r="R262" s="2" t="inlineStr"/>
    </row>
    <row r="263" ht="15" customHeight="1">
      <c r="A263" t="inlineStr">
        <is>
          <t>A 13093-2022</t>
        </is>
      </c>
      <c r="B263" s="1" t="n">
        <v>44643.93269675926</v>
      </c>
      <c r="C263" s="1" t="n">
        <v>45963</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73483-2021</t>
        </is>
      </c>
      <c r="B264" s="1" t="n">
        <v>44550</v>
      </c>
      <c r="C264" s="1" t="n">
        <v>45963</v>
      </c>
      <c r="D264" t="inlineStr">
        <is>
          <t>UPPSALA LÄN</t>
        </is>
      </c>
      <c r="E264" t="inlineStr">
        <is>
          <t>ÖSTHAMMAR</t>
        </is>
      </c>
      <c r="G264" t="n">
        <v>2.8</v>
      </c>
      <c r="H264" t="n">
        <v>0</v>
      </c>
      <c r="I264" t="n">
        <v>0</v>
      </c>
      <c r="J264" t="n">
        <v>0</v>
      </c>
      <c r="K264" t="n">
        <v>0</v>
      </c>
      <c r="L264" t="n">
        <v>0</v>
      </c>
      <c r="M264" t="n">
        <v>0</v>
      </c>
      <c r="N264" t="n">
        <v>0</v>
      </c>
      <c r="O264" t="n">
        <v>0</v>
      </c>
      <c r="P264" t="n">
        <v>0</v>
      </c>
      <c r="Q264" t="n">
        <v>0</v>
      </c>
      <c r="R264" s="2" t="inlineStr"/>
    </row>
    <row r="265" ht="15" customHeight="1">
      <c r="A265" t="inlineStr">
        <is>
          <t>A 8769-2025</t>
        </is>
      </c>
      <c r="B265" s="1" t="n">
        <v>45712.59412037037</v>
      </c>
      <c r="C265" s="1" t="n">
        <v>45963</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8624-2025</t>
        </is>
      </c>
      <c r="B266" s="1" t="n">
        <v>45711.52333333333</v>
      </c>
      <c r="C266" s="1" t="n">
        <v>45963</v>
      </c>
      <c r="D266" t="inlineStr">
        <is>
          <t>UPPSALA LÄN</t>
        </is>
      </c>
      <c r="E266" t="inlineStr">
        <is>
          <t>ÖSTHAMMAR</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34971-2022</t>
        </is>
      </c>
      <c r="B267" s="1" t="n">
        <v>44796.66613425926</v>
      </c>
      <c r="C267" s="1" t="n">
        <v>45963</v>
      </c>
      <c r="D267" t="inlineStr">
        <is>
          <t>UPPSALA LÄN</t>
        </is>
      </c>
      <c r="E267" t="inlineStr">
        <is>
          <t>ÖSTHAMMAR</t>
        </is>
      </c>
      <c r="F267" t="inlineStr">
        <is>
          <t>Bergvik skog öst AB</t>
        </is>
      </c>
      <c r="G267" t="n">
        <v>2.3</v>
      </c>
      <c r="H267" t="n">
        <v>0</v>
      </c>
      <c r="I267" t="n">
        <v>0</v>
      </c>
      <c r="J267" t="n">
        <v>0</v>
      </c>
      <c r="K267" t="n">
        <v>0</v>
      </c>
      <c r="L267" t="n">
        <v>0</v>
      </c>
      <c r="M267" t="n">
        <v>0</v>
      </c>
      <c r="N267" t="n">
        <v>0</v>
      </c>
      <c r="O267" t="n">
        <v>0</v>
      </c>
      <c r="P267" t="n">
        <v>0</v>
      </c>
      <c r="Q267" t="n">
        <v>0</v>
      </c>
      <c r="R267" s="2" t="inlineStr"/>
    </row>
    <row r="268" ht="15" customHeight="1">
      <c r="A268" t="inlineStr">
        <is>
          <t>A 3725-2022</t>
        </is>
      </c>
      <c r="B268" s="1" t="n">
        <v>44586</v>
      </c>
      <c r="C268" s="1" t="n">
        <v>45963</v>
      </c>
      <c r="D268" t="inlineStr">
        <is>
          <t>UPPSALA LÄN</t>
        </is>
      </c>
      <c r="E268" t="inlineStr">
        <is>
          <t>ÖSTHAMMAR</t>
        </is>
      </c>
      <c r="G268" t="n">
        <v>2</v>
      </c>
      <c r="H268" t="n">
        <v>0</v>
      </c>
      <c r="I268" t="n">
        <v>0</v>
      </c>
      <c r="J268" t="n">
        <v>0</v>
      </c>
      <c r="K268" t="n">
        <v>0</v>
      </c>
      <c r="L268" t="n">
        <v>0</v>
      </c>
      <c r="M268" t="n">
        <v>0</v>
      </c>
      <c r="N268" t="n">
        <v>0</v>
      </c>
      <c r="O268" t="n">
        <v>0</v>
      </c>
      <c r="P268" t="n">
        <v>0</v>
      </c>
      <c r="Q268" t="n">
        <v>0</v>
      </c>
      <c r="R268" s="2" t="inlineStr"/>
    </row>
    <row r="269" ht="15" customHeight="1">
      <c r="A269" t="inlineStr">
        <is>
          <t>A 12812-2024</t>
        </is>
      </c>
      <c r="B269" s="1" t="n">
        <v>45384.65465277778</v>
      </c>
      <c r="C269" s="1" t="n">
        <v>45963</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45963</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28170-2023</t>
        </is>
      </c>
      <c r="B271" s="1" t="n">
        <v>45093</v>
      </c>
      <c r="C271" s="1" t="n">
        <v>45963</v>
      </c>
      <c r="D271" t="inlineStr">
        <is>
          <t>UPPSALA LÄN</t>
        </is>
      </c>
      <c r="E271" t="inlineStr">
        <is>
          <t>ÖSTHAMMAR</t>
        </is>
      </c>
      <c r="G271" t="n">
        <v>7.2</v>
      </c>
      <c r="H271" t="n">
        <v>0</v>
      </c>
      <c r="I271" t="n">
        <v>0</v>
      </c>
      <c r="J271" t="n">
        <v>0</v>
      </c>
      <c r="K271" t="n">
        <v>0</v>
      </c>
      <c r="L271" t="n">
        <v>0</v>
      </c>
      <c r="M271" t="n">
        <v>0</v>
      </c>
      <c r="N271" t="n">
        <v>0</v>
      </c>
      <c r="O271" t="n">
        <v>0</v>
      </c>
      <c r="P271" t="n">
        <v>0</v>
      </c>
      <c r="Q271" t="n">
        <v>0</v>
      </c>
      <c r="R271" s="2" t="inlineStr"/>
    </row>
    <row r="272" ht="15" customHeight="1">
      <c r="A272" t="inlineStr">
        <is>
          <t>A 7876-2023</t>
        </is>
      </c>
      <c r="B272" s="1" t="n">
        <v>44973.57263888889</v>
      </c>
      <c r="C272" s="1" t="n">
        <v>45963</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6121-2024</t>
        </is>
      </c>
      <c r="B273" s="1" t="n">
        <v>45337.4219212963</v>
      </c>
      <c r="C273" s="1" t="n">
        <v>45963</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19009-2023</t>
        </is>
      </c>
      <c r="B274" s="1" t="n">
        <v>45045</v>
      </c>
      <c r="C274" s="1" t="n">
        <v>45963</v>
      </c>
      <c r="D274" t="inlineStr">
        <is>
          <t>UPPSALA LÄN</t>
        </is>
      </c>
      <c r="E274" t="inlineStr">
        <is>
          <t>ÖSTHAMMAR</t>
        </is>
      </c>
      <c r="F274" t="inlineStr">
        <is>
          <t>Bergvik skog öst AB</t>
        </is>
      </c>
      <c r="G274" t="n">
        <v>0.2</v>
      </c>
      <c r="H274" t="n">
        <v>0</v>
      </c>
      <c r="I274" t="n">
        <v>0</v>
      </c>
      <c r="J274" t="n">
        <v>0</v>
      </c>
      <c r="K274" t="n">
        <v>0</v>
      </c>
      <c r="L274" t="n">
        <v>0</v>
      </c>
      <c r="M274" t="n">
        <v>0</v>
      </c>
      <c r="N274" t="n">
        <v>0</v>
      </c>
      <c r="O274" t="n">
        <v>0</v>
      </c>
      <c r="P274" t="n">
        <v>0</v>
      </c>
      <c r="Q274" t="n">
        <v>0</v>
      </c>
      <c r="R274" s="2" t="inlineStr"/>
    </row>
    <row r="275" ht="15" customHeight="1">
      <c r="A275" t="inlineStr">
        <is>
          <t>A 62391-2022</t>
        </is>
      </c>
      <c r="B275" s="1" t="n">
        <v>44923.7849537037</v>
      </c>
      <c r="C275" s="1" t="n">
        <v>45963</v>
      </c>
      <c r="D275" t="inlineStr">
        <is>
          <t>UPPSALA LÄN</t>
        </is>
      </c>
      <c r="E275" t="inlineStr">
        <is>
          <t>ÖSTHAMMAR</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6143-2022</t>
        </is>
      </c>
      <c r="B276" s="1" t="n">
        <v>44599.72306712963</v>
      </c>
      <c r="C276" s="1" t="n">
        <v>45963</v>
      </c>
      <c r="D276" t="inlineStr">
        <is>
          <t>UPPSALA LÄN</t>
        </is>
      </c>
      <c r="E276" t="inlineStr">
        <is>
          <t>ÖSTHAMMAR</t>
        </is>
      </c>
      <c r="G276" t="n">
        <v>3.4</v>
      </c>
      <c r="H276" t="n">
        <v>0</v>
      </c>
      <c r="I276" t="n">
        <v>0</v>
      </c>
      <c r="J276" t="n">
        <v>0</v>
      </c>
      <c r="K276" t="n">
        <v>0</v>
      </c>
      <c r="L276" t="n">
        <v>0</v>
      </c>
      <c r="M276" t="n">
        <v>0</v>
      </c>
      <c r="N276" t="n">
        <v>0</v>
      </c>
      <c r="O276" t="n">
        <v>0</v>
      </c>
      <c r="P276" t="n">
        <v>0</v>
      </c>
      <c r="Q276" t="n">
        <v>0</v>
      </c>
      <c r="R276" s="2" t="inlineStr"/>
    </row>
    <row r="277" ht="15" customHeight="1">
      <c r="A277" t="inlineStr">
        <is>
          <t>A 54314-2023</t>
        </is>
      </c>
      <c r="B277" s="1" t="n">
        <v>45225</v>
      </c>
      <c r="C277" s="1" t="n">
        <v>45963</v>
      </c>
      <c r="D277" t="inlineStr">
        <is>
          <t>UPPSALA LÄN</t>
        </is>
      </c>
      <c r="E277" t="inlineStr">
        <is>
          <t>ÖSTHAMMAR</t>
        </is>
      </c>
      <c r="G277" t="n">
        <v>5.1</v>
      </c>
      <c r="H277" t="n">
        <v>0</v>
      </c>
      <c r="I277" t="n">
        <v>0</v>
      </c>
      <c r="J277" t="n">
        <v>0</v>
      </c>
      <c r="K277" t="n">
        <v>0</v>
      </c>
      <c r="L277" t="n">
        <v>0</v>
      </c>
      <c r="M277" t="n">
        <v>0</v>
      </c>
      <c r="N277" t="n">
        <v>0</v>
      </c>
      <c r="O277" t="n">
        <v>0</v>
      </c>
      <c r="P277" t="n">
        <v>0</v>
      </c>
      <c r="Q277" t="n">
        <v>0</v>
      </c>
      <c r="R277" s="2" t="inlineStr"/>
    </row>
    <row r="278" ht="15" customHeight="1">
      <c r="A278" t="inlineStr">
        <is>
          <t>A 6153-2022</t>
        </is>
      </c>
      <c r="B278" s="1" t="n">
        <v>44599</v>
      </c>
      <c r="C278" s="1" t="n">
        <v>45963</v>
      </c>
      <c r="D278" t="inlineStr">
        <is>
          <t>UPPSALA LÄN</t>
        </is>
      </c>
      <c r="E278" t="inlineStr">
        <is>
          <t>ÖSTHAMMAR</t>
        </is>
      </c>
      <c r="G278" t="n">
        <v>1.2</v>
      </c>
      <c r="H278" t="n">
        <v>0</v>
      </c>
      <c r="I278" t="n">
        <v>0</v>
      </c>
      <c r="J278" t="n">
        <v>0</v>
      </c>
      <c r="K278" t="n">
        <v>0</v>
      </c>
      <c r="L278" t="n">
        <v>0</v>
      </c>
      <c r="M278" t="n">
        <v>0</v>
      </c>
      <c r="N278" t="n">
        <v>0</v>
      </c>
      <c r="O278" t="n">
        <v>0</v>
      </c>
      <c r="P278" t="n">
        <v>0</v>
      </c>
      <c r="Q278" t="n">
        <v>0</v>
      </c>
      <c r="R278" s="2" t="inlineStr"/>
    </row>
    <row r="279" ht="15" customHeight="1">
      <c r="A279" t="inlineStr">
        <is>
          <t>A 23363-2023</t>
        </is>
      </c>
      <c r="B279" s="1" t="n">
        <v>45076</v>
      </c>
      <c r="C279" s="1" t="n">
        <v>45963</v>
      </c>
      <c r="D279" t="inlineStr">
        <is>
          <t>UPPSALA LÄN</t>
        </is>
      </c>
      <c r="E279" t="inlineStr">
        <is>
          <t>ÖSTHAMMAR</t>
        </is>
      </c>
      <c r="G279" t="n">
        <v>3</v>
      </c>
      <c r="H279" t="n">
        <v>0</v>
      </c>
      <c r="I279" t="n">
        <v>0</v>
      </c>
      <c r="J279" t="n">
        <v>0</v>
      </c>
      <c r="K279" t="n">
        <v>0</v>
      </c>
      <c r="L279" t="n">
        <v>0</v>
      </c>
      <c r="M279" t="n">
        <v>0</v>
      </c>
      <c r="N279" t="n">
        <v>0</v>
      </c>
      <c r="O279" t="n">
        <v>0</v>
      </c>
      <c r="P279" t="n">
        <v>0</v>
      </c>
      <c r="Q279" t="n">
        <v>0</v>
      </c>
      <c r="R279" s="2" t="inlineStr"/>
    </row>
    <row r="280" ht="15" customHeight="1">
      <c r="A280" t="inlineStr">
        <is>
          <t>A 4233-2023</t>
        </is>
      </c>
      <c r="B280" s="1" t="n">
        <v>44953.48619212963</v>
      </c>
      <c r="C280" s="1" t="n">
        <v>45963</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14433-2024</t>
        </is>
      </c>
      <c r="B281" s="1" t="n">
        <v>45394.46115740741</v>
      </c>
      <c r="C281" s="1" t="n">
        <v>45963</v>
      </c>
      <c r="D281" t="inlineStr">
        <is>
          <t>UPPSALA LÄN</t>
        </is>
      </c>
      <c r="E281" t="inlineStr">
        <is>
          <t>ÖSTHAMMAR</t>
        </is>
      </c>
      <c r="G281" t="n">
        <v>1.2</v>
      </c>
      <c r="H281" t="n">
        <v>0</v>
      </c>
      <c r="I281" t="n">
        <v>0</v>
      </c>
      <c r="J281" t="n">
        <v>0</v>
      </c>
      <c r="K281" t="n">
        <v>0</v>
      </c>
      <c r="L281" t="n">
        <v>0</v>
      </c>
      <c r="M281" t="n">
        <v>0</v>
      </c>
      <c r="N281" t="n">
        <v>0</v>
      </c>
      <c r="O281" t="n">
        <v>0</v>
      </c>
      <c r="P281" t="n">
        <v>0</v>
      </c>
      <c r="Q281" t="n">
        <v>0</v>
      </c>
      <c r="R281" s="2" t="inlineStr"/>
    </row>
    <row r="282" ht="15" customHeight="1">
      <c r="A282" t="inlineStr">
        <is>
          <t>A 58270-2023</t>
        </is>
      </c>
      <c r="B282" s="1" t="n">
        <v>45250.49961805555</v>
      </c>
      <c r="C282" s="1" t="n">
        <v>45963</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73592-2021</t>
        </is>
      </c>
      <c r="B283" s="1" t="n">
        <v>44552.36974537037</v>
      </c>
      <c r="C283" s="1" t="n">
        <v>45963</v>
      </c>
      <c r="D283" t="inlineStr">
        <is>
          <t>UPPSALA LÄN</t>
        </is>
      </c>
      <c r="E283" t="inlineStr">
        <is>
          <t>ÖSTHAMMAR</t>
        </is>
      </c>
      <c r="G283" t="n">
        <v>1.7</v>
      </c>
      <c r="H283" t="n">
        <v>0</v>
      </c>
      <c r="I283" t="n">
        <v>0</v>
      </c>
      <c r="J283" t="n">
        <v>0</v>
      </c>
      <c r="K283" t="n">
        <v>0</v>
      </c>
      <c r="L283" t="n">
        <v>0</v>
      </c>
      <c r="M283" t="n">
        <v>0</v>
      </c>
      <c r="N283" t="n">
        <v>0</v>
      </c>
      <c r="O283" t="n">
        <v>0</v>
      </c>
      <c r="P283" t="n">
        <v>0</v>
      </c>
      <c r="Q283" t="n">
        <v>0</v>
      </c>
      <c r="R283" s="2" t="inlineStr"/>
    </row>
    <row r="284" ht="15" customHeight="1">
      <c r="A284" t="inlineStr">
        <is>
          <t>A 20038-2023</t>
        </is>
      </c>
      <c r="B284" s="1" t="n">
        <v>45054.65834490741</v>
      </c>
      <c r="C284" s="1" t="n">
        <v>45963</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15031-2025</t>
        </is>
      </c>
      <c r="B285" s="1" t="n">
        <v>45743.67333333333</v>
      </c>
      <c r="C285" s="1" t="n">
        <v>45963</v>
      </c>
      <c r="D285" t="inlineStr">
        <is>
          <t>UPPSALA LÄN</t>
        </is>
      </c>
      <c r="E285" t="inlineStr">
        <is>
          <t>ÖSTHAMMAR</t>
        </is>
      </c>
      <c r="G285" t="n">
        <v>9.6</v>
      </c>
      <c r="H285" t="n">
        <v>0</v>
      </c>
      <c r="I285" t="n">
        <v>0</v>
      </c>
      <c r="J285" t="n">
        <v>0</v>
      </c>
      <c r="K285" t="n">
        <v>0</v>
      </c>
      <c r="L285" t="n">
        <v>0</v>
      </c>
      <c r="M285" t="n">
        <v>0</v>
      </c>
      <c r="N285" t="n">
        <v>0</v>
      </c>
      <c r="O285" t="n">
        <v>0</v>
      </c>
      <c r="P285" t="n">
        <v>0</v>
      </c>
      <c r="Q285" t="n">
        <v>0</v>
      </c>
      <c r="R285" s="2" t="inlineStr"/>
    </row>
    <row r="286" ht="15" customHeight="1">
      <c r="A286" t="inlineStr">
        <is>
          <t>A 13738-2023</t>
        </is>
      </c>
      <c r="B286" s="1" t="n">
        <v>45007.37081018519</v>
      </c>
      <c r="C286" s="1" t="n">
        <v>45963</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25938-2024</t>
        </is>
      </c>
      <c r="B287" s="1" t="n">
        <v>45467.63127314814</v>
      </c>
      <c r="C287" s="1" t="n">
        <v>45963</v>
      </c>
      <c r="D287" t="inlineStr">
        <is>
          <t>UPPSALA LÄN</t>
        </is>
      </c>
      <c r="E287" t="inlineStr">
        <is>
          <t>ÖSTHAMMAR</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35539-2023</t>
        </is>
      </c>
      <c r="B288" s="1" t="n">
        <v>45147.37006944444</v>
      </c>
      <c r="C288" s="1" t="n">
        <v>45963</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32744-2022</t>
        </is>
      </c>
      <c r="B289" s="1" t="n">
        <v>44783.70378472222</v>
      </c>
      <c r="C289" s="1" t="n">
        <v>45963</v>
      </c>
      <c r="D289" t="inlineStr">
        <is>
          <t>UPPSALA LÄN</t>
        </is>
      </c>
      <c r="E289" t="inlineStr">
        <is>
          <t>ÖSTHAMMAR</t>
        </is>
      </c>
      <c r="F289" t="inlineStr">
        <is>
          <t>Bergvik skog öst AB</t>
        </is>
      </c>
      <c r="G289" t="n">
        <v>3</v>
      </c>
      <c r="H289" t="n">
        <v>0</v>
      </c>
      <c r="I289" t="n">
        <v>0</v>
      </c>
      <c r="J289" t="n">
        <v>0</v>
      </c>
      <c r="K289" t="n">
        <v>0</v>
      </c>
      <c r="L289" t="n">
        <v>0</v>
      </c>
      <c r="M289" t="n">
        <v>0</v>
      </c>
      <c r="N289" t="n">
        <v>0</v>
      </c>
      <c r="O289" t="n">
        <v>0</v>
      </c>
      <c r="P289" t="n">
        <v>0</v>
      </c>
      <c r="Q289" t="n">
        <v>0</v>
      </c>
      <c r="R289" s="2" t="inlineStr"/>
    </row>
    <row r="290" ht="15" customHeight="1">
      <c r="A290" t="inlineStr">
        <is>
          <t>A 43439-2024</t>
        </is>
      </c>
      <c r="B290" s="1" t="n">
        <v>45568</v>
      </c>
      <c r="C290" s="1" t="n">
        <v>45963</v>
      </c>
      <c r="D290" t="inlineStr">
        <is>
          <t>UPPSALA LÄN</t>
        </is>
      </c>
      <c r="E290" t="inlineStr">
        <is>
          <t>ÖSTHAMMAR</t>
        </is>
      </c>
      <c r="G290" t="n">
        <v>1</v>
      </c>
      <c r="H290" t="n">
        <v>0</v>
      </c>
      <c r="I290" t="n">
        <v>0</v>
      </c>
      <c r="J290" t="n">
        <v>0</v>
      </c>
      <c r="K290" t="n">
        <v>0</v>
      </c>
      <c r="L290" t="n">
        <v>0</v>
      </c>
      <c r="M290" t="n">
        <v>0</v>
      </c>
      <c r="N290" t="n">
        <v>0</v>
      </c>
      <c r="O290" t="n">
        <v>0</v>
      </c>
      <c r="P290" t="n">
        <v>0</v>
      </c>
      <c r="Q290" t="n">
        <v>0</v>
      </c>
      <c r="R290" s="2" t="inlineStr"/>
    </row>
    <row r="291" ht="15" customHeight="1">
      <c r="A291" t="inlineStr">
        <is>
          <t>A 18230-2025</t>
        </is>
      </c>
      <c r="B291" s="1" t="n">
        <v>45761.87114583333</v>
      </c>
      <c r="C291" s="1" t="n">
        <v>45963</v>
      </c>
      <c r="D291" t="inlineStr">
        <is>
          <t>UPPSALA LÄN</t>
        </is>
      </c>
      <c r="E291" t="inlineStr">
        <is>
          <t>ÖSTHAMMAR</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45963</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21522-2022</t>
        </is>
      </c>
      <c r="B293" s="1" t="n">
        <v>44706</v>
      </c>
      <c r="C293" s="1" t="n">
        <v>45963</v>
      </c>
      <c r="D293" t="inlineStr">
        <is>
          <t>UPPSALA LÄN</t>
        </is>
      </c>
      <c r="E293" t="inlineStr">
        <is>
          <t>ÖSTHAMMAR</t>
        </is>
      </c>
      <c r="G293" t="n">
        <v>1.8</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45963</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8006-2023</t>
        </is>
      </c>
      <c r="B295" s="1" t="n">
        <v>44973</v>
      </c>
      <c r="C295" s="1" t="n">
        <v>45963</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1567-2025</t>
        </is>
      </c>
      <c r="B296" s="1" t="n">
        <v>45670</v>
      </c>
      <c r="C296" s="1" t="n">
        <v>45963</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44309.28576388889</v>
      </c>
      <c r="C297" s="1" t="n">
        <v>45963</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17013-2022</t>
        </is>
      </c>
      <c r="B298" s="1" t="n">
        <v>44676</v>
      </c>
      <c r="C298" s="1" t="n">
        <v>45963</v>
      </c>
      <c r="D298" t="inlineStr">
        <is>
          <t>UPPSALA LÄN</t>
        </is>
      </c>
      <c r="E298" t="inlineStr">
        <is>
          <t>ÖSTHAMMAR</t>
        </is>
      </c>
      <c r="F298" t="inlineStr">
        <is>
          <t>Bergvik skog öst AB</t>
        </is>
      </c>
      <c r="G298" t="n">
        <v>0.2</v>
      </c>
      <c r="H298" t="n">
        <v>0</v>
      </c>
      <c r="I298" t="n">
        <v>0</v>
      </c>
      <c r="J298" t="n">
        <v>0</v>
      </c>
      <c r="K298" t="n">
        <v>0</v>
      </c>
      <c r="L298" t="n">
        <v>0</v>
      </c>
      <c r="M298" t="n">
        <v>0</v>
      </c>
      <c r="N298" t="n">
        <v>0</v>
      </c>
      <c r="O298" t="n">
        <v>0</v>
      </c>
      <c r="P298" t="n">
        <v>0</v>
      </c>
      <c r="Q298" t="n">
        <v>0</v>
      </c>
      <c r="R298" s="2" t="inlineStr"/>
    </row>
    <row r="299" ht="15" customHeight="1">
      <c r="A299" t="inlineStr">
        <is>
          <t>A 35474-2023</t>
        </is>
      </c>
      <c r="B299" s="1" t="n">
        <v>45146.68921296296</v>
      </c>
      <c r="C299" s="1" t="n">
        <v>45963</v>
      </c>
      <c r="D299" t="inlineStr">
        <is>
          <t>UPPSALA LÄN</t>
        </is>
      </c>
      <c r="E299" t="inlineStr">
        <is>
          <t>ÖSTHAMMAR</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13755-2023</t>
        </is>
      </c>
      <c r="B300" s="1" t="n">
        <v>45007</v>
      </c>
      <c r="C300" s="1" t="n">
        <v>45963</v>
      </c>
      <c r="D300" t="inlineStr">
        <is>
          <t>UPPSALA LÄN</t>
        </is>
      </c>
      <c r="E300" t="inlineStr">
        <is>
          <t>ÖSTHAMMAR</t>
        </is>
      </c>
      <c r="G300" t="n">
        <v>2.4</v>
      </c>
      <c r="H300" t="n">
        <v>0</v>
      </c>
      <c r="I300" t="n">
        <v>0</v>
      </c>
      <c r="J300" t="n">
        <v>0</v>
      </c>
      <c r="K300" t="n">
        <v>0</v>
      </c>
      <c r="L300" t="n">
        <v>0</v>
      </c>
      <c r="M300" t="n">
        <v>0</v>
      </c>
      <c r="N300" t="n">
        <v>0</v>
      </c>
      <c r="O300" t="n">
        <v>0</v>
      </c>
      <c r="P300" t="n">
        <v>0</v>
      </c>
      <c r="Q300" t="n">
        <v>0</v>
      </c>
      <c r="R300" s="2" t="inlineStr"/>
    </row>
    <row r="301" ht="15" customHeight="1">
      <c r="A301" t="inlineStr">
        <is>
          <t>A 13771-2023</t>
        </is>
      </c>
      <c r="B301" s="1" t="n">
        <v>45007</v>
      </c>
      <c r="C301" s="1" t="n">
        <v>45963</v>
      </c>
      <c r="D301" t="inlineStr">
        <is>
          <t>UPPSALA LÄN</t>
        </is>
      </c>
      <c r="E301" t="inlineStr">
        <is>
          <t>ÖSTHAMMAR</t>
        </is>
      </c>
      <c r="G301" t="n">
        <v>2.7</v>
      </c>
      <c r="H301" t="n">
        <v>0</v>
      </c>
      <c r="I301" t="n">
        <v>0</v>
      </c>
      <c r="J301" t="n">
        <v>0</v>
      </c>
      <c r="K301" t="n">
        <v>0</v>
      </c>
      <c r="L301" t="n">
        <v>0</v>
      </c>
      <c r="M301" t="n">
        <v>0</v>
      </c>
      <c r="N301" t="n">
        <v>0</v>
      </c>
      <c r="O301" t="n">
        <v>0</v>
      </c>
      <c r="P301" t="n">
        <v>0</v>
      </c>
      <c r="Q301" t="n">
        <v>0</v>
      </c>
      <c r="R301" s="2" t="inlineStr"/>
    </row>
    <row r="302" ht="15" customHeight="1">
      <c r="A302" t="inlineStr">
        <is>
          <t>A 10290-2025</t>
        </is>
      </c>
      <c r="B302" s="1" t="n">
        <v>45720.41847222222</v>
      </c>
      <c r="C302" s="1" t="n">
        <v>45963</v>
      </c>
      <c r="D302" t="inlineStr">
        <is>
          <t>UPPSALA LÄN</t>
        </is>
      </c>
      <c r="E302" t="inlineStr">
        <is>
          <t>ÖSTHAMMAR</t>
        </is>
      </c>
      <c r="G302" t="n">
        <v>8.6</v>
      </c>
      <c r="H302" t="n">
        <v>0</v>
      </c>
      <c r="I302" t="n">
        <v>0</v>
      </c>
      <c r="J302" t="n">
        <v>0</v>
      </c>
      <c r="K302" t="n">
        <v>0</v>
      </c>
      <c r="L302" t="n">
        <v>0</v>
      </c>
      <c r="M302" t="n">
        <v>0</v>
      </c>
      <c r="N302" t="n">
        <v>0</v>
      </c>
      <c r="O302" t="n">
        <v>0</v>
      </c>
      <c r="P302" t="n">
        <v>0</v>
      </c>
      <c r="Q302" t="n">
        <v>0</v>
      </c>
      <c r="R302" s="2" t="inlineStr"/>
    </row>
    <row r="303" ht="15" customHeight="1">
      <c r="A303" t="inlineStr">
        <is>
          <t>A 17022-2021</t>
        </is>
      </c>
      <c r="B303" s="1" t="n">
        <v>44295.65875</v>
      </c>
      <c r="C303" s="1" t="n">
        <v>45963</v>
      </c>
      <c r="D303" t="inlineStr">
        <is>
          <t>UPPSALA LÄN</t>
        </is>
      </c>
      <c r="E303" t="inlineStr">
        <is>
          <t>ÖSTHAMMAR</t>
        </is>
      </c>
      <c r="F303" t="inlineStr">
        <is>
          <t>Bergvik skog öst AB</t>
        </is>
      </c>
      <c r="G303" t="n">
        <v>0.3</v>
      </c>
      <c r="H303" t="n">
        <v>0</v>
      </c>
      <c r="I303" t="n">
        <v>0</v>
      </c>
      <c r="J303" t="n">
        <v>0</v>
      </c>
      <c r="K303" t="n">
        <v>0</v>
      </c>
      <c r="L303" t="n">
        <v>0</v>
      </c>
      <c r="M303" t="n">
        <v>0</v>
      </c>
      <c r="N303" t="n">
        <v>0</v>
      </c>
      <c r="O303" t="n">
        <v>0</v>
      </c>
      <c r="P303" t="n">
        <v>0</v>
      </c>
      <c r="Q303" t="n">
        <v>0</v>
      </c>
      <c r="R303" s="2" t="inlineStr"/>
    </row>
    <row r="304" ht="15" customHeight="1">
      <c r="A304" t="inlineStr">
        <is>
          <t>A 11469-2023</t>
        </is>
      </c>
      <c r="B304" s="1" t="n">
        <v>44993.60099537037</v>
      </c>
      <c r="C304" s="1" t="n">
        <v>45963</v>
      </c>
      <c r="D304" t="inlineStr">
        <is>
          <t>UPPSALA LÄN</t>
        </is>
      </c>
      <c r="E304" t="inlineStr">
        <is>
          <t>ÖSTHAMMAR</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31035-2022</t>
        </is>
      </c>
      <c r="B305" s="1" t="n">
        <v>44768.88685185185</v>
      </c>
      <c r="C305" s="1" t="n">
        <v>45963</v>
      </c>
      <c r="D305" t="inlineStr">
        <is>
          <t>UPPSALA LÄN</t>
        </is>
      </c>
      <c r="E305" t="inlineStr">
        <is>
          <t>ÖSTHAMMAR</t>
        </is>
      </c>
      <c r="F305" t="inlineStr">
        <is>
          <t>Bergvik skog öst AB</t>
        </is>
      </c>
      <c r="G305" t="n">
        <v>1.5</v>
      </c>
      <c r="H305" t="n">
        <v>0</v>
      </c>
      <c r="I305" t="n">
        <v>0</v>
      </c>
      <c r="J305" t="n">
        <v>0</v>
      </c>
      <c r="K305" t="n">
        <v>0</v>
      </c>
      <c r="L305" t="n">
        <v>0</v>
      </c>
      <c r="M305" t="n">
        <v>0</v>
      </c>
      <c r="N305" t="n">
        <v>0</v>
      </c>
      <c r="O305" t="n">
        <v>0</v>
      </c>
      <c r="P305" t="n">
        <v>0</v>
      </c>
      <c r="Q305" t="n">
        <v>0</v>
      </c>
      <c r="R305" s="2" t="inlineStr"/>
    </row>
    <row r="306" ht="15" customHeight="1">
      <c r="A306" t="inlineStr">
        <is>
          <t>A 14124-2022</t>
        </is>
      </c>
      <c r="B306" s="1" t="n">
        <v>44651.40924768519</v>
      </c>
      <c r="C306" s="1" t="n">
        <v>45963</v>
      </c>
      <c r="D306" t="inlineStr">
        <is>
          <t>UPPSALA LÄN</t>
        </is>
      </c>
      <c r="E306" t="inlineStr">
        <is>
          <t>ÖSTHAMMAR</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58324-2023</t>
        </is>
      </c>
      <c r="B307" s="1" t="n">
        <v>45250.58635416667</v>
      </c>
      <c r="C307" s="1" t="n">
        <v>45963</v>
      </c>
      <c r="D307" t="inlineStr">
        <is>
          <t>UPPSALA LÄN</t>
        </is>
      </c>
      <c r="E307" t="inlineStr">
        <is>
          <t>ÖSTHAMMAR</t>
        </is>
      </c>
      <c r="G307" t="n">
        <v>5.1</v>
      </c>
      <c r="H307" t="n">
        <v>0</v>
      </c>
      <c r="I307" t="n">
        <v>0</v>
      </c>
      <c r="J307" t="n">
        <v>0</v>
      </c>
      <c r="K307" t="n">
        <v>0</v>
      </c>
      <c r="L307" t="n">
        <v>0</v>
      </c>
      <c r="M307" t="n">
        <v>0</v>
      </c>
      <c r="N307" t="n">
        <v>0</v>
      </c>
      <c r="O307" t="n">
        <v>0</v>
      </c>
      <c r="P307" t="n">
        <v>0</v>
      </c>
      <c r="Q307" t="n">
        <v>0</v>
      </c>
      <c r="R307" s="2" t="inlineStr"/>
    </row>
    <row r="308" ht="15" customHeight="1">
      <c r="A308" t="inlineStr">
        <is>
          <t>A 4099-2025</t>
        </is>
      </c>
      <c r="B308" s="1" t="n">
        <v>45684</v>
      </c>
      <c r="C308" s="1" t="n">
        <v>45963</v>
      </c>
      <c r="D308" t="inlineStr">
        <is>
          <t>UPPSALA LÄN</t>
        </is>
      </c>
      <c r="E308" t="inlineStr">
        <is>
          <t>ÖSTHAMMAR</t>
        </is>
      </c>
      <c r="G308" t="n">
        <v>0.7</v>
      </c>
      <c r="H308" t="n">
        <v>0</v>
      </c>
      <c r="I308" t="n">
        <v>0</v>
      </c>
      <c r="J308" t="n">
        <v>0</v>
      </c>
      <c r="K308" t="n">
        <v>0</v>
      </c>
      <c r="L308" t="n">
        <v>0</v>
      </c>
      <c r="M308" t="n">
        <v>0</v>
      </c>
      <c r="N308" t="n">
        <v>0</v>
      </c>
      <c r="O308" t="n">
        <v>0</v>
      </c>
      <c r="P308" t="n">
        <v>0</v>
      </c>
      <c r="Q308" t="n">
        <v>0</v>
      </c>
      <c r="R308" s="2" t="inlineStr"/>
    </row>
    <row r="309" ht="15" customHeight="1">
      <c r="A309" t="inlineStr">
        <is>
          <t>A 25418-2022</t>
        </is>
      </c>
      <c r="B309" s="1" t="n">
        <v>44732.464375</v>
      </c>
      <c r="C309" s="1" t="n">
        <v>45963</v>
      </c>
      <c r="D309" t="inlineStr">
        <is>
          <t>UPPSALA LÄN</t>
        </is>
      </c>
      <c r="E309" t="inlineStr">
        <is>
          <t>ÖSTHAMMAR</t>
        </is>
      </c>
      <c r="G309" t="n">
        <v>2.8</v>
      </c>
      <c r="H309" t="n">
        <v>0</v>
      </c>
      <c r="I309" t="n">
        <v>0</v>
      </c>
      <c r="J309" t="n">
        <v>0</v>
      </c>
      <c r="K309" t="n">
        <v>0</v>
      </c>
      <c r="L309" t="n">
        <v>0</v>
      </c>
      <c r="M309" t="n">
        <v>0</v>
      </c>
      <c r="N309" t="n">
        <v>0</v>
      </c>
      <c r="O309" t="n">
        <v>0</v>
      </c>
      <c r="P309" t="n">
        <v>0</v>
      </c>
      <c r="Q309" t="n">
        <v>0</v>
      </c>
      <c r="R309" s="2" t="inlineStr"/>
    </row>
    <row r="310" ht="15" customHeight="1">
      <c r="A310" t="inlineStr">
        <is>
          <t>A 7543-2023</t>
        </is>
      </c>
      <c r="B310" s="1" t="n">
        <v>44972</v>
      </c>
      <c r="C310" s="1" t="n">
        <v>45963</v>
      </c>
      <c r="D310" t="inlineStr">
        <is>
          <t>UPPSALA LÄN</t>
        </is>
      </c>
      <c r="E310" t="inlineStr">
        <is>
          <t>ÖSTHAMMAR</t>
        </is>
      </c>
      <c r="F310" t="inlineStr">
        <is>
          <t>Bergvik skog öst AB</t>
        </is>
      </c>
      <c r="G310" t="n">
        <v>13.3</v>
      </c>
      <c r="H310" t="n">
        <v>0</v>
      </c>
      <c r="I310" t="n">
        <v>0</v>
      </c>
      <c r="J310" t="n">
        <v>0</v>
      </c>
      <c r="K310" t="n">
        <v>0</v>
      </c>
      <c r="L310" t="n">
        <v>0</v>
      </c>
      <c r="M310" t="n">
        <v>0</v>
      </c>
      <c r="N310" t="n">
        <v>0</v>
      </c>
      <c r="O310" t="n">
        <v>0</v>
      </c>
      <c r="P310" t="n">
        <v>0</v>
      </c>
      <c r="Q310" t="n">
        <v>0</v>
      </c>
      <c r="R310" s="2" t="inlineStr"/>
    </row>
    <row r="311" ht="15" customHeight="1">
      <c r="A311" t="inlineStr">
        <is>
          <t>A 14859-2025</t>
        </is>
      </c>
      <c r="B311" s="1" t="n">
        <v>45743.42427083333</v>
      </c>
      <c r="C311" s="1" t="n">
        <v>45963</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49899-2023</t>
        </is>
      </c>
      <c r="B312" s="1" t="n">
        <v>45213</v>
      </c>
      <c r="C312" s="1" t="n">
        <v>45963</v>
      </c>
      <c r="D312" t="inlineStr">
        <is>
          <t>UPPSALA LÄN</t>
        </is>
      </c>
      <c r="E312" t="inlineStr">
        <is>
          <t>ÖSTHAMMAR</t>
        </is>
      </c>
      <c r="G312" t="n">
        <v>6.2</v>
      </c>
      <c r="H312" t="n">
        <v>0</v>
      </c>
      <c r="I312" t="n">
        <v>0</v>
      </c>
      <c r="J312" t="n">
        <v>0</v>
      </c>
      <c r="K312" t="n">
        <v>0</v>
      </c>
      <c r="L312" t="n">
        <v>0</v>
      </c>
      <c r="M312" t="n">
        <v>0</v>
      </c>
      <c r="N312" t="n">
        <v>0</v>
      </c>
      <c r="O312" t="n">
        <v>0</v>
      </c>
      <c r="P312" t="n">
        <v>0</v>
      </c>
      <c r="Q312" t="n">
        <v>0</v>
      </c>
      <c r="R312" s="2" t="inlineStr"/>
    </row>
    <row r="313" ht="15" customHeight="1">
      <c r="A313" t="inlineStr">
        <is>
          <t>A 49097-2022</t>
        </is>
      </c>
      <c r="B313" s="1" t="n">
        <v>44860</v>
      </c>
      <c r="C313" s="1" t="n">
        <v>45963</v>
      </c>
      <c r="D313" t="inlineStr">
        <is>
          <t>UPPSALA LÄN</t>
        </is>
      </c>
      <c r="E313" t="inlineStr">
        <is>
          <t>ÖSTHAMMAR</t>
        </is>
      </c>
      <c r="G313" t="n">
        <v>6.9</v>
      </c>
      <c r="H313" t="n">
        <v>0</v>
      </c>
      <c r="I313" t="n">
        <v>0</v>
      </c>
      <c r="J313" t="n">
        <v>0</v>
      </c>
      <c r="K313" t="n">
        <v>0</v>
      </c>
      <c r="L313" t="n">
        <v>0</v>
      </c>
      <c r="M313" t="n">
        <v>0</v>
      </c>
      <c r="N313" t="n">
        <v>0</v>
      </c>
      <c r="O313" t="n">
        <v>0</v>
      </c>
      <c r="P313" t="n">
        <v>0</v>
      </c>
      <c r="Q313" t="n">
        <v>0</v>
      </c>
      <c r="R313" s="2" t="inlineStr"/>
    </row>
    <row r="314" ht="15" customHeight="1">
      <c r="A314" t="inlineStr">
        <is>
          <t>A 4676-2025</t>
        </is>
      </c>
      <c r="B314" s="1" t="n">
        <v>45687.8313425926</v>
      </c>
      <c r="C314" s="1" t="n">
        <v>45963</v>
      </c>
      <c r="D314" t="inlineStr">
        <is>
          <t>UPPSALA LÄN</t>
        </is>
      </c>
      <c r="E314" t="inlineStr">
        <is>
          <t>ÖSTHAMMAR</t>
        </is>
      </c>
      <c r="G314" t="n">
        <v>3.7</v>
      </c>
      <c r="H314" t="n">
        <v>0</v>
      </c>
      <c r="I314" t="n">
        <v>0</v>
      </c>
      <c r="J314" t="n">
        <v>0</v>
      </c>
      <c r="K314" t="n">
        <v>0</v>
      </c>
      <c r="L314" t="n">
        <v>0</v>
      </c>
      <c r="M314" t="n">
        <v>0</v>
      </c>
      <c r="N314" t="n">
        <v>0</v>
      </c>
      <c r="O314" t="n">
        <v>0</v>
      </c>
      <c r="P314" t="n">
        <v>0</v>
      </c>
      <c r="Q314" t="n">
        <v>0</v>
      </c>
      <c r="R314" s="2" t="inlineStr"/>
    </row>
    <row r="315" ht="15" customHeight="1">
      <c r="A315" t="inlineStr">
        <is>
          <t>A 14671-2022</t>
        </is>
      </c>
      <c r="B315" s="1" t="n">
        <v>44655.80475694445</v>
      </c>
      <c r="C315" s="1" t="n">
        <v>45963</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10449-2023</t>
        </is>
      </c>
      <c r="B316" s="1" t="n">
        <v>44987</v>
      </c>
      <c r="C316" s="1" t="n">
        <v>45963</v>
      </c>
      <c r="D316" t="inlineStr">
        <is>
          <t>UPPSALA LÄN</t>
        </is>
      </c>
      <c r="E316" t="inlineStr">
        <is>
          <t>ÖSTHAMMAR</t>
        </is>
      </c>
      <c r="G316" t="n">
        <v>3.1</v>
      </c>
      <c r="H316" t="n">
        <v>0</v>
      </c>
      <c r="I316" t="n">
        <v>0</v>
      </c>
      <c r="J316" t="n">
        <v>0</v>
      </c>
      <c r="K316" t="n">
        <v>0</v>
      </c>
      <c r="L316" t="n">
        <v>0</v>
      </c>
      <c r="M316" t="n">
        <v>0</v>
      </c>
      <c r="N316" t="n">
        <v>0</v>
      </c>
      <c r="O316" t="n">
        <v>0</v>
      </c>
      <c r="P316" t="n">
        <v>0</v>
      </c>
      <c r="Q316" t="n">
        <v>0</v>
      </c>
      <c r="R316" s="2" t="inlineStr"/>
    </row>
    <row r="317" ht="15" customHeight="1">
      <c r="A317" t="inlineStr">
        <is>
          <t>A 17009-2021</t>
        </is>
      </c>
      <c r="B317" s="1" t="n">
        <v>44295.63969907408</v>
      </c>
      <c r="C317" s="1" t="n">
        <v>45963</v>
      </c>
      <c r="D317" t="inlineStr">
        <is>
          <t>UPPSALA LÄN</t>
        </is>
      </c>
      <c r="E317" t="inlineStr">
        <is>
          <t>ÖSTHAMMAR</t>
        </is>
      </c>
      <c r="F317" t="inlineStr">
        <is>
          <t>Bergvik skog öst AB</t>
        </is>
      </c>
      <c r="G317" t="n">
        <v>3.2</v>
      </c>
      <c r="H317" t="n">
        <v>0</v>
      </c>
      <c r="I317" t="n">
        <v>0</v>
      </c>
      <c r="J317" t="n">
        <v>0</v>
      </c>
      <c r="K317" t="n">
        <v>0</v>
      </c>
      <c r="L317" t="n">
        <v>0</v>
      </c>
      <c r="M317" t="n">
        <v>0</v>
      </c>
      <c r="N317" t="n">
        <v>0</v>
      </c>
      <c r="O317" t="n">
        <v>0</v>
      </c>
      <c r="P317" t="n">
        <v>0</v>
      </c>
      <c r="Q317" t="n">
        <v>0</v>
      </c>
      <c r="R317" s="2" t="inlineStr"/>
    </row>
    <row r="318" ht="15" customHeight="1">
      <c r="A318" t="inlineStr">
        <is>
          <t>A 33758-2024</t>
        </is>
      </c>
      <c r="B318" s="1" t="n">
        <v>45520.56896990741</v>
      </c>
      <c r="C318" s="1" t="n">
        <v>45963</v>
      </c>
      <c r="D318" t="inlineStr">
        <is>
          <t>UPPSALA LÄN</t>
        </is>
      </c>
      <c r="E318" t="inlineStr">
        <is>
          <t>ÖSTHAMMAR</t>
        </is>
      </c>
      <c r="G318" t="n">
        <v>6.5</v>
      </c>
      <c r="H318" t="n">
        <v>0</v>
      </c>
      <c r="I318" t="n">
        <v>0</v>
      </c>
      <c r="J318" t="n">
        <v>0</v>
      </c>
      <c r="K318" t="n">
        <v>0</v>
      </c>
      <c r="L318" t="n">
        <v>0</v>
      </c>
      <c r="M318" t="n">
        <v>0</v>
      </c>
      <c r="N318" t="n">
        <v>0</v>
      </c>
      <c r="O318" t="n">
        <v>0</v>
      </c>
      <c r="P318" t="n">
        <v>0</v>
      </c>
      <c r="Q318" t="n">
        <v>0</v>
      </c>
      <c r="R318" s="2" t="inlineStr"/>
    </row>
    <row r="319" ht="15" customHeight="1">
      <c r="A319" t="inlineStr">
        <is>
          <t>A 835-2025</t>
        </is>
      </c>
      <c r="B319" s="1" t="n">
        <v>45665.58465277778</v>
      </c>
      <c r="C319" s="1" t="n">
        <v>45963</v>
      </c>
      <c r="D319" t="inlineStr">
        <is>
          <t>UPPSALA LÄN</t>
        </is>
      </c>
      <c r="E319" t="inlineStr">
        <is>
          <t>ÖSTHAMMAR</t>
        </is>
      </c>
      <c r="F319" t="inlineStr">
        <is>
          <t>Övriga Aktiebolag</t>
        </is>
      </c>
      <c r="G319" t="n">
        <v>4.8</v>
      </c>
      <c r="H319" t="n">
        <v>0</v>
      </c>
      <c r="I319" t="n">
        <v>0</v>
      </c>
      <c r="J319" t="n">
        <v>0</v>
      </c>
      <c r="K319" t="n">
        <v>0</v>
      </c>
      <c r="L319" t="n">
        <v>0</v>
      </c>
      <c r="M319" t="n">
        <v>0</v>
      </c>
      <c r="N319" t="n">
        <v>0</v>
      </c>
      <c r="O319" t="n">
        <v>0</v>
      </c>
      <c r="P319" t="n">
        <v>0</v>
      </c>
      <c r="Q319" t="n">
        <v>0</v>
      </c>
      <c r="R319" s="2" t="inlineStr"/>
    </row>
    <row r="320" ht="15" customHeight="1">
      <c r="A320" t="inlineStr">
        <is>
          <t>A 46399-2023</t>
        </is>
      </c>
      <c r="B320" s="1" t="n">
        <v>45197.49262731482</v>
      </c>
      <c r="C320" s="1" t="n">
        <v>45963</v>
      </c>
      <c r="D320" t="inlineStr">
        <is>
          <t>UPPSALA LÄN</t>
        </is>
      </c>
      <c r="E320" t="inlineStr">
        <is>
          <t>ÖSTHAMMAR</t>
        </is>
      </c>
      <c r="G320" t="n">
        <v>5.8</v>
      </c>
      <c r="H320" t="n">
        <v>0</v>
      </c>
      <c r="I320" t="n">
        <v>0</v>
      </c>
      <c r="J320" t="n">
        <v>0</v>
      </c>
      <c r="K320" t="n">
        <v>0</v>
      </c>
      <c r="L320" t="n">
        <v>0</v>
      </c>
      <c r="M320" t="n">
        <v>0</v>
      </c>
      <c r="N320" t="n">
        <v>0</v>
      </c>
      <c r="O320" t="n">
        <v>0</v>
      </c>
      <c r="P320" t="n">
        <v>0</v>
      </c>
      <c r="Q320" t="n">
        <v>0</v>
      </c>
      <c r="R320" s="2" t="inlineStr"/>
    </row>
    <row r="321" ht="15" customHeight="1">
      <c r="A321" t="inlineStr">
        <is>
          <t>A 36904-2023</t>
        </is>
      </c>
      <c r="B321" s="1" t="n">
        <v>45154</v>
      </c>
      <c r="C321" s="1" t="n">
        <v>45963</v>
      </c>
      <c r="D321" t="inlineStr">
        <is>
          <t>UPPSALA LÄN</t>
        </is>
      </c>
      <c r="E321" t="inlineStr">
        <is>
          <t>ÖSTHAMMAR</t>
        </is>
      </c>
      <c r="F321" t="inlineStr">
        <is>
          <t>Övriga Aktiebolag</t>
        </is>
      </c>
      <c r="G321" t="n">
        <v>1.5</v>
      </c>
      <c r="H321" t="n">
        <v>0</v>
      </c>
      <c r="I321" t="n">
        <v>0</v>
      </c>
      <c r="J321" t="n">
        <v>0</v>
      </c>
      <c r="K321" t="n">
        <v>0</v>
      </c>
      <c r="L321" t="n">
        <v>0</v>
      </c>
      <c r="M321" t="n">
        <v>0</v>
      </c>
      <c r="N321" t="n">
        <v>0</v>
      </c>
      <c r="O321" t="n">
        <v>0</v>
      </c>
      <c r="P321" t="n">
        <v>0</v>
      </c>
      <c r="Q321" t="n">
        <v>0</v>
      </c>
      <c r="R321" s="2" t="inlineStr"/>
    </row>
    <row r="322" ht="15" customHeight="1">
      <c r="A322" t="inlineStr">
        <is>
          <t>A 13248-2025</t>
        </is>
      </c>
      <c r="B322" s="1" t="n">
        <v>45735</v>
      </c>
      <c r="C322" s="1" t="n">
        <v>45963</v>
      </c>
      <c r="D322" t="inlineStr">
        <is>
          <t>UPPSALA LÄN</t>
        </is>
      </c>
      <c r="E322" t="inlineStr">
        <is>
          <t>ÖSTHAMMAR</t>
        </is>
      </c>
      <c r="F322" t="inlineStr">
        <is>
          <t>Kyrkan</t>
        </is>
      </c>
      <c r="G322" t="n">
        <v>12.2</v>
      </c>
      <c r="H322" t="n">
        <v>0</v>
      </c>
      <c r="I322" t="n">
        <v>0</v>
      </c>
      <c r="J322" t="n">
        <v>0</v>
      </c>
      <c r="K322" t="n">
        <v>0</v>
      </c>
      <c r="L322" t="n">
        <v>0</v>
      </c>
      <c r="M322" t="n">
        <v>0</v>
      </c>
      <c r="N322" t="n">
        <v>0</v>
      </c>
      <c r="O322" t="n">
        <v>0</v>
      </c>
      <c r="P322" t="n">
        <v>0</v>
      </c>
      <c r="Q322" t="n">
        <v>0</v>
      </c>
      <c r="R322" s="2" t="inlineStr"/>
    </row>
    <row r="323" ht="15" customHeight="1">
      <c r="A323" t="inlineStr">
        <is>
          <t>A 24259-2022</t>
        </is>
      </c>
      <c r="B323" s="1" t="n">
        <v>44725</v>
      </c>
      <c r="C323" s="1" t="n">
        <v>45963</v>
      </c>
      <c r="D323" t="inlineStr">
        <is>
          <t>UPPSALA LÄN</t>
        </is>
      </c>
      <c r="E323" t="inlineStr">
        <is>
          <t>ÖSTHAMMAR</t>
        </is>
      </c>
      <c r="G323" t="n">
        <v>2.4</v>
      </c>
      <c r="H323" t="n">
        <v>0</v>
      </c>
      <c r="I323" t="n">
        <v>0</v>
      </c>
      <c r="J323" t="n">
        <v>0</v>
      </c>
      <c r="K323" t="n">
        <v>0</v>
      </c>
      <c r="L323" t="n">
        <v>0</v>
      </c>
      <c r="M323" t="n">
        <v>0</v>
      </c>
      <c r="N323" t="n">
        <v>0</v>
      </c>
      <c r="O323" t="n">
        <v>0</v>
      </c>
      <c r="P323" t="n">
        <v>0</v>
      </c>
      <c r="Q323" t="n">
        <v>0</v>
      </c>
      <c r="R323" s="2" t="inlineStr"/>
    </row>
    <row r="324" ht="15" customHeight="1">
      <c r="A324" t="inlineStr">
        <is>
          <t>A 1527-2025</t>
        </is>
      </c>
      <c r="B324" s="1" t="n">
        <v>45670</v>
      </c>
      <c r="C324" s="1" t="n">
        <v>45963</v>
      </c>
      <c r="D324" t="inlineStr">
        <is>
          <t>UPPSALA LÄN</t>
        </is>
      </c>
      <c r="E324" t="inlineStr">
        <is>
          <t>ÖSTHAMMAR</t>
        </is>
      </c>
      <c r="F324" t="inlineStr">
        <is>
          <t>Bergvik skog öst AB</t>
        </is>
      </c>
      <c r="G324" t="n">
        <v>7.7</v>
      </c>
      <c r="H324" t="n">
        <v>0</v>
      </c>
      <c r="I324" t="n">
        <v>0</v>
      </c>
      <c r="J324" t="n">
        <v>0</v>
      </c>
      <c r="K324" t="n">
        <v>0</v>
      </c>
      <c r="L324" t="n">
        <v>0</v>
      </c>
      <c r="M324" t="n">
        <v>0</v>
      </c>
      <c r="N324" t="n">
        <v>0</v>
      </c>
      <c r="O324" t="n">
        <v>0</v>
      </c>
      <c r="P324" t="n">
        <v>0</v>
      </c>
      <c r="Q324" t="n">
        <v>0</v>
      </c>
      <c r="R324" s="2" t="inlineStr"/>
    </row>
    <row r="325" ht="15" customHeight="1">
      <c r="A325" t="inlineStr">
        <is>
          <t>A 18113-2023</t>
        </is>
      </c>
      <c r="B325" s="1" t="n">
        <v>45040</v>
      </c>
      <c r="C325" s="1" t="n">
        <v>45963</v>
      </c>
      <c r="D325" t="inlineStr">
        <is>
          <t>UPPSALA LÄN</t>
        </is>
      </c>
      <c r="E325" t="inlineStr">
        <is>
          <t>ÖSTHAMMAR</t>
        </is>
      </c>
      <c r="G325" t="n">
        <v>2.1</v>
      </c>
      <c r="H325" t="n">
        <v>0</v>
      </c>
      <c r="I325" t="n">
        <v>0</v>
      </c>
      <c r="J325" t="n">
        <v>0</v>
      </c>
      <c r="K325" t="n">
        <v>0</v>
      </c>
      <c r="L325" t="n">
        <v>0</v>
      </c>
      <c r="M325" t="n">
        <v>0</v>
      </c>
      <c r="N325" t="n">
        <v>0</v>
      </c>
      <c r="O325" t="n">
        <v>0</v>
      </c>
      <c r="P325" t="n">
        <v>0</v>
      </c>
      <c r="Q325" t="n">
        <v>0</v>
      </c>
      <c r="R325" s="2" t="inlineStr"/>
    </row>
    <row r="326" ht="15" customHeight="1">
      <c r="A326" t="inlineStr">
        <is>
          <t>A 61216-2022</t>
        </is>
      </c>
      <c r="B326" s="1" t="n">
        <v>44915.55423611111</v>
      </c>
      <c r="C326" s="1" t="n">
        <v>45963</v>
      </c>
      <c r="D326" t="inlineStr">
        <is>
          <t>UPPSALA LÄN</t>
        </is>
      </c>
      <c r="E326" t="inlineStr">
        <is>
          <t>ÖSTHAMMAR</t>
        </is>
      </c>
      <c r="G326" t="n">
        <v>2.9</v>
      </c>
      <c r="H326" t="n">
        <v>0</v>
      </c>
      <c r="I326" t="n">
        <v>0</v>
      </c>
      <c r="J326" t="n">
        <v>0</v>
      </c>
      <c r="K326" t="n">
        <v>0</v>
      </c>
      <c r="L326" t="n">
        <v>0</v>
      </c>
      <c r="M326" t="n">
        <v>0</v>
      </c>
      <c r="N326" t="n">
        <v>0</v>
      </c>
      <c r="O326" t="n">
        <v>0</v>
      </c>
      <c r="P326" t="n">
        <v>0</v>
      </c>
      <c r="Q326" t="n">
        <v>0</v>
      </c>
      <c r="R326" s="2" t="inlineStr"/>
    </row>
    <row r="327" ht="15" customHeight="1">
      <c r="A327" t="inlineStr">
        <is>
          <t>A 4304-2025</t>
        </is>
      </c>
      <c r="B327" s="1" t="n">
        <v>45685.68193287037</v>
      </c>
      <c r="C327" s="1" t="n">
        <v>45963</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27660-2023</t>
        </is>
      </c>
      <c r="B328" s="1" t="n">
        <v>45097</v>
      </c>
      <c r="C328" s="1" t="n">
        <v>45963</v>
      </c>
      <c r="D328" t="inlineStr">
        <is>
          <t>UPPSALA LÄN</t>
        </is>
      </c>
      <c r="E328" t="inlineStr">
        <is>
          <t>ÖSTHAMMAR</t>
        </is>
      </c>
      <c r="G328" t="n">
        <v>2.8</v>
      </c>
      <c r="H328" t="n">
        <v>0</v>
      </c>
      <c r="I328" t="n">
        <v>0</v>
      </c>
      <c r="J328" t="n">
        <v>0</v>
      </c>
      <c r="K328" t="n">
        <v>0</v>
      </c>
      <c r="L328" t="n">
        <v>0</v>
      </c>
      <c r="M328" t="n">
        <v>0</v>
      </c>
      <c r="N328" t="n">
        <v>0</v>
      </c>
      <c r="O328" t="n">
        <v>0</v>
      </c>
      <c r="P328" t="n">
        <v>0</v>
      </c>
      <c r="Q328" t="n">
        <v>0</v>
      </c>
      <c r="R328" s="2" t="inlineStr"/>
    </row>
    <row r="329" ht="15" customHeight="1">
      <c r="A329" t="inlineStr">
        <is>
          <t>A 69411-2021</t>
        </is>
      </c>
      <c r="B329" s="1" t="n">
        <v>44531.61038194445</v>
      </c>
      <c r="C329" s="1" t="n">
        <v>45963</v>
      </c>
      <c r="D329" t="inlineStr">
        <is>
          <t>UPPSALA LÄN</t>
        </is>
      </c>
      <c r="E329" t="inlineStr">
        <is>
          <t>ÖSTHAMMAR</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45550-2023</t>
        </is>
      </c>
      <c r="B330" s="1" t="n">
        <v>45194.57125</v>
      </c>
      <c r="C330" s="1" t="n">
        <v>45963</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15445-2022</t>
        </is>
      </c>
      <c r="B331" s="1" t="n">
        <v>44660.4987962963</v>
      </c>
      <c r="C331" s="1" t="n">
        <v>45963</v>
      </c>
      <c r="D331" t="inlineStr">
        <is>
          <t>UPPSALA LÄN</t>
        </is>
      </c>
      <c r="E331" t="inlineStr">
        <is>
          <t>ÖSTHAMMAR</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53735-2023</t>
        </is>
      </c>
      <c r="B332" s="1" t="n">
        <v>45230.77258101852</v>
      </c>
      <c r="C332" s="1" t="n">
        <v>45963</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26303-2024</t>
        </is>
      </c>
      <c r="B333" s="1" t="n">
        <v>45468</v>
      </c>
      <c r="C333" s="1" t="n">
        <v>45963</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46785-2023</t>
        </is>
      </c>
      <c r="B334" s="1" t="n">
        <v>45198</v>
      </c>
      <c r="C334" s="1" t="n">
        <v>45963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38702-2022</t>
        </is>
      </c>
      <c r="B335" s="1" t="n">
        <v>44814.5991087963</v>
      </c>
      <c r="C335" s="1" t="n">
        <v>45963</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7100-2025</t>
        </is>
      </c>
      <c r="B336" s="1" t="n">
        <v>45701.83930555556</v>
      </c>
      <c r="C336" s="1" t="n">
        <v>45963</v>
      </c>
      <c r="D336" t="inlineStr">
        <is>
          <t>UPPSALA LÄN</t>
        </is>
      </c>
      <c r="E336" t="inlineStr">
        <is>
          <t>ÖSTHAMMAR</t>
        </is>
      </c>
      <c r="G336" t="n">
        <v>4.3</v>
      </c>
      <c r="H336" t="n">
        <v>0</v>
      </c>
      <c r="I336" t="n">
        <v>0</v>
      </c>
      <c r="J336" t="n">
        <v>0</v>
      </c>
      <c r="K336" t="n">
        <v>0</v>
      </c>
      <c r="L336" t="n">
        <v>0</v>
      </c>
      <c r="M336" t="n">
        <v>0</v>
      </c>
      <c r="N336" t="n">
        <v>0</v>
      </c>
      <c r="O336" t="n">
        <v>0</v>
      </c>
      <c r="P336" t="n">
        <v>0</v>
      </c>
      <c r="Q336" t="n">
        <v>0</v>
      </c>
      <c r="R336" s="2" t="inlineStr"/>
    </row>
    <row r="337" ht="15" customHeight="1">
      <c r="A337" t="inlineStr">
        <is>
          <t>A 1439-2025</t>
        </is>
      </c>
      <c r="B337" s="1" t="n">
        <v>45669.69075231482</v>
      </c>
      <c r="C337" s="1" t="n">
        <v>45963</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1575-2025</t>
        </is>
      </c>
      <c r="B338" s="1" t="n">
        <v>45670</v>
      </c>
      <c r="C338" s="1" t="n">
        <v>45963</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20634-2024</t>
        </is>
      </c>
      <c r="B339" s="1" t="n">
        <v>45436</v>
      </c>
      <c r="C339" s="1" t="n">
        <v>45963</v>
      </c>
      <c r="D339" t="inlineStr">
        <is>
          <t>UPPSALA LÄN</t>
        </is>
      </c>
      <c r="E339" t="inlineStr">
        <is>
          <t>ÖSTHAMMAR</t>
        </is>
      </c>
      <c r="G339" t="n">
        <v>6.5</v>
      </c>
      <c r="H339" t="n">
        <v>0</v>
      </c>
      <c r="I339" t="n">
        <v>0</v>
      </c>
      <c r="J339" t="n">
        <v>0</v>
      </c>
      <c r="K339" t="n">
        <v>0</v>
      </c>
      <c r="L339" t="n">
        <v>0</v>
      </c>
      <c r="M339" t="n">
        <v>0</v>
      </c>
      <c r="N339" t="n">
        <v>0</v>
      </c>
      <c r="O339" t="n">
        <v>0</v>
      </c>
      <c r="P339" t="n">
        <v>0</v>
      </c>
      <c r="Q339" t="n">
        <v>0</v>
      </c>
      <c r="R339" s="2" t="inlineStr"/>
    </row>
    <row r="340" ht="15" customHeight="1">
      <c r="A340" t="inlineStr">
        <is>
          <t>A 18088-2025</t>
        </is>
      </c>
      <c r="B340" s="1" t="n">
        <v>45761.53104166667</v>
      </c>
      <c r="C340" s="1" t="n">
        <v>45963</v>
      </c>
      <c r="D340" t="inlineStr">
        <is>
          <t>UPPSALA LÄN</t>
        </is>
      </c>
      <c r="E340" t="inlineStr">
        <is>
          <t>ÖSTHAMMAR</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18095-2025</t>
        </is>
      </c>
      <c r="B341" s="1" t="n">
        <v>45761.54925925926</v>
      </c>
      <c r="C341" s="1" t="n">
        <v>45963</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44496.57019675926</v>
      </c>
      <c r="C342" s="1" t="n">
        <v>45963</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65361-2020</t>
        </is>
      </c>
      <c r="B343" s="1" t="n">
        <v>44173</v>
      </c>
      <c r="C343" s="1" t="n">
        <v>45963</v>
      </c>
      <c r="D343" t="inlineStr">
        <is>
          <t>UPPSALA LÄN</t>
        </is>
      </c>
      <c r="E343" t="inlineStr">
        <is>
          <t>ÖSTHAMMAR</t>
        </is>
      </c>
      <c r="G343" t="n">
        <v>3.6</v>
      </c>
      <c r="H343" t="n">
        <v>0</v>
      </c>
      <c r="I343" t="n">
        <v>0</v>
      </c>
      <c r="J343" t="n">
        <v>0</v>
      </c>
      <c r="K343" t="n">
        <v>0</v>
      </c>
      <c r="L343" t="n">
        <v>0</v>
      </c>
      <c r="M343" t="n">
        <v>0</v>
      </c>
      <c r="N343" t="n">
        <v>0</v>
      </c>
      <c r="O343" t="n">
        <v>0</v>
      </c>
      <c r="P343" t="n">
        <v>0</v>
      </c>
      <c r="Q343" t="n">
        <v>0</v>
      </c>
      <c r="R343" s="2" t="inlineStr"/>
    </row>
    <row r="344" ht="15" customHeight="1">
      <c r="A344" t="inlineStr">
        <is>
          <t>A 61257-2022</t>
        </is>
      </c>
      <c r="B344" s="1" t="n">
        <v>44915.59418981482</v>
      </c>
      <c r="C344" s="1" t="n">
        <v>45963</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10495-2025</t>
        </is>
      </c>
      <c r="B345" s="1" t="n">
        <v>45721</v>
      </c>
      <c r="C345" s="1" t="n">
        <v>45963</v>
      </c>
      <c r="D345" t="inlineStr">
        <is>
          <t>UPPSALA LÄN</t>
        </is>
      </c>
      <c r="E345" t="inlineStr">
        <is>
          <t>ÖSTHAMMAR</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1791-2023</t>
        </is>
      </c>
      <c r="B346" s="1" t="n">
        <v>44938</v>
      </c>
      <c r="C346" s="1" t="n">
        <v>45963</v>
      </c>
      <c r="D346" t="inlineStr">
        <is>
          <t>UPPSALA LÄN</t>
        </is>
      </c>
      <c r="E346" t="inlineStr">
        <is>
          <t>ÖSTHAMMAR</t>
        </is>
      </c>
      <c r="G346" t="n">
        <v>2</v>
      </c>
      <c r="H346" t="n">
        <v>0</v>
      </c>
      <c r="I346" t="n">
        <v>0</v>
      </c>
      <c r="J346" t="n">
        <v>0</v>
      </c>
      <c r="K346" t="n">
        <v>0</v>
      </c>
      <c r="L346" t="n">
        <v>0</v>
      </c>
      <c r="M346" t="n">
        <v>0</v>
      </c>
      <c r="N346" t="n">
        <v>0</v>
      </c>
      <c r="O346" t="n">
        <v>0</v>
      </c>
      <c r="P346" t="n">
        <v>0</v>
      </c>
      <c r="Q346" t="n">
        <v>0</v>
      </c>
      <c r="R346" s="2" t="inlineStr"/>
    </row>
    <row r="347" ht="15" customHeight="1">
      <c r="A347" t="inlineStr">
        <is>
          <t>A 38571-2023</t>
        </is>
      </c>
      <c r="B347" s="1" t="n">
        <v>45162.6177662037</v>
      </c>
      <c r="C347" s="1" t="n">
        <v>45963</v>
      </c>
      <c r="D347" t="inlineStr">
        <is>
          <t>UPPSALA LÄN</t>
        </is>
      </c>
      <c r="E347" t="inlineStr">
        <is>
          <t>ÖSTHAMMAR</t>
        </is>
      </c>
      <c r="F347" t="inlineStr">
        <is>
          <t>Bergvik skog öst AB</t>
        </is>
      </c>
      <c r="G347" t="n">
        <v>1.1</v>
      </c>
      <c r="H347" t="n">
        <v>0</v>
      </c>
      <c r="I347" t="n">
        <v>0</v>
      </c>
      <c r="J347" t="n">
        <v>0</v>
      </c>
      <c r="K347" t="n">
        <v>0</v>
      </c>
      <c r="L347" t="n">
        <v>0</v>
      </c>
      <c r="M347" t="n">
        <v>0</v>
      </c>
      <c r="N347" t="n">
        <v>0</v>
      </c>
      <c r="O347" t="n">
        <v>0</v>
      </c>
      <c r="P347" t="n">
        <v>0</v>
      </c>
      <c r="Q347" t="n">
        <v>0</v>
      </c>
      <c r="R347" s="2" t="inlineStr"/>
    </row>
    <row r="348" ht="15" customHeight="1">
      <c r="A348" t="inlineStr">
        <is>
          <t>A 49796-2024</t>
        </is>
      </c>
      <c r="B348" s="1" t="n">
        <v>45597</v>
      </c>
      <c r="C348" s="1" t="n">
        <v>45963</v>
      </c>
      <c r="D348" t="inlineStr">
        <is>
          <t>UPPSALA LÄN</t>
        </is>
      </c>
      <c r="E348" t="inlineStr">
        <is>
          <t>ÖSTHAMMAR</t>
        </is>
      </c>
      <c r="G348" t="n">
        <v>1.3</v>
      </c>
      <c r="H348" t="n">
        <v>0</v>
      </c>
      <c r="I348" t="n">
        <v>0</v>
      </c>
      <c r="J348" t="n">
        <v>0</v>
      </c>
      <c r="K348" t="n">
        <v>0</v>
      </c>
      <c r="L348" t="n">
        <v>0</v>
      </c>
      <c r="M348" t="n">
        <v>0</v>
      </c>
      <c r="N348" t="n">
        <v>0</v>
      </c>
      <c r="O348" t="n">
        <v>0</v>
      </c>
      <c r="P348" t="n">
        <v>0</v>
      </c>
      <c r="Q348" t="n">
        <v>0</v>
      </c>
      <c r="R348" s="2" t="inlineStr"/>
    </row>
    <row r="349" ht="15" customHeight="1">
      <c r="A349" t="inlineStr">
        <is>
          <t>A 5884-2023</t>
        </is>
      </c>
      <c r="B349" s="1" t="n">
        <v>44963</v>
      </c>
      <c r="C349" s="1" t="n">
        <v>45963</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12654-2025</t>
        </is>
      </c>
      <c r="B350" s="1" t="n">
        <v>45733.41601851852</v>
      </c>
      <c r="C350" s="1" t="n">
        <v>45963</v>
      </c>
      <c r="D350" t="inlineStr">
        <is>
          <t>UPPSALA LÄN</t>
        </is>
      </c>
      <c r="E350" t="inlineStr">
        <is>
          <t>ÖSTHAMMAR</t>
        </is>
      </c>
      <c r="G350" t="n">
        <v>9.9</v>
      </c>
      <c r="H350" t="n">
        <v>0</v>
      </c>
      <c r="I350" t="n">
        <v>0</v>
      </c>
      <c r="J350" t="n">
        <v>0</v>
      </c>
      <c r="K350" t="n">
        <v>0</v>
      </c>
      <c r="L350" t="n">
        <v>0</v>
      </c>
      <c r="M350" t="n">
        <v>0</v>
      </c>
      <c r="N350" t="n">
        <v>0</v>
      </c>
      <c r="O350" t="n">
        <v>0</v>
      </c>
      <c r="P350" t="n">
        <v>0</v>
      </c>
      <c r="Q350" t="n">
        <v>0</v>
      </c>
      <c r="R350" s="2" t="inlineStr"/>
    </row>
    <row r="351" ht="15" customHeight="1">
      <c r="A351" t="inlineStr">
        <is>
          <t>A 21133-2025</t>
        </is>
      </c>
      <c r="B351" s="1" t="n">
        <v>45778.415625</v>
      </c>
      <c r="C351" s="1" t="n">
        <v>45963</v>
      </c>
      <c r="D351" t="inlineStr">
        <is>
          <t>UPPSALA LÄN</t>
        </is>
      </c>
      <c r="E351" t="inlineStr">
        <is>
          <t>ÖSTHAMMAR</t>
        </is>
      </c>
      <c r="G351" t="n">
        <v>1.5</v>
      </c>
      <c r="H351" t="n">
        <v>0</v>
      </c>
      <c r="I351" t="n">
        <v>0</v>
      </c>
      <c r="J351" t="n">
        <v>0</v>
      </c>
      <c r="K351" t="n">
        <v>0</v>
      </c>
      <c r="L351" t="n">
        <v>0</v>
      </c>
      <c r="M351" t="n">
        <v>0</v>
      </c>
      <c r="N351" t="n">
        <v>0</v>
      </c>
      <c r="O351" t="n">
        <v>0</v>
      </c>
      <c r="P351" t="n">
        <v>0</v>
      </c>
      <c r="Q351" t="n">
        <v>0</v>
      </c>
      <c r="R351" s="2" t="inlineStr"/>
    </row>
    <row r="352" ht="15" customHeight="1">
      <c r="A352" t="inlineStr">
        <is>
          <t>A 21132-2025</t>
        </is>
      </c>
      <c r="B352" s="1" t="n">
        <v>45778.4108912037</v>
      </c>
      <c r="C352" s="1" t="n">
        <v>45963</v>
      </c>
      <c r="D352" t="inlineStr">
        <is>
          <t>UPPSALA LÄN</t>
        </is>
      </c>
      <c r="E352" t="inlineStr">
        <is>
          <t>ÖSTHAMMAR</t>
        </is>
      </c>
      <c r="G352" t="n">
        <v>10.1</v>
      </c>
      <c r="H352" t="n">
        <v>0</v>
      </c>
      <c r="I352" t="n">
        <v>0</v>
      </c>
      <c r="J352" t="n">
        <v>0</v>
      </c>
      <c r="K352" t="n">
        <v>0</v>
      </c>
      <c r="L352" t="n">
        <v>0</v>
      </c>
      <c r="M352" t="n">
        <v>0</v>
      </c>
      <c r="N352" t="n">
        <v>0</v>
      </c>
      <c r="O352" t="n">
        <v>0</v>
      </c>
      <c r="P352" t="n">
        <v>0</v>
      </c>
      <c r="Q352" t="n">
        <v>0</v>
      </c>
      <c r="R352" s="2" t="inlineStr"/>
    </row>
    <row r="353" ht="15" customHeight="1">
      <c r="A353" t="inlineStr">
        <is>
          <t>A 52650-2022</t>
        </is>
      </c>
      <c r="B353" s="1" t="n">
        <v>44874</v>
      </c>
      <c r="C353" s="1" t="n">
        <v>45963</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42262-2024</t>
        </is>
      </c>
      <c r="B354" s="1" t="n">
        <v>45562</v>
      </c>
      <c r="C354" s="1" t="n">
        <v>45963</v>
      </c>
      <c r="D354" t="inlineStr">
        <is>
          <t>UPPSALA LÄN</t>
        </is>
      </c>
      <c r="E354" t="inlineStr">
        <is>
          <t>ÖSTHAMMAR</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44807-2024</t>
        </is>
      </c>
      <c r="B355" s="1" t="n">
        <v>45574.65427083334</v>
      </c>
      <c r="C355" s="1" t="n">
        <v>45963</v>
      </c>
      <c r="D355" t="inlineStr">
        <is>
          <t>UPPSALA LÄN</t>
        </is>
      </c>
      <c r="E355" t="inlineStr">
        <is>
          <t>ÖSTHAMMAR</t>
        </is>
      </c>
      <c r="G355" t="n">
        <v>2.9</v>
      </c>
      <c r="H355" t="n">
        <v>0</v>
      </c>
      <c r="I355" t="n">
        <v>0</v>
      </c>
      <c r="J355" t="n">
        <v>0</v>
      </c>
      <c r="K355" t="n">
        <v>0</v>
      </c>
      <c r="L355" t="n">
        <v>0</v>
      </c>
      <c r="M355" t="n">
        <v>0</v>
      </c>
      <c r="N355" t="n">
        <v>0</v>
      </c>
      <c r="O355" t="n">
        <v>0</v>
      </c>
      <c r="P355" t="n">
        <v>0</v>
      </c>
      <c r="Q355" t="n">
        <v>0</v>
      </c>
      <c r="R355" s="2" t="inlineStr"/>
    </row>
    <row r="356" ht="15" customHeight="1">
      <c r="A356" t="inlineStr">
        <is>
          <t>A 32778-2023</t>
        </is>
      </c>
      <c r="B356" s="1" t="n">
        <v>45123.88789351852</v>
      </c>
      <c r="C356" s="1" t="n">
        <v>45963</v>
      </c>
      <c r="D356" t="inlineStr">
        <is>
          <t>UPPSALA LÄN</t>
        </is>
      </c>
      <c r="E356" t="inlineStr">
        <is>
          <t>ÖSTHAMMAR</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59731-2023</t>
        </is>
      </c>
      <c r="B357" s="1" t="n">
        <v>45257</v>
      </c>
      <c r="C357" s="1" t="n">
        <v>45963</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1436-2025</t>
        </is>
      </c>
      <c r="B358" s="1" t="n">
        <v>45669.67625</v>
      </c>
      <c r="C358" s="1" t="n">
        <v>45963</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1525-2025</t>
        </is>
      </c>
      <c r="B359" s="1" t="n">
        <v>45670.47300925926</v>
      </c>
      <c r="C359" s="1" t="n">
        <v>45963</v>
      </c>
      <c r="D359" t="inlineStr">
        <is>
          <t>UPPSALA LÄN</t>
        </is>
      </c>
      <c r="E359" t="inlineStr">
        <is>
          <t>ÖSTHAMMAR</t>
        </is>
      </c>
      <c r="F359" t="inlineStr">
        <is>
          <t>Bergvik skog öst AB</t>
        </is>
      </c>
      <c r="G359" t="n">
        <v>2</v>
      </c>
      <c r="H359" t="n">
        <v>0</v>
      </c>
      <c r="I359" t="n">
        <v>0</v>
      </c>
      <c r="J359" t="n">
        <v>0</v>
      </c>
      <c r="K359" t="n">
        <v>0</v>
      </c>
      <c r="L359" t="n">
        <v>0</v>
      </c>
      <c r="M359" t="n">
        <v>0</v>
      </c>
      <c r="N359" t="n">
        <v>0</v>
      </c>
      <c r="O359" t="n">
        <v>0</v>
      </c>
      <c r="P359" t="n">
        <v>0</v>
      </c>
      <c r="Q359" t="n">
        <v>0</v>
      </c>
      <c r="R359" s="2" t="inlineStr"/>
    </row>
    <row r="360" ht="15" customHeight="1">
      <c r="A360" t="inlineStr">
        <is>
          <t>A 28228-2022</t>
        </is>
      </c>
      <c r="B360" s="1" t="n">
        <v>44746.65873842593</v>
      </c>
      <c r="C360" s="1" t="n">
        <v>45963</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24367-2022</t>
        </is>
      </c>
      <c r="B361" s="1" t="n">
        <v>44726.42716435185</v>
      </c>
      <c r="C361" s="1" t="n">
        <v>45963</v>
      </c>
      <c r="D361" t="inlineStr">
        <is>
          <t>UPPSALA LÄN</t>
        </is>
      </c>
      <c r="E361" t="inlineStr">
        <is>
          <t>ÖSTHAMMAR</t>
        </is>
      </c>
      <c r="G361" t="n">
        <v>2.7</v>
      </c>
      <c r="H361" t="n">
        <v>0</v>
      </c>
      <c r="I361" t="n">
        <v>0</v>
      </c>
      <c r="J361" t="n">
        <v>0</v>
      </c>
      <c r="K361" t="n">
        <v>0</v>
      </c>
      <c r="L361" t="n">
        <v>0</v>
      </c>
      <c r="M361" t="n">
        <v>0</v>
      </c>
      <c r="N361" t="n">
        <v>0</v>
      </c>
      <c r="O361" t="n">
        <v>0</v>
      </c>
      <c r="P361" t="n">
        <v>0</v>
      </c>
      <c r="Q361" t="n">
        <v>0</v>
      </c>
      <c r="R361" s="2" t="inlineStr"/>
    </row>
    <row r="362" ht="15" customHeight="1">
      <c r="A362" t="inlineStr">
        <is>
          <t>A 5933-2022</t>
        </is>
      </c>
      <c r="B362" s="1" t="n">
        <v>44598.82957175926</v>
      </c>
      <c r="C362" s="1" t="n">
        <v>45963</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36954-2024</t>
        </is>
      </c>
      <c r="B363" s="1" t="n">
        <v>45538.71109953704</v>
      </c>
      <c r="C363" s="1" t="n">
        <v>45963</v>
      </c>
      <c r="D363" t="inlineStr">
        <is>
          <t>UPPSALA LÄN</t>
        </is>
      </c>
      <c r="E363" t="inlineStr">
        <is>
          <t>ÖSTHAMMAR</t>
        </is>
      </c>
      <c r="F363" t="inlineStr">
        <is>
          <t>Bergvik skog öst AB</t>
        </is>
      </c>
      <c r="G363" t="n">
        <v>5.1</v>
      </c>
      <c r="H363" t="n">
        <v>0</v>
      </c>
      <c r="I363" t="n">
        <v>0</v>
      </c>
      <c r="J363" t="n">
        <v>0</v>
      </c>
      <c r="K363" t="n">
        <v>0</v>
      </c>
      <c r="L363" t="n">
        <v>0</v>
      </c>
      <c r="M363" t="n">
        <v>0</v>
      </c>
      <c r="N363" t="n">
        <v>0</v>
      </c>
      <c r="O363" t="n">
        <v>0</v>
      </c>
      <c r="P363" t="n">
        <v>0</v>
      </c>
      <c r="Q363" t="n">
        <v>0</v>
      </c>
      <c r="R363" s="2" t="inlineStr"/>
    </row>
    <row r="364" ht="15" customHeight="1">
      <c r="A364" t="inlineStr">
        <is>
          <t>A 33685-2024</t>
        </is>
      </c>
      <c r="B364" s="1" t="n">
        <v>45520.51063657407</v>
      </c>
      <c r="C364" s="1" t="n">
        <v>45963</v>
      </c>
      <c r="D364" t="inlineStr">
        <is>
          <t>UPPSALA LÄN</t>
        </is>
      </c>
      <c r="E364" t="inlineStr">
        <is>
          <t>ÖSTHAMMAR</t>
        </is>
      </c>
      <c r="F364" t="inlineStr">
        <is>
          <t>Bergvik skog öst AB</t>
        </is>
      </c>
      <c r="G364" t="n">
        <v>3.8</v>
      </c>
      <c r="H364" t="n">
        <v>0</v>
      </c>
      <c r="I364" t="n">
        <v>0</v>
      </c>
      <c r="J364" t="n">
        <v>0</v>
      </c>
      <c r="K364" t="n">
        <v>0</v>
      </c>
      <c r="L364" t="n">
        <v>0</v>
      </c>
      <c r="M364" t="n">
        <v>0</v>
      </c>
      <c r="N364" t="n">
        <v>0</v>
      </c>
      <c r="O364" t="n">
        <v>0</v>
      </c>
      <c r="P364" t="n">
        <v>0</v>
      </c>
      <c r="Q364" t="n">
        <v>0</v>
      </c>
      <c r="R364" s="2" t="inlineStr"/>
    </row>
    <row r="365" ht="15" customHeight="1">
      <c r="A365" t="inlineStr">
        <is>
          <t>A 43655-2024</t>
        </is>
      </c>
      <c r="B365" s="1" t="n">
        <v>45569</v>
      </c>
      <c r="C365" s="1" t="n">
        <v>45963</v>
      </c>
      <c r="D365" t="inlineStr">
        <is>
          <t>UPPSALA LÄN</t>
        </is>
      </c>
      <c r="E365" t="inlineStr">
        <is>
          <t>ÖSTHAMMAR</t>
        </is>
      </c>
      <c r="G365" t="n">
        <v>2.1</v>
      </c>
      <c r="H365" t="n">
        <v>0</v>
      </c>
      <c r="I365" t="n">
        <v>0</v>
      </c>
      <c r="J365" t="n">
        <v>0</v>
      </c>
      <c r="K365" t="n">
        <v>0</v>
      </c>
      <c r="L365" t="n">
        <v>0</v>
      </c>
      <c r="M365" t="n">
        <v>0</v>
      </c>
      <c r="N365" t="n">
        <v>0</v>
      </c>
      <c r="O365" t="n">
        <v>0</v>
      </c>
      <c r="P365" t="n">
        <v>0</v>
      </c>
      <c r="Q365" t="n">
        <v>0</v>
      </c>
      <c r="R365" s="2" t="inlineStr"/>
    </row>
    <row r="366" ht="15" customHeight="1">
      <c r="A366" t="inlineStr">
        <is>
          <t>A 49831-2023</t>
        </is>
      </c>
      <c r="B366" s="1" t="n">
        <v>45212.71241898148</v>
      </c>
      <c r="C366" s="1" t="n">
        <v>45963</v>
      </c>
      <c r="D366" t="inlineStr">
        <is>
          <t>UPPSALA LÄN</t>
        </is>
      </c>
      <c r="E366" t="inlineStr">
        <is>
          <t>ÖSTHAMMAR</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35316-2024</t>
        </is>
      </c>
      <c r="B367" s="1" t="n">
        <v>45530.68873842592</v>
      </c>
      <c r="C367" s="1" t="n">
        <v>45963</v>
      </c>
      <c r="D367" t="inlineStr">
        <is>
          <t>UPPSALA LÄN</t>
        </is>
      </c>
      <c r="E367" t="inlineStr">
        <is>
          <t>ÖSTHAMMAR</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22488-2025</t>
        </is>
      </c>
      <c r="B368" s="1" t="n">
        <v>45786.64865740741</v>
      </c>
      <c r="C368" s="1" t="n">
        <v>45963</v>
      </c>
      <c r="D368" t="inlineStr">
        <is>
          <t>UPPSALA LÄN</t>
        </is>
      </c>
      <c r="E368" t="inlineStr">
        <is>
          <t>ÖSTHAMMAR</t>
        </is>
      </c>
      <c r="F368" t="inlineStr">
        <is>
          <t>Bergvik skog öst AB</t>
        </is>
      </c>
      <c r="G368" t="n">
        <v>14.9</v>
      </c>
      <c r="H368" t="n">
        <v>0</v>
      </c>
      <c r="I368" t="n">
        <v>0</v>
      </c>
      <c r="J368" t="n">
        <v>0</v>
      </c>
      <c r="K368" t="n">
        <v>0</v>
      </c>
      <c r="L368" t="n">
        <v>0</v>
      </c>
      <c r="M368" t="n">
        <v>0</v>
      </c>
      <c r="N368" t="n">
        <v>0</v>
      </c>
      <c r="O368" t="n">
        <v>0</v>
      </c>
      <c r="P368" t="n">
        <v>0</v>
      </c>
      <c r="Q368" t="n">
        <v>0</v>
      </c>
      <c r="R368" s="2" t="inlineStr"/>
    </row>
    <row r="369" ht="15" customHeight="1">
      <c r="A369" t="inlineStr">
        <is>
          <t>A 20072-2025</t>
        </is>
      </c>
      <c r="B369" s="1" t="n">
        <v>45772</v>
      </c>
      <c r="C369" s="1" t="n">
        <v>45963</v>
      </c>
      <c r="D369" t="inlineStr">
        <is>
          <t>UPPSALA LÄN</t>
        </is>
      </c>
      <c r="E369" t="inlineStr">
        <is>
          <t>ÖSTHAMMAR</t>
        </is>
      </c>
      <c r="G369" t="n">
        <v>3.1</v>
      </c>
      <c r="H369" t="n">
        <v>0</v>
      </c>
      <c r="I369" t="n">
        <v>0</v>
      </c>
      <c r="J369" t="n">
        <v>0</v>
      </c>
      <c r="K369" t="n">
        <v>0</v>
      </c>
      <c r="L369" t="n">
        <v>0</v>
      </c>
      <c r="M369" t="n">
        <v>0</v>
      </c>
      <c r="N369" t="n">
        <v>0</v>
      </c>
      <c r="O369" t="n">
        <v>0</v>
      </c>
      <c r="P369" t="n">
        <v>0</v>
      </c>
      <c r="Q369" t="n">
        <v>0</v>
      </c>
      <c r="R369" s="2" t="inlineStr"/>
    </row>
    <row r="370" ht="15" customHeight="1">
      <c r="A370" t="inlineStr">
        <is>
          <t>A 64774-2023</t>
        </is>
      </c>
      <c r="B370" s="1" t="n">
        <v>45282</v>
      </c>
      <c r="C370" s="1" t="n">
        <v>45963</v>
      </c>
      <c r="D370" t="inlineStr">
        <is>
          <t>UPPSALA LÄN</t>
        </is>
      </c>
      <c r="E370" t="inlineStr">
        <is>
          <t>ÖSTHAMMAR</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45561-2023</t>
        </is>
      </c>
      <c r="B371" s="1" t="n">
        <v>45194.59335648148</v>
      </c>
      <c r="C371" s="1" t="n">
        <v>45963</v>
      </c>
      <c r="D371" t="inlineStr">
        <is>
          <t>UPPSALA LÄN</t>
        </is>
      </c>
      <c r="E371" t="inlineStr">
        <is>
          <t>ÖSTHAMMAR</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14595-2023</t>
        </is>
      </c>
      <c r="B372" s="1" t="n">
        <v>45013.57858796296</v>
      </c>
      <c r="C372" s="1" t="n">
        <v>45963</v>
      </c>
      <c r="D372" t="inlineStr">
        <is>
          <t>UPPSALA LÄN</t>
        </is>
      </c>
      <c r="E372" t="inlineStr">
        <is>
          <t>ÖSTHAMMAR</t>
        </is>
      </c>
      <c r="G372" t="n">
        <v>5</v>
      </c>
      <c r="H372" t="n">
        <v>0</v>
      </c>
      <c r="I372" t="n">
        <v>0</v>
      </c>
      <c r="J372" t="n">
        <v>0</v>
      </c>
      <c r="K372" t="n">
        <v>0</v>
      </c>
      <c r="L372" t="n">
        <v>0</v>
      </c>
      <c r="M372" t="n">
        <v>0</v>
      </c>
      <c r="N372" t="n">
        <v>0</v>
      </c>
      <c r="O372" t="n">
        <v>0</v>
      </c>
      <c r="P372" t="n">
        <v>0</v>
      </c>
      <c r="Q372" t="n">
        <v>0</v>
      </c>
      <c r="R372" s="2" t="inlineStr"/>
    </row>
    <row r="373" ht="15" customHeight="1">
      <c r="A373" t="inlineStr">
        <is>
          <t>A 32483-2024</t>
        </is>
      </c>
      <c r="B373" s="1" t="n">
        <v>45513.36644675926</v>
      </c>
      <c r="C373" s="1" t="n">
        <v>45963</v>
      </c>
      <c r="D373" t="inlineStr">
        <is>
          <t>UPPSALA LÄN</t>
        </is>
      </c>
      <c r="E373" t="inlineStr">
        <is>
          <t>ÖSTHAMMAR</t>
        </is>
      </c>
      <c r="F373" t="inlineStr">
        <is>
          <t>Kyrkan</t>
        </is>
      </c>
      <c r="G373" t="n">
        <v>4.7</v>
      </c>
      <c r="H373" t="n">
        <v>0</v>
      </c>
      <c r="I373" t="n">
        <v>0</v>
      </c>
      <c r="J373" t="n">
        <v>0</v>
      </c>
      <c r="K373" t="n">
        <v>0</v>
      </c>
      <c r="L373" t="n">
        <v>0</v>
      </c>
      <c r="M373" t="n">
        <v>0</v>
      </c>
      <c r="N373" t="n">
        <v>0</v>
      </c>
      <c r="O373" t="n">
        <v>0</v>
      </c>
      <c r="P373" t="n">
        <v>0</v>
      </c>
      <c r="Q373" t="n">
        <v>0</v>
      </c>
      <c r="R373" s="2" t="inlineStr"/>
    </row>
    <row r="374" ht="15" customHeight="1">
      <c r="A374" t="inlineStr">
        <is>
          <t>A 38575-2024</t>
        </is>
      </c>
      <c r="B374" s="1" t="n">
        <v>45546.64221064815</v>
      </c>
      <c r="C374" s="1" t="n">
        <v>45963</v>
      </c>
      <c r="D374" t="inlineStr">
        <is>
          <t>UPPSALA LÄN</t>
        </is>
      </c>
      <c r="E374" t="inlineStr">
        <is>
          <t>ÖSTHAMMAR</t>
        </is>
      </c>
      <c r="F374" t="inlineStr">
        <is>
          <t>Bergvik skog öst AB</t>
        </is>
      </c>
      <c r="G374" t="n">
        <v>5.1</v>
      </c>
      <c r="H374" t="n">
        <v>0</v>
      </c>
      <c r="I374" t="n">
        <v>0</v>
      </c>
      <c r="J374" t="n">
        <v>0</v>
      </c>
      <c r="K374" t="n">
        <v>0</v>
      </c>
      <c r="L374" t="n">
        <v>0</v>
      </c>
      <c r="M374" t="n">
        <v>0</v>
      </c>
      <c r="N374" t="n">
        <v>0</v>
      </c>
      <c r="O374" t="n">
        <v>0</v>
      </c>
      <c r="P374" t="n">
        <v>0</v>
      </c>
      <c r="Q374" t="n">
        <v>0</v>
      </c>
      <c r="R374" s="2" t="inlineStr"/>
    </row>
    <row r="375" ht="15" customHeight="1">
      <c r="A375" t="inlineStr">
        <is>
          <t>A 43685-2024</t>
        </is>
      </c>
      <c r="B375" s="1" t="n">
        <v>45569</v>
      </c>
      <c r="C375" s="1" t="n">
        <v>45963</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44796-2024</t>
        </is>
      </c>
      <c r="B376" s="1" t="n">
        <v>45574</v>
      </c>
      <c r="C376" s="1" t="n">
        <v>45963</v>
      </c>
      <c r="D376" t="inlineStr">
        <is>
          <t>UPPSALA LÄN</t>
        </is>
      </c>
      <c r="E376" t="inlineStr">
        <is>
          <t>ÖSTHAMMAR</t>
        </is>
      </c>
      <c r="G376" t="n">
        <v>4.7</v>
      </c>
      <c r="H376" t="n">
        <v>0</v>
      </c>
      <c r="I376" t="n">
        <v>0</v>
      </c>
      <c r="J376" t="n">
        <v>0</v>
      </c>
      <c r="K376" t="n">
        <v>0</v>
      </c>
      <c r="L376" t="n">
        <v>0</v>
      </c>
      <c r="M376" t="n">
        <v>0</v>
      </c>
      <c r="N376" t="n">
        <v>0</v>
      </c>
      <c r="O376" t="n">
        <v>0</v>
      </c>
      <c r="P376" t="n">
        <v>0</v>
      </c>
      <c r="Q376" t="n">
        <v>0</v>
      </c>
      <c r="R376" s="2" t="inlineStr"/>
    </row>
    <row r="377" ht="15" customHeight="1">
      <c r="A377" t="inlineStr">
        <is>
          <t>A 16212-2021</t>
        </is>
      </c>
      <c r="B377" s="1" t="n">
        <v>44287</v>
      </c>
      <c r="C377" s="1" t="n">
        <v>45963</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44027-2024</t>
        </is>
      </c>
      <c r="B378" s="1" t="n">
        <v>45572</v>
      </c>
      <c r="C378" s="1" t="n">
        <v>45963</v>
      </c>
      <c r="D378" t="inlineStr">
        <is>
          <t>UPPSALA LÄN</t>
        </is>
      </c>
      <c r="E378" t="inlineStr">
        <is>
          <t>ÖSTHAMMAR</t>
        </is>
      </c>
      <c r="G378" t="n">
        <v>6</v>
      </c>
      <c r="H378" t="n">
        <v>0</v>
      </c>
      <c r="I378" t="n">
        <v>0</v>
      </c>
      <c r="J378" t="n">
        <v>0</v>
      </c>
      <c r="K378" t="n">
        <v>0</v>
      </c>
      <c r="L378" t="n">
        <v>0</v>
      </c>
      <c r="M378" t="n">
        <v>0</v>
      </c>
      <c r="N378" t="n">
        <v>0</v>
      </c>
      <c r="O378" t="n">
        <v>0</v>
      </c>
      <c r="P378" t="n">
        <v>0</v>
      </c>
      <c r="Q378" t="n">
        <v>0</v>
      </c>
      <c r="R378" s="2" t="inlineStr"/>
    </row>
    <row r="379" ht="15" customHeight="1">
      <c r="A379" t="inlineStr">
        <is>
          <t>A 12999-2022</t>
        </is>
      </c>
      <c r="B379" s="1" t="n">
        <v>44643.4372337963</v>
      </c>
      <c r="C379" s="1" t="n">
        <v>45963</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5931-2022</t>
        </is>
      </c>
      <c r="B380" s="1" t="n">
        <v>44598.82700231481</v>
      </c>
      <c r="C380" s="1" t="n">
        <v>45963</v>
      </c>
      <c r="D380" t="inlineStr">
        <is>
          <t>UPPSALA LÄN</t>
        </is>
      </c>
      <c r="E380" t="inlineStr">
        <is>
          <t>ÖSTHAMMAR</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27308-2023</t>
        </is>
      </c>
      <c r="B381" s="1" t="n">
        <v>45096.65381944444</v>
      </c>
      <c r="C381" s="1" t="n">
        <v>45963</v>
      </c>
      <c r="D381" t="inlineStr">
        <is>
          <t>UPPSALA LÄN</t>
        </is>
      </c>
      <c r="E381" t="inlineStr">
        <is>
          <t>ÖSTHAMMAR</t>
        </is>
      </c>
      <c r="F381" t="inlineStr">
        <is>
          <t>Bergvik skog öst AB</t>
        </is>
      </c>
      <c r="G381" t="n">
        <v>2.4</v>
      </c>
      <c r="H381" t="n">
        <v>0</v>
      </c>
      <c r="I381" t="n">
        <v>0</v>
      </c>
      <c r="J381" t="n">
        <v>0</v>
      </c>
      <c r="K381" t="n">
        <v>0</v>
      </c>
      <c r="L381" t="n">
        <v>0</v>
      </c>
      <c r="M381" t="n">
        <v>0</v>
      </c>
      <c r="N381" t="n">
        <v>0</v>
      </c>
      <c r="O381" t="n">
        <v>0</v>
      </c>
      <c r="P381" t="n">
        <v>0</v>
      </c>
      <c r="Q381" t="n">
        <v>0</v>
      </c>
      <c r="R381" s="2" t="inlineStr"/>
    </row>
    <row r="382" ht="15" customHeight="1">
      <c r="A382" t="inlineStr">
        <is>
          <t>A 43683-2024</t>
        </is>
      </c>
      <c r="B382" s="1" t="n">
        <v>45569.57518518518</v>
      </c>
      <c r="C382" s="1" t="n">
        <v>45963</v>
      </c>
      <c r="D382" t="inlineStr">
        <is>
          <t>UPPSALA LÄN</t>
        </is>
      </c>
      <c r="E382" t="inlineStr">
        <is>
          <t>ÖSTHAMMAR</t>
        </is>
      </c>
      <c r="G382" t="n">
        <v>4.7</v>
      </c>
      <c r="H382" t="n">
        <v>0</v>
      </c>
      <c r="I382" t="n">
        <v>0</v>
      </c>
      <c r="J382" t="n">
        <v>0</v>
      </c>
      <c r="K382" t="n">
        <v>0</v>
      </c>
      <c r="L382" t="n">
        <v>0</v>
      </c>
      <c r="M382" t="n">
        <v>0</v>
      </c>
      <c r="N382" t="n">
        <v>0</v>
      </c>
      <c r="O382" t="n">
        <v>0</v>
      </c>
      <c r="P382" t="n">
        <v>0</v>
      </c>
      <c r="Q382" t="n">
        <v>0</v>
      </c>
      <c r="R382" s="2" t="inlineStr"/>
    </row>
    <row r="383" ht="15" customHeight="1">
      <c r="A383" t="inlineStr">
        <is>
          <t>A 5254-2025</t>
        </is>
      </c>
      <c r="B383" s="1" t="n">
        <v>45692</v>
      </c>
      <c r="C383" s="1" t="n">
        <v>45963</v>
      </c>
      <c r="D383" t="inlineStr">
        <is>
          <t>UPPSALA LÄN</t>
        </is>
      </c>
      <c r="E383" t="inlineStr">
        <is>
          <t>ÖSTHAMMAR</t>
        </is>
      </c>
      <c r="G383" t="n">
        <v>5</v>
      </c>
      <c r="H383" t="n">
        <v>0</v>
      </c>
      <c r="I383" t="n">
        <v>0</v>
      </c>
      <c r="J383" t="n">
        <v>0</v>
      </c>
      <c r="K383" t="n">
        <v>0</v>
      </c>
      <c r="L383" t="n">
        <v>0</v>
      </c>
      <c r="M383" t="n">
        <v>0</v>
      </c>
      <c r="N383" t="n">
        <v>0</v>
      </c>
      <c r="O383" t="n">
        <v>0</v>
      </c>
      <c r="P383" t="n">
        <v>0</v>
      </c>
      <c r="Q383" t="n">
        <v>0</v>
      </c>
      <c r="R383" s="2" t="inlineStr"/>
    </row>
    <row r="384" ht="15" customHeight="1">
      <c r="A384" t="inlineStr">
        <is>
          <t>A 43993-2024</t>
        </is>
      </c>
      <c r="B384" s="1" t="n">
        <v>45572.52690972222</v>
      </c>
      <c r="C384" s="1" t="n">
        <v>45963</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59807-2020</t>
        </is>
      </c>
      <c r="B385" s="1" t="n">
        <v>44151</v>
      </c>
      <c r="C385" s="1" t="n">
        <v>45963</v>
      </c>
      <c r="D385" t="inlineStr">
        <is>
          <t>UPPSALA LÄN</t>
        </is>
      </c>
      <c r="E385" t="inlineStr">
        <is>
          <t>ÖSTHAMMAR</t>
        </is>
      </c>
      <c r="G385" t="n">
        <v>3.4</v>
      </c>
      <c r="H385" t="n">
        <v>0</v>
      </c>
      <c r="I385" t="n">
        <v>0</v>
      </c>
      <c r="J385" t="n">
        <v>0</v>
      </c>
      <c r="K385" t="n">
        <v>0</v>
      </c>
      <c r="L385" t="n">
        <v>0</v>
      </c>
      <c r="M385" t="n">
        <v>0</v>
      </c>
      <c r="N385" t="n">
        <v>0</v>
      </c>
      <c r="O385" t="n">
        <v>0</v>
      </c>
      <c r="P385" t="n">
        <v>0</v>
      </c>
      <c r="Q385" t="n">
        <v>0</v>
      </c>
      <c r="R385" s="2" t="inlineStr"/>
    </row>
    <row r="386" ht="15" customHeight="1">
      <c r="A386" t="inlineStr">
        <is>
          <t>A 22492-2025</t>
        </is>
      </c>
      <c r="B386" s="1" t="n">
        <v>45786.65072916666</v>
      </c>
      <c r="C386" s="1" t="n">
        <v>45963</v>
      </c>
      <c r="D386" t="inlineStr">
        <is>
          <t>UPPSALA LÄN</t>
        </is>
      </c>
      <c r="E386" t="inlineStr">
        <is>
          <t>ÖSTHAMMAR</t>
        </is>
      </c>
      <c r="F386" t="inlineStr">
        <is>
          <t>Bergvik skog öst AB</t>
        </is>
      </c>
      <c r="G386" t="n">
        <v>16.6</v>
      </c>
      <c r="H386" t="n">
        <v>0</v>
      </c>
      <c r="I386" t="n">
        <v>0</v>
      </c>
      <c r="J386" t="n">
        <v>0</v>
      </c>
      <c r="K386" t="n">
        <v>0</v>
      </c>
      <c r="L386" t="n">
        <v>0</v>
      </c>
      <c r="M386" t="n">
        <v>0</v>
      </c>
      <c r="N386" t="n">
        <v>0</v>
      </c>
      <c r="O386" t="n">
        <v>0</v>
      </c>
      <c r="P386" t="n">
        <v>0</v>
      </c>
      <c r="Q386" t="n">
        <v>0</v>
      </c>
      <c r="R386" s="2" t="inlineStr"/>
    </row>
    <row r="387" ht="15" customHeight="1">
      <c r="A387" t="inlineStr">
        <is>
          <t>A 22483-2025</t>
        </is>
      </c>
      <c r="B387" s="1" t="n">
        <v>45786.64141203704</v>
      </c>
      <c r="C387" s="1" t="n">
        <v>45963</v>
      </c>
      <c r="D387" t="inlineStr">
        <is>
          <t>UPPSALA LÄN</t>
        </is>
      </c>
      <c r="E387" t="inlineStr">
        <is>
          <t>ÖSTHAMMAR</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29873-2023</t>
        </is>
      </c>
      <c r="B388" s="1" t="n">
        <v>45107</v>
      </c>
      <c r="C388" s="1" t="n">
        <v>45963</v>
      </c>
      <c r="D388" t="inlineStr">
        <is>
          <t>UPPSALA LÄN</t>
        </is>
      </c>
      <c r="E388" t="inlineStr">
        <is>
          <t>ÖSTHAMMAR</t>
        </is>
      </c>
      <c r="F388" t="inlineStr">
        <is>
          <t>Naturvårdsverket</t>
        </is>
      </c>
      <c r="G388" t="n">
        <v>7.8</v>
      </c>
      <c r="H388" t="n">
        <v>0</v>
      </c>
      <c r="I388" t="n">
        <v>0</v>
      </c>
      <c r="J388" t="n">
        <v>0</v>
      </c>
      <c r="K388" t="n">
        <v>0</v>
      </c>
      <c r="L388" t="n">
        <v>0</v>
      </c>
      <c r="M388" t="n">
        <v>0</v>
      </c>
      <c r="N388" t="n">
        <v>0</v>
      </c>
      <c r="O388" t="n">
        <v>0</v>
      </c>
      <c r="P388" t="n">
        <v>0</v>
      </c>
      <c r="Q388" t="n">
        <v>0</v>
      </c>
      <c r="R388" s="2" t="inlineStr"/>
    </row>
    <row r="389" ht="15" customHeight="1">
      <c r="A389" t="inlineStr">
        <is>
          <t>A 59291-2023</t>
        </is>
      </c>
      <c r="B389" s="1" t="n">
        <v>45253.57559027777</v>
      </c>
      <c r="C389" s="1" t="n">
        <v>45963</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11036-2023</t>
        </is>
      </c>
      <c r="B390" s="1" t="n">
        <v>44991.9321412037</v>
      </c>
      <c r="C390" s="1" t="n">
        <v>45963</v>
      </c>
      <c r="D390" t="inlineStr">
        <is>
          <t>UPPSALA LÄN</t>
        </is>
      </c>
      <c r="E390" t="inlineStr">
        <is>
          <t>ÖSTHAMMAR</t>
        </is>
      </c>
      <c r="F390" t="inlineStr">
        <is>
          <t>Bergvik skog öst AB</t>
        </is>
      </c>
      <c r="G390" t="n">
        <v>3</v>
      </c>
      <c r="H390" t="n">
        <v>0</v>
      </c>
      <c r="I390" t="n">
        <v>0</v>
      </c>
      <c r="J390" t="n">
        <v>0</v>
      </c>
      <c r="K390" t="n">
        <v>0</v>
      </c>
      <c r="L390" t="n">
        <v>0</v>
      </c>
      <c r="M390" t="n">
        <v>0</v>
      </c>
      <c r="N390" t="n">
        <v>0</v>
      </c>
      <c r="O390" t="n">
        <v>0</v>
      </c>
      <c r="P390" t="n">
        <v>0</v>
      </c>
      <c r="Q390" t="n">
        <v>0</v>
      </c>
      <c r="R390" s="2" t="inlineStr"/>
    </row>
    <row r="391" ht="15" customHeight="1">
      <c r="A391" t="inlineStr">
        <is>
          <t>A 61062-2023</t>
        </is>
      </c>
      <c r="B391" s="1" t="n">
        <v>45259</v>
      </c>
      <c r="C391" s="1" t="n">
        <v>45963</v>
      </c>
      <c r="D391" t="inlineStr">
        <is>
          <t>UPPSALA LÄN</t>
        </is>
      </c>
      <c r="E391" t="inlineStr">
        <is>
          <t>ÖSTHAMMAR</t>
        </is>
      </c>
      <c r="G391" t="n">
        <v>5.3</v>
      </c>
      <c r="H391" t="n">
        <v>0</v>
      </c>
      <c r="I391" t="n">
        <v>0</v>
      </c>
      <c r="J391" t="n">
        <v>0</v>
      </c>
      <c r="K391" t="n">
        <v>0</v>
      </c>
      <c r="L391" t="n">
        <v>0</v>
      </c>
      <c r="M391" t="n">
        <v>0</v>
      </c>
      <c r="N391" t="n">
        <v>0</v>
      </c>
      <c r="O391" t="n">
        <v>0</v>
      </c>
      <c r="P391" t="n">
        <v>0</v>
      </c>
      <c r="Q391" t="n">
        <v>0</v>
      </c>
      <c r="R391" s="2" t="inlineStr"/>
    </row>
    <row r="392" ht="15" customHeight="1">
      <c r="A392" t="inlineStr">
        <is>
          <t>A 55100-2024</t>
        </is>
      </c>
      <c r="B392" s="1" t="n">
        <v>45621.4405787037</v>
      </c>
      <c r="C392" s="1" t="n">
        <v>45963</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32884-2024</t>
        </is>
      </c>
      <c r="B393" s="1" t="n">
        <v>45516.72097222223</v>
      </c>
      <c r="C393" s="1" t="n">
        <v>45963</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64586-2021</t>
        </is>
      </c>
      <c r="B394" s="1" t="n">
        <v>44511</v>
      </c>
      <c r="C394" s="1" t="n">
        <v>45963</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6206-2022</t>
        </is>
      </c>
      <c r="B395" s="1" t="n">
        <v>44600.35755787037</v>
      </c>
      <c r="C395" s="1" t="n">
        <v>45963</v>
      </c>
      <c r="D395" t="inlineStr">
        <is>
          <t>UPPSALA LÄN</t>
        </is>
      </c>
      <c r="E395" t="inlineStr">
        <is>
          <t>ÖSTHAMMAR</t>
        </is>
      </c>
      <c r="G395" t="n">
        <v>7.4</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44533.44887731481</v>
      </c>
      <c r="C396" s="1" t="n">
        <v>45963</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31669-2022</t>
        </is>
      </c>
      <c r="B397" s="1" t="n">
        <v>44775</v>
      </c>
      <c r="C397" s="1" t="n">
        <v>45963</v>
      </c>
      <c r="D397" t="inlineStr">
        <is>
          <t>UPPSALA LÄN</t>
        </is>
      </c>
      <c r="E397" t="inlineStr">
        <is>
          <t>ÖSTHAMMAR</t>
        </is>
      </c>
      <c r="G397" t="n">
        <v>6</v>
      </c>
      <c r="H397" t="n">
        <v>0</v>
      </c>
      <c r="I397" t="n">
        <v>0</v>
      </c>
      <c r="J397" t="n">
        <v>0</v>
      </c>
      <c r="K397" t="n">
        <v>0</v>
      </c>
      <c r="L397" t="n">
        <v>0</v>
      </c>
      <c r="M397" t="n">
        <v>0</v>
      </c>
      <c r="N397" t="n">
        <v>0</v>
      </c>
      <c r="O397" t="n">
        <v>0</v>
      </c>
      <c r="P397" t="n">
        <v>0</v>
      </c>
      <c r="Q397" t="n">
        <v>0</v>
      </c>
      <c r="R397" s="2" t="inlineStr"/>
    </row>
    <row r="398" ht="15" customHeight="1">
      <c r="A398" t="inlineStr">
        <is>
          <t>A 73982-2021</t>
        </is>
      </c>
      <c r="B398" s="1" t="n">
        <v>44555.80339120371</v>
      </c>
      <c r="C398" s="1" t="n">
        <v>45963</v>
      </c>
      <c r="D398" t="inlineStr">
        <is>
          <t>UPPSALA LÄN</t>
        </is>
      </c>
      <c r="E398" t="inlineStr">
        <is>
          <t>ÖSTHAMMAR</t>
        </is>
      </c>
      <c r="G398" t="n">
        <v>0.9</v>
      </c>
      <c r="H398" t="n">
        <v>0</v>
      </c>
      <c r="I398" t="n">
        <v>0</v>
      </c>
      <c r="J398" t="n">
        <v>0</v>
      </c>
      <c r="K398" t="n">
        <v>0</v>
      </c>
      <c r="L398" t="n">
        <v>0</v>
      </c>
      <c r="M398" t="n">
        <v>0</v>
      </c>
      <c r="N398" t="n">
        <v>0</v>
      </c>
      <c r="O398" t="n">
        <v>0</v>
      </c>
      <c r="P398" t="n">
        <v>0</v>
      </c>
      <c r="Q398" t="n">
        <v>0</v>
      </c>
      <c r="R398" s="2" t="inlineStr"/>
    </row>
    <row r="399" ht="15" customHeight="1">
      <c r="A399" t="inlineStr">
        <is>
          <t>A 18094-2025</t>
        </is>
      </c>
      <c r="B399" s="1" t="n">
        <v>45761.54710648148</v>
      </c>
      <c r="C399" s="1" t="n">
        <v>45963</v>
      </c>
      <c r="D399" t="inlineStr">
        <is>
          <t>UPPSALA LÄN</t>
        </is>
      </c>
      <c r="E399" t="inlineStr">
        <is>
          <t>ÖSTHAMMAR</t>
        </is>
      </c>
      <c r="F399" t="inlineStr">
        <is>
          <t>Bergvik skog öst AB</t>
        </is>
      </c>
      <c r="G399" t="n">
        <v>6.5</v>
      </c>
      <c r="H399" t="n">
        <v>0</v>
      </c>
      <c r="I399" t="n">
        <v>0</v>
      </c>
      <c r="J399" t="n">
        <v>0</v>
      </c>
      <c r="K399" t="n">
        <v>0</v>
      </c>
      <c r="L399" t="n">
        <v>0</v>
      </c>
      <c r="M399" t="n">
        <v>0</v>
      </c>
      <c r="N399" t="n">
        <v>0</v>
      </c>
      <c r="O399" t="n">
        <v>0</v>
      </c>
      <c r="P399" t="n">
        <v>0</v>
      </c>
      <c r="Q399" t="n">
        <v>0</v>
      </c>
      <c r="R399" s="2" t="inlineStr"/>
    </row>
    <row r="400" ht="15" customHeight="1">
      <c r="A400" t="inlineStr">
        <is>
          <t>A 23305-2025</t>
        </is>
      </c>
      <c r="B400" s="1" t="n">
        <v>45791.60127314815</v>
      </c>
      <c r="C400" s="1" t="n">
        <v>45963</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45963</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4984-2024</t>
        </is>
      </c>
      <c r="B402" s="1" t="n">
        <v>45329</v>
      </c>
      <c r="C402" s="1" t="n">
        <v>45963</v>
      </c>
      <c r="D402" t="inlineStr">
        <is>
          <t>UPPSALA LÄN</t>
        </is>
      </c>
      <c r="E402" t="inlineStr">
        <is>
          <t>ÖSTHAMMAR</t>
        </is>
      </c>
      <c r="G402" t="n">
        <v>2.2</v>
      </c>
      <c r="H402" t="n">
        <v>0</v>
      </c>
      <c r="I402" t="n">
        <v>0</v>
      </c>
      <c r="J402" t="n">
        <v>0</v>
      </c>
      <c r="K402" t="n">
        <v>0</v>
      </c>
      <c r="L402" t="n">
        <v>0</v>
      </c>
      <c r="M402" t="n">
        <v>0</v>
      </c>
      <c r="N402" t="n">
        <v>0</v>
      </c>
      <c r="O402" t="n">
        <v>0</v>
      </c>
      <c r="P402" t="n">
        <v>0</v>
      </c>
      <c r="Q402" t="n">
        <v>0</v>
      </c>
      <c r="R402" s="2" t="inlineStr"/>
    </row>
    <row r="403" ht="15" customHeight="1">
      <c r="A403" t="inlineStr">
        <is>
          <t>A 21624-2023</t>
        </is>
      </c>
      <c r="B403" s="1" t="n">
        <v>45063.65543981481</v>
      </c>
      <c r="C403" s="1" t="n">
        <v>45963</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41996-2024</t>
        </is>
      </c>
      <c r="B404" s="1" t="n">
        <v>45561</v>
      </c>
      <c r="C404" s="1" t="n">
        <v>45963</v>
      </c>
      <c r="D404" t="inlineStr">
        <is>
          <t>UPPSALA LÄN</t>
        </is>
      </c>
      <c r="E404" t="inlineStr">
        <is>
          <t>ÖSTHAMMAR</t>
        </is>
      </c>
      <c r="F404" t="inlineStr">
        <is>
          <t>Bergvik skog öst AB</t>
        </is>
      </c>
      <c r="G404" t="n">
        <v>0.9</v>
      </c>
      <c r="H404" t="n">
        <v>0</v>
      </c>
      <c r="I404" t="n">
        <v>0</v>
      </c>
      <c r="J404" t="n">
        <v>0</v>
      </c>
      <c r="K404" t="n">
        <v>0</v>
      </c>
      <c r="L404" t="n">
        <v>0</v>
      </c>
      <c r="M404" t="n">
        <v>0</v>
      </c>
      <c r="N404" t="n">
        <v>0</v>
      </c>
      <c r="O404" t="n">
        <v>0</v>
      </c>
      <c r="P404" t="n">
        <v>0</v>
      </c>
      <c r="Q404" t="n">
        <v>0</v>
      </c>
      <c r="R404" s="2" t="inlineStr"/>
    </row>
    <row r="405" ht="15" customHeight="1">
      <c r="A405" t="inlineStr">
        <is>
          <t>A 20326-2021</t>
        </is>
      </c>
      <c r="B405" s="1" t="n">
        <v>44308</v>
      </c>
      <c r="C405" s="1" t="n">
        <v>45963</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23742-2024</t>
        </is>
      </c>
      <c r="B406" s="1" t="n">
        <v>45455</v>
      </c>
      <c r="C406" s="1" t="n">
        <v>45963</v>
      </c>
      <c r="D406" t="inlineStr">
        <is>
          <t>UPPSALA LÄN</t>
        </is>
      </c>
      <c r="E406" t="inlineStr">
        <is>
          <t>ÖSTHAMMAR</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6106-2024</t>
        </is>
      </c>
      <c r="B407" s="1" t="n">
        <v>45337.36831018519</v>
      </c>
      <c r="C407" s="1" t="n">
        <v>45963</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9542-2023</t>
        </is>
      </c>
      <c r="B408" s="1" t="n">
        <v>44981</v>
      </c>
      <c r="C408" s="1" t="n">
        <v>45963</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1584-2025</t>
        </is>
      </c>
      <c r="B409" s="1" t="n">
        <v>45670</v>
      </c>
      <c r="C409" s="1" t="n">
        <v>45963</v>
      </c>
      <c r="D409" t="inlineStr">
        <is>
          <t>UPPSALA LÄN</t>
        </is>
      </c>
      <c r="E409" t="inlineStr">
        <is>
          <t>ÖSTHAMMAR</t>
        </is>
      </c>
      <c r="G409" t="n">
        <v>0.7</v>
      </c>
      <c r="H409" t="n">
        <v>0</v>
      </c>
      <c r="I409" t="n">
        <v>0</v>
      </c>
      <c r="J409" t="n">
        <v>0</v>
      </c>
      <c r="K409" t="n">
        <v>0</v>
      </c>
      <c r="L409" t="n">
        <v>0</v>
      </c>
      <c r="M409" t="n">
        <v>0</v>
      </c>
      <c r="N409" t="n">
        <v>0</v>
      </c>
      <c r="O409" t="n">
        <v>0</v>
      </c>
      <c r="P409" t="n">
        <v>0</v>
      </c>
      <c r="Q409" t="n">
        <v>0</v>
      </c>
      <c r="R409" s="2" t="inlineStr"/>
    </row>
    <row r="410" ht="15" customHeight="1">
      <c r="A410" t="inlineStr">
        <is>
          <t>A 30972-2024</t>
        </is>
      </c>
      <c r="B410" s="1" t="n">
        <v>45499.47106481482</v>
      </c>
      <c r="C410" s="1" t="n">
        <v>45963</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24160-2024</t>
        </is>
      </c>
      <c r="B411" s="1" t="n">
        <v>45456</v>
      </c>
      <c r="C411" s="1" t="n">
        <v>45963</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36343-2022</t>
        </is>
      </c>
      <c r="B412" s="1" t="n">
        <v>44803.78524305556</v>
      </c>
      <c r="C412" s="1" t="n">
        <v>45963</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16933-2022</t>
        </is>
      </c>
      <c r="B413" s="1" t="n">
        <v>44676</v>
      </c>
      <c r="C413" s="1" t="n">
        <v>45963</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24415-2025</t>
        </is>
      </c>
      <c r="B414" s="1" t="n">
        <v>45797.67381944445</v>
      </c>
      <c r="C414" s="1" t="n">
        <v>45963</v>
      </c>
      <c r="D414" t="inlineStr">
        <is>
          <t>UPPSALA LÄN</t>
        </is>
      </c>
      <c r="E414" t="inlineStr">
        <is>
          <t>ÖSTHAMMAR</t>
        </is>
      </c>
      <c r="G414" t="n">
        <v>0.8</v>
      </c>
      <c r="H414" t="n">
        <v>0</v>
      </c>
      <c r="I414" t="n">
        <v>0</v>
      </c>
      <c r="J414" t="n">
        <v>0</v>
      </c>
      <c r="K414" t="n">
        <v>0</v>
      </c>
      <c r="L414" t="n">
        <v>0</v>
      </c>
      <c r="M414" t="n">
        <v>0</v>
      </c>
      <c r="N414" t="n">
        <v>0</v>
      </c>
      <c r="O414" t="n">
        <v>0</v>
      </c>
      <c r="P414" t="n">
        <v>0</v>
      </c>
      <c r="Q414" t="n">
        <v>0</v>
      </c>
      <c r="R414" s="2" t="inlineStr"/>
    </row>
    <row r="415" ht="15" customHeight="1">
      <c r="A415" t="inlineStr">
        <is>
          <t>A 48083-2024</t>
        </is>
      </c>
      <c r="B415" s="1" t="n">
        <v>45589.58766203704</v>
      </c>
      <c r="C415" s="1" t="n">
        <v>45963</v>
      </c>
      <c r="D415" t="inlineStr">
        <is>
          <t>UPPSALA LÄN</t>
        </is>
      </c>
      <c r="E415" t="inlineStr">
        <is>
          <t>ÖSTHAMMAR</t>
        </is>
      </c>
      <c r="G415" t="n">
        <v>3</v>
      </c>
      <c r="H415" t="n">
        <v>0</v>
      </c>
      <c r="I415" t="n">
        <v>0</v>
      </c>
      <c r="J415" t="n">
        <v>0</v>
      </c>
      <c r="K415" t="n">
        <v>0</v>
      </c>
      <c r="L415" t="n">
        <v>0</v>
      </c>
      <c r="M415" t="n">
        <v>0</v>
      </c>
      <c r="N415" t="n">
        <v>0</v>
      </c>
      <c r="O415" t="n">
        <v>0</v>
      </c>
      <c r="P415" t="n">
        <v>0</v>
      </c>
      <c r="Q415" t="n">
        <v>0</v>
      </c>
      <c r="R415" s="2" t="inlineStr"/>
    </row>
    <row r="416" ht="15" customHeight="1">
      <c r="A416" t="inlineStr">
        <is>
          <t>A 14269-2025</t>
        </is>
      </c>
      <c r="B416" s="1" t="n">
        <v>45740.64078703704</v>
      </c>
      <c r="C416" s="1" t="n">
        <v>45963</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65020-2021</t>
        </is>
      </c>
      <c r="B417" s="1" t="n">
        <v>44515</v>
      </c>
      <c r="C417" s="1" t="n">
        <v>45963</v>
      </c>
      <c r="D417" t="inlineStr">
        <is>
          <t>UPPSALA LÄN</t>
        </is>
      </c>
      <c r="E417" t="inlineStr">
        <is>
          <t>ÖSTHAMMAR</t>
        </is>
      </c>
      <c r="F417" t="inlineStr">
        <is>
          <t>Sveaskog</t>
        </is>
      </c>
      <c r="G417" t="n">
        <v>4.7</v>
      </c>
      <c r="H417" t="n">
        <v>0</v>
      </c>
      <c r="I417" t="n">
        <v>0</v>
      </c>
      <c r="J417" t="n">
        <v>0</v>
      </c>
      <c r="K417" t="n">
        <v>0</v>
      </c>
      <c r="L417" t="n">
        <v>0</v>
      </c>
      <c r="M417" t="n">
        <v>0</v>
      </c>
      <c r="N417" t="n">
        <v>0</v>
      </c>
      <c r="O417" t="n">
        <v>0</v>
      </c>
      <c r="P417" t="n">
        <v>0</v>
      </c>
      <c r="Q417" t="n">
        <v>0</v>
      </c>
      <c r="R417" s="2" t="inlineStr"/>
    </row>
    <row r="418" ht="15" customHeight="1">
      <c r="A418" t="inlineStr">
        <is>
          <t>A 23968-2025</t>
        </is>
      </c>
      <c r="B418" s="1" t="n">
        <v>45796</v>
      </c>
      <c r="C418" s="1" t="n">
        <v>45963</v>
      </c>
      <c r="D418" t="inlineStr">
        <is>
          <t>UPPSALA LÄN</t>
        </is>
      </c>
      <c r="E418" t="inlineStr">
        <is>
          <t>ÖSTHAMMAR</t>
        </is>
      </c>
      <c r="F418" t="inlineStr">
        <is>
          <t>Bergvik skog öst AB</t>
        </is>
      </c>
      <c r="G418" t="n">
        <v>7.5</v>
      </c>
      <c r="H418" t="n">
        <v>0</v>
      </c>
      <c r="I418" t="n">
        <v>0</v>
      </c>
      <c r="J418" t="n">
        <v>0</v>
      </c>
      <c r="K418" t="n">
        <v>0</v>
      </c>
      <c r="L418" t="n">
        <v>0</v>
      </c>
      <c r="M418" t="n">
        <v>0</v>
      </c>
      <c r="N418" t="n">
        <v>0</v>
      </c>
      <c r="O418" t="n">
        <v>0</v>
      </c>
      <c r="P418" t="n">
        <v>0</v>
      </c>
      <c r="Q418" t="n">
        <v>0</v>
      </c>
      <c r="R418" s="2" t="inlineStr"/>
    </row>
    <row r="419" ht="15" customHeight="1">
      <c r="A419" t="inlineStr">
        <is>
          <t>A 5855-2022</t>
        </is>
      </c>
      <c r="B419" s="1" t="n">
        <v>44596.63290509259</v>
      </c>
      <c r="C419" s="1" t="n">
        <v>45963</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13622-2025</t>
        </is>
      </c>
      <c r="B420" s="1" t="n">
        <v>45736</v>
      </c>
      <c r="C420" s="1" t="n">
        <v>45963</v>
      </c>
      <c r="D420" t="inlineStr">
        <is>
          <t>UPPSALA LÄN</t>
        </is>
      </c>
      <c r="E420" t="inlineStr">
        <is>
          <t>ÖSTHAMMAR</t>
        </is>
      </c>
      <c r="G420" t="n">
        <v>2.6</v>
      </c>
      <c r="H420" t="n">
        <v>0</v>
      </c>
      <c r="I420" t="n">
        <v>0</v>
      </c>
      <c r="J420" t="n">
        <v>0</v>
      </c>
      <c r="K420" t="n">
        <v>0</v>
      </c>
      <c r="L420" t="n">
        <v>0</v>
      </c>
      <c r="M420" t="n">
        <v>0</v>
      </c>
      <c r="N420" t="n">
        <v>0</v>
      </c>
      <c r="O420" t="n">
        <v>0</v>
      </c>
      <c r="P420" t="n">
        <v>0</v>
      </c>
      <c r="Q420" t="n">
        <v>0</v>
      </c>
      <c r="R420" s="2" t="inlineStr"/>
    </row>
    <row r="421" ht="15" customHeight="1">
      <c r="A421" t="inlineStr">
        <is>
          <t>A 24174-2025</t>
        </is>
      </c>
      <c r="B421" s="1" t="n">
        <v>45796.69207175926</v>
      </c>
      <c r="C421" s="1" t="n">
        <v>45963</v>
      </c>
      <c r="D421" t="inlineStr">
        <is>
          <t>UPPSALA LÄN</t>
        </is>
      </c>
      <c r="E421" t="inlineStr">
        <is>
          <t>ÖSTHAMMAR</t>
        </is>
      </c>
      <c r="G421" t="n">
        <v>4.9</v>
      </c>
      <c r="H421" t="n">
        <v>0</v>
      </c>
      <c r="I421" t="n">
        <v>0</v>
      </c>
      <c r="J421" t="n">
        <v>0</v>
      </c>
      <c r="K421" t="n">
        <v>0</v>
      </c>
      <c r="L421" t="n">
        <v>0</v>
      </c>
      <c r="M421" t="n">
        <v>0</v>
      </c>
      <c r="N421" t="n">
        <v>0</v>
      </c>
      <c r="O421" t="n">
        <v>0</v>
      </c>
      <c r="P421" t="n">
        <v>0</v>
      </c>
      <c r="Q421" t="n">
        <v>0</v>
      </c>
      <c r="R421" s="2" t="inlineStr"/>
    </row>
    <row r="422" ht="15" customHeight="1">
      <c r="A422" t="inlineStr">
        <is>
          <t>A 24606-2024</t>
        </is>
      </c>
      <c r="B422" s="1" t="n">
        <v>45460</v>
      </c>
      <c r="C422" s="1" t="n">
        <v>45963</v>
      </c>
      <c r="D422" t="inlineStr">
        <is>
          <t>UPPSALA LÄN</t>
        </is>
      </c>
      <c r="E422" t="inlineStr">
        <is>
          <t>ÖSTHAMMAR</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56759-2024</t>
        </is>
      </c>
      <c r="B423" s="1" t="n">
        <v>45628.39877314815</v>
      </c>
      <c r="C423" s="1" t="n">
        <v>45963</v>
      </c>
      <c r="D423" t="inlineStr">
        <is>
          <t>UPPSALA LÄN</t>
        </is>
      </c>
      <c r="E423" t="inlineStr">
        <is>
          <t>ÖSTHAMMAR</t>
        </is>
      </c>
      <c r="G423" t="n">
        <v>4.7</v>
      </c>
      <c r="H423" t="n">
        <v>0</v>
      </c>
      <c r="I423" t="n">
        <v>0</v>
      </c>
      <c r="J423" t="n">
        <v>0</v>
      </c>
      <c r="K423" t="n">
        <v>0</v>
      </c>
      <c r="L423" t="n">
        <v>0</v>
      </c>
      <c r="M423" t="n">
        <v>0</v>
      </c>
      <c r="N423" t="n">
        <v>0</v>
      </c>
      <c r="O423" t="n">
        <v>0</v>
      </c>
      <c r="P423" t="n">
        <v>0</v>
      </c>
      <c r="Q423" t="n">
        <v>0</v>
      </c>
      <c r="R423" s="2" t="inlineStr"/>
    </row>
    <row r="424" ht="15" customHeight="1">
      <c r="A424" t="inlineStr">
        <is>
          <t>A 1238-2022</t>
        </is>
      </c>
      <c r="B424" s="1" t="n">
        <v>44572.5827662037</v>
      </c>
      <c r="C424" s="1" t="n">
        <v>45963</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10275-2025</t>
        </is>
      </c>
      <c r="B425" s="1" t="n">
        <v>45720.39715277778</v>
      </c>
      <c r="C425" s="1" t="n">
        <v>45963</v>
      </c>
      <c r="D425" t="inlineStr">
        <is>
          <t>UPPSALA LÄN</t>
        </is>
      </c>
      <c r="E425" t="inlineStr">
        <is>
          <t>ÖSTHAMMAR</t>
        </is>
      </c>
      <c r="G425" t="n">
        <v>6.2</v>
      </c>
      <c r="H425" t="n">
        <v>0</v>
      </c>
      <c r="I425" t="n">
        <v>0</v>
      </c>
      <c r="J425" t="n">
        <v>0</v>
      </c>
      <c r="K425" t="n">
        <v>0</v>
      </c>
      <c r="L425" t="n">
        <v>0</v>
      </c>
      <c r="M425" t="n">
        <v>0</v>
      </c>
      <c r="N425" t="n">
        <v>0</v>
      </c>
      <c r="O425" t="n">
        <v>0</v>
      </c>
      <c r="P425" t="n">
        <v>0</v>
      </c>
      <c r="Q425" t="n">
        <v>0</v>
      </c>
      <c r="R425" s="2" t="inlineStr"/>
    </row>
    <row r="426" ht="15" customHeight="1">
      <c r="A426" t="inlineStr">
        <is>
          <t>A 25049-2025</t>
        </is>
      </c>
      <c r="B426" s="1" t="n">
        <v>45799.66876157407</v>
      </c>
      <c r="C426" s="1" t="n">
        <v>45963</v>
      </c>
      <c r="D426" t="inlineStr">
        <is>
          <t>UPPSALA LÄN</t>
        </is>
      </c>
      <c r="E426" t="inlineStr">
        <is>
          <t>ÖSTHAMMAR</t>
        </is>
      </c>
      <c r="F426" t="inlineStr">
        <is>
          <t>Bergvik skog öst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38003-2024</t>
        </is>
      </c>
      <c r="B427" s="1" t="n">
        <v>45544</v>
      </c>
      <c r="C427" s="1" t="n">
        <v>45963</v>
      </c>
      <c r="D427" t="inlineStr">
        <is>
          <t>UPPSALA LÄN</t>
        </is>
      </c>
      <c r="E427" t="inlineStr">
        <is>
          <t>ÖSTHAMMAR</t>
        </is>
      </c>
      <c r="F427" t="inlineStr">
        <is>
          <t>Naturvårdsverket</t>
        </is>
      </c>
      <c r="G427" t="n">
        <v>4.2</v>
      </c>
      <c r="H427" t="n">
        <v>0</v>
      </c>
      <c r="I427" t="n">
        <v>0</v>
      </c>
      <c r="J427" t="n">
        <v>0</v>
      </c>
      <c r="K427" t="n">
        <v>0</v>
      </c>
      <c r="L427" t="n">
        <v>0</v>
      </c>
      <c r="M427" t="n">
        <v>0</v>
      </c>
      <c r="N427" t="n">
        <v>0</v>
      </c>
      <c r="O427" t="n">
        <v>0</v>
      </c>
      <c r="P427" t="n">
        <v>0</v>
      </c>
      <c r="Q427" t="n">
        <v>0</v>
      </c>
      <c r="R427" s="2" t="inlineStr"/>
    </row>
    <row r="428" ht="15" customHeight="1">
      <c r="A428" t="inlineStr">
        <is>
          <t>A 16185-2022</t>
        </is>
      </c>
      <c r="B428" s="1" t="n">
        <v>44669</v>
      </c>
      <c r="C428" s="1" t="n">
        <v>45963</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24316-2021</t>
        </is>
      </c>
      <c r="B429" s="1" t="n">
        <v>44337</v>
      </c>
      <c r="C429" s="1" t="n">
        <v>45963</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25252-2024</t>
        </is>
      </c>
      <c r="B430" s="1" t="n">
        <v>45462</v>
      </c>
      <c r="C430" s="1" t="n">
        <v>45963</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16531-2025</t>
        </is>
      </c>
      <c r="B431" s="1" t="n">
        <v>45751</v>
      </c>
      <c r="C431" s="1" t="n">
        <v>45963</v>
      </c>
      <c r="D431" t="inlineStr">
        <is>
          <t>UPPSALA LÄN</t>
        </is>
      </c>
      <c r="E431" t="inlineStr">
        <is>
          <t>ÖSTHAMMAR</t>
        </is>
      </c>
      <c r="G431" t="n">
        <v>3.3</v>
      </c>
      <c r="H431" t="n">
        <v>0</v>
      </c>
      <c r="I431" t="n">
        <v>0</v>
      </c>
      <c r="J431" t="n">
        <v>0</v>
      </c>
      <c r="K431" t="n">
        <v>0</v>
      </c>
      <c r="L431" t="n">
        <v>0</v>
      </c>
      <c r="M431" t="n">
        <v>0</v>
      </c>
      <c r="N431" t="n">
        <v>0</v>
      </c>
      <c r="O431" t="n">
        <v>0</v>
      </c>
      <c r="P431" t="n">
        <v>0</v>
      </c>
      <c r="Q431" t="n">
        <v>0</v>
      </c>
      <c r="R431" s="2" t="inlineStr"/>
    </row>
    <row r="432" ht="15" customHeight="1">
      <c r="A432" t="inlineStr">
        <is>
          <t>A 24493-2023</t>
        </is>
      </c>
      <c r="B432" s="1" t="n">
        <v>45082.62603009259</v>
      </c>
      <c r="C432" s="1" t="n">
        <v>45963</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7560-2023</t>
        </is>
      </c>
      <c r="B433" s="1" t="n">
        <v>44972.34811342593</v>
      </c>
      <c r="C433" s="1" t="n">
        <v>45963</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24944-2025</t>
        </is>
      </c>
      <c r="B434" s="1" t="n">
        <v>45799.56347222222</v>
      </c>
      <c r="C434" s="1" t="n">
        <v>45963</v>
      </c>
      <c r="D434" t="inlineStr">
        <is>
          <t>UPPSALA LÄN</t>
        </is>
      </c>
      <c r="E434" t="inlineStr">
        <is>
          <t>ÖSTHAMMAR</t>
        </is>
      </c>
      <c r="G434" t="n">
        <v>7.3</v>
      </c>
      <c r="H434" t="n">
        <v>0</v>
      </c>
      <c r="I434" t="n">
        <v>0</v>
      </c>
      <c r="J434" t="n">
        <v>0</v>
      </c>
      <c r="K434" t="n">
        <v>0</v>
      </c>
      <c r="L434" t="n">
        <v>0</v>
      </c>
      <c r="M434" t="n">
        <v>0</v>
      </c>
      <c r="N434" t="n">
        <v>0</v>
      </c>
      <c r="O434" t="n">
        <v>0</v>
      </c>
      <c r="P434" t="n">
        <v>0</v>
      </c>
      <c r="Q434" t="n">
        <v>0</v>
      </c>
      <c r="R434" s="2" t="inlineStr"/>
    </row>
    <row r="435" ht="15" customHeight="1">
      <c r="A435" t="inlineStr">
        <is>
          <t>A 19040-2023</t>
        </is>
      </c>
      <c r="B435" s="1" t="n">
        <v>45047</v>
      </c>
      <c r="C435" s="1" t="n">
        <v>45963</v>
      </c>
      <c r="D435" t="inlineStr">
        <is>
          <t>UPPSALA LÄN</t>
        </is>
      </c>
      <c r="E435" t="inlineStr">
        <is>
          <t>ÖSTHAMMAR</t>
        </is>
      </c>
      <c r="F435" t="inlineStr">
        <is>
          <t>Bergvik skog öst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31137-2022</t>
        </is>
      </c>
      <c r="B436" s="1" t="n">
        <v>44770.42166666667</v>
      </c>
      <c r="C436" s="1" t="n">
        <v>45963</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4004-2023</t>
        </is>
      </c>
      <c r="B437" s="1" t="n">
        <v>44952</v>
      </c>
      <c r="C437" s="1" t="n">
        <v>45963</v>
      </c>
      <c r="D437" t="inlineStr">
        <is>
          <t>UPPSALA LÄN</t>
        </is>
      </c>
      <c r="E437" t="inlineStr">
        <is>
          <t>ÖSTHAMMAR</t>
        </is>
      </c>
      <c r="G437" t="n">
        <v>4.1</v>
      </c>
      <c r="H437" t="n">
        <v>0</v>
      </c>
      <c r="I437" t="n">
        <v>0</v>
      </c>
      <c r="J437" t="n">
        <v>0</v>
      </c>
      <c r="K437" t="n">
        <v>0</v>
      </c>
      <c r="L437" t="n">
        <v>0</v>
      </c>
      <c r="M437" t="n">
        <v>0</v>
      </c>
      <c r="N437" t="n">
        <v>0</v>
      </c>
      <c r="O437" t="n">
        <v>0</v>
      </c>
      <c r="P437" t="n">
        <v>0</v>
      </c>
      <c r="Q437" t="n">
        <v>0</v>
      </c>
      <c r="R437" s="2" t="inlineStr"/>
    </row>
    <row r="438" ht="15" customHeight="1">
      <c r="A438" t="inlineStr">
        <is>
          <t>A 12945-2025</t>
        </is>
      </c>
      <c r="B438" s="1" t="n">
        <v>45734.38159722222</v>
      </c>
      <c r="C438" s="1" t="n">
        <v>45963</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34185-2024</t>
        </is>
      </c>
      <c r="B439" s="1" t="n">
        <v>45524</v>
      </c>
      <c r="C439" s="1" t="n">
        <v>45963</v>
      </c>
      <c r="D439" t="inlineStr">
        <is>
          <t>UPPSALA LÄN</t>
        </is>
      </c>
      <c r="E439" t="inlineStr">
        <is>
          <t>ÖSTHAMMAR</t>
        </is>
      </c>
      <c r="G439" t="n">
        <v>2.5</v>
      </c>
      <c r="H439" t="n">
        <v>0</v>
      </c>
      <c r="I439" t="n">
        <v>0</v>
      </c>
      <c r="J439" t="n">
        <v>0</v>
      </c>
      <c r="K439" t="n">
        <v>0</v>
      </c>
      <c r="L439" t="n">
        <v>0</v>
      </c>
      <c r="M439" t="n">
        <v>0</v>
      </c>
      <c r="N439" t="n">
        <v>0</v>
      </c>
      <c r="O439" t="n">
        <v>0</v>
      </c>
      <c r="P439" t="n">
        <v>0</v>
      </c>
      <c r="Q439" t="n">
        <v>0</v>
      </c>
      <c r="R439" s="2" t="inlineStr"/>
    </row>
    <row r="440" ht="15" customHeight="1">
      <c r="A440" t="inlineStr">
        <is>
          <t>A 16089-2025</t>
        </is>
      </c>
      <c r="B440" s="1" t="n">
        <v>45749.84232638889</v>
      </c>
      <c r="C440" s="1" t="n">
        <v>45963</v>
      </c>
      <c r="D440" t="inlineStr">
        <is>
          <t>UPPSALA LÄN</t>
        </is>
      </c>
      <c r="E440" t="inlineStr">
        <is>
          <t>ÖSTHAMMAR</t>
        </is>
      </c>
      <c r="F440" t="inlineStr">
        <is>
          <t>Bergvik skog öst AB</t>
        </is>
      </c>
      <c r="G440" t="n">
        <v>2.6</v>
      </c>
      <c r="H440" t="n">
        <v>0</v>
      </c>
      <c r="I440" t="n">
        <v>0</v>
      </c>
      <c r="J440" t="n">
        <v>0</v>
      </c>
      <c r="K440" t="n">
        <v>0</v>
      </c>
      <c r="L440" t="n">
        <v>0</v>
      </c>
      <c r="M440" t="n">
        <v>0</v>
      </c>
      <c r="N440" t="n">
        <v>0</v>
      </c>
      <c r="O440" t="n">
        <v>0</v>
      </c>
      <c r="P440" t="n">
        <v>0</v>
      </c>
      <c r="Q440" t="n">
        <v>0</v>
      </c>
      <c r="R440" s="2" t="inlineStr"/>
    </row>
    <row r="441" ht="15" customHeight="1">
      <c r="A441" t="inlineStr">
        <is>
          <t>A 74429-2021</t>
        </is>
      </c>
      <c r="B441" s="1" t="n">
        <v>44560.43136574074</v>
      </c>
      <c r="C441" s="1" t="n">
        <v>45963</v>
      </c>
      <c r="D441" t="inlineStr">
        <is>
          <t>UPPSALA LÄN</t>
        </is>
      </c>
      <c r="E441" t="inlineStr">
        <is>
          <t>ÖSTHAMMAR</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31549-2022</t>
        </is>
      </c>
      <c r="B442" s="1" t="n">
        <v>44775.400625</v>
      </c>
      <c r="C442" s="1" t="n">
        <v>45963</v>
      </c>
      <c r="D442" t="inlineStr">
        <is>
          <t>UPPSALA LÄN</t>
        </is>
      </c>
      <c r="E442" t="inlineStr">
        <is>
          <t>ÖSTHAMMAR</t>
        </is>
      </c>
      <c r="G442" t="n">
        <v>1.5</v>
      </c>
      <c r="H442" t="n">
        <v>0</v>
      </c>
      <c r="I442" t="n">
        <v>0</v>
      </c>
      <c r="J442" t="n">
        <v>0</v>
      </c>
      <c r="K442" t="n">
        <v>0</v>
      </c>
      <c r="L442" t="n">
        <v>0</v>
      </c>
      <c r="M442" t="n">
        <v>0</v>
      </c>
      <c r="N442" t="n">
        <v>0</v>
      </c>
      <c r="O442" t="n">
        <v>0</v>
      </c>
      <c r="P442" t="n">
        <v>0</v>
      </c>
      <c r="Q442" t="n">
        <v>0</v>
      </c>
      <c r="R442" s="2" t="inlineStr"/>
    </row>
    <row r="443" ht="15" customHeight="1">
      <c r="A443" t="inlineStr">
        <is>
          <t>A 30931-2021</t>
        </is>
      </c>
      <c r="B443" s="1" t="n">
        <v>44365</v>
      </c>
      <c r="C443" s="1" t="n">
        <v>45963</v>
      </c>
      <c r="D443" t="inlineStr">
        <is>
          <t>UPPSALA LÄN</t>
        </is>
      </c>
      <c r="E443" t="inlineStr">
        <is>
          <t>ÖSTHAMMAR</t>
        </is>
      </c>
      <c r="F443" t="inlineStr">
        <is>
          <t>Bergvik skog öst AB</t>
        </is>
      </c>
      <c r="G443" t="n">
        <v>2.3</v>
      </c>
      <c r="H443" t="n">
        <v>0</v>
      </c>
      <c r="I443" t="n">
        <v>0</v>
      </c>
      <c r="J443" t="n">
        <v>0</v>
      </c>
      <c r="K443" t="n">
        <v>0</v>
      </c>
      <c r="L443" t="n">
        <v>0</v>
      </c>
      <c r="M443" t="n">
        <v>0</v>
      </c>
      <c r="N443" t="n">
        <v>0</v>
      </c>
      <c r="O443" t="n">
        <v>0</v>
      </c>
      <c r="P443" t="n">
        <v>0</v>
      </c>
      <c r="Q443" t="n">
        <v>0</v>
      </c>
      <c r="R443" s="2" t="inlineStr"/>
    </row>
    <row r="444" ht="15" customHeight="1">
      <c r="A444" t="inlineStr">
        <is>
          <t>A 14170-2025</t>
        </is>
      </c>
      <c r="B444" s="1" t="n">
        <v>45740.51895833333</v>
      </c>
      <c r="C444" s="1" t="n">
        <v>45963</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58297-2024</t>
        </is>
      </c>
      <c r="B445" s="1" t="n">
        <v>45632.59780092593</v>
      </c>
      <c r="C445" s="1" t="n">
        <v>45963</v>
      </c>
      <c r="D445" t="inlineStr">
        <is>
          <t>UPPSALA LÄN</t>
        </is>
      </c>
      <c r="E445" t="inlineStr">
        <is>
          <t>ÖSTHAMMAR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17867-2024</t>
        </is>
      </c>
      <c r="B446" s="1" t="n">
        <v>45419.44106481481</v>
      </c>
      <c r="C446" s="1" t="n">
        <v>45963</v>
      </c>
      <c r="D446" t="inlineStr">
        <is>
          <t>UPPSALA LÄN</t>
        </is>
      </c>
      <c r="E446" t="inlineStr">
        <is>
          <t>ÖSTHAMMAR</t>
        </is>
      </c>
      <c r="G446" t="n">
        <v>7.2</v>
      </c>
      <c r="H446" t="n">
        <v>0</v>
      </c>
      <c r="I446" t="n">
        <v>0</v>
      </c>
      <c r="J446" t="n">
        <v>0</v>
      </c>
      <c r="K446" t="n">
        <v>0</v>
      </c>
      <c r="L446" t="n">
        <v>0</v>
      </c>
      <c r="M446" t="n">
        <v>0</v>
      </c>
      <c r="N446" t="n">
        <v>0</v>
      </c>
      <c r="O446" t="n">
        <v>0</v>
      </c>
      <c r="P446" t="n">
        <v>0</v>
      </c>
      <c r="Q446" t="n">
        <v>0</v>
      </c>
      <c r="R446" s="2" t="inlineStr"/>
    </row>
    <row r="447" ht="15" customHeight="1">
      <c r="A447" t="inlineStr">
        <is>
          <t>A 4228-2023</t>
        </is>
      </c>
      <c r="B447" s="1" t="n">
        <v>44953.48179398148</v>
      </c>
      <c r="C447" s="1" t="n">
        <v>45963</v>
      </c>
      <c r="D447" t="inlineStr">
        <is>
          <t>UPPSALA LÄN</t>
        </is>
      </c>
      <c r="E447" t="inlineStr">
        <is>
          <t>ÖSTHAMMAR</t>
        </is>
      </c>
      <c r="G447" t="n">
        <v>1</v>
      </c>
      <c r="H447" t="n">
        <v>0</v>
      </c>
      <c r="I447" t="n">
        <v>0</v>
      </c>
      <c r="J447" t="n">
        <v>0</v>
      </c>
      <c r="K447" t="n">
        <v>0</v>
      </c>
      <c r="L447" t="n">
        <v>0</v>
      </c>
      <c r="M447" t="n">
        <v>0</v>
      </c>
      <c r="N447" t="n">
        <v>0</v>
      </c>
      <c r="O447" t="n">
        <v>0</v>
      </c>
      <c r="P447" t="n">
        <v>0</v>
      </c>
      <c r="Q447" t="n">
        <v>0</v>
      </c>
      <c r="R447" s="2" t="inlineStr"/>
    </row>
    <row r="448" ht="15" customHeight="1">
      <c r="A448" t="inlineStr">
        <is>
          <t>A 26330-2025</t>
        </is>
      </c>
      <c r="B448" s="1" t="n">
        <v>45805.68263888889</v>
      </c>
      <c r="C448" s="1" t="n">
        <v>45963</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26319-2025</t>
        </is>
      </c>
      <c r="B449" s="1" t="n">
        <v>45805.65960648148</v>
      </c>
      <c r="C449" s="1" t="n">
        <v>45963</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36301-2023</t>
        </is>
      </c>
      <c r="B450" s="1" t="n">
        <v>45152.37296296296</v>
      </c>
      <c r="C450" s="1" t="n">
        <v>45963</v>
      </c>
      <c r="D450" t="inlineStr">
        <is>
          <t>UPPSALA LÄN</t>
        </is>
      </c>
      <c r="E450" t="inlineStr">
        <is>
          <t>ÖSTHAMMAR</t>
        </is>
      </c>
      <c r="G450" t="n">
        <v>0.9</v>
      </c>
      <c r="H450" t="n">
        <v>0</v>
      </c>
      <c r="I450" t="n">
        <v>0</v>
      </c>
      <c r="J450" t="n">
        <v>0</v>
      </c>
      <c r="K450" t="n">
        <v>0</v>
      </c>
      <c r="L450" t="n">
        <v>0</v>
      </c>
      <c r="M450" t="n">
        <v>0</v>
      </c>
      <c r="N450" t="n">
        <v>0</v>
      </c>
      <c r="O450" t="n">
        <v>0</v>
      </c>
      <c r="P450" t="n">
        <v>0</v>
      </c>
      <c r="Q450" t="n">
        <v>0</v>
      </c>
      <c r="R450" s="2" t="inlineStr"/>
    </row>
    <row r="451" ht="15" customHeight="1">
      <c r="A451" t="inlineStr">
        <is>
          <t>A 26328-2025</t>
        </is>
      </c>
      <c r="B451" s="1" t="n">
        <v>45805.67305555556</v>
      </c>
      <c r="C451" s="1" t="n">
        <v>45963</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26055-2025</t>
        </is>
      </c>
      <c r="B452" s="1" t="n">
        <v>45804.77559027778</v>
      </c>
      <c r="C452" s="1" t="n">
        <v>45963</v>
      </c>
      <c r="D452" t="inlineStr">
        <is>
          <t>UPPSALA LÄN</t>
        </is>
      </c>
      <c r="E452" t="inlineStr">
        <is>
          <t>ÖSTHAMMAR</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7195-2023</t>
        </is>
      </c>
      <c r="B453" s="1" t="n">
        <v>44970</v>
      </c>
      <c r="C453" s="1" t="n">
        <v>45963</v>
      </c>
      <c r="D453" t="inlineStr">
        <is>
          <t>UPPSALA LÄN</t>
        </is>
      </c>
      <c r="E453" t="inlineStr">
        <is>
          <t>ÖSTHAMMAR</t>
        </is>
      </c>
      <c r="G453" t="n">
        <v>1.3</v>
      </c>
      <c r="H453" t="n">
        <v>0</v>
      </c>
      <c r="I453" t="n">
        <v>0</v>
      </c>
      <c r="J453" t="n">
        <v>0</v>
      </c>
      <c r="K453" t="n">
        <v>0</v>
      </c>
      <c r="L453" t="n">
        <v>0</v>
      </c>
      <c r="M453" t="n">
        <v>0</v>
      </c>
      <c r="N453" t="n">
        <v>0</v>
      </c>
      <c r="O453" t="n">
        <v>0</v>
      </c>
      <c r="P453" t="n">
        <v>0</v>
      </c>
      <c r="Q453" t="n">
        <v>0</v>
      </c>
      <c r="R453" s="2" t="inlineStr"/>
    </row>
    <row r="454" ht="15" customHeight="1">
      <c r="A454" t="inlineStr">
        <is>
          <t>A 36857-2023</t>
        </is>
      </c>
      <c r="B454" s="1" t="n">
        <v>45154.55175925926</v>
      </c>
      <c r="C454" s="1" t="n">
        <v>45963</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26774-2023</t>
        </is>
      </c>
      <c r="B455" s="1" t="n">
        <v>45093.47947916666</v>
      </c>
      <c r="C455" s="1" t="n">
        <v>45963</v>
      </c>
      <c r="D455" t="inlineStr">
        <is>
          <t>UPPSALA LÄN</t>
        </is>
      </c>
      <c r="E455" t="inlineStr">
        <is>
          <t>ÖSTHAMMAR</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1800-2023</t>
        </is>
      </c>
      <c r="B456" s="1" t="n">
        <v>44938</v>
      </c>
      <c r="C456" s="1" t="n">
        <v>45963</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8699-2025</t>
        </is>
      </c>
      <c r="B457" s="1" t="n">
        <v>45712.47983796296</v>
      </c>
      <c r="C457" s="1" t="n">
        <v>45963</v>
      </c>
      <c r="D457" t="inlineStr">
        <is>
          <t>UPPSALA LÄN</t>
        </is>
      </c>
      <c r="E457" t="inlineStr">
        <is>
          <t>ÖSTHAMMAR</t>
        </is>
      </c>
      <c r="G457" t="n">
        <v>5.6</v>
      </c>
      <c r="H457" t="n">
        <v>0</v>
      </c>
      <c r="I457" t="n">
        <v>0</v>
      </c>
      <c r="J457" t="n">
        <v>0</v>
      </c>
      <c r="K457" t="n">
        <v>0</v>
      </c>
      <c r="L457" t="n">
        <v>0</v>
      </c>
      <c r="M457" t="n">
        <v>0</v>
      </c>
      <c r="N457" t="n">
        <v>0</v>
      </c>
      <c r="O457" t="n">
        <v>0</v>
      </c>
      <c r="P457" t="n">
        <v>0</v>
      </c>
      <c r="Q457" t="n">
        <v>0</v>
      </c>
      <c r="R457" s="2" t="inlineStr"/>
    </row>
    <row r="458" ht="15" customHeight="1">
      <c r="A458" t="inlineStr">
        <is>
          <t>A 8791-2025</t>
        </is>
      </c>
      <c r="B458" s="1" t="n">
        <v>45712</v>
      </c>
      <c r="C458" s="1" t="n">
        <v>45963</v>
      </c>
      <c r="D458" t="inlineStr">
        <is>
          <t>UPPSALA LÄN</t>
        </is>
      </c>
      <c r="E458" t="inlineStr">
        <is>
          <t>ÖSTHAMMAR</t>
        </is>
      </c>
      <c r="G458" t="n">
        <v>0.6</v>
      </c>
      <c r="H458" t="n">
        <v>0</v>
      </c>
      <c r="I458" t="n">
        <v>0</v>
      </c>
      <c r="J458" t="n">
        <v>0</v>
      </c>
      <c r="K458" t="n">
        <v>0</v>
      </c>
      <c r="L458" t="n">
        <v>0</v>
      </c>
      <c r="M458" t="n">
        <v>0</v>
      </c>
      <c r="N458" t="n">
        <v>0</v>
      </c>
      <c r="O458" t="n">
        <v>0</v>
      </c>
      <c r="P458" t="n">
        <v>0</v>
      </c>
      <c r="Q458" t="n">
        <v>0</v>
      </c>
      <c r="R458" s="2" t="inlineStr"/>
    </row>
    <row r="459" ht="15" customHeight="1">
      <c r="A459" t="inlineStr">
        <is>
          <t>A 31485-2023</t>
        </is>
      </c>
      <c r="B459" s="1" t="n">
        <v>45114</v>
      </c>
      <c r="C459" s="1" t="n">
        <v>45963</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26521-2025</t>
        </is>
      </c>
      <c r="B460" s="1" t="n">
        <v>45807.56275462963</v>
      </c>
      <c r="C460" s="1" t="n">
        <v>45963</v>
      </c>
      <c r="D460" t="inlineStr">
        <is>
          <t>UPPSALA LÄN</t>
        </is>
      </c>
      <c r="E460" t="inlineStr">
        <is>
          <t>ÖSTHAMMAR</t>
        </is>
      </c>
      <c r="G460" t="n">
        <v>1.1</v>
      </c>
      <c r="H460" t="n">
        <v>0</v>
      </c>
      <c r="I460" t="n">
        <v>0</v>
      </c>
      <c r="J460" t="n">
        <v>0</v>
      </c>
      <c r="K460" t="n">
        <v>0</v>
      </c>
      <c r="L460" t="n">
        <v>0</v>
      </c>
      <c r="M460" t="n">
        <v>0</v>
      </c>
      <c r="N460" t="n">
        <v>0</v>
      </c>
      <c r="O460" t="n">
        <v>0</v>
      </c>
      <c r="P460" t="n">
        <v>0</v>
      </c>
      <c r="Q460" t="n">
        <v>0</v>
      </c>
      <c r="R460" s="2" t="inlineStr"/>
    </row>
    <row r="461" ht="15" customHeight="1">
      <c r="A461" t="inlineStr">
        <is>
          <t>A 26526-2025</t>
        </is>
      </c>
      <c r="B461" s="1" t="n">
        <v>45807.56612268519</v>
      </c>
      <c r="C461" s="1" t="n">
        <v>45963</v>
      </c>
      <c r="D461" t="inlineStr">
        <is>
          <t>UPPSALA LÄN</t>
        </is>
      </c>
      <c r="E461" t="inlineStr">
        <is>
          <t>ÖSTHAMMAR</t>
        </is>
      </c>
      <c r="G461" t="n">
        <v>0.7</v>
      </c>
      <c r="H461" t="n">
        <v>0</v>
      </c>
      <c r="I461" t="n">
        <v>0</v>
      </c>
      <c r="J461" t="n">
        <v>0</v>
      </c>
      <c r="K461" t="n">
        <v>0</v>
      </c>
      <c r="L461" t="n">
        <v>0</v>
      </c>
      <c r="M461" t="n">
        <v>0</v>
      </c>
      <c r="N461" t="n">
        <v>0</v>
      </c>
      <c r="O461" t="n">
        <v>0</v>
      </c>
      <c r="P461" t="n">
        <v>0</v>
      </c>
      <c r="Q461" t="n">
        <v>0</v>
      </c>
      <c r="R461" s="2" t="inlineStr"/>
    </row>
    <row r="462" ht="15" customHeight="1">
      <c r="A462" t="inlineStr">
        <is>
          <t>A 25897-2023</t>
        </is>
      </c>
      <c r="B462" s="1" t="n">
        <v>45090.63300925926</v>
      </c>
      <c r="C462" s="1" t="n">
        <v>45963</v>
      </c>
      <c r="D462" t="inlineStr">
        <is>
          <t>UPPSALA LÄN</t>
        </is>
      </c>
      <c r="E462" t="inlineStr">
        <is>
          <t>ÖSTHAMMAR</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17644-2025</t>
        </is>
      </c>
      <c r="B463" s="1" t="n">
        <v>45758.32645833334</v>
      </c>
      <c r="C463" s="1" t="n">
        <v>45963</v>
      </c>
      <c r="D463" t="inlineStr">
        <is>
          <t>UPPSALA LÄN</t>
        </is>
      </c>
      <c r="E463" t="inlineStr">
        <is>
          <t>ÖSTHAMMAR</t>
        </is>
      </c>
      <c r="F463" t="inlineStr">
        <is>
          <t>Bergvik skog väst AB</t>
        </is>
      </c>
      <c r="G463" t="n">
        <v>6.1</v>
      </c>
      <c r="H463" t="n">
        <v>0</v>
      </c>
      <c r="I463" t="n">
        <v>0</v>
      </c>
      <c r="J463" t="n">
        <v>0</v>
      </c>
      <c r="K463" t="n">
        <v>0</v>
      </c>
      <c r="L463" t="n">
        <v>0</v>
      </c>
      <c r="M463" t="n">
        <v>0</v>
      </c>
      <c r="N463" t="n">
        <v>0</v>
      </c>
      <c r="O463" t="n">
        <v>0</v>
      </c>
      <c r="P463" t="n">
        <v>0</v>
      </c>
      <c r="Q463" t="n">
        <v>0</v>
      </c>
      <c r="R463" s="2" t="inlineStr"/>
    </row>
    <row r="464" ht="15" customHeight="1">
      <c r="A464" t="inlineStr">
        <is>
          <t>A 20324-2021</t>
        </is>
      </c>
      <c r="B464" s="1" t="n">
        <v>44308</v>
      </c>
      <c r="C464" s="1" t="n">
        <v>45963</v>
      </c>
      <c r="D464" t="inlineStr">
        <is>
          <t>UPPSALA LÄN</t>
        </is>
      </c>
      <c r="E464" t="inlineStr">
        <is>
          <t>ÖSTHAMMAR</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27131-2025</t>
        </is>
      </c>
      <c r="B465" s="1" t="n">
        <v>45811</v>
      </c>
      <c r="C465" s="1" t="n">
        <v>45963</v>
      </c>
      <c r="D465" t="inlineStr">
        <is>
          <t>UPPSALA LÄN</t>
        </is>
      </c>
      <c r="E465" t="inlineStr">
        <is>
          <t>ÖSTHAMMAR</t>
        </is>
      </c>
      <c r="G465" t="n">
        <v>1.9</v>
      </c>
      <c r="H465" t="n">
        <v>0</v>
      </c>
      <c r="I465" t="n">
        <v>0</v>
      </c>
      <c r="J465" t="n">
        <v>0</v>
      </c>
      <c r="K465" t="n">
        <v>0</v>
      </c>
      <c r="L465" t="n">
        <v>0</v>
      </c>
      <c r="M465" t="n">
        <v>0</v>
      </c>
      <c r="N465" t="n">
        <v>0</v>
      </c>
      <c r="O465" t="n">
        <v>0</v>
      </c>
      <c r="P465" t="n">
        <v>0</v>
      </c>
      <c r="Q465" t="n">
        <v>0</v>
      </c>
      <c r="R465" s="2" t="inlineStr"/>
    </row>
    <row r="466" ht="15" customHeight="1">
      <c r="A466" t="inlineStr">
        <is>
          <t>A 17652-2025</t>
        </is>
      </c>
      <c r="B466" s="1" t="n">
        <v>45758.33583333333</v>
      </c>
      <c r="C466" s="1" t="n">
        <v>45963</v>
      </c>
      <c r="D466" t="inlineStr">
        <is>
          <t>UPPSALA LÄN</t>
        </is>
      </c>
      <c r="E466" t="inlineStr">
        <is>
          <t>ÖSTHAMMAR</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4101-2022</t>
        </is>
      </c>
      <c r="B467" s="1" t="n">
        <v>44588</v>
      </c>
      <c r="C467" s="1" t="n">
        <v>45963</v>
      </c>
      <c r="D467" t="inlineStr">
        <is>
          <t>UPPSALA LÄN</t>
        </is>
      </c>
      <c r="E467" t="inlineStr">
        <is>
          <t>ÖSTHAMMAR</t>
        </is>
      </c>
      <c r="G467" t="n">
        <v>4.4</v>
      </c>
      <c r="H467" t="n">
        <v>0</v>
      </c>
      <c r="I467" t="n">
        <v>0</v>
      </c>
      <c r="J467" t="n">
        <v>0</v>
      </c>
      <c r="K467" t="n">
        <v>0</v>
      </c>
      <c r="L467" t="n">
        <v>0</v>
      </c>
      <c r="M467" t="n">
        <v>0</v>
      </c>
      <c r="N467" t="n">
        <v>0</v>
      </c>
      <c r="O467" t="n">
        <v>0</v>
      </c>
      <c r="P467" t="n">
        <v>0</v>
      </c>
      <c r="Q467" t="n">
        <v>0</v>
      </c>
      <c r="R467" s="2" t="inlineStr"/>
    </row>
    <row r="468" ht="15" customHeight="1">
      <c r="A468" t="inlineStr">
        <is>
          <t>A 6120-2024</t>
        </is>
      </c>
      <c r="B468" s="1" t="n">
        <v>45337.41784722222</v>
      </c>
      <c r="C468" s="1" t="n">
        <v>45963</v>
      </c>
      <c r="D468" t="inlineStr">
        <is>
          <t>UPPSALA LÄN</t>
        </is>
      </c>
      <c r="E468" t="inlineStr">
        <is>
          <t>ÖSTHAMMAR</t>
        </is>
      </c>
      <c r="G468" t="n">
        <v>0.7</v>
      </c>
      <c r="H468" t="n">
        <v>0</v>
      </c>
      <c r="I468" t="n">
        <v>0</v>
      </c>
      <c r="J468" t="n">
        <v>0</v>
      </c>
      <c r="K468" t="n">
        <v>0</v>
      </c>
      <c r="L468" t="n">
        <v>0</v>
      </c>
      <c r="M468" t="n">
        <v>0</v>
      </c>
      <c r="N468" t="n">
        <v>0</v>
      </c>
      <c r="O468" t="n">
        <v>0</v>
      </c>
      <c r="P468" t="n">
        <v>0</v>
      </c>
      <c r="Q468" t="n">
        <v>0</v>
      </c>
      <c r="R468" s="2" t="inlineStr"/>
    </row>
    <row r="469" ht="15" customHeight="1">
      <c r="A469" t="inlineStr">
        <is>
          <t>A 12528-2024</t>
        </is>
      </c>
      <c r="B469" s="1" t="n">
        <v>45379.61878472222</v>
      </c>
      <c r="C469" s="1" t="n">
        <v>45963</v>
      </c>
      <c r="D469" t="inlineStr">
        <is>
          <t>UPPSALA LÄN</t>
        </is>
      </c>
      <c r="E469" t="inlineStr">
        <is>
          <t>ÖSTHAMMAR</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27132-2025</t>
        </is>
      </c>
      <c r="B470" s="1" t="n">
        <v>45811</v>
      </c>
      <c r="C470" s="1" t="n">
        <v>45963</v>
      </c>
      <c r="D470" t="inlineStr">
        <is>
          <t>UPPSALA LÄN</t>
        </is>
      </c>
      <c r="E470" t="inlineStr">
        <is>
          <t>ÖSTHAMMAR</t>
        </is>
      </c>
      <c r="G470" t="n">
        <v>2.3</v>
      </c>
      <c r="H470" t="n">
        <v>0</v>
      </c>
      <c r="I470" t="n">
        <v>0</v>
      </c>
      <c r="J470" t="n">
        <v>0</v>
      </c>
      <c r="K470" t="n">
        <v>0</v>
      </c>
      <c r="L470" t="n">
        <v>0</v>
      </c>
      <c r="M470" t="n">
        <v>0</v>
      </c>
      <c r="N470" t="n">
        <v>0</v>
      </c>
      <c r="O470" t="n">
        <v>0</v>
      </c>
      <c r="P470" t="n">
        <v>0</v>
      </c>
      <c r="Q470" t="n">
        <v>0</v>
      </c>
      <c r="R470" s="2" t="inlineStr"/>
    </row>
    <row r="471" ht="15" customHeight="1">
      <c r="A471" t="inlineStr">
        <is>
          <t>A 357-2025</t>
        </is>
      </c>
      <c r="B471" s="1" t="n">
        <v>45659</v>
      </c>
      <c r="C471" s="1" t="n">
        <v>45963</v>
      </c>
      <c r="D471" t="inlineStr">
        <is>
          <t>UPPSALA LÄN</t>
        </is>
      </c>
      <c r="E471" t="inlineStr">
        <is>
          <t>ÖSTHAMMAR</t>
        </is>
      </c>
      <c r="G471" t="n">
        <v>15.8</v>
      </c>
      <c r="H471" t="n">
        <v>0</v>
      </c>
      <c r="I471" t="n">
        <v>0</v>
      </c>
      <c r="J471" t="n">
        <v>0</v>
      </c>
      <c r="K471" t="n">
        <v>0</v>
      </c>
      <c r="L471" t="n">
        <v>0</v>
      </c>
      <c r="M471" t="n">
        <v>0</v>
      </c>
      <c r="N471" t="n">
        <v>0</v>
      </c>
      <c r="O471" t="n">
        <v>0</v>
      </c>
      <c r="P471" t="n">
        <v>0</v>
      </c>
      <c r="Q471" t="n">
        <v>0</v>
      </c>
      <c r="R471" s="2" t="inlineStr"/>
    </row>
    <row r="472" ht="15" customHeight="1">
      <c r="A472" t="inlineStr">
        <is>
          <t>A 2839-2025</t>
        </is>
      </c>
      <c r="B472" s="1" t="n">
        <v>45677</v>
      </c>
      <c r="C472" s="1" t="n">
        <v>45963</v>
      </c>
      <c r="D472" t="inlineStr">
        <is>
          <t>UPPSALA LÄN</t>
        </is>
      </c>
      <c r="E472" t="inlineStr">
        <is>
          <t>ÖSTHAMMAR</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27058-2025</t>
        </is>
      </c>
      <c r="B473" s="1" t="n">
        <v>45811.63436342592</v>
      </c>
      <c r="C473" s="1" t="n">
        <v>45963</v>
      </c>
      <c r="D473" t="inlineStr">
        <is>
          <t>UPPSALA LÄN</t>
        </is>
      </c>
      <c r="E473" t="inlineStr">
        <is>
          <t>ÖSTHAMMAR</t>
        </is>
      </c>
      <c r="F473" t="inlineStr">
        <is>
          <t>Bergvik skog öst AB</t>
        </is>
      </c>
      <c r="G473" t="n">
        <v>5.7</v>
      </c>
      <c r="H473" t="n">
        <v>0</v>
      </c>
      <c r="I473" t="n">
        <v>0</v>
      </c>
      <c r="J473" t="n">
        <v>0</v>
      </c>
      <c r="K473" t="n">
        <v>0</v>
      </c>
      <c r="L473" t="n">
        <v>0</v>
      </c>
      <c r="M473" t="n">
        <v>0</v>
      </c>
      <c r="N473" t="n">
        <v>0</v>
      </c>
      <c r="O473" t="n">
        <v>0</v>
      </c>
      <c r="P473" t="n">
        <v>0</v>
      </c>
      <c r="Q473" t="n">
        <v>0</v>
      </c>
      <c r="R473" s="2" t="inlineStr"/>
    </row>
    <row r="474" ht="15" customHeight="1">
      <c r="A474" t="inlineStr">
        <is>
          <t>A 67848-2021</t>
        </is>
      </c>
      <c r="B474" s="1" t="n">
        <v>44525</v>
      </c>
      <c r="C474" s="1" t="n">
        <v>45963</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27347-2025</t>
        </is>
      </c>
      <c r="B475" s="1" t="n">
        <v>45812.62390046296</v>
      </c>
      <c r="C475" s="1" t="n">
        <v>45963</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9267-2024</t>
        </is>
      </c>
      <c r="B476" s="1" t="n">
        <v>45358</v>
      </c>
      <c r="C476" s="1" t="n">
        <v>45963</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33601-2024</t>
        </is>
      </c>
      <c r="B477" s="1" t="n">
        <v>45520</v>
      </c>
      <c r="C477" s="1" t="n">
        <v>45963</v>
      </c>
      <c r="D477" t="inlineStr">
        <is>
          <t>UPPSALA LÄN</t>
        </is>
      </c>
      <c r="E477" t="inlineStr">
        <is>
          <t>ÖSTHAMMAR</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27392-2025</t>
        </is>
      </c>
      <c r="B478" s="1" t="n">
        <v>45812.68268518519</v>
      </c>
      <c r="C478" s="1" t="n">
        <v>45963</v>
      </c>
      <c r="D478" t="inlineStr">
        <is>
          <t>UPPSALA LÄN</t>
        </is>
      </c>
      <c r="E478" t="inlineStr">
        <is>
          <t>ÖSTHAMMAR</t>
        </is>
      </c>
      <c r="F478" t="inlineStr">
        <is>
          <t>Bergvik skog öst AB</t>
        </is>
      </c>
      <c r="G478" t="n">
        <v>2.1</v>
      </c>
      <c r="H478" t="n">
        <v>0</v>
      </c>
      <c r="I478" t="n">
        <v>0</v>
      </c>
      <c r="J478" t="n">
        <v>0</v>
      </c>
      <c r="K478" t="n">
        <v>0</v>
      </c>
      <c r="L478" t="n">
        <v>0</v>
      </c>
      <c r="M478" t="n">
        <v>0</v>
      </c>
      <c r="N478" t="n">
        <v>0</v>
      </c>
      <c r="O478" t="n">
        <v>0</v>
      </c>
      <c r="P478" t="n">
        <v>0</v>
      </c>
      <c r="Q478" t="n">
        <v>0</v>
      </c>
      <c r="R478" s="2" t="inlineStr"/>
    </row>
    <row r="479" ht="15" customHeight="1">
      <c r="A479" t="inlineStr">
        <is>
          <t>A 38600-2023</t>
        </is>
      </c>
      <c r="B479" s="1" t="n">
        <v>45162</v>
      </c>
      <c r="C479" s="1" t="n">
        <v>45963</v>
      </c>
      <c r="D479" t="inlineStr">
        <is>
          <t>UPPSALA LÄN</t>
        </is>
      </c>
      <c r="E479" t="inlineStr">
        <is>
          <t>ÖSTHAMMAR</t>
        </is>
      </c>
      <c r="F479" t="inlineStr">
        <is>
          <t>Bergvik skog väst AB</t>
        </is>
      </c>
      <c r="G479" t="n">
        <v>0.1</v>
      </c>
      <c r="H479" t="n">
        <v>0</v>
      </c>
      <c r="I479" t="n">
        <v>0</v>
      </c>
      <c r="J479" t="n">
        <v>0</v>
      </c>
      <c r="K479" t="n">
        <v>0</v>
      </c>
      <c r="L479" t="n">
        <v>0</v>
      </c>
      <c r="M479" t="n">
        <v>0</v>
      </c>
      <c r="N479" t="n">
        <v>0</v>
      </c>
      <c r="O479" t="n">
        <v>0</v>
      </c>
      <c r="P479" t="n">
        <v>0</v>
      </c>
      <c r="Q479" t="n">
        <v>0</v>
      </c>
      <c r="R479" s="2" t="inlineStr"/>
    </row>
    <row r="480" ht="15" customHeight="1">
      <c r="A480" t="inlineStr">
        <is>
          <t>A 27352-2025</t>
        </is>
      </c>
      <c r="B480" s="1" t="n">
        <v>45812.62694444445</v>
      </c>
      <c r="C480" s="1" t="n">
        <v>45963</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27350-2025</t>
        </is>
      </c>
      <c r="B481" s="1" t="n">
        <v>45812.62571759259</v>
      </c>
      <c r="C481" s="1" t="n">
        <v>45963</v>
      </c>
      <c r="D481" t="inlineStr">
        <is>
          <t>UPPSALA LÄN</t>
        </is>
      </c>
      <c r="E481" t="inlineStr">
        <is>
          <t>ÖSTHAMMAR</t>
        </is>
      </c>
      <c r="G481" t="n">
        <v>1</v>
      </c>
      <c r="H481" t="n">
        <v>0</v>
      </c>
      <c r="I481" t="n">
        <v>0</v>
      </c>
      <c r="J481" t="n">
        <v>0</v>
      </c>
      <c r="K481" t="n">
        <v>0</v>
      </c>
      <c r="L481" t="n">
        <v>0</v>
      </c>
      <c r="M481" t="n">
        <v>0</v>
      </c>
      <c r="N481" t="n">
        <v>0</v>
      </c>
      <c r="O481" t="n">
        <v>0</v>
      </c>
      <c r="P481" t="n">
        <v>0</v>
      </c>
      <c r="Q481" t="n">
        <v>0</v>
      </c>
      <c r="R481" s="2" t="inlineStr"/>
    </row>
    <row r="482" ht="15" customHeight="1">
      <c r="A482" t="inlineStr">
        <is>
          <t>A 64811-2021</t>
        </is>
      </c>
      <c r="B482" s="1" t="n">
        <v>44512</v>
      </c>
      <c r="C482" s="1" t="n">
        <v>45963</v>
      </c>
      <c r="D482" t="inlineStr">
        <is>
          <t>UPPSALA LÄN</t>
        </is>
      </c>
      <c r="E482" t="inlineStr">
        <is>
          <t>ÖSTHAMMAR</t>
        </is>
      </c>
      <c r="G482" t="n">
        <v>4.2</v>
      </c>
      <c r="H482" t="n">
        <v>0</v>
      </c>
      <c r="I482" t="n">
        <v>0</v>
      </c>
      <c r="J482" t="n">
        <v>0</v>
      </c>
      <c r="K482" t="n">
        <v>0</v>
      </c>
      <c r="L482" t="n">
        <v>0</v>
      </c>
      <c r="M482" t="n">
        <v>0</v>
      </c>
      <c r="N482" t="n">
        <v>0</v>
      </c>
      <c r="O482" t="n">
        <v>0</v>
      </c>
      <c r="P482" t="n">
        <v>0</v>
      </c>
      <c r="Q482" t="n">
        <v>0</v>
      </c>
      <c r="R482" s="2" t="inlineStr"/>
    </row>
    <row r="483" ht="15" customHeight="1">
      <c r="A483" t="inlineStr">
        <is>
          <t>A 27383-2025</t>
        </is>
      </c>
      <c r="B483" s="1" t="n">
        <v>45812.66628472223</v>
      </c>
      <c r="C483" s="1" t="n">
        <v>45963</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27385-2025</t>
        </is>
      </c>
      <c r="B484" s="1" t="n">
        <v>45812.66829861111</v>
      </c>
      <c r="C484" s="1" t="n">
        <v>45963</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27395-2025</t>
        </is>
      </c>
      <c r="B485" s="1" t="n">
        <v>45812.6850462963</v>
      </c>
      <c r="C485" s="1" t="n">
        <v>45963</v>
      </c>
      <c r="D485" t="inlineStr">
        <is>
          <t>UPPSALA LÄN</t>
        </is>
      </c>
      <c r="E485" t="inlineStr">
        <is>
          <t>ÖSTHAMMAR</t>
        </is>
      </c>
      <c r="F485" t="inlineStr">
        <is>
          <t>Bergvik skog öst AB</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27563-2025</t>
        </is>
      </c>
      <c r="B486" s="1" t="n">
        <v>45813.48471064815</v>
      </c>
      <c r="C486" s="1" t="n">
        <v>45963</v>
      </c>
      <c r="D486" t="inlineStr">
        <is>
          <t>UPPSALA LÄN</t>
        </is>
      </c>
      <c r="E486" t="inlineStr">
        <is>
          <t>ÖSTHAMMAR</t>
        </is>
      </c>
      <c r="F486" t="inlineStr">
        <is>
          <t>Bergvik skog öst AB</t>
        </is>
      </c>
      <c r="G486" t="n">
        <v>4</v>
      </c>
      <c r="H486" t="n">
        <v>0</v>
      </c>
      <c r="I486" t="n">
        <v>0</v>
      </c>
      <c r="J486" t="n">
        <v>0</v>
      </c>
      <c r="K486" t="n">
        <v>0</v>
      </c>
      <c r="L486" t="n">
        <v>0</v>
      </c>
      <c r="M486" t="n">
        <v>0</v>
      </c>
      <c r="N486" t="n">
        <v>0</v>
      </c>
      <c r="O486" t="n">
        <v>0</v>
      </c>
      <c r="P486" t="n">
        <v>0</v>
      </c>
      <c r="Q486" t="n">
        <v>0</v>
      </c>
      <c r="R486" s="2" t="inlineStr"/>
    </row>
    <row r="487" ht="15" customHeight="1">
      <c r="A487" t="inlineStr">
        <is>
          <t>A 56382-2022</t>
        </is>
      </c>
      <c r="B487" s="1" t="n">
        <v>44890.75795138889</v>
      </c>
      <c r="C487" s="1" t="n">
        <v>45963</v>
      </c>
      <c r="D487" t="inlineStr">
        <is>
          <t>UPPSALA LÄN</t>
        </is>
      </c>
      <c r="E487" t="inlineStr">
        <is>
          <t>ÖSTHAMMAR</t>
        </is>
      </c>
      <c r="F487" t="inlineStr">
        <is>
          <t>Allmännings- och besparingsskogar</t>
        </is>
      </c>
      <c r="G487" t="n">
        <v>1.1</v>
      </c>
      <c r="H487" t="n">
        <v>0</v>
      </c>
      <c r="I487" t="n">
        <v>0</v>
      </c>
      <c r="J487" t="n">
        <v>0</v>
      </c>
      <c r="K487" t="n">
        <v>0</v>
      </c>
      <c r="L487" t="n">
        <v>0</v>
      </c>
      <c r="M487" t="n">
        <v>0</v>
      </c>
      <c r="N487" t="n">
        <v>0</v>
      </c>
      <c r="O487" t="n">
        <v>0</v>
      </c>
      <c r="P487" t="n">
        <v>0</v>
      </c>
      <c r="Q487" t="n">
        <v>0</v>
      </c>
      <c r="R487" s="2" t="inlineStr"/>
    </row>
    <row r="488" ht="15" customHeight="1">
      <c r="A488" t="inlineStr">
        <is>
          <t>A 23197-2023</t>
        </is>
      </c>
      <c r="B488" s="1" t="n">
        <v>45075</v>
      </c>
      <c r="C488" s="1" t="n">
        <v>45963</v>
      </c>
      <c r="D488" t="inlineStr">
        <is>
          <t>UPPSALA LÄN</t>
        </is>
      </c>
      <c r="E488" t="inlineStr">
        <is>
          <t>ÖSTHAMMAR</t>
        </is>
      </c>
      <c r="G488" t="n">
        <v>0.5</v>
      </c>
      <c r="H488" t="n">
        <v>0</v>
      </c>
      <c r="I488" t="n">
        <v>0</v>
      </c>
      <c r="J488" t="n">
        <v>0</v>
      </c>
      <c r="K488" t="n">
        <v>0</v>
      </c>
      <c r="L488" t="n">
        <v>0</v>
      </c>
      <c r="M488" t="n">
        <v>0</v>
      </c>
      <c r="N488" t="n">
        <v>0</v>
      </c>
      <c r="O488" t="n">
        <v>0</v>
      </c>
      <c r="P488" t="n">
        <v>0</v>
      </c>
      <c r="Q488" t="n">
        <v>0</v>
      </c>
      <c r="R488" s="2" t="inlineStr"/>
    </row>
    <row r="489" ht="15" customHeight="1">
      <c r="A489" t="inlineStr">
        <is>
          <t>A 52478-2024</t>
        </is>
      </c>
      <c r="B489" s="1" t="n">
        <v>45609.55065972222</v>
      </c>
      <c r="C489" s="1" t="n">
        <v>45963</v>
      </c>
      <c r="D489" t="inlineStr">
        <is>
          <t>UPPSALA LÄN</t>
        </is>
      </c>
      <c r="E489" t="inlineStr">
        <is>
          <t>ÖSTHAMMAR</t>
        </is>
      </c>
      <c r="G489" t="n">
        <v>0.7</v>
      </c>
      <c r="H489" t="n">
        <v>0</v>
      </c>
      <c r="I489" t="n">
        <v>0</v>
      </c>
      <c r="J489" t="n">
        <v>0</v>
      </c>
      <c r="K489" t="n">
        <v>0</v>
      </c>
      <c r="L489" t="n">
        <v>0</v>
      </c>
      <c r="M489" t="n">
        <v>0</v>
      </c>
      <c r="N489" t="n">
        <v>0</v>
      </c>
      <c r="O489" t="n">
        <v>0</v>
      </c>
      <c r="P489" t="n">
        <v>0</v>
      </c>
      <c r="Q489" t="n">
        <v>0</v>
      </c>
      <c r="R489" s="2" t="inlineStr"/>
    </row>
    <row r="490" ht="15" customHeight="1">
      <c r="A490" t="inlineStr">
        <is>
          <t>A 57043-2022</t>
        </is>
      </c>
      <c r="B490" s="1" t="n">
        <v>44895.36748842592</v>
      </c>
      <c r="C490" s="1" t="n">
        <v>45963</v>
      </c>
      <c r="D490" t="inlineStr">
        <is>
          <t>UPPSALA LÄN</t>
        </is>
      </c>
      <c r="E490" t="inlineStr">
        <is>
          <t>ÖSTHAMMAR</t>
        </is>
      </c>
      <c r="F490" t="inlineStr">
        <is>
          <t>Bergvik skog öst AB</t>
        </is>
      </c>
      <c r="G490" t="n">
        <v>5.7</v>
      </c>
      <c r="H490" t="n">
        <v>0</v>
      </c>
      <c r="I490" t="n">
        <v>0</v>
      </c>
      <c r="J490" t="n">
        <v>0</v>
      </c>
      <c r="K490" t="n">
        <v>0</v>
      </c>
      <c r="L490" t="n">
        <v>0</v>
      </c>
      <c r="M490" t="n">
        <v>0</v>
      </c>
      <c r="N490" t="n">
        <v>0</v>
      </c>
      <c r="O490" t="n">
        <v>0</v>
      </c>
      <c r="P490" t="n">
        <v>0</v>
      </c>
      <c r="Q490" t="n">
        <v>0</v>
      </c>
      <c r="R490" s="2" t="inlineStr"/>
    </row>
    <row r="491" ht="15" customHeight="1">
      <c r="A491" t="inlineStr">
        <is>
          <t>A 13044-2022</t>
        </is>
      </c>
      <c r="B491" s="1" t="n">
        <v>44643</v>
      </c>
      <c r="C491" s="1" t="n">
        <v>45963</v>
      </c>
      <c r="D491" t="inlineStr">
        <is>
          <t>UPPSALA LÄN</t>
        </is>
      </c>
      <c r="E491" t="inlineStr">
        <is>
          <t>ÖSTHAMMAR</t>
        </is>
      </c>
      <c r="G491" t="n">
        <v>2.5</v>
      </c>
      <c r="H491" t="n">
        <v>0</v>
      </c>
      <c r="I491" t="n">
        <v>0</v>
      </c>
      <c r="J491" t="n">
        <v>0</v>
      </c>
      <c r="K491" t="n">
        <v>0</v>
      </c>
      <c r="L491" t="n">
        <v>0</v>
      </c>
      <c r="M491" t="n">
        <v>0</v>
      </c>
      <c r="N491" t="n">
        <v>0</v>
      </c>
      <c r="O491" t="n">
        <v>0</v>
      </c>
      <c r="P491" t="n">
        <v>0</v>
      </c>
      <c r="Q491" t="n">
        <v>0</v>
      </c>
      <c r="R491" s="2" t="inlineStr"/>
    </row>
    <row r="492" ht="15" customHeight="1">
      <c r="A492" t="inlineStr">
        <is>
          <t>A 2947-2025</t>
        </is>
      </c>
      <c r="B492" s="1" t="n">
        <v>45678</v>
      </c>
      <c r="C492" s="1" t="n">
        <v>45963</v>
      </c>
      <c r="D492" t="inlineStr">
        <is>
          <t>UPPSALA LÄN</t>
        </is>
      </c>
      <c r="E492" t="inlineStr">
        <is>
          <t>ÖSTHAMMAR</t>
        </is>
      </c>
      <c r="G492" t="n">
        <v>3.6</v>
      </c>
      <c r="H492" t="n">
        <v>0</v>
      </c>
      <c r="I492" t="n">
        <v>0</v>
      </c>
      <c r="J492" t="n">
        <v>0</v>
      </c>
      <c r="K492" t="n">
        <v>0</v>
      </c>
      <c r="L492" t="n">
        <v>0</v>
      </c>
      <c r="M492" t="n">
        <v>0</v>
      </c>
      <c r="N492" t="n">
        <v>0</v>
      </c>
      <c r="O492" t="n">
        <v>0</v>
      </c>
      <c r="P492" t="n">
        <v>0</v>
      </c>
      <c r="Q492" t="n">
        <v>0</v>
      </c>
      <c r="R492" s="2" t="inlineStr"/>
    </row>
    <row r="493" ht="15" customHeight="1">
      <c r="A493" t="inlineStr">
        <is>
          <t>A 27919-2025</t>
        </is>
      </c>
      <c r="B493" s="1" t="n">
        <v>45817.48384259259</v>
      </c>
      <c r="C493" s="1" t="n">
        <v>45963</v>
      </c>
      <c r="D493" t="inlineStr">
        <is>
          <t>UPPSALA LÄN</t>
        </is>
      </c>
      <c r="E493" t="inlineStr">
        <is>
          <t>ÖSTHAMMAR</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17433-2025</t>
        </is>
      </c>
      <c r="B494" s="1" t="n">
        <v>45757.40733796296</v>
      </c>
      <c r="C494" s="1" t="n">
        <v>45963</v>
      </c>
      <c r="D494" t="inlineStr">
        <is>
          <t>UPPSALA LÄN</t>
        </is>
      </c>
      <c r="E494" t="inlineStr">
        <is>
          <t>ÖSTHAMMAR</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59880-2022</t>
        </is>
      </c>
      <c r="B495" s="1" t="n">
        <v>44908.69575231482</v>
      </c>
      <c r="C495" s="1" t="n">
        <v>45963</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27853-2025</t>
        </is>
      </c>
      <c r="B496" s="1" t="n">
        <v>45817.40178240741</v>
      </c>
      <c r="C496" s="1" t="n">
        <v>45963</v>
      </c>
      <c r="D496" t="inlineStr">
        <is>
          <t>UPPSALA LÄN</t>
        </is>
      </c>
      <c r="E496" t="inlineStr">
        <is>
          <t>ÖSTHAMMAR</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27812-2025</t>
        </is>
      </c>
      <c r="B497" s="1" t="n">
        <v>45817.32150462963</v>
      </c>
      <c r="C497" s="1" t="n">
        <v>45963</v>
      </c>
      <c r="D497" t="inlineStr">
        <is>
          <t>UPPSALA LÄN</t>
        </is>
      </c>
      <c r="E497" t="inlineStr">
        <is>
          <t>ÖSTHAMMAR</t>
        </is>
      </c>
      <c r="F497" t="inlineStr">
        <is>
          <t>Bergvik skog öst AB</t>
        </is>
      </c>
      <c r="G497" t="n">
        <v>1.8</v>
      </c>
      <c r="H497" t="n">
        <v>0</v>
      </c>
      <c r="I497" t="n">
        <v>0</v>
      </c>
      <c r="J497" t="n">
        <v>0</v>
      </c>
      <c r="K497" t="n">
        <v>0</v>
      </c>
      <c r="L497" t="n">
        <v>0</v>
      </c>
      <c r="M497" t="n">
        <v>0</v>
      </c>
      <c r="N497" t="n">
        <v>0</v>
      </c>
      <c r="O497" t="n">
        <v>0</v>
      </c>
      <c r="P497" t="n">
        <v>0</v>
      </c>
      <c r="Q497" t="n">
        <v>0</v>
      </c>
      <c r="R497" s="2" t="inlineStr"/>
    </row>
    <row r="498" ht="15" customHeight="1">
      <c r="A498" t="inlineStr">
        <is>
          <t>A 12756-2024</t>
        </is>
      </c>
      <c r="B498" s="1" t="n">
        <v>45384</v>
      </c>
      <c r="C498" s="1" t="n">
        <v>45963</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27920-2025</t>
        </is>
      </c>
      <c r="B499" s="1" t="n">
        <v>45817.48454861111</v>
      </c>
      <c r="C499" s="1" t="n">
        <v>45963</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45963</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8330-2025</t>
        </is>
      </c>
      <c r="B501" s="1" t="n">
        <v>45708</v>
      </c>
      <c r="C501" s="1" t="n">
        <v>45963</v>
      </c>
      <c r="D501" t="inlineStr">
        <is>
          <t>UPPSALA LÄN</t>
        </is>
      </c>
      <c r="E501" t="inlineStr">
        <is>
          <t>ÖSTHAMMAR</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8708-2022</t>
        </is>
      </c>
      <c r="B502" s="1" t="n">
        <v>44613.77238425926</v>
      </c>
      <c r="C502" s="1" t="n">
        <v>45963</v>
      </c>
      <c r="D502" t="inlineStr">
        <is>
          <t>UPPSALA LÄN</t>
        </is>
      </c>
      <c r="E502" t="inlineStr">
        <is>
          <t>ÖSTHAMMAR</t>
        </is>
      </c>
      <c r="G502" t="n">
        <v>4.3</v>
      </c>
      <c r="H502" t="n">
        <v>0</v>
      </c>
      <c r="I502" t="n">
        <v>0</v>
      </c>
      <c r="J502" t="n">
        <v>0</v>
      </c>
      <c r="K502" t="n">
        <v>0</v>
      </c>
      <c r="L502" t="n">
        <v>0</v>
      </c>
      <c r="M502" t="n">
        <v>0</v>
      </c>
      <c r="N502" t="n">
        <v>0</v>
      </c>
      <c r="O502" t="n">
        <v>0</v>
      </c>
      <c r="P502" t="n">
        <v>0</v>
      </c>
      <c r="Q502" t="n">
        <v>0</v>
      </c>
      <c r="R502" s="2" t="inlineStr"/>
    </row>
    <row r="503" ht="15" customHeight="1">
      <c r="A503" t="inlineStr">
        <is>
          <t>A 27509-2025</t>
        </is>
      </c>
      <c r="B503" s="1" t="n">
        <v>45813.4278125</v>
      </c>
      <c r="C503" s="1" t="n">
        <v>45963</v>
      </c>
      <c r="D503" t="inlineStr">
        <is>
          <t>UPPSALA LÄN</t>
        </is>
      </c>
      <c r="E503" t="inlineStr">
        <is>
          <t>ÖSTHAMMAR</t>
        </is>
      </c>
      <c r="F503" t="inlineStr">
        <is>
          <t>Bergvik skog öst AB</t>
        </is>
      </c>
      <c r="G503" t="n">
        <v>3.3</v>
      </c>
      <c r="H503" t="n">
        <v>0</v>
      </c>
      <c r="I503" t="n">
        <v>0</v>
      </c>
      <c r="J503" t="n">
        <v>0</v>
      </c>
      <c r="K503" t="n">
        <v>0</v>
      </c>
      <c r="L503" t="n">
        <v>0</v>
      </c>
      <c r="M503" t="n">
        <v>0</v>
      </c>
      <c r="N503" t="n">
        <v>0</v>
      </c>
      <c r="O503" t="n">
        <v>0</v>
      </c>
      <c r="P503" t="n">
        <v>0</v>
      </c>
      <c r="Q503" t="n">
        <v>0</v>
      </c>
      <c r="R503" s="2" t="inlineStr"/>
    </row>
    <row r="504" ht="15" customHeight="1">
      <c r="A504" t="inlineStr">
        <is>
          <t>A 7944-2023</t>
        </is>
      </c>
      <c r="B504" s="1" t="n">
        <v>44973.66458333333</v>
      </c>
      <c r="C504" s="1" t="n">
        <v>45963</v>
      </c>
      <c r="D504" t="inlineStr">
        <is>
          <t>UPPSALA LÄN</t>
        </is>
      </c>
      <c r="E504" t="inlineStr">
        <is>
          <t>ÖSTHAMMAR</t>
        </is>
      </c>
      <c r="G504" t="n">
        <v>4.6</v>
      </c>
      <c r="H504" t="n">
        <v>0</v>
      </c>
      <c r="I504" t="n">
        <v>0</v>
      </c>
      <c r="J504" t="n">
        <v>0</v>
      </c>
      <c r="K504" t="n">
        <v>0</v>
      </c>
      <c r="L504" t="n">
        <v>0</v>
      </c>
      <c r="M504" t="n">
        <v>0</v>
      </c>
      <c r="N504" t="n">
        <v>0</v>
      </c>
      <c r="O504" t="n">
        <v>0</v>
      </c>
      <c r="P504" t="n">
        <v>0</v>
      </c>
      <c r="Q504" t="n">
        <v>0</v>
      </c>
      <c r="R504" s="2" t="inlineStr"/>
    </row>
    <row r="505" ht="15" customHeight="1">
      <c r="A505" t="inlineStr">
        <is>
          <t>A 52659-2021</t>
        </is>
      </c>
      <c r="B505" s="1" t="n">
        <v>44466</v>
      </c>
      <c r="C505" s="1" t="n">
        <v>45963</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7216-2025</t>
        </is>
      </c>
      <c r="B506" s="1" t="n">
        <v>45702.47630787037</v>
      </c>
      <c r="C506" s="1" t="n">
        <v>45963</v>
      </c>
      <c r="D506" t="inlineStr">
        <is>
          <t>UPPSALA LÄN</t>
        </is>
      </c>
      <c r="E506" t="inlineStr">
        <is>
          <t>ÖSTHAMMAR</t>
        </is>
      </c>
      <c r="F506" t="inlineStr">
        <is>
          <t>Övriga Aktiebolag</t>
        </is>
      </c>
      <c r="G506" t="n">
        <v>12.5</v>
      </c>
      <c r="H506" t="n">
        <v>0</v>
      </c>
      <c r="I506" t="n">
        <v>0</v>
      </c>
      <c r="J506" t="n">
        <v>0</v>
      </c>
      <c r="K506" t="n">
        <v>0</v>
      </c>
      <c r="L506" t="n">
        <v>0</v>
      </c>
      <c r="M506" t="n">
        <v>0</v>
      </c>
      <c r="N506" t="n">
        <v>0</v>
      </c>
      <c r="O506" t="n">
        <v>0</v>
      </c>
      <c r="P506" t="n">
        <v>0</v>
      </c>
      <c r="Q506" t="n">
        <v>0</v>
      </c>
      <c r="R506" s="2" t="inlineStr"/>
    </row>
    <row r="507" ht="15" customHeight="1">
      <c r="A507" t="inlineStr">
        <is>
          <t>A 28442-2025</t>
        </is>
      </c>
      <c r="B507" s="1" t="n">
        <v>45819</v>
      </c>
      <c r="C507" s="1" t="n">
        <v>45963</v>
      </c>
      <c r="D507" t="inlineStr">
        <is>
          <t>UPPSALA LÄN</t>
        </is>
      </c>
      <c r="E507" t="inlineStr">
        <is>
          <t>ÖSTHAMMAR</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73965-2021</t>
        </is>
      </c>
      <c r="B508" s="1" t="n">
        <v>44553.80824074074</v>
      </c>
      <c r="C508" s="1" t="n">
        <v>45963</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3418-2025</t>
        </is>
      </c>
      <c r="B509" s="1" t="n">
        <v>45680</v>
      </c>
      <c r="C509" s="1" t="n">
        <v>45963</v>
      </c>
      <c r="D509" t="inlineStr">
        <is>
          <t>UPPSALA LÄN</t>
        </is>
      </c>
      <c r="E509" t="inlineStr">
        <is>
          <t>ÖSTHAMMAR</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3420-2025</t>
        </is>
      </c>
      <c r="B510" s="1" t="n">
        <v>45680</v>
      </c>
      <c r="C510" s="1" t="n">
        <v>45963</v>
      </c>
      <c r="D510" t="inlineStr">
        <is>
          <t>UPPSALA LÄN</t>
        </is>
      </c>
      <c r="E510" t="inlineStr">
        <is>
          <t>ÖSTHAMMAR</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1063-2025</t>
        </is>
      </c>
      <c r="B511" s="1" t="n">
        <v>45666</v>
      </c>
      <c r="C511" s="1" t="n">
        <v>45963</v>
      </c>
      <c r="D511" t="inlineStr">
        <is>
          <t>UPPSALA LÄN</t>
        </is>
      </c>
      <c r="E511" t="inlineStr">
        <is>
          <t>ÖSTHAMMAR</t>
        </is>
      </c>
      <c r="G511" t="n">
        <v>1.5</v>
      </c>
      <c r="H511" t="n">
        <v>0</v>
      </c>
      <c r="I511" t="n">
        <v>0</v>
      </c>
      <c r="J511" t="n">
        <v>0</v>
      </c>
      <c r="K511" t="n">
        <v>0</v>
      </c>
      <c r="L511" t="n">
        <v>0</v>
      </c>
      <c r="M511" t="n">
        <v>0</v>
      </c>
      <c r="N511" t="n">
        <v>0</v>
      </c>
      <c r="O511" t="n">
        <v>0</v>
      </c>
      <c r="P511" t="n">
        <v>0</v>
      </c>
      <c r="Q511" t="n">
        <v>0</v>
      </c>
      <c r="R511" s="2" t="inlineStr"/>
    </row>
    <row r="512" ht="15" customHeight="1">
      <c r="A512" t="inlineStr">
        <is>
          <t>A 33760-2024</t>
        </is>
      </c>
      <c r="B512" s="1" t="n">
        <v>45520</v>
      </c>
      <c r="C512" s="1" t="n">
        <v>45963</v>
      </c>
      <c r="D512" t="inlineStr">
        <is>
          <t>UPPSALA LÄN</t>
        </is>
      </c>
      <c r="E512" t="inlineStr">
        <is>
          <t>ÖSTHAMMAR</t>
        </is>
      </c>
      <c r="F512" t="inlineStr">
        <is>
          <t>Övriga Aktiebolag</t>
        </is>
      </c>
      <c r="G512" t="n">
        <v>0.7</v>
      </c>
      <c r="H512" t="n">
        <v>0</v>
      </c>
      <c r="I512" t="n">
        <v>0</v>
      </c>
      <c r="J512" t="n">
        <v>0</v>
      </c>
      <c r="K512" t="n">
        <v>0</v>
      </c>
      <c r="L512" t="n">
        <v>0</v>
      </c>
      <c r="M512" t="n">
        <v>0</v>
      </c>
      <c r="N512" t="n">
        <v>0</v>
      </c>
      <c r="O512" t="n">
        <v>0</v>
      </c>
      <c r="P512" t="n">
        <v>0</v>
      </c>
      <c r="Q512" t="n">
        <v>0</v>
      </c>
      <c r="R512" s="2" t="inlineStr"/>
    </row>
    <row r="513" ht="15" customHeight="1">
      <c r="A513" t="inlineStr">
        <is>
          <t>A 5303-2025</t>
        </is>
      </c>
      <c r="B513" s="1" t="n">
        <v>45692</v>
      </c>
      <c r="C513" s="1" t="n">
        <v>45963</v>
      </c>
      <c r="D513" t="inlineStr">
        <is>
          <t>UPPSALA LÄN</t>
        </is>
      </c>
      <c r="E513" t="inlineStr">
        <is>
          <t>ÖSTHAMMAR</t>
        </is>
      </c>
      <c r="G513" t="n">
        <v>5</v>
      </c>
      <c r="H513" t="n">
        <v>0</v>
      </c>
      <c r="I513" t="n">
        <v>0</v>
      </c>
      <c r="J513" t="n">
        <v>0</v>
      </c>
      <c r="K513" t="n">
        <v>0</v>
      </c>
      <c r="L513" t="n">
        <v>0</v>
      </c>
      <c r="M513" t="n">
        <v>0</v>
      </c>
      <c r="N513" t="n">
        <v>0</v>
      </c>
      <c r="O513" t="n">
        <v>0</v>
      </c>
      <c r="P513" t="n">
        <v>0</v>
      </c>
      <c r="Q513" t="n">
        <v>0</v>
      </c>
      <c r="R513" s="2" t="inlineStr"/>
    </row>
    <row r="514" ht="15" customHeight="1">
      <c r="A514" t="inlineStr">
        <is>
          <t>A 8592-2022</t>
        </is>
      </c>
      <c r="B514" s="1" t="n">
        <v>44613</v>
      </c>
      <c r="C514" s="1" t="n">
        <v>45963</v>
      </c>
      <c r="D514" t="inlineStr">
        <is>
          <t>UPPSALA LÄN</t>
        </is>
      </c>
      <c r="E514" t="inlineStr">
        <is>
          <t>ÖSTHAMMAR</t>
        </is>
      </c>
      <c r="G514" t="n">
        <v>1.4</v>
      </c>
      <c r="H514" t="n">
        <v>0</v>
      </c>
      <c r="I514" t="n">
        <v>0</v>
      </c>
      <c r="J514" t="n">
        <v>0</v>
      </c>
      <c r="K514" t="n">
        <v>0</v>
      </c>
      <c r="L514" t="n">
        <v>0</v>
      </c>
      <c r="M514" t="n">
        <v>0</v>
      </c>
      <c r="N514" t="n">
        <v>0</v>
      </c>
      <c r="O514" t="n">
        <v>0</v>
      </c>
      <c r="P514" t="n">
        <v>0</v>
      </c>
      <c r="Q514" t="n">
        <v>0</v>
      </c>
      <c r="R514" s="2" t="inlineStr"/>
    </row>
    <row r="515" ht="15" customHeight="1">
      <c r="A515" t="inlineStr">
        <is>
          <t>A 52661-2022</t>
        </is>
      </c>
      <c r="B515" s="1" t="n">
        <v>44874</v>
      </c>
      <c r="C515" s="1" t="n">
        <v>45963</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52629-2023</t>
        </is>
      </c>
      <c r="B516" s="1" t="n">
        <v>45225</v>
      </c>
      <c r="C516" s="1" t="n">
        <v>45963</v>
      </c>
      <c r="D516" t="inlineStr">
        <is>
          <t>UPPSALA LÄN</t>
        </is>
      </c>
      <c r="E516" t="inlineStr">
        <is>
          <t>ÖSTHAMMAR</t>
        </is>
      </c>
      <c r="G516" t="n">
        <v>1.2</v>
      </c>
      <c r="H516" t="n">
        <v>0</v>
      </c>
      <c r="I516" t="n">
        <v>0</v>
      </c>
      <c r="J516" t="n">
        <v>0</v>
      </c>
      <c r="K516" t="n">
        <v>0</v>
      </c>
      <c r="L516" t="n">
        <v>0</v>
      </c>
      <c r="M516" t="n">
        <v>0</v>
      </c>
      <c r="N516" t="n">
        <v>0</v>
      </c>
      <c r="O516" t="n">
        <v>0</v>
      </c>
      <c r="P516" t="n">
        <v>0</v>
      </c>
      <c r="Q516" t="n">
        <v>0</v>
      </c>
      <c r="R516" s="2" t="inlineStr"/>
    </row>
    <row r="517" ht="15" customHeight="1">
      <c r="A517" t="inlineStr">
        <is>
          <t>A 35918-2023</t>
        </is>
      </c>
      <c r="B517" s="1" t="n">
        <v>45148.64976851852</v>
      </c>
      <c r="C517" s="1" t="n">
        <v>45963</v>
      </c>
      <c r="D517" t="inlineStr">
        <is>
          <t>UPPSALA LÄN</t>
        </is>
      </c>
      <c r="E517" t="inlineStr">
        <is>
          <t>ÖSTHAMMAR</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23728-2025</t>
        </is>
      </c>
      <c r="B518" s="1" t="n">
        <v>45793.41719907407</v>
      </c>
      <c r="C518" s="1" t="n">
        <v>45963</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28745-2025</t>
        </is>
      </c>
      <c r="B519" s="1" t="n">
        <v>45820.39076388889</v>
      </c>
      <c r="C519" s="1" t="n">
        <v>45963</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28748-2025</t>
        </is>
      </c>
      <c r="B520" s="1" t="n">
        <v>45820.39540509259</v>
      </c>
      <c r="C520" s="1" t="n">
        <v>45963</v>
      </c>
      <c r="D520" t="inlineStr">
        <is>
          <t>UPPSALA LÄN</t>
        </is>
      </c>
      <c r="E520" t="inlineStr">
        <is>
          <t>ÖSTHAMMAR</t>
        </is>
      </c>
      <c r="G520" t="n">
        <v>2</v>
      </c>
      <c r="H520" t="n">
        <v>0</v>
      </c>
      <c r="I520" t="n">
        <v>0</v>
      </c>
      <c r="J520" t="n">
        <v>0</v>
      </c>
      <c r="K520" t="n">
        <v>0</v>
      </c>
      <c r="L520" t="n">
        <v>0</v>
      </c>
      <c r="M520" t="n">
        <v>0</v>
      </c>
      <c r="N520" t="n">
        <v>0</v>
      </c>
      <c r="O520" t="n">
        <v>0</v>
      </c>
      <c r="P520" t="n">
        <v>0</v>
      </c>
      <c r="Q520" t="n">
        <v>0</v>
      </c>
      <c r="R520" s="2" t="inlineStr"/>
    </row>
    <row r="521" ht="15" customHeight="1">
      <c r="A521" t="inlineStr">
        <is>
          <t>A 29024-2025</t>
        </is>
      </c>
      <c r="B521" s="1" t="n">
        <v>45821.43233796296</v>
      </c>
      <c r="C521" s="1" t="n">
        <v>45963</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29031-2025</t>
        </is>
      </c>
      <c r="B522" s="1" t="n">
        <v>45821.44159722222</v>
      </c>
      <c r="C522" s="1" t="n">
        <v>45963</v>
      </c>
      <c r="D522" t="inlineStr">
        <is>
          <t>UPPSALA LÄN</t>
        </is>
      </c>
      <c r="E522" t="inlineStr">
        <is>
          <t>ÖSTHAMMAR</t>
        </is>
      </c>
      <c r="F522" t="inlineStr">
        <is>
          <t>Bergvik skog öst AB</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4292-2025</t>
        </is>
      </c>
      <c r="B523" s="1" t="n">
        <v>45685.66459490741</v>
      </c>
      <c r="C523" s="1" t="n">
        <v>45963</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28739-2025</t>
        </is>
      </c>
      <c r="B524" s="1" t="n">
        <v>45820</v>
      </c>
      <c r="C524" s="1" t="n">
        <v>45963</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4356-2025</t>
        </is>
      </c>
      <c r="B525" s="1" t="n">
        <v>45686</v>
      </c>
      <c r="C525" s="1" t="n">
        <v>45963</v>
      </c>
      <c r="D525" t="inlineStr">
        <is>
          <t>UPPSALA LÄN</t>
        </is>
      </c>
      <c r="E525" t="inlineStr">
        <is>
          <t>ÖSTHAMMAR</t>
        </is>
      </c>
      <c r="F525" t="inlineStr">
        <is>
          <t>Övriga Aktiebolag</t>
        </is>
      </c>
      <c r="G525" t="n">
        <v>24.6</v>
      </c>
      <c r="H525" t="n">
        <v>0</v>
      </c>
      <c r="I525" t="n">
        <v>0</v>
      </c>
      <c r="J525" t="n">
        <v>0</v>
      </c>
      <c r="K525" t="n">
        <v>0</v>
      </c>
      <c r="L525" t="n">
        <v>0</v>
      </c>
      <c r="M525" t="n">
        <v>0</v>
      </c>
      <c r="N525" t="n">
        <v>0</v>
      </c>
      <c r="O525" t="n">
        <v>0</v>
      </c>
      <c r="P525" t="n">
        <v>0</v>
      </c>
      <c r="Q525" t="n">
        <v>0</v>
      </c>
      <c r="R525" s="2" t="inlineStr"/>
    </row>
    <row r="526" ht="15" customHeight="1">
      <c r="A526" t="inlineStr">
        <is>
          <t>A 29028-2025</t>
        </is>
      </c>
      <c r="B526" s="1" t="n">
        <v>45821.4384375</v>
      </c>
      <c r="C526" s="1" t="n">
        <v>45963</v>
      </c>
      <c r="D526" t="inlineStr">
        <is>
          <t>UPPSALA LÄN</t>
        </is>
      </c>
      <c r="E526" t="inlineStr">
        <is>
          <t>ÖSTHAMMAR</t>
        </is>
      </c>
      <c r="F526" t="inlineStr">
        <is>
          <t>Bergvik skog öst AB</t>
        </is>
      </c>
      <c r="G526" t="n">
        <v>1.7</v>
      </c>
      <c r="H526" t="n">
        <v>0</v>
      </c>
      <c r="I526" t="n">
        <v>0</v>
      </c>
      <c r="J526" t="n">
        <v>0</v>
      </c>
      <c r="K526" t="n">
        <v>0</v>
      </c>
      <c r="L526" t="n">
        <v>0</v>
      </c>
      <c r="M526" t="n">
        <v>0</v>
      </c>
      <c r="N526" t="n">
        <v>0</v>
      </c>
      <c r="O526" t="n">
        <v>0</v>
      </c>
      <c r="P526" t="n">
        <v>0</v>
      </c>
      <c r="Q526" t="n">
        <v>0</v>
      </c>
      <c r="R526" s="2" t="inlineStr"/>
    </row>
    <row r="527" ht="15" customHeight="1">
      <c r="A527" t="inlineStr">
        <is>
          <t>A 29029-2025</t>
        </is>
      </c>
      <c r="B527" s="1" t="n">
        <v>45821.43973379629</v>
      </c>
      <c r="C527" s="1" t="n">
        <v>45963</v>
      </c>
      <c r="D527" t="inlineStr">
        <is>
          <t>UPPSALA LÄN</t>
        </is>
      </c>
      <c r="E527" t="inlineStr">
        <is>
          <t>ÖSTHAMMAR</t>
        </is>
      </c>
      <c r="F527" t="inlineStr">
        <is>
          <t>Bergvik skog öst AB</t>
        </is>
      </c>
      <c r="G527" t="n">
        <v>4.2</v>
      </c>
      <c r="H527" t="n">
        <v>0</v>
      </c>
      <c r="I527" t="n">
        <v>0</v>
      </c>
      <c r="J527" t="n">
        <v>0</v>
      </c>
      <c r="K527" t="n">
        <v>0</v>
      </c>
      <c r="L527" t="n">
        <v>0</v>
      </c>
      <c r="M527" t="n">
        <v>0</v>
      </c>
      <c r="N527" t="n">
        <v>0</v>
      </c>
      <c r="O527" t="n">
        <v>0</v>
      </c>
      <c r="P527" t="n">
        <v>0</v>
      </c>
      <c r="Q527" t="n">
        <v>0</v>
      </c>
      <c r="R527" s="2" t="inlineStr"/>
    </row>
    <row r="528" ht="15" customHeight="1">
      <c r="A528" t="inlineStr">
        <is>
          <t>A 6661-2024</t>
        </is>
      </c>
      <c r="B528" s="1" t="n">
        <v>45341.70582175926</v>
      </c>
      <c r="C528" s="1" t="n">
        <v>45963</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65028-2021</t>
        </is>
      </c>
      <c r="B529" s="1" t="n">
        <v>44515</v>
      </c>
      <c r="C529" s="1" t="n">
        <v>45963</v>
      </c>
      <c r="D529" t="inlineStr">
        <is>
          <t>UPPSALA LÄN</t>
        </is>
      </c>
      <c r="E529" t="inlineStr">
        <is>
          <t>ÖSTHAMMAR</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17646-2025</t>
        </is>
      </c>
      <c r="B530" s="1" t="n">
        <v>45758.32872685185</v>
      </c>
      <c r="C530" s="1" t="n">
        <v>45963</v>
      </c>
      <c r="D530" t="inlineStr">
        <is>
          <t>UPPSALA LÄN</t>
        </is>
      </c>
      <c r="E530" t="inlineStr">
        <is>
          <t>ÖSTHAMMAR</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17648-2025</t>
        </is>
      </c>
      <c r="B531" s="1" t="n">
        <v>45758.33064814815</v>
      </c>
      <c r="C531" s="1" t="n">
        <v>45963</v>
      </c>
      <c r="D531" t="inlineStr">
        <is>
          <t>UPPSALA LÄN</t>
        </is>
      </c>
      <c r="E531" t="inlineStr">
        <is>
          <t>ÖSTHAMMAR</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56903-2023</t>
        </is>
      </c>
      <c r="B532" s="1" t="n">
        <v>45244.56943287037</v>
      </c>
      <c r="C532" s="1" t="n">
        <v>45963</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40547-2023</t>
        </is>
      </c>
      <c r="B533" s="1" t="n">
        <v>45170.45050925926</v>
      </c>
      <c r="C533" s="1" t="n">
        <v>45963</v>
      </c>
      <c r="D533" t="inlineStr">
        <is>
          <t>UPPSALA LÄN</t>
        </is>
      </c>
      <c r="E533" t="inlineStr">
        <is>
          <t>ÖSTHAMMAR</t>
        </is>
      </c>
      <c r="G533" t="n">
        <v>2.1</v>
      </c>
      <c r="H533" t="n">
        <v>0</v>
      </c>
      <c r="I533" t="n">
        <v>0</v>
      </c>
      <c r="J533" t="n">
        <v>0</v>
      </c>
      <c r="K533" t="n">
        <v>0</v>
      </c>
      <c r="L533" t="n">
        <v>0</v>
      </c>
      <c r="M533" t="n">
        <v>0</v>
      </c>
      <c r="N533" t="n">
        <v>0</v>
      </c>
      <c r="O533" t="n">
        <v>0</v>
      </c>
      <c r="P533" t="n">
        <v>0</v>
      </c>
      <c r="Q533" t="n">
        <v>0</v>
      </c>
      <c r="R533" s="2" t="inlineStr"/>
    </row>
    <row r="534" ht="15" customHeight="1">
      <c r="A534" t="inlineStr">
        <is>
          <t>A 8874-2025</t>
        </is>
      </c>
      <c r="B534" s="1" t="n">
        <v>45713</v>
      </c>
      <c r="C534" s="1" t="n">
        <v>45963</v>
      </c>
      <c r="D534" t="inlineStr">
        <is>
          <t>UPPSALA LÄN</t>
        </is>
      </c>
      <c r="E534" t="inlineStr">
        <is>
          <t>ÖSTHAMMAR</t>
        </is>
      </c>
      <c r="G534" t="n">
        <v>6.3</v>
      </c>
      <c r="H534" t="n">
        <v>0</v>
      </c>
      <c r="I534" t="n">
        <v>0</v>
      </c>
      <c r="J534" t="n">
        <v>0</v>
      </c>
      <c r="K534" t="n">
        <v>0</v>
      </c>
      <c r="L534" t="n">
        <v>0</v>
      </c>
      <c r="M534" t="n">
        <v>0</v>
      </c>
      <c r="N534" t="n">
        <v>0</v>
      </c>
      <c r="O534" t="n">
        <v>0</v>
      </c>
      <c r="P534" t="n">
        <v>0</v>
      </c>
      <c r="Q534" t="n">
        <v>0</v>
      </c>
      <c r="R534" s="2" t="inlineStr"/>
    </row>
    <row r="535" ht="15" customHeight="1">
      <c r="A535" t="inlineStr">
        <is>
          <t>A 28420-2023</t>
        </is>
      </c>
      <c r="B535" s="1" t="n">
        <v>45102.33054398148</v>
      </c>
      <c r="C535" s="1" t="n">
        <v>45963</v>
      </c>
      <c r="D535" t="inlineStr">
        <is>
          <t>UPPSALA LÄN</t>
        </is>
      </c>
      <c r="E535" t="inlineStr">
        <is>
          <t>ÖSTHAMMAR</t>
        </is>
      </c>
      <c r="F535" t="inlineStr">
        <is>
          <t>Bergvik skog öst AB</t>
        </is>
      </c>
      <c r="G535" t="n">
        <v>3.2</v>
      </c>
      <c r="H535" t="n">
        <v>0</v>
      </c>
      <c r="I535" t="n">
        <v>0</v>
      </c>
      <c r="J535" t="n">
        <v>0</v>
      </c>
      <c r="K535" t="n">
        <v>0</v>
      </c>
      <c r="L535" t="n">
        <v>0</v>
      </c>
      <c r="M535" t="n">
        <v>0</v>
      </c>
      <c r="N535" t="n">
        <v>0</v>
      </c>
      <c r="O535" t="n">
        <v>0</v>
      </c>
      <c r="P535" t="n">
        <v>0</v>
      </c>
      <c r="Q535" t="n">
        <v>0</v>
      </c>
      <c r="R535" s="2" t="inlineStr"/>
    </row>
    <row r="536" ht="15" customHeight="1">
      <c r="A536" t="inlineStr">
        <is>
          <t>A 28432-2023</t>
        </is>
      </c>
      <c r="B536" s="1" t="n">
        <v>45102.59896990741</v>
      </c>
      <c r="C536" s="1" t="n">
        <v>45963</v>
      </c>
      <c r="D536" t="inlineStr">
        <is>
          <t>UPPSALA LÄN</t>
        </is>
      </c>
      <c r="E536" t="inlineStr">
        <is>
          <t>ÖSTHAMMAR</t>
        </is>
      </c>
      <c r="F536" t="inlineStr">
        <is>
          <t>Bergvik skog öst AB</t>
        </is>
      </c>
      <c r="G536" t="n">
        <v>3.9</v>
      </c>
      <c r="H536" t="n">
        <v>0</v>
      </c>
      <c r="I536" t="n">
        <v>0</v>
      </c>
      <c r="J536" t="n">
        <v>0</v>
      </c>
      <c r="K536" t="n">
        <v>0</v>
      </c>
      <c r="L536" t="n">
        <v>0</v>
      </c>
      <c r="M536" t="n">
        <v>0</v>
      </c>
      <c r="N536" t="n">
        <v>0</v>
      </c>
      <c r="O536" t="n">
        <v>0</v>
      </c>
      <c r="P536" t="n">
        <v>0</v>
      </c>
      <c r="Q536" t="n">
        <v>0</v>
      </c>
      <c r="R536" s="2" t="inlineStr"/>
    </row>
    <row r="537" ht="15" customHeight="1">
      <c r="A537" t="inlineStr">
        <is>
          <t>A 27494-2025</t>
        </is>
      </c>
      <c r="B537" s="1" t="n">
        <v>45813.39756944445</v>
      </c>
      <c r="C537" s="1" t="n">
        <v>45963</v>
      </c>
      <c r="D537" t="inlineStr">
        <is>
          <t>UPPSALA LÄN</t>
        </is>
      </c>
      <c r="E537" t="inlineStr">
        <is>
          <t>ÖSTHAMMAR</t>
        </is>
      </c>
      <c r="F537" t="inlineStr">
        <is>
          <t>Bergvik skog öst AB</t>
        </is>
      </c>
      <c r="G537" t="n">
        <v>23.4</v>
      </c>
      <c r="H537" t="n">
        <v>0</v>
      </c>
      <c r="I537" t="n">
        <v>0</v>
      </c>
      <c r="J537" t="n">
        <v>0</v>
      </c>
      <c r="K537" t="n">
        <v>0</v>
      </c>
      <c r="L537" t="n">
        <v>0</v>
      </c>
      <c r="M537" t="n">
        <v>0</v>
      </c>
      <c r="N537" t="n">
        <v>0</v>
      </c>
      <c r="O537" t="n">
        <v>0</v>
      </c>
      <c r="P537" t="n">
        <v>0</v>
      </c>
      <c r="Q537" t="n">
        <v>0</v>
      </c>
      <c r="R537" s="2" t="inlineStr"/>
    </row>
    <row r="538" ht="15" customHeight="1">
      <c r="A538" t="inlineStr">
        <is>
          <t>A 56969-2022</t>
        </is>
      </c>
      <c r="B538" s="1" t="n">
        <v>44894.68043981482</v>
      </c>
      <c r="C538" s="1" t="n">
        <v>45963</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29384-2025</t>
        </is>
      </c>
      <c r="B539" s="1" t="n">
        <v>45824</v>
      </c>
      <c r="C539" s="1" t="n">
        <v>45963</v>
      </c>
      <c r="D539" t="inlineStr">
        <is>
          <t>UPPSALA LÄN</t>
        </is>
      </c>
      <c r="E539" t="inlineStr">
        <is>
          <t>ÖSTHAMMAR</t>
        </is>
      </c>
      <c r="G539" t="n">
        <v>3.1</v>
      </c>
      <c r="H539" t="n">
        <v>0</v>
      </c>
      <c r="I539" t="n">
        <v>0</v>
      </c>
      <c r="J539" t="n">
        <v>0</v>
      </c>
      <c r="K539" t="n">
        <v>0</v>
      </c>
      <c r="L539" t="n">
        <v>0</v>
      </c>
      <c r="M539" t="n">
        <v>0</v>
      </c>
      <c r="N539" t="n">
        <v>0</v>
      </c>
      <c r="O539" t="n">
        <v>0</v>
      </c>
      <c r="P539" t="n">
        <v>0</v>
      </c>
      <c r="Q539" t="n">
        <v>0</v>
      </c>
      <c r="R539" s="2" t="inlineStr"/>
    </row>
    <row r="540" ht="15" customHeight="1">
      <c r="A540" t="inlineStr">
        <is>
          <t>A 27490-2025</t>
        </is>
      </c>
      <c r="B540" s="1" t="n">
        <v>45813.39273148148</v>
      </c>
      <c r="C540" s="1" t="n">
        <v>45963</v>
      </c>
      <c r="D540" t="inlineStr">
        <is>
          <t>UPPSALA LÄN</t>
        </is>
      </c>
      <c r="E540" t="inlineStr">
        <is>
          <t>ÖSTHAMMAR</t>
        </is>
      </c>
      <c r="F540" t="inlineStr">
        <is>
          <t>Bergvik skog öst AB</t>
        </is>
      </c>
      <c r="G540" t="n">
        <v>6.1</v>
      </c>
      <c r="H540" t="n">
        <v>0</v>
      </c>
      <c r="I540" t="n">
        <v>0</v>
      </c>
      <c r="J540" t="n">
        <v>0</v>
      </c>
      <c r="K540" t="n">
        <v>0</v>
      </c>
      <c r="L540" t="n">
        <v>0</v>
      </c>
      <c r="M540" t="n">
        <v>0</v>
      </c>
      <c r="N540" t="n">
        <v>0</v>
      </c>
      <c r="O540" t="n">
        <v>0</v>
      </c>
      <c r="P540" t="n">
        <v>0</v>
      </c>
      <c r="Q540" t="n">
        <v>0</v>
      </c>
      <c r="R540" s="2" t="inlineStr"/>
    </row>
    <row r="541" ht="15" customHeight="1">
      <c r="A541" t="inlineStr">
        <is>
          <t>A 29775-2025</t>
        </is>
      </c>
      <c r="B541" s="1" t="n">
        <v>45825.63803240741</v>
      </c>
      <c r="C541" s="1" t="n">
        <v>45963</v>
      </c>
      <c r="D541" t="inlineStr">
        <is>
          <t>UPPSALA LÄN</t>
        </is>
      </c>
      <c r="E541" t="inlineStr">
        <is>
          <t>ÖSTHAMMAR</t>
        </is>
      </c>
      <c r="G541" t="n">
        <v>0.9</v>
      </c>
      <c r="H541" t="n">
        <v>0</v>
      </c>
      <c r="I541" t="n">
        <v>0</v>
      </c>
      <c r="J541" t="n">
        <v>0</v>
      </c>
      <c r="K541" t="n">
        <v>0</v>
      </c>
      <c r="L541" t="n">
        <v>0</v>
      </c>
      <c r="M541" t="n">
        <v>0</v>
      </c>
      <c r="N541" t="n">
        <v>0</v>
      </c>
      <c r="O541" t="n">
        <v>0</v>
      </c>
      <c r="P541" t="n">
        <v>0</v>
      </c>
      <c r="Q541" t="n">
        <v>0</v>
      </c>
      <c r="R541" s="2" t="inlineStr"/>
    </row>
    <row r="542" ht="15" customHeight="1">
      <c r="A542" t="inlineStr">
        <is>
          <t>A 14505-2023</t>
        </is>
      </c>
      <c r="B542" s="1" t="n">
        <v>45012.7975</v>
      </c>
      <c r="C542" s="1" t="n">
        <v>45963</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27486-2025</t>
        </is>
      </c>
      <c r="B543" s="1" t="n">
        <v>45813.38521990741</v>
      </c>
      <c r="C543" s="1" t="n">
        <v>45963</v>
      </c>
      <c r="D543" t="inlineStr">
        <is>
          <t>UPPSALA LÄN</t>
        </is>
      </c>
      <c r="E543" t="inlineStr">
        <is>
          <t>ÖSTHAMMAR</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30244-2025</t>
        </is>
      </c>
      <c r="B544" s="1" t="n">
        <v>45827.40902777778</v>
      </c>
      <c r="C544" s="1" t="n">
        <v>45963</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60584-2021</t>
        </is>
      </c>
      <c r="B545" s="1" t="n">
        <v>44496</v>
      </c>
      <c r="C545" s="1" t="n">
        <v>45963</v>
      </c>
      <c r="D545" t="inlineStr">
        <is>
          <t>UPPSALA LÄN</t>
        </is>
      </c>
      <c r="E545" t="inlineStr">
        <is>
          <t>ÖSTHAMMAR</t>
        </is>
      </c>
      <c r="G545" t="n">
        <v>1.4</v>
      </c>
      <c r="H545" t="n">
        <v>0</v>
      </c>
      <c r="I545" t="n">
        <v>0</v>
      </c>
      <c r="J545" t="n">
        <v>0</v>
      </c>
      <c r="K545" t="n">
        <v>0</v>
      </c>
      <c r="L545" t="n">
        <v>0</v>
      </c>
      <c r="M545" t="n">
        <v>0</v>
      </c>
      <c r="N545" t="n">
        <v>0</v>
      </c>
      <c r="O545" t="n">
        <v>0</v>
      </c>
      <c r="P545" t="n">
        <v>0</v>
      </c>
      <c r="Q545" t="n">
        <v>0</v>
      </c>
      <c r="R545" s="2" t="inlineStr"/>
    </row>
    <row r="546" ht="15" customHeight="1">
      <c r="A546" t="inlineStr">
        <is>
          <t>A 47341-2023</t>
        </is>
      </c>
      <c r="B546" s="1" t="n">
        <v>45202.55721064815</v>
      </c>
      <c r="C546" s="1" t="n">
        <v>45963</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44152-2024</t>
        </is>
      </c>
      <c r="B547" s="1" t="n">
        <v>45572</v>
      </c>
      <c r="C547" s="1" t="n">
        <v>45963</v>
      </c>
      <c r="D547" t="inlineStr">
        <is>
          <t>UPPSALA LÄN</t>
        </is>
      </c>
      <c r="E547" t="inlineStr">
        <is>
          <t>ÖSTHAMMAR</t>
        </is>
      </c>
      <c r="G547" t="n">
        <v>1.6</v>
      </c>
      <c r="H547" t="n">
        <v>0</v>
      </c>
      <c r="I547" t="n">
        <v>0</v>
      </c>
      <c r="J547" t="n">
        <v>0</v>
      </c>
      <c r="K547" t="n">
        <v>0</v>
      </c>
      <c r="L547" t="n">
        <v>0</v>
      </c>
      <c r="M547" t="n">
        <v>0</v>
      </c>
      <c r="N547" t="n">
        <v>0</v>
      </c>
      <c r="O547" t="n">
        <v>0</v>
      </c>
      <c r="P547" t="n">
        <v>0</v>
      </c>
      <c r="Q547" t="n">
        <v>0</v>
      </c>
      <c r="R547" s="2" t="inlineStr"/>
    </row>
    <row r="548" ht="15" customHeight="1">
      <c r="A548" t="inlineStr">
        <is>
          <t>A 3732-2022</t>
        </is>
      </c>
      <c r="B548" s="1" t="n">
        <v>44586.64851851852</v>
      </c>
      <c r="C548" s="1" t="n">
        <v>45963</v>
      </c>
      <c r="D548" t="inlineStr">
        <is>
          <t>UPPSALA LÄN</t>
        </is>
      </c>
      <c r="E548" t="inlineStr">
        <is>
          <t>ÖSTHAMMAR</t>
        </is>
      </c>
      <c r="F548" t="inlineStr">
        <is>
          <t>Bergvik skog öst AB</t>
        </is>
      </c>
      <c r="G548" t="n">
        <v>3.6</v>
      </c>
      <c r="H548" t="n">
        <v>0</v>
      </c>
      <c r="I548" t="n">
        <v>0</v>
      </c>
      <c r="J548" t="n">
        <v>0</v>
      </c>
      <c r="K548" t="n">
        <v>0</v>
      </c>
      <c r="L548" t="n">
        <v>0</v>
      </c>
      <c r="M548" t="n">
        <v>0</v>
      </c>
      <c r="N548" t="n">
        <v>0</v>
      </c>
      <c r="O548" t="n">
        <v>0</v>
      </c>
      <c r="P548" t="n">
        <v>0</v>
      </c>
      <c r="Q548" t="n">
        <v>0</v>
      </c>
      <c r="R548" s="2" t="inlineStr"/>
    </row>
    <row r="549" ht="15" customHeight="1">
      <c r="A549" t="inlineStr">
        <is>
          <t>A 48856-2024</t>
        </is>
      </c>
      <c r="B549" s="1" t="n">
        <v>45593</v>
      </c>
      <c r="C549" s="1" t="n">
        <v>45963</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47390-2023</t>
        </is>
      </c>
      <c r="B550" s="1" t="n">
        <v>45202</v>
      </c>
      <c r="C550" s="1" t="n">
        <v>45963</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33056-2021</t>
        </is>
      </c>
      <c r="B551" s="1" t="n">
        <v>44376.52438657408</v>
      </c>
      <c r="C551" s="1" t="n">
        <v>45963</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30610-2025</t>
        </is>
      </c>
      <c r="B552" s="1" t="n">
        <v>45831.45965277778</v>
      </c>
      <c r="C552" s="1" t="n">
        <v>45963</v>
      </c>
      <c r="D552" t="inlineStr">
        <is>
          <t>UPPSALA LÄN</t>
        </is>
      </c>
      <c r="E552" t="inlineStr">
        <is>
          <t>ÖSTHAMMAR</t>
        </is>
      </c>
      <c r="G552" t="n">
        <v>0.2</v>
      </c>
      <c r="H552" t="n">
        <v>0</v>
      </c>
      <c r="I552" t="n">
        <v>0</v>
      </c>
      <c r="J552" t="n">
        <v>0</v>
      </c>
      <c r="K552" t="n">
        <v>0</v>
      </c>
      <c r="L552" t="n">
        <v>0</v>
      </c>
      <c r="M552" t="n">
        <v>0</v>
      </c>
      <c r="N552" t="n">
        <v>0</v>
      </c>
      <c r="O552" t="n">
        <v>0</v>
      </c>
      <c r="P552" t="n">
        <v>0</v>
      </c>
      <c r="Q552" t="n">
        <v>0</v>
      </c>
      <c r="R552" s="2" t="inlineStr"/>
    </row>
    <row r="553" ht="15" customHeight="1">
      <c r="A553" t="inlineStr">
        <is>
          <t>A 5877-2023</t>
        </is>
      </c>
      <c r="B553" s="1" t="n">
        <v>44963.62001157407</v>
      </c>
      <c r="C553" s="1" t="n">
        <v>45963</v>
      </c>
      <c r="D553" t="inlineStr">
        <is>
          <t>UPPSALA LÄN</t>
        </is>
      </c>
      <c r="E553" t="inlineStr">
        <is>
          <t>ÖSTHAMMAR</t>
        </is>
      </c>
      <c r="G553" t="n">
        <v>0.7</v>
      </c>
      <c r="H553" t="n">
        <v>0</v>
      </c>
      <c r="I553" t="n">
        <v>0</v>
      </c>
      <c r="J553" t="n">
        <v>0</v>
      </c>
      <c r="K553" t="n">
        <v>0</v>
      </c>
      <c r="L553" t="n">
        <v>0</v>
      </c>
      <c r="M553" t="n">
        <v>0</v>
      </c>
      <c r="N553" t="n">
        <v>0</v>
      </c>
      <c r="O553" t="n">
        <v>0</v>
      </c>
      <c r="P553" t="n">
        <v>0</v>
      </c>
      <c r="Q553" t="n">
        <v>0</v>
      </c>
      <c r="R553" s="2" t="inlineStr"/>
    </row>
    <row r="554" ht="15" customHeight="1">
      <c r="A554" t="inlineStr">
        <is>
          <t>A 30504-2025</t>
        </is>
      </c>
      <c r="B554" s="1" t="n">
        <v>45830.8558912037</v>
      </c>
      <c r="C554" s="1" t="n">
        <v>45963</v>
      </c>
      <c r="D554" t="inlineStr">
        <is>
          <t>UPPSALA LÄN</t>
        </is>
      </c>
      <c r="E554" t="inlineStr">
        <is>
          <t>ÖSTHAMMAR</t>
        </is>
      </c>
      <c r="G554" t="n">
        <v>0.6</v>
      </c>
      <c r="H554" t="n">
        <v>0</v>
      </c>
      <c r="I554" t="n">
        <v>0</v>
      </c>
      <c r="J554" t="n">
        <v>0</v>
      </c>
      <c r="K554" t="n">
        <v>0</v>
      </c>
      <c r="L554" t="n">
        <v>0</v>
      </c>
      <c r="M554" t="n">
        <v>0</v>
      </c>
      <c r="N554" t="n">
        <v>0</v>
      </c>
      <c r="O554" t="n">
        <v>0</v>
      </c>
      <c r="P554" t="n">
        <v>0</v>
      </c>
      <c r="Q554" t="n">
        <v>0</v>
      </c>
      <c r="R554" s="2" t="inlineStr"/>
    </row>
    <row r="555" ht="15" customHeight="1">
      <c r="A555" t="inlineStr">
        <is>
          <t>A 52389-2022</t>
        </is>
      </c>
      <c r="B555" s="1" t="n">
        <v>44874.38325231482</v>
      </c>
      <c r="C555" s="1" t="n">
        <v>45963</v>
      </c>
      <c r="D555" t="inlineStr">
        <is>
          <t>UPPSALA LÄN</t>
        </is>
      </c>
      <c r="E555" t="inlineStr">
        <is>
          <t>ÖSTHAMMAR</t>
        </is>
      </c>
      <c r="G555" t="n">
        <v>3.1</v>
      </c>
      <c r="H555" t="n">
        <v>0</v>
      </c>
      <c r="I555" t="n">
        <v>0</v>
      </c>
      <c r="J555" t="n">
        <v>0</v>
      </c>
      <c r="K555" t="n">
        <v>0</v>
      </c>
      <c r="L555" t="n">
        <v>0</v>
      </c>
      <c r="M555" t="n">
        <v>0</v>
      </c>
      <c r="N555" t="n">
        <v>0</v>
      </c>
      <c r="O555" t="n">
        <v>0</v>
      </c>
      <c r="P555" t="n">
        <v>0</v>
      </c>
      <c r="Q555" t="n">
        <v>0</v>
      </c>
      <c r="R555" s="2" t="inlineStr"/>
    </row>
    <row r="556" ht="15" customHeight="1">
      <c r="A556" t="inlineStr">
        <is>
          <t>A 30503-2025</t>
        </is>
      </c>
      <c r="B556" s="1" t="n">
        <v>45830.8500462963</v>
      </c>
      <c r="C556" s="1" t="n">
        <v>45963</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25033-2021</t>
        </is>
      </c>
      <c r="B557" s="1" t="n">
        <v>44341.590625</v>
      </c>
      <c r="C557" s="1" t="n">
        <v>45963</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38886-2025</t>
        </is>
      </c>
      <c r="B558" s="1" t="n">
        <v>45887.58370370371</v>
      </c>
      <c r="C558" s="1" t="n">
        <v>45963</v>
      </c>
      <c r="D558" t="inlineStr">
        <is>
          <t>UPPSALA LÄN</t>
        </is>
      </c>
      <c r="E558" t="inlineStr">
        <is>
          <t>ÖSTHAMMAR</t>
        </is>
      </c>
      <c r="F558" t="inlineStr">
        <is>
          <t>Bergvik skog öst AB</t>
        </is>
      </c>
      <c r="G558" t="n">
        <v>4.7</v>
      </c>
      <c r="H558" t="n">
        <v>0</v>
      </c>
      <c r="I558" t="n">
        <v>0</v>
      </c>
      <c r="J558" t="n">
        <v>0</v>
      </c>
      <c r="K558" t="n">
        <v>0</v>
      </c>
      <c r="L558" t="n">
        <v>0</v>
      </c>
      <c r="M558" t="n">
        <v>0</v>
      </c>
      <c r="N558" t="n">
        <v>0</v>
      </c>
      <c r="O558" t="n">
        <v>0</v>
      </c>
      <c r="P558" t="n">
        <v>0</v>
      </c>
      <c r="Q558" t="n">
        <v>0</v>
      </c>
      <c r="R558" s="2" t="inlineStr"/>
    </row>
    <row r="559" ht="15" customHeight="1">
      <c r="A559" t="inlineStr">
        <is>
          <t>A 25269-2024</t>
        </is>
      </c>
      <c r="B559" s="1" t="n">
        <v>45462</v>
      </c>
      <c r="C559" s="1" t="n">
        <v>45963</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13352-2023</t>
        </is>
      </c>
      <c r="B560" s="1" t="n">
        <v>45005</v>
      </c>
      <c r="C560" s="1" t="n">
        <v>45963</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57453-2022</t>
        </is>
      </c>
      <c r="B561" s="1" t="n">
        <v>44896.56266203704</v>
      </c>
      <c r="C561" s="1" t="n">
        <v>45963</v>
      </c>
      <c r="D561" t="inlineStr">
        <is>
          <t>UPPSALA LÄN</t>
        </is>
      </c>
      <c r="E561" t="inlineStr">
        <is>
          <t>ÖSTHAMMAR</t>
        </is>
      </c>
      <c r="G561" t="n">
        <v>1.7</v>
      </c>
      <c r="H561" t="n">
        <v>0</v>
      </c>
      <c r="I561" t="n">
        <v>0</v>
      </c>
      <c r="J561" t="n">
        <v>0</v>
      </c>
      <c r="K561" t="n">
        <v>0</v>
      </c>
      <c r="L561" t="n">
        <v>0</v>
      </c>
      <c r="M561" t="n">
        <v>0</v>
      </c>
      <c r="N561" t="n">
        <v>0</v>
      </c>
      <c r="O561" t="n">
        <v>0</v>
      </c>
      <c r="P561" t="n">
        <v>0</v>
      </c>
      <c r="Q561" t="n">
        <v>0</v>
      </c>
      <c r="R561" s="2" t="inlineStr"/>
    </row>
    <row r="562" ht="15" customHeight="1">
      <c r="A562" t="inlineStr">
        <is>
          <t>A 57462-2022</t>
        </is>
      </c>
      <c r="B562" s="1" t="n">
        <v>44896.57527777777</v>
      </c>
      <c r="C562" s="1" t="n">
        <v>45963</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22804-2022</t>
        </is>
      </c>
      <c r="B563" s="1" t="n">
        <v>44715</v>
      </c>
      <c r="C563" s="1" t="n">
        <v>45963</v>
      </c>
      <c r="D563" t="inlineStr">
        <is>
          <t>UPPSALA LÄN</t>
        </is>
      </c>
      <c r="E563" t="inlineStr">
        <is>
          <t>ÖSTHAMMAR</t>
        </is>
      </c>
      <c r="G563" t="n">
        <v>2.7</v>
      </c>
      <c r="H563" t="n">
        <v>0</v>
      </c>
      <c r="I563" t="n">
        <v>0</v>
      </c>
      <c r="J563" t="n">
        <v>0</v>
      </c>
      <c r="K563" t="n">
        <v>0</v>
      </c>
      <c r="L563" t="n">
        <v>0</v>
      </c>
      <c r="M563" t="n">
        <v>0</v>
      </c>
      <c r="N563" t="n">
        <v>0</v>
      </c>
      <c r="O563" t="n">
        <v>0</v>
      </c>
      <c r="P563" t="n">
        <v>0</v>
      </c>
      <c r="Q563" t="n">
        <v>0</v>
      </c>
      <c r="R563" s="2" t="inlineStr"/>
    </row>
    <row r="564" ht="15" customHeight="1">
      <c r="A564" t="inlineStr">
        <is>
          <t>A 31249-2025</t>
        </is>
      </c>
      <c r="B564" s="1" t="n">
        <v>45832.89476851852</v>
      </c>
      <c r="C564" s="1" t="n">
        <v>45963</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45795-2023</t>
        </is>
      </c>
      <c r="B565" s="1" t="n">
        <v>45195</v>
      </c>
      <c r="C565" s="1" t="n">
        <v>45963</v>
      </c>
      <c r="D565" t="inlineStr">
        <is>
          <t>UPPSALA LÄN</t>
        </is>
      </c>
      <c r="E565" t="inlineStr">
        <is>
          <t>ÖSTHAMMAR</t>
        </is>
      </c>
      <c r="G565" t="n">
        <v>4</v>
      </c>
      <c r="H565" t="n">
        <v>0</v>
      </c>
      <c r="I565" t="n">
        <v>0</v>
      </c>
      <c r="J565" t="n">
        <v>0</v>
      </c>
      <c r="K565" t="n">
        <v>0</v>
      </c>
      <c r="L565" t="n">
        <v>0</v>
      </c>
      <c r="M565" t="n">
        <v>0</v>
      </c>
      <c r="N565" t="n">
        <v>0</v>
      </c>
      <c r="O565" t="n">
        <v>0</v>
      </c>
      <c r="P565" t="n">
        <v>0</v>
      </c>
      <c r="Q565" t="n">
        <v>0</v>
      </c>
      <c r="R565" s="2" t="inlineStr"/>
    </row>
    <row r="566" ht="15" customHeight="1">
      <c r="A566" t="inlineStr">
        <is>
          <t>A 6039-2025</t>
        </is>
      </c>
      <c r="B566" s="1" t="n">
        <v>45695</v>
      </c>
      <c r="C566" s="1" t="n">
        <v>45963</v>
      </c>
      <c r="D566" t="inlineStr">
        <is>
          <t>UPPSALA LÄN</t>
        </is>
      </c>
      <c r="E566" t="inlineStr">
        <is>
          <t>ÖSTHAMMAR</t>
        </is>
      </c>
      <c r="G566" t="n">
        <v>2.3</v>
      </c>
      <c r="H566" t="n">
        <v>0</v>
      </c>
      <c r="I566" t="n">
        <v>0</v>
      </c>
      <c r="J566" t="n">
        <v>0</v>
      </c>
      <c r="K566" t="n">
        <v>0</v>
      </c>
      <c r="L566" t="n">
        <v>0</v>
      </c>
      <c r="M566" t="n">
        <v>0</v>
      </c>
      <c r="N566" t="n">
        <v>0</v>
      </c>
      <c r="O566" t="n">
        <v>0</v>
      </c>
      <c r="P566" t="n">
        <v>0</v>
      </c>
      <c r="Q566" t="n">
        <v>0</v>
      </c>
      <c r="R566" s="2" t="inlineStr"/>
    </row>
    <row r="567" ht="15" customHeight="1">
      <c r="A567" t="inlineStr">
        <is>
          <t>A 31579-2025</t>
        </is>
      </c>
      <c r="B567" s="1" t="n">
        <v>45833.68211805556</v>
      </c>
      <c r="C567" s="1" t="n">
        <v>45963</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31360-2025</t>
        </is>
      </c>
      <c r="B568" s="1" t="n">
        <v>45833.43527777777</v>
      </c>
      <c r="C568" s="1" t="n">
        <v>45963</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7997-2022</t>
        </is>
      </c>
      <c r="B569" s="1" t="n">
        <v>44609</v>
      </c>
      <c r="C569" s="1" t="n">
        <v>45963</v>
      </c>
      <c r="D569" t="inlineStr">
        <is>
          <t>UPPSALA LÄN</t>
        </is>
      </c>
      <c r="E569" t="inlineStr">
        <is>
          <t>ÖSTHAMMAR</t>
        </is>
      </c>
      <c r="G569" t="n">
        <v>1.8</v>
      </c>
      <c r="H569" t="n">
        <v>0</v>
      </c>
      <c r="I569" t="n">
        <v>0</v>
      </c>
      <c r="J569" t="n">
        <v>0</v>
      </c>
      <c r="K569" t="n">
        <v>0</v>
      </c>
      <c r="L569" t="n">
        <v>0</v>
      </c>
      <c r="M569" t="n">
        <v>0</v>
      </c>
      <c r="N569" t="n">
        <v>0</v>
      </c>
      <c r="O569" t="n">
        <v>0</v>
      </c>
      <c r="P569" t="n">
        <v>0</v>
      </c>
      <c r="Q569" t="n">
        <v>0</v>
      </c>
      <c r="R569" s="2" t="inlineStr"/>
    </row>
    <row r="570" ht="15" customHeight="1">
      <c r="A570" t="inlineStr">
        <is>
          <t>A 51364-2021</t>
        </is>
      </c>
      <c r="B570" s="1" t="n">
        <v>44461</v>
      </c>
      <c r="C570" s="1" t="n">
        <v>45963</v>
      </c>
      <c r="D570" t="inlineStr">
        <is>
          <t>UPPSALA LÄN</t>
        </is>
      </c>
      <c r="E570" t="inlineStr">
        <is>
          <t>ÖSTHAMMAR</t>
        </is>
      </c>
      <c r="G570" t="n">
        <v>2.4</v>
      </c>
      <c r="H570" t="n">
        <v>0</v>
      </c>
      <c r="I570" t="n">
        <v>0</v>
      </c>
      <c r="J570" t="n">
        <v>0</v>
      </c>
      <c r="K570" t="n">
        <v>0</v>
      </c>
      <c r="L570" t="n">
        <v>0</v>
      </c>
      <c r="M570" t="n">
        <v>0</v>
      </c>
      <c r="N570" t="n">
        <v>0</v>
      </c>
      <c r="O570" t="n">
        <v>0</v>
      </c>
      <c r="P570" t="n">
        <v>0</v>
      </c>
      <c r="Q570" t="n">
        <v>0</v>
      </c>
      <c r="R570" s="2" t="inlineStr"/>
    </row>
    <row r="571" ht="15" customHeight="1">
      <c r="A571" t="inlineStr">
        <is>
          <t>A 31896-2025</t>
        </is>
      </c>
      <c r="B571" s="1" t="n">
        <v>45834.67556712963</v>
      </c>
      <c r="C571" s="1" t="n">
        <v>45963</v>
      </c>
      <c r="D571" t="inlineStr">
        <is>
          <t>UPPSALA LÄN</t>
        </is>
      </c>
      <c r="E571" t="inlineStr">
        <is>
          <t>ÖSTHAMMAR</t>
        </is>
      </c>
      <c r="G571" t="n">
        <v>4.1</v>
      </c>
      <c r="H571" t="n">
        <v>0</v>
      </c>
      <c r="I571" t="n">
        <v>0</v>
      </c>
      <c r="J571" t="n">
        <v>0</v>
      </c>
      <c r="K571" t="n">
        <v>0</v>
      </c>
      <c r="L571" t="n">
        <v>0</v>
      </c>
      <c r="M571" t="n">
        <v>0</v>
      </c>
      <c r="N571" t="n">
        <v>0</v>
      </c>
      <c r="O571" t="n">
        <v>0</v>
      </c>
      <c r="P571" t="n">
        <v>0</v>
      </c>
      <c r="Q571" t="n">
        <v>0</v>
      </c>
      <c r="R571" s="2" t="inlineStr"/>
    </row>
    <row r="572" ht="15" customHeight="1">
      <c r="A572" t="inlineStr">
        <is>
          <t>A 67199-2021</t>
        </is>
      </c>
      <c r="B572" s="1" t="n">
        <v>44523.46197916667</v>
      </c>
      <c r="C572" s="1" t="n">
        <v>45963</v>
      </c>
      <c r="D572" t="inlineStr">
        <is>
          <t>UPPSALA LÄN</t>
        </is>
      </c>
      <c r="E572" t="inlineStr">
        <is>
          <t>ÖSTHAMMAR</t>
        </is>
      </c>
      <c r="G572" t="n">
        <v>2.3</v>
      </c>
      <c r="H572" t="n">
        <v>0</v>
      </c>
      <c r="I572" t="n">
        <v>0</v>
      </c>
      <c r="J572" t="n">
        <v>0</v>
      </c>
      <c r="K572" t="n">
        <v>0</v>
      </c>
      <c r="L572" t="n">
        <v>0</v>
      </c>
      <c r="M572" t="n">
        <v>0</v>
      </c>
      <c r="N572" t="n">
        <v>0</v>
      </c>
      <c r="O572" t="n">
        <v>0</v>
      </c>
      <c r="P572" t="n">
        <v>0</v>
      </c>
      <c r="Q572" t="n">
        <v>0</v>
      </c>
      <c r="R572" s="2" t="inlineStr"/>
    </row>
    <row r="573" ht="15" customHeight="1">
      <c r="A573" t="inlineStr">
        <is>
          <t>A 43915-2023</t>
        </is>
      </c>
      <c r="B573" s="1" t="n">
        <v>45187.71274305556</v>
      </c>
      <c r="C573" s="1" t="n">
        <v>45963</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15449-2022</t>
        </is>
      </c>
      <c r="B574" s="1" t="n">
        <v>44660.91659722223</v>
      </c>
      <c r="C574" s="1" t="n">
        <v>45963</v>
      </c>
      <c r="D574" t="inlineStr">
        <is>
          <t>UPPSALA LÄN</t>
        </is>
      </c>
      <c r="E574" t="inlineStr">
        <is>
          <t>ÖSTHAMMAR</t>
        </is>
      </c>
      <c r="F574" t="inlineStr">
        <is>
          <t>Bergvik skog öst AB</t>
        </is>
      </c>
      <c r="G574" t="n">
        <v>2</v>
      </c>
      <c r="H574" t="n">
        <v>0</v>
      </c>
      <c r="I574" t="n">
        <v>0</v>
      </c>
      <c r="J574" t="n">
        <v>0</v>
      </c>
      <c r="K574" t="n">
        <v>0</v>
      </c>
      <c r="L574" t="n">
        <v>0</v>
      </c>
      <c r="M574" t="n">
        <v>0</v>
      </c>
      <c r="N574" t="n">
        <v>0</v>
      </c>
      <c r="O574" t="n">
        <v>0</v>
      </c>
      <c r="P574" t="n">
        <v>0</v>
      </c>
      <c r="Q574" t="n">
        <v>0</v>
      </c>
      <c r="R574" s="2" t="inlineStr"/>
    </row>
    <row r="575" ht="15" customHeight="1">
      <c r="A575" t="inlineStr">
        <is>
          <t>A 19501-2025</t>
        </is>
      </c>
      <c r="B575" s="1" t="n">
        <v>45770.4015625</v>
      </c>
      <c r="C575" s="1" t="n">
        <v>45963</v>
      </c>
      <c r="D575" t="inlineStr">
        <is>
          <t>UPPSALA LÄN</t>
        </is>
      </c>
      <c r="E575" t="inlineStr">
        <is>
          <t>ÖSTHAMMAR</t>
        </is>
      </c>
      <c r="F575" t="inlineStr">
        <is>
          <t>Övriga Aktiebolag</t>
        </is>
      </c>
      <c r="G575" t="n">
        <v>17.3</v>
      </c>
      <c r="H575" t="n">
        <v>0</v>
      </c>
      <c r="I575" t="n">
        <v>0</v>
      </c>
      <c r="J575" t="n">
        <v>0</v>
      </c>
      <c r="K575" t="n">
        <v>0</v>
      </c>
      <c r="L575" t="n">
        <v>0</v>
      </c>
      <c r="M575" t="n">
        <v>0</v>
      </c>
      <c r="N575" t="n">
        <v>0</v>
      </c>
      <c r="O575" t="n">
        <v>0</v>
      </c>
      <c r="P575" t="n">
        <v>0</v>
      </c>
      <c r="Q575" t="n">
        <v>0</v>
      </c>
      <c r="R575" s="2" t="inlineStr"/>
    </row>
    <row r="576" ht="15" customHeight="1">
      <c r="A576" t="inlineStr">
        <is>
          <t>A 3119-2025</t>
        </is>
      </c>
      <c r="B576" s="1" t="n">
        <v>45678</v>
      </c>
      <c r="C576" s="1" t="n">
        <v>45963</v>
      </c>
      <c r="D576" t="inlineStr">
        <is>
          <t>UPPSALA LÄN</t>
        </is>
      </c>
      <c r="E576" t="inlineStr">
        <is>
          <t>ÖSTHAMMAR</t>
        </is>
      </c>
      <c r="G576" t="n">
        <v>1.1</v>
      </c>
      <c r="H576" t="n">
        <v>0</v>
      </c>
      <c r="I576" t="n">
        <v>0</v>
      </c>
      <c r="J576" t="n">
        <v>0</v>
      </c>
      <c r="K576" t="n">
        <v>0</v>
      </c>
      <c r="L576" t="n">
        <v>0</v>
      </c>
      <c r="M576" t="n">
        <v>0</v>
      </c>
      <c r="N576" t="n">
        <v>0</v>
      </c>
      <c r="O576" t="n">
        <v>0</v>
      </c>
      <c r="P576" t="n">
        <v>0</v>
      </c>
      <c r="Q576" t="n">
        <v>0</v>
      </c>
      <c r="R576" s="2" t="inlineStr"/>
    </row>
    <row r="577" ht="15" customHeight="1">
      <c r="A577" t="inlineStr">
        <is>
          <t>A 31956-2025</t>
        </is>
      </c>
      <c r="B577" s="1" t="n">
        <v>45835.34184027778</v>
      </c>
      <c r="C577" s="1" t="n">
        <v>45963</v>
      </c>
      <c r="D577" t="inlineStr">
        <is>
          <t>UPPSALA LÄN</t>
        </is>
      </c>
      <c r="E577" t="inlineStr">
        <is>
          <t>ÖSTHAMMAR</t>
        </is>
      </c>
      <c r="F577" t="inlineStr">
        <is>
          <t>Övriga Aktiebolag</t>
        </is>
      </c>
      <c r="G577" t="n">
        <v>4.2</v>
      </c>
      <c r="H577" t="n">
        <v>0</v>
      </c>
      <c r="I577" t="n">
        <v>0</v>
      </c>
      <c r="J577" t="n">
        <v>0</v>
      </c>
      <c r="K577" t="n">
        <v>0</v>
      </c>
      <c r="L577" t="n">
        <v>0</v>
      </c>
      <c r="M577" t="n">
        <v>0</v>
      </c>
      <c r="N577" t="n">
        <v>0</v>
      </c>
      <c r="O577" t="n">
        <v>0</v>
      </c>
      <c r="P577" t="n">
        <v>0</v>
      </c>
      <c r="Q577" t="n">
        <v>0</v>
      </c>
      <c r="R577" s="2" t="inlineStr"/>
    </row>
    <row r="578" ht="15" customHeight="1">
      <c r="A578" t="inlineStr">
        <is>
          <t>A 31977-2025</t>
        </is>
      </c>
      <c r="B578" s="1" t="n">
        <v>45835.3554050926</v>
      </c>
      <c r="C578" s="1" t="n">
        <v>45963</v>
      </c>
      <c r="D578" t="inlineStr">
        <is>
          <t>UPPSALA LÄN</t>
        </is>
      </c>
      <c r="E578" t="inlineStr">
        <is>
          <t>ÖSTHAMMAR</t>
        </is>
      </c>
      <c r="F578" t="inlineStr">
        <is>
          <t>Övriga Aktiebolag</t>
        </is>
      </c>
      <c r="G578" t="n">
        <v>35.3</v>
      </c>
      <c r="H578" t="n">
        <v>0</v>
      </c>
      <c r="I578" t="n">
        <v>0</v>
      </c>
      <c r="J578" t="n">
        <v>0</v>
      </c>
      <c r="K578" t="n">
        <v>0</v>
      </c>
      <c r="L578" t="n">
        <v>0</v>
      </c>
      <c r="M578" t="n">
        <v>0</v>
      </c>
      <c r="N578" t="n">
        <v>0</v>
      </c>
      <c r="O578" t="n">
        <v>0</v>
      </c>
      <c r="P578" t="n">
        <v>0</v>
      </c>
      <c r="Q578" t="n">
        <v>0</v>
      </c>
      <c r="R578" s="2" t="inlineStr"/>
    </row>
    <row r="579" ht="15" customHeight="1">
      <c r="A579" t="inlineStr">
        <is>
          <t>A 18183-2022</t>
        </is>
      </c>
      <c r="B579" s="1" t="n">
        <v>44684</v>
      </c>
      <c r="C579" s="1" t="n">
        <v>45963</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27476-2025</t>
        </is>
      </c>
      <c r="B580" s="1" t="n">
        <v>45813.37517361111</v>
      </c>
      <c r="C580" s="1" t="n">
        <v>45963</v>
      </c>
      <c r="D580" t="inlineStr">
        <is>
          <t>UPPSALA LÄN</t>
        </is>
      </c>
      <c r="E580" t="inlineStr">
        <is>
          <t>ÖSTHAMMAR</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28421-2023</t>
        </is>
      </c>
      <c r="B581" s="1" t="n">
        <v>45102</v>
      </c>
      <c r="C581" s="1" t="n">
        <v>45963</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17931-2025</t>
        </is>
      </c>
      <c r="B582" s="1" t="n">
        <v>45759.56894675926</v>
      </c>
      <c r="C582" s="1" t="n">
        <v>45963</v>
      </c>
      <c r="D582" t="inlineStr">
        <is>
          <t>UPPSALA LÄN</t>
        </is>
      </c>
      <c r="E582" t="inlineStr">
        <is>
          <t>ÖSTHAMMAR</t>
        </is>
      </c>
      <c r="G582" t="n">
        <v>2.1</v>
      </c>
      <c r="H582" t="n">
        <v>0</v>
      </c>
      <c r="I582" t="n">
        <v>0</v>
      </c>
      <c r="J582" t="n">
        <v>0</v>
      </c>
      <c r="K582" t="n">
        <v>0</v>
      </c>
      <c r="L582" t="n">
        <v>0</v>
      </c>
      <c r="M582" t="n">
        <v>0</v>
      </c>
      <c r="N582" t="n">
        <v>0</v>
      </c>
      <c r="O582" t="n">
        <v>0</v>
      </c>
      <c r="P582" t="n">
        <v>0</v>
      </c>
      <c r="Q582" t="n">
        <v>0</v>
      </c>
      <c r="R582" s="2" t="inlineStr"/>
    </row>
    <row r="583" ht="15" customHeight="1">
      <c r="A583" t="inlineStr">
        <is>
          <t>A 17938-2025</t>
        </is>
      </c>
      <c r="B583" s="1" t="n">
        <v>45760.55626157407</v>
      </c>
      <c r="C583" s="1" t="n">
        <v>45963</v>
      </c>
      <c r="D583" t="inlineStr">
        <is>
          <t>UPPSALA LÄN</t>
        </is>
      </c>
      <c r="E583" t="inlineStr">
        <is>
          <t>ÖSTHAMMAR</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32718-2025</t>
        </is>
      </c>
      <c r="B584" s="1" t="n">
        <v>45839.37740740741</v>
      </c>
      <c r="C584" s="1" t="n">
        <v>45963</v>
      </c>
      <c r="D584" t="inlineStr">
        <is>
          <t>UPPSALA LÄN</t>
        </is>
      </c>
      <c r="E584" t="inlineStr">
        <is>
          <t>ÖSTHAMMAR</t>
        </is>
      </c>
      <c r="G584" t="n">
        <v>10.4</v>
      </c>
      <c r="H584" t="n">
        <v>0</v>
      </c>
      <c r="I584" t="n">
        <v>0</v>
      </c>
      <c r="J584" t="n">
        <v>0</v>
      </c>
      <c r="K584" t="n">
        <v>0</v>
      </c>
      <c r="L584" t="n">
        <v>0</v>
      </c>
      <c r="M584" t="n">
        <v>0</v>
      </c>
      <c r="N584" t="n">
        <v>0</v>
      </c>
      <c r="O584" t="n">
        <v>0</v>
      </c>
      <c r="P584" t="n">
        <v>0</v>
      </c>
      <c r="Q584" t="n">
        <v>0</v>
      </c>
      <c r="R584" s="2" t="inlineStr"/>
    </row>
    <row r="585" ht="15" customHeight="1">
      <c r="A585" t="inlineStr">
        <is>
          <t>A 8763-2025</t>
        </is>
      </c>
      <c r="B585" s="1" t="n">
        <v>45712.57872685185</v>
      </c>
      <c r="C585" s="1" t="n">
        <v>45963</v>
      </c>
      <c r="D585" t="inlineStr">
        <is>
          <t>UPPSALA LÄN</t>
        </is>
      </c>
      <c r="E585" t="inlineStr">
        <is>
          <t>ÖSTHAMMAR</t>
        </is>
      </c>
      <c r="G585" t="n">
        <v>0.6</v>
      </c>
      <c r="H585" t="n">
        <v>0</v>
      </c>
      <c r="I585" t="n">
        <v>0</v>
      </c>
      <c r="J585" t="n">
        <v>0</v>
      </c>
      <c r="K585" t="n">
        <v>0</v>
      </c>
      <c r="L585" t="n">
        <v>0</v>
      </c>
      <c r="M585" t="n">
        <v>0</v>
      </c>
      <c r="N585" t="n">
        <v>0</v>
      </c>
      <c r="O585" t="n">
        <v>0</v>
      </c>
      <c r="P585" t="n">
        <v>0</v>
      </c>
      <c r="Q585" t="n">
        <v>0</v>
      </c>
      <c r="R585" s="2" t="inlineStr"/>
    </row>
    <row r="586" ht="15" customHeight="1">
      <c r="A586" t="inlineStr">
        <is>
          <t>A 5344-2025</t>
        </is>
      </c>
      <c r="B586" s="1" t="n">
        <v>45692</v>
      </c>
      <c r="C586" s="1" t="n">
        <v>45963</v>
      </c>
      <c r="D586" t="inlineStr">
        <is>
          <t>UPPSALA LÄN</t>
        </is>
      </c>
      <c r="E586" t="inlineStr">
        <is>
          <t>ÖSTHAMMAR</t>
        </is>
      </c>
      <c r="F586" t="inlineStr">
        <is>
          <t>Bergvik skog öst AB</t>
        </is>
      </c>
      <c r="G586" t="n">
        <v>3.2</v>
      </c>
      <c r="H586" t="n">
        <v>0</v>
      </c>
      <c r="I586" t="n">
        <v>0</v>
      </c>
      <c r="J586" t="n">
        <v>0</v>
      </c>
      <c r="K586" t="n">
        <v>0</v>
      </c>
      <c r="L586" t="n">
        <v>0</v>
      </c>
      <c r="M586" t="n">
        <v>0</v>
      </c>
      <c r="N586" t="n">
        <v>0</v>
      </c>
      <c r="O586" t="n">
        <v>0</v>
      </c>
      <c r="P586" t="n">
        <v>0</v>
      </c>
      <c r="Q586" t="n">
        <v>0</v>
      </c>
      <c r="R586" s="2" t="inlineStr"/>
    </row>
    <row r="587" ht="15" customHeight="1">
      <c r="A587" t="inlineStr">
        <is>
          <t>A 6892-2022</t>
        </is>
      </c>
      <c r="B587" s="1" t="n">
        <v>44602</v>
      </c>
      <c r="C587" s="1" t="n">
        <v>45963</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62295-2022</t>
        </is>
      </c>
      <c r="B588" s="1" t="n">
        <v>44916</v>
      </c>
      <c r="C588" s="1" t="n">
        <v>45963</v>
      </c>
      <c r="D588" t="inlineStr">
        <is>
          <t>UPPSALA LÄN</t>
        </is>
      </c>
      <c r="E588" t="inlineStr">
        <is>
          <t>ÖSTHAMMAR</t>
        </is>
      </c>
      <c r="G588" t="n">
        <v>3.3</v>
      </c>
      <c r="H588" t="n">
        <v>0</v>
      </c>
      <c r="I588" t="n">
        <v>0</v>
      </c>
      <c r="J588" t="n">
        <v>0</v>
      </c>
      <c r="K588" t="n">
        <v>0</v>
      </c>
      <c r="L588" t="n">
        <v>0</v>
      </c>
      <c r="M588" t="n">
        <v>0</v>
      </c>
      <c r="N588" t="n">
        <v>0</v>
      </c>
      <c r="O588" t="n">
        <v>0</v>
      </c>
      <c r="P588" t="n">
        <v>0</v>
      </c>
      <c r="Q588" t="n">
        <v>0</v>
      </c>
      <c r="R588" s="2" t="inlineStr"/>
    </row>
    <row r="589" ht="15" customHeight="1">
      <c r="A589" t="inlineStr">
        <is>
          <t>A 54368-2023</t>
        </is>
      </c>
      <c r="B589" s="1" t="n">
        <v>45233.33221064815</v>
      </c>
      <c r="C589" s="1" t="n">
        <v>45963</v>
      </c>
      <c r="D589" t="inlineStr">
        <is>
          <t>UPPSALA LÄN</t>
        </is>
      </c>
      <c r="E589" t="inlineStr">
        <is>
          <t>ÖSTHAMMAR</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32815-2024</t>
        </is>
      </c>
      <c r="B590" s="1" t="n">
        <v>45516.57682870371</v>
      </c>
      <c r="C590" s="1" t="n">
        <v>45963</v>
      </c>
      <c r="D590" t="inlineStr">
        <is>
          <t>UPPSALA LÄN</t>
        </is>
      </c>
      <c r="E590" t="inlineStr">
        <is>
          <t>ÖSTHAMMAR</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8830-2023</t>
        </is>
      </c>
      <c r="B591" s="1" t="n">
        <v>44978</v>
      </c>
      <c r="C591" s="1" t="n">
        <v>45963</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33529-2025</t>
        </is>
      </c>
      <c r="B592" s="1" t="n">
        <v>45841.55199074074</v>
      </c>
      <c r="C592" s="1" t="n">
        <v>45963</v>
      </c>
      <c r="D592" t="inlineStr">
        <is>
          <t>UPPSALA LÄN</t>
        </is>
      </c>
      <c r="E592" t="inlineStr">
        <is>
          <t>ÖSTHAMMAR</t>
        </is>
      </c>
      <c r="F592" t="inlineStr">
        <is>
          <t>Bergvik skog öst AB</t>
        </is>
      </c>
      <c r="G592" t="n">
        <v>11.8</v>
      </c>
      <c r="H592" t="n">
        <v>0</v>
      </c>
      <c r="I592" t="n">
        <v>0</v>
      </c>
      <c r="J592" t="n">
        <v>0</v>
      </c>
      <c r="K592" t="n">
        <v>0</v>
      </c>
      <c r="L592" t="n">
        <v>0</v>
      </c>
      <c r="M592" t="n">
        <v>0</v>
      </c>
      <c r="N592" t="n">
        <v>0</v>
      </c>
      <c r="O592" t="n">
        <v>0</v>
      </c>
      <c r="P592" t="n">
        <v>0</v>
      </c>
      <c r="Q592" t="n">
        <v>0</v>
      </c>
      <c r="R592" s="2" t="inlineStr"/>
    </row>
    <row r="593" ht="15" customHeight="1">
      <c r="A593" t="inlineStr">
        <is>
          <t>A 33048-2025</t>
        </is>
      </c>
      <c r="B593" s="1" t="n">
        <v>45840.41451388889</v>
      </c>
      <c r="C593" s="1" t="n">
        <v>45963</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33271-2025</t>
        </is>
      </c>
      <c r="B594" s="1" t="n">
        <v>45840.68381944444</v>
      </c>
      <c r="C594" s="1" t="n">
        <v>45963</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18091-2023</t>
        </is>
      </c>
      <c r="B595" s="1" t="n">
        <v>45040</v>
      </c>
      <c r="C595" s="1" t="n">
        <v>45963</v>
      </c>
      <c r="D595" t="inlineStr">
        <is>
          <t>UPPSALA LÄN</t>
        </is>
      </c>
      <c r="E595" t="inlineStr">
        <is>
          <t>ÖSTHAMMAR</t>
        </is>
      </c>
      <c r="G595" t="n">
        <v>2.4</v>
      </c>
      <c r="H595" t="n">
        <v>0</v>
      </c>
      <c r="I595" t="n">
        <v>0</v>
      </c>
      <c r="J595" t="n">
        <v>0</v>
      </c>
      <c r="K595" t="n">
        <v>0</v>
      </c>
      <c r="L595" t="n">
        <v>0</v>
      </c>
      <c r="M595" t="n">
        <v>0</v>
      </c>
      <c r="N595" t="n">
        <v>0</v>
      </c>
      <c r="O595" t="n">
        <v>0</v>
      </c>
      <c r="P595" t="n">
        <v>0</v>
      </c>
      <c r="Q595" t="n">
        <v>0</v>
      </c>
      <c r="R595" s="2" t="inlineStr"/>
    </row>
    <row r="596" ht="15" customHeight="1">
      <c r="A596" t="inlineStr">
        <is>
          <t>A 47522-2023</t>
        </is>
      </c>
      <c r="B596" s="1" t="n">
        <v>45203</v>
      </c>
      <c r="C596" s="1" t="n">
        <v>45963</v>
      </c>
      <c r="D596" t="inlineStr">
        <is>
          <t>UPPSALA LÄN</t>
        </is>
      </c>
      <c r="E596" t="inlineStr">
        <is>
          <t>ÖSTHAMMAR</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13358-2024</t>
        </is>
      </c>
      <c r="B597" s="1" t="n">
        <v>45387.3503125</v>
      </c>
      <c r="C597" s="1" t="n">
        <v>45963</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29282-2021</t>
        </is>
      </c>
      <c r="B598" s="1" t="n">
        <v>44361</v>
      </c>
      <c r="C598" s="1" t="n">
        <v>45963</v>
      </c>
      <c r="D598" t="inlineStr">
        <is>
          <t>UPPSALA LÄN</t>
        </is>
      </c>
      <c r="E598" t="inlineStr">
        <is>
          <t>ÖSTHAMMAR</t>
        </is>
      </c>
      <c r="G598" t="n">
        <v>2.4</v>
      </c>
      <c r="H598" t="n">
        <v>0</v>
      </c>
      <c r="I598" t="n">
        <v>0</v>
      </c>
      <c r="J598" t="n">
        <v>0</v>
      </c>
      <c r="K598" t="n">
        <v>0</v>
      </c>
      <c r="L598" t="n">
        <v>0</v>
      </c>
      <c r="M598" t="n">
        <v>0</v>
      </c>
      <c r="N598" t="n">
        <v>0</v>
      </c>
      <c r="O598" t="n">
        <v>0</v>
      </c>
      <c r="P598" t="n">
        <v>0</v>
      </c>
      <c r="Q598" t="n">
        <v>0</v>
      </c>
      <c r="R598" s="2" t="inlineStr"/>
    </row>
    <row r="599" ht="15" customHeight="1">
      <c r="A599" t="inlineStr">
        <is>
          <t>A 54366-2023</t>
        </is>
      </c>
      <c r="B599" s="1" t="n">
        <v>45233</v>
      </c>
      <c r="C599" s="1" t="n">
        <v>45963</v>
      </c>
      <c r="D599" t="inlineStr">
        <is>
          <t>UPPSALA LÄN</t>
        </is>
      </c>
      <c r="E599" t="inlineStr">
        <is>
          <t>ÖSTHAMMAR</t>
        </is>
      </c>
      <c r="F599" t="inlineStr">
        <is>
          <t>Bergvik skog öst AB</t>
        </is>
      </c>
      <c r="G599" t="n">
        <v>2.9</v>
      </c>
      <c r="H599" t="n">
        <v>0</v>
      </c>
      <c r="I599" t="n">
        <v>0</v>
      </c>
      <c r="J599" t="n">
        <v>0</v>
      </c>
      <c r="K599" t="n">
        <v>0</v>
      </c>
      <c r="L599" t="n">
        <v>0</v>
      </c>
      <c r="M599" t="n">
        <v>0</v>
      </c>
      <c r="N599" t="n">
        <v>0</v>
      </c>
      <c r="O599" t="n">
        <v>0</v>
      </c>
      <c r="P599" t="n">
        <v>0</v>
      </c>
      <c r="Q599" t="n">
        <v>0</v>
      </c>
      <c r="R599" s="2" t="inlineStr"/>
    </row>
    <row r="600" ht="15" customHeight="1">
      <c r="A600" t="inlineStr">
        <is>
          <t>A 5429-2023</t>
        </is>
      </c>
      <c r="B600" s="1" t="n">
        <v>44959.83037037037</v>
      </c>
      <c r="C600" s="1" t="n">
        <v>45963</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11008-2023</t>
        </is>
      </c>
      <c r="B601" s="1" t="n">
        <v>44991</v>
      </c>
      <c r="C601" s="1" t="n">
        <v>45963</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26395-2025</t>
        </is>
      </c>
      <c r="B602" s="1" t="n">
        <v>45807</v>
      </c>
      <c r="C602" s="1" t="n">
        <v>45963</v>
      </c>
      <c r="D602" t="inlineStr">
        <is>
          <t>UPPSALA LÄN</t>
        </is>
      </c>
      <c r="E602" t="inlineStr">
        <is>
          <t>ÖSTHAMMAR</t>
        </is>
      </c>
      <c r="G602" t="n">
        <v>7</v>
      </c>
      <c r="H602" t="n">
        <v>0</v>
      </c>
      <c r="I602" t="n">
        <v>0</v>
      </c>
      <c r="J602" t="n">
        <v>0</v>
      </c>
      <c r="K602" t="n">
        <v>0</v>
      </c>
      <c r="L602" t="n">
        <v>0</v>
      </c>
      <c r="M602" t="n">
        <v>0</v>
      </c>
      <c r="N602" t="n">
        <v>0</v>
      </c>
      <c r="O602" t="n">
        <v>0</v>
      </c>
      <c r="P602" t="n">
        <v>0</v>
      </c>
      <c r="Q602" t="n">
        <v>0</v>
      </c>
      <c r="R602" s="2" t="inlineStr"/>
    </row>
    <row r="603" ht="15" customHeight="1">
      <c r="A603" t="inlineStr">
        <is>
          <t>A 60047-2021</t>
        </is>
      </c>
      <c r="B603" s="1" t="n">
        <v>44495</v>
      </c>
      <c r="C603" s="1" t="n">
        <v>45963</v>
      </c>
      <c r="D603" t="inlineStr">
        <is>
          <t>UPPSALA LÄN</t>
        </is>
      </c>
      <c r="E603" t="inlineStr">
        <is>
          <t>ÖSTHAMMAR</t>
        </is>
      </c>
      <c r="F603" t="inlineStr">
        <is>
          <t>Övriga Aktiebolag</t>
        </is>
      </c>
      <c r="G603" t="n">
        <v>1.8</v>
      </c>
      <c r="H603" t="n">
        <v>0</v>
      </c>
      <c r="I603" t="n">
        <v>0</v>
      </c>
      <c r="J603" t="n">
        <v>0</v>
      </c>
      <c r="K603" t="n">
        <v>0</v>
      </c>
      <c r="L603" t="n">
        <v>0</v>
      </c>
      <c r="M603" t="n">
        <v>0</v>
      </c>
      <c r="N603" t="n">
        <v>0</v>
      </c>
      <c r="O603" t="n">
        <v>0</v>
      </c>
      <c r="P603" t="n">
        <v>0</v>
      </c>
      <c r="Q603" t="n">
        <v>0</v>
      </c>
      <c r="R603" s="2" t="inlineStr"/>
    </row>
    <row r="604" ht="15" customHeight="1">
      <c r="A604" t="inlineStr">
        <is>
          <t>A 8623-2025</t>
        </is>
      </c>
      <c r="B604" s="1" t="n">
        <v>45711.51902777778</v>
      </c>
      <c r="C604" s="1" t="n">
        <v>45963</v>
      </c>
      <c r="D604" t="inlineStr">
        <is>
          <t>UPPSALA LÄN</t>
        </is>
      </c>
      <c r="E604" t="inlineStr">
        <is>
          <t>ÖSTHAMMAR</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8626-2025</t>
        </is>
      </c>
      <c r="B605" s="1" t="n">
        <v>45711.53565972222</v>
      </c>
      <c r="C605" s="1" t="n">
        <v>45963</v>
      </c>
      <c r="D605" t="inlineStr">
        <is>
          <t>UPPSALA LÄN</t>
        </is>
      </c>
      <c r="E605" t="inlineStr">
        <is>
          <t>ÖSTHAMMAR</t>
        </is>
      </c>
      <c r="F605" t="inlineStr">
        <is>
          <t>Bergvik skog väst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52694-2023</t>
        </is>
      </c>
      <c r="B606" s="1" t="n">
        <v>45225.76836805556</v>
      </c>
      <c r="C606" s="1" t="n">
        <v>45963</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23120-2021</t>
        </is>
      </c>
      <c r="B607" s="1" t="n">
        <v>44330</v>
      </c>
      <c r="C607" s="1" t="n">
        <v>45963</v>
      </c>
      <c r="D607" t="inlineStr">
        <is>
          <t>UPPSALA LÄN</t>
        </is>
      </c>
      <c r="E607" t="inlineStr">
        <is>
          <t>ÖSTHAMMAR</t>
        </is>
      </c>
      <c r="G607" t="n">
        <v>0.5</v>
      </c>
      <c r="H607" t="n">
        <v>0</v>
      </c>
      <c r="I607" t="n">
        <v>0</v>
      </c>
      <c r="J607" t="n">
        <v>0</v>
      </c>
      <c r="K607" t="n">
        <v>0</v>
      </c>
      <c r="L607" t="n">
        <v>0</v>
      </c>
      <c r="M607" t="n">
        <v>0</v>
      </c>
      <c r="N607" t="n">
        <v>0</v>
      </c>
      <c r="O607" t="n">
        <v>0</v>
      </c>
      <c r="P607" t="n">
        <v>0</v>
      </c>
      <c r="Q607" t="n">
        <v>0</v>
      </c>
      <c r="R607" s="2" t="inlineStr"/>
    </row>
    <row r="608" ht="15" customHeight="1">
      <c r="A608" t="inlineStr">
        <is>
          <t>A 33972-2025</t>
        </is>
      </c>
      <c r="B608" s="1" t="n">
        <v>45842.97236111111</v>
      </c>
      <c r="C608" s="1" t="n">
        <v>45963</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45963</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33973-2025</t>
        </is>
      </c>
      <c r="B610" s="1" t="n">
        <v>45842.98429398148</v>
      </c>
      <c r="C610" s="1" t="n">
        <v>45963</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24128-2023</t>
        </is>
      </c>
      <c r="B611" s="1" t="n">
        <v>45079.50289351852</v>
      </c>
      <c r="C611" s="1" t="n">
        <v>45963</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33552-2024</t>
        </is>
      </c>
      <c r="B612" s="1" t="n">
        <v>45519</v>
      </c>
      <c r="C612" s="1" t="n">
        <v>45963</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33553-2024</t>
        </is>
      </c>
      <c r="B613" s="1" t="n">
        <v>45519</v>
      </c>
      <c r="C613" s="1" t="n">
        <v>45963</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36873-2022</t>
        </is>
      </c>
      <c r="B614" s="1" t="n">
        <v>44805.63708333333</v>
      </c>
      <c r="C614" s="1" t="n">
        <v>45963</v>
      </c>
      <c r="D614" t="inlineStr">
        <is>
          <t>UPPSALA LÄN</t>
        </is>
      </c>
      <c r="E614" t="inlineStr">
        <is>
          <t>ÖSTHAMMAR</t>
        </is>
      </c>
      <c r="G614" t="n">
        <v>2.5</v>
      </c>
      <c r="H614" t="n">
        <v>0</v>
      </c>
      <c r="I614" t="n">
        <v>0</v>
      </c>
      <c r="J614" t="n">
        <v>0</v>
      </c>
      <c r="K614" t="n">
        <v>0</v>
      </c>
      <c r="L614" t="n">
        <v>0</v>
      </c>
      <c r="M614" t="n">
        <v>0</v>
      </c>
      <c r="N614" t="n">
        <v>0</v>
      </c>
      <c r="O614" t="n">
        <v>0</v>
      </c>
      <c r="P614" t="n">
        <v>0</v>
      </c>
      <c r="Q614" t="n">
        <v>0</v>
      </c>
      <c r="R614" s="2" t="inlineStr"/>
    </row>
    <row r="615" ht="15" customHeight="1">
      <c r="A615" t="inlineStr">
        <is>
          <t>A 25859-2024</t>
        </is>
      </c>
      <c r="B615" s="1" t="n">
        <v>45467</v>
      </c>
      <c r="C615" s="1" t="n">
        <v>45963</v>
      </c>
      <c r="D615" t="inlineStr">
        <is>
          <t>UPPSALA LÄN</t>
        </is>
      </c>
      <c r="E615" t="inlineStr">
        <is>
          <t>ÖSTHAMMAR</t>
        </is>
      </c>
      <c r="G615" t="n">
        <v>7.9</v>
      </c>
      <c r="H615" t="n">
        <v>0</v>
      </c>
      <c r="I615" t="n">
        <v>0</v>
      </c>
      <c r="J615" t="n">
        <v>0</v>
      </c>
      <c r="K615" t="n">
        <v>0</v>
      </c>
      <c r="L615" t="n">
        <v>0</v>
      </c>
      <c r="M615" t="n">
        <v>0</v>
      </c>
      <c r="N615" t="n">
        <v>0</v>
      </c>
      <c r="O615" t="n">
        <v>0</v>
      </c>
      <c r="P615" t="n">
        <v>0</v>
      </c>
      <c r="Q615" t="n">
        <v>0</v>
      </c>
      <c r="R615" s="2" t="inlineStr"/>
    </row>
    <row r="616" ht="15" customHeight="1">
      <c r="A616" t="inlineStr">
        <is>
          <t>A 24181-2022</t>
        </is>
      </c>
      <c r="B616" s="1" t="n">
        <v>44725</v>
      </c>
      <c r="C616" s="1" t="n">
        <v>45963</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10117-2025</t>
        </is>
      </c>
      <c r="B617" s="1" t="n">
        <v>45719.59866898148</v>
      </c>
      <c r="C617" s="1" t="n">
        <v>45963</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54666-2022</t>
        </is>
      </c>
      <c r="B618" s="1" t="n">
        <v>44883</v>
      </c>
      <c r="C618" s="1" t="n">
        <v>45963</v>
      </c>
      <c r="D618" t="inlineStr">
        <is>
          <t>UPPSALA LÄN</t>
        </is>
      </c>
      <c r="E618" t="inlineStr">
        <is>
          <t>ÖSTHAMMAR</t>
        </is>
      </c>
      <c r="G618" t="n">
        <v>14.3</v>
      </c>
      <c r="H618" t="n">
        <v>0</v>
      </c>
      <c r="I618" t="n">
        <v>0</v>
      </c>
      <c r="J618" t="n">
        <v>0</v>
      </c>
      <c r="K618" t="n">
        <v>0</v>
      </c>
      <c r="L618" t="n">
        <v>0</v>
      </c>
      <c r="M618" t="n">
        <v>0</v>
      </c>
      <c r="N618" t="n">
        <v>0</v>
      </c>
      <c r="O618" t="n">
        <v>0</v>
      </c>
      <c r="P618" t="n">
        <v>0</v>
      </c>
      <c r="Q618" t="n">
        <v>0</v>
      </c>
      <c r="R618" s="2" t="inlineStr"/>
    </row>
    <row r="619" ht="15" customHeight="1">
      <c r="A619" t="inlineStr">
        <is>
          <t>A 19947-2024</t>
        </is>
      </c>
      <c r="B619" s="1" t="n">
        <v>45433</v>
      </c>
      <c r="C619" s="1" t="n">
        <v>45963</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16240-2025</t>
        </is>
      </c>
      <c r="B620" s="1" t="n">
        <v>45746</v>
      </c>
      <c r="C620" s="1" t="n">
        <v>45963</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61817-2021</t>
        </is>
      </c>
      <c r="B621" s="1" t="n">
        <v>44501.76855324074</v>
      </c>
      <c r="C621" s="1" t="n">
        <v>45963</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19640-2025</t>
        </is>
      </c>
      <c r="B622" s="1" t="n">
        <v>45770.65739583333</v>
      </c>
      <c r="C622" s="1" t="n">
        <v>45963</v>
      </c>
      <c r="D622" t="inlineStr">
        <is>
          <t>UPPSALA LÄN</t>
        </is>
      </c>
      <c r="E622" t="inlineStr">
        <is>
          <t>ÖSTHAMMAR</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44928.40917824074</v>
      </c>
      <c r="C623" s="1" t="n">
        <v>45963</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44928.41822916667</v>
      </c>
      <c r="C624" s="1" t="n">
        <v>45963</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55079-2024</t>
        </is>
      </c>
      <c r="B625" s="1" t="n">
        <v>45621.42747685185</v>
      </c>
      <c r="C625" s="1" t="n">
        <v>45963</v>
      </c>
      <c r="D625" t="inlineStr">
        <is>
          <t>UPPSALA LÄN</t>
        </is>
      </c>
      <c r="E625" t="inlineStr">
        <is>
          <t>ÖSTHAMMAR</t>
        </is>
      </c>
      <c r="F625" t="inlineStr">
        <is>
          <t>Sveaskog</t>
        </is>
      </c>
      <c r="G625" t="n">
        <v>2.7</v>
      </c>
      <c r="H625" t="n">
        <v>0</v>
      </c>
      <c r="I625" t="n">
        <v>0</v>
      </c>
      <c r="J625" t="n">
        <v>0</v>
      </c>
      <c r="K625" t="n">
        <v>0</v>
      </c>
      <c r="L625" t="n">
        <v>0</v>
      </c>
      <c r="M625" t="n">
        <v>0</v>
      </c>
      <c r="N625" t="n">
        <v>0</v>
      </c>
      <c r="O625" t="n">
        <v>0</v>
      </c>
      <c r="P625" t="n">
        <v>0</v>
      </c>
      <c r="Q625" t="n">
        <v>0</v>
      </c>
      <c r="R625" s="2" t="inlineStr"/>
    </row>
    <row r="626" ht="15" customHeight="1">
      <c r="A626" t="inlineStr">
        <is>
          <t>A 54437-2024</t>
        </is>
      </c>
      <c r="B626" s="1" t="n">
        <v>45617</v>
      </c>
      <c r="C626" s="1" t="n">
        <v>45963</v>
      </c>
      <c r="D626" t="inlineStr">
        <is>
          <t>UPPSALA LÄN</t>
        </is>
      </c>
      <c r="E626" t="inlineStr">
        <is>
          <t>ÖSTHAMMAR</t>
        </is>
      </c>
      <c r="G626" t="n">
        <v>2.1</v>
      </c>
      <c r="H626" t="n">
        <v>0</v>
      </c>
      <c r="I626" t="n">
        <v>0</v>
      </c>
      <c r="J626" t="n">
        <v>0</v>
      </c>
      <c r="K626" t="n">
        <v>0</v>
      </c>
      <c r="L626" t="n">
        <v>0</v>
      </c>
      <c r="M626" t="n">
        <v>0</v>
      </c>
      <c r="N626" t="n">
        <v>0</v>
      </c>
      <c r="O626" t="n">
        <v>0</v>
      </c>
      <c r="P626" t="n">
        <v>0</v>
      </c>
      <c r="Q626" t="n">
        <v>0</v>
      </c>
      <c r="R626" s="2" t="inlineStr"/>
    </row>
    <row r="627" ht="15" customHeight="1">
      <c r="A627" t="inlineStr">
        <is>
          <t>A 9052-2023</t>
        </is>
      </c>
      <c r="B627" s="1" t="n">
        <v>44979</v>
      </c>
      <c r="C627" s="1" t="n">
        <v>45963</v>
      </c>
      <c r="D627" t="inlineStr">
        <is>
          <t>UPPSALA LÄN</t>
        </is>
      </c>
      <c r="E627" t="inlineStr">
        <is>
          <t>ÖSTHAMMAR</t>
        </is>
      </c>
      <c r="F627" t="inlineStr">
        <is>
          <t>Kyrkan</t>
        </is>
      </c>
      <c r="G627" t="n">
        <v>0.2</v>
      </c>
      <c r="H627" t="n">
        <v>0</v>
      </c>
      <c r="I627" t="n">
        <v>0</v>
      </c>
      <c r="J627" t="n">
        <v>0</v>
      </c>
      <c r="K627" t="n">
        <v>0</v>
      </c>
      <c r="L627" t="n">
        <v>0</v>
      </c>
      <c r="M627" t="n">
        <v>0</v>
      </c>
      <c r="N627" t="n">
        <v>0</v>
      </c>
      <c r="O627" t="n">
        <v>0</v>
      </c>
      <c r="P627" t="n">
        <v>0</v>
      </c>
      <c r="Q627" t="n">
        <v>0</v>
      </c>
      <c r="R627" s="2" t="inlineStr"/>
    </row>
    <row r="628" ht="15" customHeight="1">
      <c r="A628" t="inlineStr">
        <is>
          <t>A 28152-2024</t>
        </is>
      </c>
      <c r="B628" s="1" t="n">
        <v>45476.77056712963</v>
      </c>
      <c r="C628" s="1" t="n">
        <v>45963</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33680-2024</t>
        </is>
      </c>
      <c r="B629" s="1" t="n">
        <v>45520.50712962963</v>
      </c>
      <c r="C629" s="1" t="n">
        <v>45963</v>
      </c>
      <c r="D629" t="inlineStr">
        <is>
          <t>UPPSALA LÄN</t>
        </is>
      </c>
      <c r="E629" t="inlineStr">
        <is>
          <t>ÖSTHAMMAR</t>
        </is>
      </c>
      <c r="F629" t="inlineStr">
        <is>
          <t>Bergvik skog öst AB</t>
        </is>
      </c>
      <c r="G629" t="n">
        <v>0.5</v>
      </c>
      <c r="H629" t="n">
        <v>0</v>
      </c>
      <c r="I629" t="n">
        <v>0</v>
      </c>
      <c r="J629" t="n">
        <v>0</v>
      </c>
      <c r="K629" t="n">
        <v>0</v>
      </c>
      <c r="L629" t="n">
        <v>0</v>
      </c>
      <c r="M629" t="n">
        <v>0</v>
      </c>
      <c r="N629" t="n">
        <v>0</v>
      </c>
      <c r="O629" t="n">
        <v>0</v>
      </c>
      <c r="P629" t="n">
        <v>0</v>
      </c>
      <c r="Q629" t="n">
        <v>0</v>
      </c>
      <c r="R629" s="2" t="inlineStr"/>
    </row>
    <row r="630" ht="15" customHeight="1">
      <c r="A630" t="inlineStr">
        <is>
          <t>A 20326-2021</t>
        </is>
      </c>
      <c r="B630" s="1" t="n">
        <v>44308</v>
      </c>
      <c r="C630" s="1" t="n">
        <v>45963</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33550-2024</t>
        </is>
      </c>
      <c r="B631" s="1" t="n">
        <v>45519.81043981481</v>
      </c>
      <c r="C631" s="1" t="n">
        <v>45963</v>
      </c>
      <c r="D631" t="inlineStr">
        <is>
          <t>UPPSALA LÄN</t>
        </is>
      </c>
      <c r="E631" t="inlineStr">
        <is>
          <t>ÖSTHAMMAR</t>
        </is>
      </c>
      <c r="F631" t="inlineStr">
        <is>
          <t>Bergvik skog öst AB</t>
        </is>
      </c>
      <c r="G631" t="n">
        <v>1.8</v>
      </c>
      <c r="H631" t="n">
        <v>0</v>
      </c>
      <c r="I631" t="n">
        <v>0</v>
      </c>
      <c r="J631" t="n">
        <v>0</v>
      </c>
      <c r="K631" t="n">
        <v>0</v>
      </c>
      <c r="L631" t="n">
        <v>0</v>
      </c>
      <c r="M631" t="n">
        <v>0</v>
      </c>
      <c r="N631" t="n">
        <v>0</v>
      </c>
      <c r="O631" t="n">
        <v>0</v>
      </c>
      <c r="P631" t="n">
        <v>0</v>
      </c>
      <c r="Q631" t="n">
        <v>0</v>
      </c>
      <c r="R631" s="2" t="inlineStr"/>
    </row>
    <row r="632" ht="15" customHeight="1">
      <c r="A632" t="inlineStr">
        <is>
          <t>A 30811-2023</t>
        </is>
      </c>
      <c r="B632" s="1" t="n">
        <v>45112.86422453704</v>
      </c>
      <c r="C632" s="1" t="n">
        <v>45963</v>
      </c>
      <c r="D632" t="inlineStr">
        <is>
          <t>UPPSALA LÄN</t>
        </is>
      </c>
      <c r="E632" t="inlineStr">
        <is>
          <t>ÖSTHAMMAR</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55646-2021</t>
        </is>
      </c>
      <c r="B633" s="1" t="n">
        <v>44476.3632175926</v>
      </c>
      <c r="C633" s="1" t="n">
        <v>45963</v>
      </c>
      <c r="D633" t="inlineStr">
        <is>
          <t>UPPSALA LÄN</t>
        </is>
      </c>
      <c r="E633" t="inlineStr">
        <is>
          <t>ÖSTHAMMAR</t>
        </is>
      </c>
      <c r="F633" t="inlineStr">
        <is>
          <t>Bergvik skog öst AB</t>
        </is>
      </c>
      <c r="G633" t="n">
        <v>0.2</v>
      </c>
      <c r="H633" t="n">
        <v>0</v>
      </c>
      <c r="I633" t="n">
        <v>0</v>
      </c>
      <c r="J633" t="n">
        <v>0</v>
      </c>
      <c r="K633" t="n">
        <v>0</v>
      </c>
      <c r="L633" t="n">
        <v>0</v>
      </c>
      <c r="M633" t="n">
        <v>0</v>
      </c>
      <c r="N633" t="n">
        <v>0</v>
      </c>
      <c r="O633" t="n">
        <v>0</v>
      </c>
      <c r="P633" t="n">
        <v>0</v>
      </c>
      <c r="Q633" t="n">
        <v>0</v>
      </c>
      <c r="R633" s="2" t="inlineStr"/>
    </row>
    <row r="634" ht="15" customHeight="1">
      <c r="A634" t="inlineStr">
        <is>
          <t>A 17643-2025</t>
        </is>
      </c>
      <c r="B634" s="1" t="n">
        <v>45758.32454861111</v>
      </c>
      <c r="C634" s="1" t="n">
        <v>45963</v>
      </c>
      <c r="D634" t="inlineStr">
        <is>
          <t>UPPSALA LÄN</t>
        </is>
      </c>
      <c r="E634" t="inlineStr">
        <is>
          <t>ÖSTHAMMAR</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61443-2024</t>
        </is>
      </c>
      <c r="B635" s="1" t="n">
        <v>45646.47936342593</v>
      </c>
      <c r="C635" s="1" t="n">
        <v>45963</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12262-2023</t>
        </is>
      </c>
      <c r="B636" s="1" t="n">
        <v>44998.66662037037</v>
      </c>
      <c r="C636" s="1" t="n">
        <v>45963</v>
      </c>
      <c r="D636" t="inlineStr">
        <is>
          <t>UPPSALA LÄN</t>
        </is>
      </c>
      <c r="E636" t="inlineStr">
        <is>
          <t>ÖSTHAMMAR</t>
        </is>
      </c>
      <c r="G636" t="n">
        <v>4.1</v>
      </c>
      <c r="H636" t="n">
        <v>0</v>
      </c>
      <c r="I636" t="n">
        <v>0</v>
      </c>
      <c r="J636" t="n">
        <v>0</v>
      </c>
      <c r="K636" t="n">
        <v>0</v>
      </c>
      <c r="L636" t="n">
        <v>0</v>
      </c>
      <c r="M636" t="n">
        <v>0</v>
      </c>
      <c r="N636" t="n">
        <v>0</v>
      </c>
      <c r="O636" t="n">
        <v>0</v>
      </c>
      <c r="P636" t="n">
        <v>0</v>
      </c>
      <c r="Q636" t="n">
        <v>0</v>
      </c>
      <c r="R636" s="2" t="inlineStr"/>
    </row>
    <row r="637" ht="15" customHeight="1">
      <c r="A637" t="inlineStr">
        <is>
          <t>A 41478-2024</t>
        </is>
      </c>
      <c r="B637" s="1" t="n">
        <v>45560.44158564815</v>
      </c>
      <c r="C637" s="1" t="n">
        <v>45963</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47020-2025</t>
        </is>
      </c>
      <c r="B638" s="1" t="n">
        <v>45929.5775</v>
      </c>
      <c r="C638" s="1" t="n">
        <v>45963</v>
      </c>
      <c r="D638" t="inlineStr">
        <is>
          <t>UPPSALA LÄN</t>
        </is>
      </c>
      <c r="E638" t="inlineStr">
        <is>
          <t>ÖSTHAMMAR</t>
        </is>
      </c>
      <c r="G638" t="n">
        <v>2.1</v>
      </c>
      <c r="H638" t="n">
        <v>0</v>
      </c>
      <c r="I638" t="n">
        <v>0</v>
      </c>
      <c r="J638" t="n">
        <v>0</v>
      </c>
      <c r="K638" t="n">
        <v>0</v>
      </c>
      <c r="L638" t="n">
        <v>0</v>
      </c>
      <c r="M638" t="n">
        <v>0</v>
      </c>
      <c r="N638" t="n">
        <v>0</v>
      </c>
      <c r="O638" t="n">
        <v>0</v>
      </c>
      <c r="P638" t="n">
        <v>0</v>
      </c>
      <c r="Q638" t="n">
        <v>0</v>
      </c>
      <c r="R638" s="2" t="inlineStr"/>
    </row>
    <row r="639" ht="15" customHeight="1">
      <c r="A639" t="inlineStr">
        <is>
          <t>A 46826-2025</t>
        </is>
      </c>
      <c r="B639" s="1" t="n">
        <v>45927.00606481481</v>
      </c>
      <c r="C639" s="1" t="n">
        <v>45963</v>
      </c>
      <c r="D639" t="inlineStr">
        <is>
          <t>UPPSALA LÄN</t>
        </is>
      </c>
      <c r="E639" t="inlineStr">
        <is>
          <t>ÖSTHAMMAR</t>
        </is>
      </c>
      <c r="G639" t="n">
        <v>9</v>
      </c>
      <c r="H639" t="n">
        <v>0</v>
      </c>
      <c r="I639" t="n">
        <v>0</v>
      </c>
      <c r="J639" t="n">
        <v>0</v>
      </c>
      <c r="K639" t="n">
        <v>0</v>
      </c>
      <c r="L639" t="n">
        <v>0</v>
      </c>
      <c r="M639" t="n">
        <v>0</v>
      </c>
      <c r="N639" t="n">
        <v>0</v>
      </c>
      <c r="O639" t="n">
        <v>0</v>
      </c>
      <c r="P639" t="n">
        <v>0</v>
      </c>
      <c r="Q639" t="n">
        <v>0</v>
      </c>
      <c r="R639" s="2" t="inlineStr"/>
    </row>
    <row r="640" ht="15" customHeight="1">
      <c r="A640" t="inlineStr">
        <is>
          <t>A 16141-2022</t>
        </is>
      </c>
      <c r="B640" s="1" t="n">
        <v>44665</v>
      </c>
      <c r="C640" s="1" t="n">
        <v>45963</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34922-2023</t>
        </is>
      </c>
      <c r="B641" s="1" t="n">
        <v>45142.48359953704</v>
      </c>
      <c r="C641" s="1" t="n">
        <v>45963</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36092-2025</t>
        </is>
      </c>
      <c r="B642" s="1" t="n">
        <v>45866.48244212963</v>
      </c>
      <c r="C642" s="1" t="n">
        <v>45963</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17929-2025</t>
        </is>
      </c>
      <c r="B643" s="1" t="n">
        <v>45759.56462962963</v>
      </c>
      <c r="C643" s="1" t="n">
        <v>45963</v>
      </c>
      <c r="D643" t="inlineStr">
        <is>
          <t>UPPSALA LÄN</t>
        </is>
      </c>
      <c r="E643" t="inlineStr">
        <is>
          <t>ÖSTHAMMAR</t>
        </is>
      </c>
      <c r="G643" t="n">
        <v>3.4</v>
      </c>
      <c r="H643" t="n">
        <v>0</v>
      </c>
      <c r="I643" t="n">
        <v>0</v>
      </c>
      <c r="J643" t="n">
        <v>0</v>
      </c>
      <c r="K643" t="n">
        <v>0</v>
      </c>
      <c r="L643" t="n">
        <v>0</v>
      </c>
      <c r="M643" t="n">
        <v>0</v>
      </c>
      <c r="N643" t="n">
        <v>0</v>
      </c>
      <c r="O643" t="n">
        <v>0</v>
      </c>
      <c r="P643" t="n">
        <v>0</v>
      </c>
      <c r="Q643" t="n">
        <v>0</v>
      </c>
      <c r="R643" s="2" t="inlineStr"/>
    </row>
    <row r="644" ht="15" customHeight="1">
      <c r="A644" t="inlineStr">
        <is>
          <t>A 23495-2023</t>
        </is>
      </c>
      <c r="B644" s="1" t="n">
        <v>45076.71652777777</v>
      </c>
      <c r="C644" s="1" t="n">
        <v>45963</v>
      </c>
      <c r="D644" t="inlineStr">
        <is>
          <t>UPPSALA LÄN</t>
        </is>
      </c>
      <c r="E644" t="inlineStr">
        <is>
          <t>ÖSTHAMMAR</t>
        </is>
      </c>
      <c r="F644" t="inlineStr">
        <is>
          <t>Sveaskog</t>
        </is>
      </c>
      <c r="G644" t="n">
        <v>2.3</v>
      </c>
      <c r="H644" t="n">
        <v>0</v>
      </c>
      <c r="I644" t="n">
        <v>0</v>
      </c>
      <c r="J644" t="n">
        <v>0</v>
      </c>
      <c r="K644" t="n">
        <v>0</v>
      </c>
      <c r="L644" t="n">
        <v>0</v>
      </c>
      <c r="M644" t="n">
        <v>0</v>
      </c>
      <c r="N644" t="n">
        <v>0</v>
      </c>
      <c r="O644" t="n">
        <v>0</v>
      </c>
      <c r="P644" t="n">
        <v>0</v>
      </c>
      <c r="Q644" t="n">
        <v>0</v>
      </c>
      <c r="R644" s="2" t="inlineStr"/>
    </row>
    <row r="645" ht="15" customHeight="1">
      <c r="A645" t="inlineStr">
        <is>
          <t>A 36451-2025</t>
        </is>
      </c>
      <c r="B645" s="1" t="n">
        <v>45869.4290625</v>
      </c>
      <c r="C645" s="1" t="n">
        <v>45963</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36643-2025</t>
        </is>
      </c>
      <c r="B646" s="1" t="n">
        <v>45872.47782407407</v>
      </c>
      <c r="C646" s="1" t="n">
        <v>45963</v>
      </c>
      <c r="D646" t="inlineStr">
        <is>
          <t>UPPSALA LÄN</t>
        </is>
      </c>
      <c r="E646" t="inlineStr">
        <is>
          <t>ÖSTHAMMAR</t>
        </is>
      </c>
      <c r="F646" t="inlineStr">
        <is>
          <t>Bergvik skog öst AB</t>
        </is>
      </c>
      <c r="G646" t="n">
        <v>15.1</v>
      </c>
      <c r="H646" t="n">
        <v>0</v>
      </c>
      <c r="I646" t="n">
        <v>0</v>
      </c>
      <c r="J646" t="n">
        <v>0</v>
      </c>
      <c r="K646" t="n">
        <v>0</v>
      </c>
      <c r="L646" t="n">
        <v>0</v>
      </c>
      <c r="M646" t="n">
        <v>0</v>
      </c>
      <c r="N646" t="n">
        <v>0</v>
      </c>
      <c r="O646" t="n">
        <v>0</v>
      </c>
      <c r="P646" t="n">
        <v>0</v>
      </c>
      <c r="Q646" t="n">
        <v>0</v>
      </c>
      <c r="R646" s="2" t="inlineStr"/>
    </row>
    <row r="647" ht="15" customHeight="1">
      <c r="A647" t="inlineStr">
        <is>
          <t>A 38233-2024</t>
        </is>
      </c>
      <c r="B647" s="1" t="n">
        <v>45545</v>
      </c>
      <c r="C647" s="1" t="n">
        <v>45963</v>
      </c>
      <c r="D647" t="inlineStr">
        <is>
          <t>UPPSALA LÄN</t>
        </is>
      </c>
      <c r="E647" t="inlineStr">
        <is>
          <t>ÖSTHAMMAR</t>
        </is>
      </c>
      <c r="G647" t="n">
        <v>3.4</v>
      </c>
      <c r="H647" t="n">
        <v>0</v>
      </c>
      <c r="I647" t="n">
        <v>0</v>
      </c>
      <c r="J647" t="n">
        <v>0</v>
      </c>
      <c r="K647" t="n">
        <v>0</v>
      </c>
      <c r="L647" t="n">
        <v>0</v>
      </c>
      <c r="M647" t="n">
        <v>0</v>
      </c>
      <c r="N647" t="n">
        <v>0</v>
      </c>
      <c r="O647" t="n">
        <v>0</v>
      </c>
      <c r="P647" t="n">
        <v>0</v>
      </c>
      <c r="Q647" t="n">
        <v>0</v>
      </c>
      <c r="R647" s="2" t="inlineStr"/>
    </row>
    <row r="648" ht="15" customHeight="1">
      <c r="A648" t="inlineStr">
        <is>
          <t>A 47615-2025</t>
        </is>
      </c>
      <c r="B648" s="1" t="n">
        <v>45931.47542824074</v>
      </c>
      <c r="C648" s="1" t="n">
        <v>45963</v>
      </c>
      <c r="D648" t="inlineStr">
        <is>
          <t>UPPSALA LÄN</t>
        </is>
      </c>
      <c r="E648" t="inlineStr">
        <is>
          <t>ÖSTHAMMAR</t>
        </is>
      </c>
      <c r="G648" t="n">
        <v>7</v>
      </c>
      <c r="H648" t="n">
        <v>0</v>
      </c>
      <c r="I648" t="n">
        <v>0</v>
      </c>
      <c r="J648" t="n">
        <v>0</v>
      </c>
      <c r="K648" t="n">
        <v>0</v>
      </c>
      <c r="L648" t="n">
        <v>0</v>
      </c>
      <c r="M648" t="n">
        <v>0</v>
      </c>
      <c r="N648" t="n">
        <v>0</v>
      </c>
      <c r="O648" t="n">
        <v>0</v>
      </c>
      <c r="P648" t="n">
        <v>0</v>
      </c>
      <c r="Q648" t="n">
        <v>0</v>
      </c>
      <c r="R648" s="2" t="inlineStr"/>
    </row>
    <row r="649" ht="15" customHeight="1">
      <c r="A649" t="inlineStr">
        <is>
          <t>A 36645-2025</t>
        </is>
      </c>
      <c r="B649" s="1" t="n">
        <v>45872</v>
      </c>
      <c r="C649" s="1" t="n">
        <v>45963</v>
      </c>
      <c r="D649" t="inlineStr">
        <is>
          <t>UPPSALA LÄN</t>
        </is>
      </c>
      <c r="E649" t="inlineStr">
        <is>
          <t>ÖSTHAMMAR</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36644-2025</t>
        </is>
      </c>
      <c r="B650" s="1" t="n">
        <v>45872.48738425926</v>
      </c>
      <c r="C650" s="1" t="n">
        <v>45963</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17947-2022</t>
        </is>
      </c>
      <c r="B651" s="1" t="n">
        <v>44683</v>
      </c>
      <c r="C651" s="1" t="n">
        <v>45963</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36646-2025</t>
        </is>
      </c>
      <c r="B652" s="1" t="n">
        <v>45872</v>
      </c>
      <c r="C652" s="1" t="n">
        <v>45963</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22798-2023</t>
        </is>
      </c>
      <c r="B653" s="1" t="n">
        <v>45072</v>
      </c>
      <c r="C653" s="1" t="n">
        <v>45963</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11547-2022</t>
        </is>
      </c>
      <c r="B654" s="1" t="n">
        <v>44631.43116898148</v>
      </c>
      <c r="C654" s="1" t="n">
        <v>45963</v>
      </c>
      <c r="D654" t="inlineStr">
        <is>
          <t>UPPSALA LÄN</t>
        </is>
      </c>
      <c r="E654" t="inlineStr">
        <is>
          <t>ÖSTHAMMAR</t>
        </is>
      </c>
      <c r="G654" t="n">
        <v>4.4</v>
      </c>
      <c r="H654" t="n">
        <v>0</v>
      </c>
      <c r="I654" t="n">
        <v>0</v>
      </c>
      <c r="J654" t="n">
        <v>0</v>
      </c>
      <c r="K654" t="n">
        <v>0</v>
      </c>
      <c r="L654" t="n">
        <v>0</v>
      </c>
      <c r="M654" t="n">
        <v>0</v>
      </c>
      <c r="N654" t="n">
        <v>0</v>
      </c>
      <c r="O654" t="n">
        <v>0</v>
      </c>
      <c r="P654" t="n">
        <v>0</v>
      </c>
      <c r="Q654" t="n">
        <v>0</v>
      </c>
      <c r="R654" s="2" t="inlineStr"/>
    </row>
    <row r="655" ht="15" customHeight="1">
      <c r="A655" t="inlineStr">
        <is>
          <t>A 4561-2022</t>
        </is>
      </c>
      <c r="B655" s="1" t="n">
        <v>44591.59170138889</v>
      </c>
      <c r="C655" s="1" t="n">
        <v>45963</v>
      </c>
      <c r="D655" t="inlineStr">
        <is>
          <t>UPPSALA LÄN</t>
        </is>
      </c>
      <c r="E655" t="inlineStr">
        <is>
          <t>ÖSTHAMMAR</t>
        </is>
      </c>
      <c r="F655" t="inlineStr">
        <is>
          <t>Bergvik skog öst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47336-2025</t>
        </is>
      </c>
      <c r="B656" s="1" t="n">
        <v>45930.56592592593</v>
      </c>
      <c r="C656" s="1" t="n">
        <v>45963</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47337-2025</t>
        </is>
      </c>
      <c r="B657" s="1" t="n">
        <v>45930.56607638889</v>
      </c>
      <c r="C657" s="1" t="n">
        <v>45963</v>
      </c>
      <c r="D657" t="inlineStr">
        <is>
          <t>UPPSALA LÄN</t>
        </is>
      </c>
      <c r="E657" t="inlineStr">
        <is>
          <t>ÖSTHAMMAR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47338-2025</t>
        </is>
      </c>
      <c r="B658" s="1" t="n">
        <v>45930.56626157407</v>
      </c>
      <c r="C658" s="1" t="n">
        <v>45963</v>
      </c>
      <c r="D658" t="inlineStr">
        <is>
          <t>UPPSALA LÄN</t>
        </is>
      </c>
      <c r="E658" t="inlineStr">
        <is>
          <t>ÖSTHAMMAR</t>
        </is>
      </c>
      <c r="G658" t="n">
        <v>2.4</v>
      </c>
      <c r="H658" t="n">
        <v>0</v>
      </c>
      <c r="I658" t="n">
        <v>0</v>
      </c>
      <c r="J658" t="n">
        <v>0</v>
      </c>
      <c r="K658" t="n">
        <v>0</v>
      </c>
      <c r="L658" t="n">
        <v>0</v>
      </c>
      <c r="M658" t="n">
        <v>0</v>
      </c>
      <c r="N658" t="n">
        <v>0</v>
      </c>
      <c r="O658" t="n">
        <v>0</v>
      </c>
      <c r="P658" t="n">
        <v>0</v>
      </c>
      <c r="Q658" t="n">
        <v>0</v>
      </c>
      <c r="R658" s="2" t="inlineStr"/>
    </row>
    <row r="659" ht="15" customHeight="1">
      <c r="A659" t="inlineStr">
        <is>
          <t>A 47614-2025</t>
        </is>
      </c>
      <c r="B659" s="1" t="n">
        <v>45931.47211805556</v>
      </c>
      <c r="C659" s="1" t="n">
        <v>45963</v>
      </c>
      <c r="D659" t="inlineStr">
        <is>
          <t>UPPSALA LÄN</t>
        </is>
      </c>
      <c r="E659" t="inlineStr">
        <is>
          <t>ÖSTHAMMAR</t>
        </is>
      </c>
      <c r="G659" t="n">
        <v>22.8</v>
      </c>
      <c r="H659" t="n">
        <v>0</v>
      </c>
      <c r="I659" t="n">
        <v>0</v>
      </c>
      <c r="J659" t="n">
        <v>0</v>
      </c>
      <c r="K659" t="n">
        <v>0</v>
      </c>
      <c r="L659" t="n">
        <v>0</v>
      </c>
      <c r="M659" t="n">
        <v>0</v>
      </c>
      <c r="N659" t="n">
        <v>0</v>
      </c>
      <c r="O659" t="n">
        <v>0</v>
      </c>
      <c r="P659" t="n">
        <v>0</v>
      </c>
      <c r="Q659" t="n">
        <v>0</v>
      </c>
      <c r="R659" s="2" t="inlineStr"/>
    </row>
    <row r="660" ht="15" customHeight="1">
      <c r="A660" t="inlineStr">
        <is>
          <t>A 23741-2024</t>
        </is>
      </c>
      <c r="B660" s="1" t="n">
        <v>45455</v>
      </c>
      <c r="C660" s="1" t="n">
        <v>45963</v>
      </c>
      <c r="D660" t="inlineStr">
        <is>
          <t>UPPSALA LÄN</t>
        </is>
      </c>
      <c r="E660" t="inlineStr">
        <is>
          <t>ÖSTHAMMAR</t>
        </is>
      </c>
      <c r="F660" t="inlineStr">
        <is>
          <t>Bergvik skog öst AB</t>
        </is>
      </c>
      <c r="G660" t="n">
        <v>1.9</v>
      </c>
      <c r="H660" t="n">
        <v>0</v>
      </c>
      <c r="I660" t="n">
        <v>0</v>
      </c>
      <c r="J660" t="n">
        <v>0</v>
      </c>
      <c r="K660" t="n">
        <v>0</v>
      </c>
      <c r="L660" t="n">
        <v>0</v>
      </c>
      <c r="M660" t="n">
        <v>0</v>
      </c>
      <c r="N660" t="n">
        <v>0</v>
      </c>
      <c r="O660" t="n">
        <v>0</v>
      </c>
      <c r="P660" t="n">
        <v>0</v>
      </c>
      <c r="Q660" t="n">
        <v>0</v>
      </c>
      <c r="R660" s="2" t="inlineStr"/>
    </row>
    <row r="661" ht="15" customHeight="1">
      <c r="A661" t="inlineStr">
        <is>
          <t>A 26612-2023</t>
        </is>
      </c>
      <c r="B661" s="1" t="n">
        <v>45089</v>
      </c>
      <c r="C661" s="1" t="n">
        <v>45963</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32244-2021</t>
        </is>
      </c>
      <c r="B662" s="1" t="n">
        <v>44371.45335648148</v>
      </c>
      <c r="C662" s="1" t="n">
        <v>45963</v>
      </c>
      <c r="D662" t="inlineStr">
        <is>
          <t>UPPSALA LÄN</t>
        </is>
      </c>
      <c r="E662" t="inlineStr">
        <is>
          <t>ÖSTHAMMAR</t>
        </is>
      </c>
      <c r="F662" t="inlineStr">
        <is>
          <t>Bergvik skog öst AB</t>
        </is>
      </c>
      <c r="G662" t="n">
        <v>2.6</v>
      </c>
      <c r="H662" t="n">
        <v>0</v>
      </c>
      <c r="I662" t="n">
        <v>0</v>
      </c>
      <c r="J662" t="n">
        <v>0</v>
      </c>
      <c r="K662" t="n">
        <v>0</v>
      </c>
      <c r="L662" t="n">
        <v>0</v>
      </c>
      <c r="M662" t="n">
        <v>0</v>
      </c>
      <c r="N662" t="n">
        <v>0</v>
      </c>
      <c r="O662" t="n">
        <v>0</v>
      </c>
      <c r="P662" t="n">
        <v>0</v>
      </c>
      <c r="Q662" t="n">
        <v>0</v>
      </c>
      <c r="R662" s="2" t="inlineStr"/>
    </row>
    <row r="663" ht="15" customHeight="1">
      <c r="A663" t="inlineStr">
        <is>
          <t>A 37656-2025</t>
        </is>
      </c>
      <c r="B663" s="1" t="n">
        <v>45880</v>
      </c>
      <c r="C663" s="1" t="n">
        <v>45963</v>
      </c>
      <c r="D663" t="inlineStr">
        <is>
          <t>UPPSALA LÄN</t>
        </is>
      </c>
      <c r="E663" t="inlineStr">
        <is>
          <t>ÖSTHAMMAR</t>
        </is>
      </c>
      <c r="G663" t="n">
        <v>4.3</v>
      </c>
      <c r="H663" t="n">
        <v>0</v>
      </c>
      <c r="I663" t="n">
        <v>0</v>
      </c>
      <c r="J663" t="n">
        <v>0</v>
      </c>
      <c r="K663" t="n">
        <v>0</v>
      </c>
      <c r="L663" t="n">
        <v>0</v>
      </c>
      <c r="M663" t="n">
        <v>0</v>
      </c>
      <c r="N663" t="n">
        <v>0</v>
      </c>
      <c r="O663" t="n">
        <v>0</v>
      </c>
      <c r="P663" t="n">
        <v>0</v>
      </c>
      <c r="Q663" t="n">
        <v>0</v>
      </c>
      <c r="R663" s="2" t="inlineStr"/>
    </row>
    <row r="664" ht="15" customHeight="1">
      <c r="A664" t="inlineStr">
        <is>
          <t>A 45721-2025</t>
        </is>
      </c>
      <c r="B664" s="1" t="n">
        <v>45923.44844907407</v>
      </c>
      <c r="C664" s="1" t="n">
        <v>45963</v>
      </c>
      <c r="D664" t="inlineStr">
        <is>
          <t>UPPSALA LÄN</t>
        </is>
      </c>
      <c r="E664" t="inlineStr">
        <is>
          <t>ÖSTHAMMAR</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45720-2025</t>
        </is>
      </c>
      <c r="B665" s="1" t="n">
        <v>45923.44583333333</v>
      </c>
      <c r="C665" s="1" t="n">
        <v>45963</v>
      </c>
      <c r="D665" t="inlineStr">
        <is>
          <t>UPPSALA LÄN</t>
        </is>
      </c>
      <c r="E665" t="inlineStr">
        <is>
          <t>ÖSTHAMMAR</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37764-2025</t>
        </is>
      </c>
      <c r="B666" s="1" t="n">
        <v>45880.70917824074</v>
      </c>
      <c r="C666" s="1" t="n">
        <v>45963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60079-2022</t>
        </is>
      </c>
      <c r="B667" s="1" t="n">
        <v>44909</v>
      </c>
      <c r="C667" s="1" t="n">
        <v>45963</v>
      </c>
      <c r="D667" t="inlineStr">
        <is>
          <t>UPPSALA LÄN</t>
        </is>
      </c>
      <c r="E667" t="inlineStr">
        <is>
          <t>ÖSTHAMMAR</t>
        </is>
      </c>
      <c r="G667" t="n">
        <v>9.6</v>
      </c>
      <c r="H667" t="n">
        <v>0</v>
      </c>
      <c r="I667" t="n">
        <v>0</v>
      </c>
      <c r="J667" t="n">
        <v>0</v>
      </c>
      <c r="K667" t="n">
        <v>0</v>
      </c>
      <c r="L667" t="n">
        <v>0</v>
      </c>
      <c r="M667" t="n">
        <v>0</v>
      </c>
      <c r="N667" t="n">
        <v>0</v>
      </c>
      <c r="O667" t="n">
        <v>0</v>
      </c>
      <c r="P667" t="n">
        <v>0</v>
      </c>
      <c r="Q667" t="n">
        <v>0</v>
      </c>
      <c r="R667" s="2" t="inlineStr"/>
    </row>
    <row r="668" ht="15" customHeight="1">
      <c r="A668" t="inlineStr">
        <is>
          <t>A 45715-2025</t>
        </is>
      </c>
      <c r="B668" s="1" t="n">
        <v>45923.44094907407</v>
      </c>
      <c r="C668" s="1" t="n">
        <v>45963</v>
      </c>
      <c r="D668" t="inlineStr">
        <is>
          <t>UPPSALA LÄN</t>
        </is>
      </c>
      <c r="E668" t="inlineStr">
        <is>
          <t>ÖSTHAMMAR</t>
        </is>
      </c>
      <c r="F668" t="inlineStr">
        <is>
          <t>Övriga Aktiebolag</t>
        </is>
      </c>
      <c r="G668" t="n">
        <v>3.4</v>
      </c>
      <c r="H668" t="n">
        <v>0</v>
      </c>
      <c r="I668" t="n">
        <v>0</v>
      </c>
      <c r="J668" t="n">
        <v>0</v>
      </c>
      <c r="K668" t="n">
        <v>0</v>
      </c>
      <c r="L668" t="n">
        <v>0</v>
      </c>
      <c r="M668" t="n">
        <v>0</v>
      </c>
      <c r="N668" t="n">
        <v>0</v>
      </c>
      <c r="O668" t="n">
        <v>0</v>
      </c>
      <c r="P668" t="n">
        <v>0</v>
      </c>
      <c r="Q668" t="n">
        <v>0</v>
      </c>
      <c r="R668" s="2" t="inlineStr"/>
    </row>
    <row r="669" ht="15" customHeight="1">
      <c r="A669" t="inlineStr">
        <is>
          <t>A 37770-2025</t>
        </is>
      </c>
      <c r="B669" s="1" t="n">
        <v>45880.7505787037</v>
      </c>
      <c r="C669" s="1" t="n">
        <v>45963</v>
      </c>
      <c r="D669" t="inlineStr">
        <is>
          <t>UPPSALA LÄN</t>
        </is>
      </c>
      <c r="E669" t="inlineStr">
        <is>
          <t>ÖSTHAMMAR</t>
        </is>
      </c>
      <c r="G669" t="n">
        <v>2.9</v>
      </c>
      <c r="H669" t="n">
        <v>0</v>
      </c>
      <c r="I669" t="n">
        <v>0</v>
      </c>
      <c r="J669" t="n">
        <v>0</v>
      </c>
      <c r="K669" t="n">
        <v>0</v>
      </c>
      <c r="L669" t="n">
        <v>0</v>
      </c>
      <c r="M669" t="n">
        <v>0</v>
      </c>
      <c r="N669" t="n">
        <v>0</v>
      </c>
      <c r="O669" t="n">
        <v>0</v>
      </c>
      <c r="P669" t="n">
        <v>0</v>
      </c>
      <c r="Q669" t="n">
        <v>0</v>
      </c>
      <c r="R669" s="2" t="inlineStr"/>
    </row>
    <row r="670" ht="15" customHeight="1">
      <c r="A670" t="inlineStr">
        <is>
          <t>A 46088-2025</t>
        </is>
      </c>
      <c r="B670" s="1" t="n">
        <v>45924.52010416667</v>
      </c>
      <c r="C670" s="1" t="n">
        <v>45963</v>
      </c>
      <c r="D670" t="inlineStr">
        <is>
          <t>UPPSALA LÄN</t>
        </is>
      </c>
      <c r="E670" t="inlineStr">
        <is>
          <t>ÖSTHAMMAR</t>
        </is>
      </c>
      <c r="F670" t="inlineStr">
        <is>
          <t>Bergvik skog öst AB</t>
        </is>
      </c>
      <c r="G670" t="n">
        <v>2.7</v>
      </c>
      <c r="H670" t="n">
        <v>0</v>
      </c>
      <c r="I670" t="n">
        <v>0</v>
      </c>
      <c r="J670" t="n">
        <v>0</v>
      </c>
      <c r="K670" t="n">
        <v>0</v>
      </c>
      <c r="L670" t="n">
        <v>0</v>
      </c>
      <c r="M670" t="n">
        <v>0</v>
      </c>
      <c r="N670" t="n">
        <v>0</v>
      </c>
      <c r="O670" t="n">
        <v>0</v>
      </c>
      <c r="P670" t="n">
        <v>0</v>
      </c>
      <c r="Q670" t="n">
        <v>0</v>
      </c>
      <c r="R670" s="2" t="inlineStr"/>
    </row>
    <row r="671" ht="15" customHeight="1">
      <c r="A671" t="inlineStr">
        <is>
          <t>A 40384-2025</t>
        </is>
      </c>
      <c r="B671" s="1" t="n">
        <v>45895.54085648148</v>
      </c>
      <c r="C671" s="1" t="n">
        <v>45963</v>
      </c>
      <c r="D671" t="inlineStr">
        <is>
          <t>UPPSALA LÄN</t>
        </is>
      </c>
      <c r="E671" t="inlineStr">
        <is>
          <t>ÖSTHAMMAR</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5189-2025</t>
        </is>
      </c>
      <c r="B672" s="1" t="n">
        <v>45691</v>
      </c>
      <c r="C672" s="1" t="n">
        <v>45963</v>
      </c>
      <c r="D672" t="inlineStr">
        <is>
          <t>UPPSALA LÄN</t>
        </is>
      </c>
      <c r="E672" t="inlineStr">
        <is>
          <t>ÖSTHAMMAR</t>
        </is>
      </c>
      <c r="F672" t="inlineStr">
        <is>
          <t>Bergvik skog öst AB</t>
        </is>
      </c>
      <c r="G672" t="n">
        <v>24.4</v>
      </c>
      <c r="H672" t="n">
        <v>0</v>
      </c>
      <c r="I672" t="n">
        <v>0</v>
      </c>
      <c r="J672" t="n">
        <v>0</v>
      </c>
      <c r="K672" t="n">
        <v>0</v>
      </c>
      <c r="L672" t="n">
        <v>0</v>
      </c>
      <c r="M672" t="n">
        <v>0</v>
      </c>
      <c r="N672" t="n">
        <v>0</v>
      </c>
      <c r="O672" t="n">
        <v>0</v>
      </c>
      <c r="P672" t="n">
        <v>0</v>
      </c>
      <c r="Q672" t="n">
        <v>0</v>
      </c>
      <c r="R672" s="2" t="inlineStr"/>
    </row>
    <row r="673" ht="15" customHeight="1">
      <c r="A673" t="inlineStr">
        <is>
          <t>A 40637-2022</t>
        </is>
      </c>
      <c r="B673" s="1" t="n">
        <v>44824</v>
      </c>
      <c r="C673" s="1" t="n">
        <v>45963</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40377-2025</t>
        </is>
      </c>
      <c r="B674" s="1" t="n">
        <v>45895.53020833333</v>
      </c>
      <c r="C674" s="1" t="n">
        <v>45963</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40382-2025</t>
        </is>
      </c>
      <c r="B675" s="1" t="n">
        <v>45895.53689814815</v>
      </c>
      <c r="C675" s="1" t="n">
        <v>45963</v>
      </c>
      <c r="D675" t="inlineStr">
        <is>
          <t>UPPSALA LÄN</t>
        </is>
      </c>
      <c r="E675" t="inlineStr">
        <is>
          <t>ÖSTHAMMAR</t>
        </is>
      </c>
      <c r="G675" t="n">
        <v>2.2</v>
      </c>
      <c r="H675" t="n">
        <v>0</v>
      </c>
      <c r="I675" t="n">
        <v>0</v>
      </c>
      <c r="J675" t="n">
        <v>0</v>
      </c>
      <c r="K675" t="n">
        <v>0</v>
      </c>
      <c r="L675" t="n">
        <v>0</v>
      </c>
      <c r="M675" t="n">
        <v>0</v>
      </c>
      <c r="N675" t="n">
        <v>0</v>
      </c>
      <c r="O675" t="n">
        <v>0</v>
      </c>
      <c r="P675" t="n">
        <v>0</v>
      </c>
      <c r="Q675" t="n">
        <v>0</v>
      </c>
      <c r="R675" s="2" t="inlineStr"/>
    </row>
    <row r="676" ht="15" customHeight="1">
      <c r="A676" t="inlineStr">
        <is>
          <t>A 40460-2025</t>
        </is>
      </c>
      <c r="B676" s="1" t="n">
        <v>45895.65013888889</v>
      </c>
      <c r="C676" s="1" t="n">
        <v>45963</v>
      </c>
      <c r="D676" t="inlineStr">
        <is>
          <t>UPPSALA LÄN</t>
        </is>
      </c>
      <c r="E676" t="inlineStr">
        <is>
          <t>ÖSTHAMMAR</t>
        </is>
      </c>
      <c r="G676" t="n">
        <v>2.7</v>
      </c>
      <c r="H676" t="n">
        <v>0</v>
      </c>
      <c r="I676" t="n">
        <v>0</v>
      </c>
      <c r="J676" t="n">
        <v>0</v>
      </c>
      <c r="K676" t="n">
        <v>0</v>
      </c>
      <c r="L676" t="n">
        <v>0</v>
      </c>
      <c r="M676" t="n">
        <v>0</v>
      </c>
      <c r="N676" t="n">
        <v>0</v>
      </c>
      <c r="O676" t="n">
        <v>0</v>
      </c>
      <c r="P676" t="n">
        <v>0</v>
      </c>
      <c r="Q676" t="n">
        <v>0</v>
      </c>
      <c r="R676" s="2" t="inlineStr"/>
    </row>
    <row r="677" ht="15" customHeight="1">
      <c r="A677" t="inlineStr">
        <is>
          <t>A 40462-2025</t>
        </is>
      </c>
      <c r="B677" s="1" t="n">
        <v>45895.65179398148</v>
      </c>
      <c r="C677" s="1" t="n">
        <v>45963</v>
      </c>
      <c r="D677" t="inlineStr">
        <is>
          <t>UPPSALA LÄN</t>
        </is>
      </c>
      <c r="E677" t="inlineStr">
        <is>
          <t>ÖSTHAMMAR</t>
        </is>
      </c>
      <c r="G677" t="n">
        <v>4.5</v>
      </c>
      <c r="H677" t="n">
        <v>0</v>
      </c>
      <c r="I677" t="n">
        <v>0</v>
      </c>
      <c r="J677" t="n">
        <v>0</v>
      </c>
      <c r="K677" t="n">
        <v>0</v>
      </c>
      <c r="L677" t="n">
        <v>0</v>
      </c>
      <c r="M677" t="n">
        <v>0</v>
      </c>
      <c r="N677" t="n">
        <v>0</v>
      </c>
      <c r="O677" t="n">
        <v>0</v>
      </c>
      <c r="P677" t="n">
        <v>0</v>
      </c>
      <c r="Q677" t="n">
        <v>0</v>
      </c>
      <c r="R677" s="2" t="inlineStr"/>
    </row>
    <row r="678" ht="15" customHeight="1">
      <c r="A678" t="inlineStr">
        <is>
          <t>A 56260-2022</t>
        </is>
      </c>
      <c r="B678" s="1" t="n">
        <v>44890</v>
      </c>
      <c r="C678" s="1" t="n">
        <v>45963</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40016-2025</t>
        </is>
      </c>
      <c r="B679" s="1" t="n">
        <v>45894.34747685185</v>
      </c>
      <c r="C679" s="1" t="n">
        <v>45963</v>
      </c>
      <c r="D679" t="inlineStr">
        <is>
          <t>UPPSALA LÄN</t>
        </is>
      </c>
      <c r="E679" t="inlineStr">
        <is>
          <t>ÖSTHAMMAR</t>
        </is>
      </c>
      <c r="F679" t="inlineStr">
        <is>
          <t>Kyrkan</t>
        </is>
      </c>
      <c r="G679" t="n">
        <v>6.6</v>
      </c>
      <c r="H679" t="n">
        <v>0</v>
      </c>
      <c r="I679" t="n">
        <v>0</v>
      </c>
      <c r="J679" t="n">
        <v>0</v>
      </c>
      <c r="K679" t="n">
        <v>0</v>
      </c>
      <c r="L679" t="n">
        <v>0</v>
      </c>
      <c r="M679" t="n">
        <v>0</v>
      </c>
      <c r="N679" t="n">
        <v>0</v>
      </c>
      <c r="O679" t="n">
        <v>0</v>
      </c>
      <c r="P679" t="n">
        <v>0</v>
      </c>
      <c r="Q679" t="n">
        <v>0</v>
      </c>
      <c r="R679" s="2" t="inlineStr"/>
    </row>
    <row r="680" ht="15" customHeight="1">
      <c r="A680" t="inlineStr">
        <is>
          <t>A 40044-2025</t>
        </is>
      </c>
      <c r="B680" s="1" t="n">
        <v>45894.40133101852</v>
      </c>
      <c r="C680" s="1" t="n">
        <v>45963</v>
      </c>
      <c r="D680" t="inlineStr">
        <is>
          <t>UPPSALA LÄN</t>
        </is>
      </c>
      <c r="E680" t="inlineStr">
        <is>
          <t>ÖSTHAMMAR</t>
        </is>
      </c>
      <c r="F680" t="inlineStr">
        <is>
          <t>Kyrkan</t>
        </is>
      </c>
      <c r="G680" t="n">
        <v>8.9</v>
      </c>
      <c r="H680" t="n">
        <v>0</v>
      </c>
      <c r="I680" t="n">
        <v>0</v>
      </c>
      <c r="J680" t="n">
        <v>0</v>
      </c>
      <c r="K680" t="n">
        <v>0</v>
      </c>
      <c r="L680" t="n">
        <v>0</v>
      </c>
      <c r="M680" t="n">
        <v>0</v>
      </c>
      <c r="N680" t="n">
        <v>0</v>
      </c>
      <c r="O680" t="n">
        <v>0</v>
      </c>
      <c r="P680" t="n">
        <v>0</v>
      </c>
      <c r="Q680" t="n">
        <v>0</v>
      </c>
      <c r="R680" s="2" t="inlineStr"/>
    </row>
    <row r="681" ht="15" customHeight="1">
      <c r="A681" t="inlineStr">
        <is>
          <t>A 7118-2023</t>
        </is>
      </c>
      <c r="B681" s="1" t="n">
        <v>44970.39591435185</v>
      </c>
      <c r="C681" s="1" t="n">
        <v>45963</v>
      </c>
      <c r="D681" t="inlineStr">
        <is>
          <t>UPPSALA LÄN</t>
        </is>
      </c>
      <c r="E681" t="inlineStr">
        <is>
          <t>ÖSTHAMMAR</t>
        </is>
      </c>
      <c r="G681" t="n">
        <v>2.1</v>
      </c>
      <c r="H681" t="n">
        <v>0</v>
      </c>
      <c r="I681" t="n">
        <v>0</v>
      </c>
      <c r="J681" t="n">
        <v>0</v>
      </c>
      <c r="K681" t="n">
        <v>0</v>
      </c>
      <c r="L681" t="n">
        <v>0</v>
      </c>
      <c r="M681" t="n">
        <v>0</v>
      </c>
      <c r="N681" t="n">
        <v>0</v>
      </c>
      <c r="O681" t="n">
        <v>0</v>
      </c>
      <c r="P681" t="n">
        <v>0</v>
      </c>
      <c r="Q681" t="n">
        <v>0</v>
      </c>
      <c r="R681" s="2" t="inlineStr"/>
    </row>
    <row r="682" ht="15" customHeight="1">
      <c r="A682" t="inlineStr">
        <is>
          <t>A 48654-2025</t>
        </is>
      </c>
      <c r="B682" s="1" t="n">
        <v>45936.55887731481</v>
      </c>
      <c r="C682" s="1" t="n">
        <v>45963</v>
      </c>
      <c r="D682" t="inlineStr">
        <is>
          <t>UPPSALA LÄN</t>
        </is>
      </c>
      <c r="E682" t="inlineStr">
        <is>
          <t>ÖSTHAMMAR</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45993-2025</t>
        </is>
      </c>
      <c r="B683" s="1" t="n">
        <v>45924.39706018518</v>
      </c>
      <c r="C683" s="1" t="n">
        <v>45963</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62394-2022</t>
        </is>
      </c>
      <c r="B684" s="1" t="n">
        <v>44923.82017361111</v>
      </c>
      <c r="C684" s="1" t="n">
        <v>45963</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46089-2025</t>
        </is>
      </c>
      <c r="B685" s="1" t="n">
        <v>45924.52100694444</v>
      </c>
      <c r="C685" s="1" t="n">
        <v>45963</v>
      </c>
      <c r="D685" t="inlineStr">
        <is>
          <t>UPPSALA LÄN</t>
        </is>
      </c>
      <c r="E685" t="inlineStr">
        <is>
          <t>ÖSTHAMMAR</t>
        </is>
      </c>
      <c r="F685" t="inlineStr">
        <is>
          <t>Bergvik skog öst AB</t>
        </is>
      </c>
      <c r="G685" t="n">
        <v>2.6</v>
      </c>
      <c r="H685" t="n">
        <v>0</v>
      </c>
      <c r="I685" t="n">
        <v>0</v>
      </c>
      <c r="J685" t="n">
        <v>0</v>
      </c>
      <c r="K685" t="n">
        <v>0</v>
      </c>
      <c r="L685" t="n">
        <v>0</v>
      </c>
      <c r="M685" t="n">
        <v>0</v>
      </c>
      <c r="N685" t="n">
        <v>0</v>
      </c>
      <c r="O685" t="n">
        <v>0</v>
      </c>
      <c r="P685" t="n">
        <v>0</v>
      </c>
      <c r="Q685" t="n">
        <v>0</v>
      </c>
      <c r="R685" s="2" t="inlineStr"/>
    </row>
    <row r="686" ht="15" customHeight="1">
      <c r="A686" t="inlineStr">
        <is>
          <t>A 22709-2021</t>
        </is>
      </c>
      <c r="B686" s="1" t="n">
        <v>44327.61518518518</v>
      </c>
      <c r="C686" s="1" t="n">
        <v>45963</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8616-2023</t>
        </is>
      </c>
      <c r="B687" s="1" t="n">
        <v>44977</v>
      </c>
      <c r="C687" s="1" t="n">
        <v>45963</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48857-2025</t>
        </is>
      </c>
      <c r="B688" s="1" t="n">
        <v>45937.43621527778</v>
      </c>
      <c r="C688" s="1" t="n">
        <v>45963</v>
      </c>
      <c r="D688" t="inlineStr">
        <is>
          <t>UPPSALA LÄN</t>
        </is>
      </c>
      <c r="E688" t="inlineStr">
        <is>
          <t>ÖSTHAMMAR</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40416-2025</t>
        </is>
      </c>
      <c r="B689" s="1" t="n">
        <v>45895.57736111111</v>
      </c>
      <c r="C689" s="1" t="n">
        <v>45963</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48854-2025</t>
        </is>
      </c>
      <c r="B690" s="1" t="n">
        <v>45937.43274305556</v>
      </c>
      <c r="C690" s="1" t="n">
        <v>45963</v>
      </c>
      <c r="D690" t="inlineStr">
        <is>
          <t>UPPSALA LÄN</t>
        </is>
      </c>
      <c r="E690" t="inlineStr">
        <is>
          <t>ÖSTHAMMAR</t>
        </is>
      </c>
      <c r="F690" t="inlineStr">
        <is>
          <t>Övriga Aktiebolag</t>
        </is>
      </c>
      <c r="G690" t="n">
        <v>18.9</v>
      </c>
      <c r="H690" t="n">
        <v>0</v>
      </c>
      <c r="I690" t="n">
        <v>0</v>
      </c>
      <c r="J690" t="n">
        <v>0</v>
      </c>
      <c r="K690" t="n">
        <v>0</v>
      </c>
      <c r="L690" t="n">
        <v>0</v>
      </c>
      <c r="M690" t="n">
        <v>0</v>
      </c>
      <c r="N690" t="n">
        <v>0</v>
      </c>
      <c r="O690" t="n">
        <v>0</v>
      </c>
      <c r="P690" t="n">
        <v>0</v>
      </c>
      <c r="Q690" t="n">
        <v>0</v>
      </c>
      <c r="R690" s="2" t="inlineStr"/>
    </row>
    <row r="691" ht="15" customHeight="1">
      <c r="A691" t="inlineStr">
        <is>
          <t>A 41538-2021</t>
        </is>
      </c>
      <c r="B691" s="1" t="n">
        <v>44425.35016203704</v>
      </c>
      <c r="C691" s="1" t="n">
        <v>45963</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34742-2022</t>
        </is>
      </c>
      <c r="B692" s="1" t="n">
        <v>44795.61990740741</v>
      </c>
      <c r="C692" s="1" t="n">
        <v>45963</v>
      </c>
      <c r="D692" t="inlineStr">
        <is>
          <t>UPPSALA LÄN</t>
        </is>
      </c>
      <c r="E692" t="inlineStr">
        <is>
          <t>ÖSTHAMMAR</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49620-2025</t>
        </is>
      </c>
      <c r="B693" s="1" t="n">
        <v>45939.58928240741</v>
      </c>
      <c r="C693" s="1" t="n">
        <v>45963</v>
      </c>
      <c r="D693" t="inlineStr">
        <is>
          <t>UPPSALA LÄN</t>
        </is>
      </c>
      <c r="E693" t="inlineStr">
        <is>
          <t>ÖSTHAMMAR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4096-2025</t>
        </is>
      </c>
      <c r="B694" s="1" t="n">
        <v>45684</v>
      </c>
      <c r="C694" s="1" t="n">
        <v>45963</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55090-2024</t>
        </is>
      </c>
      <c r="B695" s="1" t="n">
        <v>45621.4350462963</v>
      </c>
      <c r="C695" s="1" t="n">
        <v>45963</v>
      </c>
      <c r="D695" t="inlineStr">
        <is>
          <t>UPPSALA LÄN</t>
        </is>
      </c>
      <c r="E695" t="inlineStr">
        <is>
          <t>ÖSTHAMMAR</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55093-2024</t>
        </is>
      </c>
      <c r="B696" s="1" t="n">
        <v>45621.43712962963</v>
      </c>
      <c r="C696" s="1" t="n">
        <v>45963</v>
      </c>
      <c r="D696" t="inlineStr">
        <is>
          <t>UPPSALA LÄN</t>
        </is>
      </c>
      <c r="E696" t="inlineStr">
        <is>
          <t>ÖSTHAMMAR</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55097-2024</t>
        </is>
      </c>
      <c r="B697" s="1" t="n">
        <v>45621.43855324074</v>
      </c>
      <c r="C697" s="1" t="n">
        <v>45963</v>
      </c>
      <c r="D697" t="inlineStr">
        <is>
          <t>UPPSALA LÄN</t>
        </is>
      </c>
      <c r="E697" t="inlineStr">
        <is>
          <t>ÖSTHAMMAR</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40570-2025</t>
        </is>
      </c>
      <c r="B698" s="1" t="n">
        <v>45896.47878472223</v>
      </c>
      <c r="C698" s="1" t="n">
        <v>45963</v>
      </c>
      <c r="D698" t="inlineStr">
        <is>
          <t>UPPSALA LÄN</t>
        </is>
      </c>
      <c r="E698" t="inlineStr">
        <is>
          <t>ÖSTHAMMAR</t>
        </is>
      </c>
      <c r="F698" t="inlineStr">
        <is>
          <t>Övriga Aktiebolag</t>
        </is>
      </c>
      <c r="G698" t="n">
        <v>4.8</v>
      </c>
      <c r="H698" t="n">
        <v>0</v>
      </c>
      <c r="I698" t="n">
        <v>0</v>
      </c>
      <c r="J698" t="n">
        <v>0</v>
      </c>
      <c r="K698" t="n">
        <v>0</v>
      </c>
      <c r="L698" t="n">
        <v>0</v>
      </c>
      <c r="M698" t="n">
        <v>0</v>
      </c>
      <c r="N698" t="n">
        <v>0</v>
      </c>
      <c r="O698" t="n">
        <v>0</v>
      </c>
      <c r="P698" t="n">
        <v>0</v>
      </c>
      <c r="Q698" t="n">
        <v>0</v>
      </c>
      <c r="R698" s="2" t="inlineStr"/>
    </row>
    <row r="699" ht="15" customHeight="1">
      <c r="A699" t="inlineStr">
        <is>
          <t>A 48977-2025</t>
        </is>
      </c>
      <c r="B699" s="1" t="n">
        <v>45936</v>
      </c>
      <c r="C699" s="1" t="n">
        <v>45963</v>
      </c>
      <c r="D699" t="inlineStr">
        <is>
          <t>UPPSALA LÄN</t>
        </is>
      </c>
      <c r="E699" t="inlineStr">
        <is>
          <t>ÖSTHAMMAR</t>
        </is>
      </c>
      <c r="G699" t="n">
        <v>21.1</v>
      </c>
      <c r="H699" t="n">
        <v>0</v>
      </c>
      <c r="I699" t="n">
        <v>0</v>
      </c>
      <c r="J699" t="n">
        <v>0</v>
      </c>
      <c r="K699" t="n">
        <v>0</v>
      </c>
      <c r="L699" t="n">
        <v>0</v>
      </c>
      <c r="M699" t="n">
        <v>0</v>
      </c>
      <c r="N699" t="n">
        <v>0</v>
      </c>
      <c r="O699" t="n">
        <v>0</v>
      </c>
      <c r="P699" t="n">
        <v>0</v>
      </c>
      <c r="Q699" t="n">
        <v>0</v>
      </c>
      <c r="R699" s="2" t="inlineStr"/>
    </row>
    <row r="700" ht="15" customHeight="1">
      <c r="A700" t="inlineStr">
        <is>
          <t>A 49773-2025</t>
        </is>
      </c>
      <c r="B700" s="1" t="n">
        <v>45940.37303240741</v>
      </c>
      <c r="C700" s="1" t="n">
        <v>45963</v>
      </c>
      <c r="D700" t="inlineStr">
        <is>
          <t>UPPSALA LÄN</t>
        </is>
      </c>
      <c r="E700" t="inlineStr">
        <is>
          <t>ÖSTHAMMAR</t>
        </is>
      </c>
      <c r="G700" t="n">
        <v>3.5</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44949.4377662037</v>
      </c>
      <c r="C701" s="1" t="n">
        <v>45963</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41519-2025</t>
        </is>
      </c>
      <c r="B702" s="1" t="n">
        <v>45901.54751157408</v>
      </c>
      <c r="C702" s="1" t="n">
        <v>45963</v>
      </c>
      <c r="D702" t="inlineStr">
        <is>
          <t>UPPSALA LÄN</t>
        </is>
      </c>
      <c r="E702" t="inlineStr">
        <is>
          <t>ÖSTHAMMAR</t>
        </is>
      </c>
      <c r="F702" t="inlineStr">
        <is>
          <t>Övriga Aktiebolag</t>
        </is>
      </c>
      <c r="G702" t="n">
        <v>17.1</v>
      </c>
      <c r="H702" t="n">
        <v>0</v>
      </c>
      <c r="I702" t="n">
        <v>0</v>
      </c>
      <c r="J702" t="n">
        <v>0</v>
      </c>
      <c r="K702" t="n">
        <v>0</v>
      </c>
      <c r="L702" t="n">
        <v>0</v>
      </c>
      <c r="M702" t="n">
        <v>0</v>
      </c>
      <c r="N702" t="n">
        <v>0</v>
      </c>
      <c r="O702" t="n">
        <v>0</v>
      </c>
      <c r="P702" t="n">
        <v>0</v>
      </c>
      <c r="Q702" t="n">
        <v>0</v>
      </c>
      <c r="R702" s="2" t="inlineStr"/>
    </row>
    <row r="703" ht="15" customHeight="1">
      <c r="A703" t="inlineStr">
        <is>
          <t>A 8908-2025</t>
        </is>
      </c>
      <c r="B703" s="1" t="n">
        <v>45713.4196875</v>
      </c>
      <c r="C703" s="1" t="n">
        <v>45963</v>
      </c>
      <c r="D703" t="inlineStr">
        <is>
          <t>UPPSALA LÄN</t>
        </is>
      </c>
      <c r="E703" t="inlineStr">
        <is>
          <t>ÖSTHAMMAR</t>
        </is>
      </c>
      <c r="F703" t="inlineStr">
        <is>
          <t>Bergvik skog öst AB</t>
        </is>
      </c>
      <c r="G703" t="n">
        <v>3.3</v>
      </c>
      <c r="H703" t="n">
        <v>0</v>
      </c>
      <c r="I703" t="n">
        <v>0</v>
      </c>
      <c r="J703" t="n">
        <v>0</v>
      </c>
      <c r="K703" t="n">
        <v>0</v>
      </c>
      <c r="L703" t="n">
        <v>0</v>
      </c>
      <c r="M703" t="n">
        <v>0</v>
      </c>
      <c r="N703" t="n">
        <v>0</v>
      </c>
      <c r="O703" t="n">
        <v>0</v>
      </c>
      <c r="P703" t="n">
        <v>0</v>
      </c>
      <c r="Q703" t="n">
        <v>0</v>
      </c>
      <c r="R703" s="2" t="inlineStr"/>
    </row>
    <row r="704" ht="15" customHeight="1">
      <c r="A704" t="inlineStr">
        <is>
          <t>A 24401-2025</t>
        </is>
      </c>
      <c r="B704" s="1" t="n">
        <v>45797.64908564815</v>
      </c>
      <c r="C704" s="1" t="n">
        <v>45963</v>
      </c>
      <c r="D704" t="inlineStr">
        <is>
          <t>UPPSALA LÄN</t>
        </is>
      </c>
      <c r="E704" t="inlineStr">
        <is>
          <t>ÖSTHAMMAR</t>
        </is>
      </c>
      <c r="G704" t="n">
        <v>1.4</v>
      </c>
      <c r="H704" t="n">
        <v>0</v>
      </c>
      <c r="I704" t="n">
        <v>0</v>
      </c>
      <c r="J704" t="n">
        <v>0</v>
      </c>
      <c r="K704" t="n">
        <v>0</v>
      </c>
      <c r="L704" t="n">
        <v>0</v>
      </c>
      <c r="M704" t="n">
        <v>0</v>
      </c>
      <c r="N704" t="n">
        <v>0</v>
      </c>
      <c r="O704" t="n">
        <v>0</v>
      </c>
      <c r="P704" t="n">
        <v>0</v>
      </c>
      <c r="Q704" t="n">
        <v>0</v>
      </c>
      <c r="R704" s="2" t="inlineStr"/>
    </row>
    <row r="705" ht="15" customHeight="1">
      <c r="A705" t="inlineStr">
        <is>
          <t>A 24408-2025</t>
        </is>
      </c>
      <c r="B705" s="1" t="n">
        <v>45797.65774305556</v>
      </c>
      <c r="C705" s="1" t="n">
        <v>45963</v>
      </c>
      <c r="D705" t="inlineStr">
        <is>
          <t>UPPSALA LÄN</t>
        </is>
      </c>
      <c r="E705" t="inlineStr">
        <is>
          <t>ÖSTHAMMAR</t>
        </is>
      </c>
      <c r="G705" t="n">
        <v>1.6</v>
      </c>
      <c r="H705" t="n">
        <v>0</v>
      </c>
      <c r="I705" t="n">
        <v>0</v>
      </c>
      <c r="J705" t="n">
        <v>0</v>
      </c>
      <c r="K705" t="n">
        <v>0</v>
      </c>
      <c r="L705" t="n">
        <v>0</v>
      </c>
      <c r="M705" t="n">
        <v>0</v>
      </c>
      <c r="N705" t="n">
        <v>0</v>
      </c>
      <c r="O705" t="n">
        <v>0</v>
      </c>
      <c r="P705" t="n">
        <v>0</v>
      </c>
      <c r="Q705" t="n">
        <v>0</v>
      </c>
      <c r="R705" s="2" t="inlineStr"/>
    </row>
    <row r="706" ht="15" customHeight="1">
      <c r="A706" t="inlineStr">
        <is>
          <t>A 24389-2025</t>
        </is>
      </c>
      <c r="B706" s="1" t="n">
        <v>45797.63553240741</v>
      </c>
      <c r="C706" s="1" t="n">
        <v>45963</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27384-2025</t>
        </is>
      </c>
      <c r="B707" s="1" t="n">
        <v>45812.6672337963</v>
      </c>
      <c r="C707" s="1" t="n">
        <v>45963</v>
      </c>
      <c r="D707" t="inlineStr">
        <is>
          <t>UPPSALA LÄN</t>
        </is>
      </c>
      <c r="E707" t="inlineStr">
        <is>
          <t>ÖSTHAMMAR</t>
        </is>
      </c>
      <c r="G707" t="n">
        <v>1.6</v>
      </c>
      <c r="H707" t="n">
        <v>0</v>
      </c>
      <c r="I707" t="n">
        <v>0</v>
      </c>
      <c r="J707" t="n">
        <v>0</v>
      </c>
      <c r="K707" t="n">
        <v>0</v>
      </c>
      <c r="L707" t="n">
        <v>0</v>
      </c>
      <c r="M707" t="n">
        <v>0</v>
      </c>
      <c r="N707" t="n">
        <v>0</v>
      </c>
      <c r="O707" t="n">
        <v>0</v>
      </c>
      <c r="P707" t="n">
        <v>0</v>
      </c>
      <c r="Q707" t="n">
        <v>0</v>
      </c>
      <c r="R707" s="2" t="inlineStr"/>
    </row>
    <row r="708" ht="15" customHeight="1">
      <c r="A708" t="inlineStr">
        <is>
          <t>A 42213-2025</t>
        </is>
      </c>
      <c r="B708" s="1" t="n">
        <v>45904.50652777778</v>
      </c>
      <c r="C708" s="1" t="n">
        <v>45963</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51156-2025</t>
        </is>
      </c>
      <c r="B709" s="1" t="n">
        <v>45947.57833333333</v>
      </c>
      <c r="C709" s="1" t="n">
        <v>45963</v>
      </c>
      <c r="D709" t="inlineStr">
        <is>
          <t>UPPSALA LÄN</t>
        </is>
      </c>
      <c r="E709" t="inlineStr">
        <is>
          <t>ÖSTHAMMAR</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51265-2025</t>
        </is>
      </c>
      <c r="B710" s="1" t="n">
        <v>45949.70971064815</v>
      </c>
      <c r="C710" s="1" t="n">
        <v>45963</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51266-2025</t>
        </is>
      </c>
      <c r="B711" s="1" t="n">
        <v>45949.71568287037</v>
      </c>
      <c r="C711" s="1" t="n">
        <v>45963</v>
      </c>
      <c r="D711" t="inlineStr">
        <is>
          <t>UPPSALA LÄN</t>
        </is>
      </c>
      <c r="E711" t="inlineStr">
        <is>
          <t>ÖSTHAMMAR</t>
        </is>
      </c>
      <c r="F711" t="inlineStr">
        <is>
          <t>Bergvik skog öst AB</t>
        </is>
      </c>
      <c r="G711" t="n">
        <v>4.7</v>
      </c>
      <c r="H711" t="n">
        <v>0</v>
      </c>
      <c r="I711" t="n">
        <v>0</v>
      </c>
      <c r="J711" t="n">
        <v>0</v>
      </c>
      <c r="K711" t="n">
        <v>0</v>
      </c>
      <c r="L711" t="n">
        <v>0</v>
      </c>
      <c r="M711" t="n">
        <v>0</v>
      </c>
      <c r="N711" t="n">
        <v>0</v>
      </c>
      <c r="O711" t="n">
        <v>0</v>
      </c>
      <c r="P711" t="n">
        <v>0</v>
      </c>
      <c r="Q711" t="n">
        <v>0</v>
      </c>
      <c r="R711" s="2" t="inlineStr"/>
    </row>
    <row r="712" ht="15" customHeight="1">
      <c r="A712" t="inlineStr">
        <is>
          <t>A 28099-2025</t>
        </is>
      </c>
      <c r="B712" s="1" t="n">
        <v>45817.82967592592</v>
      </c>
      <c r="C712" s="1" t="n">
        <v>45963</v>
      </c>
      <c r="D712" t="inlineStr">
        <is>
          <t>UPPSALA LÄN</t>
        </is>
      </c>
      <c r="E712" t="inlineStr">
        <is>
          <t>ÖSTHAMMAR</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43011-2025</t>
        </is>
      </c>
      <c r="B713" s="1" t="n">
        <v>45909.48989583334</v>
      </c>
      <c r="C713" s="1" t="n">
        <v>45963</v>
      </c>
      <c r="D713" t="inlineStr">
        <is>
          <t>UPPSALA LÄN</t>
        </is>
      </c>
      <c r="E713" t="inlineStr">
        <is>
          <t>ÖSTHAMMAR</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5076-2025</t>
        </is>
      </c>
      <c r="B714" s="1" t="n">
        <v>45691</v>
      </c>
      <c r="C714" s="1" t="n">
        <v>45963</v>
      </c>
      <c r="D714" t="inlineStr">
        <is>
          <t>UPPSALA LÄN</t>
        </is>
      </c>
      <c r="E714" t="inlineStr">
        <is>
          <t>ÖSTHAMMAR</t>
        </is>
      </c>
      <c r="G714" t="n">
        <v>5.8</v>
      </c>
      <c r="H714" t="n">
        <v>0</v>
      </c>
      <c r="I714" t="n">
        <v>0</v>
      </c>
      <c r="J714" t="n">
        <v>0</v>
      </c>
      <c r="K714" t="n">
        <v>0</v>
      </c>
      <c r="L714" t="n">
        <v>0</v>
      </c>
      <c r="M714" t="n">
        <v>0</v>
      </c>
      <c r="N714" t="n">
        <v>0</v>
      </c>
      <c r="O714" t="n">
        <v>0</v>
      </c>
      <c r="P714" t="n">
        <v>0</v>
      </c>
      <c r="Q714" t="n">
        <v>0</v>
      </c>
      <c r="R714" s="2" t="inlineStr"/>
    </row>
    <row r="715" ht="15" customHeight="1">
      <c r="A715" t="inlineStr">
        <is>
          <t>A 42940-2025</t>
        </is>
      </c>
      <c r="B715" s="1" t="n">
        <v>45909.33440972222</v>
      </c>
      <c r="C715" s="1" t="n">
        <v>45963</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51254-2025</t>
        </is>
      </c>
      <c r="B716" s="1" t="n">
        <v>45948.99313657408</v>
      </c>
      <c r="C716" s="1" t="n">
        <v>45963</v>
      </c>
      <c r="D716" t="inlineStr">
        <is>
          <t>UPPSALA LÄN</t>
        </is>
      </c>
      <c r="E716" t="inlineStr">
        <is>
          <t>ÖSTHAMMAR</t>
        </is>
      </c>
      <c r="G716" t="n">
        <v>8.9</v>
      </c>
      <c r="H716" t="n">
        <v>0</v>
      </c>
      <c r="I716" t="n">
        <v>0</v>
      </c>
      <c r="J716" t="n">
        <v>0</v>
      </c>
      <c r="K716" t="n">
        <v>0</v>
      </c>
      <c r="L716" t="n">
        <v>0</v>
      </c>
      <c r="M716" t="n">
        <v>0</v>
      </c>
      <c r="N716" t="n">
        <v>0</v>
      </c>
      <c r="O716" t="n">
        <v>0</v>
      </c>
      <c r="P716" t="n">
        <v>0</v>
      </c>
      <c r="Q716" t="n">
        <v>0</v>
      </c>
      <c r="R716" s="2" t="inlineStr"/>
    </row>
    <row r="717" ht="15" customHeight="1">
      <c r="A717" t="inlineStr">
        <is>
          <t>A 51255-2025</t>
        </is>
      </c>
      <c r="B717" s="1" t="n">
        <v>45949.00917824074</v>
      </c>
      <c r="C717" s="1" t="n">
        <v>45963</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row r="718" ht="15" customHeight="1">
      <c r="A718" t="inlineStr">
        <is>
          <t>A 51379-2025</t>
        </is>
      </c>
      <c r="B718" s="1" t="n">
        <v>45950.45677083333</v>
      </c>
      <c r="C718" s="1" t="n">
        <v>45963</v>
      </c>
      <c r="D718" t="inlineStr">
        <is>
          <t>UPPSALA LÄN</t>
        </is>
      </c>
      <c r="E718" t="inlineStr">
        <is>
          <t>ÖSTHAMMAR</t>
        </is>
      </c>
      <c r="G718" t="n">
        <v>2.1</v>
      </c>
      <c r="H718" t="n">
        <v>0</v>
      </c>
      <c r="I718" t="n">
        <v>0</v>
      </c>
      <c r="J718" t="n">
        <v>0</v>
      </c>
      <c r="K718" t="n">
        <v>0</v>
      </c>
      <c r="L718" t="n">
        <v>0</v>
      </c>
      <c r="M718" t="n">
        <v>0</v>
      </c>
      <c r="N718" t="n">
        <v>0</v>
      </c>
      <c r="O718" t="n">
        <v>0</v>
      </c>
      <c r="P718" t="n">
        <v>0</v>
      </c>
      <c r="Q718" t="n">
        <v>0</v>
      </c>
      <c r="R718" s="2" t="inlineStr"/>
    </row>
    <row r="719" ht="15" customHeight="1">
      <c r="A719" t="inlineStr">
        <is>
          <t>A 51708-2025</t>
        </is>
      </c>
      <c r="B719" s="1" t="n">
        <v>45951.56679398148</v>
      </c>
      <c r="C719" s="1" t="n">
        <v>45963</v>
      </c>
      <c r="D719" t="inlineStr">
        <is>
          <t>UPPSALA LÄN</t>
        </is>
      </c>
      <c r="E719" t="inlineStr">
        <is>
          <t>ÖSTHAMMAR</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33927-2025</t>
        </is>
      </c>
      <c r="B720" s="1" t="n">
        <v>45842.62363425926</v>
      </c>
      <c r="C720" s="1" t="n">
        <v>45963</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43604-2025</t>
        </is>
      </c>
      <c r="B721" s="1" t="n">
        <v>45911.66671296296</v>
      </c>
      <c r="C721" s="1" t="n">
        <v>45963</v>
      </c>
      <c r="D721" t="inlineStr">
        <is>
          <t>UPPSALA LÄN</t>
        </is>
      </c>
      <c r="E721" t="inlineStr">
        <is>
          <t>ÖSTHAMMAR</t>
        </is>
      </c>
      <c r="G721" t="n">
        <v>8.5</v>
      </c>
      <c r="H721" t="n">
        <v>0</v>
      </c>
      <c r="I721" t="n">
        <v>0</v>
      </c>
      <c r="J721" t="n">
        <v>0</v>
      </c>
      <c r="K721" t="n">
        <v>0</v>
      </c>
      <c r="L721" t="n">
        <v>0</v>
      </c>
      <c r="M721" t="n">
        <v>0</v>
      </c>
      <c r="N721" t="n">
        <v>0</v>
      </c>
      <c r="O721" t="n">
        <v>0</v>
      </c>
      <c r="P721" t="n">
        <v>0</v>
      </c>
      <c r="Q721" t="n">
        <v>0</v>
      </c>
      <c r="R721" s="2" t="inlineStr"/>
    </row>
    <row r="722" ht="15" customHeight="1">
      <c r="A722" t="inlineStr">
        <is>
          <t>A 43622-2025</t>
        </is>
      </c>
      <c r="B722" s="1" t="n">
        <v>45911.68295138889</v>
      </c>
      <c r="C722" s="1" t="n">
        <v>45963</v>
      </c>
      <c r="D722" t="inlineStr">
        <is>
          <t>UPPSALA LÄN</t>
        </is>
      </c>
      <c r="E722" t="inlineStr">
        <is>
          <t>ÖSTHAMMAR</t>
        </is>
      </c>
      <c r="G722" t="n">
        <v>2.3</v>
      </c>
      <c r="H722" t="n">
        <v>0</v>
      </c>
      <c r="I722" t="n">
        <v>0</v>
      </c>
      <c r="J722" t="n">
        <v>0</v>
      </c>
      <c r="K722" t="n">
        <v>0</v>
      </c>
      <c r="L722" t="n">
        <v>0</v>
      </c>
      <c r="M722" t="n">
        <v>0</v>
      </c>
      <c r="N722" t="n">
        <v>0</v>
      </c>
      <c r="O722" t="n">
        <v>0</v>
      </c>
      <c r="P722" t="n">
        <v>0</v>
      </c>
      <c r="Q722" t="n">
        <v>0</v>
      </c>
      <c r="R722" s="2" t="inlineStr"/>
    </row>
    <row r="723" ht="15" customHeight="1">
      <c r="A723" t="inlineStr">
        <is>
          <t>A 52332-2025</t>
        </is>
      </c>
      <c r="B723" s="1" t="n">
        <v>45953.67853009259</v>
      </c>
      <c r="C723" s="1" t="n">
        <v>45963</v>
      </c>
      <c r="D723" t="inlineStr">
        <is>
          <t>UPPSALA LÄN</t>
        </is>
      </c>
      <c r="E723" t="inlineStr">
        <is>
          <t>ÖSTHAMMAR</t>
        </is>
      </c>
      <c r="F723" t="inlineStr">
        <is>
          <t>Bergvik skog öst AB</t>
        </is>
      </c>
      <c r="G723" t="n">
        <v>3.8</v>
      </c>
      <c r="H723" t="n">
        <v>0</v>
      </c>
      <c r="I723" t="n">
        <v>0</v>
      </c>
      <c r="J723" t="n">
        <v>0</v>
      </c>
      <c r="K723" t="n">
        <v>0</v>
      </c>
      <c r="L723" t="n">
        <v>0</v>
      </c>
      <c r="M723" t="n">
        <v>0</v>
      </c>
      <c r="N723" t="n">
        <v>0</v>
      </c>
      <c r="O723" t="n">
        <v>0</v>
      </c>
      <c r="P723" t="n">
        <v>0</v>
      </c>
      <c r="Q723" t="n">
        <v>0</v>
      </c>
      <c r="R723" s="2" t="inlineStr"/>
    </row>
    <row r="724" ht="15" customHeight="1">
      <c r="A724" t="inlineStr">
        <is>
          <t>A 21478-2023</t>
        </is>
      </c>
      <c r="B724" s="1" t="n">
        <v>45063.47773148148</v>
      </c>
      <c r="C724" s="1" t="n">
        <v>45963</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44491-2025</t>
        </is>
      </c>
      <c r="B725" s="1" t="n">
        <v>45916.66152777777</v>
      </c>
      <c r="C725" s="1" t="n">
        <v>45963</v>
      </c>
      <c r="D725" t="inlineStr">
        <is>
          <t>UPPSALA LÄN</t>
        </is>
      </c>
      <c r="E725" t="inlineStr">
        <is>
          <t>ÖSTHAMMAR</t>
        </is>
      </c>
      <c r="F725" t="inlineStr">
        <is>
          <t>Bergvik skog öst AB</t>
        </is>
      </c>
      <c r="G725" t="n">
        <v>4.3</v>
      </c>
      <c r="H725" t="n">
        <v>0</v>
      </c>
      <c r="I725" t="n">
        <v>0</v>
      </c>
      <c r="J725" t="n">
        <v>0</v>
      </c>
      <c r="K725" t="n">
        <v>0</v>
      </c>
      <c r="L725" t="n">
        <v>0</v>
      </c>
      <c r="M725" t="n">
        <v>0</v>
      </c>
      <c r="N725" t="n">
        <v>0</v>
      </c>
      <c r="O725" t="n">
        <v>0</v>
      </c>
      <c r="P725" t="n">
        <v>0</v>
      </c>
      <c r="Q725" t="n">
        <v>0</v>
      </c>
      <c r="R725" s="2" t="inlineStr"/>
    </row>
    <row r="726" ht="15" customHeight="1">
      <c r="A726" t="inlineStr">
        <is>
          <t>A 53656-2025</t>
        </is>
      </c>
      <c r="B726" s="1" t="n">
        <v>45960</v>
      </c>
      <c r="C726" s="1" t="n">
        <v>45963</v>
      </c>
      <c r="D726" t="inlineStr">
        <is>
          <t>UPPSALA LÄN</t>
        </is>
      </c>
      <c r="E726" t="inlineStr">
        <is>
          <t>ÖSTHAMMAR</t>
        </is>
      </c>
      <c r="G726" t="n">
        <v>3.1</v>
      </c>
      <c r="H726" t="n">
        <v>0</v>
      </c>
      <c r="I726" t="n">
        <v>0</v>
      </c>
      <c r="J726" t="n">
        <v>0</v>
      </c>
      <c r="K726" t="n">
        <v>0</v>
      </c>
      <c r="L726" t="n">
        <v>0</v>
      </c>
      <c r="M726" t="n">
        <v>0</v>
      </c>
      <c r="N726" t="n">
        <v>0</v>
      </c>
      <c r="O726" t="n">
        <v>0</v>
      </c>
      <c r="P726" t="n">
        <v>0</v>
      </c>
      <c r="Q726" t="n">
        <v>0</v>
      </c>
      <c r="R726" s="2" t="inlineStr"/>
    </row>
    <row r="727" ht="15" customHeight="1">
      <c r="A727" t="inlineStr">
        <is>
          <t>A 45102-2025</t>
        </is>
      </c>
      <c r="B727" s="1" t="n">
        <v>45919.39731481481</v>
      </c>
      <c r="C727" s="1" t="n">
        <v>45963</v>
      </c>
      <c r="D727" t="inlineStr">
        <is>
          <t>UPPSALA LÄN</t>
        </is>
      </c>
      <c r="E727" t="inlineStr">
        <is>
          <t>ÖSTHAMMAR</t>
        </is>
      </c>
      <c r="G727" t="n">
        <v>1.7</v>
      </c>
      <c r="H727" t="n">
        <v>0</v>
      </c>
      <c r="I727" t="n">
        <v>0</v>
      </c>
      <c r="J727" t="n">
        <v>0</v>
      </c>
      <c r="K727" t="n">
        <v>0</v>
      </c>
      <c r="L727" t="n">
        <v>0</v>
      </c>
      <c r="M727" t="n">
        <v>0</v>
      </c>
      <c r="N727" t="n">
        <v>0</v>
      </c>
      <c r="O727" t="n">
        <v>0</v>
      </c>
      <c r="P727" t="n">
        <v>0</v>
      </c>
      <c r="Q727" t="n">
        <v>0</v>
      </c>
      <c r="R727" s="2" t="inlineStr"/>
    </row>
    <row r="728" ht="15" customHeight="1">
      <c r="A728" t="inlineStr">
        <is>
          <t>A 53961-2025</t>
        </is>
      </c>
      <c r="B728" s="1" t="n">
        <v>45961</v>
      </c>
      <c r="C728" s="1" t="n">
        <v>45963</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53735-2025</t>
        </is>
      </c>
      <c r="B729" s="1" t="n">
        <v>45960.64431712963</v>
      </c>
      <c r="C729" s="1" t="n">
        <v>45963</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44917-2025</t>
        </is>
      </c>
      <c r="B730" s="1" t="n">
        <v>45918.54903935185</v>
      </c>
      <c r="C730" s="1" t="n">
        <v>45963</v>
      </c>
      <c r="D730" t="inlineStr">
        <is>
          <t>UPPSALA LÄN</t>
        </is>
      </c>
      <c r="E730" t="inlineStr">
        <is>
          <t>ÖSTHAMMAR</t>
        </is>
      </c>
      <c r="F730" t="inlineStr">
        <is>
          <t>Allmännings- och besparingsskogar</t>
        </is>
      </c>
      <c r="G730" t="n">
        <v>16</v>
      </c>
      <c r="H730" t="n">
        <v>0</v>
      </c>
      <c r="I730" t="n">
        <v>0</v>
      </c>
      <c r="J730" t="n">
        <v>0</v>
      </c>
      <c r="K730" t="n">
        <v>0</v>
      </c>
      <c r="L730" t="n">
        <v>0</v>
      </c>
      <c r="M730" t="n">
        <v>0</v>
      </c>
      <c r="N730" t="n">
        <v>0</v>
      </c>
      <c r="O730" t="n">
        <v>0</v>
      </c>
      <c r="P730" t="n">
        <v>0</v>
      </c>
      <c r="Q730" t="n">
        <v>0</v>
      </c>
      <c r="R730" s="2" t="inlineStr"/>
    </row>
    <row r="731" ht="15" customHeight="1">
      <c r="A731" t="inlineStr">
        <is>
          <t>A 45105-2025</t>
        </is>
      </c>
      <c r="B731" s="1" t="n">
        <v>45919.40252314815</v>
      </c>
      <c r="C731" s="1" t="n">
        <v>45963</v>
      </c>
      <c r="D731" t="inlineStr">
        <is>
          <t>UPPSALA LÄN</t>
        </is>
      </c>
      <c r="E731" t="inlineStr">
        <is>
          <t>ÖSTHAMMAR</t>
        </is>
      </c>
      <c r="G731" t="n">
        <v>0.8</v>
      </c>
      <c r="H731" t="n">
        <v>0</v>
      </c>
      <c r="I731" t="n">
        <v>0</v>
      </c>
      <c r="J731" t="n">
        <v>0</v>
      </c>
      <c r="K731" t="n">
        <v>0</v>
      </c>
      <c r="L731" t="n">
        <v>0</v>
      </c>
      <c r="M731" t="n">
        <v>0</v>
      </c>
      <c r="N731" t="n">
        <v>0</v>
      </c>
      <c r="O731" t="n">
        <v>0</v>
      </c>
      <c r="P731" t="n">
        <v>0</v>
      </c>
      <c r="Q731" t="n">
        <v>0</v>
      </c>
      <c r="R731" s="2" t="inlineStr"/>
    </row>
    <row r="732" ht="15" customHeight="1">
      <c r="A732" t="inlineStr">
        <is>
          <t>A 53557-2025</t>
        </is>
      </c>
      <c r="B732" s="1" t="n">
        <v>45960</v>
      </c>
      <c r="C732" s="1" t="n">
        <v>45963</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53567-2025</t>
        </is>
      </c>
      <c r="B733" s="1" t="n">
        <v>45960</v>
      </c>
      <c r="C733" s="1" t="n">
        <v>45963</v>
      </c>
      <c r="D733" t="inlineStr">
        <is>
          <t>UPPSALA LÄN</t>
        </is>
      </c>
      <c r="E733" t="inlineStr">
        <is>
          <t>ÖSTHAMMAR</t>
        </is>
      </c>
      <c r="G733" t="n">
        <v>1.4</v>
      </c>
      <c r="H733" t="n">
        <v>0</v>
      </c>
      <c r="I733" t="n">
        <v>0</v>
      </c>
      <c r="J733" t="n">
        <v>0</v>
      </c>
      <c r="K733" t="n">
        <v>0</v>
      </c>
      <c r="L733" t="n">
        <v>0</v>
      </c>
      <c r="M733" t="n">
        <v>0</v>
      </c>
      <c r="N733" t="n">
        <v>0</v>
      </c>
      <c r="O733" t="n">
        <v>0</v>
      </c>
      <c r="P733" t="n">
        <v>0</v>
      </c>
      <c r="Q733" t="n">
        <v>0</v>
      </c>
      <c r="R733" s="2" t="inlineStr"/>
    </row>
    <row r="734">
      <c r="A734" t="inlineStr">
        <is>
          <t>A 53737-2025</t>
        </is>
      </c>
      <c r="B734" s="1" t="n">
        <v>45960.64520833334</v>
      </c>
      <c r="C734" s="1" t="n">
        <v>45963</v>
      </c>
      <c r="D734" t="inlineStr">
        <is>
          <t>UPPSALA LÄN</t>
        </is>
      </c>
      <c r="E734" t="inlineStr">
        <is>
          <t>ÖSTHAMMAR</t>
        </is>
      </c>
      <c r="F734" t="inlineStr">
        <is>
          <t>Bergvik skog öst AB</t>
        </is>
      </c>
      <c r="G734" t="n">
        <v>3</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2025-11-02T10:06:32Z</dcterms:created>
  <dcterms:modified xmlns:dcterms="http://purl.org/dc/terms/" xmlns:xsi="http://www.w3.org/2001/XMLSchema-instance" xsi:type="dcterms:W3CDTF">2025-11-02T10:06:32Z</dcterms:modified>
</cp:coreProperties>
</file>