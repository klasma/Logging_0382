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45759</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45759</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16239-2025</t>
        </is>
      </c>
      <c r="B31" s="1" t="n">
        <v>45746</v>
      </c>
      <c r="C31" s="1" t="n">
        <v>45759</v>
      </c>
      <c r="D31" t="inlineStr">
        <is>
          <t>UPPSALA LÄN</t>
        </is>
      </c>
      <c r="E31" t="inlineStr">
        <is>
          <t>ÖSTHAMMAR</t>
        </is>
      </c>
      <c r="G31" t="n">
        <v>6.9</v>
      </c>
      <c r="H31" t="n">
        <v>5</v>
      </c>
      <c r="I31" t="n">
        <v>3</v>
      </c>
      <c r="J31" t="n">
        <v>2</v>
      </c>
      <c r="K31" t="n">
        <v>1</v>
      </c>
      <c r="L31" t="n">
        <v>0</v>
      </c>
      <c r="M31" t="n">
        <v>0</v>
      </c>
      <c r="N31" t="n">
        <v>0</v>
      </c>
      <c r="O31" t="n">
        <v>3</v>
      </c>
      <c r="P31" t="n">
        <v>1</v>
      </c>
      <c r="Q31" t="n">
        <v>7</v>
      </c>
      <c r="R31" s="2" t="inlineStr">
        <is>
          <t>Knärot
Talltita
Ullticka
Grön sköldmossa
Grönpyrola
Nästrot
Blåsippa</t>
        </is>
      </c>
      <c r="S31">
        <f>HYPERLINK("https://klasma.github.io/Logging_030382/artfynd/A 16239-2025 artfynd.xlsx", "A 16239-2025")</f>
        <v/>
      </c>
      <c r="T31">
        <f>HYPERLINK("https://klasma.github.io/Logging_030382/kartor/A 16239-2025 karta.png", "A 16239-2025")</f>
        <v/>
      </c>
      <c r="U31">
        <f>HYPERLINK("https://klasma.github.io/Logging_030382/knärot/A 16239-2025 karta knärot.png", "A 16239-2025")</f>
        <v/>
      </c>
      <c r="V31">
        <f>HYPERLINK("https://klasma.github.io/Logging_030382/klagomål/A 16239-2025 FSC-klagomål.docx", "A 16239-2025")</f>
        <v/>
      </c>
      <c r="W31">
        <f>HYPERLINK("https://klasma.github.io/Logging_030382/klagomålsmail/A 16239-2025 FSC-klagomål mail.docx", "A 16239-2025")</f>
        <v/>
      </c>
      <c r="X31">
        <f>HYPERLINK("https://klasma.github.io/Logging_030382/tillsyn/A 16239-2025 tillsynsbegäran.docx", "A 16239-2025")</f>
        <v/>
      </c>
      <c r="Y31">
        <f>HYPERLINK("https://klasma.github.io/Logging_030382/tillsynsmail/A 16239-2025 tillsynsbegäran mail.docx", "A 16239-2025")</f>
        <v/>
      </c>
      <c r="Z31">
        <f>HYPERLINK("https://klasma.github.io/Logging_030382/fåglar/A 16239-2025 prioriterade fågelarter.docx", "A 16239-2025")</f>
        <v/>
      </c>
    </row>
    <row r="32" ht="15" customHeight="1">
      <c r="A32" t="inlineStr">
        <is>
          <t>A 16242-2025</t>
        </is>
      </c>
      <c r="B32" s="1" t="n">
        <v>45746</v>
      </c>
      <c r="C32" s="1" t="n">
        <v>45759</v>
      </c>
      <c r="D32" t="inlineStr">
        <is>
          <t>UPPSALA LÄN</t>
        </is>
      </c>
      <c r="E32" t="inlineStr">
        <is>
          <t>ÖSTHAMMAR</t>
        </is>
      </c>
      <c r="G32" t="n">
        <v>28</v>
      </c>
      <c r="H32" t="n">
        <v>3</v>
      </c>
      <c r="I32" t="n">
        <v>3</v>
      </c>
      <c r="J32" t="n">
        <v>3</v>
      </c>
      <c r="K32" t="n">
        <v>0</v>
      </c>
      <c r="L32" t="n">
        <v>0</v>
      </c>
      <c r="M32" t="n">
        <v>0</v>
      </c>
      <c r="N32" t="n">
        <v>0</v>
      </c>
      <c r="O32" t="n">
        <v>3</v>
      </c>
      <c r="P32" t="n">
        <v>0</v>
      </c>
      <c r="Q32" t="n">
        <v>7</v>
      </c>
      <c r="R32" s="2" t="inlineStr">
        <is>
          <t>Spillkråka
Ullticka
Vedtrappmossa
Grön sköldmossa
Jättesvampmal
Vågbandad barkbock
Blåsippa</t>
        </is>
      </c>
      <c r="S32">
        <f>HYPERLINK("https://klasma.github.io/Logging_030382/artfynd/A 16242-2025 artfynd.xlsx", "A 16242-2025")</f>
        <v/>
      </c>
      <c r="T32">
        <f>HYPERLINK("https://klasma.github.io/Logging_030382/kartor/A 16242-2025 karta.png", "A 16242-2025")</f>
        <v/>
      </c>
      <c r="V32">
        <f>HYPERLINK("https://klasma.github.io/Logging_030382/klagomål/A 16242-2025 FSC-klagomål.docx", "A 16242-2025")</f>
        <v/>
      </c>
      <c r="W32">
        <f>HYPERLINK("https://klasma.github.io/Logging_030382/klagomålsmail/A 16242-2025 FSC-klagomål mail.docx", "A 16242-2025")</f>
        <v/>
      </c>
      <c r="X32">
        <f>HYPERLINK("https://klasma.github.io/Logging_030382/tillsyn/A 16242-2025 tillsynsbegäran.docx", "A 16242-2025")</f>
        <v/>
      </c>
      <c r="Y32">
        <f>HYPERLINK("https://klasma.github.io/Logging_030382/tillsynsmail/A 16242-2025 tillsynsbegäran mail.docx", "A 16242-2025")</f>
        <v/>
      </c>
      <c r="Z32">
        <f>HYPERLINK("https://klasma.github.io/Logging_030382/fåglar/A 16242-2025 prioriterade fågelarter.docx", "A 16242-2025")</f>
        <v/>
      </c>
    </row>
    <row r="33" ht="15" customHeight="1">
      <c r="A33" t="inlineStr">
        <is>
          <t>A 33087-2020</t>
        </is>
      </c>
      <c r="B33" s="1" t="n">
        <v>44021</v>
      </c>
      <c r="C33" s="1" t="n">
        <v>45759</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45759</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45759</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45759</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45759</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45759</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45759</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45759</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45759</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45759</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45759</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45759</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45759</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45759</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45759</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45759</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45759</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45759</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45759</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45759</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45759</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45759</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45759</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45759</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45759</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45759</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45759</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45759</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45759</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45759</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45759</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45759</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45759</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45759</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45759</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45759</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45759</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45759</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45759</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45759</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45759</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45759</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45759</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45759</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45759</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45759</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45759</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45759</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45759</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45759</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45759</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45759</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45759</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45759</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45759</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45759</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45759</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45759</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45759</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45759</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45759</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45759</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45759</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45759</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45759</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45759</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45759</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45759</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45759</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45759</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45759</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45759</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45759</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45759</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45759</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45759</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45759</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45759</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45759</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45759</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45759</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45759</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45759</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45759</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45759</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45759</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45759</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45759</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45759</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45759</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45759</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45759</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45759</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45759</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45759</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45759</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45759</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45759</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45759</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45759</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45759</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45759</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45759</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45759</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45759</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45759</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45759</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45759</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45759</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45759</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45759</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45759</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45759</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45759</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45759</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45759</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45759</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45759</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45759</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45759</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45759</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45759</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45759</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45759</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45759</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45759</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45759</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45759</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45759</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45759</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45759</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45759</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45759</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45759</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45759</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45759</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45759</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45759</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45759</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45759</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45759</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45759</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45759</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45759</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45759</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45759</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45759</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45759</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45759</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45759</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45759</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45759</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45759</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45759</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45759</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45759</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45759</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45759</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45759</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45759</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45759</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45759</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45759</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45759</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45759</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45759</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45759</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45759</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45759</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45759</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45759</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45759</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45759</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45759</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45759</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45759</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45759</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45759</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45759</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45759</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45759</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45759</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45759</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45759</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45759</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45759</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45759</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45759</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45759</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45759</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45759</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45759</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45759</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45759</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45759</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45759</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45759</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45759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45759</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45759</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45759</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45759</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45759</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45759</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45759</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45759</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45759</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45759</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45759</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45759</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45759</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45759</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45759</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45759</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45759</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45759</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45759</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45759</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45759</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45759</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45759</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45759</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45759</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45759</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45759</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45759</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45759</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45759</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45759</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45759</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45759</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45759</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45759</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45759</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45759</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45759</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45759</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45759</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45759</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45759</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45759</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45759</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45759</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45759</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45759</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45759</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45759</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45759</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45759</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45759</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45759</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45759</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45759</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45759</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45759</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45759</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45759</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45759</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45759</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45759</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45759</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45759</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45759</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45759</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45759</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45759</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45759</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45759</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45759</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45759</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45759</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45759</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45759</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45759</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45759</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45759</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45759</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45759</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45759</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45759</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45759</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45759</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45759</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45759</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45759</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45759</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45759</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45759</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45759</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45759</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45759</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45759</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45759</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45759</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45759</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45759</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45759</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45759</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45759</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45759</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45759</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45759</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45759</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45759</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45759</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45759</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45759</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45759</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45759</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45759</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45759</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45759</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45759</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45759</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45759</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45759</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45759</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45759</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45759</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45759</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45759</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45759</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45759</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45759</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45759</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45759</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45759</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45759</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45759</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45759</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45759</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45759</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45759</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45759</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45759</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45759</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45759</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45759</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45759</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45759</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45759</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45759</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45759</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45759</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45759</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45759</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45759</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45759</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45759</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45759</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45759</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45759</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45759</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45759</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45759</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45759</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45759</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45759</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45759</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45759</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45759</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45759</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45759</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45759</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45759</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45759</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45759</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45759</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45759</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45759</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45759</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45759</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45759</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45759</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45759</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45759</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45759</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45759</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45759</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45759</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45759</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45759</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45759</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45759</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45759</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45759</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45759</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45759</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45759</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45759</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45759</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45759</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45759</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45759</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45759</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45759</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45759</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45759</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45759</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45759</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45759</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45759</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45759</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45759</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45759</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45759</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45759</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45759</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45759</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45759</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45759</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45759</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45759</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45759</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45759</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45759</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45759</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45759</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45759</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45759</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45759</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45759</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45759</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45759</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45759</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45759</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45759</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45759</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45759</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45759</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45759</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45759</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45759</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45759</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45759</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45759</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45759</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45759</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45759</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45759</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45759</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45759</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45759</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45759</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45759</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45759</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45759</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45759</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45759</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45759</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45759</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45759</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45759</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45759</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45759</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45759</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45759</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45759</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45759</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45759</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45759</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45759</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45759</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45759</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45759</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45759</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45759</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45759</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45759</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45759</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45759</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45759</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45759</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45759</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45759</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45759</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45759</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45759</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45759</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45759</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45759</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45759</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45759</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45759</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45759</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45759</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45759</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45759</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45759</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45759</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45759</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45759</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45759</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45759</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45759</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45759</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45759</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45759</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45759</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45759</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45759</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45759</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45759</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45759</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45759</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45759</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45759</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45759</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45759</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45759</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45759</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45759</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45759</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45759</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45759</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45759</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45759</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45759</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45759</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45759</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45759</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45759</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45759</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45759</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45759</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45759</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45759</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45759</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45759</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45759</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45759</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45759</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45759</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45759</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45759</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45759</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45759</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45759</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45759</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45759</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45759</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45759</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45759</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45759</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45759</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45759</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45759</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45759</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45759</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45759</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45759</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45759</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45759</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45759</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45759</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45759</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45759</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45759</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45759</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45759</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45759</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45759</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45759</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45759</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45759</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45759</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45759</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45759</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45759</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45759</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45759</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45759</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45759</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45759</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45759</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45759</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45759</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45759</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45759</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45759</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45759</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45759</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45759</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45759</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45759</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45759</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45759</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45759</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45759</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45759</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45759</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45759</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45759</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45759</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45759</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45759</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45759</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45759</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45759</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45759</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45759</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45759</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45759</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45759</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45759</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45759</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45759</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45759</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45759</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45759</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45759</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45759</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45759</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45759</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45759</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45759</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45759</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45759</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45759</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45759</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45759</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45759</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45759</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45759</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45759</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45759</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45759</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45759</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45759</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45759</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45759</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45759</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45759</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45759</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45759</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45759</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45759</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45759</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45759</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45759</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45759</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45759</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45759</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45759</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45759</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45759</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45759</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45759</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45759</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45759</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45759</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45759</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45759</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45759</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45759</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45759</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45759</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45759</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45759</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45759</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45759</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45759</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45759</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45759</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45759</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45759</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45759</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45759</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45759</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45759</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45759</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45759</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45759</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45759</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45759</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45759</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45759</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45759</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45759</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45759</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45759</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45759</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45759</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45759</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45759</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45759</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45759</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45759</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45759</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45759</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45759</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45759</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45759</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45759</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45759</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45759</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45759</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45759</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45759</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45759</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45759</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45759</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45759</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45759</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45759</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45759</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45759</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45759</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45759</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45759</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45759</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45759</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45759</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45759</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45759</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45759</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45759</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45759</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45759</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45759</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45759</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45759</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45759</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45759</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45759</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45759</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45759</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45759</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45759</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45759</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45759</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45759</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45759</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45759</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45759</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45759</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45759</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45759</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45759</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45759</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45759</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45759</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45759</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45759</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45759</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45759</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45759</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45759</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45759</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45759</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45759</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45759</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45759</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45759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45759</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45759</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45759</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45759</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45759</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45759</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45759</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45759</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45759</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45759</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45759</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45759</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45759</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45759</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45759</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45759</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45759</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45759</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45759</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45759</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45759</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45759</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45759</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45759</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45759</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45759</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45759</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45759</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45759</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45759</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45759</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45759</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45759</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45759</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45759</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45759</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45759</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45759</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45759</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45759</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45759</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45759</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45759</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45759</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45759</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45759</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45759</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45759</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45759</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45759</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45759</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45759</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45759</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45759</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45759</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45759</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45759</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45759</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45759</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45759</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45759</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45759</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45759</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45759</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45759</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45759</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45759</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45759</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45759</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45759</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45759</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45759</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45759</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45759</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45759</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45759</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45759</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45759</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45759</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45759</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45759</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45759</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45759</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45759</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45759</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45759</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45759</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45759</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45759</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45759</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45759</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45759</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45759</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45759</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45759</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45759</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45759</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45759</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45759</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45759</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45759</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45759</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45759</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45759</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45759</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45759</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45759</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45759</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45759</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45759</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45759</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45759</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45759</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45759</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45759</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45759</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45759</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45759</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45759</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45759</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45759</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45759</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45759</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45759</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45759</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45759</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45759</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45759</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45759</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45759</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45759</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45759</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45759</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45759</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45759</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45759</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45759</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45759</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45759</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45759</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45759</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45759</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45759</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45759</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45759</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45759</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45759</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45759</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45759</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45759</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45759</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45759</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45759</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45759</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45759</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45759</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45759</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45759</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45759</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45759</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45759</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45759</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45759</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45759</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45759</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45759</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45759</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45759</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45759</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45759</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45759</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45759</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45759</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45759</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45759</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45759</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45759</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45759</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45759</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45759</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45759</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45759</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45759</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45759</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45759</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45759</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45759</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45759</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45759</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45759</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45759</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45759</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45759</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45759</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45759</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45759</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45759</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45759</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45759</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45759</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45759</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45759</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45759</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45759</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45759</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45759</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45759</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45759</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45759</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45759</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45759</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45759</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45759</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45759</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45759</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45759</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45759</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45759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45759</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45759</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45759</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45759</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45759</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45759</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45759</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45759</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45759</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45759</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45759</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45759</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45759</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45759</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45759</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45759</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45759</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45759</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45759</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45759</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45759</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45759</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45759</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45759</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45759</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45759</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45759</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45759</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45759</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45759</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45759</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45759</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45759</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45759</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45759</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45759</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45759</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45759</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45759</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45759</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45759</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45759</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45759</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45759</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45759</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45759</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45759</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45759</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45759</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45759</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45759</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45759</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45759</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45759</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45759</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45759</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45759</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45759</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45759</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45759</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45759</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45759</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45759</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45759</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45759</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45759</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45759</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45759</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45759</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45759</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45759</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45759</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45759</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45759</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45759</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45759</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45759</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45759</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45759</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45759</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45759</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45759</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45759</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45759</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45759</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45759</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45759</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45759</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45759</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45759</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45759</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45759</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45759</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45759</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45759</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45759</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45759</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45759</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45759</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45759</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45759</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45759</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45759</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45759</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45759</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45759</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45759</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45759</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45759</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45759</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45759</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45759</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45759</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45759</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45759</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45759</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45759</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45759</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45759</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45759</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45759</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45759</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45759</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45759</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45759</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45759</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45759</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45759</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45759</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45759</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45759</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45759</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45759</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45759</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45759</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45759</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45759</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45759</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45759</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45759</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45759</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45759</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45759</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45759</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45759</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45759</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45759</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45759</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45759</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45759</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45759</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45759</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45759</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45759</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45759</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45759</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45759</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45759</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45759</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45759</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45759</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45759</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45759</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45759</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45759</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45759</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45759</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45759</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45759</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45759</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45759</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45759</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45759</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45759</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45759</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45759</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45759</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45759</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45759</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45759</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45759</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45759</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45759</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45759</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45759</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45759</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45759</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45759</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45759</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45759</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45759</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45759</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45759</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45759</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45759</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45759</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45759</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45759</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45759</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45759</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45759</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45759</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45759</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45759</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45759</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45759</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45759</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45759</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45759</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45759</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45759</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45759</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45759</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45759</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45759</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45759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45759</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45759</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45759</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45759</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45759</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45759</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45759</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45759</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45759</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45759</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45759</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45759</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45759</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45759</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45759</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45759</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45759</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45759</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45759</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45759</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45759</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45759</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45759</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45759</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45759</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45759</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45759</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45759</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45759</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45759</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45759</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45759</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45759</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45759</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45759</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45759</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45759</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45759</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45759</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45759</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45759</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45759</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45759</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45759</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45759</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45759</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45759</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45759</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45759</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45759</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45759</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45759</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45759</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45759</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45759</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45759</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45759</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45759</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45759</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45759</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45759</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45759</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45759</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45759</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45759</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45759</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45759</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45759</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45759</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45759</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45759</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45759</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45759</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45759</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45759</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45759</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45759</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45759</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45759</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45759</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45759</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45759</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45759</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45759</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45759</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45759</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45759</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45759</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45759</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45759</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45759</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45759</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45759</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45759</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45759</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45759</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45759</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45759</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45759</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45759</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45759</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45759</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45759</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45759</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45759</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45759</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45759</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45759</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45759</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45759</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45759</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45759</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45759</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45759</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45759</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45759</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45759</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45759</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45759</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45759</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45759</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45759</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45759</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45759</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45759</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45759</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45759</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45759</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45759</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45759</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45759</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45759</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45759</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45759</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45759</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45759</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45759</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45759</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45759</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45759</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45759</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45759</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45759</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45759</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45759</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45759</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45759</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45759</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45759</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45759</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45759</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45759</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45759</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45759</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45759</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45759</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45759</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45759</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45759</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45759</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45759</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45759</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45759</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45759</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45759</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45759</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45759</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45759</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45759</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45759</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45759</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45759</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45759</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45759</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45759</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45759</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45759</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45759</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45759</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45759</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45759</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45759</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45759</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45759</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45759</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45759</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45759</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45759</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45759</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45759</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45759</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45759</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45759</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45759</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45759</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45759</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45759</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45759</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45759</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45759</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45759</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45759</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45759</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45759</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45759</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45759</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45759</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45759</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14269-2025</t>
        </is>
      </c>
      <c r="B1429" s="1" t="n">
        <v>45740</v>
      </c>
      <c r="C1429" s="1" t="n">
        <v>45759</v>
      </c>
      <c r="D1429" t="inlineStr">
        <is>
          <t>UPPSALA LÄN</t>
        </is>
      </c>
      <c r="E1429" t="inlineStr">
        <is>
          <t>ÖSTHAMMAR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14170-2025</t>
        </is>
      </c>
      <c r="B1430" s="1" t="n">
        <v>45740</v>
      </c>
      <c r="C1430" s="1" t="n">
        <v>45759</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45759</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45759</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45759</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45759</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45759</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45759</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45759</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17089-2025</t>
        </is>
      </c>
      <c r="B1438" s="1" t="n">
        <v>45755</v>
      </c>
      <c r="C1438" s="1" t="n">
        <v>45759</v>
      </c>
      <c r="D1438" t="inlineStr">
        <is>
          <t>UPPSALA LÄN</t>
        </is>
      </c>
      <c r="E1438" t="inlineStr">
        <is>
          <t>ÖSTHAMMAR</t>
        </is>
      </c>
      <c r="F1438" t="inlineStr">
        <is>
          <t>Bergvik skog öst AB</t>
        </is>
      </c>
      <c r="G1438" t="n">
        <v>15.9</v>
      </c>
      <c r="H1438" t="n">
        <v>0</v>
      </c>
      <c r="I1438" t="n">
        <v>0</v>
      </c>
      <c r="J1438" t="n">
        <v>0</v>
      </c>
      <c r="K1438" t="n">
        <v>0</v>
      </c>
      <c r="L1438" t="n">
        <v>0</v>
      </c>
      <c r="M1438" t="n">
        <v>0</v>
      </c>
      <c r="N1438" t="n">
        <v>0</v>
      </c>
      <c r="O1438" t="n">
        <v>0</v>
      </c>
      <c r="P1438" t="n">
        <v>0</v>
      </c>
      <c r="Q1438" t="n">
        <v>0</v>
      </c>
      <c r="R1438" s="2" t="inlineStr"/>
    </row>
    <row r="1439" ht="15" customHeight="1">
      <c r="A1439" t="inlineStr">
        <is>
          <t>A 17090-2025</t>
        </is>
      </c>
      <c r="B1439" s="1" t="n">
        <v>45755</v>
      </c>
      <c r="C1439" s="1" t="n">
        <v>45759</v>
      </c>
      <c r="D1439" t="inlineStr">
        <is>
          <t>UPPSALA LÄN</t>
        </is>
      </c>
      <c r="E1439" t="inlineStr">
        <is>
          <t>ÖSTHAMMAR</t>
        </is>
      </c>
      <c r="F1439" t="inlineStr">
        <is>
          <t>Bergvik skog öst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45759</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45759</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45759</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17433-2025</t>
        </is>
      </c>
      <c r="B1443" s="1" t="n">
        <v>45757</v>
      </c>
      <c r="C1443" s="1" t="n">
        <v>45759</v>
      </c>
      <c r="D1443" t="inlineStr">
        <is>
          <t>UPPSALA LÄN</t>
        </is>
      </c>
      <c r="E1443" t="inlineStr">
        <is>
          <t>ÖSTHAMMAR</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45759</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17651-2025</t>
        </is>
      </c>
      <c r="B1445" s="1" t="n">
        <v>45758</v>
      </c>
      <c r="C1445" s="1" t="n">
        <v>45759</v>
      </c>
      <c r="D1445" t="inlineStr">
        <is>
          <t>UPPSALA LÄN</t>
        </is>
      </c>
      <c r="E1445" t="inlineStr">
        <is>
          <t>ÖSTHAMMAR</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17652-2025</t>
        </is>
      </c>
      <c r="B1446" s="1" t="n">
        <v>45758</v>
      </c>
      <c r="C1446" s="1" t="n">
        <v>45759</v>
      </c>
      <c r="D1446" t="inlineStr">
        <is>
          <t>UPPSALA LÄN</t>
        </is>
      </c>
      <c r="E1446" t="inlineStr">
        <is>
          <t>ÖSTHAMMAR</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17643-2025</t>
        </is>
      </c>
      <c r="B1447" s="1" t="n">
        <v>45758</v>
      </c>
      <c r="C1447" s="1" t="n">
        <v>45759</v>
      </c>
      <c r="D1447" t="inlineStr">
        <is>
          <t>UPPSALA LÄN</t>
        </is>
      </c>
      <c r="E1447" t="inlineStr">
        <is>
          <t>ÖSTHAMMAR</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17655-2025</t>
        </is>
      </c>
      <c r="B1448" s="1" t="n">
        <v>45758</v>
      </c>
      <c r="C1448" s="1" t="n">
        <v>45759</v>
      </c>
      <c r="D1448" t="inlineStr">
        <is>
          <t>UPPSALA LÄN</t>
        </is>
      </c>
      <c r="E1448" t="inlineStr">
        <is>
          <t>ÖSTHAMMAR</t>
        </is>
      </c>
      <c r="F1448" t="inlineStr">
        <is>
          <t>Övriga Aktiebolag</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17644-2025</t>
        </is>
      </c>
      <c r="B1449" s="1" t="n">
        <v>45758</v>
      </c>
      <c r="C1449" s="1" t="n">
        <v>45759</v>
      </c>
      <c r="D1449" t="inlineStr">
        <is>
          <t>UPPSALA LÄN</t>
        </is>
      </c>
      <c r="E1449" t="inlineStr">
        <is>
          <t>ÖSTHAMMAR</t>
        </is>
      </c>
      <c r="F1449" t="inlineStr">
        <is>
          <t>Bergvik skog väst AB</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17646-2025</t>
        </is>
      </c>
      <c r="B1450" s="1" t="n">
        <v>45758</v>
      </c>
      <c r="C1450" s="1" t="n">
        <v>45759</v>
      </c>
      <c r="D1450" t="inlineStr">
        <is>
          <t>UPPSALA LÄN</t>
        </is>
      </c>
      <c r="E1450" t="inlineStr">
        <is>
          <t>ÖSTHAMMAR</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c r="A1451" t="inlineStr">
        <is>
          <t>A 17648-2025</t>
        </is>
      </c>
      <c r="B1451" s="1" t="n">
        <v>45758</v>
      </c>
      <c r="C1451" s="1" t="n">
        <v>45759</v>
      </c>
      <c r="D1451" t="inlineStr">
        <is>
          <t>UPPSALA LÄN</t>
        </is>
      </c>
      <c r="E1451" t="inlineStr">
        <is>
          <t>ÖSTHAMMAR</t>
        </is>
      </c>
      <c r="F1451" t="inlineStr">
        <is>
          <t>Bergvik skog väst AB</t>
        </is>
      </c>
      <c r="G1451" t="n">
        <v>1.3</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2025-04-12T16:25:04Z</dcterms:created>
  <dcterms:modified xmlns:dcterms="http://purl.org/dc/terms/" xmlns:xsi="http://www.w3.org/2001/XMLSchema-instance" xsi:type="dcterms:W3CDTF">2025-04-12T16:25:05Z</dcterms:modified>
</cp:coreProperties>
</file>