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46076</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46076</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46076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46076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46076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46076</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46076</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46076</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46076</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46076</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46076</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46076</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46076</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46076</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46076</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46076</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46076</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46076</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46076</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46076</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46076</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46076</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v>
      </c>
      <c r="C25" s="1" t="n">
        <v>46076</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46076</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46076</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46076</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46076</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46076</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46076</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46076</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46076</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46076</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46076</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46076</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46076</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51154-2025</t>
        </is>
      </c>
      <c r="B38" s="1" t="n">
        <v>45947.57583333334</v>
      </c>
      <c r="C38" s="1" t="n">
        <v>46076</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46076</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46076</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23498-2023</t>
        </is>
      </c>
      <c r="B41" s="1" t="n">
        <v>45076</v>
      </c>
      <c r="C41" s="1" t="n">
        <v>46076</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1101-2026</t>
        </is>
      </c>
      <c r="B42" s="1" t="n">
        <v>46030.66722222222</v>
      </c>
      <c r="C42" s="1" t="n">
        <v>46076</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26056-2025</t>
        </is>
      </c>
      <c r="B43" s="1" t="n">
        <v>45804.79280092593</v>
      </c>
      <c r="C43" s="1" t="n">
        <v>46076</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46076</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46076</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46076</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60889-2025</t>
        </is>
      </c>
      <c r="B47" s="1" t="n">
        <v>45999.56931712963</v>
      </c>
      <c r="C47" s="1" t="n">
        <v>46076</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74364-2021</t>
        </is>
      </c>
      <c r="B48" s="1" t="n">
        <v>44559</v>
      </c>
      <c r="C48" s="1" t="n">
        <v>46076</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46076</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46076</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46076</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46076</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9683-2023</t>
        </is>
      </c>
      <c r="B53" s="1" t="n">
        <v>44984.43856481482</v>
      </c>
      <c r="C53" s="1" t="n">
        <v>46076</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33035-2021</t>
        </is>
      </c>
      <c r="B54" s="1" t="n">
        <v>44376</v>
      </c>
      <c r="C54" s="1" t="n">
        <v>46076</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9715-2024</t>
        </is>
      </c>
      <c r="B55" s="1" t="n">
        <v>45362.53928240741</v>
      </c>
      <c r="C55" s="1" t="n">
        <v>46076</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46204-2023</t>
        </is>
      </c>
      <c r="B56" s="1" t="n">
        <v>45190</v>
      </c>
      <c r="C56" s="1" t="n">
        <v>46076</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6567-2026</t>
        </is>
      </c>
      <c r="B57" s="1" t="n">
        <v>46056.44011574074</v>
      </c>
      <c r="C57" s="1" t="n">
        <v>46076</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26557-2022</t>
        </is>
      </c>
      <c r="B58" s="1" t="n">
        <v>44739</v>
      </c>
      <c r="C58" s="1" t="n">
        <v>46076</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25044-2025</t>
        </is>
      </c>
      <c r="B59" s="1" t="n">
        <v>45799.66607638889</v>
      </c>
      <c r="C59" s="1" t="n">
        <v>46076</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46076</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46076</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46076</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46076</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18539-2024</t>
        </is>
      </c>
      <c r="B64" s="1" t="n">
        <v>45425.63697916667</v>
      </c>
      <c r="C64" s="1" t="n">
        <v>46076</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41303-2025</t>
        </is>
      </c>
      <c r="B65" s="1" t="n">
        <v>45898.69215277778</v>
      </c>
      <c r="C65" s="1" t="n">
        <v>46076</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33269-2025</t>
        </is>
      </c>
      <c r="B66" s="1" t="n">
        <v>45840.68208333333</v>
      </c>
      <c r="C66" s="1" t="n">
        <v>46076</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20553-2025</t>
        </is>
      </c>
      <c r="B67" s="1" t="n">
        <v>45775.63983796296</v>
      </c>
      <c r="C67" s="1" t="n">
        <v>46076</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46076</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46076</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46076</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56669-2025</t>
        </is>
      </c>
      <c r="B71" s="1" t="n">
        <v>45975.69306712963</v>
      </c>
      <c r="C71" s="1" t="n">
        <v>46076</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9646-2024</t>
        </is>
      </c>
      <c r="B72" s="1" t="n">
        <v>45362.37055555556</v>
      </c>
      <c r="C72" s="1" t="n">
        <v>46076</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46076</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46076</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46076</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46076</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46076</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46076</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46076</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46076</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46076</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38442-2022</t>
        </is>
      </c>
      <c r="B82" s="1" t="n">
        <v>44813</v>
      </c>
      <c r="C82" s="1" t="n">
        <v>46076</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46076</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46076</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46076</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46076</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46076</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46076</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30605-2025</t>
        </is>
      </c>
      <c r="B89" s="1" t="n">
        <v>45831.45510416666</v>
      </c>
      <c r="C89" s="1" t="n">
        <v>46076</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41220-2025</t>
        </is>
      </c>
      <c r="B90" s="1" t="n">
        <v>45898.58630787037</v>
      </c>
      <c r="C90" s="1" t="n">
        <v>46076</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46629-2024</t>
        </is>
      </c>
      <c r="B91" s="1" t="n">
        <v>45583.33221064815</v>
      </c>
      <c r="C91" s="1" t="n">
        <v>46076</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46076</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46076</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52879-2025</t>
        </is>
      </c>
      <c r="B94" s="1" t="n">
        <v>45957.544375</v>
      </c>
      <c r="C94" s="1" t="n">
        <v>46076</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22209-2022</t>
        </is>
      </c>
      <c r="B95" s="1" t="n">
        <v>44712</v>
      </c>
      <c r="C95" s="1" t="n">
        <v>46076</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46076</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46076</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25179-2023</t>
        </is>
      </c>
      <c r="B98" s="1" t="n">
        <v>45078</v>
      </c>
      <c r="C98" s="1" t="n">
        <v>46076</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61410-2025</t>
        </is>
      </c>
      <c r="B99" s="1" t="n">
        <v>46001.51974537037</v>
      </c>
      <c r="C99" s="1" t="n">
        <v>46076</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33800-2024</t>
        </is>
      </c>
      <c r="B100" s="1" t="n">
        <v>45520</v>
      </c>
      <c r="C100" s="1" t="n">
        <v>46076</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14706-2023</t>
        </is>
      </c>
      <c r="B101" s="1" t="n">
        <v>45013</v>
      </c>
      <c r="C101" s="1" t="n">
        <v>46076</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4714-2026</t>
        </is>
      </c>
      <c r="B102" s="1" t="n">
        <v>46048.46175925926</v>
      </c>
      <c r="C102" s="1" t="n">
        <v>46076</v>
      </c>
      <c r="D102" t="inlineStr">
        <is>
          <t>UPPSALA LÄN</t>
        </is>
      </c>
      <c r="E102" t="inlineStr">
        <is>
          <t>ÖSTHAMMAR</t>
        </is>
      </c>
      <c r="G102" t="n">
        <v>6.3</v>
      </c>
      <c r="H102" t="n">
        <v>1</v>
      </c>
      <c r="I102" t="n">
        <v>0</v>
      </c>
      <c r="J102" t="n">
        <v>1</v>
      </c>
      <c r="K102" t="n">
        <v>0</v>
      </c>
      <c r="L102" t="n">
        <v>0</v>
      </c>
      <c r="M102" t="n">
        <v>0</v>
      </c>
      <c r="N102" t="n">
        <v>0</v>
      </c>
      <c r="O102" t="n">
        <v>1</v>
      </c>
      <c r="P102" t="n">
        <v>0</v>
      </c>
      <c r="Q102" t="n">
        <v>1</v>
      </c>
      <c r="R102" s="2" t="inlineStr">
        <is>
          <t>Nordfladdermus</t>
        </is>
      </c>
      <c r="S102">
        <f>HYPERLINK("https://klasma.github.io/Logging_0382/artfynd/A 4714-2026 artfynd.xlsx", "A 4714-2026")</f>
        <v/>
      </c>
      <c r="T102">
        <f>HYPERLINK("https://klasma.github.io/Logging_0382/kartor/A 4714-2026 karta.png", "A 4714-2026")</f>
        <v/>
      </c>
      <c r="V102">
        <f>HYPERLINK("https://klasma.github.io/Logging_0382/klagomål/A 4714-2026 FSC-klagomål.docx", "A 4714-2026")</f>
        <v/>
      </c>
      <c r="W102">
        <f>HYPERLINK("https://klasma.github.io/Logging_0382/klagomålsmail/A 4714-2026 FSC-klagomål mail.docx", "A 4714-2026")</f>
        <v/>
      </c>
      <c r="X102">
        <f>HYPERLINK("https://klasma.github.io/Logging_0382/tillsyn/A 4714-2026 tillsynsbegäran.docx", "A 4714-2026")</f>
        <v/>
      </c>
      <c r="Y102">
        <f>HYPERLINK("https://klasma.github.io/Logging_0382/tillsynsmail/A 4714-2026 tillsynsbegäran mail.docx", "A 4714-2026")</f>
        <v/>
      </c>
    </row>
    <row r="103" ht="15" customHeight="1">
      <c r="A103" t="inlineStr">
        <is>
          <t>A 1227-2022</t>
        </is>
      </c>
      <c r="B103" s="1" t="n">
        <v>44572.57641203704</v>
      </c>
      <c r="C103" s="1" t="n">
        <v>46076</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46076</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11017-2023</t>
        </is>
      </c>
      <c r="B105" s="1" t="n">
        <v>44991</v>
      </c>
      <c r="C105" s="1" t="n">
        <v>46076</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61574-2025</t>
        </is>
      </c>
      <c r="B106" s="1" t="n">
        <v>46002</v>
      </c>
      <c r="C106" s="1" t="n">
        <v>46076</v>
      </c>
      <c r="D106" t="inlineStr">
        <is>
          <t>UPPSALA LÄN</t>
        </is>
      </c>
      <c r="E106" t="inlineStr">
        <is>
          <t>ÖSTHAMMAR</t>
        </is>
      </c>
      <c r="F106" t="inlineStr">
        <is>
          <t>Övriga Aktiebolag</t>
        </is>
      </c>
      <c r="G106" t="n">
        <v>16.6</v>
      </c>
      <c r="H106" t="n">
        <v>1</v>
      </c>
      <c r="I106" t="n">
        <v>0</v>
      </c>
      <c r="J106" t="n">
        <v>0</v>
      </c>
      <c r="K106" t="n">
        <v>1</v>
      </c>
      <c r="L106" t="n">
        <v>0</v>
      </c>
      <c r="M106" t="n">
        <v>0</v>
      </c>
      <c r="N106" t="n">
        <v>0</v>
      </c>
      <c r="O106" t="n">
        <v>1</v>
      </c>
      <c r="P106" t="n">
        <v>1</v>
      </c>
      <c r="Q106" t="n">
        <v>1</v>
      </c>
      <c r="R106" s="2" t="inlineStr">
        <is>
          <t>Hällebräcka</t>
        </is>
      </c>
      <c r="S106">
        <f>HYPERLINK("https://klasma.github.io/Logging_0382/artfynd/A 61574-2025 artfynd.xlsx", "A 61574-2025")</f>
        <v/>
      </c>
      <c r="T106">
        <f>HYPERLINK("https://klasma.github.io/Logging_0382/kartor/A 61574-2025 karta.png", "A 61574-2025")</f>
        <v/>
      </c>
      <c r="V106">
        <f>HYPERLINK("https://klasma.github.io/Logging_0382/klagomål/A 61574-2025 FSC-klagomål.docx", "A 61574-2025")</f>
        <v/>
      </c>
      <c r="W106">
        <f>HYPERLINK("https://klasma.github.io/Logging_0382/klagomålsmail/A 61574-2025 FSC-klagomål mail.docx", "A 61574-2025")</f>
        <v/>
      </c>
      <c r="X106">
        <f>HYPERLINK("https://klasma.github.io/Logging_0382/tillsyn/A 61574-2025 tillsynsbegäran.docx", "A 61574-2025")</f>
        <v/>
      </c>
      <c r="Y106">
        <f>HYPERLINK("https://klasma.github.io/Logging_0382/tillsynsmail/A 61574-2025 tillsynsbegäran mail.docx", "A 61574-2025")</f>
        <v/>
      </c>
    </row>
    <row r="107" ht="15" customHeight="1">
      <c r="A107" t="inlineStr">
        <is>
          <t>A 52818-2022</t>
        </is>
      </c>
      <c r="B107" s="1" t="n">
        <v>44875</v>
      </c>
      <c r="C107" s="1" t="n">
        <v>46076</v>
      </c>
      <c r="D107" t="inlineStr">
        <is>
          <t>UPPSALA LÄN</t>
        </is>
      </c>
      <c r="E107" t="inlineStr">
        <is>
          <t>ÖSTHAMMAR</t>
        </is>
      </c>
      <c r="G107" t="n">
        <v>0.9</v>
      </c>
      <c r="H107" t="n">
        <v>1</v>
      </c>
      <c r="I107" t="n">
        <v>1</v>
      </c>
      <c r="J107" t="n">
        <v>0</v>
      </c>
      <c r="K107" t="n">
        <v>0</v>
      </c>
      <c r="L107" t="n">
        <v>0</v>
      </c>
      <c r="M107" t="n">
        <v>0</v>
      </c>
      <c r="N107" t="n">
        <v>0</v>
      </c>
      <c r="O107" t="n">
        <v>0</v>
      </c>
      <c r="P107" t="n">
        <v>0</v>
      </c>
      <c r="Q107" t="n">
        <v>1</v>
      </c>
      <c r="R107" s="2" t="inlineStr">
        <is>
          <t>Guckusko</t>
        </is>
      </c>
      <c r="S107">
        <f>HYPERLINK("https://klasma.github.io/Logging_0382/artfynd/A 52818-2022 artfynd.xlsx", "A 52818-2022")</f>
        <v/>
      </c>
      <c r="T107">
        <f>HYPERLINK("https://klasma.github.io/Logging_0382/kartor/A 52818-2022 karta.png", "A 52818-2022")</f>
        <v/>
      </c>
      <c r="V107">
        <f>HYPERLINK("https://klasma.github.io/Logging_0382/klagomål/A 52818-2022 FSC-klagomål.docx", "A 52818-2022")</f>
        <v/>
      </c>
      <c r="W107">
        <f>HYPERLINK("https://klasma.github.io/Logging_0382/klagomålsmail/A 52818-2022 FSC-klagomål mail.docx", "A 52818-2022")</f>
        <v/>
      </c>
      <c r="X107">
        <f>HYPERLINK("https://klasma.github.io/Logging_0382/tillsyn/A 52818-2022 tillsynsbegäran.docx", "A 52818-2022")</f>
        <v/>
      </c>
      <c r="Y107">
        <f>HYPERLINK("https://klasma.github.io/Logging_0382/tillsynsmail/A 52818-2022 tillsynsbegäran mail.docx", "A 52818-2022")</f>
        <v/>
      </c>
    </row>
    <row r="108" ht="15" customHeight="1">
      <c r="A108" t="inlineStr">
        <is>
          <t>A 6507-2026</t>
        </is>
      </c>
      <c r="B108" s="1" t="n">
        <v>46056.38474537037</v>
      </c>
      <c r="C108" s="1" t="n">
        <v>46076</v>
      </c>
      <c r="D108" t="inlineStr">
        <is>
          <t>UPPSALA LÄN</t>
        </is>
      </c>
      <c r="E108" t="inlineStr">
        <is>
          <t>ÖSTHAMMAR</t>
        </is>
      </c>
      <c r="F108" t="inlineStr">
        <is>
          <t>Bergvik skog öst AB</t>
        </is>
      </c>
      <c r="G108" t="n">
        <v>1.5</v>
      </c>
      <c r="H108" t="n">
        <v>0</v>
      </c>
      <c r="I108" t="n">
        <v>1</v>
      </c>
      <c r="J108" t="n">
        <v>0</v>
      </c>
      <c r="K108" t="n">
        <v>0</v>
      </c>
      <c r="L108" t="n">
        <v>0</v>
      </c>
      <c r="M108" t="n">
        <v>0</v>
      </c>
      <c r="N108" t="n">
        <v>0</v>
      </c>
      <c r="O108" t="n">
        <v>0</v>
      </c>
      <c r="P108" t="n">
        <v>0</v>
      </c>
      <c r="Q108" t="n">
        <v>1</v>
      </c>
      <c r="R108" s="2" t="inlineStr">
        <is>
          <t>Tibast</t>
        </is>
      </c>
      <c r="S108">
        <f>HYPERLINK("https://klasma.github.io/Logging_0382/artfynd/A 6507-2026 artfynd.xlsx", "A 6507-2026")</f>
        <v/>
      </c>
      <c r="T108">
        <f>HYPERLINK("https://klasma.github.io/Logging_0382/kartor/A 6507-2026 karta.png", "A 6507-2026")</f>
        <v/>
      </c>
      <c r="V108">
        <f>HYPERLINK("https://klasma.github.io/Logging_0382/klagomål/A 6507-2026 FSC-klagomål.docx", "A 6507-2026")</f>
        <v/>
      </c>
      <c r="W108">
        <f>HYPERLINK("https://klasma.github.io/Logging_0382/klagomålsmail/A 6507-2026 FSC-klagomål mail.docx", "A 6507-2026")</f>
        <v/>
      </c>
      <c r="X108">
        <f>HYPERLINK("https://klasma.github.io/Logging_0382/tillsyn/A 6507-2026 tillsynsbegäran.docx", "A 6507-2026")</f>
        <v/>
      </c>
      <c r="Y108">
        <f>HYPERLINK("https://klasma.github.io/Logging_0382/tillsynsmail/A 6507-2026 tillsynsbegäran mail.docx", "A 6507-2026")</f>
        <v/>
      </c>
    </row>
    <row r="109" ht="15" customHeight="1">
      <c r="A109" t="inlineStr">
        <is>
          <t>A 37296-2023</t>
        </is>
      </c>
      <c r="B109" s="1" t="n">
        <v>45156</v>
      </c>
      <c r="C109" s="1" t="n">
        <v>46076</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46076</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46076</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46076</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46076</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46076</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46076</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46076</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46076</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46076</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46076</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46076</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46076</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46076</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46076</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46076</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46076</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46076</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46076</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46076</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46076</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46076</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46076</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46076</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46076</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24062-2021</t>
        </is>
      </c>
      <c r="B134" s="1" t="n">
        <v>44336</v>
      </c>
      <c r="C134" s="1" t="n">
        <v>46076</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46076</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46076</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46076</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46076</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46076</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46076</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46076</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46076</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46076</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46076</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46076</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46076</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46076</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46076</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46076</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46076</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46076</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46076</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46076</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46076</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46076</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46076</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46076</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46076</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46076</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46076</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46076</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46076</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46076</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46076</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46076</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46076</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46076</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46076</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46076</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46076</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46076</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46076</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46076</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46076</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46076</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46076</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46076</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46076</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46076</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46076</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46076</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46076</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46076</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46076</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46076</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46076</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46076</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46076</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46076</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46076</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46076</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46076</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9789-2022</t>
        </is>
      </c>
      <c r="B193" s="1" t="n">
        <v>44620.35590277778</v>
      </c>
      <c r="C193" s="1" t="n">
        <v>46076</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46076</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46076</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46076</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46076</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46076</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46076</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46076</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46076</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46076</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46076</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46076</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74436-2021</t>
        </is>
      </c>
      <c r="B205" s="1" t="n">
        <v>44560.4502199074</v>
      </c>
      <c r="C205" s="1" t="n">
        <v>46076</v>
      </c>
      <c r="D205" t="inlineStr">
        <is>
          <t>UPPSALA LÄN</t>
        </is>
      </c>
      <c r="E205" t="inlineStr">
        <is>
          <t>ÖSTHAMMAR</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46076</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46076</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46076</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46076</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46076</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10982-2023</t>
        </is>
      </c>
      <c r="B211" s="1" t="n">
        <v>44991.62203703704</v>
      </c>
      <c r="C211" s="1" t="n">
        <v>46076</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4559-2022</t>
        </is>
      </c>
      <c r="B212" s="1" t="n">
        <v>44591.51854166666</v>
      </c>
      <c r="C212" s="1" t="n">
        <v>46076</v>
      </c>
      <c r="D212" t="inlineStr">
        <is>
          <t>UPPSALA LÄN</t>
        </is>
      </c>
      <c r="E212" t="inlineStr">
        <is>
          <t>ÖSTHAMMAR</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29824-2023</t>
        </is>
      </c>
      <c r="B213" s="1" t="n">
        <v>45107</v>
      </c>
      <c r="C213" s="1" t="n">
        <v>46076</v>
      </c>
      <c r="D213" t="inlineStr">
        <is>
          <t>UPPSALA LÄN</t>
        </is>
      </c>
      <c r="E213" t="inlineStr">
        <is>
          <t>ÖSTHAMMAR</t>
        </is>
      </c>
      <c r="F213" t="inlineStr">
        <is>
          <t>Naturvårdsverket</t>
        </is>
      </c>
      <c r="G213" t="n">
        <v>1.6</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46076</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46076</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46076</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46076</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46076</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46076</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46076</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46076</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45307-2023</t>
        </is>
      </c>
      <c r="B222" s="1" t="n">
        <v>45191</v>
      </c>
      <c r="C222" s="1" t="n">
        <v>46076</v>
      </c>
      <c r="D222" t="inlineStr">
        <is>
          <t>UPPSALA LÄN</t>
        </is>
      </c>
      <c r="E222" t="inlineStr">
        <is>
          <t>ÖSTHAMMAR</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46076</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46076</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14187-2022</t>
        </is>
      </c>
      <c r="B225" s="1" t="n">
        <v>44651.5625</v>
      </c>
      <c r="C225" s="1" t="n">
        <v>46076</v>
      </c>
      <c r="D225" t="inlineStr">
        <is>
          <t>UPPSALA LÄN</t>
        </is>
      </c>
      <c r="E225" t="inlineStr">
        <is>
          <t>ÖSTHAMMAR</t>
        </is>
      </c>
      <c r="F225" t="inlineStr">
        <is>
          <t>Övriga Aktiebolag</t>
        </is>
      </c>
      <c r="G225" t="n">
        <v>14.1</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46076</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46076</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46076</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46076</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14124-2022</t>
        </is>
      </c>
      <c r="B230" s="1" t="n">
        <v>44651.40924768519</v>
      </c>
      <c r="C230" s="1" t="n">
        <v>46076</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58324-2023</t>
        </is>
      </c>
      <c r="B231" s="1" t="n">
        <v>45250.58635416667</v>
      </c>
      <c r="C231" s="1" t="n">
        <v>46076</v>
      </c>
      <c r="D231" t="inlineStr">
        <is>
          <t>UPPSALA LÄN</t>
        </is>
      </c>
      <c r="E231" t="inlineStr">
        <is>
          <t>ÖSTHAMMAR</t>
        </is>
      </c>
      <c r="G231" t="n">
        <v>5.1</v>
      </c>
      <c r="H231" t="n">
        <v>0</v>
      </c>
      <c r="I231" t="n">
        <v>0</v>
      </c>
      <c r="J231" t="n">
        <v>0</v>
      </c>
      <c r="K231" t="n">
        <v>0</v>
      </c>
      <c r="L231" t="n">
        <v>0</v>
      </c>
      <c r="M231" t="n">
        <v>0</v>
      </c>
      <c r="N231" t="n">
        <v>0</v>
      </c>
      <c r="O231" t="n">
        <v>0</v>
      </c>
      <c r="P231" t="n">
        <v>0</v>
      </c>
      <c r="Q231" t="n">
        <v>0</v>
      </c>
      <c r="R231" s="2" t="inlineStr"/>
    </row>
    <row r="232" ht="15" customHeight="1">
      <c r="A232" t="inlineStr">
        <is>
          <t>A 21522-2022</t>
        </is>
      </c>
      <c r="B232" s="1" t="n">
        <v>44706</v>
      </c>
      <c r="C232" s="1" t="n">
        <v>46076</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1567-2025</t>
        </is>
      </c>
      <c r="B233" s="1" t="n">
        <v>45670</v>
      </c>
      <c r="C233" s="1" t="n">
        <v>46076</v>
      </c>
      <c r="D233" t="inlineStr">
        <is>
          <t>UPPSALA LÄN</t>
        </is>
      </c>
      <c r="E233" t="inlineStr">
        <is>
          <t>ÖSTHAMMAR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4099-2025</t>
        </is>
      </c>
      <c r="B234" s="1" t="n">
        <v>45684</v>
      </c>
      <c r="C234" s="1" t="n">
        <v>46076</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46076</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49097-2022</t>
        </is>
      </c>
      <c r="B236" s="1" t="n">
        <v>44860</v>
      </c>
      <c r="C236" s="1" t="n">
        <v>46076</v>
      </c>
      <c r="D236" t="inlineStr">
        <is>
          <t>UPPSALA LÄN</t>
        </is>
      </c>
      <c r="E236" t="inlineStr">
        <is>
          <t>ÖSTHAMMAR</t>
        </is>
      </c>
      <c r="G236" t="n">
        <v>6.9</v>
      </c>
      <c r="H236" t="n">
        <v>0</v>
      </c>
      <c r="I236" t="n">
        <v>0</v>
      </c>
      <c r="J236" t="n">
        <v>0</v>
      </c>
      <c r="K236" t="n">
        <v>0</v>
      </c>
      <c r="L236" t="n">
        <v>0</v>
      </c>
      <c r="M236" t="n">
        <v>0</v>
      </c>
      <c r="N236" t="n">
        <v>0</v>
      </c>
      <c r="O236" t="n">
        <v>0</v>
      </c>
      <c r="P236" t="n">
        <v>0</v>
      </c>
      <c r="Q236" t="n">
        <v>0</v>
      </c>
      <c r="R236" s="2" t="inlineStr"/>
    </row>
    <row r="237" ht="15" customHeight="1">
      <c r="A237" t="inlineStr">
        <is>
          <t>A 835-2025</t>
        </is>
      </c>
      <c r="B237" s="1" t="n">
        <v>45665.58465277778</v>
      </c>
      <c r="C237" s="1" t="n">
        <v>46076</v>
      </c>
      <c r="D237" t="inlineStr">
        <is>
          <t>UPPSALA LÄN</t>
        </is>
      </c>
      <c r="E237" t="inlineStr">
        <is>
          <t>ÖSTHAMMAR</t>
        </is>
      </c>
      <c r="F237" t="inlineStr">
        <is>
          <t>Övriga Aktiebolag</t>
        </is>
      </c>
      <c r="G237" t="n">
        <v>4.8</v>
      </c>
      <c r="H237" t="n">
        <v>0</v>
      </c>
      <c r="I237" t="n">
        <v>0</v>
      </c>
      <c r="J237" t="n">
        <v>0</v>
      </c>
      <c r="K237" t="n">
        <v>0</v>
      </c>
      <c r="L237" t="n">
        <v>0</v>
      </c>
      <c r="M237" t="n">
        <v>0</v>
      </c>
      <c r="N237" t="n">
        <v>0</v>
      </c>
      <c r="O237" t="n">
        <v>0</v>
      </c>
      <c r="P237" t="n">
        <v>0</v>
      </c>
      <c r="Q237" t="n">
        <v>0</v>
      </c>
      <c r="R237" s="2" t="inlineStr"/>
    </row>
    <row r="238" ht="15" customHeight="1">
      <c r="A238" t="inlineStr">
        <is>
          <t>A 10449-2023</t>
        </is>
      </c>
      <c r="B238" s="1" t="n">
        <v>44987</v>
      </c>
      <c r="C238" s="1" t="n">
        <v>46076</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1527-2025</t>
        </is>
      </c>
      <c r="B239" s="1" t="n">
        <v>45670</v>
      </c>
      <c r="C239" s="1" t="n">
        <v>46076</v>
      </c>
      <c r="D239" t="inlineStr">
        <is>
          <t>UPPSALA LÄN</t>
        </is>
      </c>
      <c r="E239" t="inlineStr">
        <is>
          <t>ÖSTHAMMAR</t>
        </is>
      </c>
      <c r="F239" t="inlineStr">
        <is>
          <t>Bergvik skog öst AB</t>
        </is>
      </c>
      <c r="G239" t="n">
        <v>7.7</v>
      </c>
      <c r="H239" t="n">
        <v>0</v>
      </c>
      <c r="I239" t="n">
        <v>0</v>
      </c>
      <c r="J239" t="n">
        <v>0</v>
      </c>
      <c r="K239" t="n">
        <v>0</v>
      </c>
      <c r="L239" t="n">
        <v>0</v>
      </c>
      <c r="M239" t="n">
        <v>0</v>
      </c>
      <c r="N239" t="n">
        <v>0</v>
      </c>
      <c r="O239" t="n">
        <v>0</v>
      </c>
      <c r="P239" t="n">
        <v>0</v>
      </c>
      <c r="Q239" t="n">
        <v>0</v>
      </c>
      <c r="R239" s="2" t="inlineStr"/>
    </row>
    <row r="240" ht="15" customHeight="1">
      <c r="A240" t="inlineStr">
        <is>
          <t>A 53735-2023</t>
        </is>
      </c>
      <c r="B240" s="1" t="n">
        <v>45230.77258101852</v>
      </c>
      <c r="C240" s="1" t="n">
        <v>46076</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46076</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38702-2022</t>
        </is>
      </c>
      <c r="B242" s="1" t="n">
        <v>44814.5991087963</v>
      </c>
      <c r="C242" s="1" t="n">
        <v>46076</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46076</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46076</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1439-2025</t>
        </is>
      </c>
      <c r="B245" s="1" t="n">
        <v>45669.69075231482</v>
      </c>
      <c r="C245" s="1" t="n">
        <v>46076</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1575-2025</t>
        </is>
      </c>
      <c r="B246" s="1" t="n">
        <v>45670</v>
      </c>
      <c r="C246" s="1" t="n">
        <v>46076</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38571-2023</t>
        </is>
      </c>
      <c r="B247" s="1" t="n">
        <v>45162.6177662037</v>
      </c>
      <c r="C247" s="1" t="n">
        <v>46076</v>
      </c>
      <c r="D247" t="inlineStr">
        <is>
          <t>UPPSALA LÄN</t>
        </is>
      </c>
      <c r="E247" t="inlineStr">
        <is>
          <t>ÖSTHAMMAR</t>
        </is>
      </c>
      <c r="F247" t="inlineStr">
        <is>
          <t>Bergvik skog öst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5884-2023</t>
        </is>
      </c>
      <c r="B248" s="1" t="n">
        <v>44963</v>
      </c>
      <c r="C248" s="1" t="n">
        <v>46076</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12654-2025</t>
        </is>
      </c>
      <c r="B249" s="1" t="n">
        <v>45733.41601851852</v>
      </c>
      <c r="C249" s="1" t="n">
        <v>46076</v>
      </c>
      <c r="D249" t="inlineStr">
        <is>
          <t>UPPSALA LÄN</t>
        </is>
      </c>
      <c r="E249" t="inlineStr">
        <is>
          <t>ÖSTHAMMAR</t>
        </is>
      </c>
      <c r="G249" t="n">
        <v>9.9</v>
      </c>
      <c r="H249" t="n">
        <v>0</v>
      </c>
      <c r="I249" t="n">
        <v>0</v>
      </c>
      <c r="J249" t="n">
        <v>0</v>
      </c>
      <c r="K249" t="n">
        <v>0</v>
      </c>
      <c r="L249" t="n">
        <v>0</v>
      </c>
      <c r="M249" t="n">
        <v>0</v>
      </c>
      <c r="N249" t="n">
        <v>0</v>
      </c>
      <c r="O249" t="n">
        <v>0</v>
      </c>
      <c r="P249" t="n">
        <v>0</v>
      </c>
      <c r="Q249" t="n">
        <v>0</v>
      </c>
      <c r="R249" s="2" t="inlineStr"/>
    </row>
    <row r="250" ht="15" customHeight="1">
      <c r="A250" t="inlineStr">
        <is>
          <t>A 52650-2022</t>
        </is>
      </c>
      <c r="B250" s="1" t="n">
        <v>44874</v>
      </c>
      <c r="C250" s="1" t="n">
        <v>46076</v>
      </c>
      <c r="D250" t="inlineStr">
        <is>
          <t>UPPSALA LÄN</t>
        </is>
      </c>
      <c r="E250" t="inlineStr">
        <is>
          <t>ÖSTHAMMAR</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44807-2024</t>
        </is>
      </c>
      <c r="B251" s="1" t="n">
        <v>45574.65427083334</v>
      </c>
      <c r="C251" s="1" t="n">
        <v>46076</v>
      </c>
      <c r="D251" t="inlineStr">
        <is>
          <t>UPPSALA LÄN</t>
        </is>
      </c>
      <c r="E251" t="inlineStr">
        <is>
          <t>ÖSTHAMMAR</t>
        </is>
      </c>
      <c r="G251" t="n">
        <v>2.9</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46076</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28228-2022</t>
        </is>
      </c>
      <c r="B253" s="1" t="n">
        <v>44746.65873842593</v>
      </c>
      <c r="C253" s="1" t="n">
        <v>46076</v>
      </c>
      <c r="D253" t="inlineStr">
        <is>
          <t>UPPSALA LÄN</t>
        </is>
      </c>
      <c r="E253" t="inlineStr">
        <is>
          <t>ÖSTHAMMAR</t>
        </is>
      </c>
      <c r="G253" t="n">
        <v>2.7</v>
      </c>
      <c r="H253" t="n">
        <v>0</v>
      </c>
      <c r="I253" t="n">
        <v>0</v>
      </c>
      <c r="J253" t="n">
        <v>0</v>
      </c>
      <c r="K253" t="n">
        <v>0</v>
      </c>
      <c r="L253" t="n">
        <v>0</v>
      </c>
      <c r="M253" t="n">
        <v>0</v>
      </c>
      <c r="N253" t="n">
        <v>0</v>
      </c>
      <c r="O253" t="n">
        <v>0</v>
      </c>
      <c r="P253" t="n">
        <v>0</v>
      </c>
      <c r="Q253" t="n">
        <v>0</v>
      </c>
      <c r="R253" s="2" t="inlineStr"/>
    </row>
    <row r="254" ht="15" customHeight="1">
      <c r="A254" t="inlineStr">
        <is>
          <t>A 45561-2023</t>
        </is>
      </c>
      <c r="B254" s="1" t="n">
        <v>45194.59335648148</v>
      </c>
      <c r="C254" s="1" t="n">
        <v>46076</v>
      </c>
      <c r="D254" t="inlineStr">
        <is>
          <t>UPPSALA LÄN</t>
        </is>
      </c>
      <c r="E254" t="inlineStr">
        <is>
          <t>ÖSTHAMMAR</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16212-2021</t>
        </is>
      </c>
      <c r="B255" s="1" t="n">
        <v>44287</v>
      </c>
      <c r="C255" s="1" t="n">
        <v>46076</v>
      </c>
      <c r="D255" t="inlineStr">
        <is>
          <t>UPPSALA LÄN</t>
        </is>
      </c>
      <c r="E255" t="inlineStr">
        <is>
          <t>ÖSTHAMMAR</t>
        </is>
      </c>
      <c r="G255" t="n">
        <v>1.6</v>
      </c>
      <c r="H255" t="n">
        <v>0</v>
      </c>
      <c r="I255" t="n">
        <v>0</v>
      </c>
      <c r="J255" t="n">
        <v>0</v>
      </c>
      <c r="K255" t="n">
        <v>0</v>
      </c>
      <c r="L255" t="n">
        <v>0</v>
      </c>
      <c r="M255" t="n">
        <v>0</v>
      </c>
      <c r="N255" t="n">
        <v>0</v>
      </c>
      <c r="O255" t="n">
        <v>0</v>
      </c>
      <c r="P255" t="n">
        <v>0</v>
      </c>
      <c r="Q255" t="n">
        <v>0</v>
      </c>
      <c r="R255" s="2" t="inlineStr"/>
    </row>
    <row r="256" ht="15" customHeight="1">
      <c r="A256" t="inlineStr">
        <is>
          <t>A 49831-2023</t>
        </is>
      </c>
      <c r="B256" s="1" t="n">
        <v>45212.71241898148</v>
      </c>
      <c r="C256" s="1" t="n">
        <v>46076</v>
      </c>
      <c r="D256" t="inlineStr">
        <is>
          <t>UPPSALA LÄN</t>
        </is>
      </c>
      <c r="E256" t="inlineStr">
        <is>
          <t>ÖSTHAMMAR</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35316-2024</t>
        </is>
      </c>
      <c r="B257" s="1" t="n">
        <v>45530.68873842592</v>
      </c>
      <c r="C257" s="1" t="n">
        <v>46076</v>
      </c>
      <c r="D257" t="inlineStr">
        <is>
          <t>UPPSALA LÄN</t>
        </is>
      </c>
      <c r="E257" t="inlineStr">
        <is>
          <t>ÖSTHAMMAR</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46076</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11036-2023</t>
        </is>
      </c>
      <c r="B259" s="1" t="n">
        <v>44991.9321412037</v>
      </c>
      <c r="C259" s="1" t="n">
        <v>46076</v>
      </c>
      <c r="D259" t="inlineStr">
        <is>
          <t>UPPSALA LÄN</t>
        </is>
      </c>
      <c r="E259" t="inlineStr">
        <is>
          <t>ÖSTHAMMAR</t>
        </is>
      </c>
      <c r="F259" t="inlineStr">
        <is>
          <t>Bergvik skog öst AB</t>
        </is>
      </c>
      <c r="G259" t="n">
        <v>3</v>
      </c>
      <c r="H259" t="n">
        <v>0</v>
      </c>
      <c r="I259" t="n">
        <v>0</v>
      </c>
      <c r="J259" t="n">
        <v>0</v>
      </c>
      <c r="K259" t="n">
        <v>0</v>
      </c>
      <c r="L259" t="n">
        <v>0</v>
      </c>
      <c r="M259" t="n">
        <v>0</v>
      </c>
      <c r="N259" t="n">
        <v>0</v>
      </c>
      <c r="O259" t="n">
        <v>0</v>
      </c>
      <c r="P259" t="n">
        <v>0</v>
      </c>
      <c r="Q259" t="n">
        <v>0</v>
      </c>
      <c r="R259" s="2" t="inlineStr"/>
    </row>
    <row r="260" ht="15" customHeight="1">
      <c r="A260" t="inlineStr">
        <is>
          <t>A 35474-2023</t>
        </is>
      </c>
      <c r="B260" s="1" t="n">
        <v>45146.68921296296</v>
      </c>
      <c r="C260" s="1" t="n">
        <v>46076</v>
      </c>
      <c r="D260" t="inlineStr">
        <is>
          <t>UPPSALA LÄN</t>
        </is>
      </c>
      <c r="E260" t="inlineStr">
        <is>
          <t>ÖSTHAMMAR</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32884-2024</t>
        </is>
      </c>
      <c r="B261" s="1" t="n">
        <v>45516.72097222223</v>
      </c>
      <c r="C261" s="1" t="n">
        <v>46076</v>
      </c>
      <c r="D261" t="inlineStr">
        <is>
          <t>UPPSALA LÄN</t>
        </is>
      </c>
      <c r="E261" t="inlineStr">
        <is>
          <t>ÖSTHAMMAR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6206-2022</t>
        </is>
      </c>
      <c r="B262" s="1" t="n">
        <v>44600.35755787037</v>
      </c>
      <c r="C262" s="1" t="n">
        <v>46076</v>
      </c>
      <c r="D262" t="inlineStr">
        <is>
          <t>UPPSALA LÄN</t>
        </is>
      </c>
      <c r="E262" t="inlineStr">
        <is>
          <t>ÖSTHAMMAR</t>
        </is>
      </c>
      <c r="G262" t="n">
        <v>7.4</v>
      </c>
      <c r="H262" t="n">
        <v>0</v>
      </c>
      <c r="I262" t="n">
        <v>0</v>
      </c>
      <c r="J262" t="n">
        <v>0</v>
      </c>
      <c r="K262" t="n">
        <v>0</v>
      </c>
      <c r="L262" t="n">
        <v>0</v>
      </c>
      <c r="M262" t="n">
        <v>0</v>
      </c>
      <c r="N262" t="n">
        <v>0</v>
      </c>
      <c r="O262" t="n">
        <v>0</v>
      </c>
      <c r="P262" t="n">
        <v>0</v>
      </c>
      <c r="Q262" t="n">
        <v>0</v>
      </c>
      <c r="R262" s="2" t="inlineStr"/>
    </row>
    <row r="263" ht="15" customHeight="1">
      <c r="A263" t="inlineStr">
        <is>
          <t>A 64586-2021</t>
        </is>
      </c>
      <c r="B263" s="1" t="n">
        <v>44511</v>
      </c>
      <c r="C263" s="1" t="n">
        <v>46076</v>
      </c>
      <c r="D263" t="inlineStr">
        <is>
          <t>UPPSALA LÄN</t>
        </is>
      </c>
      <c r="E263" t="inlineStr">
        <is>
          <t>ÖSTHAMMAR</t>
        </is>
      </c>
      <c r="G263" t="n">
        <v>2</v>
      </c>
      <c r="H263" t="n">
        <v>0</v>
      </c>
      <c r="I263" t="n">
        <v>0</v>
      </c>
      <c r="J263" t="n">
        <v>0</v>
      </c>
      <c r="K263" t="n">
        <v>0</v>
      </c>
      <c r="L263" t="n">
        <v>0</v>
      </c>
      <c r="M263" t="n">
        <v>0</v>
      </c>
      <c r="N263" t="n">
        <v>0</v>
      </c>
      <c r="O263" t="n">
        <v>0</v>
      </c>
      <c r="P263" t="n">
        <v>0</v>
      </c>
      <c r="Q263" t="n">
        <v>0</v>
      </c>
      <c r="R263" s="2" t="inlineStr"/>
    </row>
    <row r="264" ht="15" customHeight="1">
      <c r="A264" t="inlineStr">
        <is>
          <t>A 70008-2021</t>
        </is>
      </c>
      <c r="B264" s="1" t="n">
        <v>44533.44887731481</v>
      </c>
      <c r="C264" s="1" t="n">
        <v>46076</v>
      </c>
      <c r="D264" t="inlineStr">
        <is>
          <t>UPPSALA LÄN</t>
        </is>
      </c>
      <c r="E264" t="inlineStr">
        <is>
          <t>ÖSTHAMMAR</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21624-2023</t>
        </is>
      </c>
      <c r="B265" s="1" t="n">
        <v>45063.65543981481</v>
      </c>
      <c r="C265" s="1" t="n">
        <v>46076</v>
      </c>
      <c r="D265" t="inlineStr">
        <is>
          <t>UPPSALA LÄN</t>
        </is>
      </c>
      <c r="E265" t="inlineStr">
        <is>
          <t>ÖSTHAMMAR</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41996-2024</t>
        </is>
      </c>
      <c r="B266" s="1" t="n">
        <v>45561</v>
      </c>
      <c r="C266" s="1" t="n">
        <v>46076</v>
      </c>
      <c r="D266" t="inlineStr">
        <is>
          <t>UPPSALA LÄN</t>
        </is>
      </c>
      <c r="E266" t="inlineStr">
        <is>
          <t>ÖSTHAMMAR</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73982-2021</t>
        </is>
      </c>
      <c r="B267" s="1" t="n">
        <v>44555.80339120371</v>
      </c>
      <c r="C267" s="1" t="n">
        <v>46076</v>
      </c>
      <c r="D267" t="inlineStr">
        <is>
          <t>UPPSALA LÄN</t>
        </is>
      </c>
      <c r="E267" t="inlineStr">
        <is>
          <t>ÖSTHAMMAR</t>
        </is>
      </c>
      <c r="G267" t="n">
        <v>0.9</v>
      </c>
      <c r="H267" t="n">
        <v>0</v>
      </c>
      <c r="I267" t="n">
        <v>0</v>
      </c>
      <c r="J267" t="n">
        <v>0</v>
      </c>
      <c r="K267" t="n">
        <v>0</v>
      </c>
      <c r="L267" t="n">
        <v>0</v>
      </c>
      <c r="M267" t="n">
        <v>0</v>
      </c>
      <c r="N267" t="n">
        <v>0</v>
      </c>
      <c r="O267" t="n">
        <v>0</v>
      </c>
      <c r="P267" t="n">
        <v>0</v>
      </c>
      <c r="Q267" t="n">
        <v>0</v>
      </c>
      <c r="R267" s="2" t="inlineStr"/>
    </row>
    <row r="268" ht="15" customHeight="1">
      <c r="A268" t="inlineStr">
        <is>
          <t>A 20326-2021</t>
        </is>
      </c>
      <c r="B268" s="1" t="n">
        <v>44308</v>
      </c>
      <c r="C268" s="1" t="n">
        <v>46076</v>
      </c>
      <c r="D268" t="inlineStr">
        <is>
          <t>UPPSALA LÄN</t>
        </is>
      </c>
      <c r="E268" t="inlineStr">
        <is>
          <t>ÖSTHAMMAR</t>
        </is>
      </c>
      <c r="G268" t="n">
        <v>7</v>
      </c>
      <c r="H268" t="n">
        <v>0</v>
      </c>
      <c r="I268" t="n">
        <v>0</v>
      </c>
      <c r="J268" t="n">
        <v>0</v>
      </c>
      <c r="K268" t="n">
        <v>0</v>
      </c>
      <c r="L268" t="n">
        <v>0</v>
      </c>
      <c r="M268" t="n">
        <v>0</v>
      </c>
      <c r="N268" t="n">
        <v>0</v>
      </c>
      <c r="O268" t="n">
        <v>0</v>
      </c>
      <c r="P268" t="n">
        <v>0</v>
      </c>
      <c r="Q268" t="n">
        <v>0</v>
      </c>
      <c r="R268" s="2" t="inlineStr"/>
    </row>
    <row r="269" ht="15" customHeight="1">
      <c r="A269" t="inlineStr">
        <is>
          <t>A 23742-2024</t>
        </is>
      </c>
      <c r="B269" s="1" t="n">
        <v>45455</v>
      </c>
      <c r="C269" s="1" t="n">
        <v>46076</v>
      </c>
      <c r="D269" t="inlineStr">
        <is>
          <t>UPPSALA LÄN</t>
        </is>
      </c>
      <c r="E269" t="inlineStr">
        <is>
          <t>ÖSTHAMMAR</t>
        </is>
      </c>
      <c r="F269" t="inlineStr">
        <is>
          <t>Bergvik skog öst AB</t>
        </is>
      </c>
      <c r="G269" t="n">
        <v>2.2</v>
      </c>
      <c r="H269" t="n">
        <v>0</v>
      </c>
      <c r="I269" t="n">
        <v>0</v>
      </c>
      <c r="J269" t="n">
        <v>0</v>
      </c>
      <c r="K269" t="n">
        <v>0</v>
      </c>
      <c r="L269" t="n">
        <v>0</v>
      </c>
      <c r="M269" t="n">
        <v>0</v>
      </c>
      <c r="N269" t="n">
        <v>0</v>
      </c>
      <c r="O269" t="n">
        <v>0</v>
      </c>
      <c r="P269" t="n">
        <v>0</v>
      </c>
      <c r="Q269" t="n">
        <v>0</v>
      </c>
      <c r="R269" s="2" t="inlineStr"/>
    </row>
    <row r="270" ht="15" customHeight="1">
      <c r="A270" t="inlineStr">
        <is>
          <t>A 27920-2025</t>
        </is>
      </c>
      <c r="B270" s="1" t="n">
        <v>45817.48454861111</v>
      </c>
      <c r="C270" s="1" t="n">
        <v>46076</v>
      </c>
      <c r="D270" t="inlineStr">
        <is>
          <t>UPPSALA LÄN</t>
        </is>
      </c>
      <c r="E270" t="inlineStr">
        <is>
          <t>ÖSTHAMMAR</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8330-2025</t>
        </is>
      </c>
      <c r="B271" s="1" t="n">
        <v>45708</v>
      </c>
      <c r="C271" s="1" t="n">
        <v>46076</v>
      </c>
      <c r="D271" t="inlineStr">
        <is>
          <t>UPPSALA LÄN</t>
        </is>
      </c>
      <c r="E271" t="inlineStr">
        <is>
          <t>ÖSTHAMMAR</t>
        </is>
      </c>
      <c r="F271" t="inlineStr">
        <is>
          <t>Övriga Aktiebolag</t>
        </is>
      </c>
      <c r="G271" t="n">
        <v>2.4</v>
      </c>
      <c r="H271" t="n">
        <v>0</v>
      </c>
      <c r="I271" t="n">
        <v>0</v>
      </c>
      <c r="J271" t="n">
        <v>0</v>
      </c>
      <c r="K271" t="n">
        <v>0</v>
      </c>
      <c r="L271" t="n">
        <v>0</v>
      </c>
      <c r="M271" t="n">
        <v>0</v>
      </c>
      <c r="N271" t="n">
        <v>0</v>
      </c>
      <c r="O271" t="n">
        <v>0</v>
      </c>
      <c r="P271" t="n">
        <v>0</v>
      </c>
      <c r="Q271" t="n">
        <v>0</v>
      </c>
      <c r="R271" s="2" t="inlineStr"/>
    </row>
    <row r="272" ht="15" customHeight="1">
      <c r="A272" t="inlineStr">
        <is>
          <t>A 4984-2024</t>
        </is>
      </c>
      <c r="B272" s="1" t="n">
        <v>45329</v>
      </c>
      <c r="C272" s="1" t="n">
        <v>46076</v>
      </c>
      <c r="D272" t="inlineStr">
        <is>
          <t>UPPSALA LÄN</t>
        </is>
      </c>
      <c r="E272" t="inlineStr">
        <is>
          <t>ÖSTHAMMAR</t>
        </is>
      </c>
      <c r="G272" t="n">
        <v>2.2</v>
      </c>
      <c r="H272" t="n">
        <v>0</v>
      </c>
      <c r="I272" t="n">
        <v>0</v>
      </c>
      <c r="J272" t="n">
        <v>0</v>
      </c>
      <c r="K272" t="n">
        <v>0</v>
      </c>
      <c r="L272" t="n">
        <v>0</v>
      </c>
      <c r="M272" t="n">
        <v>0</v>
      </c>
      <c r="N272" t="n">
        <v>0</v>
      </c>
      <c r="O272" t="n">
        <v>0</v>
      </c>
      <c r="P272" t="n">
        <v>0</v>
      </c>
      <c r="Q272" t="n">
        <v>0</v>
      </c>
      <c r="R272" s="2" t="inlineStr"/>
    </row>
    <row r="273" ht="15" customHeight="1">
      <c r="A273" t="inlineStr">
        <is>
          <t>A 27509-2025</t>
        </is>
      </c>
      <c r="B273" s="1" t="n">
        <v>45813.4278125</v>
      </c>
      <c r="C273" s="1" t="n">
        <v>46076</v>
      </c>
      <c r="D273" t="inlineStr">
        <is>
          <t>UPPSALA LÄN</t>
        </is>
      </c>
      <c r="E273" t="inlineStr">
        <is>
          <t>ÖSTHAMMAR</t>
        </is>
      </c>
      <c r="F273" t="inlineStr">
        <is>
          <t>Bergvik skog öst AB</t>
        </is>
      </c>
      <c r="G273" t="n">
        <v>3.3</v>
      </c>
      <c r="H273" t="n">
        <v>0</v>
      </c>
      <c r="I273" t="n">
        <v>0</v>
      </c>
      <c r="J273" t="n">
        <v>0</v>
      </c>
      <c r="K273" t="n">
        <v>0</v>
      </c>
      <c r="L273" t="n">
        <v>0</v>
      </c>
      <c r="M273" t="n">
        <v>0</v>
      </c>
      <c r="N273" t="n">
        <v>0</v>
      </c>
      <c r="O273" t="n">
        <v>0</v>
      </c>
      <c r="P273" t="n">
        <v>0</v>
      </c>
      <c r="Q273" t="n">
        <v>0</v>
      </c>
      <c r="R273" s="2" t="inlineStr"/>
    </row>
    <row r="274" ht="15" customHeight="1">
      <c r="A274" t="inlineStr">
        <is>
          <t>A 6106-2024</t>
        </is>
      </c>
      <c r="B274" s="1" t="n">
        <v>45337.36831018519</v>
      </c>
      <c r="C274" s="1" t="n">
        <v>46076</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28442-2025</t>
        </is>
      </c>
      <c r="B275" s="1" t="n">
        <v>45819</v>
      </c>
      <c r="C275" s="1" t="n">
        <v>46076</v>
      </c>
      <c r="D275" t="inlineStr">
        <is>
          <t>UPPSALA LÄN</t>
        </is>
      </c>
      <c r="E275" t="inlineStr">
        <is>
          <t>ÖSTHAMMAR</t>
        </is>
      </c>
      <c r="F275" t="inlineStr">
        <is>
          <t>Övriga Aktiebolag</t>
        </is>
      </c>
      <c r="G275" t="n">
        <v>1.8</v>
      </c>
      <c r="H275" t="n">
        <v>0</v>
      </c>
      <c r="I275" t="n">
        <v>0</v>
      </c>
      <c r="J275" t="n">
        <v>0</v>
      </c>
      <c r="K275" t="n">
        <v>0</v>
      </c>
      <c r="L275" t="n">
        <v>0</v>
      </c>
      <c r="M275" t="n">
        <v>0</v>
      </c>
      <c r="N275" t="n">
        <v>0</v>
      </c>
      <c r="O275" t="n">
        <v>0</v>
      </c>
      <c r="P275" t="n">
        <v>0</v>
      </c>
      <c r="Q275" t="n">
        <v>0</v>
      </c>
      <c r="R275" s="2" t="inlineStr"/>
    </row>
    <row r="276" ht="15" customHeight="1">
      <c r="A276" t="inlineStr">
        <is>
          <t>A 65020-2021</t>
        </is>
      </c>
      <c r="B276" s="1" t="n">
        <v>44515</v>
      </c>
      <c r="C276" s="1" t="n">
        <v>46076</v>
      </c>
      <c r="D276" t="inlineStr">
        <is>
          <t>UPPSALA LÄN</t>
        </is>
      </c>
      <c r="E276" t="inlineStr">
        <is>
          <t>ÖSTHAMMAR</t>
        </is>
      </c>
      <c r="F276" t="inlineStr">
        <is>
          <t>Sveaskog</t>
        </is>
      </c>
      <c r="G276" t="n">
        <v>4.7</v>
      </c>
      <c r="H276" t="n">
        <v>0</v>
      </c>
      <c r="I276" t="n">
        <v>0</v>
      </c>
      <c r="J276" t="n">
        <v>0</v>
      </c>
      <c r="K276" t="n">
        <v>0</v>
      </c>
      <c r="L276" t="n">
        <v>0</v>
      </c>
      <c r="M276" t="n">
        <v>0</v>
      </c>
      <c r="N276" t="n">
        <v>0</v>
      </c>
      <c r="O276" t="n">
        <v>0</v>
      </c>
      <c r="P276" t="n">
        <v>0</v>
      </c>
      <c r="Q276" t="n">
        <v>0</v>
      </c>
      <c r="R276" s="2" t="inlineStr"/>
    </row>
    <row r="277" ht="15" customHeight="1">
      <c r="A277" t="inlineStr">
        <is>
          <t>A 23728-2025</t>
        </is>
      </c>
      <c r="B277" s="1" t="n">
        <v>45793.41719907407</v>
      </c>
      <c r="C277" s="1" t="n">
        <v>46076</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28745-2025</t>
        </is>
      </c>
      <c r="B278" s="1" t="n">
        <v>45820.39076388889</v>
      </c>
      <c r="C278" s="1" t="n">
        <v>46076</v>
      </c>
      <c r="D278" t="inlineStr">
        <is>
          <t>UPPSALA LÄN</t>
        </is>
      </c>
      <c r="E278" t="inlineStr">
        <is>
          <t>ÖSTHAMMAR</t>
        </is>
      </c>
      <c r="G278" t="n">
        <v>1.7</v>
      </c>
      <c r="H278" t="n">
        <v>0</v>
      </c>
      <c r="I278" t="n">
        <v>0</v>
      </c>
      <c r="J278" t="n">
        <v>0</v>
      </c>
      <c r="K278" t="n">
        <v>0</v>
      </c>
      <c r="L278" t="n">
        <v>0</v>
      </c>
      <c r="M278" t="n">
        <v>0</v>
      </c>
      <c r="N278" t="n">
        <v>0</v>
      </c>
      <c r="O278" t="n">
        <v>0</v>
      </c>
      <c r="P278" t="n">
        <v>0</v>
      </c>
      <c r="Q278" t="n">
        <v>0</v>
      </c>
      <c r="R278" s="2" t="inlineStr"/>
    </row>
    <row r="279" ht="15" customHeight="1">
      <c r="A279" t="inlineStr">
        <is>
          <t>A 28748-2025</t>
        </is>
      </c>
      <c r="B279" s="1" t="n">
        <v>45820.39540509259</v>
      </c>
      <c r="C279" s="1" t="n">
        <v>46076</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1238-2022</t>
        </is>
      </c>
      <c r="B280" s="1" t="n">
        <v>44572.5827662037</v>
      </c>
      <c r="C280" s="1" t="n">
        <v>46076</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29024-2025</t>
        </is>
      </c>
      <c r="B281" s="1" t="n">
        <v>45821.43233796296</v>
      </c>
      <c r="C281" s="1" t="n">
        <v>46076</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29031-2025</t>
        </is>
      </c>
      <c r="B282" s="1" t="n">
        <v>45821.44159722222</v>
      </c>
      <c r="C282" s="1" t="n">
        <v>46076</v>
      </c>
      <c r="D282" t="inlineStr">
        <is>
          <t>UPPSALA LÄN</t>
        </is>
      </c>
      <c r="E282" t="inlineStr">
        <is>
          <t>ÖSTHAMMAR</t>
        </is>
      </c>
      <c r="F282" t="inlineStr">
        <is>
          <t>Bergvik skog öst AB</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28739-2025</t>
        </is>
      </c>
      <c r="B283" s="1" t="n">
        <v>45820</v>
      </c>
      <c r="C283" s="1" t="n">
        <v>46076</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38003-2024</t>
        </is>
      </c>
      <c r="B284" s="1" t="n">
        <v>45544</v>
      </c>
      <c r="C284" s="1" t="n">
        <v>46076</v>
      </c>
      <c r="D284" t="inlineStr">
        <is>
          <t>UPPSALA LÄN</t>
        </is>
      </c>
      <c r="E284" t="inlineStr">
        <is>
          <t>ÖSTHAMMAR</t>
        </is>
      </c>
      <c r="F284" t="inlineStr">
        <is>
          <t>Naturvårdsverket</t>
        </is>
      </c>
      <c r="G284" t="n">
        <v>4.2</v>
      </c>
      <c r="H284" t="n">
        <v>0</v>
      </c>
      <c r="I284" t="n">
        <v>0</v>
      </c>
      <c r="J284" t="n">
        <v>0</v>
      </c>
      <c r="K284" t="n">
        <v>0</v>
      </c>
      <c r="L284" t="n">
        <v>0</v>
      </c>
      <c r="M284" t="n">
        <v>0</v>
      </c>
      <c r="N284" t="n">
        <v>0</v>
      </c>
      <c r="O284" t="n">
        <v>0</v>
      </c>
      <c r="P284" t="n">
        <v>0</v>
      </c>
      <c r="Q284" t="n">
        <v>0</v>
      </c>
      <c r="R284" s="2" t="inlineStr"/>
    </row>
    <row r="285" ht="15" customHeight="1">
      <c r="A285" t="inlineStr">
        <is>
          <t>A 29028-2025</t>
        </is>
      </c>
      <c r="B285" s="1" t="n">
        <v>45821.4384375</v>
      </c>
      <c r="C285" s="1" t="n">
        <v>46076</v>
      </c>
      <c r="D285" t="inlineStr">
        <is>
          <t>UPPSALA LÄN</t>
        </is>
      </c>
      <c r="E285" t="inlineStr">
        <is>
          <t>ÖSTHAMMAR</t>
        </is>
      </c>
      <c r="F285" t="inlineStr">
        <is>
          <t>Bergvik skog öst AB</t>
        </is>
      </c>
      <c r="G285" t="n">
        <v>1.7</v>
      </c>
      <c r="H285" t="n">
        <v>0</v>
      </c>
      <c r="I285" t="n">
        <v>0</v>
      </c>
      <c r="J285" t="n">
        <v>0</v>
      </c>
      <c r="K285" t="n">
        <v>0</v>
      </c>
      <c r="L285" t="n">
        <v>0</v>
      </c>
      <c r="M285" t="n">
        <v>0</v>
      </c>
      <c r="N285" t="n">
        <v>0</v>
      </c>
      <c r="O285" t="n">
        <v>0</v>
      </c>
      <c r="P285" t="n">
        <v>0</v>
      </c>
      <c r="Q285" t="n">
        <v>0</v>
      </c>
      <c r="R285" s="2" t="inlineStr"/>
    </row>
    <row r="286" ht="15" customHeight="1">
      <c r="A286" t="inlineStr">
        <is>
          <t>A 29029-2025</t>
        </is>
      </c>
      <c r="B286" s="1" t="n">
        <v>45821.43973379629</v>
      </c>
      <c r="C286" s="1" t="n">
        <v>46076</v>
      </c>
      <c r="D286" t="inlineStr">
        <is>
          <t>UPPSALA LÄN</t>
        </is>
      </c>
      <c r="E286" t="inlineStr">
        <is>
          <t>ÖSTHAMMAR</t>
        </is>
      </c>
      <c r="F286" t="inlineStr">
        <is>
          <t>Bergvik skog öst AB</t>
        </is>
      </c>
      <c r="G286" t="n">
        <v>4.2</v>
      </c>
      <c r="H286" t="n">
        <v>0</v>
      </c>
      <c r="I286" t="n">
        <v>0</v>
      </c>
      <c r="J286" t="n">
        <v>0</v>
      </c>
      <c r="K286" t="n">
        <v>0</v>
      </c>
      <c r="L286" t="n">
        <v>0</v>
      </c>
      <c r="M286" t="n">
        <v>0</v>
      </c>
      <c r="N286" t="n">
        <v>0</v>
      </c>
      <c r="O286" t="n">
        <v>0</v>
      </c>
      <c r="P286" t="n">
        <v>0</v>
      </c>
      <c r="Q286" t="n">
        <v>0</v>
      </c>
      <c r="R286" s="2" t="inlineStr"/>
    </row>
    <row r="287" ht="15" customHeight="1">
      <c r="A287" t="inlineStr">
        <is>
          <t>A 25252-2024</t>
        </is>
      </c>
      <c r="B287" s="1" t="n">
        <v>45462</v>
      </c>
      <c r="C287" s="1" t="n">
        <v>46076</v>
      </c>
      <c r="D287" t="inlineStr">
        <is>
          <t>UPPSALA LÄN</t>
        </is>
      </c>
      <c r="E287" t="inlineStr">
        <is>
          <t>ÖSTHAMMAR</t>
        </is>
      </c>
      <c r="G287" t="n">
        <v>4.3</v>
      </c>
      <c r="H287" t="n">
        <v>0</v>
      </c>
      <c r="I287" t="n">
        <v>0</v>
      </c>
      <c r="J287" t="n">
        <v>0</v>
      </c>
      <c r="K287" t="n">
        <v>0</v>
      </c>
      <c r="L287" t="n">
        <v>0</v>
      </c>
      <c r="M287" t="n">
        <v>0</v>
      </c>
      <c r="N287" t="n">
        <v>0</v>
      </c>
      <c r="O287" t="n">
        <v>0</v>
      </c>
      <c r="P287" t="n">
        <v>0</v>
      </c>
      <c r="Q287" t="n">
        <v>0</v>
      </c>
      <c r="R287" s="2" t="inlineStr"/>
    </row>
    <row r="288" ht="15" customHeight="1">
      <c r="A288" t="inlineStr">
        <is>
          <t>A 16531-2025</t>
        </is>
      </c>
      <c r="B288" s="1" t="n">
        <v>45751</v>
      </c>
      <c r="C288" s="1" t="n">
        <v>46076</v>
      </c>
      <c r="D288" t="inlineStr">
        <is>
          <t>UPPSALA LÄN</t>
        </is>
      </c>
      <c r="E288" t="inlineStr">
        <is>
          <t>ÖSTHAMMAR</t>
        </is>
      </c>
      <c r="G288" t="n">
        <v>3.3</v>
      </c>
      <c r="H288" t="n">
        <v>0</v>
      </c>
      <c r="I288" t="n">
        <v>0</v>
      </c>
      <c r="J288" t="n">
        <v>0</v>
      </c>
      <c r="K288" t="n">
        <v>0</v>
      </c>
      <c r="L288" t="n">
        <v>0</v>
      </c>
      <c r="M288" t="n">
        <v>0</v>
      </c>
      <c r="N288" t="n">
        <v>0</v>
      </c>
      <c r="O288" t="n">
        <v>0</v>
      </c>
      <c r="P288" t="n">
        <v>0</v>
      </c>
      <c r="Q288" t="n">
        <v>0</v>
      </c>
      <c r="R288" s="2" t="inlineStr"/>
    </row>
    <row r="289" ht="15" customHeight="1">
      <c r="A289" t="inlineStr">
        <is>
          <t>A 27494-2025</t>
        </is>
      </c>
      <c r="B289" s="1" t="n">
        <v>45813.39756944445</v>
      </c>
      <c r="C289" s="1" t="n">
        <v>46076</v>
      </c>
      <c r="D289" t="inlineStr">
        <is>
          <t>UPPSALA LÄN</t>
        </is>
      </c>
      <c r="E289" t="inlineStr">
        <is>
          <t>ÖSTHAMMAR</t>
        </is>
      </c>
      <c r="F289" t="inlineStr">
        <is>
          <t>Bergvik skog öst AB</t>
        </is>
      </c>
      <c r="G289" t="n">
        <v>23.4</v>
      </c>
      <c r="H289" t="n">
        <v>0</v>
      </c>
      <c r="I289" t="n">
        <v>0</v>
      </c>
      <c r="J289" t="n">
        <v>0</v>
      </c>
      <c r="K289" t="n">
        <v>0</v>
      </c>
      <c r="L289" t="n">
        <v>0</v>
      </c>
      <c r="M289" t="n">
        <v>0</v>
      </c>
      <c r="N289" t="n">
        <v>0</v>
      </c>
      <c r="O289" t="n">
        <v>0</v>
      </c>
      <c r="P289" t="n">
        <v>0</v>
      </c>
      <c r="Q289" t="n">
        <v>0</v>
      </c>
      <c r="R289" s="2" t="inlineStr"/>
    </row>
    <row r="290" ht="15" customHeight="1">
      <c r="A290" t="inlineStr">
        <is>
          <t>A 29384-2025</t>
        </is>
      </c>
      <c r="B290" s="1" t="n">
        <v>45824</v>
      </c>
      <c r="C290" s="1" t="n">
        <v>46076</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27490-2025</t>
        </is>
      </c>
      <c r="B291" s="1" t="n">
        <v>45813.39273148148</v>
      </c>
      <c r="C291" s="1" t="n">
        <v>46076</v>
      </c>
      <c r="D291" t="inlineStr">
        <is>
          <t>UPPSALA LÄN</t>
        </is>
      </c>
      <c r="E291" t="inlineStr">
        <is>
          <t>ÖSTHAMMAR</t>
        </is>
      </c>
      <c r="F291" t="inlineStr">
        <is>
          <t>Bergvik skog öst AB</t>
        </is>
      </c>
      <c r="G291" t="n">
        <v>6.1</v>
      </c>
      <c r="H291" t="n">
        <v>0</v>
      </c>
      <c r="I291" t="n">
        <v>0</v>
      </c>
      <c r="J291" t="n">
        <v>0</v>
      </c>
      <c r="K291" t="n">
        <v>0</v>
      </c>
      <c r="L291" t="n">
        <v>0</v>
      </c>
      <c r="M291" t="n">
        <v>0</v>
      </c>
      <c r="N291" t="n">
        <v>0</v>
      </c>
      <c r="O291" t="n">
        <v>0</v>
      </c>
      <c r="P291" t="n">
        <v>0</v>
      </c>
      <c r="Q291" t="n">
        <v>0</v>
      </c>
      <c r="R291" s="2" t="inlineStr"/>
    </row>
    <row r="292" ht="15" customHeight="1">
      <c r="A292" t="inlineStr">
        <is>
          <t>A 29775-2025</t>
        </is>
      </c>
      <c r="B292" s="1" t="n">
        <v>45825.63803240741</v>
      </c>
      <c r="C292" s="1" t="n">
        <v>46076</v>
      </c>
      <c r="D292" t="inlineStr">
        <is>
          <t>UPPSALA LÄN</t>
        </is>
      </c>
      <c r="E292" t="inlineStr">
        <is>
          <t>ÖSTHAMMAR</t>
        </is>
      </c>
      <c r="G292" t="n">
        <v>0.9</v>
      </c>
      <c r="H292" t="n">
        <v>0</v>
      </c>
      <c r="I292" t="n">
        <v>0</v>
      </c>
      <c r="J292" t="n">
        <v>0</v>
      </c>
      <c r="K292" t="n">
        <v>0</v>
      </c>
      <c r="L292" t="n">
        <v>0</v>
      </c>
      <c r="M292" t="n">
        <v>0</v>
      </c>
      <c r="N292" t="n">
        <v>0</v>
      </c>
      <c r="O292" t="n">
        <v>0</v>
      </c>
      <c r="P292" t="n">
        <v>0</v>
      </c>
      <c r="Q292" t="n">
        <v>0</v>
      </c>
      <c r="R292" s="2" t="inlineStr"/>
    </row>
    <row r="293" ht="15" customHeight="1">
      <c r="A293" t="inlineStr">
        <is>
          <t>A 27486-2025</t>
        </is>
      </c>
      <c r="B293" s="1" t="n">
        <v>45813.38521990741</v>
      </c>
      <c r="C293" s="1" t="n">
        <v>46076</v>
      </c>
      <c r="D293" t="inlineStr">
        <is>
          <t>UPPSALA LÄN</t>
        </is>
      </c>
      <c r="E293" t="inlineStr">
        <is>
          <t>ÖSTHAMMAR</t>
        </is>
      </c>
      <c r="F293" t="inlineStr">
        <is>
          <t>Bergvik skog öst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31137-2022</t>
        </is>
      </c>
      <c r="B294" s="1" t="n">
        <v>44770.42166666667</v>
      </c>
      <c r="C294" s="1" t="n">
        <v>46076</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30244-2025</t>
        </is>
      </c>
      <c r="B295" s="1" t="n">
        <v>45827.40902777778</v>
      </c>
      <c r="C295" s="1" t="n">
        <v>46076</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74429-2021</t>
        </is>
      </c>
      <c r="B296" s="1" t="n">
        <v>44560.43136574074</v>
      </c>
      <c r="C296" s="1" t="n">
        <v>46076</v>
      </c>
      <c r="D296" t="inlineStr">
        <is>
          <t>UPPSALA LÄN</t>
        </is>
      </c>
      <c r="E296" t="inlineStr">
        <is>
          <t>ÖSTHAMMAR</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30931-2021</t>
        </is>
      </c>
      <c r="B297" s="1" t="n">
        <v>44365</v>
      </c>
      <c r="C297" s="1" t="n">
        <v>46076</v>
      </c>
      <c r="D297" t="inlineStr">
        <is>
          <t>UPPSALA LÄN</t>
        </is>
      </c>
      <c r="E297" t="inlineStr">
        <is>
          <t>ÖSTHAMMAR</t>
        </is>
      </c>
      <c r="F297" t="inlineStr">
        <is>
          <t>Bergvik skog öst AB</t>
        </is>
      </c>
      <c r="G297" t="n">
        <v>2.3</v>
      </c>
      <c r="H297" t="n">
        <v>0</v>
      </c>
      <c r="I297" t="n">
        <v>0</v>
      </c>
      <c r="J297" t="n">
        <v>0</v>
      </c>
      <c r="K297" t="n">
        <v>0</v>
      </c>
      <c r="L297" t="n">
        <v>0</v>
      </c>
      <c r="M297" t="n">
        <v>0</v>
      </c>
      <c r="N297" t="n">
        <v>0</v>
      </c>
      <c r="O297" t="n">
        <v>0</v>
      </c>
      <c r="P297" t="n">
        <v>0</v>
      </c>
      <c r="Q297" t="n">
        <v>0</v>
      </c>
      <c r="R297" s="2" t="inlineStr"/>
    </row>
    <row r="298" ht="15" customHeight="1">
      <c r="A298" t="inlineStr">
        <is>
          <t>A 40384-2025</t>
        </is>
      </c>
      <c r="B298" s="1" t="n">
        <v>45895.54085648148</v>
      </c>
      <c r="C298" s="1" t="n">
        <v>46076</v>
      </c>
      <c r="D298" t="inlineStr">
        <is>
          <t>UPPSALA LÄN</t>
        </is>
      </c>
      <c r="E298" t="inlineStr">
        <is>
          <t>ÖSTHAMMAR</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40377-2025</t>
        </is>
      </c>
      <c r="B299" s="1" t="n">
        <v>45895.53020833333</v>
      </c>
      <c r="C299" s="1" t="n">
        <v>46076</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40382-2025</t>
        </is>
      </c>
      <c r="B300" s="1" t="n">
        <v>45895.53689814815</v>
      </c>
      <c r="C300" s="1" t="n">
        <v>46076</v>
      </c>
      <c r="D300" t="inlineStr">
        <is>
          <t>UPPSALA LÄN</t>
        </is>
      </c>
      <c r="E300" t="inlineStr">
        <is>
          <t>ÖSTHAMMAR</t>
        </is>
      </c>
      <c r="G300" t="n">
        <v>2.2</v>
      </c>
      <c r="H300" t="n">
        <v>0</v>
      </c>
      <c r="I300" t="n">
        <v>0</v>
      </c>
      <c r="J300" t="n">
        <v>0</v>
      </c>
      <c r="K300" t="n">
        <v>0</v>
      </c>
      <c r="L300" t="n">
        <v>0</v>
      </c>
      <c r="M300" t="n">
        <v>0</v>
      </c>
      <c r="N300" t="n">
        <v>0</v>
      </c>
      <c r="O300" t="n">
        <v>0</v>
      </c>
      <c r="P300" t="n">
        <v>0</v>
      </c>
      <c r="Q300" t="n">
        <v>0</v>
      </c>
      <c r="R300" s="2" t="inlineStr"/>
    </row>
    <row r="301" ht="15" customHeight="1">
      <c r="A301" t="inlineStr">
        <is>
          <t>A 17867-2024</t>
        </is>
      </c>
      <c r="B301" s="1" t="n">
        <v>45419.44106481481</v>
      </c>
      <c r="C301" s="1" t="n">
        <v>46076</v>
      </c>
      <c r="D301" t="inlineStr">
        <is>
          <t>UPPSALA LÄN</t>
        </is>
      </c>
      <c r="E301" t="inlineStr">
        <is>
          <t>ÖSTHAMMAR</t>
        </is>
      </c>
      <c r="G301" t="n">
        <v>7.2</v>
      </c>
      <c r="H301" t="n">
        <v>0</v>
      </c>
      <c r="I301" t="n">
        <v>0</v>
      </c>
      <c r="J301" t="n">
        <v>0</v>
      </c>
      <c r="K301" t="n">
        <v>0</v>
      </c>
      <c r="L301" t="n">
        <v>0</v>
      </c>
      <c r="M301" t="n">
        <v>0</v>
      </c>
      <c r="N301" t="n">
        <v>0</v>
      </c>
      <c r="O301" t="n">
        <v>0</v>
      </c>
      <c r="P301" t="n">
        <v>0</v>
      </c>
      <c r="Q301" t="n">
        <v>0</v>
      </c>
      <c r="R301" s="2" t="inlineStr"/>
    </row>
    <row r="302" ht="15" customHeight="1">
      <c r="A302" t="inlineStr">
        <is>
          <t>A 40460-2025</t>
        </is>
      </c>
      <c r="B302" s="1" t="n">
        <v>45895.65013888889</v>
      </c>
      <c r="C302" s="1" t="n">
        <v>46076</v>
      </c>
      <c r="D302" t="inlineStr">
        <is>
          <t>UPPSALA LÄN</t>
        </is>
      </c>
      <c r="E302" t="inlineStr">
        <is>
          <t>ÖSTHAMMAR</t>
        </is>
      </c>
      <c r="G302" t="n">
        <v>2.7</v>
      </c>
      <c r="H302" t="n">
        <v>0</v>
      </c>
      <c r="I302" t="n">
        <v>0</v>
      </c>
      <c r="J302" t="n">
        <v>0</v>
      </c>
      <c r="K302" t="n">
        <v>0</v>
      </c>
      <c r="L302" t="n">
        <v>0</v>
      </c>
      <c r="M302" t="n">
        <v>0</v>
      </c>
      <c r="N302" t="n">
        <v>0</v>
      </c>
      <c r="O302" t="n">
        <v>0</v>
      </c>
      <c r="P302" t="n">
        <v>0</v>
      </c>
      <c r="Q302" t="n">
        <v>0</v>
      </c>
      <c r="R302" s="2" t="inlineStr"/>
    </row>
    <row r="303" ht="15" customHeight="1">
      <c r="A303" t="inlineStr">
        <is>
          <t>A 4228-2023</t>
        </is>
      </c>
      <c r="B303" s="1" t="n">
        <v>44953.48179398148</v>
      </c>
      <c r="C303" s="1" t="n">
        <v>46076</v>
      </c>
      <c r="D303" t="inlineStr">
        <is>
          <t>UPPSALA LÄN</t>
        </is>
      </c>
      <c r="E303" t="inlineStr">
        <is>
          <t>ÖSTHAMMAR</t>
        </is>
      </c>
      <c r="G303" t="n">
        <v>1</v>
      </c>
      <c r="H303" t="n">
        <v>0</v>
      </c>
      <c r="I303" t="n">
        <v>0</v>
      </c>
      <c r="J303" t="n">
        <v>0</v>
      </c>
      <c r="K303" t="n">
        <v>0</v>
      </c>
      <c r="L303" t="n">
        <v>0</v>
      </c>
      <c r="M303" t="n">
        <v>0</v>
      </c>
      <c r="N303" t="n">
        <v>0</v>
      </c>
      <c r="O303" t="n">
        <v>0</v>
      </c>
      <c r="P303" t="n">
        <v>0</v>
      </c>
      <c r="Q303" t="n">
        <v>0</v>
      </c>
      <c r="R303" s="2" t="inlineStr"/>
    </row>
    <row r="304" ht="15" customHeight="1">
      <c r="A304" t="inlineStr">
        <is>
          <t>A 40462-2025</t>
        </is>
      </c>
      <c r="B304" s="1" t="n">
        <v>45895.65179398148</v>
      </c>
      <c r="C304" s="1" t="n">
        <v>46076</v>
      </c>
      <c r="D304" t="inlineStr">
        <is>
          <t>UPPSALA LÄN</t>
        </is>
      </c>
      <c r="E304" t="inlineStr">
        <is>
          <t>ÖSTHAMMAR</t>
        </is>
      </c>
      <c r="G304" t="n">
        <v>4.5</v>
      </c>
      <c r="H304" t="n">
        <v>0</v>
      </c>
      <c r="I304" t="n">
        <v>0</v>
      </c>
      <c r="J304" t="n">
        <v>0</v>
      </c>
      <c r="K304" t="n">
        <v>0</v>
      </c>
      <c r="L304" t="n">
        <v>0</v>
      </c>
      <c r="M304" t="n">
        <v>0</v>
      </c>
      <c r="N304" t="n">
        <v>0</v>
      </c>
      <c r="O304" t="n">
        <v>0</v>
      </c>
      <c r="P304" t="n">
        <v>0</v>
      </c>
      <c r="Q304" t="n">
        <v>0</v>
      </c>
      <c r="R304" s="2" t="inlineStr"/>
    </row>
    <row r="305" ht="15" customHeight="1">
      <c r="A305" t="inlineStr">
        <is>
          <t>A 40016-2025</t>
        </is>
      </c>
      <c r="B305" s="1" t="n">
        <v>45894.34747685185</v>
      </c>
      <c r="C305" s="1" t="n">
        <v>46076</v>
      </c>
      <c r="D305" t="inlineStr">
        <is>
          <t>UPPSALA LÄN</t>
        </is>
      </c>
      <c r="E305" t="inlineStr">
        <is>
          <t>ÖSTHAMMAR</t>
        </is>
      </c>
      <c r="F305" t="inlineStr">
        <is>
          <t>Kyrkan</t>
        </is>
      </c>
      <c r="G305" t="n">
        <v>6.6</v>
      </c>
      <c r="H305" t="n">
        <v>0</v>
      </c>
      <c r="I305" t="n">
        <v>0</v>
      </c>
      <c r="J305" t="n">
        <v>0</v>
      </c>
      <c r="K305" t="n">
        <v>0</v>
      </c>
      <c r="L305" t="n">
        <v>0</v>
      </c>
      <c r="M305" t="n">
        <v>0</v>
      </c>
      <c r="N305" t="n">
        <v>0</v>
      </c>
      <c r="O305" t="n">
        <v>0</v>
      </c>
      <c r="P305" t="n">
        <v>0</v>
      </c>
      <c r="Q305" t="n">
        <v>0</v>
      </c>
      <c r="R305" s="2" t="inlineStr"/>
    </row>
    <row r="306" ht="15" customHeight="1">
      <c r="A306" t="inlineStr">
        <is>
          <t>A 40044-2025</t>
        </is>
      </c>
      <c r="B306" s="1" t="n">
        <v>45894.40133101852</v>
      </c>
      <c r="C306" s="1" t="n">
        <v>46076</v>
      </c>
      <c r="D306" t="inlineStr">
        <is>
          <t>UPPSALA LÄN</t>
        </is>
      </c>
      <c r="E306" t="inlineStr">
        <is>
          <t>ÖSTHAMMAR</t>
        </is>
      </c>
      <c r="F306" t="inlineStr">
        <is>
          <t>Kyrkan</t>
        </is>
      </c>
      <c r="G306" t="n">
        <v>8.9</v>
      </c>
      <c r="H306" t="n">
        <v>0</v>
      </c>
      <c r="I306" t="n">
        <v>0</v>
      </c>
      <c r="J306" t="n">
        <v>0</v>
      </c>
      <c r="K306" t="n">
        <v>0</v>
      </c>
      <c r="L306" t="n">
        <v>0</v>
      </c>
      <c r="M306" t="n">
        <v>0</v>
      </c>
      <c r="N306" t="n">
        <v>0</v>
      </c>
      <c r="O306" t="n">
        <v>0</v>
      </c>
      <c r="P306" t="n">
        <v>0</v>
      </c>
      <c r="Q306" t="n">
        <v>0</v>
      </c>
      <c r="R306" s="2" t="inlineStr"/>
    </row>
    <row r="307" ht="15" customHeight="1">
      <c r="A307" t="inlineStr">
        <is>
          <t>A 30610-2025</t>
        </is>
      </c>
      <c r="B307" s="1" t="n">
        <v>45831.45965277778</v>
      </c>
      <c r="C307" s="1" t="n">
        <v>46076</v>
      </c>
      <c r="D307" t="inlineStr">
        <is>
          <t>UPPSALA LÄN</t>
        </is>
      </c>
      <c r="E307" t="inlineStr">
        <is>
          <t>ÖSTHAMMAR</t>
        </is>
      </c>
      <c r="G307" t="n">
        <v>0.2</v>
      </c>
      <c r="H307" t="n">
        <v>0</v>
      </c>
      <c r="I307" t="n">
        <v>0</v>
      </c>
      <c r="J307" t="n">
        <v>0</v>
      </c>
      <c r="K307" t="n">
        <v>0</v>
      </c>
      <c r="L307" t="n">
        <v>0</v>
      </c>
      <c r="M307" t="n">
        <v>0</v>
      </c>
      <c r="N307" t="n">
        <v>0</v>
      </c>
      <c r="O307" t="n">
        <v>0</v>
      </c>
      <c r="P307" t="n">
        <v>0</v>
      </c>
      <c r="Q307" t="n">
        <v>0</v>
      </c>
      <c r="R307" s="2" t="inlineStr"/>
    </row>
    <row r="308" ht="15" customHeight="1">
      <c r="A308" t="inlineStr">
        <is>
          <t>A 30504-2025</t>
        </is>
      </c>
      <c r="B308" s="1" t="n">
        <v>45830.8558912037</v>
      </c>
      <c r="C308" s="1" t="n">
        <v>46076</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30503-2025</t>
        </is>
      </c>
      <c r="B309" s="1" t="n">
        <v>45830.8500462963</v>
      </c>
      <c r="C309" s="1" t="n">
        <v>46076</v>
      </c>
      <c r="D309" t="inlineStr">
        <is>
          <t>UPPSALA LÄN</t>
        </is>
      </c>
      <c r="E309" t="inlineStr">
        <is>
          <t>ÖSTHAMMAR</t>
        </is>
      </c>
      <c r="G309" t="n">
        <v>0.8</v>
      </c>
      <c r="H309" t="n">
        <v>0</v>
      </c>
      <c r="I309" t="n">
        <v>0</v>
      </c>
      <c r="J309" t="n">
        <v>0</v>
      </c>
      <c r="K309" t="n">
        <v>0</v>
      </c>
      <c r="L309" t="n">
        <v>0</v>
      </c>
      <c r="M309" t="n">
        <v>0</v>
      </c>
      <c r="N309" t="n">
        <v>0</v>
      </c>
      <c r="O309" t="n">
        <v>0</v>
      </c>
      <c r="P309" t="n">
        <v>0</v>
      </c>
      <c r="Q309" t="n">
        <v>0</v>
      </c>
      <c r="R309" s="2" t="inlineStr"/>
    </row>
    <row r="310" ht="15" customHeight="1">
      <c r="A310" t="inlineStr">
        <is>
          <t>A 36301-2023</t>
        </is>
      </c>
      <c r="B310" s="1" t="n">
        <v>45152.37296296296</v>
      </c>
      <c r="C310" s="1" t="n">
        <v>46076</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40416-2025</t>
        </is>
      </c>
      <c r="B311" s="1" t="n">
        <v>45895.57736111111</v>
      </c>
      <c r="C311" s="1" t="n">
        <v>46076</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7195-2023</t>
        </is>
      </c>
      <c r="B312" s="1" t="n">
        <v>44970</v>
      </c>
      <c r="C312" s="1" t="n">
        <v>46076</v>
      </c>
      <c r="D312" t="inlineStr">
        <is>
          <t>UPPSALA LÄN</t>
        </is>
      </c>
      <c r="E312" t="inlineStr">
        <is>
          <t>ÖSTHAMMAR</t>
        </is>
      </c>
      <c r="G312" t="n">
        <v>1.3</v>
      </c>
      <c r="H312" t="n">
        <v>0</v>
      </c>
      <c r="I312" t="n">
        <v>0</v>
      </c>
      <c r="J312" t="n">
        <v>0</v>
      </c>
      <c r="K312" t="n">
        <v>0</v>
      </c>
      <c r="L312" t="n">
        <v>0</v>
      </c>
      <c r="M312" t="n">
        <v>0</v>
      </c>
      <c r="N312" t="n">
        <v>0</v>
      </c>
      <c r="O312" t="n">
        <v>0</v>
      </c>
      <c r="P312" t="n">
        <v>0</v>
      </c>
      <c r="Q312" t="n">
        <v>0</v>
      </c>
      <c r="R312" s="2" t="inlineStr"/>
    </row>
    <row r="313" ht="15" customHeight="1">
      <c r="A313" t="inlineStr">
        <is>
          <t>A 26774-2023</t>
        </is>
      </c>
      <c r="B313" s="1" t="n">
        <v>45093.47947916666</v>
      </c>
      <c r="C313" s="1" t="n">
        <v>46076</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31249-2025</t>
        </is>
      </c>
      <c r="B314" s="1" t="n">
        <v>45832.89476851852</v>
      </c>
      <c r="C314" s="1" t="n">
        <v>46076</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40570-2025</t>
        </is>
      </c>
      <c r="B315" s="1" t="n">
        <v>45896.47878472223</v>
      </c>
      <c r="C315" s="1" t="n">
        <v>46076</v>
      </c>
      <c r="D315" t="inlineStr">
        <is>
          <t>UPPSALA LÄN</t>
        </is>
      </c>
      <c r="E315" t="inlineStr">
        <is>
          <t>ÖSTHAMMAR</t>
        </is>
      </c>
      <c r="F315" t="inlineStr">
        <is>
          <t>Övriga Aktiebolag</t>
        </is>
      </c>
      <c r="G315" t="n">
        <v>4.8</v>
      </c>
      <c r="H315" t="n">
        <v>0</v>
      </c>
      <c r="I315" t="n">
        <v>0</v>
      </c>
      <c r="J315" t="n">
        <v>0</v>
      </c>
      <c r="K315" t="n">
        <v>0</v>
      </c>
      <c r="L315" t="n">
        <v>0</v>
      </c>
      <c r="M315" t="n">
        <v>0</v>
      </c>
      <c r="N315" t="n">
        <v>0</v>
      </c>
      <c r="O315" t="n">
        <v>0</v>
      </c>
      <c r="P315" t="n">
        <v>0</v>
      </c>
      <c r="Q315" t="n">
        <v>0</v>
      </c>
      <c r="R315" s="2" t="inlineStr"/>
    </row>
    <row r="316" ht="15" customHeight="1">
      <c r="A316" t="inlineStr">
        <is>
          <t>A 31579-2025</t>
        </is>
      </c>
      <c r="B316" s="1" t="n">
        <v>45833.68211805556</v>
      </c>
      <c r="C316" s="1" t="n">
        <v>46076</v>
      </c>
      <c r="D316" t="inlineStr">
        <is>
          <t>UPPSALA LÄN</t>
        </is>
      </c>
      <c r="E316" t="inlineStr">
        <is>
          <t>ÖSTHAMMAR</t>
        </is>
      </c>
      <c r="G316" t="n">
        <v>1.5</v>
      </c>
      <c r="H316" t="n">
        <v>0</v>
      </c>
      <c r="I316" t="n">
        <v>0</v>
      </c>
      <c r="J316" t="n">
        <v>0</v>
      </c>
      <c r="K316" t="n">
        <v>0</v>
      </c>
      <c r="L316" t="n">
        <v>0</v>
      </c>
      <c r="M316" t="n">
        <v>0</v>
      </c>
      <c r="N316" t="n">
        <v>0</v>
      </c>
      <c r="O316" t="n">
        <v>0</v>
      </c>
      <c r="P316" t="n">
        <v>0</v>
      </c>
      <c r="Q316" t="n">
        <v>0</v>
      </c>
      <c r="R316" s="2" t="inlineStr"/>
    </row>
    <row r="317" ht="15" customHeight="1">
      <c r="A317" t="inlineStr">
        <is>
          <t>A 31360-2025</t>
        </is>
      </c>
      <c r="B317" s="1" t="n">
        <v>45833.43527777777</v>
      </c>
      <c r="C317" s="1" t="n">
        <v>46076</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17644-2025</t>
        </is>
      </c>
      <c r="B318" s="1" t="n">
        <v>45758.32645833334</v>
      </c>
      <c r="C318" s="1" t="n">
        <v>46076</v>
      </c>
      <c r="D318" t="inlineStr">
        <is>
          <t>UPPSALA LÄN</t>
        </is>
      </c>
      <c r="E318" t="inlineStr">
        <is>
          <t>ÖSTHAMMAR</t>
        </is>
      </c>
      <c r="F318" t="inlineStr">
        <is>
          <t>Bergvik skog väst AB</t>
        </is>
      </c>
      <c r="G318" t="n">
        <v>6.1</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46076</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17652-2025</t>
        </is>
      </c>
      <c r="B320" s="1" t="n">
        <v>45758.33583333333</v>
      </c>
      <c r="C320" s="1" t="n">
        <v>46076</v>
      </c>
      <c r="D320" t="inlineStr">
        <is>
          <t>UPPSALA LÄN</t>
        </is>
      </c>
      <c r="E320" t="inlineStr">
        <is>
          <t>ÖSTHAMMAR</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41519-2025</t>
        </is>
      </c>
      <c r="B321" s="1" t="n">
        <v>45901.54751157408</v>
      </c>
      <c r="C321" s="1" t="n">
        <v>46076</v>
      </c>
      <c r="D321" t="inlineStr">
        <is>
          <t>UPPSALA LÄN</t>
        </is>
      </c>
      <c r="E321" t="inlineStr">
        <is>
          <t>ÖSTHAMMAR</t>
        </is>
      </c>
      <c r="F321" t="inlineStr">
        <is>
          <t>Övriga Aktiebolag</t>
        </is>
      </c>
      <c r="G321" t="n">
        <v>17.1</v>
      </c>
      <c r="H321" t="n">
        <v>0</v>
      </c>
      <c r="I321" t="n">
        <v>0</v>
      </c>
      <c r="J321" t="n">
        <v>0</v>
      </c>
      <c r="K321" t="n">
        <v>0</v>
      </c>
      <c r="L321" t="n">
        <v>0</v>
      </c>
      <c r="M321" t="n">
        <v>0</v>
      </c>
      <c r="N321" t="n">
        <v>0</v>
      </c>
      <c r="O321" t="n">
        <v>0</v>
      </c>
      <c r="P321" t="n">
        <v>0</v>
      </c>
      <c r="Q321" t="n">
        <v>0</v>
      </c>
      <c r="R321" s="2" t="inlineStr"/>
    </row>
    <row r="322" ht="15" customHeight="1">
      <c r="A322" t="inlineStr">
        <is>
          <t>A 6120-2024</t>
        </is>
      </c>
      <c r="B322" s="1" t="n">
        <v>45337.41784722222</v>
      </c>
      <c r="C322" s="1" t="n">
        <v>46076</v>
      </c>
      <c r="D322" t="inlineStr">
        <is>
          <t>UPPSALA LÄN</t>
        </is>
      </c>
      <c r="E322" t="inlineStr">
        <is>
          <t>ÖSTHAMMAR</t>
        </is>
      </c>
      <c r="G322" t="n">
        <v>0.7</v>
      </c>
      <c r="H322" t="n">
        <v>0</v>
      </c>
      <c r="I322" t="n">
        <v>0</v>
      </c>
      <c r="J322" t="n">
        <v>0</v>
      </c>
      <c r="K322" t="n">
        <v>0</v>
      </c>
      <c r="L322" t="n">
        <v>0</v>
      </c>
      <c r="M322" t="n">
        <v>0</v>
      </c>
      <c r="N322" t="n">
        <v>0</v>
      </c>
      <c r="O322" t="n">
        <v>0</v>
      </c>
      <c r="P322" t="n">
        <v>0</v>
      </c>
      <c r="Q322" t="n">
        <v>0</v>
      </c>
      <c r="R322" s="2" t="inlineStr"/>
    </row>
    <row r="323" ht="15" customHeight="1">
      <c r="A323" t="inlineStr">
        <is>
          <t>A 12528-2024</t>
        </is>
      </c>
      <c r="B323" s="1" t="n">
        <v>45379.61878472222</v>
      </c>
      <c r="C323" s="1" t="n">
        <v>46076</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8908-2025</t>
        </is>
      </c>
      <c r="B324" s="1" t="n">
        <v>45713.4196875</v>
      </c>
      <c r="C324" s="1" t="n">
        <v>46076</v>
      </c>
      <c r="D324" t="inlineStr">
        <is>
          <t>UPPSALA LÄN</t>
        </is>
      </c>
      <c r="E324" t="inlineStr">
        <is>
          <t>ÖSTHAMMAR</t>
        </is>
      </c>
      <c r="F324" t="inlineStr">
        <is>
          <t>Bergvik skog öst AB</t>
        </is>
      </c>
      <c r="G324" t="n">
        <v>3.3</v>
      </c>
      <c r="H324" t="n">
        <v>0</v>
      </c>
      <c r="I324" t="n">
        <v>0</v>
      </c>
      <c r="J324" t="n">
        <v>0</v>
      </c>
      <c r="K324" t="n">
        <v>0</v>
      </c>
      <c r="L324" t="n">
        <v>0</v>
      </c>
      <c r="M324" t="n">
        <v>0</v>
      </c>
      <c r="N324" t="n">
        <v>0</v>
      </c>
      <c r="O324" t="n">
        <v>0</v>
      </c>
      <c r="P324" t="n">
        <v>0</v>
      </c>
      <c r="Q324" t="n">
        <v>0</v>
      </c>
      <c r="R324" s="2" t="inlineStr"/>
    </row>
    <row r="325" ht="15" customHeight="1">
      <c r="A325" t="inlineStr">
        <is>
          <t>A 357-2025</t>
        </is>
      </c>
      <c r="B325" s="1" t="n">
        <v>45659</v>
      </c>
      <c r="C325" s="1" t="n">
        <v>46076</v>
      </c>
      <c r="D325" t="inlineStr">
        <is>
          <t>UPPSALA LÄN</t>
        </is>
      </c>
      <c r="E325" t="inlineStr">
        <is>
          <t>ÖSTHAMMAR</t>
        </is>
      </c>
      <c r="G325" t="n">
        <v>15.8</v>
      </c>
      <c r="H325" t="n">
        <v>0</v>
      </c>
      <c r="I325" t="n">
        <v>0</v>
      </c>
      <c r="J325" t="n">
        <v>0</v>
      </c>
      <c r="K325" t="n">
        <v>0</v>
      </c>
      <c r="L325" t="n">
        <v>0</v>
      </c>
      <c r="M325" t="n">
        <v>0</v>
      </c>
      <c r="N325" t="n">
        <v>0</v>
      </c>
      <c r="O325" t="n">
        <v>0</v>
      </c>
      <c r="P325" t="n">
        <v>0</v>
      </c>
      <c r="Q325" t="n">
        <v>0</v>
      </c>
      <c r="R325" s="2" t="inlineStr"/>
    </row>
    <row r="326" ht="15" customHeight="1">
      <c r="A326" t="inlineStr">
        <is>
          <t>A 31956-2025</t>
        </is>
      </c>
      <c r="B326" s="1" t="n">
        <v>45835.34184027778</v>
      </c>
      <c r="C326" s="1" t="n">
        <v>46076</v>
      </c>
      <c r="D326" t="inlineStr">
        <is>
          <t>UPPSALA LÄN</t>
        </is>
      </c>
      <c r="E326" t="inlineStr">
        <is>
          <t>ÖSTHAMMAR</t>
        </is>
      </c>
      <c r="F326" t="inlineStr">
        <is>
          <t>Övriga Aktiebolag</t>
        </is>
      </c>
      <c r="G326" t="n">
        <v>4.2</v>
      </c>
      <c r="H326" t="n">
        <v>0</v>
      </c>
      <c r="I326" t="n">
        <v>0</v>
      </c>
      <c r="J326" t="n">
        <v>0</v>
      </c>
      <c r="K326" t="n">
        <v>0</v>
      </c>
      <c r="L326" t="n">
        <v>0</v>
      </c>
      <c r="M326" t="n">
        <v>0</v>
      </c>
      <c r="N326" t="n">
        <v>0</v>
      </c>
      <c r="O326" t="n">
        <v>0</v>
      </c>
      <c r="P326" t="n">
        <v>0</v>
      </c>
      <c r="Q326" t="n">
        <v>0</v>
      </c>
      <c r="R326" s="2" t="inlineStr"/>
    </row>
    <row r="327" ht="15" customHeight="1">
      <c r="A327" t="inlineStr">
        <is>
          <t>A 31977-2025</t>
        </is>
      </c>
      <c r="B327" s="1" t="n">
        <v>45835.3554050926</v>
      </c>
      <c r="C327" s="1" t="n">
        <v>46076</v>
      </c>
      <c r="D327" t="inlineStr">
        <is>
          <t>UPPSALA LÄN</t>
        </is>
      </c>
      <c r="E327" t="inlineStr">
        <is>
          <t>ÖSTHAMMAR</t>
        </is>
      </c>
      <c r="F327" t="inlineStr">
        <is>
          <t>Övriga Aktiebolag</t>
        </is>
      </c>
      <c r="G327" t="n">
        <v>35.3</v>
      </c>
      <c r="H327" t="n">
        <v>0</v>
      </c>
      <c r="I327" t="n">
        <v>0</v>
      </c>
      <c r="J327" t="n">
        <v>0</v>
      </c>
      <c r="K327" t="n">
        <v>0</v>
      </c>
      <c r="L327" t="n">
        <v>0</v>
      </c>
      <c r="M327" t="n">
        <v>0</v>
      </c>
      <c r="N327" t="n">
        <v>0</v>
      </c>
      <c r="O327" t="n">
        <v>0</v>
      </c>
      <c r="P327" t="n">
        <v>0</v>
      </c>
      <c r="Q327" t="n">
        <v>0</v>
      </c>
      <c r="R327" s="2" t="inlineStr"/>
    </row>
    <row r="328" ht="15" customHeight="1">
      <c r="A328" t="inlineStr">
        <is>
          <t>A 24401-2025</t>
        </is>
      </c>
      <c r="B328" s="1" t="n">
        <v>45797.64908564815</v>
      </c>
      <c r="C328" s="1" t="n">
        <v>46076</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24408-2025</t>
        </is>
      </c>
      <c r="B329" s="1" t="n">
        <v>45797.65774305556</v>
      </c>
      <c r="C329" s="1" t="n">
        <v>46076</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9267-2024</t>
        </is>
      </c>
      <c r="B330" s="1" t="n">
        <v>45358</v>
      </c>
      <c r="C330" s="1" t="n">
        <v>46076</v>
      </c>
      <c r="D330" t="inlineStr">
        <is>
          <t>UPPSALA LÄN</t>
        </is>
      </c>
      <c r="E330" t="inlineStr">
        <is>
          <t>ÖSTHAMMAR</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33601-2024</t>
        </is>
      </c>
      <c r="B331" s="1" t="n">
        <v>45520</v>
      </c>
      <c r="C331" s="1" t="n">
        <v>46076</v>
      </c>
      <c r="D331" t="inlineStr">
        <is>
          <t>UPPSALA LÄN</t>
        </is>
      </c>
      <c r="E331" t="inlineStr">
        <is>
          <t>ÖSTHAMMAR</t>
        </is>
      </c>
      <c r="F331" t="inlineStr">
        <is>
          <t>Övriga Aktiebolag</t>
        </is>
      </c>
      <c r="G331" t="n">
        <v>2.5</v>
      </c>
      <c r="H331" t="n">
        <v>0</v>
      </c>
      <c r="I331" t="n">
        <v>0</v>
      </c>
      <c r="J331" t="n">
        <v>0</v>
      </c>
      <c r="K331" t="n">
        <v>0</v>
      </c>
      <c r="L331" t="n">
        <v>0</v>
      </c>
      <c r="M331" t="n">
        <v>0</v>
      </c>
      <c r="N331" t="n">
        <v>0</v>
      </c>
      <c r="O331" t="n">
        <v>0</v>
      </c>
      <c r="P331" t="n">
        <v>0</v>
      </c>
      <c r="Q331" t="n">
        <v>0</v>
      </c>
      <c r="R331" s="2" t="inlineStr"/>
    </row>
    <row r="332" ht="15" customHeight="1">
      <c r="A332" t="inlineStr">
        <is>
          <t>A 27476-2025</t>
        </is>
      </c>
      <c r="B332" s="1" t="n">
        <v>45813.37517361111</v>
      </c>
      <c r="C332" s="1" t="n">
        <v>46076</v>
      </c>
      <c r="D332" t="inlineStr">
        <is>
          <t>UPPSALA LÄN</t>
        </is>
      </c>
      <c r="E332" t="inlineStr">
        <is>
          <t>ÖSTHAMMAR</t>
        </is>
      </c>
      <c r="F332" t="inlineStr">
        <is>
          <t>Bergvik skog öst AB</t>
        </is>
      </c>
      <c r="G332" t="n">
        <v>1.3</v>
      </c>
      <c r="H332" t="n">
        <v>0</v>
      </c>
      <c r="I332" t="n">
        <v>0</v>
      </c>
      <c r="J332" t="n">
        <v>0</v>
      </c>
      <c r="K332" t="n">
        <v>0</v>
      </c>
      <c r="L332" t="n">
        <v>0</v>
      </c>
      <c r="M332" t="n">
        <v>0</v>
      </c>
      <c r="N332" t="n">
        <v>0</v>
      </c>
      <c r="O332" t="n">
        <v>0</v>
      </c>
      <c r="P332" t="n">
        <v>0</v>
      </c>
      <c r="Q332" t="n">
        <v>0</v>
      </c>
      <c r="R332" s="2" t="inlineStr"/>
    </row>
    <row r="333" ht="15" customHeight="1">
      <c r="A333" t="inlineStr">
        <is>
          <t>A 32718-2025</t>
        </is>
      </c>
      <c r="B333" s="1" t="n">
        <v>45839.37740740741</v>
      </c>
      <c r="C333" s="1" t="n">
        <v>46076</v>
      </c>
      <c r="D333" t="inlineStr">
        <is>
          <t>UPPSALA LÄN</t>
        </is>
      </c>
      <c r="E333" t="inlineStr">
        <is>
          <t>ÖSTHAMMAR</t>
        </is>
      </c>
      <c r="G333" t="n">
        <v>10.4</v>
      </c>
      <c r="H333" t="n">
        <v>0</v>
      </c>
      <c r="I333" t="n">
        <v>0</v>
      </c>
      <c r="J333" t="n">
        <v>0</v>
      </c>
      <c r="K333" t="n">
        <v>0</v>
      </c>
      <c r="L333" t="n">
        <v>0</v>
      </c>
      <c r="M333" t="n">
        <v>0</v>
      </c>
      <c r="N333" t="n">
        <v>0</v>
      </c>
      <c r="O333" t="n">
        <v>0</v>
      </c>
      <c r="P333" t="n">
        <v>0</v>
      </c>
      <c r="Q333" t="n">
        <v>0</v>
      </c>
      <c r="R333" s="2" t="inlineStr"/>
    </row>
    <row r="334" ht="15" customHeight="1">
      <c r="A334" t="inlineStr">
        <is>
          <t>A 24389-2025</t>
        </is>
      </c>
      <c r="B334" s="1" t="n">
        <v>45797.63553240741</v>
      </c>
      <c r="C334" s="1" t="n">
        <v>46076</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27384-2025</t>
        </is>
      </c>
      <c r="B335" s="1" t="n">
        <v>45812.6672337963</v>
      </c>
      <c r="C335" s="1" t="n">
        <v>46076</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23197-2023</t>
        </is>
      </c>
      <c r="B336" s="1" t="n">
        <v>45075</v>
      </c>
      <c r="C336" s="1" t="n">
        <v>46076</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52478-2024</t>
        </is>
      </c>
      <c r="B337" s="1" t="n">
        <v>45609.55065972222</v>
      </c>
      <c r="C337" s="1" t="n">
        <v>46076</v>
      </c>
      <c r="D337" t="inlineStr">
        <is>
          <t>UPPSALA LÄN</t>
        </is>
      </c>
      <c r="E337" t="inlineStr">
        <is>
          <t>ÖSTHAMMAR</t>
        </is>
      </c>
      <c r="G337" t="n">
        <v>0.7</v>
      </c>
      <c r="H337" t="n">
        <v>0</v>
      </c>
      <c r="I337" t="n">
        <v>0</v>
      </c>
      <c r="J337" t="n">
        <v>0</v>
      </c>
      <c r="K337" t="n">
        <v>0</v>
      </c>
      <c r="L337" t="n">
        <v>0</v>
      </c>
      <c r="M337" t="n">
        <v>0</v>
      </c>
      <c r="N337" t="n">
        <v>0</v>
      </c>
      <c r="O337" t="n">
        <v>0</v>
      </c>
      <c r="P337" t="n">
        <v>0</v>
      </c>
      <c r="Q337" t="n">
        <v>0</v>
      </c>
      <c r="R337" s="2" t="inlineStr"/>
    </row>
    <row r="338" ht="15" customHeight="1">
      <c r="A338" t="inlineStr">
        <is>
          <t>A 13044-2022</t>
        </is>
      </c>
      <c r="B338" s="1" t="n">
        <v>44643</v>
      </c>
      <c r="C338" s="1" t="n">
        <v>46076</v>
      </c>
      <c r="D338" t="inlineStr">
        <is>
          <t>UPPSALA LÄN</t>
        </is>
      </c>
      <c r="E338" t="inlineStr">
        <is>
          <t>ÖSTHAMMAR</t>
        </is>
      </c>
      <c r="G338" t="n">
        <v>2.5</v>
      </c>
      <c r="H338" t="n">
        <v>0</v>
      </c>
      <c r="I338" t="n">
        <v>0</v>
      </c>
      <c r="J338" t="n">
        <v>0</v>
      </c>
      <c r="K338" t="n">
        <v>0</v>
      </c>
      <c r="L338" t="n">
        <v>0</v>
      </c>
      <c r="M338" t="n">
        <v>0</v>
      </c>
      <c r="N338" t="n">
        <v>0</v>
      </c>
      <c r="O338" t="n">
        <v>0</v>
      </c>
      <c r="P338" t="n">
        <v>0</v>
      </c>
      <c r="Q338" t="n">
        <v>0</v>
      </c>
      <c r="R338" s="2" t="inlineStr"/>
    </row>
    <row r="339" ht="15" customHeight="1">
      <c r="A339" t="inlineStr">
        <is>
          <t>A 2947-2025</t>
        </is>
      </c>
      <c r="B339" s="1" t="n">
        <v>45678</v>
      </c>
      <c r="C339" s="1" t="n">
        <v>46076</v>
      </c>
      <c r="D339" t="inlineStr">
        <is>
          <t>UPPSALA LÄN</t>
        </is>
      </c>
      <c r="E339" t="inlineStr">
        <is>
          <t>ÖSTHAMMAR</t>
        </is>
      </c>
      <c r="G339" t="n">
        <v>3.6</v>
      </c>
      <c r="H339" t="n">
        <v>0</v>
      </c>
      <c r="I339" t="n">
        <v>0</v>
      </c>
      <c r="J339" t="n">
        <v>0</v>
      </c>
      <c r="K339" t="n">
        <v>0</v>
      </c>
      <c r="L339" t="n">
        <v>0</v>
      </c>
      <c r="M339" t="n">
        <v>0</v>
      </c>
      <c r="N339" t="n">
        <v>0</v>
      </c>
      <c r="O339" t="n">
        <v>0</v>
      </c>
      <c r="P339" t="n">
        <v>0</v>
      </c>
      <c r="Q339" t="n">
        <v>0</v>
      </c>
      <c r="R339" s="2" t="inlineStr"/>
    </row>
    <row r="340" ht="15" customHeight="1">
      <c r="A340" t="inlineStr">
        <is>
          <t>A 17433-2025</t>
        </is>
      </c>
      <c r="B340" s="1" t="n">
        <v>45757.40733796296</v>
      </c>
      <c r="C340" s="1" t="n">
        <v>46076</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28099-2025</t>
        </is>
      </c>
      <c r="B341" s="1" t="n">
        <v>45817.82967592592</v>
      </c>
      <c r="C341" s="1" t="n">
        <v>46076</v>
      </c>
      <c r="D341" t="inlineStr">
        <is>
          <t>UPPSALA LÄN</t>
        </is>
      </c>
      <c r="E341" t="inlineStr">
        <is>
          <t>ÖSTHAMMAR</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12756-2024</t>
        </is>
      </c>
      <c r="B342" s="1" t="n">
        <v>45384</v>
      </c>
      <c r="C342" s="1" t="n">
        <v>46076</v>
      </c>
      <c r="D342" t="inlineStr">
        <is>
          <t>UPPSALA LÄN</t>
        </is>
      </c>
      <c r="E342" t="inlineStr">
        <is>
          <t>ÖSTHAMMAR</t>
        </is>
      </c>
      <c r="G342" t="n">
        <v>1.3</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46076</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15928-2022</t>
        </is>
      </c>
      <c r="B344" s="1" t="n">
        <v>44664</v>
      </c>
      <c r="C344" s="1" t="n">
        <v>46076</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5076-2025</t>
        </is>
      </c>
      <c r="B345" s="1" t="n">
        <v>45691</v>
      </c>
      <c r="C345" s="1" t="n">
        <v>46076</v>
      </c>
      <c r="D345" t="inlineStr">
        <is>
          <t>UPPSALA LÄN</t>
        </is>
      </c>
      <c r="E345" t="inlineStr">
        <is>
          <t>ÖSTHAMMAR</t>
        </is>
      </c>
      <c r="G345" t="n">
        <v>5.8</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46076</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8708-2022</t>
        </is>
      </c>
      <c r="B347" s="1" t="n">
        <v>44613.77238425926</v>
      </c>
      <c r="C347" s="1" t="n">
        <v>46076</v>
      </c>
      <c r="D347" t="inlineStr">
        <is>
          <t>UPPSALA LÄN</t>
        </is>
      </c>
      <c r="E347" t="inlineStr">
        <is>
          <t>ÖSTHAMMAR</t>
        </is>
      </c>
      <c r="G347" t="n">
        <v>4.3</v>
      </c>
      <c r="H347" t="n">
        <v>0</v>
      </c>
      <c r="I347" t="n">
        <v>0</v>
      </c>
      <c r="J347" t="n">
        <v>0</v>
      </c>
      <c r="K347" t="n">
        <v>0</v>
      </c>
      <c r="L347" t="n">
        <v>0</v>
      </c>
      <c r="M347" t="n">
        <v>0</v>
      </c>
      <c r="N347" t="n">
        <v>0</v>
      </c>
      <c r="O347" t="n">
        <v>0</v>
      </c>
      <c r="P347" t="n">
        <v>0</v>
      </c>
      <c r="Q347" t="n">
        <v>0</v>
      </c>
      <c r="R347" s="2" t="inlineStr"/>
    </row>
    <row r="348" ht="15" customHeight="1">
      <c r="A348" t="inlineStr">
        <is>
          <t>A 33529-2025</t>
        </is>
      </c>
      <c r="B348" s="1" t="n">
        <v>45841.55199074074</v>
      </c>
      <c r="C348" s="1" t="n">
        <v>46076</v>
      </c>
      <c r="D348" t="inlineStr">
        <is>
          <t>UPPSALA LÄN</t>
        </is>
      </c>
      <c r="E348" t="inlineStr">
        <is>
          <t>ÖSTHAMMAR</t>
        </is>
      </c>
      <c r="F348" t="inlineStr">
        <is>
          <t>Bergvik skog öst AB</t>
        </is>
      </c>
      <c r="G348" t="n">
        <v>11.8</v>
      </c>
      <c r="H348" t="n">
        <v>0</v>
      </c>
      <c r="I348" t="n">
        <v>0</v>
      </c>
      <c r="J348" t="n">
        <v>0</v>
      </c>
      <c r="K348" t="n">
        <v>0</v>
      </c>
      <c r="L348" t="n">
        <v>0</v>
      </c>
      <c r="M348" t="n">
        <v>0</v>
      </c>
      <c r="N348" t="n">
        <v>0</v>
      </c>
      <c r="O348" t="n">
        <v>0</v>
      </c>
      <c r="P348" t="n">
        <v>0</v>
      </c>
      <c r="Q348" t="n">
        <v>0</v>
      </c>
      <c r="R348" s="2" t="inlineStr"/>
    </row>
    <row r="349" ht="15" customHeight="1">
      <c r="A349" t="inlineStr">
        <is>
          <t>A 33048-2025</t>
        </is>
      </c>
      <c r="B349" s="1" t="n">
        <v>45840.41451388889</v>
      </c>
      <c r="C349" s="1" t="n">
        <v>46076</v>
      </c>
      <c r="D349" t="inlineStr">
        <is>
          <t>UPPSALA LÄN</t>
        </is>
      </c>
      <c r="E349" t="inlineStr">
        <is>
          <t>ÖSTHAMMAR</t>
        </is>
      </c>
      <c r="G349" t="n">
        <v>1.8</v>
      </c>
      <c r="H349" t="n">
        <v>0</v>
      </c>
      <c r="I349" t="n">
        <v>0</v>
      </c>
      <c r="J349" t="n">
        <v>0</v>
      </c>
      <c r="K349" t="n">
        <v>0</v>
      </c>
      <c r="L349" t="n">
        <v>0</v>
      </c>
      <c r="M349" t="n">
        <v>0</v>
      </c>
      <c r="N349" t="n">
        <v>0</v>
      </c>
      <c r="O349" t="n">
        <v>0</v>
      </c>
      <c r="P349" t="n">
        <v>0</v>
      </c>
      <c r="Q349" t="n">
        <v>0</v>
      </c>
      <c r="R349" s="2" t="inlineStr"/>
    </row>
    <row r="350" ht="15" customHeight="1">
      <c r="A350" t="inlineStr">
        <is>
          <t>A 33271-2025</t>
        </is>
      </c>
      <c r="B350" s="1" t="n">
        <v>45840.68381944444</v>
      </c>
      <c r="C350" s="1" t="n">
        <v>46076</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33927-2025</t>
        </is>
      </c>
      <c r="B351" s="1" t="n">
        <v>45842.62363425926</v>
      </c>
      <c r="C351" s="1" t="n">
        <v>46076</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43604-2025</t>
        </is>
      </c>
      <c r="B352" s="1" t="n">
        <v>45911.66671296296</v>
      </c>
      <c r="C352" s="1" t="n">
        <v>46076</v>
      </c>
      <c r="D352" t="inlineStr">
        <is>
          <t>UPPSALA LÄN</t>
        </is>
      </c>
      <c r="E352" t="inlineStr">
        <is>
          <t>ÖSTHAMMAR</t>
        </is>
      </c>
      <c r="G352" t="n">
        <v>8.5</v>
      </c>
      <c r="H352" t="n">
        <v>0</v>
      </c>
      <c r="I352" t="n">
        <v>0</v>
      </c>
      <c r="J352" t="n">
        <v>0</v>
      </c>
      <c r="K352" t="n">
        <v>0</v>
      </c>
      <c r="L352" t="n">
        <v>0</v>
      </c>
      <c r="M352" t="n">
        <v>0</v>
      </c>
      <c r="N352" t="n">
        <v>0</v>
      </c>
      <c r="O352" t="n">
        <v>0</v>
      </c>
      <c r="P352" t="n">
        <v>0</v>
      </c>
      <c r="Q352" t="n">
        <v>0</v>
      </c>
      <c r="R352" s="2" t="inlineStr"/>
    </row>
    <row r="353" ht="15" customHeight="1">
      <c r="A353" t="inlineStr">
        <is>
          <t>A 1063-2025</t>
        </is>
      </c>
      <c r="B353" s="1" t="n">
        <v>45666</v>
      </c>
      <c r="C353" s="1" t="n">
        <v>46076</v>
      </c>
      <c r="D353" t="inlineStr">
        <is>
          <t>UPPSALA LÄN</t>
        </is>
      </c>
      <c r="E353" t="inlineStr">
        <is>
          <t>ÖSTHAMMAR</t>
        </is>
      </c>
      <c r="G353" t="n">
        <v>1.5</v>
      </c>
      <c r="H353" t="n">
        <v>0</v>
      </c>
      <c r="I353" t="n">
        <v>0</v>
      </c>
      <c r="J353" t="n">
        <v>0</v>
      </c>
      <c r="K353" t="n">
        <v>0</v>
      </c>
      <c r="L353" t="n">
        <v>0</v>
      </c>
      <c r="M353" t="n">
        <v>0</v>
      </c>
      <c r="N353" t="n">
        <v>0</v>
      </c>
      <c r="O353" t="n">
        <v>0</v>
      </c>
      <c r="P353" t="n">
        <v>0</v>
      </c>
      <c r="Q353" t="n">
        <v>0</v>
      </c>
      <c r="R353" s="2" t="inlineStr"/>
    </row>
    <row r="354" ht="15" customHeight="1">
      <c r="A354" t="inlineStr">
        <is>
          <t>A 43622-2025</t>
        </is>
      </c>
      <c r="B354" s="1" t="n">
        <v>45911.68295138889</v>
      </c>
      <c r="C354" s="1" t="n">
        <v>46076</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33760-2024</t>
        </is>
      </c>
      <c r="B355" s="1" t="n">
        <v>45520</v>
      </c>
      <c r="C355" s="1" t="n">
        <v>46076</v>
      </c>
      <c r="D355" t="inlineStr">
        <is>
          <t>UPPSALA LÄN</t>
        </is>
      </c>
      <c r="E355" t="inlineStr">
        <is>
          <t>ÖSTHAMMAR</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8592-2022</t>
        </is>
      </c>
      <c r="B356" s="1" t="n">
        <v>44613</v>
      </c>
      <c r="C356" s="1" t="n">
        <v>46076</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26395-2025</t>
        </is>
      </c>
      <c r="B357" s="1" t="n">
        <v>45807</v>
      </c>
      <c r="C357" s="1" t="n">
        <v>46076</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52629-2023</t>
        </is>
      </c>
      <c r="B358" s="1" t="n">
        <v>45225</v>
      </c>
      <c r="C358" s="1" t="n">
        <v>46076</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35918-2023</t>
        </is>
      </c>
      <c r="B359" s="1" t="n">
        <v>45148.64976851852</v>
      </c>
      <c r="C359" s="1" t="n">
        <v>46076</v>
      </c>
      <c r="D359" t="inlineStr">
        <is>
          <t>UPPSALA LÄN</t>
        </is>
      </c>
      <c r="E359" t="inlineStr">
        <is>
          <t>ÖSTHAMMAR</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33972-2025</t>
        </is>
      </c>
      <c r="B360" s="1" t="n">
        <v>45842.97236111111</v>
      </c>
      <c r="C360" s="1" t="n">
        <v>46076</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4292-2025</t>
        </is>
      </c>
      <c r="B361" s="1" t="n">
        <v>45685.66459490741</v>
      </c>
      <c r="C361" s="1" t="n">
        <v>46076</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4356-2025</t>
        </is>
      </c>
      <c r="B362" s="1" t="n">
        <v>45686</v>
      </c>
      <c r="C362" s="1" t="n">
        <v>46076</v>
      </c>
      <c r="D362" t="inlineStr">
        <is>
          <t>UPPSALA LÄN</t>
        </is>
      </c>
      <c r="E362" t="inlineStr">
        <is>
          <t>ÖSTHAMMAR</t>
        </is>
      </c>
      <c r="F362" t="inlineStr">
        <is>
          <t>Övriga Aktiebolag</t>
        </is>
      </c>
      <c r="G362" t="n">
        <v>24.6</v>
      </c>
      <c r="H362" t="n">
        <v>0</v>
      </c>
      <c r="I362" t="n">
        <v>0</v>
      </c>
      <c r="J362" t="n">
        <v>0</v>
      </c>
      <c r="K362" t="n">
        <v>0</v>
      </c>
      <c r="L362" t="n">
        <v>0</v>
      </c>
      <c r="M362" t="n">
        <v>0</v>
      </c>
      <c r="N362" t="n">
        <v>0</v>
      </c>
      <c r="O362" t="n">
        <v>0</v>
      </c>
      <c r="P362" t="n">
        <v>0</v>
      </c>
      <c r="Q362" t="n">
        <v>0</v>
      </c>
      <c r="R362" s="2" t="inlineStr"/>
    </row>
    <row r="363" ht="15" customHeight="1">
      <c r="A363" t="inlineStr">
        <is>
          <t>A 33973-2025</t>
        </is>
      </c>
      <c r="B363" s="1" t="n">
        <v>45842.98429398148</v>
      </c>
      <c r="C363" s="1" t="n">
        <v>46076</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6661-2024</t>
        </is>
      </c>
      <c r="B364" s="1" t="n">
        <v>45341.70582175926</v>
      </c>
      <c r="C364" s="1" t="n">
        <v>46076</v>
      </c>
      <c r="D364" t="inlineStr">
        <is>
          <t>UPPSALA LÄN</t>
        </is>
      </c>
      <c r="E364" t="inlineStr">
        <is>
          <t>ÖSTHAMMAR</t>
        </is>
      </c>
      <c r="G364" t="n">
        <v>0.2</v>
      </c>
      <c r="H364" t="n">
        <v>0</v>
      </c>
      <c r="I364" t="n">
        <v>0</v>
      </c>
      <c r="J364" t="n">
        <v>0</v>
      </c>
      <c r="K364" t="n">
        <v>0</v>
      </c>
      <c r="L364" t="n">
        <v>0</v>
      </c>
      <c r="M364" t="n">
        <v>0</v>
      </c>
      <c r="N364" t="n">
        <v>0</v>
      </c>
      <c r="O364" t="n">
        <v>0</v>
      </c>
      <c r="P364" t="n">
        <v>0</v>
      </c>
      <c r="Q364" t="n">
        <v>0</v>
      </c>
      <c r="R364" s="2" t="inlineStr"/>
    </row>
    <row r="365" ht="15" customHeight="1">
      <c r="A365" t="inlineStr">
        <is>
          <t>A 17646-2025</t>
        </is>
      </c>
      <c r="B365" s="1" t="n">
        <v>45758.32872685185</v>
      </c>
      <c r="C365" s="1" t="n">
        <v>46076</v>
      </c>
      <c r="D365" t="inlineStr">
        <is>
          <t>UPPSALA LÄN</t>
        </is>
      </c>
      <c r="E365" t="inlineStr">
        <is>
          <t>ÖSTHAMMAR</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17648-2025</t>
        </is>
      </c>
      <c r="B366" s="1" t="n">
        <v>45758.33064814815</v>
      </c>
      <c r="C366" s="1" t="n">
        <v>46076</v>
      </c>
      <c r="D366" t="inlineStr">
        <is>
          <t>UPPSALA LÄN</t>
        </is>
      </c>
      <c r="E366" t="inlineStr">
        <is>
          <t>ÖSTHAMMAR</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56903-2023</t>
        </is>
      </c>
      <c r="B367" s="1" t="n">
        <v>45244.56943287037</v>
      </c>
      <c r="C367" s="1" t="n">
        <v>46076</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28420-2023</t>
        </is>
      </c>
      <c r="B368" s="1" t="n">
        <v>45102.33054398148</v>
      </c>
      <c r="C368" s="1" t="n">
        <v>46076</v>
      </c>
      <c r="D368" t="inlineStr">
        <is>
          <t>UPPSALA LÄN</t>
        </is>
      </c>
      <c r="E368" t="inlineStr">
        <is>
          <t>ÖSTHAMMAR</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28432-2023</t>
        </is>
      </c>
      <c r="B369" s="1" t="n">
        <v>45102.59896990741</v>
      </c>
      <c r="C369" s="1" t="n">
        <v>46076</v>
      </c>
      <c r="D369" t="inlineStr">
        <is>
          <t>UPPSALA LÄN</t>
        </is>
      </c>
      <c r="E369" t="inlineStr">
        <is>
          <t>ÖSTHAMMAR</t>
        </is>
      </c>
      <c r="F369" t="inlineStr">
        <is>
          <t>Bergvik skog öst AB</t>
        </is>
      </c>
      <c r="G369" t="n">
        <v>3.9</v>
      </c>
      <c r="H369" t="n">
        <v>0</v>
      </c>
      <c r="I369" t="n">
        <v>0</v>
      </c>
      <c r="J369" t="n">
        <v>0</v>
      </c>
      <c r="K369" t="n">
        <v>0</v>
      </c>
      <c r="L369" t="n">
        <v>0</v>
      </c>
      <c r="M369" t="n">
        <v>0</v>
      </c>
      <c r="N369" t="n">
        <v>0</v>
      </c>
      <c r="O369" t="n">
        <v>0</v>
      </c>
      <c r="P369" t="n">
        <v>0</v>
      </c>
      <c r="Q369" t="n">
        <v>0</v>
      </c>
      <c r="R369" s="2" t="inlineStr"/>
    </row>
    <row r="370" ht="15" customHeight="1">
      <c r="A370" t="inlineStr">
        <is>
          <t>A 56969-2022</t>
        </is>
      </c>
      <c r="B370" s="1" t="n">
        <v>44894.68043981482</v>
      </c>
      <c r="C370" s="1" t="n">
        <v>46076</v>
      </c>
      <c r="D370" t="inlineStr">
        <is>
          <t>UPPSALA LÄN</t>
        </is>
      </c>
      <c r="E370" t="inlineStr">
        <is>
          <t>ÖSTHAMMAR</t>
        </is>
      </c>
      <c r="G370" t="n">
        <v>5.5</v>
      </c>
      <c r="H370" t="n">
        <v>0</v>
      </c>
      <c r="I370" t="n">
        <v>0</v>
      </c>
      <c r="J370" t="n">
        <v>0</v>
      </c>
      <c r="K370" t="n">
        <v>0</v>
      </c>
      <c r="L370" t="n">
        <v>0</v>
      </c>
      <c r="M370" t="n">
        <v>0</v>
      </c>
      <c r="N370" t="n">
        <v>0</v>
      </c>
      <c r="O370" t="n">
        <v>0</v>
      </c>
      <c r="P370" t="n">
        <v>0</v>
      </c>
      <c r="Q370" t="n">
        <v>0</v>
      </c>
      <c r="R370" s="2" t="inlineStr"/>
    </row>
    <row r="371" ht="15" customHeight="1">
      <c r="A371" t="inlineStr">
        <is>
          <t>A 21478-2023</t>
        </is>
      </c>
      <c r="B371" s="1" t="n">
        <v>45063.47773148148</v>
      </c>
      <c r="C371" s="1" t="n">
        <v>46076</v>
      </c>
      <c r="D371" t="inlineStr">
        <is>
          <t>UPPSALA LÄN</t>
        </is>
      </c>
      <c r="E371" t="inlineStr">
        <is>
          <t>ÖSTHAMMAR</t>
        </is>
      </c>
      <c r="G371" t="n">
        <v>0.4</v>
      </c>
      <c r="H371" t="n">
        <v>0</v>
      </c>
      <c r="I371" t="n">
        <v>0</v>
      </c>
      <c r="J371" t="n">
        <v>0</v>
      </c>
      <c r="K371" t="n">
        <v>0</v>
      </c>
      <c r="L371" t="n">
        <v>0</v>
      </c>
      <c r="M371" t="n">
        <v>0</v>
      </c>
      <c r="N371" t="n">
        <v>0</v>
      </c>
      <c r="O371" t="n">
        <v>0</v>
      </c>
      <c r="P371" t="n">
        <v>0</v>
      </c>
      <c r="Q371" t="n">
        <v>0</v>
      </c>
      <c r="R371" s="2" t="inlineStr"/>
    </row>
    <row r="372" ht="15" customHeight="1">
      <c r="A372" t="inlineStr">
        <is>
          <t>A 25859-2024</t>
        </is>
      </c>
      <c r="B372" s="1" t="n">
        <v>45467</v>
      </c>
      <c r="C372" s="1" t="n">
        <v>46076</v>
      </c>
      <c r="D372" t="inlineStr">
        <is>
          <t>UPPSALA LÄN</t>
        </is>
      </c>
      <c r="E372" t="inlineStr">
        <is>
          <t>ÖSTHAMMAR</t>
        </is>
      </c>
      <c r="G372" t="n">
        <v>7.9</v>
      </c>
      <c r="H372" t="n">
        <v>0</v>
      </c>
      <c r="I372" t="n">
        <v>0</v>
      </c>
      <c r="J372" t="n">
        <v>0</v>
      </c>
      <c r="K372" t="n">
        <v>0</v>
      </c>
      <c r="L372" t="n">
        <v>0</v>
      </c>
      <c r="M372" t="n">
        <v>0</v>
      </c>
      <c r="N372" t="n">
        <v>0</v>
      </c>
      <c r="O372" t="n">
        <v>0</v>
      </c>
      <c r="P372" t="n">
        <v>0</v>
      </c>
      <c r="Q372" t="n">
        <v>0</v>
      </c>
      <c r="R372" s="2" t="inlineStr"/>
    </row>
    <row r="373" ht="15" customHeight="1">
      <c r="A373" t="inlineStr">
        <is>
          <t>A 10117-2025</t>
        </is>
      </c>
      <c r="B373" s="1" t="n">
        <v>45719.59866898148</v>
      </c>
      <c r="C373" s="1" t="n">
        <v>46076</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44491-2025</t>
        </is>
      </c>
      <c r="B374" s="1" t="n">
        <v>45916.66152777777</v>
      </c>
      <c r="C374" s="1" t="n">
        <v>46076</v>
      </c>
      <c r="D374" t="inlineStr">
        <is>
          <t>UPPSALA LÄN</t>
        </is>
      </c>
      <c r="E374" t="inlineStr">
        <is>
          <t>ÖSTHAMMAR</t>
        </is>
      </c>
      <c r="F374" t="inlineStr">
        <is>
          <t>Bergvik skog öst AB</t>
        </is>
      </c>
      <c r="G374" t="n">
        <v>4.3</v>
      </c>
      <c r="H374" t="n">
        <v>0</v>
      </c>
      <c r="I374" t="n">
        <v>0</v>
      </c>
      <c r="J374" t="n">
        <v>0</v>
      </c>
      <c r="K374" t="n">
        <v>0</v>
      </c>
      <c r="L374" t="n">
        <v>0</v>
      </c>
      <c r="M374" t="n">
        <v>0</v>
      </c>
      <c r="N374" t="n">
        <v>0</v>
      </c>
      <c r="O374" t="n">
        <v>0</v>
      </c>
      <c r="P374" t="n">
        <v>0</v>
      </c>
      <c r="Q374" t="n">
        <v>0</v>
      </c>
      <c r="R374" s="2" t="inlineStr"/>
    </row>
    <row r="375" ht="15" customHeight="1">
      <c r="A375" t="inlineStr">
        <is>
          <t>A 60584-2021</t>
        </is>
      </c>
      <c r="B375" s="1" t="n">
        <v>44496</v>
      </c>
      <c r="C375" s="1" t="n">
        <v>46076</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19640-2025</t>
        </is>
      </c>
      <c r="B376" s="1" t="n">
        <v>45770.65739583333</v>
      </c>
      <c r="C376" s="1" t="n">
        <v>46076</v>
      </c>
      <c r="D376" t="inlineStr">
        <is>
          <t>UPPSALA LÄN</t>
        </is>
      </c>
      <c r="E376" t="inlineStr">
        <is>
          <t>ÖSTHAMMAR</t>
        </is>
      </c>
      <c r="F376" t="inlineStr">
        <is>
          <t>Övriga Aktiebolag</t>
        </is>
      </c>
      <c r="G376" t="n">
        <v>1.7</v>
      </c>
      <c r="H376" t="n">
        <v>0</v>
      </c>
      <c r="I376" t="n">
        <v>0</v>
      </c>
      <c r="J376" t="n">
        <v>0</v>
      </c>
      <c r="K376" t="n">
        <v>0</v>
      </c>
      <c r="L376" t="n">
        <v>0</v>
      </c>
      <c r="M376" t="n">
        <v>0</v>
      </c>
      <c r="N376" t="n">
        <v>0</v>
      </c>
      <c r="O376" t="n">
        <v>0</v>
      </c>
      <c r="P376" t="n">
        <v>0</v>
      </c>
      <c r="Q376" t="n">
        <v>0</v>
      </c>
      <c r="R376" s="2" t="inlineStr"/>
    </row>
    <row r="377" ht="15" customHeight="1">
      <c r="A377" t="inlineStr">
        <is>
          <t>A 44152-2024</t>
        </is>
      </c>
      <c r="B377" s="1" t="n">
        <v>45572</v>
      </c>
      <c r="C377" s="1" t="n">
        <v>46076</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48856-2024</t>
        </is>
      </c>
      <c r="B378" s="1" t="n">
        <v>45593</v>
      </c>
      <c r="C378" s="1" t="n">
        <v>46076</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45102-2025</t>
        </is>
      </c>
      <c r="B379" s="1" t="n">
        <v>45919.39731481481</v>
      </c>
      <c r="C379" s="1" t="n">
        <v>46076</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47390-2023</t>
        </is>
      </c>
      <c r="B380" s="1" t="n">
        <v>45202</v>
      </c>
      <c r="C380" s="1" t="n">
        <v>46076</v>
      </c>
      <c r="D380" t="inlineStr">
        <is>
          <t>UPPSALA LÄN</t>
        </is>
      </c>
      <c r="E380" t="inlineStr">
        <is>
          <t>ÖSTHAMMAR</t>
        </is>
      </c>
      <c r="G380" t="n">
        <v>3.7</v>
      </c>
      <c r="H380" t="n">
        <v>0</v>
      </c>
      <c r="I380" t="n">
        <v>0</v>
      </c>
      <c r="J380" t="n">
        <v>0</v>
      </c>
      <c r="K380" t="n">
        <v>0</v>
      </c>
      <c r="L380" t="n">
        <v>0</v>
      </c>
      <c r="M380" t="n">
        <v>0</v>
      </c>
      <c r="N380" t="n">
        <v>0</v>
      </c>
      <c r="O380" t="n">
        <v>0</v>
      </c>
      <c r="P380" t="n">
        <v>0</v>
      </c>
      <c r="Q380" t="n">
        <v>0</v>
      </c>
      <c r="R380" s="2" t="inlineStr"/>
    </row>
    <row r="381" ht="15" customHeight="1">
      <c r="A381" t="inlineStr">
        <is>
          <t>A 44917-2025</t>
        </is>
      </c>
      <c r="B381" s="1" t="n">
        <v>45918.54903935185</v>
      </c>
      <c r="C381" s="1" t="n">
        <v>46076</v>
      </c>
      <c r="D381" t="inlineStr">
        <is>
          <t>UPPSALA LÄN</t>
        </is>
      </c>
      <c r="E381" t="inlineStr">
        <is>
          <t>ÖSTHAMMAR</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45105-2025</t>
        </is>
      </c>
      <c r="B382" s="1" t="n">
        <v>45919.40252314815</v>
      </c>
      <c r="C382" s="1" t="n">
        <v>46076</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5877-2023</t>
        </is>
      </c>
      <c r="B383" s="1" t="n">
        <v>44963.62001157407</v>
      </c>
      <c r="C383" s="1" t="n">
        <v>46076</v>
      </c>
      <c r="D383" t="inlineStr">
        <is>
          <t>UPPSALA LÄN</t>
        </is>
      </c>
      <c r="E383" t="inlineStr">
        <is>
          <t>ÖSTHAMMAR</t>
        </is>
      </c>
      <c r="G383" t="n">
        <v>0.7</v>
      </c>
      <c r="H383" t="n">
        <v>0</v>
      </c>
      <c r="I383" t="n">
        <v>0</v>
      </c>
      <c r="J383" t="n">
        <v>0</v>
      </c>
      <c r="K383" t="n">
        <v>0</v>
      </c>
      <c r="L383" t="n">
        <v>0</v>
      </c>
      <c r="M383" t="n">
        <v>0</v>
      </c>
      <c r="N383" t="n">
        <v>0</v>
      </c>
      <c r="O383" t="n">
        <v>0</v>
      </c>
      <c r="P383" t="n">
        <v>0</v>
      </c>
      <c r="Q383" t="n">
        <v>0</v>
      </c>
      <c r="R383" s="2" t="inlineStr"/>
    </row>
    <row r="384" ht="15" customHeight="1">
      <c r="A384" t="inlineStr">
        <is>
          <t>A 52389-2022</t>
        </is>
      </c>
      <c r="B384" s="1" t="n">
        <v>44874.38325231482</v>
      </c>
      <c r="C384" s="1" t="n">
        <v>46076</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25033-2021</t>
        </is>
      </c>
      <c r="B385" s="1" t="n">
        <v>44341.590625</v>
      </c>
      <c r="C385" s="1" t="n">
        <v>46076</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45720-2025</t>
        </is>
      </c>
      <c r="B386" s="1" t="n">
        <v>45923.44583333333</v>
      </c>
      <c r="C386" s="1" t="n">
        <v>46076</v>
      </c>
      <c r="D386" t="inlineStr">
        <is>
          <t>UPPSALA LÄN</t>
        </is>
      </c>
      <c r="E386" t="inlineStr">
        <is>
          <t>ÖSTHAMMAR</t>
        </is>
      </c>
      <c r="F386" t="inlineStr">
        <is>
          <t>Övriga Aktiebolag</t>
        </is>
      </c>
      <c r="G386" t="n">
        <v>2.8</v>
      </c>
      <c r="H386" t="n">
        <v>0</v>
      </c>
      <c r="I386" t="n">
        <v>0</v>
      </c>
      <c r="J386" t="n">
        <v>0</v>
      </c>
      <c r="K386" t="n">
        <v>0</v>
      </c>
      <c r="L386" t="n">
        <v>0</v>
      </c>
      <c r="M386" t="n">
        <v>0</v>
      </c>
      <c r="N386" t="n">
        <v>0</v>
      </c>
      <c r="O386" t="n">
        <v>0</v>
      </c>
      <c r="P386" t="n">
        <v>0</v>
      </c>
      <c r="Q386" t="n">
        <v>0</v>
      </c>
      <c r="R386" s="2" t="inlineStr"/>
    </row>
    <row r="387" ht="15" customHeight="1">
      <c r="A387" t="inlineStr">
        <is>
          <t>A 45721-2025</t>
        </is>
      </c>
      <c r="B387" s="1" t="n">
        <v>45923.44844907407</v>
      </c>
      <c r="C387" s="1" t="n">
        <v>46076</v>
      </c>
      <c r="D387" t="inlineStr">
        <is>
          <t>UPPSALA LÄN</t>
        </is>
      </c>
      <c r="E387" t="inlineStr">
        <is>
          <t>ÖSTHAMMAR</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57453-2022</t>
        </is>
      </c>
      <c r="B388" s="1" t="n">
        <v>44896.56266203704</v>
      </c>
      <c r="C388" s="1" t="n">
        <v>46076</v>
      </c>
      <c r="D388" t="inlineStr">
        <is>
          <t>UPPSALA LÄN</t>
        </is>
      </c>
      <c r="E388" t="inlineStr">
        <is>
          <t>ÖSTHAMMAR</t>
        </is>
      </c>
      <c r="G388" t="n">
        <v>1.7</v>
      </c>
      <c r="H388" t="n">
        <v>0</v>
      </c>
      <c r="I388" t="n">
        <v>0</v>
      </c>
      <c r="J388" t="n">
        <v>0</v>
      </c>
      <c r="K388" t="n">
        <v>0</v>
      </c>
      <c r="L388" t="n">
        <v>0</v>
      </c>
      <c r="M388" t="n">
        <v>0</v>
      </c>
      <c r="N388" t="n">
        <v>0</v>
      </c>
      <c r="O388" t="n">
        <v>0</v>
      </c>
      <c r="P388" t="n">
        <v>0</v>
      </c>
      <c r="Q388" t="n">
        <v>0</v>
      </c>
      <c r="R388" s="2" t="inlineStr"/>
    </row>
    <row r="389" ht="15" customHeight="1">
      <c r="A389" t="inlineStr">
        <is>
          <t>A 57462-2022</t>
        </is>
      </c>
      <c r="B389" s="1" t="n">
        <v>44896.57527777777</v>
      </c>
      <c r="C389" s="1" t="n">
        <v>46076</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45715-2025</t>
        </is>
      </c>
      <c r="B390" s="1" t="n">
        <v>45923.44094907407</v>
      </c>
      <c r="C390" s="1" t="n">
        <v>46076</v>
      </c>
      <c r="D390" t="inlineStr">
        <is>
          <t>UPPSALA LÄN</t>
        </is>
      </c>
      <c r="E390" t="inlineStr">
        <is>
          <t>ÖSTHAMMAR</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6039-2025</t>
        </is>
      </c>
      <c r="B391" s="1" t="n">
        <v>45695</v>
      </c>
      <c r="C391" s="1" t="n">
        <v>46076</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36092-2025</t>
        </is>
      </c>
      <c r="B392" s="1" t="n">
        <v>45866.48244212963</v>
      </c>
      <c r="C392" s="1" t="n">
        <v>46076</v>
      </c>
      <c r="D392" t="inlineStr">
        <is>
          <t>UPPSALA LÄN</t>
        </is>
      </c>
      <c r="E392" t="inlineStr">
        <is>
          <t>ÖSTHAMMAR</t>
        </is>
      </c>
      <c r="G392" t="n">
        <v>1.2</v>
      </c>
      <c r="H392" t="n">
        <v>0</v>
      </c>
      <c r="I392" t="n">
        <v>0</v>
      </c>
      <c r="J392" t="n">
        <v>0</v>
      </c>
      <c r="K392" t="n">
        <v>0</v>
      </c>
      <c r="L392" t="n">
        <v>0</v>
      </c>
      <c r="M392" t="n">
        <v>0</v>
      </c>
      <c r="N392" t="n">
        <v>0</v>
      </c>
      <c r="O392" t="n">
        <v>0</v>
      </c>
      <c r="P392" t="n">
        <v>0</v>
      </c>
      <c r="Q392" t="n">
        <v>0</v>
      </c>
      <c r="R392" s="2" t="inlineStr"/>
    </row>
    <row r="393" ht="15" customHeight="1">
      <c r="A393" t="inlineStr">
        <is>
          <t>A 45993-2025</t>
        </is>
      </c>
      <c r="B393" s="1" t="n">
        <v>45924.39706018518</v>
      </c>
      <c r="C393" s="1" t="n">
        <v>46076</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17929-2025</t>
        </is>
      </c>
      <c r="B394" s="1" t="n">
        <v>45759.56462962963</v>
      </c>
      <c r="C394" s="1" t="n">
        <v>46076</v>
      </c>
      <c r="D394" t="inlineStr">
        <is>
          <t>UPPSALA LÄN</t>
        </is>
      </c>
      <c r="E394" t="inlineStr">
        <is>
          <t>ÖSTHAMMAR</t>
        </is>
      </c>
      <c r="G394" t="n">
        <v>3.4</v>
      </c>
      <c r="H394" t="n">
        <v>0</v>
      </c>
      <c r="I394" t="n">
        <v>0</v>
      </c>
      <c r="J394" t="n">
        <v>0</v>
      </c>
      <c r="K394" t="n">
        <v>0</v>
      </c>
      <c r="L394" t="n">
        <v>0</v>
      </c>
      <c r="M394" t="n">
        <v>0</v>
      </c>
      <c r="N394" t="n">
        <v>0</v>
      </c>
      <c r="O394" t="n">
        <v>0</v>
      </c>
      <c r="P394" t="n">
        <v>0</v>
      </c>
      <c r="Q394" t="n">
        <v>0</v>
      </c>
      <c r="R394" s="2" t="inlineStr"/>
    </row>
    <row r="395" ht="15" customHeight="1">
      <c r="A395" t="inlineStr">
        <is>
          <t>A 51364-2021</t>
        </is>
      </c>
      <c r="B395" s="1" t="n">
        <v>44461</v>
      </c>
      <c r="C395" s="1" t="n">
        <v>46076</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46089-2025</t>
        </is>
      </c>
      <c r="B396" s="1" t="n">
        <v>45924.52100694444</v>
      </c>
      <c r="C396" s="1" t="n">
        <v>46076</v>
      </c>
      <c r="D396" t="inlineStr">
        <is>
          <t>UPPSALA LÄN</t>
        </is>
      </c>
      <c r="E396" t="inlineStr">
        <is>
          <t>ÖSTHAMMAR</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46088-2025</t>
        </is>
      </c>
      <c r="B397" s="1" t="n">
        <v>45924.52010416667</v>
      </c>
      <c r="C397" s="1" t="n">
        <v>46076</v>
      </c>
      <c r="D397" t="inlineStr">
        <is>
          <t>UPPSALA LÄN</t>
        </is>
      </c>
      <c r="E397" t="inlineStr">
        <is>
          <t>ÖSTHAMMAR</t>
        </is>
      </c>
      <c r="F397" t="inlineStr">
        <is>
          <t>Bergvik skog öst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43915-2023</t>
        </is>
      </c>
      <c r="B398" s="1" t="n">
        <v>45187.71274305556</v>
      </c>
      <c r="C398" s="1" t="n">
        <v>46076</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36451-2025</t>
        </is>
      </c>
      <c r="B399" s="1" t="n">
        <v>45869.4290625</v>
      </c>
      <c r="C399" s="1" t="n">
        <v>46076</v>
      </c>
      <c r="D399" t="inlineStr">
        <is>
          <t>UPPSALA LÄN</t>
        </is>
      </c>
      <c r="E399" t="inlineStr">
        <is>
          <t>ÖSTHAMMAR</t>
        </is>
      </c>
      <c r="G399" t="n">
        <v>0.8</v>
      </c>
      <c r="H399" t="n">
        <v>0</v>
      </c>
      <c r="I399" t="n">
        <v>0</v>
      </c>
      <c r="J399" t="n">
        <v>0</v>
      </c>
      <c r="K399" t="n">
        <v>0</v>
      </c>
      <c r="L399" t="n">
        <v>0</v>
      </c>
      <c r="M399" t="n">
        <v>0</v>
      </c>
      <c r="N399" t="n">
        <v>0</v>
      </c>
      <c r="O399" t="n">
        <v>0</v>
      </c>
      <c r="P399" t="n">
        <v>0</v>
      </c>
      <c r="Q399" t="n">
        <v>0</v>
      </c>
      <c r="R399" s="2" t="inlineStr"/>
    </row>
    <row r="400" ht="15" customHeight="1">
      <c r="A400" t="inlineStr">
        <is>
          <t>A 46826-2025</t>
        </is>
      </c>
      <c r="B400" s="1" t="n">
        <v>45927.00606481481</v>
      </c>
      <c r="C400" s="1" t="n">
        <v>46076</v>
      </c>
      <c r="D400" t="inlineStr">
        <is>
          <t>UPPSALA LÄN</t>
        </is>
      </c>
      <c r="E400" t="inlineStr">
        <is>
          <t>ÖSTHAMMAR</t>
        </is>
      </c>
      <c r="G400" t="n">
        <v>9</v>
      </c>
      <c r="H400" t="n">
        <v>0</v>
      </c>
      <c r="I400" t="n">
        <v>0</v>
      </c>
      <c r="J400" t="n">
        <v>0</v>
      </c>
      <c r="K400" t="n">
        <v>0</v>
      </c>
      <c r="L400" t="n">
        <v>0</v>
      </c>
      <c r="M400" t="n">
        <v>0</v>
      </c>
      <c r="N400" t="n">
        <v>0</v>
      </c>
      <c r="O400" t="n">
        <v>0</v>
      </c>
      <c r="P400" t="n">
        <v>0</v>
      </c>
      <c r="Q400" t="n">
        <v>0</v>
      </c>
      <c r="R400" s="2" t="inlineStr"/>
    </row>
    <row r="401" ht="15" customHeight="1">
      <c r="A401" t="inlineStr">
        <is>
          <t>A 19501-2025</t>
        </is>
      </c>
      <c r="B401" s="1" t="n">
        <v>45770.4015625</v>
      </c>
      <c r="C401" s="1" t="n">
        <v>46076</v>
      </c>
      <c r="D401" t="inlineStr">
        <is>
          <t>UPPSALA LÄN</t>
        </is>
      </c>
      <c r="E401" t="inlineStr">
        <is>
          <t>ÖSTHAMMAR</t>
        </is>
      </c>
      <c r="F401" t="inlineStr">
        <is>
          <t>Övriga Aktiebolag</t>
        </is>
      </c>
      <c r="G401" t="n">
        <v>17.3</v>
      </c>
      <c r="H401" t="n">
        <v>0</v>
      </c>
      <c r="I401" t="n">
        <v>0</v>
      </c>
      <c r="J401" t="n">
        <v>0</v>
      </c>
      <c r="K401" t="n">
        <v>0</v>
      </c>
      <c r="L401" t="n">
        <v>0</v>
      </c>
      <c r="M401" t="n">
        <v>0</v>
      </c>
      <c r="N401" t="n">
        <v>0</v>
      </c>
      <c r="O401" t="n">
        <v>0</v>
      </c>
      <c r="P401" t="n">
        <v>0</v>
      </c>
      <c r="Q401" t="n">
        <v>0</v>
      </c>
      <c r="R401" s="2" t="inlineStr"/>
    </row>
    <row r="402" ht="15" customHeight="1">
      <c r="A402" t="inlineStr">
        <is>
          <t>A 3119-2025</t>
        </is>
      </c>
      <c r="B402" s="1" t="n">
        <v>45678</v>
      </c>
      <c r="C402" s="1" t="n">
        <v>46076</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36643-2025</t>
        </is>
      </c>
      <c r="B403" s="1" t="n">
        <v>45872.47782407407</v>
      </c>
      <c r="C403" s="1" t="n">
        <v>46076</v>
      </c>
      <c r="D403" t="inlineStr">
        <is>
          <t>UPPSALA LÄN</t>
        </is>
      </c>
      <c r="E403" t="inlineStr">
        <is>
          <t>ÖSTHAMMAR</t>
        </is>
      </c>
      <c r="F403" t="inlineStr">
        <is>
          <t>Bergvik skog öst AB</t>
        </is>
      </c>
      <c r="G403" t="n">
        <v>15.1</v>
      </c>
      <c r="H403" t="n">
        <v>0</v>
      </c>
      <c r="I403" t="n">
        <v>0</v>
      </c>
      <c r="J403" t="n">
        <v>0</v>
      </c>
      <c r="K403" t="n">
        <v>0</v>
      </c>
      <c r="L403" t="n">
        <v>0</v>
      </c>
      <c r="M403" t="n">
        <v>0</v>
      </c>
      <c r="N403" t="n">
        <v>0</v>
      </c>
      <c r="O403" t="n">
        <v>0</v>
      </c>
      <c r="P403" t="n">
        <v>0</v>
      </c>
      <c r="Q403" t="n">
        <v>0</v>
      </c>
      <c r="R403" s="2" t="inlineStr"/>
    </row>
    <row r="404" ht="15" customHeight="1">
      <c r="A404" t="inlineStr">
        <is>
          <t>A 47338-2025</t>
        </is>
      </c>
      <c r="B404" s="1" t="n">
        <v>45930.56626157407</v>
      </c>
      <c r="C404" s="1" t="n">
        <v>46076</v>
      </c>
      <c r="D404" t="inlineStr">
        <is>
          <t>UPPSALA LÄN</t>
        </is>
      </c>
      <c r="E404" t="inlineStr">
        <is>
          <t>ÖSTHAMMAR</t>
        </is>
      </c>
      <c r="G404" t="n">
        <v>2.4</v>
      </c>
      <c r="H404" t="n">
        <v>0</v>
      </c>
      <c r="I404" t="n">
        <v>0</v>
      </c>
      <c r="J404" t="n">
        <v>0</v>
      </c>
      <c r="K404" t="n">
        <v>0</v>
      </c>
      <c r="L404" t="n">
        <v>0</v>
      </c>
      <c r="M404" t="n">
        <v>0</v>
      </c>
      <c r="N404" t="n">
        <v>0</v>
      </c>
      <c r="O404" t="n">
        <v>0</v>
      </c>
      <c r="P404" t="n">
        <v>0</v>
      </c>
      <c r="Q404" t="n">
        <v>0</v>
      </c>
      <c r="R404" s="2" t="inlineStr"/>
    </row>
    <row r="405" ht="15" customHeight="1">
      <c r="A405" t="inlineStr">
        <is>
          <t>A 36645-2025</t>
        </is>
      </c>
      <c r="B405" s="1" t="n">
        <v>45872</v>
      </c>
      <c r="C405" s="1" t="n">
        <v>46076</v>
      </c>
      <c r="D405" t="inlineStr">
        <is>
          <t>UPPSALA LÄN</t>
        </is>
      </c>
      <c r="E405" t="inlineStr">
        <is>
          <t>ÖSTHAMMAR</t>
        </is>
      </c>
      <c r="F405" t="inlineStr">
        <is>
          <t>Bergvik skog öst AB</t>
        </is>
      </c>
      <c r="G405" t="n">
        <v>1.8</v>
      </c>
      <c r="H405" t="n">
        <v>0</v>
      </c>
      <c r="I405" t="n">
        <v>0</v>
      </c>
      <c r="J405" t="n">
        <v>0</v>
      </c>
      <c r="K405" t="n">
        <v>0</v>
      </c>
      <c r="L405" t="n">
        <v>0</v>
      </c>
      <c r="M405" t="n">
        <v>0</v>
      </c>
      <c r="N405" t="n">
        <v>0</v>
      </c>
      <c r="O405" t="n">
        <v>0</v>
      </c>
      <c r="P405" t="n">
        <v>0</v>
      </c>
      <c r="Q405" t="n">
        <v>0</v>
      </c>
      <c r="R405" s="2" t="inlineStr"/>
    </row>
    <row r="406" ht="15" customHeight="1">
      <c r="A406" t="inlineStr">
        <is>
          <t>A 36644-2025</t>
        </is>
      </c>
      <c r="B406" s="1" t="n">
        <v>45872.48738425926</v>
      </c>
      <c r="C406" s="1" t="n">
        <v>46076</v>
      </c>
      <c r="D406" t="inlineStr">
        <is>
          <t>UPPSALA LÄN</t>
        </is>
      </c>
      <c r="E406" t="inlineStr">
        <is>
          <t>ÖSTHAMMAR</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28421-2023</t>
        </is>
      </c>
      <c r="B407" s="1" t="n">
        <v>45102</v>
      </c>
      <c r="C407" s="1" t="n">
        <v>46076</v>
      </c>
      <c r="D407" t="inlineStr">
        <is>
          <t>UPPSALA LÄN</t>
        </is>
      </c>
      <c r="E407" t="inlineStr">
        <is>
          <t>ÖSTHAMMAR</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17931-2025</t>
        </is>
      </c>
      <c r="B408" s="1" t="n">
        <v>45759.56894675926</v>
      </c>
      <c r="C408" s="1" t="n">
        <v>46076</v>
      </c>
      <c r="D408" t="inlineStr">
        <is>
          <t>UPPSALA LÄN</t>
        </is>
      </c>
      <c r="E408" t="inlineStr">
        <is>
          <t>ÖSTHAMMAR</t>
        </is>
      </c>
      <c r="G408" t="n">
        <v>2.1</v>
      </c>
      <c r="H408" t="n">
        <v>0</v>
      </c>
      <c r="I408" t="n">
        <v>0</v>
      </c>
      <c r="J408" t="n">
        <v>0</v>
      </c>
      <c r="K408" t="n">
        <v>0</v>
      </c>
      <c r="L408" t="n">
        <v>0</v>
      </c>
      <c r="M408" t="n">
        <v>0</v>
      </c>
      <c r="N408" t="n">
        <v>0</v>
      </c>
      <c r="O408" t="n">
        <v>0</v>
      </c>
      <c r="P408" t="n">
        <v>0</v>
      </c>
      <c r="Q408" t="n">
        <v>0</v>
      </c>
      <c r="R408" s="2" t="inlineStr"/>
    </row>
    <row r="409" ht="15" customHeight="1">
      <c r="A409" t="inlineStr">
        <is>
          <t>A 17938-2025</t>
        </is>
      </c>
      <c r="B409" s="1" t="n">
        <v>45760.55626157407</v>
      </c>
      <c r="C409" s="1" t="n">
        <v>46076</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47336-2025</t>
        </is>
      </c>
      <c r="B410" s="1" t="n">
        <v>45930.56592592593</v>
      </c>
      <c r="C410" s="1" t="n">
        <v>46076</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47337-2025</t>
        </is>
      </c>
      <c r="B411" s="1" t="n">
        <v>45930.56607638889</v>
      </c>
      <c r="C411" s="1" t="n">
        <v>46076</v>
      </c>
      <c r="D411" t="inlineStr">
        <is>
          <t>UPPSALA LÄN</t>
        </is>
      </c>
      <c r="E411" t="inlineStr">
        <is>
          <t>ÖSTHAMMAR</t>
        </is>
      </c>
      <c r="G411" t="n">
        <v>1.3</v>
      </c>
      <c r="H411" t="n">
        <v>0</v>
      </c>
      <c r="I411" t="n">
        <v>0</v>
      </c>
      <c r="J411" t="n">
        <v>0</v>
      </c>
      <c r="K411" t="n">
        <v>0</v>
      </c>
      <c r="L411" t="n">
        <v>0</v>
      </c>
      <c r="M411" t="n">
        <v>0</v>
      </c>
      <c r="N411" t="n">
        <v>0</v>
      </c>
      <c r="O411" t="n">
        <v>0</v>
      </c>
      <c r="P411" t="n">
        <v>0</v>
      </c>
      <c r="Q411" t="n">
        <v>0</v>
      </c>
      <c r="R411" s="2" t="inlineStr"/>
    </row>
    <row r="412" ht="15" customHeight="1">
      <c r="A412" t="inlineStr">
        <is>
          <t>A 36646-2025</t>
        </is>
      </c>
      <c r="B412" s="1" t="n">
        <v>45872</v>
      </c>
      <c r="C412" s="1" t="n">
        <v>46076</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8763-2025</t>
        </is>
      </c>
      <c r="B413" s="1" t="n">
        <v>45712.57872685185</v>
      </c>
      <c r="C413" s="1" t="n">
        <v>46076</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46076</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46076</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54368-2023</t>
        </is>
      </c>
      <c r="B416" s="1" t="n">
        <v>45233.33221064815</v>
      </c>
      <c r="C416" s="1" t="n">
        <v>46076</v>
      </c>
      <c r="D416" t="inlineStr">
        <is>
          <t>UPPSALA LÄN</t>
        </is>
      </c>
      <c r="E416" t="inlineStr">
        <is>
          <t>ÖSTHAMMAR</t>
        </is>
      </c>
      <c r="F416" t="inlineStr">
        <is>
          <t>Bergvik skog öst AB</t>
        </is>
      </c>
      <c r="G416" t="n">
        <v>3</v>
      </c>
      <c r="H416" t="n">
        <v>0</v>
      </c>
      <c r="I416" t="n">
        <v>0</v>
      </c>
      <c r="J416" t="n">
        <v>0</v>
      </c>
      <c r="K416" t="n">
        <v>0</v>
      </c>
      <c r="L416" t="n">
        <v>0</v>
      </c>
      <c r="M416" t="n">
        <v>0</v>
      </c>
      <c r="N416" t="n">
        <v>0</v>
      </c>
      <c r="O416" t="n">
        <v>0</v>
      </c>
      <c r="P416" t="n">
        <v>0</v>
      </c>
      <c r="Q416" t="n">
        <v>0</v>
      </c>
      <c r="R416" s="2" t="inlineStr"/>
    </row>
    <row r="417" ht="15" customHeight="1">
      <c r="A417" t="inlineStr">
        <is>
          <t>A 32815-2024</t>
        </is>
      </c>
      <c r="B417" s="1" t="n">
        <v>45516.57682870371</v>
      </c>
      <c r="C417" s="1" t="n">
        <v>46076</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5429-2023</t>
        </is>
      </c>
      <c r="B418" s="1" t="n">
        <v>44959.83037037037</v>
      </c>
      <c r="C418" s="1" t="n">
        <v>46076</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11008-2023</t>
        </is>
      </c>
      <c r="B419" s="1" t="n">
        <v>44991</v>
      </c>
      <c r="C419" s="1" t="n">
        <v>46076</v>
      </c>
      <c r="D419" t="inlineStr">
        <is>
          <t>UPPSALA LÄN</t>
        </is>
      </c>
      <c r="E419" t="inlineStr">
        <is>
          <t>ÖSTHAMMAR</t>
        </is>
      </c>
      <c r="F419" t="inlineStr">
        <is>
          <t>Bergvik skog öst AB</t>
        </is>
      </c>
      <c r="G419" t="n">
        <v>0.6</v>
      </c>
      <c r="H419" t="n">
        <v>0</v>
      </c>
      <c r="I419" t="n">
        <v>0</v>
      </c>
      <c r="J419" t="n">
        <v>0</v>
      </c>
      <c r="K419" t="n">
        <v>0</v>
      </c>
      <c r="L419" t="n">
        <v>0</v>
      </c>
      <c r="M419" t="n">
        <v>0</v>
      </c>
      <c r="N419" t="n">
        <v>0</v>
      </c>
      <c r="O419" t="n">
        <v>0</v>
      </c>
      <c r="P419" t="n">
        <v>0</v>
      </c>
      <c r="Q419" t="n">
        <v>0</v>
      </c>
      <c r="R419" s="2" t="inlineStr"/>
    </row>
    <row r="420" ht="15" customHeight="1">
      <c r="A420" t="inlineStr">
        <is>
          <t>A 37656-2025</t>
        </is>
      </c>
      <c r="B420" s="1" t="n">
        <v>45880</v>
      </c>
      <c r="C420" s="1" t="n">
        <v>46076</v>
      </c>
      <c r="D420" t="inlineStr">
        <is>
          <t>UPPSALA LÄN</t>
        </is>
      </c>
      <c r="E420" t="inlineStr">
        <is>
          <t>ÖSTHAMMAR</t>
        </is>
      </c>
      <c r="G420" t="n">
        <v>4.3</v>
      </c>
      <c r="H420" t="n">
        <v>0</v>
      </c>
      <c r="I420" t="n">
        <v>0</v>
      </c>
      <c r="J420" t="n">
        <v>0</v>
      </c>
      <c r="K420" t="n">
        <v>0</v>
      </c>
      <c r="L420" t="n">
        <v>0</v>
      </c>
      <c r="M420" t="n">
        <v>0</v>
      </c>
      <c r="N420" t="n">
        <v>0</v>
      </c>
      <c r="O420" t="n">
        <v>0</v>
      </c>
      <c r="P420" t="n">
        <v>0</v>
      </c>
      <c r="Q420" t="n">
        <v>0</v>
      </c>
      <c r="R420" s="2" t="inlineStr"/>
    </row>
    <row r="421" ht="15" customHeight="1">
      <c r="A421" t="inlineStr">
        <is>
          <t>A 60047-2021</t>
        </is>
      </c>
      <c r="B421" s="1" t="n">
        <v>44495</v>
      </c>
      <c r="C421" s="1" t="n">
        <v>46076</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8623-2025</t>
        </is>
      </c>
      <c r="B422" s="1" t="n">
        <v>45711.51902777778</v>
      </c>
      <c r="C422" s="1" t="n">
        <v>46076</v>
      </c>
      <c r="D422" t="inlineStr">
        <is>
          <t>UPPSALA LÄN</t>
        </is>
      </c>
      <c r="E422" t="inlineStr">
        <is>
          <t>ÖSTHAMMAR</t>
        </is>
      </c>
      <c r="F422" t="inlineStr">
        <is>
          <t>Bergvik skog väst AB</t>
        </is>
      </c>
      <c r="G422" t="n">
        <v>3.5</v>
      </c>
      <c r="H422" t="n">
        <v>0</v>
      </c>
      <c r="I422" t="n">
        <v>0</v>
      </c>
      <c r="J422" t="n">
        <v>0</v>
      </c>
      <c r="K422" t="n">
        <v>0</v>
      </c>
      <c r="L422" t="n">
        <v>0</v>
      </c>
      <c r="M422" t="n">
        <v>0</v>
      </c>
      <c r="N422" t="n">
        <v>0</v>
      </c>
      <c r="O422" t="n">
        <v>0</v>
      </c>
      <c r="P422" t="n">
        <v>0</v>
      </c>
      <c r="Q422" t="n">
        <v>0</v>
      </c>
      <c r="R422" s="2" t="inlineStr"/>
    </row>
    <row r="423" ht="15" customHeight="1">
      <c r="A423" t="inlineStr">
        <is>
          <t>A 8626-2025</t>
        </is>
      </c>
      <c r="B423" s="1" t="n">
        <v>45711.53565972222</v>
      </c>
      <c r="C423" s="1" t="n">
        <v>46076</v>
      </c>
      <c r="D423" t="inlineStr">
        <is>
          <t>UPPSALA LÄN</t>
        </is>
      </c>
      <c r="E423" t="inlineStr">
        <is>
          <t>ÖSTHAMMAR</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48654-2025</t>
        </is>
      </c>
      <c r="B424" s="1" t="n">
        <v>45936.55887731481</v>
      </c>
      <c r="C424" s="1" t="n">
        <v>46076</v>
      </c>
      <c r="D424" t="inlineStr">
        <is>
          <t>UPPSALA LÄN</t>
        </is>
      </c>
      <c r="E424" t="inlineStr">
        <is>
          <t>ÖSTHAMMAR</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37764-2025</t>
        </is>
      </c>
      <c r="B425" s="1" t="n">
        <v>45880.70917824074</v>
      </c>
      <c r="C425" s="1" t="n">
        <v>46076</v>
      </c>
      <c r="D425" t="inlineStr">
        <is>
          <t>UPPSALA LÄN</t>
        </is>
      </c>
      <c r="E425" t="inlineStr">
        <is>
          <t>ÖSTHAMMAR</t>
        </is>
      </c>
      <c r="G425" t="n">
        <v>4.6</v>
      </c>
      <c r="H425" t="n">
        <v>0</v>
      </c>
      <c r="I425" t="n">
        <v>0</v>
      </c>
      <c r="J425" t="n">
        <v>0</v>
      </c>
      <c r="K425" t="n">
        <v>0</v>
      </c>
      <c r="L425" t="n">
        <v>0</v>
      </c>
      <c r="M425" t="n">
        <v>0</v>
      </c>
      <c r="N425" t="n">
        <v>0</v>
      </c>
      <c r="O425" t="n">
        <v>0</v>
      </c>
      <c r="P425" t="n">
        <v>0</v>
      </c>
      <c r="Q425" t="n">
        <v>0</v>
      </c>
      <c r="R425" s="2" t="inlineStr"/>
    </row>
    <row r="426" ht="15" customHeight="1">
      <c r="A426" t="inlineStr">
        <is>
          <t>A 48977-2025</t>
        </is>
      </c>
      <c r="B426" s="1" t="n">
        <v>45936</v>
      </c>
      <c r="C426" s="1" t="n">
        <v>46076</v>
      </c>
      <c r="D426" t="inlineStr">
        <is>
          <t>UPPSALA LÄN</t>
        </is>
      </c>
      <c r="E426" t="inlineStr">
        <is>
          <t>ÖSTHAMMAR</t>
        </is>
      </c>
      <c r="G426" t="n">
        <v>21.1</v>
      </c>
      <c r="H426" t="n">
        <v>0</v>
      </c>
      <c r="I426" t="n">
        <v>0</v>
      </c>
      <c r="J426" t="n">
        <v>0</v>
      </c>
      <c r="K426" t="n">
        <v>0</v>
      </c>
      <c r="L426" t="n">
        <v>0</v>
      </c>
      <c r="M426" t="n">
        <v>0</v>
      </c>
      <c r="N426" t="n">
        <v>0</v>
      </c>
      <c r="O426" t="n">
        <v>0</v>
      </c>
      <c r="P426" t="n">
        <v>0</v>
      </c>
      <c r="Q426" t="n">
        <v>0</v>
      </c>
      <c r="R426" s="2" t="inlineStr"/>
    </row>
    <row r="427" ht="15" customHeight="1">
      <c r="A427" t="inlineStr">
        <is>
          <t>A 3514-2023</t>
        </is>
      </c>
      <c r="B427" s="1" t="n">
        <v>44950</v>
      </c>
      <c r="C427" s="1" t="n">
        <v>46076</v>
      </c>
      <c r="D427" t="inlineStr">
        <is>
          <t>UPPSALA LÄN</t>
        </is>
      </c>
      <c r="E427" t="inlineStr">
        <is>
          <t>ÖSTHAMMAR</t>
        </is>
      </c>
      <c r="F427" t="inlineStr">
        <is>
          <t>Övriga Aktiebolag</t>
        </is>
      </c>
      <c r="G427" t="n">
        <v>1.9</v>
      </c>
      <c r="H427" t="n">
        <v>0</v>
      </c>
      <c r="I427" t="n">
        <v>0</v>
      </c>
      <c r="J427" t="n">
        <v>0</v>
      </c>
      <c r="K427" t="n">
        <v>0</v>
      </c>
      <c r="L427" t="n">
        <v>0</v>
      </c>
      <c r="M427" t="n">
        <v>0</v>
      </c>
      <c r="N427" t="n">
        <v>0</v>
      </c>
      <c r="O427" t="n">
        <v>0</v>
      </c>
      <c r="P427" t="n">
        <v>0</v>
      </c>
      <c r="Q427" t="n">
        <v>0</v>
      </c>
      <c r="R427" s="2" t="inlineStr"/>
    </row>
    <row r="428" ht="15" customHeight="1">
      <c r="A428" t="inlineStr">
        <is>
          <t>A 37770-2025</t>
        </is>
      </c>
      <c r="B428" s="1" t="n">
        <v>45880.7505787037</v>
      </c>
      <c r="C428" s="1" t="n">
        <v>46076</v>
      </c>
      <c r="D428" t="inlineStr">
        <is>
          <t>UPPSALA LÄN</t>
        </is>
      </c>
      <c r="E428" t="inlineStr">
        <is>
          <t>ÖSTHAMMAR</t>
        </is>
      </c>
      <c r="G428" t="n">
        <v>2.9</v>
      </c>
      <c r="H428" t="n">
        <v>0</v>
      </c>
      <c r="I428" t="n">
        <v>0</v>
      </c>
      <c r="J428" t="n">
        <v>0</v>
      </c>
      <c r="K428" t="n">
        <v>0</v>
      </c>
      <c r="L428" t="n">
        <v>0</v>
      </c>
      <c r="M428" t="n">
        <v>0</v>
      </c>
      <c r="N428" t="n">
        <v>0</v>
      </c>
      <c r="O428" t="n">
        <v>0</v>
      </c>
      <c r="P428" t="n">
        <v>0</v>
      </c>
      <c r="Q428" t="n">
        <v>0</v>
      </c>
      <c r="R428" s="2" t="inlineStr"/>
    </row>
    <row r="429" ht="15" customHeight="1">
      <c r="A429" t="inlineStr">
        <is>
          <t>A 5189-2025</t>
        </is>
      </c>
      <c r="B429" s="1" t="n">
        <v>45691</v>
      </c>
      <c r="C429" s="1" t="n">
        <v>46076</v>
      </c>
      <c r="D429" t="inlineStr">
        <is>
          <t>UPPSALA LÄN</t>
        </is>
      </c>
      <c r="E429" t="inlineStr">
        <is>
          <t>ÖSTHAMMAR</t>
        </is>
      </c>
      <c r="F429" t="inlineStr">
        <is>
          <t>Bergvik skog öst AB</t>
        </is>
      </c>
      <c r="G429" t="n">
        <v>24.4</v>
      </c>
      <c r="H429" t="n">
        <v>0</v>
      </c>
      <c r="I429" t="n">
        <v>0</v>
      </c>
      <c r="J429" t="n">
        <v>0</v>
      </c>
      <c r="K429" t="n">
        <v>0</v>
      </c>
      <c r="L429" t="n">
        <v>0</v>
      </c>
      <c r="M429" t="n">
        <v>0</v>
      </c>
      <c r="N429" t="n">
        <v>0</v>
      </c>
      <c r="O429" t="n">
        <v>0</v>
      </c>
      <c r="P429" t="n">
        <v>0</v>
      </c>
      <c r="Q429" t="n">
        <v>0</v>
      </c>
      <c r="R429" s="2" t="inlineStr"/>
    </row>
    <row r="430" ht="15" customHeight="1">
      <c r="A430" t="inlineStr">
        <is>
          <t>A 24128-2023</t>
        </is>
      </c>
      <c r="B430" s="1" t="n">
        <v>45079.50289351852</v>
      </c>
      <c r="C430" s="1" t="n">
        <v>46076</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33552-2024</t>
        </is>
      </c>
      <c r="B431" s="1" t="n">
        <v>45519</v>
      </c>
      <c r="C431" s="1" t="n">
        <v>46076</v>
      </c>
      <c r="D431" t="inlineStr">
        <is>
          <t>UPPSALA LÄN</t>
        </is>
      </c>
      <c r="E431" t="inlineStr">
        <is>
          <t>ÖSTHAMMAR</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33553-2024</t>
        </is>
      </c>
      <c r="B432" s="1" t="n">
        <v>45519</v>
      </c>
      <c r="C432" s="1" t="n">
        <v>46076</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48857-2025</t>
        </is>
      </c>
      <c r="B433" s="1" t="n">
        <v>45937.43621527778</v>
      </c>
      <c r="C433" s="1" t="n">
        <v>46076</v>
      </c>
      <c r="D433" t="inlineStr">
        <is>
          <t>UPPSALA LÄN</t>
        </is>
      </c>
      <c r="E433" t="inlineStr">
        <is>
          <t>ÖSTHAMMAR</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7118-2023</t>
        </is>
      </c>
      <c r="B434" s="1" t="n">
        <v>44970.39591435185</v>
      </c>
      <c r="C434" s="1" t="n">
        <v>46076</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48854-2025</t>
        </is>
      </c>
      <c r="B435" s="1" t="n">
        <v>45937.43274305556</v>
      </c>
      <c r="C435" s="1" t="n">
        <v>46076</v>
      </c>
      <c r="D435" t="inlineStr">
        <is>
          <t>UPPSALA LÄN</t>
        </is>
      </c>
      <c r="E435" t="inlineStr">
        <is>
          <t>ÖSTHAMMAR</t>
        </is>
      </c>
      <c r="F435" t="inlineStr">
        <is>
          <t>Övriga Aktiebolag</t>
        </is>
      </c>
      <c r="G435" t="n">
        <v>18.9</v>
      </c>
      <c r="H435" t="n">
        <v>0</v>
      </c>
      <c r="I435" t="n">
        <v>0</v>
      </c>
      <c r="J435" t="n">
        <v>0</v>
      </c>
      <c r="K435" t="n">
        <v>0</v>
      </c>
      <c r="L435" t="n">
        <v>0</v>
      </c>
      <c r="M435" t="n">
        <v>0</v>
      </c>
      <c r="N435" t="n">
        <v>0</v>
      </c>
      <c r="O435" t="n">
        <v>0</v>
      </c>
      <c r="P435" t="n">
        <v>0</v>
      </c>
      <c r="Q435" t="n">
        <v>0</v>
      </c>
      <c r="R435" s="2" t="inlineStr"/>
    </row>
    <row r="436" ht="15" customHeight="1">
      <c r="A436" t="inlineStr">
        <is>
          <t>A 24181-2022</t>
        </is>
      </c>
      <c r="B436" s="1" t="n">
        <v>44725</v>
      </c>
      <c r="C436" s="1" t="n">
        <v>46076</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49620-2025</t>
        </is>
      </c>
      <c r="B437" s="1" t="n">
        <v>45939.58928240741</v>
      </c>
      <c r="C437" s="1" t="n">
        <v>46076</v>
      </c>
      <c r="D437" t="inlineStr">
        <is>
          <t>UPPSALA LÄN</t>
        </is>
      </c>
      <c r="E437" t="inlineStr">
        <is>
          <t>ÖSTHAMMAR</t>
        </is>
      </c>
      <c r="G437" t="n">
        <v>1.5</v>
      </c>
      <c r="H437" t="n">
        <v>0</v>
      </c>
      <c r="I437" t="n">
        <v>0</v>
      </c>
      <c r="J437" t="n">
        <v>0</v>
      </c>
      <c r="K437" t="n">
        <v>0</v>
      </c>
      <c r="L437" t="n">
        <v>0</v>
      </c>
      <c r="M437" t="n">
        <v>0</v>
      </c>
      <c r="N437" t="n">
        <v>0</v>
      </c>
      <c r="O437" t="n">
        <v>0</v>
      </c>
      <c r="P437" t="n">
        <v>0</v>
      </c>
      <c r="Q437" t="n">
        <v>0</v>
      </c>
      <c r="R437" s="2" t="inlineStr"/>
    </row>
    <row r="438" ht="15" customHeight="1">
      <c r="A438" t="inlineStr">
        <is>
          <t>A 19947-2024</t>
        </is>
      </c>
      <c r="B438" s="1" t="n">
        <v>45433</v>
      </c>
      <c r="C438" s="1" t="n">
        <v>46076</v>
      </c>
      <c r="D438" t="inlineStr">
        <is>
          <t>UPPSALA LÄN</t>
        </is>
      </c>
      <c r="E438" t="inlineStr">
        <is>
          <t>ÖSTHAMMAR</t>
        </is>
      </c>
      <c r="G438" t="n">
        <v>0.3</v>
      </c>
      <c r="H438" t="n">
        <v>0</v>
      </c>
      <c r="I438" t="n">
        <v>0</v>
      </c>
      <c r="J438" t="n">
        <v>0</v>
      </c>
      <c r="K438" t="n">
        <v>0</v>
      </c>
      <c r="L438" t="n">
        <v>0</v>
      </c>
      <c r="M438" t="n">
        <v>0</v>
      </c>
      <c r="N438" t="n">
        <v>0</v>
      </c>
      <c r="O438" t="n">
        <v>0</v>
      </c>
      <c r="P438" t="n">
        <v>0</v>
      </c>
      <c r="Q438" t="n">
        <v>0</v>
      </c>
      <c r="R438" s="2" t="inlineStr"/>
    </row>
    <row r="439" ht="15" customHeight="1">
      <c r="A439" t="inlineStr">
        <is>
          <t>A 16240-2025</t>
        </is>
      </c>
      <c r="B439" s="1" t="n">
        <v>45746</v>
      </c>
      <c r="C439" s="1" t="n">
        <v>46076</v>
      </c>
      <c r="D439" t="inlineStr">
        <is>
          <t>UPPSALA LÄN</t>
        </is>
      </c>
      <c r="E439" t="inlineStr">
        <is>
          <t>ÖSTHAMMAR</t>
        </is>
      </c>
      <c r="G439" t="n">
        <v>1.4</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46076</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38886-2025</t>
        </is>
      </c>
      <c r="B441" s="1" t="n">
        <v>45887.58370370371</v>
      </c>
      <c r="C441" s="1" t="n">
        <v>46076</v>
      </c>
      <c r="D441" t="inlineStr">
        <is>
          <t>UPPSALA LÄN</t>
        </is>
      </c>
      <c r="E441" t="inlineStr">
        <is>
          <t>ÖSTHAMMAR</t>
        </is>
      </c>
      <c r="F441" t="inlineStr">
        <is>
          <t>Bergvik skog öst AB</t>
        </is>
      </c>
      <c r="G441" t="n">
        <v>4.7</v>
      </c>
      <c r="H441" t="n">
        <v>0</v>
      </c>
      <c r="I441" t="n">
        <v>0</v>
      </c>
      <c r="J441" t="n">
        <v>0</v>
      </c>
      <c r="K441" t="n">
        <v>0</v>
      </c>
      <c r="L441" t="n">
        <v>0</v>
      </c>
      <c r="M441" t="n">
        <v>0</v>
      </c>
      <c r="N441" t="n">
        <v>0</v>
      </c>
      <c r="O441" t="n">
        <v>0</v>
      </c>
      <c r="P441" t="n">
        <v>0</v>
      </c>
      <c r="Q441" t="n">
        <v>0</v>
      </c>
      <c r="R441" s="2" t="inlineStr"/>
    </row>
    <row r="442" ht="15" customHeight="1">
      <c r="A442" t="inlineStr">
        <is>
          <t>A 57-2023</t>
        </is>
      </c>
      <c r="B442" s="1" t="n">
        <v>44928.40917824074</v>
      </c>
      <c r="C442" s="1" t="n">
        <v>46076</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59-2023</t>
        </is>
      </c>
      <c r="B443" s="1" t="n">
        <v>44928.41822916667</v>
      </c>
      <c r="C443" s="1" t="n">
        <v>46076</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55079-2024</t>
        </is>
      </c>
      <c r="B444" s="1" t="n">
        <v>45621.42747685185</v>
      </c>
      <c r="C444" s="1" t="n">
        <v>46076</v>
      </c>
      <c r="D444" t="inlineStr">
        <is>
          <t>UPPSALA LÄN</t>
        </is>
      </c>
      <c r="E444" t="inlineStr">
        <is>
          <t>ÖSTHAMMAR</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49773-2025</t>
        </is>
      </c>
      <c r="B445" s="1" t="n">
        <v>45940.37303240741</v>
      </c>
      <c r="C445" s="1" t="n">
        <v>46076</v>
      </c>
      <c r="D445" t="inlineStr">
        <is>
          <t>UPPSALA LÄN</t>
        </is>
      </c>
      <c r="E445" t="inlineStr">
        <is>
          <t>ÖSTHAMMAR</t>
        </is>
      </c>
      <c r="G445" t="n">
        <v>3.5</v>
      </c>
      <c r="H445" t="n">
        <v>0</v>
      </c>
      <c r="I445" t="n">
        <v>0</v>
      </c>
      <c r="J445" t="n">
        <v>0</v>
      </c>
      <c r="K445" t="n">
        <v>0</v>
      </c>
      <c r="L445" t="n">
        <v>0</v>
      </c>
      <c r="M445" t="n">
        <v>0</v>
      </c>
      <c r="N445" t="n">
        <v>0</v>
      </c>
      <c r="O445" t="n">
        <v>0</v>
      </c>
      <c r="P445" t="n">
        <v>0</v>
      </c>
      <c r="Q445" t="n">
        <v>0</v>
      </c>
      <c r="R445" s="2" t="inlineStr"/>
    </row>
    <row r="446" ht="15" customHeight="1">
      <c r="A446" t="inlineStr">
        <is>
          <t>A 26328-2025</t>
        </is>
      </c>
      <c r="B446" s="1" t="n">
        <v>45805.67305555556</v>
      </c>
      <c r="C446" s="1" t="n">
        <v>46076</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33680-2024</t>
        </is>
      </c>
      <c r="B447" s="1" t="n">
        <v>45520.50712962963</v>
      </c>
      <c r="C447" s="1" t="n">
        <v>46076</v>
      </c>
      <c r="D447" t="inlineStr">
        <is>
          <t>UPPSALA LÄN</t>
        </is>
      </c>
      <c r="E447" t="inlineStr">
        <is>
          <t>ÖSTHAMMAR</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5344-2025</t>
        </is>
      </c>
      <c r="B448" s="1" t="n">
        <v>45692</v>
      </c>
      <c r="C448" s="1" t="n">
        <v>46076</v>
      </c>
      <c r="D448" t="inlineStr">
        <is>
          <t>UPPSALA LÄN</t>
        </is>
      </c>
      <c r="E448" t="inlineStr">
        <is>
          <t>ÖSTHAMMAR</t>
        </is>
      </c>
      <c r="F448" t="inlineStr">
        <is>
          <t>Bergvik skog öst AB</t>
        </is>
      </c>
      <c r="G448" t="n">
        <v>3.2</v>
      </c>
      <c r="H448" t="n">
        <v>0</v>
      </c>
      <c r="I448" t="n">
        <v>0</v>
      </c>
      <c r="J448" t="n">
        <v>0</v>
      </c>
      <c r="K448" t="n">
        <v>0</v>
      </c>
      <c r="L448" t="n">
        <v>0</v>
      </c>
      <c r="M448" t="n">
        <v>0</v>
      </c>
      <c r="N448" t="n">
        <v>0</v>
      </c>
      <c r="O448" t="n">
        <v>0</v>
      </c>
      <c r="P448" t="n">
        <v>0</v>
      </c>
      <c r="Q448" t="n">
        <v>0</v>
      </c>
      <c r="R448" s="2" t="inlineStr"/>
    </row>
    <row r="449" ht="15" customHeight="1">
      <c r="A449" t="inlineStr">
        <is>
          <t>A 33550-2024</t>
        </is>
      </c>
      <c r="B449" s="1" t="n">
        <v>45519.81043981481</v>
      </c>
      <c r="C449" s="1" t="n">
        <v>46076</v>
      </c>
      <c r="D449" t="inlineStr">
        <is>
          <t>UPPSALA LÄN</t>
        </is>
      </c>
      <c r="E449" t="inlineStr">
        <is>
          <t>ÖSTHAMMAR</t>
        </is>
      </c>
      <c r="F449" t="inlineStr">
        <is>
          <t>Bergvik skog öst AB</t>
        </is>
      </c>
      <c r="G449" t="n">
        <v>1.8</v>
      </c>
      <c r="H449" t="n">
        <v>0</v>
      </c>
      <c r="I449" t="n">
        <v>0</v>
      </c>
      <c r="J449" t="n">
        <v>0</v>
      </c>
      <c r="K449" t="n">
        <v>0</v>
      </c>
      <c r="L449" t="n">
        <v>0</v>
      </c>
      <c r="M449" t="n">
        <v>0</v>
      </c>
      <c r="N449" t="n">
        <v>0</v>
      </c>
      <c r="O449" t="n">
        <v>0</v>
      </c>
      <c r="P449" t="n">
        <v>0</v>
      </c>
      <c r="Q449" t="n">
        <v>0</v>
      </c>
      <c r="R449" s="2" t="inlineStr"/>
    </row>
    <row r="450" ht="15" customHeight="1">
      <c r="A450" t="inlineStr">
        <is>
          <t>A 30811-2023</t>
        </is>
      </c>
      <c r="B450" s="1" t="n">
        <v>45112.86422453704</v>
      </c>
      <c r="C450" s="1" t="n">
        <v>46076</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55646-2021</t>
        </is>
      </c>
      <c r="B451" s="1" t="n">
        <v>44476.3632175926</v>
      </c>
      <c r="C451" s="1" t="n">
        <v>46076</v>
      </c>
      <c r="D451" t="inlineStr">
        <is>
          <t>UPPSALA LÄN</t>
        </is>
      </c>
      <c r="E451" t="inlineStr">
        <is>
          <t>ÖSTHAMMAR</t>
        </is>
      </c>
      <c r="F451" t="inlineStr">
        <is>
          <t>Bergvik skog öst AB</t>
        </is>
      </c>
      <c r="G451" t="n">
        <v>0.2</v>
      </c>
      <c r="H451" t="n">
        <v>0</v>
      </c>
      <c r="I451" t="n">
        <v>0</v>
      </c>
      <c r="J451" t="n">
        <v>0</v>
      </c>
      <c r="K451" t="n">
        <v>0</v>
      </c>
      <c r="L451" t="n">
        <v>0</v>
      </c>
      <c r="M451" t="n">
        <v>0</v>
      </c>
      <c r="N451" t="n">
        <v>0</v>
      </c>
      <c r="O451" t="n">
        <v>0</v>
      </c>
      <c r="P451" t="n">
        <v>0</v>
      </c>
      <c r="Q451" t="n">
        <v>0</v>
      </c>
      <c r="R451" s="2" t="inlineStr"/>
    </row>
    <row r="452" ht="15" customHeight="1">
      <c r="A452" t="inlineStr">
        <is>
          <t>A 61443-2024</t>
        </is>
      </c>
      <c r="B452" s="1" t="n">
        <v>45646.47936342593</v>
      </c>
      <c r="C452" s="1" t="n">
        <v>46076</v>
      </c>
      <c r="D452" t="inlineStr">
        <is>
          <t>UPPSALA LÄN</t>
        </is>
      </c>
      <c r="E452" t="inlineStr">
        <is>
          <t>ÖSTHAMMAR</t>
        </is>
      </c>
      <c r="G452" t="n">
        <v>0.4</v>
      </c>
      <c r="H452" t="n">
        <v>0</v>
      </c>
      <c r="I452" t="n">
        <v>0</v>
      </c>
      <c r="J452" t="n">
        <v>0</v>
      </c>
      <c r="K452" t="n">
        <v>0</v>
      </c>
      <c r="L452" t="n">
        <v>0</v>
      </c>
      <c r="M452" t="n">
        <v>0</v>
      </c>
      <c r="N452" t="n">
        <v>0</v>
      </c>
      <c r="O452" t="n">
        <v>0</v>
      </c>
      <c r="P452" t="n">
        <v>0</v>
      </c>
      <c r="Q452" t="n">
        <v>0</v>
      </c>
      <c r="R452" s="2" t="inlineStr"/>
    </row>
    <row r="453" ht="15" customHeight="1">
      <c r="A453" t="inlineStr">
        <is>
          <t>A 13279-2022</t>
        </is>
      </c>
      <c r="B453" s="1" t="n">
        <v>44644</v>
      </c>
      <c r="C453" s="1" t="n">
        <v>46076</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6046-2025</t>
        </is>
      </c>
      <c r="B454" s="1" t="n">
        <v>45695</v>
      </c>
      <c r="C454" s="1" t="n">
        <v>46076</v>
      </c>
      <c r="D454" t="inlineStr">
        <is>
          <t>UPPSALA LÄN</t>
        </is>
      </c>
      <c r="E454" t="inlineStr">
        <is>
          <t>ÖSTHAMMAR</t>
        </is>
      </c>
      <c r="G454" t="n">
        <v>0.8</v>
      </c>
      <c r="H454" t="n">
        <v>0</v>
      </c>
      <c r="I454" t="n">
        <v>0</v>
      </c>
      <c r="J454" t="n">
        <v>0</v>
      </c>
      <c r="K454" t="n">
        <v>0</v>
      </c>
      <c r="L454" t="n">
        <v>0</v>
      </c>
      <c r="M454" t="n">
        <v>0</v>
      </c>
      <c r="N454" t="n">
        <v>0</v>
      </c>
      <c r="O454" t="n">
        <v>0</v>
      </c>
      <c r="P454" t="n">
        <v>0</v>
      </c>
      <c r="Q454" t="n">
        <v>0</v>
      </c>
      <c r="R454" s="2" t="inlineStr"/>
      <c r="U454">
        <f>HYPERLINK("https://klasma.github.io/Logging_0382/knärot/A 6046-2025 karta knärot.png", "A 6046-2025")</f>
        <v/>
      </c>
      <c r="V454">
        <f>HYPERLINK("https://klasma.github.io/Logging_0382/klagomål/A 6046-2025 FSC-klagomål.docx", "A 6046-2025")</f>
        <v/>
      </c>
      <c r="W454">
        <f>HYPERLINK("https://klasma.github.io/Logging_0382/klagomålsmail/A 6046-2025 FSC-klagomål mail.docx", "A 6046-2025")</f>
        <v/>
      </c>
      <c r="X454">
        <f>HYPERLINK("https://klasma.github.io/Logging_0382/tillsyn/A 6046-2025 tillsynsbegäran.docx", "A 6046-2025")</f>
        <v/>
      </c>
      <c r="Y454">
        <f>HYPERLINK("https://klasma.github.io/Logging_0382/tillsynsmail/A 6046-2025 tillsynsbegäran mail.docx", "A 6046-2025")</f>
        <v/>
      </c>
    </row>
    <row r="455" ht="15" customHeight="1">
      <c r="A455" t="inlineStr">
        <is>
          <t>A 51156-2025</t>
        </is>
      </c>
      <c r="B455" s="1" t="n">
        <v>45947.57833333333</v>
      </c>
      <c r="C455" s="1" t="n">
        <v>46076</v>
      </c>
      <c r="D455" t="inlineStr">
        <is>
          <t>UPPSALA LÄN</t>
        </is>
      </c>
      <c r="E455" t="inlineStr">
        <is>
          <t>ÖSTHAMMAR</t>
        </is>
      </c>
      <c r="F455" t="inlineStr">
        <is>
          <t>Allmännings- och besparingsskogar</t>
        </is>
      </c>
      <c r="G455" t="n">
        <v>2.8</v>
      </c>
      <c r="H455" t="n">
        <v>0</v>
      </c>
      <c r="I455" t="n">
        <v>0</v>
      </c>
      <c r="J455" t="n">
        <v>0</v>
      </c>
      <c r="K455" t="n">
        <v>0</v>
      </c>
      <c r="L455" t="n">
        <v>0</v>
      </c>
      <c r="M455" t="n">
        <v>0</v>
      </c>
      <c r="N455" t="n">
        <v>0</v>
      </c>
      <c r="O455" t="n">
        <v>0</v>
      </c>
      <c r="P455" t="n">
        <v>0</v>
      </c>
      <c r="Q455" t="n">
        <v>0</v>
      </c>
      <c r="R455" s="2" t="inlineStr"/>
    </row>
    <row r="456" ht="15" customHeight="1">
      <c r="A456" t="inlineStr">
        <is>
          <t>A 45102-2024</t>
        </is>
      </c>
      <c r="B456" s="1" t="n">
        <v>45575.58836805556</v>
      </c>
      <c r="C456" s="1" t="n">
        <v>46076</v>
      </c>
      <c r="D456" t="inlineStr">
        <is>
          <t>UPPSALA LÄN</t>
        </is>
      </c>
      <c r="E456" t="inlineStr">
        <is>
          <t>ÖSTHAMMAR</t>
        </is>
      </c>
      <c r="G456" t="n">
        <v>8.6</v>
      </c>
      <c r="H456" t="n">
        <v>0</v>
      </c>
      <c r="I456" t="n">
        <v>0</v>
      </c>
      <c r="J456" t="n">
        <v>0</v>
      </c>
      <c r="K456" t="n">
        <v>0</v>
      </c>
      <c r="L456" t="n">
        <v>0</v>
      </c>
      <c r="M456" t="n">
        <v>0</v>
      </c>
      <c r="N456" t="n">
        <v>0</v>
      </c>
      <c r="O456" t="n">
        <v>0</v>
      </c>
      <c r="P456" t="n">
        <v>0</v>
      </c>
      <c r="Q456" t="n">
        <v>0</v>
      </c>
      <c r="R456" s="2" t="inlineStr"/>
    </row>
    <row r="457" ht="15" customHeight="1">
      <c r="A457" t="inlineStr">
        <is>
          <t>A 18731-2022</t>
        </is>
      </c>
      <c r="B457" s="1" t="n">
        <v>44687.78673611111</v>
      </c>
      <c r="C457" s="1" t="n">
        <v>46076</v>
      </c>
      <c r="D457" t="inlineStr">
        <is>
          <t>UPPSALA LÄN</t>
        </is>
      </c>
      <c r="E457" t="inlineStr">
        <is>
          <t>ÖSTHAMMAR</t>
        </is>
      </c>
      <c r="G457" t="n">
        <v>4.9</v>
      </c>
      <c r="H457" t="n">
        <v>0</v>
      </c>
      <c r="I457" t="n">
        <v>0</v>
      </c>
      <c r="J457" t="n">
        <v>0</v>
      </c>
      <c r="K457" t="n">
        <v>0</v>
      </c>
      <c r="L457" t="n">
        <v>0</v>
      </c>
      <c r="M457" t="n">
        <v>0</v>
      </c>
      <c r="N457" t="n">
        <v>0</v>
      </c>
      <c r="O457" t="n">
        <v>0</v>
      </c>
      <c r="P457" t="n">
        <v>0</v>
      </c>
      <c r="Q457" t="n">
        <v>0</v>
      </c>
      <c r="R457" s="2" t="inlineStr"/>
    </row>
    <row r="458" ht="15" customHeight="1">
      <c r="A458" t="inlineStr">
        <is>
          <t>A 11385-2024</t>
        </is>
      </c>
      <c r="B458" s="1" t="n">
        <v>45372</v>
      </c>
      <c r="C458" s="1" t="n">
        <v>46076</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9642-2024</t>
        </is>
      </c>
      <c r="B459" s="1" t="n">
        <v>45362.36296296296</v>
      </c>
      <c r="C459" s="1" t="n">
        <v>46076</v>
      </c>
      <c r="D459" t="inlineStr">
        <is>
          <t>UPPSALA LÄN</t>
        </is>
      </c>
      <c r="E459" t="inlineStr">
        <is>
          <t>ÖSTHAMMAR</t>
        </is>
      </c>
      <c r="G459" t="n">
        <v>3.1</v>
      </c>
      <c r="H459" t="n">
        <v>0</v>
      </c>
      <c r="I459" t="n">
        <v>0</v>
      </c>
      <c r="J459" t="n">
        <v>0</v>
      </c>
      <c r="K459" t="n">
        <v>0</v>
      </c>
      <c r="L459" t="n">
        <v>0</v>
      </c>
      <c r="M459" t="n">
        <v>0</v>
      </c>
      <c r="N459" t="n">
        <v>0</v>
      </c>
      <c r="O459" t="n">
        <v>0</v>
      </c>
      <c r="P459" t="n">
        <v>0</v>
      </c>
      <c r="Q459" t="n">
        <v>0</v>
      </c>
      <c r="R459" s="2" t="inlineStr"/>
    </row>
    <row r="460" ht="15" customHeight="1">
      <c r="A460" t="inlineStr">
        <is>
          <t>A 51379-2025</t>
        </is>
      </c>
      <c r="B460" s="1" t="n">
        <v>45950.45677083333</v>
      </c>
      <c r="C460" s="1" t="n">
        <v>46076</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18401-2025</t>
        </is>
      </c>
      <c r="B461" s="1" t="n">
        <v>45762.5966087963</v>
      </c>
      <c r="C461" s="1" t="n">
        <v>46076</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51255-2025</t>
        </is>
      </c>
      <c r="B462" s="1" t="n">
        <v>45949.00917824074</v>
      </c>
      <c r="C462" s="1" t="n">
        <v>46076</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51708-2025</t>
        </is>
      </c>
      <c r="B463" s="1" t="n">
        <v>45951.56679398148</v>
      </c>
      <c r="C463" s="1" t="n">
        <v>46076</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51266-2025</t>
        </is>
      </c>
      <c r="B464" s="1" t="n">
        <v>45949.71568287037</v>
      </c>
      <c r="C464" s="1" t="n">
        <v>46076</v>
      </c>
      <c r="D464" t="inlineStr">
        <is>
          <t>UPPSALA LÄN</t>
        </is>
      </c>
      <c r="E464" t="inlineStr">
        <is>
          <t>ÖSTHAMMAR</t>
        </is>
      </c>
      <c r="F464" t="inlineStr">
        <is>
          <t>Bergvik skog öst AB</t>
        </is>
      </c>
      <c r="G464" t="n">
        <v>4.7</v>
      </c>
      <c r="H464" t="n">
        <v>0</v>
      </c>
      <c r="I464" t="n">
        <v>0</v>
      </c>
      <c r="J464" t="n">
        <v>0</v>
      </c>
      <c r="K464" t="n">
        <v>0</v>
      </c>
      <c r="L464" t="n">
        <v>0</v>
      </c>
      <c r="M464" t="n">
        <v>0</v>
      </c>
      <c r="N464" t="n">
        <v>0</v>
      </c>
      <c r="O464" t="n">
        <v>0</v>
      </c>
      <c r="P464" t="n">
        <v>0</v>
      </c>
      <c r="Q464" t="n">
        <v>0</v>
      </c>
      <c r="R464" s="2" t="inlineStr"/>
    </row>
    <row r="465" ht="15" customHeight="1">
      <c r="A465" t="inlineStr">
        <is>
          <t>A 51254-2025</t>
        </is>
      </c>
      <c r="B465" s="1" t="n">
        <v>45948.99313657408</v>
      </c>
      <c r="C465" s="1" t="n">
        <v>46076</v>
      </c>
      <c r="D465" t="inlineStr">
        <is>
          <t>UPPSALA LÄN</t>
        </is>
      </c>
      <c r="E465" t="inlineStr">
        <is>
          <t>ÖSTHAMMAR</t>
        </is>
      </c>
      <c r="G465" t="n">
        <v>8.9</v>
      </c>
      <c r="H465" t="n">
        <v>0</v>
      </c>
      <c r="I465" t="n">
        <v>0</v>
      </c>
      <c r="J465" t="n">
        <v>0</v>
      </c>
      <c r="K465" t="n">
        <v>0</v>
      </c>
      <c r="L465" t="n">
        <v>0</v>
      </c>
      <c r="M465" t="n">
        <v>0</v>
      </c>
      <c r="N465" t="n">
        <v>0</v>
      </c>
      <c r="O465" t="n">
        <v>0</v>
      </c>
      <c r="P465" t="n">
        <v>0</v>
      </c>
      <c r="Q465" t="n">
        <v>0</v>
      </c>
      <c r="R465" s="2" t="inlineStr"/>
    </row>
    <row r="466" ht="15" customHeight="1">
      <c r="A466" t="inlineStr">
        <is>
          <t>A 28429-2023</t>
        </is>
      </c>
      <c r="B466" s="1" t="n">
        <v>45102.58728009259</v>
      </c>
      <c r="C466" s="1" t="n">
        <v>46076</v>
      </c>
      <c r="D466" t="inlineStr">
        <is>
          <t>UPPSALA LÄN</t>
        </is>
      </c>
      <c r="E466" t="inlineStr">
        <is>
          <t>ÖSTHAMMAR</t>
        </is>
      </c>
      <c r="F466" t="inlineStr">
        <is>
          <t>Bergvik skog öst AB</t>
        </is>
      </c>
      <c r="G466" t="n">
        <v>0.9</v>
      </c>
      <c r="H466" t="n">
        <v>0</v>
      </c>
      <c r="I466" t="n">
        <v>0</v>
      </c>
      <c r="J466" t="n">
        <v>0</v>
      </c>
      <c r="K466" t="n">
        <v>0</v>
      </c>
      <c r="L466" t="n">
        <v>0</v>
      </c>
      <c r="M466" t="n">
        <v>0</v>
      </c>
      <c r="N466" t="n">
        <v>0</v>
      </c>
      <c r="O466" t="n">
        <v>0</v>
      </c>
      <c r="P466" t="n">
        <v>0</v>
      </c>
      <c r="Q466" t="n">
        <v>0</v>
      </c>
      <c r="R466" s="2" t="inlineStr"/>
    </row>
    <row r="467" ht="15" customHeight="1">
      <c r="A467" t="inlineStr">
        <is>
          <t>A 51265-2025</t>
        </is>
      </c>
      <c r="B467" s="1" t="n">
        <v>45949.70971064815</v>
      </c>
      <c r="C467" s="1" t="n">
        <v>46076</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58878-2022</t>
        </is>
      </c>
      <c r="B468" s="1" t="n">
        <v>44903</v>
      </c>
      <c r="C468" s="1" t="n">
        <v>46076</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30755-2024</t>
        </is>
      </c>
      <c r="B469" s="1" t="n">
        <v>45496</v>
      </c>
      <c r="C469" s="1" t="n">
        <v>46076</v>
      </c>
      <c r="D469" t="inlineStr">
        <is>
          <t>UPPSALA LÄN</t>
        </is>
      </c>
      <c r="E469" t="inlineStr">
        <is>
          <t>ÖSTHAMMAR</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52332-2025</t>
        </is>
      </c>
      <c r="B470" s="1" t="n">
        <v>45953.67853009259</v>
      </c>
      <c r="C470" s="1" t="n">
        <v>46076</v>
      </c>
      <c r="D470" t="inlineStr">
        <is>
          <t>UPPSALA LÄN</t>
        </is>
      </c>
      <c r="E470" t="inlineStr">
        <is>
          <t>ÖSTHAMMAR</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4562-2022</t>
        </is>
      </c>
      <c r="B471" s="1" t="n">
        <v>44591</v>
      </c>
      <c r="C471" s="1" t="n">
        <v>46076</v>
      </c>
      <c r="D471" t="inlineStr">
        <is>
          <t>UPPSALA LÄN</t>
        </is>
      </c>
      <c r="E471" t="inlineStr">
        <is>
          <t>ÖSTHAMMAR</t>
        </is>
      </c>
      <c r="G471" t="n">
        <v>3.4</v>
      </c>
      <c r="H471" t="n">
        <v>0</v>
      </c>
      <c r="I471" t="n">
        <v>0</v>
      </c>
      <c r="J471" t="n">
        <v>0</v>
      </c>
      <c r="K471" t="n">
        <v>0</v>
      </c>
      <c r="L471" t="n">
        <v>0</v>
      </c>
      <c r="M471" t="n">
        <v>0</v>
      </c>
      <c r="N471" t="n">
        <v>0</v>
      </c>
      <c r="O471" t="n">
        <v>0</v>
      </c>
      <c r="P471" t="n">
        <v>0</v>
      </c>
      <c r="Q471" t="n">
        <v>0</v>
      </c>
      <c r="R471" s="2" t="inlineStr"/>
    </row>
    <row r="472" ht="15" customHeight="1">
      <c r="A472" t="inlineStr">
        <is>
          <t>A 42213-2025</t>
        </is>
      </c>
      <c r="B472" s="1" t="n">
        <v>45904.50652777778</v>
      </c>
      <c r="C472" s="1" t="n">
        <v>46076</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53733-2023</t>
        </is>
      </c>
      <c r="B473" s="1" t="n">
        <v>45230.76862268519</v>
      </c>
      <c r="C473" s="1" t="n">
        <v>46076</v>
      </c>
      <c r="D473" t="inlineStr">
        <is>
          <t>UPPSALA LÄN</t>
        </is>
      </c>
      <c r="E473" t="inlineStr">
        <is>
          <t>ÖSTHAMMAR</t>
        </is>
      </c>
      <c r="G473" t="n">
        <v>1.1</v>
      </c>
      <c r="H473" t="n">
        <v>0</v>
      </c>
      <c r="I473" t="n">
        <v>0</v>
      </c>
      <c r="J473" t="n">
        <v>0</v>
      </c>
      <c r="K473" t="n">
        <v>0</v>
      </c>
      <c r="L473" t="n">
        <v>0</v>
      </c>
      <c r="M473" t="n">
        <v>0</v>
      </c>
      <c r="N473" t="n">
        <v>0</v>
      </c>
      <c r="O473" t="n">
        <v>0</v>
      </c>
      <c r="P473" t="n">
        <v>0</v>
      </c>
      <c r="Q473" t="n">
        <v>0</v>
      </c>
      <c r="R473" s="2" t="inlineStr"/>
    </row>
    <row r="474" ht="15" customHeight="1">
      <c r="A474" t="inlineStr">
        <is>
          <t>A 41308-2023</t>
        </is>
      </c>
      <c r="B474" s="1" t="n">
        <v>45174.62788194444</v>
      </c>
      <c r="C474" s="1" t="n">
        <v>46076</v>
      </c>
      <c r="D474" t="inlineStr">
        <is>
          <t>UPPSALA LÄN</t>
        </is>
      </c>
      <c r="E474" t="inlineStr">
        <is>
          <t>ÖSTHAMMAR</t>
        </is>
      </c>
      <c r="F474" t="inlineStr">
        <is>
          <t>Övriga Aktiebolag</t>
        </is>
      </c>
      <c r="G474" t="n">
        <v>2.8</v>
      </c>
      <c r="H474" t="n">
        <v>0</v>
      </c>
      <c r="I474" t="n">
        <v>0</v>
      </c>
      <c r="J474" t="n">
        <v>0</v>
      </c>
      <c r="K474" t="n">
        <v>0</v>
      </c>
      <c r="L474" t="n">
        <v>0</v>
      </c>
      <c r="M474" t="n">
        <v>0</v>
      </c>
      <c r="N474" t="n">
        <v>0</v>
      </c>
      <c r="O474" t="n">
        <v>0</v>
      </c>
      <c r="P474" t="n">
        <v>0</v>
      </c>
      <c r="Q474" t="n">
        <v>0</v>
      </c>
      <c r="R474" s="2" t="inlineStr"/>
    </row>
    <row r="475" ht="15" customHeight="1">
      <c r="A475" t="inlineStr">
        <is>
          <t>A 17969-2023</t>
        </is>
      </c>
      <c r="B475" s="1" t="n">
        <v>45040.47081018519</v>
      </c>
      <c r="C475" s="1" t="n">
        <v>46076</v>
      </c>
      <c r="D475" t="inlineStr">
        <is>
          <t>UPPSALA LÄN</t>
        </is>
      </c>
      <c r="E475" t="inlineStr">
        <is>
          <t>ÖSTHAMMAR</t>
        </is>
      </c>
      <c r="G475" t="n">
        <v>5.4</v>
      </c>
      <c r="H475" t="n">
        <v>0</v>
      </c>
      <c r="I475" t="n">
        <v>0</v>
      </c>
      <c r="J475" t="n">
        <v>0</v>
      </c>
      <c r="K475" t="n">
        <v>0</v>
      </c>
      <c r="L475" t="n">
        <v>0</v>
      </c>
      <c r="M475" t="n">
        <v>0</v>
      </c>
      <c r="N475" t="n">
        <v>0</v>
      </c>
      <c r="O475" t="n">
        <v>0</v>
      </c>
      <c r="P475" t="n">
        <v>0</v>
      </c>
      <c r="Q475" t="n">
        <v>0</v>
      </c>
      <c r="R475" s="2" t="inlineStr"/>
    </row>
    <row r="476" ht="15" customHeight="1">
      <c r="A476" t="inlineStr">
        <is>
          <t>A 25969-2023</t>
        </is>
      </c>
      <c r="B476" s="1" t="n">
        <v>45090</v>
      </c>
      <c r="C476" s="1" t="n">
        <v>46076</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50998-2023</t>
        </is>
      </c>
      <c r="B477" s="1" t="n">
        <v>45218.5586574074</v>
      </c>
      <c r="C477" s="1" t="n">
        <v>46076</v>
      </c>
      <c r="D477" t="inlineStr">
        <is>
          <t>UPPSALA LÄN</t>
        </is>
      </c>
      <c r="E477" t="inlineStr">
        <is>
          <t>ÖSTHAMMAR</t>
        </is>
      </c>
      <c r="G477" t="n">
        <v>3.6</v>
      </c>
      <c r="H477" t="n">
        <v>0</v>
      </c>
      <c r="I477" t="n">
        <v>0</v>
      </c>
      <c r="J477" t="n">
        <v>0</v>
      </c>
      <c r="K477" t="n">
        <v>0</v>
      </c>
      <c r="L477" t="n">
        <v>0</v>
      </c>
      <c r="M477" t="n">
        <v>0</v>
      </c>
      <c r="N477" t="n">
        <v>0</v>
      </c>
      <c r="O477" t="n">
        <v>0</v>
      </c>
      <c r="P477" t="n">
        <v>0</v>
      </c>
      <c r="Q477" t="n">
        <v>0</v>
      </c>
      <c r="R477" s="2" t="inlineStr"/>
    </row>
    <row r="478" ht="15" customHeight="1">
      <c r="A478" t="inlineStr">
        <is>
          <t>A 55837-2023</t>
        </is>
      </c>
      <c r="B478" s="1" t="n">
        <v>45239</v>
      </c>
      <c r="C478" s="1" t="n">
        <v>46076</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18838-2023</t>
        </is>
      </c>
      <c r="B479" s="1" t="n">
        <v>45044</v>
      </c>
      <c r="C479" s="1" t="n">
        <v>46076</v>
      </c>
      <c r="D479" t="inlineStr">
        <is>
          <t>UPPSALA LÄN</t>
        </is>
      </c>
      <c r="E479" t="inlineStr">
        <is>
          <t>ÖSTHAMMAR</t>
        </is>
      </c>
      <c r="G479" t="n">
        <v>2.8</v>
      </c>
      <c r="H479" t="n">
        <v>0</v>
      </c>
      <c r="I479" t="n">
        <v>0</v>
      </c>
      <c r="J479" t="n">
        <v>0</v>
      </c>
      <c r="K479" t="n">
        <v>0</v>
      </c>
      <c r="L479" t="n">
        <v>0</v>
      </c>
      <c r="M479" t="n">
        <v>0</v>
      </c>
      <c r="N479" t="n">
        <v>0</v>
      </c>
      <c r="O479" t="n">
        <v>0</v>
      </c>
      <c r="P479" t="n">
        <v>0</v>
      </c>
      <c r="Q479" t="n">
        <v>0</v>
      </c>
      <c r="R479" s="2" t="inlineStr"/>
    </row>
    <row r="480" ht="15" customHeight="1">
      <c r="A480" t="inlineStr">
        <is>
          <t>A 59382-2022</t>
        </is>
      </c>
      <c r="B480" s="1" t="n">
        <v>44905.50363425926</v>
      </c>
      <c r="C480" s="1" t="n">
        <v>46076</v>
      </c>
      <c r="D480" t="inlineStr">
        <is>
          <t>UPPSALA LÄN</t>
        </is>
      </c>
      <c r="E480" t="inlineStr">
        <is>
          <t>ÖSTHAMMAR</t>
        </is>
      </c>
      <c r="G480" t="n">
        <v>2.9</v>
      </c>
      <c r="H480" t="n">
        <v>0</v>
      </c>
      <c r="I480" t="n">
        <v>0</v>
      </c>
      <c r="J480" t="n">
        <v>0</v>
      </c>
      <c r="K480" t="n">
        <v>0</v>
      </c>
      <c r="L480" t="n">
        <v>0</v>
      </c>
      <c r="M480" t="n">
        <v>0</v>
      </c>
      <c r="N480" t="n">
        <v>0</v>
      </c>
      <c r="O480" t="n">
        <v>0</v>
      </c>
      <c r="P480" t="n">
        <v>0</v>
      </c>
      <c r="Q480" t="n">
        <v>0</v>
      </c>
      <c r="R480" s="2" t="inlineStr"/>
    </row>
    <row r="481" ht="15" customHeight="1">
      <c r="A481" t="inlineStr">
        <is>
          <t>A 17085-2025</t>
        </is>
      </c>
      <c r="B481" s="1" t="n">
        <v>45755.64612268518</v>
      </c>
      <c r="C481" s="1" t="n">
        <v>46076</v>
      </c>
      <c r="D481" t="inlineStr">
        <is>
          <t>UPPSALA LÄN</t>
        </is>
      </c>
      <c r="E481" t="inlineStr">
        <is>
          <t>ÖSTHAMMAR</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29231-2024</t>
        </is>
      </c>
      <c r="B482" s="1" t="n">
        <v>45482</v>
      </c>
      <c r="C482" s="1" t="n">
        <v>46076</v>
      </c>
      <c r="D482" t="inlineStr">
        <is>
          <t>UPPSALA LÄN</t>
        </is>
      </c>
      <c r="E482" t="inlineStr">
        <is>
          <t>ÖSTHAMMAR</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44184-2024</t>
        </is>
      </c>
      <c r="B483" s="1" t="n">
        <v>45572</v>
      </c>
      <c r="C483" s="1" t="n">
        <v>46076</v>
      </c>
      <c r="D483" t="inlineStr">
        <is>
          <t>UPPSALA LÄN</t>
        </is>
      </c>
      <c r="E483" t="inlineStr">
        <is>
          <t>ÖSTHAMMAR</t>
        </is>
      </c>
      <c r="G483" t="n">
        <v>0.6</v>
      </c>
      <c r="H483" t="n">
        <v>0</v>
      </c>
      <c r="I483" t="n">
        <v>0</v>
      </c>
      <c r="J483" t="n">
        <v>0</v>
      </c>
      <c r="K483" t="n">
        <v>0</v>
      </c>
      <c r="L483" t="n">
        <v>0</v>
      </c>
      <c r="M483" t="n">
        <v>0</v>
      </c>
      <c r="N483" t="n">
        <v>0</v>
      </c>
      <c r="O483" t="n">
        <v>0</v>
      </c>
      <c r="P483" t="n">
        <v>0</v>
      </c>
      <c r="Q483" t="n">
        <v>0</v>
      </c>
      <c r="R483" s="2" t="inlineStr"/>
    </row>
    <row r="484" ht="15" customHeight="1">
      <c r="A484" t="inlineStr">
        <is>
          <t>A 53567-2025</t>
        </is>
      </c>
      <c r="B484" s="1" t="n">
        <v>45960</v>
      </c>
      <c r="C484" s="1" t="n">
        <v>46076</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53656-2025</t>
        </is>
      </c>
      <c r="B485" s="1" t="n">
        <v>45960</v>
      </c>
      <c r="C485" s="1" t="n">
        <v>46076</v>
      </c>
      <c r="D485" t="inlineStr">
        <is>
          <t>UPPSALA LÄN</t>
        </is>
      </c>
      <c r="E485" t="inlineStr">
        <is>
          <t>ÖSTHAMMAR</t>
        </is>
      </c>
      <c r="G485" t="n">
        <v>3.1</v>
      </c>
      <c r="H485" t="n">
        <v>0</v>
      </c>
      <c r="I485" t="n">
        <v>0</v>
      </c>
      <c r="J485" t="n">
        <v>0</v>
      </c>
      <c r="K485" t="n">
        <v>0</v>
      </c>
      <c r="L485" t="n">
        <v>0</v>
      </c>
      <c r="M485" t="n">
        <v>0</v>
      </c>
      <c r="N485" t="n">
        <v>0</v>
      </c>
      <c r="O485" t="n">
        <v>0</v>
      </c>
      <c r="P485" t="n">
        <v>0</v>
      </c>
      <c r="Q485" t="n">
        <v>0</v>
      </c>
      <c r="R485" s="2" t="inlineStr"/>
    </row>
    <row r="486" ht="15" customHeight="1">
      <c r="A486" t="inlineStr">
        <is>
          <t>A 53557-2025</t>
        </is>
      </c>
      <c r="B486" s="1" t="n">
        <v>45960</v>
      </c>
      <c r="C486" s="1" t="n">
        <v>46076</v>
      </c>
      <c r="D486" t="inlineStr">
        <is>
          <t>UPPSALA LÄN</t>
        </is>
      </c>
      <c r="E486" t="inlineStr">
        <is>
          <t>ÖSTHAMMAR</t>
        </is>
      </c>
      <c r="G486" t="n">
        <v>1.9</v>
      </c>
      <c r="H486" t="n">
        <v>0</v>
      </c>
      <c r="I486" t="n">
        <v>0</v>
      </c>
      <c r="J486" t="n">
        <v>0</v>
      </c>
      <c r="K486" t="n">
        <v>0</v>
      </c>
      <c r="L486" t="n">
        <v>0</v>
      </c>
      <c r="M486" t="n">
        <v>0</v>
      </c>
      <c r="N486" t="n">
        <v>0</v>
      </c>
      <c r="O486" t="n">
        <v>0</v>
      </c>
      <c r="P486" t="n">
        <v>0</v>
      </c>
      <c r="Q486" t="n">
        <v>0</v>
      </c>
      <c r="R486" s="2" t="inlineStr"/>
    </row>
    <row r="487" ht="15" customHeight="1">
      <c r="A487" t="inlineStr">
        <is>
          <t>A 53961-2025</t>
        </is>
      </c>
      <c r="B487" s="1" t="n">
        <v>45961</v>
      </c>
      <c r="C487" s="1" t="n">
        <v>46076</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9264-2024</t>
        </is>
      </c>
      <c r="B488" s="1" t="n">
        <v>45358</v>
      </c>
      <c r="C488" s="1" t="n">
        <v>46076</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33784-2024</t>
        </is>
      </c>
      <c r="B489" s="1" t="n">
        <v>45520</v>
      </c>
      <c r="C489" s="1" t="n">
        <v>46076</v>
      </c>
      <c r="D489" t="inlineStr">
        <is>
          <t>UPPSALA LÄN</t>
        </is>
      </c>
      <c r="E489" t="inlineStr">
        <is>
          <t>ÖSTHAMMAR</t>
        </is>
      </c>
      <c r="F489" t="inlineStr">
        <is>
          <t>Naturvårdsverket</t>
        </is>
      </c>
      <c r="G489" t="n">
        <v>0.6</v>
      </c>
      <c r="H489" t="n">
        <v>0</v>
      </c>
      <c r="I489" t="n">
        <v>0</v>
      </c>
      <c r="J489" t="n">
        <v>0</v>
      </c>
      <c r="K489" t="n">
        <v>0</v>
      </c>
      <c r="L489" t="n">
        <v>0</v>
      </c>
      <c r="M489" t="n">
        <v>0</v>
      </c>
      <c r="N489" t="n">
        <v>0</v>
      </c>
      <c r="O489" t="n">
        <v>0</v>
      </c>
      <c r="P489" t="n">
        <v>0</v>
      </c>
      <c r="Q489" t="n">
        <v>0</v>
      </c>
      <c r="R489" s="2" t="inlineStr"/>
    </row>
    <row r="490" ht="15" customHeight="1">
      <c r="A490" t="inlineStr">
        <is>
          <t>A 11643-2022</t>
        </is>
      </c>
      <c r="B490" s="1" t="n">
        <v>44631.92662037037</v>
      </c>
      <c r="C490" s="1" t="n">
        <v>46076</v>
      </c>
      <c r="D490" t="inlineStr">
        <is>
          <t>UPPSALA LÄN</t>
        </is>
      </c>
      <c r="E490" t="inlineStr">
        <is>
          <t>ÖSTHAMMAR</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53735-2025</t>
        </is>
      </c>
      <c r="B491" s="1" t="n">
        <v>45960.64431712963</v>
      </c>
      <c r="C491" s="1" t="n">
        <v>46076</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37865-2023</t>
        </is>
      </c>
      <c r="B492" s="1" t="n">
        <v>45160</v>
      </c>
      <c r="C492" s="1" t="n">
        <v>46076</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53737-2025</t>
        </is>
      </c>
      <c r="B493" s="1" t="n">
        <v>45960.64520833334</v>
      </c>
      <c r="C493" s="1" t="n">
        <v>46076</v>
      </c>
      <c r="D493" t="inlineStr">
        <is>
          <t>UPPSALA LÄN</t>
        </is>
      </c>
      <c r="E493" t="inlineStr">
        <is>
          <t>ÖSTHAMMAR</t>
        </is>
      </c>
      <c r="F493" t="inlineStr">
        <is>
          <t>Bergvik skog öst AB</t>
        </is>
      </c>
      <c r="G493" t="n">
        <v>3</v>
      </c>
      <c r="H493" t="n">
        <v>0</v>
      </c>
      <c r="I493" t="n">
        <v>0</v>
      </c>
      <c r="J493" t="n">
        <v>0</v>
      </c>
      <c r="K493" t="n">
        <v>0</v>
      </c>
      <c r="L493" t="n">
        <v>0</v>
      </c>
      <c r="M493" t="n">
        <v>0</v>
      </c>
      <c r="N493" t="n">
        <v>0</v>
      </c>
      <c r="O493" t="n">
        <v>0</v>
      </c>
      <c r="P493" t="n">
        <v>0</v>
      </c>
      <c r="Q493" t="n">
        <v>0</v>
      </c>
      <c r="R493" s="2" t="inlineStr"/>
    </row>
    <row r="494" ht="15" customHeight="1">
      <c r="A494" t="inlineStr">
        <is>
          <t>A 34607-2023</t>
        </is>
      </c>
      <c r="B494" s="1" t="n">
        <v>45138</v>
      </c>
      <c r="C494" s="1" t="n">
        <v>46076</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54242-2025</t>
        </is>
      </c>
      <c r="B495" s="1" t="n">
        <v>45964.63251157408</v>
      </c>
      <c r="C495" s="1" t="n">
        <v>46076</v>
      </c>
      <c r="D495" t="inlineStr">
        <is>
          <t>UPPSALA LÄN</t>
        </is>
      </c>
      <c r="E495" t="inlineStr">
        <is>
          <t>ÖSTHAMMAR</t>
        </is>
      </c>
      <c r="G495" t="n">
        <v>4.7</v>
      </c>
      <c r="H495" t="n">
        <v>0</v>
      </c>
      <c r="I495" t="n">
        <v>0</v>
      </c>
      <c r="J495" t="n">
        <v>0</v>
      </c>
      <c r="K495" t="n">
        <v>0</v>
      </c>
      <c r="L495" t="n">
        <v>0</v>
      </c>
      <c r="M495" t="n">
        <v>0</v>
      </c>
      <c r="N495" t="n">
        <v>0</v>
      </c>
      <c r="O495" t="n">
        <v>0</v>
      </c>
      <c r="P495" t="n">
        <v>0</v>
      </c>
      <c r="Q495" t="n">
        <v>0</v>
      </c>
      <c r="R495" s="2" t="inlineStr"/>
    </row>
    <row r="496" ht="15" customHeight="1">
      <c r="A496" t="inlineStr">
        <is>
          <t>A 5215-2025</t>
        </is>
      </c>
      <c r="B496" s="1" t="n">
        <v>45691</v>
      </c>
      <c r="C496" s="1" t="n">
        <v>46076</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2733-2023</t>
        </is>
      </c>
      <c r="B497" s="1" t="n">
        <v>44943</v>
      </c>
      <c r="C497" s="1" t="n">
        <v>46076</v>
      </c>
      <c r="D497" t="inlineStr">
        <is>
          <t>UPPSALA LÄN</t>
        </is>
      </c>
      <c r="E497" t="inlineStr">
        <is>
          <t>ÖSTHAMMAR</t>
        </is>
      </c>
      <c r="G497" t="n">
        <v>2.6</v>
      </c>
      <c r="H497" t="n">
        <v>0</v>
      </c>
      <c r="I497" t="n">
        <v>0</v>
      </c>
      <c r="J497" t="n">
        <v>0</v>
      </c>
      <c r="K497" t="n">
        <v>0</v>
      </c>
      <c r="L497" t="n">
        <v>0</v>
      </c>
      <c r="M497" t="n">
        <v>0</v>
      </c>
      <c r="N497" t="n">
        <v>0</v>
      </c>
      <c r="O497" t="n">
        <v>0</v>
      </c>
      <c r="P497" t="n">
        <v>0</v>
      </c>
      <c r="Q497" t="n">
        <v>0</v>
      </c>
      <c r="R497" s="2" t="inlineStr"/>
    </row>
    <row r="498" ht="15" customHeight="1">
      <c r="A498" t="inlineStr">
        <is>
          <t>A 54592-2025</t>
        </is>
      </c>
      <c r="B498" s="1" t="n">
        <v>45965.74545138889</v>
      </c>
      <c r="C498" s="1" t="n">
        <v>46076</v>
      </c>
      <c r="D498" t="inlineStr">
        <is>
          <t>UPPSALA LÄN</t>
        </is>
      </c>
      <c r="E498" t="inlineStr">
        <is>
          <t>ÖSTHAMMAR</t>
        </is>
      </c>
      <c r="F498" t="inlineStr">
        <is>
          <t>Bergvik skog öst AB</t>
        </is>
      </c>
      <c r="G498" t="n">
        <v>5</v>
      </c>
      <c r="H498" t="n">
        <v>0</v>
      </c>
      <c r="I498" t="n">
        <v>0</v>
      </c>
      <c r="J498" t="n">
        <v>0</v>
      </c>
      <c r="K498" t="n">
        <v>0</v>
      </c>
      <c r="L498" t="n">
        <v>0</v>
      </c>
      <c r="M498" t="n">
        <v>0</v>
      </c>
      <c r="N498" t="n">
        <v>0</v>
      </c>
      <c r="O498" t="n">
        <v>0</v>
      </c>
      <c r="P498" t="n">
        <v>0</v>
      </c>
      <c r="Q498" t="n">
        <v>0</v>
      </c>
      <c r="R498" s="2" t="inlineStr"/>
    </row>
    <row r="499" ht="15" customHeight="1">
      <c r="A499" t="inlineStr">
        <is>
          <t>A 8769-2025</t>
        </is>
      </c>
      <c r="B499" s="1" t="n">
        <v>45712.59412037037</v>
      </c>
      <c r="C499" s="1" t="n">
        <v>46076</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34971-2022</t>
        </is>
      </c>
      <c r="B500" s="1" t="n">
        <v>44796.66613425926</v>
      </c>
      <c r="C500" s="1" t="n">
        <v>46076</v>
      </c>
      <c r="D500" t="inlineStr">
        <is>
          <t>UPPSALA LÄN</t>
        </is>
      </c>
      <c r="E500" t="inlineStr">
        <is>
          <t>ÖSTHAMMAR</t>
        </is>
      </c>
      <c r="F500" t="inlineStr">
        <is>
          <t>Bergvik skog öst AB</t>
        </is>
      </c>
      <c r="G500" t="n">
        <v>2.3</v>
      </c>
      <c r="H500" t="n">
        <v>0</v>
      </c>
      <c r="I500" t="n">
        <v>0</v>
      </c>
      <c r="J500" t="n">
        <v>0</v>
      </c>
      <c r="K500" t="n">
        <v>0</v>
      </c>
      <c r="L500" t="n">
        <v>0</v>
      </c>
      <c r="M500" t="n">
        <v>0</v>
      </c>
      <c r="N500" t="n">
        <v>0</v>
      </c>
      <c r="O500" t="n">
        <v>0</v>
      </c>
      <c r="P500" t="n">
        <v>0</v>
      </c>
      <c r="Q500" t="n">
        <v>0</v>
      </c>
      <c r="R500" s="2" t="inlineStr"/>
    </row>
    <row r="501" ht="15" customHeight="1">
      <c r="A501" t="inlineStr">
        <is>
          <t>A 3725-2022</t>
        </is>
      </c>
      <c r="B501" s="1" t="n">
        <v>44586</v>
      </c>
      <c r="C501" s="1" t="n">
        <v>46076</v>
      </c>
      <c r="D501" t="inlineStr">
        <is>
          <t>UPPSALA LÄN</t>
        </is>
      </c>
      <c r="E501" t="inlineStr">
        <is>
          <t>ÖSTHAMMAR</t>
        </is>
      </c>
      <c r="G501" t="n">
        <v>2</v>
      </c>
      <c r="H501" t="n">
        <v>0</v>
      </c>
      <c r="I501" t="n">
        <v>0</v>
      </c>
      <c r="J501" t="n">
        <v>0</v>
      </c>
      <c r="K501" t="n">
        <v>0</v>
      </c>
      <c r="L501" t="n">
        <v>0</v>
      </c>
      <c r="M501" t="n">
        <v>0</v>
      </c>
      <c r="N501" t="n">
        <v>0</v>
      </c>
      <c r="O501" t="n">
        <v>0</v>
      </c>
      <c r="P501" t="n">
        <v>0</v>
      </c>
      <c r="Q501" t="n">
        <v>0</v>
      </c>
      <c r="R501" s="2" t="inlineStr"/>
    </row>
    <row r="502" ht="15" customHeight="1">
      <c r="A502" t="inlineStr">
        <is>
          <t>A 12812-2024</t>
        </is>
      </c>
      <c r="B502" s="1" t="n">
        <v>45384.65465277778</v>
      </c>
      <c r="C502" s="1" t="n">
        <v>46076</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28170-2023</t>
        </is>
      </c>
      <c r="B503" s="1" t="n">
        <v>45093</v>
      </c>
      <c r="C503" s="1" t="n">
        <v>46076</v>
      </c>
      <c r="D503" t="inlineStr">
        <is>
          <t>UPPSALA LÄN</t>
        </is>
      </c>
      <c r="E503" t="inlineStr">
        <is>
          <t>ÖSTHAMMAR</t>
        </is>
      </c>
      <c r="G503" t="n">
        <v>7.2</v>
      </c>
      <c r="H503" t="n">
        <v>0</v>
      </c>
      <c r="I503" t="n">
        <v>0</v>
      </c>
      <c r="J503" t="n">
        <v>0</v>
      </c>
      <c r="K503" t="n">
        <v>0</v>
      </c>
      <c r="L503" t="n">
        <v>0</v>
      </c>
      <c r="M503" t="n">
        <v>0</v>
      </c>
      <c r="N503" t="n">
        <v>0</v>
      </c>
      <c r="O503" t="n">
        <v>0</v>
      </c>
      <c r="P503" t="n">
        <v>0</v>
      </c>
      <c r="Q503" t="n">
        <v>0</v>
      </c>
      <c r="R503" s="2" t="inlineStr"/>
    </row>
    <row r="504" ht="15" customHeight="1">
      <c r="A504" t="inlineStr">
        <is>
          <t>A 7876-2023</t>
        </is>
      </c>
      <c r="B504" s="1" t="n">
        <v>44973.57263888889</v>
      </c>
      <c r="C504" s="1" t="n">
        <v>46076</v>
      </c>
      <c r="D504" t="inlineStr">
        <is>
          <t>UPPSALA LÄN</t>
        </is>
      </c>
      <c r="E504" t="inlineStr">
        <is>
          <t>ÖSTHAMMAR</t>
        </is>
      </c>
      <c r="G504" t="n">
        <v>0.9</v>
      </c>
      <c r="H504" t="n">
        <v>0</v>
      </c>
      <c r="I504" t="n">
        <v>0</v>
      </c>
      <c r="J504" t="n">
        <v>0</v>
      </c>
      <c r="K504" t="n">
        <v>0</v>
      </c>
      <c r="L504" t="n">
        <v>0</v>
      </c>
      <c r="M504" t="n">
        <v>0</v>
      </c>
      <c r="N504" t="n">
        <v>0</v>
      </c>
      <c r="O504" t="n">
        <v>0</v>
      </c>
      <c r="P504" t="n">
        <v>0</v>
      </c>
      <c r="Q504" t="n">
        <v>0</v>
      </c>
      <c r="R504" s="2" t="inlineStr"/>
    </row>
    <row r="505" ht="15" customHeight="1">
      <c r="A505" t="inlineStr">
        <is>
          <t>A 54647-2025</t>
        </is>
      </c>
      <c r="B505" s="1" t="n">
        <v>45966.37258101852</v>
      </c>
      <c r="C505" s="1" t="n">
        <v>46076</v>
      </c>
      <c r="D505" t="inlineStr">
        <is>
          <t>UPPSALA LÄN</t>
        </is>
      </c>
      <c r="E505" t="inlineStr">
        <is>
          <t>ÖSTHAMMAR</t>
        </is>
      </c>
      <c r="G505" t="n">
        <v>4.3</v>
      </c>
      <c r="H505" t="n">
        <v>0</v>
      </c>
      <c r="I505" t="n">
        <v>0</v>
      </c>
      <c r="J505" t="n">
        <v>0</v>
      </c>
      <c r="K505" t="n">
        <v>0</v>
      </c>
      <c r="L505" t="n">
        <v>0</v>
      </c>
      <c r="M505" t="n">
        <v>0</v>
      </c>
      <c r="N505" t="n">
        <v>0</v>
      </c>
      <c r="O505" t="n">
        <v>0</v>
      </c>
      <c r="P505" t="n">
        <v>0</v>
      </c>
      <c r="Q505" t="n">
        <v>0</v>
      </c>
      <c r="R505" s="2" t="inlineStr"/>
    </row>
    <row r="506" ht="15" customHeight="1">
      <c r="A506" t="inlineStr">
        <is>
          <t>A 54649-2025</t>
        </is>
      </c>
      <c r="B506" s="1" t="n">
        <v>45966.37548611111</v>
      </c>
      <c r="C506" s="1" t="n">
        <v>46076</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14433-2024</t>
        </is>
      </c>
      <c r="B507" s="1" t="n">
        <v>45394.46115740741</v>
      </c>
      <c r="C507" s="1" t="n">
        <v>46076</v>
      </c>
      <c r="D507" t="inlineStr">
        <is>
          <t>UPPSALA LÄN</t>
        </is>
      </c>
      <c r="E507" t="inlineStr">
        <is>
          <t>ÖSTHAMMAR</t>
        </is>
      </c>
      <c r="G507" t="n">
        <v>1.2</v>
      </c>
      <c r="H507" t="n">
        <v>0</v>
      </c>
      <c r="I507" t="n">
        <v>0</v>
      </c>
      <c r="J507" t="n">
        <v>0</v>
      </c>
      <c r="K507" t="n">
        <v>0</v>
      </c>
      <c r="L507" t="n">
        <v>0</v>
      </c>
      <c r="M507" t="n">
        <v>0</v>
      </c>
      <c r="N507" t="n">
        <v>0</v>
      </c>
      <c r="O507" t="n">
        <v>0</v>
      </c>
      <c r="P507" t="n">
        <v>0</v>
      </c>
      <c r="Q507" t="n">
        <v>0</v>
      </c>
      <c r="R507" s="2" t="inlineStr"/>
    </row>
    <row r="508" ht="15" customHeight="1">
      <c r="A508" t="inlineStr">
        <is>
          <t>A 55298-2025</t>
        </is>
      </c>
      <c r="B508" s="1" t="n">
        <v>45969.76908564815</v>
      </c>
      <c r="C508" s="1" t="n">
        <v>46076</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20038-2023</t>
        </is>
      </c>
      <c r="B509" s="1" t="n">
        <v>45054.65834490741</v>
      </c>
      <c r="C509" s="1" t="n">
        <v>46076</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55163-2025</t>
        </is>
      </c>
      <c r="B510" s="1" t="n">
        <v>45968.48032407407</v>
      </c>
      <c r="C510" s="1" t="n">
        <v>46076</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15031-2025</t>
        </is>
      </c>
      <c r="B511" s="1" t="n">
        <v>45743.67333333333</v>
      </c>
      <c r="C511" s="1" t="n">
        <v>46076</v>
      </c>
      <c r="D511" t="inlineStr">
        <is>
          <t>UPPSALA LÄN</t>
        </is>
      </c>
      <c r="E511" t="inlineStr">
        <is>
          <t>ÖSTHAMMAR</t>
        </is>
      </c>
      <c r="G511" t="n">
        <v>9.6</v>
      </c>
      <c r="H511" t="n">
        <v>0</v>
      </c>
      <c r="I511" t="n">
        <v>0</v>
      </c>
      <c r="J511" t="n">
        <v>0</v>
      </c>
      <c r="K511" t="n">
        <v>0</v>
      </c>
      <c r="L511" t="n">
        <v>0</v>
      </c>
      <c r="M511" t="n">
        <v>0</v>
      </c>
      <c r="N511" t="n">
        <v>0</v>
      </c>
      <c r="O511" t="n">
        <v>0</v>
      </c>
      <c r="P511" t="n">
        <v>0</v>
      </c>
      <c r="Q511" t="n">
        <v>0</v>
      </c>
      <c r="R511" s="2" t="inlineStr"/>
    </row>
    <row r="512" ht="15" customHeight="1">
      <c r="A512" t="inlineStr">
        <is>
          <t>A 13738-2023</t>
        </is>
      </c>
      <c r="B512" s="1" t="n">
        <v>45007.37081018519</v>
      </c>
      <c r="C512" s="1" t="n">
        <v>46076</v>
      </c>
      <c r="D512" t="inlineStr">
        <is>
          <t>UPPSALA LÄN</t>
        </is>
      </c>
      <c r="E512" t="inlineStr">
        <is>
          <t>ÖSTHAMMAR</t>
        </is>
      </c>
      <c r="G512" t="n">
        <v>0.7</v>
      </c>
      <c r="H512" t="n">
        <v>0</v>
      </c>
      <c r="I512" t="n">
        <v>0</v>
      </c>
      <c r="J512" t="n">
        <v>0</v>
      </c>
      <c r="K512" t="n">
        <v>0</v>
      </c>
      <c r="L512" t="n">
        <v>0</v>
      </c>
      <c r="M512" t="n">
        <v>0</v>
      </c>
      <c r="N512" t="n">
        <v>0</v>
      </c>
      <c r="O512" t="n">
        <v>0</v>
      </c>
      <c r="P512" t="n">
        <v>0</v>
      </c>
      <c r="Q512" t="n">
        <v>0</v>
      </c>
      <c r="R512" s="2" t="inlineStr"/>
    </row>
    <row r="513" ht="15" customHeight="1">
      <c r="A513" t="inlineStr">
        <is>
          <t>A 55798-2025</t>
        </is>
      </c>
      <c r="B513" s="1" t="n">
        <v>45972.66209490741</v>
      </c>
      <c r="C513" s="1" t="n">
        <v>46076</v>
      </c>
      <c r="D513" t="inlineStr">
        <is>
          <t>UPPSALA LÄN</t>
        </is>
      </c>
      <c r="E513" t="inlineStr">
        <is>
          <t>ÖSTHAMMAR</t>
        </is>
      </c>
      <c r="F513" t="inlineStr">
        <is>
          <t>Bergvik skog öst AB</t>
        </is>
      </c>
      <c r="G513" t="n">
        <v>3.9</v>
      </c>
      <c r="H513" t="n">
        <v>0</v>
      </c>
      <c r="I513" t="n">
        <v>0</v>
      </c>
      <c r="J513" t="n">
        <v>0</v>
      </c>
      <c r="K513" t="n">
        <v>0</v>
      </c>
      <c r="L513" t="n">
        <v>0</v>
      </c>
      <c r="M513" t="n">
        <v>0</v>
      </c>
      <c r="N513" t="n">
        <v>0</v>
      </c>
      <c r="O513" t="n">
        <v>0</v>
      </c>
      <c r="P513" t="n">
        <v>0</v>
      </c>
      <c r="Q513" t="n">
        <v>0</v>
      </c>
      <c r="R513" s="2" t="inlineStr"/>
    </row>
    <row r="514" ht="15" customHeight="1">
      <c r="A514" t="inlineStr">
        <is>
          <t>A 43439-2024</t>
        </is>
      </c>
      <c r="B514" s="1" t="n">
        <v>45568</v>
      </c>
      <c r="C514" s="1" t="n">
        <v>46076</v>
      </c>
      <c r="D514" t="inlineStr">
        <is>
          <t>UPPSALA LÄN</t>
        </is>
      </c>
      <c r="E514" t="inlineStr">
        <is>
          <t>ÖSTHAMMAR</t>
        </is>
      </c>
      <c r="G514" t="n">
        <v>1</v>
      </c>
      <c r="H514" t="n">
        <v>0</v>
      </c>
      <c r="I514" t="n">
        <v>0</v>
      </c>
      <c r="J514" t="n">
        <v>0</v>
      </c>
      <c r="K514" t="n">
        <v>0</v>
      </c>
      <c r="L514" t="n">
        <v>0</v>
      </c>
      <c r="M514" t="n">
        <v>0</v>
      </c>
      <c r="N514" t="n">
        <v>0</v>
      </c>
      <c r="O514" t="n">
        <v>0</v>
      </c>
      <c r="P514" t="n">
        <v>0</v>
      </c>
      <c r="Q514" t="n">
        <v>0</v>
      </c>
      <c r="R514" s="2" t="inlineStr"/>
    </row>
    <row r="515" ht="15" customHeight="1">
      <c r="A515" t="inlineStr">
        <is>
          <t>A 56518-2025</t>
        </is>
      </c>
      <c r="B515" s="1" t="n">
        <v>45975.4581712963</v>
      </c>
      <c r="C515" s="1" t="n">
        <v>46076</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56682-2025</t>
        </is>
      </c>
      <c r="B516" s="1" t="n">
        <v>45975</v>
      </c>
      <c r="C516" s="1" t="n">
        <v>46076</v>
      </c>
      <c r="D516" t="inlineStr">
        <is>
          <t>UPPSALA LÄN</t>
        </is>
      </c>
      <c r="E516" t="inlineStr">
        <is>
          <t>ÖSTHAMMAR</t>
        </is>
      </c>
      <c r="G516" t="n">
        <v>3.9</v>
      </c>
      <c r="H516" t="n">
        <v>0</v>
      </c>
      <c r="I516" t="n">
        <v>0</v>
      </c>
      <c r="J516" t="n">
        <v>0</v>
      </c>
      <c r="K516" t="n">
        <v>0</v>
      </c>
      <c r="L516" t="n">
        <v>0</v>
      </c>
      <c r="M516" t="n">
        <v>0</v>
      </c>
      <c r="N516" t="n">
        <v>0</v>
      </c>
      <c r="O516" t="n">
        <v>0</v>
      </c>
      <c r="P516" t="n">
        <v>0</v>
      </c>
      <c r="Q516" t="n">
        <v>0</v>
      </c>
      <c r="R516" s="2" t="inlineStr"/>
    </row>
    <row r="517" ht="15" customHeight="1">
      <c r="A517" t="inlineStr">
        <is>
          <t>A 56582-2025</t>
        </is>
      </c>
      <c r="B517" s="1" t="n">
        <v>45975.54730324074</v>
      </c>
      <c r="C517" s="1" t="n">
        <v>46076</v>
      </c>
      <c r="D517" t="inlineStr">
        <is>
          <t>UPPSALA LÄN</t>
        </is>
      </c>
      <c r="E517" t="inlineStr">
        <is>
          <t>ÖSTHAMMAR</t>
        </is>
      </c>
      <c r="G517" t="n">
        <v>4.1</v>
      </c>
      <c r="H517" t="n">
        <v>0</v>
      </c>
      <c r="I517" t="n">
        <v>0</v>
      </c>
      <c r="J517" t="n">
        <v>0</v>
      </c>
      <c r="K517" t="n">
        <v>0</v>
      </c>
      <c r="L517" t="n">
        <v>0</v>
      </c>
      <c r="M517" t="n">
        <v>0</v>
      </c>
      <c r="N517" t="n">
        <v>0</v>
      </c>
      <c r="O517" t="n">
        <v>0</v>
      </c>
      <c r="P517" t="n">
        <v>0</v>
      </c>
      <c r="Q517" t="n">
        <v>0</v>
      </c>
      <c r="R517" s="2" t="inlineStr"/>
    </row>
    <row r="518" ht="15" customHeight="1">
      <c r="A518" t="inlineStr">
        <is>
          <t>A 56653-2025</t>
        </is>
      </c>
      <c r="B518" s="1" t="n">
        <v>45975.64628472222</v>
      </c>
      <c r="C518" s="1" t="n">
        <v>46076</v>
      </c>
      <c r="D518" t="inlineStr">
        <is>
          <t>UPPSALA LÄN</t>
        </is>
      </c>
      <c r="E518" t="inlineStr">
        <is>
          <t>ÖSTHAMMAR</t>
        </is>
      </c>
      <c r="G518" t="n">
        <v>1.7</v>
      </c>
      <c r="H518" t="n">
        <v>0</v>
      </c>
      <c r="I518" t="n">
        <v>0</v>
      </c>
      <c r="J518" t="n">
        <v>0</v>
      </c>
      <c r="K518" t="n">
        <v>0</v>
      </c>
      <c r="L518" t="n">
        <v>0</v>
      </c>
      <c r="M518" t="n">
        <v>0</v>
      </c>
      <c r="N518" t="n">
        <v>0</v>
      </c>
      <c r="O518" t="n">
        <v>0</v>
      </c>
      <c r="P518" t="n">
        <v>0</v>
      </c>
      <c r="Q518" t="n">
        <v>0</v>
      </c>
      <c r="R518" s="2" t="inlineStr"/>
    </row>
    <row r="519" ht="15" customHeight="1">
      <c r="A519" t="inlineStr">
        <is>
          <t>A 56658-2025</t>
        </is>
      </c>
      <c r="B519" s="1" t="n">
        <v>45975.65431712963</v>
      </c>
      <c r="C519" s="1" t="n">
        <v>46076</v>
      </c>
      <c r="D519" t="inlineStr">
        <is>
          <t>UPPSALA LÄN</t>
        </is>
      </c>
      <c r="E519" t="inlineStr">
        <is>
          <t>ÖSTHAMMAR</t>
        </is>
      </c>
      <c r="G519" t="n">
        <v>1.3</v>
      </c>
      <c r="H519" t="n">
        <v>0</v>
      </c>
      <c r="I519" t="n">
        <v>0</v>
      </c>
      <c r="J519" t="n">
        <v>0</v>
      </c>
      <c r="K519" t="n">
        <v>0</v>
      </c>
      <c r="L519" t="n">
        <v>0</v>
      </c>
      <c r="M519" t="n">
        <v>0</v>
      </c>
      <c r="N519" t="n">
        <v>0</v>
      </c>
      <c r="O519" t="n">
        <v>0</v>
      </c>
      <c r="P519" t="n">
        <v>0</v>
      </c>
      <c r="Q519" t="n">
        <v>0</v>
      </c>
      <c r="R519" s="2" t="inlineStr"/>
    </row>
    <row r="520" ht="15" customHeight="1">
      <c r="A520" t="inlineStr">
        <is>
          <t>A 56757-2025</t>
        </is>
      </c>
      <c r="B520" s="1" t="n">
        <v>45978.37162037037</v>
      </c>
      <c r="C520" s="1" t="n">
        <v>46076</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10290-2025</t>
        </is>
      </c>
      <c r="B521" s="1" t="n">
        <v>45720.41847222222</v>
      </c>
      <c r="C521" s="1" t="n">
        <v>46076</v>
      </c>
      <c r="D521" t="inlineStr">
        <is>
          <t>UPPSALA LÄN</t>
        </is>
      </c>
      <c r="E521" t="inlineStr">
        <is>
          <t>ÖSTHAMMAR</t>
        </is>
      </c>
      <c r="G521" t="n">
        <v>8.6</v>
      </c>
      <c r="H521" t="n">
        <v>0</v>
      </c>
      <c r="I521" t="n">
        <v>0</v>
      </c>
      <c r="J521" t="n">
        <v>0</v>
      </c>
      <c r="K521" t="n">
        <v>0</v>
      </c>
      <c r="L521" t="n">
        <v>0</v>
      </c>
      <c r="M521" t="n">
        <v>0</v>
      </c>
      <c r="N521" t="n">
        <v>0</v>
      </c>
      <c r="O521" t="n">
        <v>0</v>
      </c>
      <c r="P521" t="n">
        <v>0</v>
      </c>
      <c r="Q521" t="n">
        <v>0</v>
      </c>
      <c r="R521" s="2" t="inlineStr"/>
    </row>
    <row r="522" ht="15" customHeight="1">
      <c r="A522" t="inlineStr">
        <is>
          <t>A 56942-2025</t>
        </is>
      </c>
      <c r="B522" s="1" t="n">
        <v>45978.62611111111</v>
      </c>
      <c r="C522" s="1" t="n">
        <v>46076</v>
      </c>
      <c r="D522" t="inlineStr">
        <is>
          <t>UPPSALA LÄN</t>
        </is>
      </c>
      <c r="E522" t="inlineStr">
        <is>
          <t>ÖSTHAMMAR</t>
        </is>
      </c>
      <c r="G522" t="n">
        <v>3.2</v>
      </c>
      <c r="H522" t="n">
        <v>0</v>
      </c>
      <c r="I522" t="n">
        <v>0</v>
      </c>
      <c r="J522" t="n">
        <v>0</v>
      </c>
      <c r="K522" t="n">
        <v>0</v>
      </c>
      <c r="L522" t="n">
        <v>0</v>
      </c>
      <c r="M522" t="n">
        <v>0</v>
      </c>
      <c r="N522" t="n">
        <v>0</v>
      </c>
      <c r="O522" t="n">
        <v>0</v>
      </c>
      <c r="P522" t="n">
        <v>0</v>
      </c>
      <c r="Q522" t="n">
        <v>0</v>
      </c>
      <c r="R522" s="2" t="inlineStr"/>
    </row>
    <row r="523" ht="15" customHeight="1">
      <c r="A523" t="inlineStr">
        <is>
          <t>A 17022-2021</t>
        </is>
      </c>
      <c r="B523" s="1" t="n">
        <v>44295.65875</v>
      </c>
      <c r="C523" s="1" t="n">
        <v>46076</v>
      </c>
      <c r="D523" t="inlineStr">
        <is>
          <t>UPPSALA LÄN</t>
        </is>
      </c>
      <c r="E523" t="inlineStr">
        <is>
          <t>ÖSTHAMMAR</t>
        </is>
      </c>
      <c r="F523" t="inlineStr">
        <is>
          <t>Bergvik skog öst AB</t>
        </is>
      </c>
      <c r="G523" t="n">
        <v>0.3</v>
      </c>
      <c r="H523" t="n">
        <v>0</v>
      </c>
      <c r="I523" t="n">
        <v>0</v>
      </c>
      <c r="J523" t="n">
        <v>0</v>
      </c>
      <c r="K523" t="n">
        <v>0</v>
      </c>
      <c r="L523" t="n">
        <v>0</v>
      </c>
      <c r="M523" t="n">
        <v>0</v>
      </c>
      <c r="N523" t="n">
        <v>0</v>
      </c>
      <c r="O523" t="n">
        <v>0</v>
      </c>
      <c r="P523" t="n">
        <v>0</v>
      </c>
      <c r="Q523" t="n">
        <v>0</v>
      </c>
      <c r="R523" s="2" t="inlineStr"/>
    </row>
    <row r="524" ht="15" customHeight="1">
      <c r="A524" t="inlineStr">
        <is>
          <t>A 11469-2023</t>
        </is>
      </c>
      <c r="B524" s="1" t="n">
        <v>44993.60099537037</v>
      </c>
      <c r="C524" s="1" t="n">
        <v>46076</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56748-2025</t>
        </is>
      </c>
      <c r="B525" s="1" t="n">
        <v>45978.36412037037</v>
      </c>
      <c r="C525" s="1" t="n">
        <v>46076</v>
      </c>
      <c r="D525" t="inlineStr">
        <is>
          <t>UPPSALA LÄN</t>
        </is>
      </c>
      <c r="E525" t="inlineStr">
        <is>
          <t>ÖSTHAMMAR</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56745-2025</t>
        </is>
      </c>
      <c r="B526" s="1" t="n">
        <v>45978.36157407407</v>
      </c>
      <c r="C526" s="1" t="n">
        <v>46076</v>
      </c>
      <c r="D526" t="inlineStr">
        <is>
          <t>UPPSALA LÄN</t>
        </is>
      </c>
      <c r="E526" t="inlineStr">
        <is>
          <t>ÖSTHAMMAR</t>
        </is>
      </c>
      <c r="G526" t="n">
        <v>2.6</v>
      </c>
      <c r="H526" t="n">
        <v>0</v>
      </c>
      <c r="I526" t="n">
        <v>0</v>
      </c>
      <c r="J526" t="n">
        <v>0</v>
      </c>
      <c r="K526" t="n">
        <v>0</v>
      </c>
      <c r="L526" t="n">
        <v>0</v>
      </c>
      <c r="M526" t="n">
        <v>0</v>
      </c>
      <c r="N526" t="n">
        <v>0</v>
      </c>
      <c r="O526" t="n">
        <v>0</v>
      </c>
      <c r="P526" t="n">
        <v>0</v>
      </c>
      <c r="Q526" t="n">
        <v>0</v>
      </c>
      <c r="R526" s="2" t="inlineStr"/>
    </row>
    <row r="527" ht="15" customHeight="1">
      <c r="A527" t="inlineStr">
        <is>
          <t>A 57257-2025</t>
        </is>
      </c>
      <c r="B527" s="1" t="n">
        <v>45979.65149305556</v>
      </c>
      <c r="C527" s="1" t="n">
        <v>46076</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57248-2025</t>
        </is>
      </c>
      <c r="B528" s="1" t="n">
        <v>45979.635625</v>
      </c>
      <c r="C528" s="1" t="n">
        <v>46076</v>
      </c>
      <c r="D528" t="inlineStr">
        <is>
          <t>UPPSALA LÄN</t>
        </is>
      </c>
      <c r="E528" t="inlineStr">
        <is>
          <t>ÖSTHAMMAR</t>
        </is>
      </c>
      <c r="F528" t="inlineStr">
        <is>
          <t>Bergvik skog öst AB</t>
        </is>
      </c>
      <c r="G528" t="n">
        <v>2.8</v>
      </c>
      <c r="H528" t="n">
        <v>0</v>
      </c>
      <c r="I528" t="n">
        <v>0</v>
      </c>
      <c r="J528" t="n">
        <v>0</v>
      </c>
      <c r="K528" t="n">
        <v>0</v>
      </c>
      <c r="L528" t="n">
        <v>0</v>
      </c>
      <c r="M528" t="n">
        <v>0</v>
      </c>
      <c r="N528" t="n">
        <v>0</v>
      </c>
      <c r="O528" t="n">
        <v>0</v>
      </c>
      <c r="P528" t="n">
        <v>0</v>
      </c>
      <c r="Q528" t="n">
        <v>0</v>
      </c>
      <c r="R528" s="2" t="inlineStr"/>
    </row>
    <row r="529" ht="15" customHeight="1">
      <c r="A529" t="inlineStr">
        <is>
          <t>A 56754-2025</t>
        </is>
      </c>
      <c r="B529" s="1" t="n">
        <v>45978.36700231482</v>
      </c>
      <c r="C529" s="1" t="n">
        <v>46076</v>
      </c>
      <c r="D529" t="inlineStr">
        <is>
          <t>UPPSALA LÄN</t>
        </is>
      </c>
      <c r="E529" t="inlineStr">
        <is>
          <t>ÖSTHAMMAR</t>
        </is>
      </c>
      <c r="G529" t="n">
        <v>0.9</v>
      </c>
      <c r="H529" t="n">
        <v>0</v>
      </c>
      <c r="I529" t="n">
        <v>0</v>
      </c>
      <c r="J529" t="n">
        <v>0</v>
      </c>
      <c r="K529" t="n">
        <v>0</v>
      </c>
      <c r="L529" t="n">
        <v>0</v>
      </c>
      <c r="M529" t="n">
        <v>0</v>
      </c>
      <c r="N529" t="n">
        <v>0</v>
      </c>
      <c r="O529" t="n">
        <v>0</v>
      </c>
      <c r="P529" t="n">
        <v>0</v>
      </c>
      <c r="Q529" t="n">
        <v>0</v>
      </c>
      <c r="R529" s="2" t="inlineStr"/>
    </row>
    <row r="530" ht="15" customHeight="1">
      <c r="A530" t="inlineStr">
        <is>
          <t>A 56753-2025</t>
        </is>
      </c>
      <c r="B530" s="1" t="n">
        <v>45978.36677083333</v>
      </c>
      <c r="C530" s="1" t="n">
        <v>46076</v>
      </c>
      <c r="D530" t="inlineStr">
        <is>
          <t>UPPSALA LÄN</t>
        </is>
      </c>
      <c r="E530" t="inlineStr">
        <is>
          <t>ÖSTHAMMAR</t>
        </is>
      </c>
      <c r="F530" t="inlineStr">
        <is>
          <t>Sveaskog</t>
        </is>
      </c>
      <c r="G530" t="n">
        <v>8.6</v>
      </c>
      <c r="H530" t="n">
        <v>0</v>
      </c>
      <c r="I530" t="n">
        <v>0</v>
      </c>
      <c r="J530" t="n">
        <v>0</v>
      </c>
      <c r="K530" t="n">
        <v>0</v>
      </c>
      <c r="L530" t="n">
        <v>0</v>
      </c>
      <c r="M530" t="n">
        <v>0</v>
      </c>
      <c r="N530" t="n">
        <v>0</v>
      </c>
      <c r="O530" t="n">
        <v>0</v>
      </c>
      <c r="P530" t="n">
        <v>0</v>
      </c>
      <c r="Q530" t="n">
        <v>0</v>
      </c>
      <c r="R530" s="2" t="inlineStr"/>
    </row>
    <row r="531" ht="15" customHeight="1">
      <c r="A531" t="inlineStr">
        <is>
          <t>A 56823-2025</t>
        </is>
      </c>
      <c r="B531" s="1" t="n">
        <v>45978.46484953703</v>
      </c>
      <c r="C531" s="1" t="n">
        <v>46076</v>
      </c>
      <c r="D531" t="inlineStr">
        <is>
          <t>UPPSALA LÄN</t>
        </is>
      </c>
      <c r="E531" t="inlineStr">
        <is>
          <t>ÖSTHAMMAR</t>
        </is>
      </c>
      <c r="G531" t="n">
        <v>0.1</v>
      </c>
      <c r="H531" t="n">
        <v>0</v>
      </c>
      <c r="I531" t="n">
        <v>0</v>
      </c>
      <c r="J531" t="n">
        <v>0</v>
      </c>
      <c r="K531" t="n">
        <v>0</v>
      </c>
      <c r="L531" t="n">
        <v>0</v>
      </c>
      <c r="M531" t="n">
        <v>0</v>
      </c>
      <c r="N531" t="n">
        <v>0</v>
      </c>
      <c r="O531" t="n">
        <v>0</v>
      </c>
      <c r="P531" t="n">
        <v>0</v>
      </c>
      <c r="Q531" t="n">
        <v>0</v>
      </c>
      <c r="R531" s="2" t="inlineStr"/>
    </row>
    <row r="532" ht="15" customHeight="1">
      <c r="A532" t="inlineStr">
        <is>
          <t>A 57154-2025</t>
        </is>
      </c>
      <c r="B532" s="1" t="n">
        <v>45979.51086805556</v>
      </c>
      <c r="C532" s="1" t="n">
        <v>46076</v>
      </c>
      <c r="D532" t="inlineStr">
        <is>
          <t>UPPSALA LÄN</t>
        </is>
      </c>
      <c r="E532" t="inlineStr">
        <is>
          <t>ÖSTHAMMAR</t>
        </is>
      </c>
      <c r="G532" t="n">
        <v>1.9</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44732.464375</v>
      </c>
      <c r="C533" s="1" t="n">
        <v>46076</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14859-2025</t>
        </is>
      </c>
      <c r="B534" s="1" t="n">
        <v>45743.42427083333</v>
      </c>
      <c r="C534" s="1" t="n">
        <v>46076</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57907-2025</t>
        </is>
      </c>
      <c r="B535" s="1" t="n">
        <v>45981.78840277778</v>
      </c>
      <c r="C535" s="1" t="n">
        <v>46076</v>
      </c>
      <c r="D535" t="inlineStr">
        <is>
          <t>UPPSALA LÄN</t>
        </is>
      </c>
      <c r="E535" t="inlineStr">
        <is>
          <t>ÖSTHAMMAR</t>
        </is>
      </c>
      <c r="F535" t="inlineStr">
        <is>
          <t>Bergvik skog öst AB</t>
        </is>
      </c>
      <c r="G535" t="n">
        <v>2.9</v>
      </c>
      <c r="H535" t="n">
        <v>0</v>
      </c>
      <c r="I535" t="n">
        <v>0</v>
      </c>
      <c r="J535" t="n">
        <v>0</v>
      </c>
      <c r="K535" t="n">
        <v>0</v>
      </c>
      <c r="L535" t="n">
        <v>0</v>
      </c>
      <c r="M535" t="n">
        <v>0</v>
      </c>
      <c r="N535" t="n">
        <v>0</v>
      </c>
      <c r="O535" t="n">
        <v>0</v>
      </c>
      <c r="P535" t="n">
        <v>0</v>
      </c>
      <c r="Q535" t="n">
        <v>0</v>
      </c>
      <c r="R535" s="2" t="inlineStr"/>
    </row>
    <row r="536" ht="15" customHeight="1">
      <c r="A536" t="inlineStr">
        <is>
          <t>A 14671-2022</t>
        </is>
      </c>
      <c r="B536" s="1" t="n">
        <v>44655.80475694445</v>
      </c>
      <c r="C536" s="1" t="n">
        <v>46076</v>
      </c>
      <c r="D536" t="inlineStr">
        <is>
          <t>UPPSALA LÄN</t>
        </is>
      </c>
      <c r="E536" t="inlineStr">
        <is>
          <t>ÖSTHAMMAR</t>
        </is>
      </c>
      <c r="G536" t="n">
        <v>1.9</v>
      </c>
      <c r="H536" t="n">
        <v>0</v>
      </c>
      <c r="I536" t="n">
        <v>0</v>
      </c>
      <c r="J536" t="n">
        <v>0</v>
      </c>
      <c r="K536" t="n">
        <v>0</v>
      </c>
      <c r="L536" t="n">
        <v>0</v>
      </c>
      <c r="M536" t="n">
        <v>0</v>
      </c>
      <c r="N536" t="n">
        <v>0</v>
      </c>
      <c r="O536" t="n">
        <v>0</v>
      </c>
      <c r="P536" t="n">
        <v>0</v>
      </c>
      <c r="Q536" t="n">
        <v>0</v>
      </c>
      <c r="R536" s="2" t="inlineStr"/>
    </row>
    <row r="537" ht="15" customHeight="1">
      <c r="A537" t="inlineStr">
        <is>
          <t>A 57908-2025</t>
        </is>
      </c>
      <c r="B537" s="1" t="n">
        <v>45981.78886574074</v>
      </c>
      <c r="C537" s="1" t="n">
        <v>46076</v>
      </c>
      <c r="D537" t="inlineStr">
        <is>
          <t>UPPSALA LÄN</t>
        </is>
      </c>
      <c r="E537" t="inlineStr">
        <is>
          <t>ÖSTHAMMAR</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58399-2025</t>
        </is>
      </c>
      <c r="B538" s="1" t="n">
        <v>45985.56244212963</v>
      </c>
      <c r="C538" s="1" t="n">
        <v>46076</v>
      </c>
      <c r="D538" t="inlineStr">
        <is>
          <t>UPPSALA LÄN</t>
        </is>
      </c>
      <c r="E538" t="inlineStr">
        <is>
          <t>ÖSTHAMMAR</t>
        </is>
      </c>
      <c r="G538" t="n">
        <v>2.6</v>
      </c>
      <c r="H538" t="n">
        <v>0</v>
      </c>
      <c r="I538" t="n">
        <v>0</v>
      </c>
      <c r="J538" t="n">
        <v>0</v>
      </c>
      <c r="K538" t="n">
        <v>0</v>
      </c>
      <c r="L538" t="n">
        <v>0</v>
      </c>
      <c r="M538" t="n">
        <v>0</v>
      </c>
      <c r="N538" t="n">
        <v>0</v>
      </c>
      <c r="O538" t="n">
        <v>0</v>
      </c>
      <c r="P538" t="n">
        <v>0</v>
      </c>
      <c r="Q538" t="n">
        <v>0</v>
      </c>
      <c r="R538" s="2" t="inlineStr"/>
    </row>
    <row r="539" ht="15" customHeight="1">
      <c r="A539" t="inlineStr">
        <is>
          <t>A 46399-2023</t>
        </is>
      </c>
      <c r="B539" s="1" t="n">
        <v>45197.49262731482</v>
      </c>
      <c r="C539" s="1" t="n">
        <v>46076</v>
      </c>
      <c r="D539" t="inlineStr">
        <is>
          <t>UPPSALA LÄN</t>
        </is>
      </c>
      <c r="E539" t="inlineStr">
        <is>
          <t>ÖSTHAMMAR</t>
        </is>
      </c>
      <c r="G539" t="n">
        <v>5.8</v>
      </c>
      <c r="H539" t="n">
        <v>0</v>
      </c>
      <c r="I539" t="n">
        <v>0</v>
      </c>
      <c r="J539" t="n">
        <v>0</v>
      </c>
      <c r="K539" t="n">
        <v>0</v>
      </c>
      <c r="L539" t="n">
        <v>0</v>
      </c>
      <c r="M539" t="n">
        <v>0</v>
      </c>
      <c r="N539" t="n">
        <v>0</v>
      </c>
      <c r="O539" t="n">
        <v>0</v>
      </c>
      <c r="P539" t="n">
        <v>0</v>
      </c>
      <c r="Q539" t="n">
        <v>0</v>
      </c>
      <c r="R539" s="2" t="inlineStr"/>
    </row>
    <row r="540" ht="15" customHeight="1">
      <c r="A540" t="inlineStr">
        <is>
          <t>A 45550-2023</t>
        </is>
      </c>
      <c r="B540" s="1" t="n">
        <v>45194.57125</v>
      </c>
      <c r="C540" s="1" t="n">
        <v>46076</v>
      </c>
      <c r="D540" t="inlineStr">
        <is>
          <t>UPPSALA LÄN</t>
        </is>
      </c>
      <c r="E540" t="inlineStr">
        <is>
          <t>ÖSTHAMMAR</t>
        </is>
      </c>
      <c r="F540" t="inlineStr">
        <is>
          <t>Bergvik skog öst AB</t>
        </is>
      </c>
      <c r="G540" t="n">
        <v>0.4</v>
      </c>
      <c r="H540" t="n">
        <v>0</v>
      </c>
      <c r="I540" t="n">
        <v>0</v>
      </c>
      <c r="J540" t="n">
        <v>0</v>
      </c>
      <c r="K540" t="n">
        <v>0</v>
      </c>
      <c r="L540" t="n">
        <v>0</v>
      </c>
      <c r="M540" t="n">
        <v>0</v>
      </c>
      <c r="N540" t="n">
        <v>0</v>
      </c>
      <c r="O540" t="n">
        <v>0</v>
      </c>
      <c r="P540" t="n">
        <v>0</v>
      </c>
      <c r="Q540" t="n">
        <v>0</v>
      </c>
      <c r="R540" s="2" t="inlineStr"/>
    </row>
    <row r="541" ht="15" customHeight="1">
      <c r="A541" t="inlineStr">
        <is>
          <t>A 15445-2022</t>
        </is>
      </c>
      <c r="B541" s="1" t="n">
        <v>44660.4987962963</v>
      </c>
      <c r="C541" s="1" t="n">
        <v>46076</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20634-2024</t>
        </is>
      </c>
      <c r="B542" s="1" t="n">
        <v>45436</v>
      </c>
      <c r="C542" s="1" t="n">
        <v>46076</v>
      </c>
      <c r="D542" t="inlineStr">
        <is>
          <t>UPPSALA LÄN</t>
        </is>
      </c>
      <c r="E542" t="inlineStr">
        <is>
          <t>ÖSTHAMMAR</t>
        </is>
      </c>
      <c r="G542" t="n">
        <v>6.5</v>
      </c>
      <c r="H542" t="n">
        <v>0</v>
      </c>
      <c r="I542" t="n">
        <v>0</v>
      </c>
      <c r="J542" t="n">
        <v>0</v>
      </c>
      <c r="K542" t="n">
        <v>0</v>
      </c>
      <c r="L542" t="n">
        <v>0</v>
      </c>
      <c r="M542" t="n">
        <v>0</v>
      </c>
      <c r="N542" t="n">
        <v>0</v>
      </c>
      <c r="O542" t="n">
        <v>0</v>
      </c>
      <c r="P542" t="n">
        <v>0</v>
      </c>
      <c r="Q542" t="n">
        <v>0</v>
      </c>
      <c r="R542" s="2" t="inlineStr"/>
    </row>
    <row r="543" ht="15" customHeight="1">
      <c r="A543" t="inlineStr">
        <is>
          <t>A 18088-2025</t>
        </is>
      </c>
      <c r="B543" s="1" t="n">
        <v>45761.53104166667</v>
      </c>
      <c r="C543" s="1" t="n">
        <v>46076</v>
      </c>
      <c r="D543" t="inlineStr">
        <is>
          <t>UPPSALA LÄN</t>
        </is>
      </c>
      <c r="E543" t="inlineStr">
        <is>
          <t>ÖSTHAMMAR</t>
        </is>
      </c>
      <c r="F543" t="inlineStr">
        <is>
          <t>Bergvik skog öst AB</t>
        </is>
      </c>
      <c r="G543" t="n">
        <v>1.9</v>
      </c>
      <c r="H543" t="n">
        <v>0</v>
      </c>
      <c r="I543" t="n">
        <v>0</v>
      </c>
      <c r="J543" t="n">
        <v>0</v>
      </c>
      <c r="K543" t="n">
        <v>0</v>
      </c>
      <c r="L543" t="n">
        <v>0</v>
      </c>
      <c r="M543" t="n">
        <v>0</v>
      </c>
      <c r="N543" t="n">
        <v>0</v>
      </c>
      <c r="O543" t="n">
        <v>0</v>
      </c>
      <c r="P543" t="n">
        <v>0</v>
      </c>
      <c r="Q543" t="n">
        <v>0</v>
      </c>
      <c r="R543" s="2" t="inlineStr"/>
    </row>
    <row r="544" ht="15" customHeight="1">
      <c r="A544" t="inlineStr">
        <is>
          <t>A 18095-2025</t>
        </is>
      </c>
      <c r="B544" s="1" t="n">
        <v>45761.54925925926</v>
      </c>
      <c r="C544" s="1" t="n">
        <v>46076</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61257-2022</t>
        </is>
      </c>
      <c r="B545" s="1" t="n">
        <v>44915.59418981482</v>
      </c>
      <c r="C545" s="1" t="n">
        <v>46076</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59745-2025</t>
        </is>
      </c>
      <c r="B546" s="1" t="n">
        <v>45992.57708333333</v>
      </c>
      <c r="C546" s="1" t="n">
        <v>46076</v>
      </c>
      <c r="D546" t="inlineStr">
        <is>
          <t>UPPSALA LÄN</t>
        </is>
      </c>
      <c r="E546" t="inlineStr">
        <is>
          <t>ÖSTHAMMAR</t>
        </is>
      </c>
      <c r="F546" t="inlineStr">
        <is>
          <t>Bergvik skog öst AB</t>
        </is>
      </c>
      <c r="G546" t="n">
        <v>3.3</v>
      </c>
      <c r="H546" t="n">
        <v>0</v>
      </c>
      <c r="I546" t="n">
        <v>0</v>
      </c>
      <c r="J546" t="n">
        <v>0</v>
      </c>
      <c r="K546" t="n">
        <v>0</v>
      </c>
      <c r="L546" t="n">
        <v>0</v>
      </c>
      <c r="M546" t="n">
        <v>0</v>
      </c>
      <c r="N546" t="n">
        <v>0</v>
      </c>
      <c r="O546" t="n">
        <v>0</v>
      </c>
      <c r="P546" t="n">
        <v>0</v>
      </c>
      <c r="Q546" t="n">
        <v>0</v>
      </c>
      <c r="R546" s="2" t="inlineStr"/>
    </row>
    <row r="547" ht="15" customHeight="1">
      <c r="A547" t="inlineStr">
        <is>
          <t>A 59706-2025</t>
        </is>
      </c>
      <c r="B547" s="1" t="n">
        <v>45992.50333333333</v>
      </c>
      <c r="C547" s="1" t="n">
        <v>46076</v>
      </c>
      <c r="D547" t="inlineStr">
        <is>
          <t>UPPSALA LÄN</t>
        </is>
      </c>
      <c r="E547" t="inlineStr">
        <is>
          <t>ÖSTHAMMAR</t>
        </is>
      </c>
      <c r="F547" t="inlineStr">
        <is>
          <t>Bergvik skog öst AB</t>
        </is>
      </c>
      <c r="G547" t="n">
        <v>1.6</v>
      </c>
      <c r="H547" t="n">
        <v>0</v>
      </c>
      <c r="I547" t="n">
        <v>0</v>
      </c>
      <c r="J547" t="n">
        <v>0</v>
      </c>
      <c r="K547" t="n">
        <v>0</v>
      </c>
      <c r="L547" t="n">
        <v>0</v>
      </c>
      <c r="M547" t="n">
        <v>0</v>
      </c>
      <c r="N547" t="n">
        <v>0</v>
      </c>
      <c r="O547" t="n">
        <v>0</v>
      </c>
      <c r="P547" t="n">
        <v>0</v>
      </c>
      <c r="Q547" t="n">
        <v>0</v>
      </c>
      <c r="R547" s="2" t="inlineStr"/>
    </row>
    <row r="548" ht="15" customHeight="1">
      <c r="A548" t="inlineStr">
        <is>
          <t>A 59708-2025</t>
        </is>
      </c>
      <c r="B548" s="1" t="n">
        <v>45992.50802083333</v>
      </c>
      <c r="C548" s="1" t="n">
        <v>46076</v>
      </c>
      <c r="D548" t="inlineStr">
        <is>
          <t>UPPSALA LÄN</t>
        </is>
      </c>
      <c r="E548" t="inlineStr">
        <is>
          <t>ÖSTHAMMAR</t>
        </is>
      </c>
      <c r="F548" t="inlineStr">
        <is>
          <t>Bergvik skog öst AB</t>
        </is>
      </c>
      <c r="G548" t="n">
        <v>3.2</v>
      </c>
      <c r="H548" t="n">
        <v>0</v>
      </c>
      <c r="I548" t="n">
        <v>0</v>
      </c>
      <c r="J548" t="n">
        <v>0</v>
      </c>
      <c r="K548" t="n">
        <v>0</v>
      </c>
      <c r="L548" t="n">
        <v>0</v>
      </c>
      <c r="M548" t="n">
        <v>0</v>
      </c>
      <c r="N548" t="n">
        <v>0</v>
      </c>
      <c r="O548" t="n">
        <v>0</v>
      </c>
      <c r="P548" t="n">
        <v>0</v>
      </c>
      <c r="Q548" t="n">
        <v>0</v>
      </c>
      <c r="R548" s="2" t="inlineStr"/>
    </row>
    <row r="549" ht="15" customHeight="1">
      <c r="A549" t="inlineStr">
        <is>
          <t>A 59743-2025</t>
        </is>
      </c>
      <c r="B549" s="1" t="n">
        <v>45992.57668981481</v>
      </c>
      <c r="C549" s="1" t="n">
        <v>46076</v>
      </c>
      <c r="D549" t="inlineStr">
        <is>
          <t>UPPSALA LÄN</t>
        </is>
      </c>
      <c r="E549" t="inlineStr">
        <is>
          <t>ÖSTHAMMAR</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1906-2026</t>
        </is>
      </c>
      <c r="B550" s="1" t="n">
        <v>46035.55158564815</v>
      </c>
      <c r="C550" s="1" t="n">
        <v>46076</v>
      </c>
      <c r="D550" t="inlineStr">
        <is>
          <t>UPPSALA LÄN</t>
        </is>
      </c>
      <c r="E550" t="inlineStr">
        <is>
          <t>ÖSTHAMMAR</t>
        </is>
      </c>
      <c r="F550" t="inlineStr">
        <is>
          <t>Bergvik skog öst AB</t>
        </is>
      </c>
      <c r="G550" t="n">
        <v>4.3</v>
      </c>
      <c r="H550" t="n">
        <v>0</v>
      </c>
      <c r="I550" t="n">
        <v>0</v>
      </c>
      <c r="J550" t="n">
        <v>0</v>
      </c>
      <c r="K550" t="n">
        <v>0</v>
      </c>
      <c r="L550" t="n">
        <v>0</v>
      </c>
      <c r="M550" t="n">
        <v>0</v>
      </c>
      <c r="N550" t="n">
        <v>0</v>
      </c>
      <c r="O550" t="n">
        <v>0</v>
      </c>
      <c r="P550" t="n">
        <v>0</v>
      </c>
      <c r="Q550" t="n">
        <v>0</v>
      </c>
      <c r="R550" s="2" t="inlineStr"/>
    </row>
    <row r="551" ht="15" customHeight="1">
      <c r="A551" t="inlineStr">
        <is>
          <t>A 32778-2023</t>
        </is>
      </c>
      <c r="B551" s="1" t="n">
        <v>45123.88789351852</v>
      </c>
      <c r="C551" s="1" t="n">
        <v>46076</v>
      </c>
      <c r="D551" t="inlineStr">
        <is>
          <t>UPPSALA LÄN</t>
        </is>
      </c>
      <c r="E551" t="inlineStr">
        <is>
          <t>ÖSTHAMMAR</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2615-2026</t>
        </is>
      </c>
      <c r="B552" s="1" t="n">
        <v>46037.58893518519</v>
      </c>
      <c r="C552" s="1" t="n">
        <v>46076</v>
      </c>
      <c r="D552" t="inlineStr">
        <is>
          <t>UPPSALA LÄN</t>
        </is>
      </c>
      <c r="E552" t="inlineStr">
        <is>
          <t>ÖSTHAMMAR</t>
        </is>
      </c>
      <c r="G552" t="n">
        <v>3.2</v>
      </c>
      <c r="H552" t="n">
        <v>0</v>
      </c>
      <c r="I552" t="n">
        <v>0</v>
      </c>
      <c r="J552" t="n">
        <v>0</v>
      </c>
      <c r="K552" t="n">
        <v>0</v>
      </c>
      <c r="L552" t="n">
        <v>0</v>
      </c>
      <c r="M552" t="n">
        <v>0</v>
      </c>
      <c r="N552" t="n">
        <v>0</v>
      </c>
      <c r="O552" t="n">
        <v>0</v>
      </c>
      <c r="P552" t="n">
        <v>0</v>
      </c>
      <c r="Q552" t="n">
        <v>0</v>
      </c>
      <c r="R552" s="2" t="inlineStr"/>
    </row>
    <row r="553" ht="15" customHeight="1">
      <c r="A553" t="inlineStr">
        <is>
          <t>A 2620-2026</t>
        </is>
      </c>
      <c r="B553" s="1" t="n">
        <v>46037.59137731481</v>
      </c>
      <c r="C553" s="1" t="n">
        <v>46076</v>
      </c>
      <c r="D553" t="inlineStr">
        <is>
          <t>UPPSALA LÄN</t>
        </is>
      </c>
      <c r="E553" t="inlineStr">
        <is>
          <t>ÖSTHAMMAR</t>
        </is>
      </c>
      <c r="G553" t="n">
        <v>4.4</v>
      </c>
      <c r="H553" t="n">
        <v>0</v>
      </c>
      <c r="I553" t="n">
        <v>0</v>
      </c>
      <c r="J553" t="n">
        <v>0</v>
      </c>
      <c r="K553" t="n">
        <v>0</v>
      </c>
      <c r="L553" t="n">
        <v>0</v>
      </c>
      <c r="M553" t="n">
        <v>0</v>
      </c>
      <c r="N553" t="n">
        <v>0</v>
      </c>
      <c r="O553" t="n">
        <v>0</v>
      </c>
      <c r="P553" t="n">
        <v>0</v>
      </c>
      <c r="Q553" t="n">
        <v>0</v>
      </c>
      <c r="R553" s="2" t="inlineStr"/>
    </row>
    <row r="554" ht="15" customHeight="1">
      <c r="A554" t="inlineStr">
        <is>
          <t>A 2352-2026</t>
        </is>
      </c>
      <c r="B554" s="1" t="n">
        <v>46034</v>
      </c>
      <c r="C554" s="1" t="n">
        <v>46076</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2358-2026</t>
        </is>
      </c>
      <c r="B555" s="1" t="n">
        <v>46034</v>
      </c>
      <c r="C555" s="1" t="n">
        <v>46076</v>
      </c>
      <c r="D555" t="inlineStr">
        <is>
          <t>UPPSALA LÄN</t>
        </is>
      </c>
      <c r="E555" t="inlineStr">
        <is>
          <t>ÖSTHAMMAR</t>
        </is>
      </c>
      <c r="G555" t="n">
        <v>3.6</v>
      </c>
      <c r="H555" t="n">
        <v>0</v>
      </c>
      <c r="I555" t="n">
        <v>0</v>
      </c>
      <c r="J555" t="n">
        <v>0</v>
      </c>
      <c r="K555" t="n">
        <v>0</v>
      </c>
      <c r="L555" t="n">
        <v>0</v>
      </c>
      <c r="M555" t="n">
        <v>0</v>
      </c>
      <c r="N555" t="n">
        <v>0</v>
      </c>
      <c r="O555" t="n">
        <v>0</v>
      </c>
      <c r="P555" t="n">
        <v>0</v>
      </c>
      <c r="Q555" t="n">
        <v>0</v>
      </c>
      <c r="R555" s="2" t="inlineStr"/>
    </row>
    <row r="556" ht="15" customHeight="1">
      <c r="A556" t="inlineStr">
        <is>
          <t>A 1436-2025</t>
        </is>
      </c>
      <c r="B556" s="1" t="n">
        <v>45669.67625</v>
      </c>
      <c r="C556" s="1" t="n">
        <v>46076</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1525-2025</t>
        </is>
      </c>
      <c r="B557" s="1" t="n">
        <v>45670.47300925926</v>
      </c>
      <c r="C557" s="1" t="n">
        <v>46076</v>
      </c>
      <c r="D557" t="inlineStr">
        <is>
          <t>UPPSALA LÄN</t>
        </is>
      </c>
      <c r="E557" t="inlineStr">
        <is>
          <t>ÖSTHAMMAR</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57156-2025</t>
        </is>
      </c>
      <c r="B558" s="1" t="n">
        <v>45979.51591435185</v>
      </c>
      <c r="C558" s="1" t="n">
        <v>46076</v>
      </c>
      <c r="D558" t="inlineStr">
        <is>
          <t>UPPSALA LÄN</t>
        </is>
      </c>
      <c r="E558" t="inlineStr">
        <is>
          <t>ÖSTHAMMAR</t>
        </is>
      </c>
      <c r="G558" t="n">
        <v>1.8</v>
      </c>
      <c r="H558" t="n">
        <v>0</v>
      </c>
      <c r="I558" t="n">
        <v>0</v>
      </c>
      <c r="J558" t="n">
        <v>0</v>
      </c>
      <c r="K558" t="n">
        <v>0</v>
      </c>
      <c r="L558" t="n">
        <v>0</v>
      </c>
      <c r="M558" t="n">
        <v>0</v>
      </c>
      <c r="N558" t="n">
        <v>0</v>
      </c>
      <c r="O558" t="n">
        <v>0</v>
      </c>
      <c r="P558" t="n">
        <v>0</v>
      </c>
      <c r="Q558" t="n">
        <v>0</v>
      </c>
      <c r="R558" s="2" t="inlineStr"/>
    </row>
    <row r="559" ht="15" customHeight="1">
      <c r="A559" t="inlineStr">
        <is>
          <t>A 60738-2025</t>
        </is>
      </c>
      <c r="B559" s="1" t="n">
        <v>45996.83506944445</v>
      </c>
      <c r="C559" s="1" t="n">
        <v>46076</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24367-2022</t>
        </is>
      </c>
      <c r="B560" s="1" t="n">
        <v>44726.42716435185</v>
      </c>
      <c r="C560" s="1" t="n">
        <v>46076</v>
      </c>
      <c r="D560" t="inlineStr">
        <is>
          <t>UPPSALA LÄN</t>
        </is>
      </c>
      <c r="E560" t="inlineStr">
        <is>
          <t>ÖSTHAMMAR</t>
        </is>
      </c>
      <c r="G560" t="n">
        <v>2.7</v>
      </c>
      <c r="H560" t="n">
        <v>0</v>
      </c>
      <c r="I560" t="n">
        <v>0</v>
      </c>
      <c r="J560" t="n">
        <v>0</v>
      </c>
      <c r="K560" t="n">
        <v>0</v>
      </c>
      <c r="L560" t="n">
        <v>0</v>
      </c>
      <c r="M560" t="n">
        <v>0</v>
      </c>
      <c r="N560" t="n">
        <v>0</v>
      </c>
      <c r="O560" t="n">
        <v>0</v>
      </c>
      <c r="P560" t="n">
        <v>0</v>
      </c>
      <c r="Q560" t="n">
        <v>0</v>
      </c>
      <c r="R560" s="2" t="inlineStr"/>
    </row>
    <row r="561" ht="15" customHeight="1">
      <c r="A561" t="inlineStr">
        <is>
          <t>A 5933-2022</t>
        </is>
      </c>
      <c r="B561" s="1" t="n">
        <v>44598.82957175926</v>
      </c>
      <c r="C561" s="1" t="n">
        <v>46076</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60603-2025</t>
        </is>
      </c>
      <c r="B562" s="1" t="n">
        <v>45996.3543287037</v>
      </c>
      <c r="C562" s="1" t="n">
        <v>46076</v>
      </c>
      <c r="D562" t="inlineStr">
        <is>
          <t>UPPSALA LÄN</t>
        </is>
      </c>
      <c r="E562" t="inlineStr">
        <is>
          <t>ÖSTHAMMAR</t>
        </is>
      </c>
      <c r="G562" t="n">
        <v>4.7</v>
      </c>
      <c r="H562" t="n">
        <v>0</v>
      </c>
      <c r="I562" t="n">
        <v>0</v>
      </c>
      <c r="J562" t="n">
        <v>0</v>
      </c>
      <c r="K562" t="n">
        <v>0</v>
      </c>
      <c r="L562" t="n">
        <v>0</v>
      </c>
      <c r="M562" t="n">
        <v>0</v>
      </c>
      <c r="N562" t="n">
        <v>0</v>
      </c>
      <c r="O562" t="n">
        <v>0</v>
      </c>
      <c r="P562" t="n">
        <v>0</v>
      </c>
      <c r="Q562" t="n">
        <v>0</v>
      </c>
      <c r="R562" s="2" t="inlineStr"/>
    </row>
    <row r="563" ht="15" customHeight="1">
      <c r="A563" t="inlineStr">
        <is>
          <t>A 3095-2026</t>
        </is>
      </c>
      <c r="B563" s="1" t="n">
        <v>46040.90493055555</v>
      </c>
      <c r="C563" s="1" t="n">
        <v>46076</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64774-2023</t>
        </is>
      </c>
      <c r="B564" s="1" t="n">
        <v>45282</v>
      </c>
      <c r="C564" s="1" t="n">
        <v>46076</v>
      </c>
      <c r="D564" t="inlineStr">
        <is>
          <t>UPPSALA LÄN</t>
        </is>
      </c>
      <c r="E564" t="inlineStr">
        <is>
          <t>ÖSTHAMMAR</t>
        </is>
      </c>
      <c r="F564" t="inlineStr">
        <is>
          <t>Övriga Aktiebolag</t>
        </is>
      </c>
      <c r="G564" t="n">
        <v>3.7</v>
      </c>
      <c r="H564" t="n">
        <v>0</v>
      </c>
      <c r="I564" t="n">
        <v>0</v>
      </c>
      <c r="J564" t="n">
        <v>0</v>
      </c>
      <c r="K564" t="n">
        <v>0</v>
      </c>
      <c r="L564" t="n">
        <v>0</v>
      </c>
      <c r="M564" t="n">
        <v>0</v>
      </c>
      <c r="N564" t="n">
        <v>0</v>
      </c>
      <c r="O564" t="n">
        <v>0</v>
      </c>
      <c r="P564" t="n">
        <v>0</v>
      </c>
      <c r="Q564" t="n">
        <v>0</v>
      </c>
      <c r="R564" s="2" t="inlineStr"/>
    </row>
    <row r="565" ht="15" customHeight="1">
      <c r="A565" t="inlineStr">
        <is>
          <t>A 60910-2025</t>
        </is>
      </c>
      <c r="B565" s="1" t="n">
        <v>45999.59837962963</v>
      </c>
      <c r="C565" s="1" t="n">
        <v>46076</v>
      </c>
      <c r="D565" t="inlineStr">
        <is>
          <t>UPPSALA LÄN</t>
        </is>
      </c>
      <c r="E565" t="inlineStr">
        <is>
          <t>ÖSTHAMMAR</t>
        </is>
      </c>
      <c r="G565" t="n">
        <v>3.5</v>
      </c>
      <c r="H565" t="n">
        <v>0</v>
      </c>
      <c r="I565" t="n">
        <v>0</v>
      </c>
      <c r="J565" t="n">
        <v>0</v>
      </c>
      <c r="K565" t="n">
        <v>0</v>
      </c>
      <c r="L565" t="n">
        <v>0</v>
      </c>
      <c r="M565" t="n">
        <v>0</v>
      </c>
      <c r="N565" t="n">
        <v>0</v>
      </c>
      <c r="O565" t="n">
        <v>0</v>
      </c>
      <c r="P565" t="n">
        <v>0</v>
      </c>
      <c r="Q565" t="n">
        <v>0</v>
      </c>
      <c r="R565" s="2" t="inlineStr"/>
    </row>
    <row r="566" ht="15" customHeight="1">
      <c r="A566" t="inlineStr">
        <is>
          <t>A 3055-2026</t>
        </is>
      </c>
      <c r="B566" s="1" t="n">
        <v>46039.39636574074</v>
      </c>
      <c r="C566" s="1" t="n">
        <v>46076</v>
      </c>
      <c r="D566" t="inlineStr">
        <is>
          <t>UPPSALA LÄN</t>
        </is>
      </c>
      <c r="E566" t="inlineStr">
        <is>
          <t>ÖSTHAMMAR</t>
        </is>
      </c>
      <c r="F566" t="inlineStr">
        <is>
          <t>Bergvik skog öst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27308-2023</t>
        </is>
      </c>
      <c r="B567" s="1" t="n">
        <v>45096.65381944444</v>
      </c>
      <c r="C567" s="1" t="n">
        <v>46076</v>
      </c>
      <c r="D567" t="inlineStr">
        <is>
          <t>UPPSALA LÄN</t>
        </is>
      </c>
      <c r="E567" t="inlineStr">
        <is>
          <t>ÖSTHAMMAR</t>
        </is>
      </c>
      <c r="F567" t="inlineStr">
        <is>
          <t>Bergvik skog öst AB</t>
        </is>
      </c>
      <c r="G567" t="n">
        <v>2.4</v>
      </c>
      <c r="H567" t="n">
        <v>0</v>
      </c>
      <c r="I567" t="n">
        <v>0</v>
      </c>
      <c r="J567" t="n">
        <v>0</v>
      </c>
      <c r="K567" t="n">
        <v>0</v>
      </c>
      <c r="L567" t="n">
        <v>0</v>
      </c>
      <c r="M567" t="n">
        <v>0</v>
      </c>
      <c r="N567" t="n">
        <v>0</v>
      </c>
      <c r="O567" t="n">
        <v>0</v>
      </c>
      <c r="P567" t="n">
        <v>0</v>
      </c>
      <c r="Q567" t="n">
        <v>0</v>
      </c>
      <c r="R567" s="2" t="inlineStr"/>
    </row>
    <row r="568" ht="15" customHeight="1">
      <c r="A568" t="inlineStr">
        <is>
          <t>A 5254-2025</t>
        </is>
      </c>
      <c r="B568" s="1" t="n">
        <v>45692</v>
      </c>
      <c r="C568" s="1" t="n">
        <v>46076</v>
      </c>
      <c r="D568" t="inlineStr">
        <is>
          <t>UPPSALA LÄN</t>
        </is>
      </c>
      <c r="E568" t="inlineStr">
        <is>
          <t>ÖSTHAMMAR</t>
        </is>
      </c>
      <c r="G568" t="n">
        <v>5</v>
      </c>
      <c r="H568" t="n">
        <v>0</v>
      </c>
      <c r="I568" t="n">
        <v>0</v>
      </c>
      <c r="J568" t="n">
        <v>0</v>
      </c>
      <c r="K568" t="n">
        <v>0</v>
      </c>
      <c r="L568" t="n">
        <v>0</v>
      </c>
      <c r="M568" t="n">
        <v>0</v>
      </c>
      <c r="N568" t="n">
        <v>0</v>
      </c>
      <c r="O568" t="n">
        <v>0</v>
      </c>
      <c r="P568" t="n">
        <v>0</v>
      </c>
      <c r="Q568" t="n">
        <v>0</v>
      </c>
      <c r="R568" s="2" t="inlineStr"/>
    </row>
    <row r="569" ht="15" customHeight="1">
      <c r="A569" t="inlineStr">
        <is>
          <t>A 3926-2026</t>
        </is>
      </c>
      <c r="B569" s="1" t="n">
        <v>46043.781875</v>
      </c>
      <c r="C569" s="1" t="n">
        <v>46076</v>
      </c>
      <c r="D569" t="inlineStr">
        <is>
          <t>UPPSALA LÄN</t>
        </is>
      </c>
      <c r="E569" t="inlineStr">
        <is>
          <t>ÖSTHAMMAR</t>
        </is>
      </c>
      <c r="G569" t="n">
        <v>3.3</v>
      </c>
      <c r="H569" t="n">
        <v>0</v>
      </c>
      <c r="I569" t="n">
        <v>0</v>
      </c>
      <c r="J569" t="n">
        <v>0</v>
      </c>
      <c r="K569" t="n">
        <v>0</v>
      </c>
      <c r="L569" t="n">
        <v>0</v>
      </c>
      <c r="M569" t="n">
        <v>0</v>
      </c>
      <c r="N569" t="n">
        <v>0</v>
      </c>
      <c r="O569" t="n">
        <v>0</v>
      </c>
      <c r="P569" t="n">
        <v>0</v>
      </c>
      <c r="Q569" t="n">
        <v>0</v>
      </c>
      <c r="R569" s="2" t="inlineStr"/>
    </row>
    <row r="570" ht="15" customHeight="1">
      <c r="A570" t="inlineStr">
        <is>
          <t>A 61250-2025</t>
        </is>
      </c>
      <c r="B570" s="1" t="n">
        <v>46000.66645833333</v>
      </c>
      <c r="C570" s="1" t="n">
        <v>46076</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29873-2023</t>
        </is>
      </c>
      <c r="B571" s="1" t="n">
        <v>45107</v>
      </c>
      <c r="C571" s="1" t="n">
        <v>46076</v>
      </c>
      <c r="D571" t="inlineStr">
        <is>
          <t>UPPSALA LÄN</t>
        </is>
      </c>
      <c r="E571" t="inlineStr">
        <is>
          <t>ÖSTHAMMAR</t>
        </is>
      </c>
      <c r="F571" t="inlineStr">
        <is>
          <t>Naturvårdsverket</t>
        </is>
      </c>
      <c r="G571" t="n">
        <v>7.8</v>
      </c>
      <c r="H571" t="n">
        <v>0</v>
      </c>
      <c r="I571" t="n">
        <v>0</v>
      </c>
      <c r="J571" t="n">
        <v>0</v>
      </c>
      <c r="K571" t="n">
        <v>0</v>
      </c>
      <c r="L571" t="n">
        <v>0</v>
      </c>
      <c r="M571" t="n">
        <v>0</v>
      </c>
      <c r="N571" t="n">
        <v>0</v>
      </c>
      <c r="O571" t="n">
        <v>0</v>
      </c>
      <c r="P571" t="n">
        <v>0</v>
      </c>
      <c r="Q571" t="n">
        <v>0</v>
      </c>
      <c r="R571" s="2" t="inlineStr"/>
    </row>
    <row r="572" ht="15" customHeight="1">
      <c r="A572" t="inlineStr">
        <is>
          <t>A 61251-2025</t>
        </is>
      </c>
      <c r="B572" s="1" t="n">
        <v>46000.6669675926</v>
      </c>
      <c r="C572" s="1" t="n">
        <v>46076</v>
      </c>
      <c r="D572" t="inlineStr">
        <is>
          <t>UPPSALA LÄN</t>
        </is>
      </c>
      <c r="E572" t="inlineStr">
        <is>
          <t>ÖSTHAMMAR</t>
        </is>
      </c>
      <c r="F572" t="inlineStr">
        <is>
          <t>Bergvik skog öst AB</t>
        </is>
      </c>
      <c r="G572" t="n">
        <v>22.2</v>
      </c>
      <c r="H572" t="n">
        <v>0</v>
      </c>
      <c r="I572" t="n">
        <v>0</v>
      </c>
      <c r="J572" t="n">
        <v>0</v>
      </c>
      <c r="K572" t="n">
        <v>0</v>
      </c>
      <c r="L572" t="n">
        <v>0</v>
      </c>
      <c r="M572" t="n">
        <v>0</v>
      </c>
      <c r="N572" t="n">
        <v>0</v>
      </c>
      <c r="O572" t="n">
        <v>0</v>
      </c>
      <c r="P572" t="n">
        <v>0</v>
      </c>
      <c r="Q572" t="n">
        <v>0</v>
      </c>
      <c r="R572" s="2" t="inlineStr"/>
    </row>
    <row r="573" ht="15" customHeight="1">
      <c r="A573" t="inlineStr">
        <is>
          <t>A 61062-2023</t>
        </is>
      </c>
      <c r="B573" s="1" t="n">
        <v>45259</v>
      </c>
      <c r="C573" s="1" t="n">
        <v>46076</v>
      </c>
      <c r="D573" t="inlineStr">
        <is>
          <t>UPPSALA LÄN</t>
        </is>
      </c>
      <c r="E573" t="inlineStr">
        <is>
          <t>ÖSTHAMMAR</t>
        </is>
      </c>
      <c r="G573" t="n">
        <v>5.3</v>
      </c>
      <c r="H573" t="n">
        <v>0</v>
      </c>
      <c r="I573" t="n">
        <v>0</v>
      </c>
      <c r="J573" t="n">
        <v>0</v>
      </c>
      <c r="K573" t="n">
        <v>0</v>
      </c>
      <c r="L573" t="n">
        <v>0</v>
      </c>
      <c r="M573" t="n">
        <v>0</v>
      </c>
      <c r="N573" t="n">
        <v>0</v>
      </c>
      <c r="O573" t="n">
        <v>0</v>
      </c>
      <c r="P573" t="n">
        <v>0</v>
      </c>
      <c r="Q573" t="n">
        <v>0</v>
      </c>
      <c r="R573" s="2" t="inlineStr"/>
    </row>
    <row r="574" ht="15" customHeight="1">
      <c r="A574" t="inlineStr">
        <is>
          <t>A 55100-2024</t>
        </is>
      </c>
      <c r="B574" s="1" t="n">
        <v>45621.4405787037</v>
      </c>
      <c r="C574" s="1" t="n">
        <v>46076</v>
      </c>
      <c r="D574" t="inlineStr">
        <is>
          <t>UPPSALA LÄN</t>
        </is>
      </c>
      <c r="E574" t="inlineStr">
        <is>
          <t>ÖSTHAMMAR</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3642-2026</t>
        </is>
      </c>
      <c r="B575" s="1" t="n">
        <v>46043.35760416667</v>
      </c>
      <c r="C575" s="1" t="n">
        <v>46076</v>
      </c>
      <c r="D575" t="inlineStr">
        <is>
          <t>UPPSALA LÄN</t>
        </is>
      </c>
      <c r="E575" t="inlineStr">
        <is>
          <t>ÖSTHAMMAR</t>
        </is>
      </c>
      <c r="G575" t="n">
        <v>3</v>
      </c>
      <c r="H575" t="n">
        <v>0</v>
      </c>
      <c r="I575" t="n">
        <v>0</v>
      </c>
      <c r="J575" t="n">
        <v>0</v>
      </c>
      <c r="K575" t="n">
        <v>0</v>
      </c>
      <c r="L575" t="n">
        <v>0</v>
      </c>
      <c r="M575" t="n">
        <v>0</v>
      </c>
      <c r="N575" t="n">
        <v>0</v>
      </c>
      <c r="O575" t="n">
        <v>0</v>
      </c>
      <c r="P575" t="n">
        <v>0</v>
      </c>
      <c r="Q575" t="n">
        <v>0</v>
      </c>
      <c r="R575" s="2" t="inlineStr"/>
    </row>
    <row r="576" ht="15" customHeight="1">
      <c r="A576" t="inlineStr">
        <is>
          <t>A 3668-2026</t>
        </is>
      </c>
      <c r="B576" s="1" t="n">
        <v>46043.41212962963</v>
      </c>
      <c r="C576" s="1" t="n">
        <v>46076</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61143-2025</t>
        </is>
      </c>
      <c r="B577" s="1" t="n">
        <v>46000.53084490741</v>
      </c>
      <c r="C577" s="1" t="n">
        <v>46076</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61147-2025</t>
        </is>
      </c>
      <c r="B578" s="1" t="n">
        <v>46000.53493055556</v>
      </c>
      <c r="C578" s="1" t="n">
        <v>46076</v>
      </c>
      <c r="D578" t="inlineStr">
        <is>
          <t>UPPSALA LÄN</t>
        </is>
      </c>
      <c r="E578" t="inlineStr">
        <is>
          <t>ÖSTHAMMAR</t>
        </is>
      </c>
      <c r="F578" t="inlineStr">
        <is>
          <t>Bergvik skog öst AB</t>
        </is>
      </c>
      <c r="G578" t="n">
        <v>10.4</v>
      </c>
      <c r="H578" t="n">
        <v>0</v>
      </c>
      <c r="I578" t="n">
        <v>0</v>
      </c>
      <c r="J578" t="n">
        <v>0</v>
      </c>
      <c r="K578" t="n">
        <v>0</v>
      </c>
      <c r="L578" t="n">
        <v>0</v>
      </c>
      <c r="M578" t="n">
        <v>0</v>
      </c>
      <c r="N578" t="n">
        <v>0</v>
      </c>
      <c r="O578" t="n">
        <v>0</v>
      </c>
      <c r="P578" t="n">
        <v>0</v>
      </c>
      <c r="Q578" t="n">
        <v>0</v>
      </c>
      <c r="R578" s="2" t="inlineStr"/>
    </row>
    <row r="579" ht="15" customHeight="1">
      <c r="A579" t="inlineStr">
        <is>
          <t>A 31669-2022</t>
        </is>
      </c>
      <c r="B579" s="1" t="n">
        <v>44775</v>
      </c>
      <c r="C579" s="1" t="n">
        <v>46076</v>
      </c>
      <c r="D579" t="inlineStr">
        <is>
          <t>UPPSALA LÄN</t>
        </is>
      </c>
      <c r="E579" t="inlineStr">
        <is>
          <t>ÖSTHAMMAR</t>
        </is>
      </c>
      <c r="G579" t="n">
        <v>6</v>
      </c>
      <c r="H579" t="n">
        <v>0</v>
      </c>
      <c r="I579" t="n">
        <v>0</v>
      </c>
      <c r="J579" t="n">
        <v>0</v>
      </c>
      <c r="K579" t="n">
        <v>0</v>
      </c>
      <c r="L579" t="n">
        <v>0</v>
      </c>
      <c r="M579" t="n">
        <v>0</v>
      </c>
      <c r="N579" t="n">
        <v>0</v>
      </c>
      <c r="O579" t="n">
        <v>0</v>
      </c>
      <c r="P579" t="n">
        <v>0</v>
      </c>
      <c r="Q579" t="n">
        <v>0</v>
      </c>
      <c r="R579" s="2" t="inlineStr"/>
    </row>
    <row r="580" ht="15" customHeight="1">
      <c r="A580" t="inlineStr">
        <is>
          <t>A 18094-2025</t>
        </is>
      </c>
      <c r="B580" s="1" t="n">
        <v>45761.54710648148</v>
      </c>
      <c r="C580" s="1" t="n">
        <v>46076</v>
      </c>
      <c r="D580" t="inlineStr">
        <is>
          <t>UPPSALA LÄN</t>
        </is>
      </c>
      <c r="E580" t="inlineStr">
        <is>
          <t>ÖSTHAMMAR</t>
        </is>
      </c>
      <c r="F580" t="inlineStr">
        <is>
          <t>Bergvik skog öst AB</t>
        </is>
      </c>
      <c r="G580" t="n">
        <v>6.5</v>
      </c>
      <c r="H580" t="n">
        <v>0</v>
      </c>
      <c r="I580" t="n">
        <v>0</v>
      </c>
      <c r="J580" t="n">
        <v>0</v>
      </c>
      <c r="K580" t="n">
        <v>0</v>
      </c>
      <c r="L580" t="n">
        <v>0</v>
      </c>
      <c r="M580" t="n">
        <v>0</v>
      </c>
      <c r="N580" t="n">
        <v>0</v>
      </c>
      <c r="O580" t="n">
        <v>0</v>
      </c>
      <c r="P580" t="n">
        <v>0</v>
      </c>
      <c r="Q580" t="n">
        <v>0</v>
      </c>
      <c r="R580" s="2" t="inlineStr"/>
    </row>
    <row r="581" ht="15" customHeight="1">
      <c r="A581" t="inlineStr">
        <is>
          <t>A 67151-2021</t>
        </is>
      </c>
      <c r="B581" s="1" t="n">
        <v>44523</v>
      </c>
      <c r="C581" s="1" t="n">
        <v>46076</v>
      </c>
      <c r="D581" t="inlineStr">
        <is>
          <t>UPPSALA LÄN</t>
        </is>
      </c>
      <c r="E581" t="inlineStr">
        <is>
          <t>ÖSTHAMMAR</t>
        </is>
      </c>
      <c r="G581" t="n">
        <v>2.4</v>
      </c>
      <c r="H581" t="n">
        <v>0</v>
      </c>
      <c r="I581" t="n">
        <v>0</v>
      </c>
      <c r="J581" t="n">
        <v>0</v>
      </c>
      <c r="K581" t="n">
        <v>0</v>
      </c>
      <c r="L581" t="n">
        <v>0</v>
      </c>
      <c r="M581" t="n">
        <v>0</v>
      </c>
      <c r="N581" t="n">
        <v>0</v>
      </c>
      <c r="O581" t="n">
        <v>0</v>
      </c>
      <c r="P581" t="n">
        <v>0</v>
      </c>
      <c r="Q581" t="n">
        <v>0</v>
      </c>
      <c r="R581" s="2" t="inlineStr"/>
    </row>
    <row r="582" ht="15" customHeight="1">
      <c r="A582" t="inlineStr">
        <is>
          <t>A 61838-2025</t>
        </is>
      </c>
      <c r="B582" s="1" t="n">
        <v>46003.35675925926</v>
      </c>
      <c r="C582" s="1" t="n">
        <v>46076</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9542-2023</t>
        </is>
      </c>
      <c r="B583" s="1" t="n">
        <v>44981</v>
      </c>
      <c r="C583" s="1" t="n">
        <v>46076</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36343-2022</t>
        </is>
      </c>
      <c r="B584" s="1" t="n">
        <v>44803.78524305556</v>
      </c>
      <c r="C584" s="1" t="n">
        <v>46076</v>
      </c>
      <c r="D584" t="inlineStr">
        <is>
          <t>UPPSALA LÄN</t>
        </is>
      </c>
      <c r="E584" t="inlineStr">
        <is>
          <t>ÖSTHAMMAR</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16933-2022</t>
        </is>
      </c>
      <c r="B585" s="1" t="n">
        <v>44676</v>
      </c>
      <c r="C585" s="1" t="n">
        <v>46076</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3959-2026</t>
        </is>
      </c>
      <c r="B586" s="1" t="n">
        <v>46044.33802083333</v>
      </c>
      <c r="C586" s="1" t="n">
        <v>46076</v>
      </c>
      <c r="D586" t="inlineStr">
        <is>
          <t>UPPSALA LÄN</t>
        </is>
      </c>
      <c r="E586" t="inlineStr">
        <is>
          <t>ÖSTHAMMAR</t>
        </is>
      </c>
      <c r="F586" t="inlineStr">
        <is>
          <t>Övriga Aktiebolag</t>
        </is>
      </c>
      <c r="G586" t="n">
        <v>3.4</v>
      </c>
      <c r="H586" t="n">
        <v>0</v>
      </c>
      <c r="I586" t="n">
        <v>0</v>
      </c>
      <c r="J586" t="n">
        <v>0</v>
      </c>
      <c r="K586" t="n">
        <v>0</v>
      </c>
      <c r="L586" t="n">
        <v>0</v>
      </c>
      <c r="M586" t="n">
        <v>0</v>
      </c>
      <c r="N586" t="n">
        <v>0</v>
      </c>
      <c r="O586" t="n">
        <v>0</v>
      </c>
      <c r="P586" t="n">
        <v>0</v>
      </c>
      <c r="Q586" t="n">
        <v>0</v>
      </c>
      <c r="R586" s="2" t="inlineStr"/>
    </row>
    <row r="587" ht="15" customHeight="1">
      <c r="A587" t="inlineStr">
        <is>
          <t>A 48083-2024</t>
        </is>
      </c>
      <c r="B587" s="1" t="n">
        <v>45589.58766203704</v>
      </c>
      <c r="C587" s="1" t="n">
        <v>46076</v>
      </c>
      <c r="D587" t="inlineStr">
        <is>
          <t>UPPSALA LÄN</t>
        </is>
      </c>
      <c r="E587" t="inlineStr">
        <is>
          <t>ÖSTHAMMAR</t>
        </is>
      </c>
      <c r="G587" t="n">
        <v>3</v>
      </c>
      <c r="H587" t="n">
        <v>0</v>
      </c>
      <c r="I587" t="n">
        <v>0</v>
      </c>
      <c r="J587" t="n">
        <v>0</v>
      </c>
      <c r="K587" t="n">
        <v>0</v>
      </c>
      <c r="L587" t="n">
        <v>0</v>
      </c>
      <c r="M587" t="n">
        <v>0</v>
      </c>
      <c r="N587" t="n">
        <v>0</v>
      </c>
      <c r="O587" t="n">
        <v>0</v>
      </c>
      <c r="P587" t="n">
        <v>0</v>
      </c>
      <c r="Q587" t="n">
        <v>0</v>
      </c>
      <c r="R587" s="2" t="inlineStr"/>
    </row>
    <row r="588" ht="15" customHeight="1">
      <c r="A588" t="inlineStr">
        <is>
          <t>A 14269-2025</t>
        </is>
      </c>
      <c r="B588" s="1" t="n">
        <v>45740.64078703704</v>
      </c>
      <c r="C588" s="1" t="n">
        <v>46076</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5855-2022</t>
        </is>
      </c>
      <c r="B589" s="1" t="n">
        <v>44596.63290509259</v>
      </c>
      <c r="C589" s="1" t="n">
        <v>46076</v>
      </c>
      <c r="D589" t="inlineStr">
        <is>
          <t>UPPSALA LÄN</t>
        </is>
      </c>
      <c r="E589" t="inlineStr">
        <is>
          <t>ÖSTHAMMAR</t>
        </is>
      </c>
      <c r="G589" t="n">
        <v>0.9</v>
      </c>
      <c r="H589" t="n">
        <v>0</v>
      </c>
      <c r="I589" t="n">
        <v>0</v>
      </c>
      <c r="J589" t="n">
        <v>0</v>
      </c>
      <c r="K589" t="n">
        <v>0</v>
      </c>
      <c r="L589" t="n">
        <v>0</v>
      </c>
      <c r="M589" t="n">
        <v>0</v>
      </c>
      <c r="N589" t="n">
        <v>0</v>
      </c>
      <c r="O589" t="n">
        <v>0</v>
      </c>
      <c r="P589" t="n">
        <v>0</v>
      </c>
      <c r="Q589" t="n">
        <v>0</v>
      </c>
      <c r="R589" s="2" t="inlineStr"/>
    </row>
    <row r="590" ht="15" customHeight="1">
      <c r="A590" t="inlineStr">
        <is>
          <t>A 13622-2025</t>
        </is>
      </c>
      <c r="B590" s="1" t="n">
        <v>45736</v>
      </c>
      <c r="C590" s="1" t="n">
        <v>46076</v>
      </c>
      <c r="D590" t="inlineStr">
        <is>
          <t>UPPSALA LÄN</t>
        </is>
      </c>
      <c r="E590" t="inlineStr">
        <is>
          <t>ÖSTHAMMAR</t>
        </is>
      </c>
      <c r="G590" t="n">
        <v>2.6</v>
      </c>
      <c r="H590" t="n">
        <v>0</v>
      </c>
      <c r="I590" t="n">
        <v>0</v>
      </c>
      <c r="J590" t="n">
        <v>0</v>
      </c>
      <c r="K590" t="n">
        <v>0</v>
      </c>
      <c r="L590" t="n">
        <v>0</v>
      </c>
      <c r="M590" t="n">
        <v>0</v>
      </c>
      <c r="N590" t="n">
        <v>0</v>
      </c>
      <c r="O590" t="n">
        <v>0</v>
      </c>
      <c r="P590" t="n">
        <v>0</v>
      </c>
      <c r="Q590" t="n">
        <v>0</v>
      </c>
      <c r="R590" s="2" t="inlineStr"/>
    </row>
    <row r="591" ht="15" customHeight="1">
      <c r="A591" t="inlineStr">
        <is>
          <t>A 56759-2024</t>
        </is>
      </c>
      <c r="B591" s="1" t="n">
        <v>45628.39877314815</v>
      </c>
      <c r="C591" s="1" t="n">
        <v>46076</v>
      </c>
      <c r="D591" t="inlineStr">
        <is>
          <t>UPPSALA LÄN</t>
        </is>
      </c>
      <c r="E591" t="inlineStr">
        <is>
          <t>ÖSTHAMMAR</t>
        </is>
      </c>
      <c r="G591" t="n">
        <v>4.7</v>
      </c>
      <c r="H591" t="n">
        <v>0</v>
      </c>
      <c r="I591" t="n">
        <v>0</v>
      </c>
      <c r="J591" t="n">
        <v>0</v>
      </c>
      <c r="K591" t="n">
        <v>0</v>
      </c>
      <c r="L591" t="n">
        <v>0</v>
      </c>
      <c r="M591" t="n">
        <v>0</v>
      </c>
      <c r="N591" t="n">
        <v>0</v>
      </c>
      <c r="O591" t="n">
        <v>0</v>
      </c>
      <c r="P591" t="n">
        <v>0</v>
      </c>
      <c r="Q591" t="n">
        <v>0</v>
      </c>
      <c r="R591" s="2" t="inlineStr"/>
    </row>
    <row r="592" ht="15" customHeight="1">
      <c r="A592" t="inlineStr">
        <is>
          <t>A 10275-2025</t>
        </is>
      </c>
      <c r="B592" s="1" t="n">
        <v>45720.39715277778</v>
      </c>
      <c r="C592" s="1" t="n">
        <v>46076</v>
      </c>
      <c r="D592" t="inlineStr">
        <is>
          <t>UPPSALA LÄN</t>
        </is>
      </c>
      <c r="E592" t="inlineStr">
        <is>
          <t>ÖSTHAMMAR</t>
        </is>
      </c>
      <c r="G592" t="n">
        <v>6.2</v>
      </c>
      <c r="H592" t="n">
        <v>0</v>
      </c>
      <c r="I592" t="n">
        <v>0</v>
      </c>
      <c r="J592" t="n">
        <v>0</v>
      </c>
      <c r="K592" t="n">
        <v>0</v>
      </c>
      <c r="L592" t="n">
        <v>0</v>
      </c>
      <c r="M592" t="n">
        <v>0</v>
      </c>
      <c r="N592" t="n">
        <v>0</v>
      </c>
      <c r="O592" t="n">
        <v>0</v>
      </c>
      <c r="P592" t="n">
        <v>0</v>
      </c>
      <c r="Q592" t="n">
        <v>0</v>
      </c>
      <c r="R592" s="2" t="inlineStr"/>
    </row>
    <row r="593" ht="15" customHeight="1">
      <c r="A593" t="inlineStr">
        <is>
          <t>A 24493-2023</t>
        </is>
      </c>
      <c r="B593" s="1" t="n">
        <v>45082.62603009259</v>
      </c>
      <c r="C593" s="1" t="n">
        <v>46076</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4570-2026</t>
        </is>
      </c>
      <c r="B594" s="1" t="n">
        <v>46048.00856481482</v>
      </c>
      <c r="C594" s="1" t="n">
        <v>46076</v>
      </c>
      <c r="D594" t="inlineStr">
        <is>
          <t>UPPSALA LÄN</t>
        </is>
      </c>
      <c r="E594" t="inlineStr">
        <is>
          <t>ÖSTHAMMAR</t>
        </is>
      </c>
      <c r="F594" t="inlineStr">
        <is>
          <t>Allmännings- och besparingsskogar</t>
        </is>
      </c>
      <c r="G594" t="n">
        <v>7.1</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46076</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19040-2023</t>
        </is>
      </c>
      <c r="B596" s="1" t="n">
        <v>45047</v>
      </c>
      <c r="C596" s="1" t="n">
        <v>46076</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4004-2023</t>
        </is>
      </c>
      <c r="B597" s="1" t="n">
        <v>44952</v>
      </c>
      <c r="C597" s="1" t="n">
        <v>46076</v>
      </c>
      <c r="D597" t="inlineStr">
        <is>
          <t>UPPSALA LÄN</t>
        </is>
      </c>
      <c r="E597" t="inlineStr">
        <is>
          <t>ÖSTHAMMAR</t>
        </is>
      </c>
      <c r="G597" t="n">
        <v>4.1</v>
      </c>
      <c r="H597" t="n">
        <v>0</v>
      </c>
      <c r="I597" t="n">
        <v>0</v>
      </c>
      <c r="J597" t="n">
        <v>0</v>
      </c>
      <c r="K597" t="n">
        <v>0</v>
      </c>
      <c r="L597" t="n">
        <v>0</v>
      </c>
      <c r="M597" t="n">
        <v>0</v>
      </c>
      <c r="N597" t="n">
        <v>0</v>
      </c>
      <c r="O597" t="n">
        <v>0</v>
      </c>
      <c r="P597" t="n">
        <v>0</v>
      </c>
      <c r="Q597" t="n">
        <v>0</v>
      </c>
      <c r="R597" s="2" t="inlineStr"/>
    </row>
    <row r="598" ht="15" customHeight="1">
      <c r="A598" t="inlineStr">
        <is>
          <t>A 31549-2022</t>
        </is>
      </c>
      <c r="B598" s="1" t="n">
        <v>44775.400625</v>
      </c>
      <c r="C598" s="1" t="n">
        <v>46076</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5469-2026</t>
        </is>
      </c>
      <c r="B599" s="1" t="n">
        <v>46050.59346064815</v>
      </c>
      <c r="C599" s="1" t="n">
        <v>46076</v>
      </c>
      <c r="D599" t="inlineStr">
        <is>
          <t>UPPSALA LÄN</t>
        </is>
      </c>
      <c r="E599" t="inlineStr">
        <is>
          <t>ÖSTHAMMAR</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62745-2025</t>
        </is>
      </c>
      <c r="B600" s="1" t="n">
        <v>46008.57596064815</v>
      </c>
      <c r="C600" s="1" t="n">
        <v>46076</v>
      </c>
      <c r="D600" t="inlineStr">
        <is>
          <t>UPPSALA LÄN</t>
        </is>
      </c>
      <c r="E600" t="inlineStr">
        <is>
          <t>ÖSTHAMMAR</t>
        </is>
      </c>
      <c r="G600" t="n">
        <v>2</v>
      </c>
      <c r="H600" t="n">
        <v>0</v>
      </c>
      <c r="I600" t="n">
        <v>0</v>
      </c>
      <c r="J600" t="n">
        <v>0</v>
      </c>
      <c r="K600" t="n">
        <v>0</v>
      </c>
      <c r="L600" t="n">
        <v>0</v>
      </c>
      <c r="M600" t="n">
        <v>0</v>
      </c>
      <c r="N600" t="n">
        <v>0</v>
      </c>
      <c r="O600" t="n">
        <v>0</v>
      </c>
      <c r="P600" t="n">
        <v>0</v>
      </c>
      <c r="Q600" t="n">
        <v>0</v>
      </c>
      <c r="R600" s="2" t="inlineStr"/>
    </row>
    <row r="601" ht="15" customHeight="1">
      <c r="A601" t="inlineStr">
        <is>
          <t>A 36857-2023</t>
        </is>
      </c>
      <c r="B601" s="1" t="n">
        <v>45154.55175925926</v>
      </c>
      <c r="C601" s="1" t="n">
        <v>46076</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46076</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8699-2025</t>
        </is>
      </c>
      <c r="B603" s="1" t="n">
        <v>45712.47983796296</v>
      </c>
      <c r="C603" s="1" t="n">
        <v>46076</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8791-2025</t>
        </is>
      </c>
      <c r="B604" s="1" t="n">
        <v>45712</v>
      </c>
      <c r="C604" s="1" t="n">
        <v>46076</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31485-2023</t>
        </is>
      </c>
      <c r="B605" s="1" t="n">
        <v>45114</v>
      </c>
      <c r="C605" s="1" t="n">
        <v>46076</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25897-2023</t>
        </is>
      </c>
      <c r="B606" s="1" t="n">
        <v>45090.63300925926</v>
      </c>
      <c r="C606" s="1" t="n">
        <v>46076</v>
      </c>
      <c r="D606" t="inlineStr">
        <is>
          <t>UPPSALA LÄN</t>
        </is>
      </c>
      <c r="E606" t="inlineStr">
        <is>
          <t>ÖSTHAMMAR</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6238-2026</t>
        </is>
      </c>
      <c r="B607" s="1" t="n">
        <v>46055.45547453704</v>
      </c>
      <c r="C607" s="1" t="n">
        <v>46076</v>
      </c>
      <c r="D607" t="inlineStr">
        <is>
          <t>UPPSALA LÄN</t>
        </is>
      </c>
      <c r="E607" t="inlineStr">
        <is>
          <t>ÖSTHAMMAR</t>
        </is>
      </c>
      <c r="F607" t="inlineStr">
        <is>
          <t>Övriga Aktiebolag</t>
        </is>
      </c>
      <c r="G607" t="n">
        <v>26.7</v>
      </c>
      <c r="H607" t="n">
        <v>0</v>
      </c>
      <c r="I607" t="n">
        <v>0</v>
      </c>
      <c r="J607" t="n">
        <v>0</v>
      </c>
      <c r="K607" t="n">
        <v>0</v>
      </c>
      <c r="L607" t="n">
        <v>0</v>
      </c>
      <c r="M607" t="n">
        <v>0</v>
      </c>
      <c r="N607" t="n">
        <v>0</v>
      </c>
      <c r="O607" t="n">
        <v>0</v>
      </c>
      <c r="P607" t="n">
        <v>0</v>
      </c>
      <c r="Q607" t="n">
        <v>0</v>
      </c>
      <c r="R607" s="2" t="inlineStr"/>
    </row>
    <row r="608" ht="15" customHeight="1">
      <c r="A608" t="inlineStr">
        <is>
          <t>A 4101-2022</t>
        </is>
      </c>
      <c r="B608" s="1" t="n">
        <v>44588</v>
      </c>
      <c r="C608" s="1" t="n">
        <v>46076</v>
      </c>
      <c r="D608" t="inlineStr">
        <is>
          <t>UPPSALA LÄN</t>
        </is>
      </c>
      <c r="E608" t="inlineStr">
        <is>
          <t>ÖSTHAMMAR</t>
        </is>
      </c>
      <c r="G608" t="n">
        <v>4.4</v>
      </c>
      <c r="H608" t="n">
        <v>0</v>
      </c>
      <c r="I608" t="n">
        <v>0</v>
      </c>
      <c r="J608" t="n">
        <v>0</v>
      </c>
      <c r="K608" t="n">
        <v>0</v>
      </c>
      <c r="L608" t="n">
        <v>0</v>
      </c>
      <c r="M608" t="n">
        <v>0</v>
      </c>
      <c r="N608" t="n">
        <v>0</v>
      </c>
      <c r="O608" t="n">
        <v>0</v>
      </c>
      <c r="P608" t="n">
        <v>0</v>
      </c>
      <c r="Q608" t="n">
        <v>0</v>
      </c>
      <c r="R608" s="2" t="inlineStr"/>
    </row>
    <row r="609" ht="15" customHeight="1">
      <c r="A609" t="inlineStr">
        <is>
          <t>A 2839-2025</t>
        </is>
      </c>
      <c r="B609" s="1" t="n">
        <v>45677</v>
      </c>
      <c r="C609" s="1" t="n">
        <v>46076</v>
      </c>
      <c r="D609" t="inlineStr">
        <is>
          <t>UPPSALA LÄN</t>
        </is>
      </c>
      <c r="E609" t="inlineStr">
        <is>
          <t>ÖSTHAMMAR</t>
        </is>
      </c>
      <c r="F609" t="inlineStr">
        <is>
          <t>Övriga Aktiebolag</t>
        </is>
      </c>
      <c r="G609" t="n">
        <v>4</v>
      </c>
      <c r="H609" t="n">
        <v>0</v>
      </c>
      <c r="I609" t="n">
        <v>0</v>
      </c>
      <c r="J609" t="n">
        <v>0</v>
      </c>
      <c r="K609" t="n">
        <v>0</v>
      </c>
      <c r="L609" t="n">
        <v>0</v>
      </c>
      <c r="M609" t="n">
        <v>0</v>
      </c>
      <c r="N609" t="n">
        <v>0</v>
      </c>
      <c r="O609" t="n">
        <v>0</v>
      </c>
      <c r="P609" t="n">
        <v>0</v>
      </c>
      <c r="Q609" t="n">
        <v>0</v>
      </c>
      <c r="R609" s="2" t="inlineStr"/>
    </row>
    <row r="610" ht="15" customHeight="1">
      <c r="A610" t="inlineStr">
        <is>
          <t>A 67848-2021</t>
        </is>
      </c>
      <c r="B610" s="1" t="n">
        <v>44525</v>
      </c>
      <c r="C610" s="1" t="n">
        <v>46076</v>
      </c>
      <c r="D610" t="inlineStr">
        <is>
          <t>UPPSALA LÄN</t>
        </is>
      </c>
      <c r="E610" t="inlineStr">
        <is>
          <t>ÖSTHAMMAR</t>
        </is>
      </c>
      <c r="G610" t="n">
        <v>1</v>
      </c>
      <c r="H610" t="n">
        <v>0</v>
      </c>
      <c r="I610" t="n">
        <v>0</v>
      </c>
      <c r="J610" t="n">
        <v>0</v>
      </c>
      <c r="K610" t="n">
        <v>0</v>
      </c>
      <c r="L610" t="n">
        <v>0</v>
      </c>
      <c r="M610" t="n">
        <v>0</v>
      </c>
      <c r="N610" t="n">
        <v>0</v>
      </c>
      <c r="O610" t="n">
        <v>0</v>
      </c>
      <c r="P610" t="n">
        <v>0</v>
      </c>
      <c r="Q610" t="n">
        <v>0</v>
      </c>
      <c r="R610" s="2" t="inlineStr"/>
    </row>
    <row r="611" ht="15" customHeight="1">
      <c r="A611" t="inlineStr">
        <is>
          <t>A 38600-2023</t>
        </is>
      </c>
      <c r="B611" s="1" t="n">
        <v>45162</v>
      </c>
      <c r="C611" s="1" t="n">
        <v>46076</v>
      </c>
      <c r="D611" t="inlineStr">
        <is>
          <t>UPPSALA LÄN</t>
        </is>
      </c>
      <c r="E611" t="inlineStr">
        <is>
          <t>ÖSTHAMMAR</t>
        </is>
      </c>
      <c r="F611" t="inlineStr">
        <is>
          <t>Bergvik skog väst AB</t>
        </is>
      </c>
      <c r="G611" t="n">
        <v>0.1</v>
      </c>
      <c r="H611" t="n">
        <v>0</v>
      </c>
      <c r="I611" t="n">
        <v>0</v>
      </c>
      <c r="J611" t="n">
        <v>0</v>
      </c>
      <c r="K611" t="n">
        <v>0</v>
      </c>
      <c r="L611" t="n">
        <v>0</v>
      </c>
      <c r="M611" t="n">
        <v>0</v>
      </c>
      <c r="N611" t="n">
        <v>0</v>
      </c>
      <c r="O611" t="n">
        <v>0</v>
      </c>
      <c r="P611" t="n">
        <v>0</v>
      </c>
      <c r="Q611" t="n">
        <v>0</v>
      </c>
      <c r="R611" s="2" t="inlineStr"/>
    </row>
    <row r="612" ht="15" customHeight="1">
      <c r="A612" t="inlineStr">
        <is>
          <t>A 64811-2021</t>
        </is>
      </c>
      <c r="B612" s="1" t="n">
        <v>44512</v>
      </c>
      <c r="C612" s="1" t="n">
        <v>46076</v>
      </c>
      <c r="D612" t="inlineStr">
        <is>
          <t>UPPSALA LÄN</t>
        </is>
      </c>
      <c r="E612" t="inlineStr">
        <is>
          <t>ÖSTHAMMAR</t>
        </is>
      </c>
      <c r="G612" t="n">
        <v>4.2</v>
      </c>
      <c r="H612" t="n">
        <v>0</v>
      </c>
      <c r="I612" t="n">
        <v>0</v>
      </c>
      <c r="J612" t="n">
        <v>0</v>
      </c>
      <c r="K612" t="n">
        <v>0</v>
      </c>
      <c r="L612" t="n">
        <v>0</v>
      </c>
      <c r="M612" t="n">
        <v>0</v>
      </c>
      <c r="N612" t="n">
        <v>0</v>
      </c>
      <c r="O612" t="n">
        <v>0</v>
      </c>
      <c r="P612" t="n">
        <v>0</v>
      </c>
      <c r="Q612" t="n">
        <v>0</v>
      </c>
      <c r="R612" s="2" t="inlineStr"/>
    </row>
    <row r="613" ht="15" customHeight="1">
      <c r="A613" t="inlineStr">
        <is>
          <t>A 6712-2026</t>
        </is>
      </c>
      <c r="B613" s="1" t="n">
        <v>46056.65564814815</v>
      </c>
      <c r="C613" s="1" t="n">
        <v>46076</v>
      </c>
      <c r="D613" t="inlineStr">
        <is>
          <t>UPPSALA LÄN</t>
        </is>
      </c>
      <c r="E613" t="inlineStr">
        <is>
          <t>ÖSTHAMMAR</t>
        </is>
      </c>
      <c r="F613" t="inlineStr">
        <is>
          <t>Bergvik skog öst AB</t>
        </is>
      </c>
      <c r="G613" t="n">
        <v>5</v>
      </c>
      <c r="H613" t="n">
        <v>0</v>
      </c>
      <c r="I613" t="n">
        <v>0</v>
      </c>
      <c r="J613" t="n">
        <v>0</v>
      </c>
      <c r="K613" t="n">
        <v>0</v>
      </c>
      <c r="L613" t="n">
        <v>0</v>
      </c>
      <c r="M613" t="n">
        <v>0</v>
      </c>
      <c r="N613" t="n">
        <v>0</v>
      </c>
      <c r="O613" t="n">
        <v>0</v>
      </c>
      <c r="P613" t="n">
        <v>0</v>
      </c>
      <c r="Q613" t="n">
        <v>0</v>
      </c>
      <c r="R613" s="2" t="inlineStr"/>
    </row>
    <row r="614" ht="15" customHeight="1">
      <c r="A614" t="inlineStr">
        <is>
          <t>A 6762-2026</t>
        </is>
      </c>
      <c r="B614" s="1" t="n">
        <v>46056.85776620371</v>
      </c>
      <c r="C614" s="1" t="n">
        <v>46076</v>
      </c>
      <c r="D614" t="inlineStr">
        <is>
          <t>UPPSALA LÄN</t>
        </is>
      </c>
      <c r="E614" t="inlineStr">
        <is>
          <t>ÖSTHAMMAR</t>
        </is>
      </c>
      <c r="G614" t="n">
        <v>1.6</v>
      </c>
      <c r="H614" t="n">
        <v>0</v>
      </c>
      <c r="I614" t="n">
        <v>0</v>
      </c>
      <c r="J614" t="n">
        <v>0</v>
      </c>
      <c r="K614" t="n">
        <v>0</v>
      </c>
      <c r="L614" t="n">
        <v>0</v>
      </c>
      <c r="M614" t="n">
        <v>0</v>
      </c>
      <c r="N614" t="n">
        <v>0</v>
      </c>
      <c r="O614" t="n">
        <v>0</v>
      </c>
      <c r="P614" t="n">
        <v>0</v>
      </c>
      <c r="Q614" t="n">
        <v>0</v>
      </c>
      <c r="R614" s="2" t="inlineStr"/>
    </row>
    <row r="615" ht="15" customHeight="1">
      <c r="A615" t="inlineStr">
        <is>
          <t>A 6884-2026</t>
        </is>
      </c>
      <c r="B615" s="1" t="n">
        <v>46057.46614583334</v>
      </c>
      <c r="C615" s="1" t="n">
        <v>46076</v>
      </c>
      <c r="D615" t="inlineStr">
        <is>
          <t>UPPSALA LÄN</t>
        </is>
      </c>
      <c r="E615" t="inlineStr">
        <is>
          <t>ÖSTHAMMAR</t>
        </is>
      </c>
      <c r="G615" t="n">
        <v>4.1</v>
      </c>
      <c r="H615" t="n">
        <v>0</v>
      </c>
      <c r="I615" t="n">
        <v>0</v>
      </c>
      <c r="J615" t="n">
        <v>0</v>
      </c>
      <c r="K615" t="n">
        <v>0</v>
      </c>
      <c r="L615" t="n">
        <v>0</v>
      </c>
      <c r="M615" t="n">
        <v>0</v>
      </c>
      <c r="N615" t="n">
        <v>0</v>
      </c>
      <c r="O615" t="n">
        <v>0</v>
      </c>
      <c r="P615" t="n">
        <v>0</v>
      </c>
      <c r="Q615" t="n">
        <v>0</v>
      </c>
      <c r="R615" s="2" t="inlineStr"/>
    </row>
    <row r="616" ht="15" customHeight="1">
      <c r="A616" t="inlineStr">
        <is>
          <t>A 6511-2026</t>
        </is>
      </c>
      <c r="B616" s="1" t="n">
        <v>46056.38925925926</v>
      </c>
      <c r="C616" s="1" t="n">
        <v>46076</v>
      </c>
      <c r="D616" t="inlineStr">
        <is>
          <t>UPPSALA LÄN</t>
        </is>
      </c>
      <c r="E616" t="inlineStr">
        <is>
          <t>ÖSTHAMMAR</t>
        </is>
      </c>
      <c r="F616" t="inlineStr">
        <is>
          <t>Bergvik skog öst AB</t>
        </is>
      </c>
      <c r="G616" t="n">
        <v>2</v>
      </c>
      <c r="H616" t="n">
        <v>0</v>
      </c>
      <c r="I616" t="n">
        <v>0</v>
      </c>
      <c r="J616" t="n">
        <v>0</v>
      </c>
      <c r="K616" t="n">
        <v>0</v>
      </c>
      <c r="L616" t="n">
        <v>0</v>
      </c>
      <c r="M616" t="n">
        <v>0</v>
      </c>
      <c r="N616" t="n">
        <v>0</v>
      </c>
      <c r="O616" t="n">
        <v>0</v>
      </c>
      <c r="P616" t="n">
        <v>0</v>
      </c>
      <c r="Q616" t="n">
        <v>0</v>
      </c>
      <c r="R616" s="2" t="inlineStr"/>
    </row>
    <row r="617" ht="15" customHeight="1">
      <c r="A617" t="inlineStr">
        <is>
          <t>A 6522-2026</t>
        </is>
      </c>
      <c r="B617" s="1" t="n">
        <v>46056.4025</v>
      </c>
      <c r="C617" s="1" t="n">
        <v>46076</v>
      </c>
      <c r="D617" t="inlineStr">
        <is>
          <t>UPPSALA LÄN</t>
        </is>
      </c>
      <c r="E617" t="inlineStr">
        <is>
          <t>ÖSTHAMMAR</t>
        </is>
      </c>
      <c r="F617" t="inlineStr">
        <is>
          <t>Bergvik skog öst AB</t>
        </is>
      </c>
      <c r="G617" t="n">
        <v>4.2</v>
      </c>
      <c r="H617" t="n">
        <v>0</v>
      </c>
      <c r="I617" t="n">
        <v>0</v>
      </c>
      <c r="J617" t="n">
        <v>0</v>
      </c>
      <c r="K617" t="n">
        <v>0</v>
      </c>
      <c r="L617" t="n">
        <v>0</v>
      </c>
      <c r="M617" t="n">
        <v>0</v>
      </c>
      <c r="N617" t="n">
        <v>0</v>
      </c>
      <c r="O617" t="n">
        <v>0</v>
      </c>
      <c r="P617" t="n">
        <v>0</v>
      </c>
      <c r="Q617" t="n">
        <v>0</v>
      </c>
      <c r="R617" s="2" t="inlineStr"/>
    </row>
    <row r="618" ht="15" customHeight="1">
      <c r="A618" t="inlineStr">
        <is>
          <t>A 6517-2026</t>
        </is>
      </c>
      <c r="B618" s="1" t="n">
        <v>46056.39921296296</v>
      </c>
      <c r="C618" s="1" t="n">
        <v>46076</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56382-2022</t>
        </is>
      </c>
      <c r="B619" s="1" t="n">
        <v>44890.75795138889</v>
      </c>
      <c r="C619" s="1" t="n">
        <v>46076</v>
      </c>
      <c r="D619" t="inlineStr">
        <is>
          <t>UPPSALA LÄN</t>
        </is>
      </c>
      <c r="E619" t="inlineStr">
        <is>
          <t>ÖSTHAMMAR</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6635-2026</t>
        </is>
      </c>
      <c r="B620" s="1" t="n">
        <v>46056.52885416667</v>
      </c>
      <c r="C620" s="1" t="n">
        <v>46076</v>
      </c>
      <c r="D620" t="inlineStr">
        <is>
          <t>UPPSALA LÄN</t>
        </is>
      </c>
      <c r="E620" t="inlineStr">
        <is>
          <t>ÖSTHAMMAR</t>
        </is>
      </c>
      <c r="F620" t="inlineStr">
        <is>
          <t>Bergvik skog öst AB</t>
        </is>
      </c>
      <c r="G620" t="n">
        <v>4.3</v>
      </c>
      <c r="H620" t="n">
        <v>0</v>
      </c>
      <c r="I620" t="n">
        <v>0</v>
      </c>
      <c r="J620" t="n">
        <v>0</v>
      </c>
      <c r="K620" t="n">
        <v>0</v>
      </c>
      <c r="L620" t="n">
        <v>0</v>
      </c>
      <c r="M620" t="n">
        <v>0</v>
      </c>
      <c r="N620" t="n">
        <v>0</v>
      </c>
      <c r="O620" t="n">
        <v>0</v>
      </c>
      <c r="P620" t="n">
        <v>0</v>
      </c>
      <c r="Q620" t="n">
        <v>0</v>
      </c>
      <c r="R620" s="2" t="inlineStr"/>
    </row>
    <row r="621" ht="15" customHeight="1">
      <c r="A621" t="inlineStr">
        <is>
          <t>A 57043-2022</t>
        </is>
      </c>
      <c r="B621" s="1" t="n">
        <v>44895.36748842592</v>
      </c>
      <c r="C621" s="1" t="n">
        <v>46076</v>
      </c>
      <c r="D621" t="inlineStr">
        <is>
          <t>UPPSALA LÄN</t>
        </is>
      </c>
      <c r="E621" t="inlineStr">
        <is>
          <t>ÖSTHAMMAR</t>
        </is>
      </c>
      <c r="F621" t="inlineStr">
        <is>
          <t>Bergvik skog öst AB</t>
        </is>
      </c>
      <c r="G621" t="n">
        <v>5.7</v>
      </c>
      <c r="H621" t="n">
        <v>0</v>
      </c>
      <c r="I621" t="n">
        <v>0</v>
      </c>
      <c r="J621" t="n">
        <v>0</v>
      </c>
      <c r="K621" t="n">
        <v>0</v>
      </c>
      <c r="L621" t="n">
        <v>0</v>
      </c>
      <c r="M621" t="n">
        <v>0</v>
      </c>
      <c r="N621" t="n">
        <v>0</v>
      </c>
      <c r="O621" t="n">
        <v>0</v>
      </c>
      <c r="P621" t="n">
        <v>0</v>
      </c>
      <c r="Q621" t="n">
        <v>0</v>
      </c>
      <c r="R621" s="2" t="inlineStr"/>
    </row>
    <row r="622" ht="15" customHeight="1">
      <c r="A622" t="inlineStr">
        <is>
          <t>A 59880-2022</t>
        </is>
      </c>
      <c r="B622" s="1" t="n">
        <v>44908.69575231482</v>
      </c>
      <c r="C622" s="1" t="n">
        <v>46076</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7944-2023</t>
        </is>
      </c>
      <c r="B623" s="1" t="n">
        <v>44973.66458333333</v>
      </c>
      <c r="C623" s="1" t="n">
        <v>46076</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52659-2021</t>
        </is>
      </c>
      <c r="B624" s="1" t="n">
        <v>44466</v>
      </c>
      <c r="C624" s="1" t="n">
        <v>46076</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7216-2025</t>
        </is>
      </c>
      <c r="B625" s="1" t="n">
        <v>45702.47630787037</v>
      </c>
      <c r="C625" s="1" t="n">
        <v>46076</v>
      </c>
      <c r="D625" t="inlineStr">
        <is>
          <t>UPPSALA LÄN</t>
        </is>
      </c>
      <c r="E625" t="inlineStr">
        <is>
          <t>ÖSTHAMMAR</t>
        </is>
      </c>
      <c r="F625" t="inlineStr">
        <is>
          <t>Övriga Aktiebolag</t>
        </is>
      </c>
      <c r="G625" t="n">
        <v>12.5</v>
      </c>
      <c r="H625" t="n">
        <v>0</v>
      </c>
      <c r="I625" t="n">
        <v>0</v>
      </c>
      <c r="J625" t="n">
        <v>0</v>
      </c>
      <c r="K625" t="n">
        <v>0</v>
      </c>
      <c r="L625" t="n">
        <v>0</v>
      </c>
      <c r="M625" t="n">
        <v>0</v>
      </c>
      <c r="N625" t="n">
        <v>0</v>
      </c>
      <c r="O625" t="n">
        <v>0</v>
      </c>
      <c r="P625" t="n">
        <v>0</v>
      </c>
      <c r="Q625" t="n">
        <v>0</v>
      </c>
      <c r="R625" s="2" t="inlineStr"/>
    </row>
    <row r="626" ht="15" customHeight="1">
      <c r="A626" t="inlineStr">
        <is>
          <t>A 7241-2026</t>
        </is>
      </c>
      <c r="B626" s="1" t="n">
        <v>46058.58392361111</v>
      </c>
      <c r="C626" s="1" t="n">
        <v>46076</v>
      </c>
      <c r="D626" t="inlineStr">
        <is>
          <t>UPPSALA LÄN</t>
        </is>
      </c>
      <c r="E626" t="inlineStr">
        <is>
          <t>ÖSTHAMMAR</t>
        </is>
      </c>
      <c r="F626" t="inlineStr">
        <is>
          <t>Övriga Aktiebolag</t>
        </is>
      </c>
      <c r="G626" t="n">
        <v>1.7</v>
      </c>
      <c r="H626" t="n">
        <v>0</v>
      </c>
      <c r="I626" t="n">
        <v>0</v>
      </c>
      <c r="J626" t="n">
        <v>0</v>
      </c>
      <c r="K626" t="n">
        <v>0</v>
      </c>
      <c r="L626" t="n">
        <v>0</v>
      </c>
      <c r="M626" t="n">
        <v>0</v>
      </c>
      <c r="N626" t="n">
        <v>0</v>
      </c>
      <c r="O626" t="n">
        <v>0</v>
      </c>
      <c r="P626" t="n">
        <v>0</v>
      </c>
      <c r="Q626" t="n">
        <v>0</v>
      </c>
      <c r="R626" s="2" t="inlineStr"/>
    </row>
    <row r="627" ht="15" customHeight="1">
      <c r="A627" t="inlineStr">
        <is>
          <t>A 73965-2021</t>
        </is>
      </c>
      <c r="B627" s="1" t="n">
        <v>44553.80824074074</v>
      </c>
      <c r="C627" s="1" t="n">
        <v>46076</v>
      </c>
      <c r="D627" t="inlineStr">
        <is>
          <t>UPPSALA LÄN</t>
        </is>
      </c>
      <c r="E627" t="inlineStr">
        <is>
          <t>ÖSTHAMMAR</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7262-2026</t>
        </is>
      </c>
      <c r="B628" s="1" t="n">
        <v>46058.6049537037</v>
      </c>
      <c r="C628" s="1" t="n">
        <v>46076</v>
      </c>
      <c r="D628" t="inlineStr">
        <is>
          <t>UPPSALA LÄN</t>
        </is>
      </c>
      <c r="E628" t="inlineStr">
        <is>
          <t>ÖSTHAMMAR</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3418-2025</t>
        </is>
      </c>
      <c r="B629" s="1" t="n">
        <v>45680</v>
      </c>
      <c r="C629" s="1" t="n">
        <v>46076</v>
      </c>
      <c r="D629" t="inlineStr">
        <is>
          <t>UPPSALA LÄN</t>
        </is>
      </c>
      <c r="E629" t="inlineStr">
        <is>
          <t>ÖSTHAMMAR</t>
        </is>
      </c>
      <c r="F629" t="inlineStr">
        <is>
          <t>Bergvik skog väst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3420-2025</t>
        </is>
      </c>
      <c r="B630" s="1" t="n">
        <v>45680</v>
      </c>
      <c r="C630" s="1" t="n">
        <v>46076</v>
      </c>
      <c r="D630" t="inlineStr">
        <is>
          <t>UPPSALA LÄN</t>
        </is>
      </c>
      <c r="E630" t="inlineStr">
        <is>
          <t>ÖSTHAMMAR</t>
        </is>
      </c>
      <c r="F630" t="inlineStr">
        <is>
          <t>Bergvik skog väst AB</t>
        </is>
      </c>
      <c r="G630" t="n">
        <v>3.6</v>
      </c>
      <c r="H630" t="n">
        <v>0</v>
      </c>
      <c r="I630" t="n">
        <v>0</v>
      </c>
      <c r="J630" t="n">
        <v>0</v>
      </c>
      <c r="K630" t="n">
        <v>0</v>
      </c>
      <c r="L630" t="n">
        <v>0</v>
      </c>
      <c r="M630" t="n">
        <v>0</v>
      </c>
      <c r="N630" t="n">
        <v>0</v>
      </c>
      <c r="O630" t="n">
        <v>0</v>
      </c>
      <c r="P630" t="n">
        <v>0</v>
      </c>
      <c r="Q630" t="n">
        <v>0</v>
      </c>
      <c r="R630" s="2" t="inlineStr"/>
    </row>
    <row r="631" ht="15" customHeight="1">
      <c r="A631" t="inlineStr">
        <is>
          <t>A 5303-2025</t>
        </is>
      </c>
      <c r="B631" s="1" t="n">
        <v>45692</v>
      </c>
      <c r="C631" s="1" t="n">
        <v>46076</v>
      </c>
      <c r="D631" t="inlineStr">
        <is>
          <t>UPPSALA LÄN</t>
        </is>
      </c>
      <c r="E631" t="inlineStr">
        <is>
          <t>ÖSTHAMMAR</t>
        </is>
      </c>
      <c r="G631" t="n">
        <v>5</v>
      </c>
      <c r="H631" t="n">
        <v>0</v>
      </c>
      <c r="I631" t="n">
        <v>0</v>
      </c>
      <c r="J631" t="n">
        <v>0</v>
      </c>
      <c r="K631" t="n">
        <v>0</v>
      </c>
      <c r="L631" t="n">
        <v>0</v>
      </c>
      <c r="M631" t="n">
        <v>0</v>
      </c>
      <c r="N631" t="n">
        <v>0</v>
      </c>
      <c r="O631" t="n">
        <v>0</v>
      </c>
      <c r="P631" t="n">
        <v>0</v>
      </c>
      <c r="Q631" t="n">
        <v>0</v>
      </c>
      <c r="R631" s="2" t="inlineStr"/>
    </row>
    <row r="632" ht="15" customHeight="1">
      <c r="A632" t="inlineStr">
        <is>
          <t>A 52661-2022</t>
        </is>
      </c>
      <c r="B632" s="1" t="n">
        <v>44874</v>
      </c>
      <c r="C632" s="1" t="n">
        <v>46076</v>
      </c>
      <c r="D632" t="inlineStr">
        <is>
          <t>UPPSALA LÄN</t>
        </is>
      </c>
      <c r="E632" t="inlineStr">
        <is>
          <t>ÖSTHAMMAR</t>
        </is>
      </c>
      <c r="F632" t="inlineStr">
        <is>
          <t>Bergvik skog öst AB</t>
        </is>
      </c>
      <c r="G632" t="n">
        <v>0.2</v>
      </c>
      <c r="H632" t="n">
        <v>0</v>
      </c>
      <c r="I632" t="n">
        <v>0</v>
      </c>
      <c r="J632" t="n">
        <v>0</v>
      </c>
      <c r="K632" t="n">
        <v>0</v>
      </c>
      <c r="L632" t="n">
        <v>0</v>
      </c>
      <c r="M632" t="n">
        <v>0</v>
      </c>
      <c r="N632" t="n">
        <v>0</v>
      </c>
      <c r="O632" t="n">
        <v>0</v>
      </c>
      <c r="P632" t="n">
        <v>0</v>
      </c>
      <c r="Q632" t="n">
        <v>0</v>
      </c>
      <c r="R632" s="2" t="inlineStr"/>
    </row>
    <row r="633" ht="15" customHeight="1">
      <c r="A633" t="inlineStr">
        <is>
          <t>A 8014-2026</t>
        </is>
      </c>
      <c r="B633" s="1" t="n">
        <v>46063.54009259259</v>
      </c>
      <c r="C633" s="1" t="n">
        <v>46076</v>
      </c>
      <c r="D633" t="inlineStr">
        <is>
          <t>UPPSALA LÄN</t>
        </is>
      </c>
      <c r="E633" t="inlineStr">
        <is>
          <t>ÖSTHAMMAR</t>
        </is>
      </c>
      <c r="G633" t="n">
        <v>15.2</v>
      </c>
      <c r="H633" t="n">
        <v>0</v>
      </c>
      <c r="I633" t="n">
        <v>0</v>
      </c>
      <c r="J633" t="n">
        <v>0</v>
      </c>
      <c r="K633" t="n">
        <v>0</v>
      </c>
      <c r="L633" t="n">
        <v>0</v>
      </c>
      <c r="M633" t="n">
        <v>0</v>
      </c>
      <c r="N633" t="n">
        <v>0</v>
      </c>
      <c r="O633" t="n">
        <v>0</v>
      </c>
      <c r="P633" t="n">
        <v>0</v>
      </c>
      <c r="Q633" t="n">
        <v>0</v>
      </c>
      <c r="R633" s="2" t="inlineStr"/>
    </row>
    <row r="634" ht="15" customHeight="1">
      <c r="A634" t="inlineStr">
        <is>
          <t>A 65028-2021</t>
        </is>
      </c>
      <c r="B634" s="1" t="n">
        <v>44515</v>
      </c>
      <c r="C634" s="1" t="n">
        <v>46076</v>
      </c>
      <c r="D634" t="inlineStr">
        <is>
          <t>UPPSALA LÄN</t>
        </is>
      </c>
      <c r="E634" t="inlineStr">
        <is>
          <t>ÖSTHAMMAR</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40547-2023</t>
        </is>
      </c>
      <c r="B635" s="1" t="n">
        <v>45170.45050925926</v>
      </c>
      <c r="C635" s="1" t="n">
        <v>46076</v>
      </c>
      <c r="D635" t="inlineStr">
        <is>
          <t>UPPSALA LÄN</t>
        </is>
      </c>
      <c r="E635" t="inlineStr">
        <is>
          <t>ÖSTHAMMAR</t>
        </is>
      </c>
      <c r="G635" t="n">
        <v>2.1</v>
      </c>
      <c r="H635" t="n">
        <v>0</v>
      </c>
      <c r="I635" t="n">
        <v>0</v>
      </c>
      <c r="J635" t="n">
        <v>0</v>
      </c>
      <c r="K635" t="n">
        <v>0</v>
      </c>
      <c r="L635" t="n">
        <v>0</v>
      </c>
      <c r="M635" t="n">
        <v>0</v>
      </c>
      <c r="N635" t="n">
        <v>0</v>
      </c>
      <c r="O635" t="n">
        <v>0</v>
      </c>
      <c r="P635" t="n">
        <v>0</v>
      </c>
      <c r="Q635" t="n">
        <v>0</v>
      </c>
      <c r="R635" s="2" t="inlineStr"/>
    </row>
    <row r="636" ht="15" customHeight="1">
      <c r="A636" t="inlineStr">
        <is>
          <t>A 8874-2025</t>
        </is>
      </c>
      <c r="B636" s="1" t="n">
        <v>45713</v>
      </c>
      <c r="C636" s="1" t="n">
        <v>46076</v>
      </c>
      <c r="D636" t="inlineStr">
        <is>
          <t>UPPSALA LÄN</t>
        </is>
      </c>
      <c r="E636" t="inlineStr">
        <is>
          <t>ÖSTHAMMAR</t>
        </is>
      </c>
      <c r="G636" t="n">
        <v>6.3</v>
      </c>
      <c r="H636" t="n">
        <v>0</v>
      </c>
      <c r="I636" t="n">
        <v>0</v>
      </c>
      <c r="J636" t="n">
        <v>0</v>
      </c>
      <c r="K636" t="n">
        <v>0</v>
      </c>
      <c r="L636" t="n">
        <v>0</v>
      </c>
      <c r="M636" t="n">
        <v>0</v>
      </c>
      <c r="N636" t="n">
        <v>0</v>
      </c>
      <c r="O636" t="n">
        <v>0</v>
      </c>
      <c r="P636" t="n">
        <v>0</v>
      </c>
      <c r="Q636" t="n">
        <v>0</v>
      </c>
      <c r="R636" s="2" t="inlineStr"/>
    </row>
    <row r="637" ht="15" customHeight="1">
      <c r="A637" t="inlineStr">
        <is>
          <t>A 8030-2026</t>
        </is>
      </c>
      <c r="B637" s="1" t="n">
        <v>46063.57956018519</v>
      </c>
      <c r="C637" s="1" t="n">
        <v>46076</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7855-2026</t>
        </is>
      </c>
      <c r="B638" s="1" t="n">
        <v>46062.67241898148</v>
      </c>
      <c r="C638" s="1" t="n">
        <v>46076</v>
      </c>
      <c r="D638" t="inlineStr">
        <is>
          <t>UPPSALA LÄN</t>
        </is>
      </c>
      <c r="E638" t="inlineStr">
        <is>
          <t>ÖSTHAMMAR</t>
        </is>
      </c>
      <c r="G638" t="n">
        <v>3.8</v>
      </c>
      <c r="H638" t="n">
        <v>0</v>
      </c>
      <c r="I638" t="n">
        <v>0</v>
      </c>
      <c r="J638" t="n">
        <v>0</v>
      </c>
      <c r="K638" t="n">
        <v>0</v>
      </c>
      <c r="L638" t="n">
        <v>0</v>
      </c>
      <c r="M638" t="n">
        <v>0</v>
      </c>
      <c r="N638" t="n">
        <v>0</v>
      </c>
      <c r="O638" t="n">
        <v>0</v>
      </c>
      <c r="P638" t="n">
        <v>0</v>
      </c>
      <c r="Q638" t="n">
        <v>0</v>
      </c>
      <c r="R638" s="2" t="inlineStr"/>
    </row>
    <row r="639" ht="15" customHeight="1">
      <c r="A639" t="inlineStr">
        <is>
          <t>A 14505-2023</t>
        </is>
      </c>
      <c r="B639" s="1" t="n">
        <v>45012.7975</v>
      </c>
      <c r="C639" s="1" t="n">
        <v>46076</v>
      </c>
      <c r="D639" t="inlineStr">
        <is>
          <t>UPPSALA LÄN</t>
        </is>
      </c>
      <c r="E639" t="inlineStr">
        <is>
          <t>ÖSTHAMMAR</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8086-2026</t>
        </is>
      </c>
      <c r="B640" s="1" t="n">
        <v>46063.70094907407</v>
      </c>
      <c r="C640" s="1" t="n">
        <v>46076</v>
      </c>
      <c r="D640" t="inlineStr">
        <is>
          <t>UPPSALA LÄN</t>
        </is>
      </c>
      <c r="E640" t="inlineStr">
        <is>
          <t>ÖSTHAMMAR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47341-2023</t>
        </is>
      </c>
      <c r="B641" s="1" t="n">
        <v>45202.55721064815</v>
      </c>
      <c r="C641" s="1" t="n">
        <v>46076</v>
      </c>
      <c r="D641" t="inlineStr">
        <is>
          <t>UPPSALA LÄN</t>
        </is>
      </c>
      <c r="E641" t="inlineStr">
        <is>
          <t>ÖSTHAMMAR</t>
        </is>
      </c>
      <c r="G641" t="n">
        <v>4.9</v>
      </c>
      <c r="H641" t="n">
        <v>0</v>
      </c>
      <c r="I641" t="n">
        <v>0</v>
      </c>
      <c r="J641" t="n">
        <v>0</v>
      </c>
      <c r="K641" t="n">
        <v>0</v>
      </c>
      <c r="L641" t="n">
        <v>0</v>
      </c>
      <c r="M641" t="n">
        <v>0</v>
      </c>
      <c r="N641" t="n">
        <v>0</v>
      </c>
      <c r="O641" t="n">
        <v>0</v>
      </c>
      <c r="P641" t="n">
        <v>0</v>
      </c>
      <c r="Q641" t="n">
        <v>0</v>
      </c>
      <c r="R641" s="2" t="inlineStr"/>
    </row>
    <row r="642" ht="15" customHeight="1">
      <c r="A642" t="inlineStr">
        <is>
          <t>A 3732-2022</t>
        </is>
      </c>
      <c r="B642" s="1" t="n">
        <v>44586.64851851852</v>
      </c>
      <c r="C642" s="1" t="n">
        <v>46076</v>
      </c>
      <c r="D642" t="inlineStr">
        <is>
          <t>UPPSALA LÄN</t>
        </is>
      </c>
      <c r="E642" t="inlineStr">
        <is>
          <t>ÖSTHAMMAR</t>
        </is>
      </c>
      <c r="F642" t="inlineStr">
        <is>
          <t>Bergvik skog öst AB</t>
        </is>
      </c>
      <c r="G642" t="n">
        <v>3.6</v>
      </c>
      <c r="H642" t="n">
        <v>0</v>
      </c>
      <c r="I642" t="n">
        <v>0</v>
      </c>
      <c r="J642" t="n">
        <v>0</v>
      </c>
      <c r="K642" t="n">
        <v>0</v>
      </c>
      <c r="L642" t="n">
        <v>0</v>
      </c>
      <c r="M642" t="n">
        <v>0</v>
      </c>
      <c r="N642" t="n">
        <v>0</v>
      </c>
      <c r="O642" t="n">
        <v>0</v>
      </c>
      <c r="P642" t="n">
        <v>0</v>
      </c>
      <c r="Q642" t="n">
        <v>0</v>
      </c>
      <c r="R642" s="2" t="inlineStr"/>
    </row>
    <row r="643" ht="15" customHeight="1">
      <c r="A643" t="inlineStr">
        <is>
          <t>A 8269-2026</t>
        </is>
      </c>
      <c r="B643" s="1" t="n">
        <v>46064.54721064815</v>
      </c>
      <c r="C643" s="1" t="n">
        <v>46076</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33056-2021</t>
        </is>
      </c>
      <c r="B644" s="1" t="n">
        <v>44376.52438657408</v>
      </c>
      <c r="C644" s="1" t="n">
        <v>46076</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8291-2026</t>
        </is>
      </c>
      <c r="B645" s="1" t="n">
        <v>46064.56945601852</v>
      </c>
      <c r="C645" s="1" t="n">
        <v>46076</v>
      </c>
      <c r="D645" t="inlineStr">
        <is>
          <t>UPPSALA LÄN</t>
        </is>
      </c>
      <c r="E645" t="inlineStr">
        <is>
          <t>ÖSTHAMMAR</t>
        </is>
      </c>
      <c r="G645" t="n">
        <v>4.5</v>
      </c>
      <c r="H645" t="n">
        <v>0</v>
      </c>
      <c r="I645" t="n">
        <v>0</v>
      </c>
      <c r="J645" t="n">
        <v>0</v>
      </c>
      <c r="K645" t="n">
        <v>0</v>
      </c>
      <c r="L645" t="n">
        <v>0</v>
      </c>
      <c r="M645" t="n">
        <v>0</v>
      </c>
      <c r="N645" t="n">
        <v>0</v>
      </c>
      <c r="O645" t="n">
        <v>0</v>
      </c>
      <c r="P645" t="n">
        <v>0</v>
      </c>
      <c r="Q645" t="n">
        <v>0</v>
      </c>
      <c r="R645" s="2" t="inlineStr"/>
    </row>
    <row r="646" ht="15" customHeight="1">
      <c r="A646" t="inlineStr">
        <is>
          <t>A 8525-2026</t>
        </is>
      </c>
      <c r="B646" s="1" t="n">
        <v>46065.58760416666</v>
      </c>
      <c r="C646" s="1" t="n">
        <v>46076</v>
      </c>
      <c r="D646" t="inlineStr">
        <is>
          <t>UPPSALA LÄN</t>
        </is>
      </c>
      <c r="E646" t="inlineStr">
        <is>
          <t>ÖSTHAMMAR</t>
        </is>
      </c>
      <c r="F646" t="inlineStr">
        <is>
          <t>Övriga Aktiebolag</t>
        </is>
      </c>
      <c r="G646" t="n">
        <v>4.8</v>
      </c>
      <c r="H646" t="n">
        <v>0</v>
      </c>
      <c r="I646" t="n">
        <v>0</v>
      </c>
      <c r="J646" t="n">
        <v>0</v>
      </c>
      <c r="K646" t="n">
        <v>0</v>
      </c>
      <c r="L646" t="n">
        <v>0</v>
      </c>
      <c r="M646" t="n">
        <v>0</v>
      </c>
      <c r="N646" t="n">
        <v>0</v>
      </c>
      <c r="O646" t="n">
        <v>0</v>
      </c>
      <c r="P646" t="n">
        <v>0</v>
      </c>
      <c r="Q646" t="n">
        <v>0</v>
      </c>
      <c r="R646" s="2" t="inlineStr"/>
    </row>
    <row r="647" ht="15" customHeight="1">
      <c r="A647" t="inlineStr">
        <is>
          <t>A 8530-2026</t>
        </is>
      </c>
      <c r="B647" s="1" t="n">
        <v>46065.60075231481</v>
      </c>
      <c r="C647" s="1" t="n">
        <v>46076</v>
      </c>
      <c r="D647" t="inlineStr">
        <is>
          <t>UPPSALA LÄN</t>
        </is>
      </c>
      <c r="E647" t="inlineStr">
        <is>
          <t>ÖSTHAMMAR</t>
        </is>
      </c>
      <c r="F647" t="inlineStr">
        <is>
          <t>Övriga Aktiebolag</t>
        </is>
      </c>
      <c r="G647" t="n">
        <v>2</v>
      </c>
      <c r="H647" t="n">
        <v>0</v>
      </c>
      <c r="I647" t="n">
        <v>0</v>
      </c>
      <c r="J647" t="n">
        <v>0</v>
      </c>
      <c r="K647" t="n">
        <v>0</v>
      </c>
      <c r="L647" t="n">
        <v>0</v>
      </c>
      <c r="M647" t="n">
        <v>0</v>
      </c>
      <c r="N647" t="n">
        <v>0</v>
      </c>
      <c r="O647" t="n">
        <v>0</v>
      </c>
      <c r="P647" t="n">
        <v>0</v>
      </c>
      <c r="Q647" t="n">
        <v>0</v>
      </c>
      <c r="R647" s="2" t="inlineStr"/>
    </row>
    <row r="648" ht="15" customHeight="1">
      <c r="A648" t="inlineStr">
        <is>
          <t>A 25269-2024</t>
        </is>
      </c>
      <c r="B648" s="1" t="n">
        <v>45462</v>
      </c>
      <c r="C648" s="1" t="n">
        <v>46076</v>
      </c>
      <c r="D648" t="inlineStr">
        <is>
          <t>UPPSALA LÄN</t>
        </is>
      </c>
      <c r="E648" t="inlineStr">
        <is>
          <t>ÖSTHAMMAR</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223-2026</t>
        </is>
      </c>
      <c r="B649" s="1" t="n">
        <v>46026.84339120371</v>
      </c>
      <c r="C649" s="1" t="n">
        <v>46076</v>
      </c>
      <c r="D649" t="inlineStr">
        <is>
          <t>UPPSALA LÄN</t>
        </is>
      </c>
      <c r="E649" t="inlineStr">
        <is>
          <t>ÖSTHAMMAR</t>
        </is>
      </c>
      <c r="G649" t="n">
        <v>39.2</v>
      </c>
      <c r="H649" t="n">
        <v>0</v>
      </c>
      <c r="I649" t="n">
        <v>0</v>
      </c>
      <c r="J649" t="n">
        <v>0</v>
      </c>
      <c r="K649" t="n">
        <v>0</v>
      </c>
      <c r="L649" t="n">
        <v>0</v>
      </c>
      <c r="M649" t="n">
        <v>0</v>
      </c>
      <c r="N649" t="n">
        <v>0</v>
      </c>
      <c r="O649" t="n">
        <v>0</v>
      </c>
      <c r="P649" t="n">
        <v>0</v>
      </c>
      <c r="Q649" t="n">
        <v>0</v>
      </c>
      <c r="R649" s="2" t="inlineStr"/>
    </row>
    <row r="650" ht="15" customHeight="1">
      <c r="A650" t="inlineStr">
        <is>
          <t>A 13352-2023</t>
        </is>
      </c>
      <c r="B650" s="1" t="n">
        <v>45005</v>
      </c>
      <c r="C650" s="1" t="n">
        <v>46076</v>
      </c>
      <c r="D650" t="inlineStr">
        <is>
          <t>UPPSALA LÄN</t>
        </is>
      </c>
      <c r="E650" t="inlineStr">
        <is>
          <t>ÖSTHAMMAR</t>
        </is>
      </c>
      <c r="G650" t="n">
        <v>1.8</v>
      </c>
      <c r="H650" t="n">
        <v>0</v>
      </c>
      <c r="I650" t="n">
        <v>0</v>
      </c>
      <c r="J650" t="n">
        <v>0</v>
      </c>
      <c r="K650" t="n">
        <v>0</v>
      </c>
      <c r="L650" t="n">
        <v>0</v>
      </c>
      <c r="M650" t="n">
        <v>0</v>
      </c>
      <c r="N650" t="n">
        <v>0</v>
      </c>
      <c r="O650" t="n">
        <v>0</v>
      </c>
      <c r="P650" t="n">
        <v>0</v>
      </c>
      <c r="Q650" t="n">
        <v>0</v>
      </c>
      <c r="R650" s="2" t="inlineStr"/>
    </row>
    <row r="651" ht="15" customHeight="1">
      <c r="A651" t="inlineStr">
        <is>
          <t>A 22804-2022</t>
        </is>
      </c>
      <c r="B651" s="1" t="n">
        <v>44715</v>
      </c>
      <c r="C651" s="1" t="n">
        <v>46076</v>
      </c>
      <c r="D651" t="inlineStr">
        <is>
          <t>UPPSALA LÄN</t>
        </is>
      </c>
      <c r="E651" t="inlineStr">
        <is>
          <t>ÖSTHAMMAR</t>
        </is>
      </c>
      <c r="G651" t="n">
        <v>2.7</v>
      </c>
      <c r="H651" t="n">
        <v>0</v>
      </c>
      <c r="I651" t="n">
        <v>0</v>
      </c>
      <c r="J651" t="n">
        <v>0</v>
      </c>
      <c r="K651" t="n">
        <v>0</v>
      </c>
      <c r="L651" t="n">
        <v>0</v>
      </c>
      <c r="M651" t="n">
        <v>0</v>
      </c>
      <c r="N651" t="n">
        <v>0</v>
      </c>
      <c r="O651" t="n">
        <v>0</v>
      </c>
      <c r="P651" t="n">
        <v>0</v>
      </c>
      <c r="Q651" t="n">
        <v>0</v>
      </c>
      <c r="R651" s="2" t="inlineStr"/>
    </row>
    <row r="652" ht="15" customHeight="1">
      <c r="A652" t="inlineStr">
        <is>
          <t>A 45795-2023</t>
        </is>
      </c>
      <c r="B652" s="1" t="n">
        <v>45195</v>
      </c>
      <c r="C652" s="1" t="n">
        <v>46076</v>
      </c>
      <c r="D652" t="inlineStr">
        <is>
          <t>UPPSALA LÄN</t>
        </is>
      </c>
      <c r="E652" t="inlineStr">
        <is>
          <t>ÖSTHAMMAR</t>
        </is>
      </c>
      <c r="G652" t="n">
        <v>4</v>
      </c>
      <c r="H652" t="n">
        <v>0</v>
      </c>
      <c r="I652" t="n">
        <v>0</v>
      </c>
      <c r="J652" t="n">
        <v>0</v>
      </c>
      <c r="K652" t="n">
        <v>0</v>
      </c>
      <c r="L652" t="n">
        <v>0</v>
      </c>
      <c r="M652" t="n">
        <v>0</v>
      </c>
      <c r="N652" t="n">
        <v>0</v>
      </c>
      <c r="O652" t="n">
        <v>0</v>
      </c>
      <c r="P652" t="n">
        <v>0</v>
      </c>
      <c r="Q652" t="n">
        <v>0</v>
      </c>
      <c r="R652" s="2" t="inlineStr"/>
    </row>
    <row r="653" ht="15" customHeight="1">
      <c r="A653" t="inlineStr">
        <is>
          <t>A 360-2026</t>
        </is>
      </c>
      <c r="B653" s="1" t="n">
        <v>46027.66442129629</v>
      </c>
      <c r="C653" s="1" t="n">
        <v>46076</v>
      </c>
      <c r="D653" t="inlineStr">
        <is>
          <t>UPPSALA LÄN</t>
        </is>
      </c>
      <c r="E653" t="inlineStr">
        <is>
          <t>ÖSTHAMMAR</t>
        </is>
      </c>
      <c r="F653" t="inlineStr">
        <is>
          <t>Bergvik skog öst AB</t>
        </is>
      </c>
      <c r="G653" t="n">
        <v>7.9</v>
      </c>
      <c r="H653" t="n">
        <v>0</v>
      </c>
      <c r="I653" t="n">
        <v>0</v>
      </c>
      <c r="J653" t="n">
        <v>0</v>
      </c>
      <c r="K653" t="n">
        <v>0</v>
      </c>
      <c r="L653" t="n">
        <v>0</v>
      </c>
      <c r="M653" t="n">
        <v>0</v>
      </c>
      <c r="N653" t="n">
        <v>0</v>
      </c>
      <c r="O653" t="n">
        <v>0</v>
      </c>
      <c r="P653" t="n">
        <v>0</v>
      </c>
      <c r="Q653" t="n">
        <v>0</v>
      </c>
      <c r="R653" s="2" t="inlineStr"/>
    </row>
    <row r="654" ht="15" customHeight="1">
      <c r="A654" t="inlineStr">
        <is>
          <t>A 7997-2022</t>
        </is>
      </c>
      <c r="B654" s="1" t="n">
        <v>44609</v>
      </c>
      <c r="C654" s="1" t="n">
        <v>46076</v>
      </c>
      <c r="D654" t="inlineStr">
        <is>
          <t>UPPSALA LÄN</t>
        </is>
      </c>
      <c r="E654" t="inlineStr">
        <is>
          <t>ÖSTHAMMAR</t>
        </is>
      </c>
      <c r="G654" t="n">
        <v>1.8</v>
      </c>
      <c r="H654" t="n">
        <v>0</v>
      </c>
      <c r="I654" t="n">
        <v>0</v>
      </c>
      <c r="J654" t="n">
        <v>0</v>
      </c>
      <c r="K654" t="n">
        <v>0</v>
      </c>
      <c r="L654" t="n">
        <v>0</v>
      </c>
      <c r="M654" t="n">
        <v>0</v>
      </c>
      <c r="N654" t="n">
        <v>0</v>
      </c>
      <c r="O654" t="n">
        <v>0</v>
      </c>
      <c r="P654" t="n">
        <v>0</v>
      </c>
      <c r="Q654" t="n">
        <v>0</v>
      </c>
      <c r="R654" s="2" t="inlineStr"/>
    </row>
    <row r="655" ht="15" customHeight="1">
      <c r="A655" t="inlineStr">
        <is>
          <t>A 285-2026</t>
        </is>
      </c>
      <c r="B655" s="1" t="n">
        <v>46027.49130787037</v>
      </c>
      <c r="C655" s="1" t="n">
        <v>46076</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8789-2026</t>
        </is>
      </c>
      <c r="B656" s="1" t="n">
        <v>46066.58792824074</v>
      </c>
      <c r="C656" s="1" t="n">
        <v>46076</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67199-2021</t>
        </is>
      </c>
      <c r="B657" s="1" t="n">
        <v>44523.46197916667</v>
      </c>
      <c r="C657" s="1" t="n">
        <v>46076</v>
      </c>
      <c r="D657" t="inlineStr">
        <is>
          <t>UPPSALA LÄN</t>
        </is>
      </c>
      <c r="E657" t="inlineStr">
        <is>
          <t>ÖSTHAMMAR</t>
        </is>
      </c>
      <c r="G657" t="n">
        <v>2.3</v>
      </c>
      <c r="H657" t="n">
        <v>0</v>
      </c>
      <c r="I657" t="n">
        <v>0</v>
      </c>
      <c r="J657" t="n">
        <v>0</v>
      </c>
      <c r="K657" t="n">
        <v>0</v>
      </c>
      <c r="L657" t="n">
        <v>0</v>
      </c>
      <c r="M657" t="n">
        <v>0</v>
      </c>
      <c r="N657" t="n">
        <v>0</v>
      </c>
      <c r="O657" t="n">
        <v>0</v>
      </c>
      <c r="P657" t="n">
        <v>0</v>
      </c>
      <c r="Q657" t="n">
        <v>0</v>
      </c>
      <c r="R657" s="2" t="inlineStr"/>
    </row>
    <row r="658" ht="15" customHeight="1">
      <c r="A658" t="inlineStr">
        <is>
          <t>A 362-2026</t>
        </is>
      </c>
      <c r="B658" s="1" t="n">
        <v>46027.6659375</v>
      </c>
      <c r="C658" s="1" t="n">
        <v>46076</v>
      </c>
      <c r="D658" t="inlineStr">
        <is>
          <t>UPPSALA LÄN</t>
        </is>
      </c>
      <c r="E658" t="inlineStr">
        <is>
          <t>ÖSTHAMMAR</t>
        </is>
      </c>
      <c r="F658" t="inlineStr">
        <is>
          <t>Bergvik skog öst AB</t>
        </is>
      </c>
      <c r="G658" t="n">
        <v>1.1</v>
      </c>
      <c r="H658" t="n">
        <v>0</v>
      </c>
      <c r="I658" t="n">
        <v>0</v>
      </c>
      <c r="J658" t="n">
        <v>0</v>
      </c>
      <c r="K658" t="n">
        <v>0</v>
      </c>
      <c r="L658" t="n">
        <v>0</v>
      </c>
      <c r="M658" t="n">
        <v>0</v>
      </c>
      <c r="N658" t="n">
        <v>0</v>
      </c>
      <c r="O658" t="n">
        <v>0</v>
      </c>
      <c r="P658" t="n">
        <v>0</v>
      </c>
      <c r="Q658" t="n">
        <v>0</v>
      </c>
      <c r="R658" s="2" t="inlineStr"/>
    </row>
    <row r="659" ht="15" customHeight="1">
      <c r="A659" t="inlineStr">
        <is>
          <t>A 15449-2022</t>
        </is>
      </c>
      <c r="B659" s="1" t="n">
        <v>44660.91659722223</v>
      </c>
      <c r="C659" s="1" t="n">
        <v>46076</v>
      </c>
      <c r="D659" t="inlineStr">
        <is>
          <t>UPPSALA LÄN</t>
        </is>
      </c>
      <c r="E659" t="inlineStr">
        <is>
          <t>ÖSTHAMMAR</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18183-2022</t>
        </is>
      </c>
      <c r="B660" s="1" t="n">
        <v>44684</v>
      </c>
      <c r="C660" s="1" t="n">
        <v>46076</v>
      </c>
      <c r="D660" t="inlineStr">
        <is>
          <t>UPPSALA LÄN</t>
        </is>
      </c>
      <c r="E660" t="inlineStr">
        <is>
          <t>ÖSTHAMMAR</t>
        </is>
      </c>
      <c r="G660" t="n">
        <v>0.2</v>
      </c>
      <c r="H660" t="n">
        <v>0</v>
      </c>
      <c r="I660" t="n">
        <v>0</v>
      </c>
      <c r="J660" t="n">
        <v>0</v>
      </c>
      <c r="K660" t="n">
        <v>0</v>
      </c>
      <c r="L660" t="n">
        <v>0</v>
      </c>
      <c r="M660" t="n">
        <v>0</v>
      </c>
      <c r="N660" t="n">
        <v>0</v>
      </c>
      <c r="O660" t="n">
        <v>0</v>
      </c>
      <c r="P660" t="n">
        <v>0</v>
      </c>
      <c r="Q660" t="n">
        <v>0</v>
      </c>
      <c r="R660" s="2" t="inlineStr"/>
    </row>
    <row r="661" ht="15" customHeight="1">
      <c r="A661" t="inlineStr">
        <is>
          <t>A 638-2026</t>
        </is>
      </c>
      <c r="B661" s="1" t="n">
        <v>46029.56026620371</v>
      </c>
      <c r="C661" s="1" t="n">
        <v>46076</v>
      </c>
      <c r="D661" t="inlineStr">
        <is>
          <t>UPPSALA LÄN</t>
        </is>
      </c>
      <c r="E661" t="inlineStr">
        <is>
          <t>ÖSTHAMMAR</t>
        </is>
      </c>
      <c r="F661" t="inlineStr">
        <is>
          <t>Bergvik skog öst AB</t>
        </is>
      </c>
      <c r="G661" t="n">
        <v>6.1</v>
      </c>
      <c r="H661" t="n">
        <v>0</v>
      </c>
      <c r="I661" t="n">
        <v>0</v>
      </c>
      <c r="J661" t="n">
        <v>0</v>
      </c>
      <c r="K661" t="n">
        <v>0</v>
      </c>
      <c r="L661" t="n">
        <v>0</v>
      </c>
      <c r="M661" t="n">
        <v>0</v>
      </c>
      <c r="N661" t="n">
        <v>0</v>
      </c>
      <c r="O661" t="n">
        <v>0</v>
      </c>
      <c r="P661" t="n">
        <v>0</v>
      </c>
      <c r="Q661" t="n">
        <v>0</v>
      </c>
      <c r="R661" s="2" t="inlineStr"/>
    </row>
    <row r="662" ht="15" customHeight="1">
      <c r="A662" t="inlineStr">
        <is>
          <t>A 31896-2025</t>
        </is>
      </c>
      <c r="B662" s="1" t="n">
        <v>45834.67556712963</v>
      </c>
      <c r="C662" s="1" t="n">
        <v>46076</v>
      </c>
      <c r="D662" t="inlineStr">
        <is>
          <t>UPPSALA LÄN</t>
        </is>
      </c>
      <c r="E662" t="inlineStr">
        <is>
          <t>ÖSTHAMMAR</t>
        </is>
      </c>
      <c r="G662" t="n">
        <v>4.1</v>
      </c>
      <c r="H662" t="n">
        <v>0</v>
      </c>
      <c r="I662" t="n">
        <v>0</v>
      </c>
      <c r="J662" t="n">
        <v>0</v>
      </c>
      <c r="K662" t="n">
        <v>0</v>
      </c>
      <c r="L662" t="n">
        <v>0</v>
      </c>
      <c r="M662" t="n">
        <v>0</v>
      </c>
      <c r="N662" t="n">
        <v>0</v>
      </c>
      <c r="O662" t="n">
        <v>0</v>
      </c>
      <c r="P662" t="n">
        <v>0</v>
      </c>
      <c r="Q662" t="n">
        <v>0</v>
      </c>
      <c r="R662" s="2" t="inlineStr"/>
    </row>
    <row r="663" ht="15" customHeight="1">
      <c r="A663" t="inlineStr">
        <is>
          <t>A 6892-2022</t>
        </is>
      </c>
      <c r="B663" s="1" t="n">
        <v>44602</v>
      </c>
      <c r="C663" s="1" t="n">
        <v>46076</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62295-2022</t>
        </is>
      </c>
      <c r="B664" s="1" t="n">
        <v>44916</v>
      </c>
      <c r="C664" s="1" t="n">
        <v>46076</v>
      </c>
      <c r="D664" t="inlineStr">
        <is>
          <t>UPPSALA LÄN</t>
        </is>
      </c>
      <c r="E664" t="inlineStr">
        <is>
          <t>ÖSTHAMMAR</t>
        </is>
      </c>
      <c r="G664" t="n">
        <v>3.3</v>
      </c>
      <c r="H664" t="n">
        <v>0</v>
      </c>
      <c r="I664" t="n">
        <v>0</v>
      </c>
      <c r="J664" t="n">
        <v>0</v>
      </c>
      <c r="K664" t="n">
        <v>0</v>
      </c>
      <c r="L664" t="n">
        <v>0</v>
      </c>
      <c r="M664" t="n">
        <v>0</v>
      </c>
      <c r="N664" t="n">
        <v>0</v>
      </c>
      <c r="O664" t="n">
        <v>0</v>
      </c>
      <c r="P664" t="n">
        <v>0</v>
      </c>
      <c r="Q664" t="n">
        <v>0</v>
      </c>
      <c r="R664" s="2" t="inlineStr"/>
    </row>
    <row r="665" ht="15" customHeight="1">
      <c r="A665" t="inlineStr">
        <is>
          <t>A 8830-2023</t>
        </is>
      </c>
      <c r="B665" s="1" t="n">
        <v>44978</v>
      </c>
      <c r="C665" s="1" t="n">
        <v>46076</v>
      </c>
      <c r="D665" t="inlineStr">
        <is>
          <t>UPPSALA LÄN</t>
        </is>
      </c>
      <c r="E665" t="inlineStr">
        <is>
          <t>ÖSTHAMMAR</t>
        </is>
      </c>
      <c r="F665" t="inlineStr">
        <is>
          <t>Bergvik skog öst AB</t>
        </is>
      </c>
      <c r="G665" t="n">
        <v>1.6</v>
      </c>
      <c r="H665" t="n">
        <v>0</v>
      </c>
      <c r="I665" t="n">
        <v>0</v>
      </c>
      <c r="J665" t="n">
        <v>0</v>
      </c>
      <c r="K665" t="n">
        <v>0</v>
      </c>
      <c r="L665" t="n">
        <v>0</v>
      </c>
      <c r="M665" t="n">
        <v>0</v>
      </c>
      <c r="N665" t="n">
        <v>0</v>
      </c>
      <c r="O665" t="n">
        <v>0</v>
      </c>
      <c r="P665" t="n">
        <v>0</v>
      </c>
      <c r="Q665" t="n">
        <v>0</v>
      </c>
      <c r="R665" s="2" t="inlineStr"/>
    </row>
    <row r="666" ht="15" customHeight="1">
      <c r="A666" t="inlineStr">
        <is>
          <t>A 653-2026</t>
        </is>
      </c>
      <c r="B666" s="1" t="n">
        <v>46029.57829861111</v>
      </c>
      <c r="C666" s="1" t="n">
        <v>46076</v>
      </c>
      <c r="D666" t="inlineStr">
        <is>
          <t>UPPSALA LÄN</t>
        </is>
      </c>
      <c r="E666" t="inlineStr">
        <is>
          <t>ÖSTHAMMAR</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18091-2023</t>
        </is>
      </c>
      <c r="B667" s="1" t="n">
        <v>45040</v>
      </c>
      <c r="C667" s="1" t="n">
        <v>46076</v>
      </c>
      <c r="D667" t="inlineStr">
        <is>
          <t>UPPSALA LÄN</t>
        </is>
      </c>
      <c r="E667" t="inlineStr">
        <is>
          <t>ÖSTHAMMAR</t>
        </is>
      </c>
      <c r="G667" t="n">
        <v>2.4</v>
      </c>
      <c r="H667" t="n">
        <v>0</v>
      </c>
      <c r="I667" t="n">
        <v>0</v>
      </c>
      <c r="J667" t="n">
        <v>0</v>
      </c>
      <c r="K667" t="n">
        <v>0</v>
      </c>
      <c r="L667" t="n">
        <v>0</v>
      </c>
      <c r="M667" t="n">
        <v>0</v>
      </c>
      <c r="N667" t="n">
        <v>0</v>
      </c>
      <c r="O667" t="n">
        <v>0</v>
      </c>
      <c r="P667" t="n">
        <v>0</v>
      </c>
      <c r="Q667" t="n">
        <v>0</v>
      </c>
      <c r="R667" s="2" t="inlineStr"/>
    </row>
    <row r="668" ht="15" customHeight="1">
      <c r="A668" t="inlineStr">
        <is>
          <t>A 47522-2023</t>
        </is>
      </c>
      <c r="B668" s="1" t="n">
        <v>45203</v>
      </c>
      <c r="C668" s="1" t="n">
        <v>46076</v>
      </c>
      <c r="D668" t="inlineStr">
        <is>
          <t>UPPSALA LÄN</t>
        </is>
      </c>
      <c r="E668" t="inlineStr">
        <is>
          <t>ÖSTHAMMAR</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13358-2024</t>
        </is>
      </c>
      <c r="B669" s="1" t="n">
        <v>45387.3503125</v>
      </c>
      <c r="C669" s="1" t="n">
        <v>46076</v>
      </c>
      <c r="D669" t="inlineStr">
        <is>
          <t>UPPSALA LÄN</t>
        </is>
      </c>
      <c r="E669" t="inlineStr">
        <is>
          <t>ÖSTHAMMAR</t>
        </is>
      </c>
      <c r="G669" t="n">
        <v>2.2</v>
      </c>
      <c r="H669" t="n">
        <v>0</v>
      </c>
      <c r="I669" t="n">
        <v>0</v>
      </c>
      <c r="J669" t="n">
        <v>0</v>
      </c>
      <c r="K669" t="n">
        <v>0</v>
      </c>
      <c r="L669" t="n">
        <v>0</v>
      </c>
      <c r="M669" t="n">
        <v>0</v>
      </c>
      <c r="N669" t="n">
        <v>0</v>
      </c>
      <c r="O669" t="n">
        <v>0</v>
      </c>
      <c r="P669" t="n">
        <v>0</v>
      </c>
      <c r="Q669" t="n">
        <v>0</v>
      </c>
      <c r="R669" s="2" t="inlineStr"/>
    </row>
    <row r="670" ht="15" customHeight="1">
      <c r="A670" t="inlineStr">
        <is>
          <t>A 29282-2021</t>
        </is>
      </c>
      <c r="B670" s="1" t="n">
        <v>44361</v>
      </c>
      <c r="C670" s="1" t="n">
        <v>46076</v>
      </c>
      <c r="D670" t="inlineStr">
        <is>
          <t>UPPSALA LÄN</t>
        </is>
      </c>
      <c r="E670" t="inlineStr">
        <is>
          <t>ÖSTHAMMAR</t>
        </is>
      </c>
      <c r="G670" t="n">
        <v>2.4</v>
      </c>
      <c r="H670" t="n">
        <v>0</v>
      </c>
      <c r="I670" t="n">
        <v>0</v>
      </c>
      <c r="J670" t="n">
        <v>0</v>
      </c>
      <c r="K670" t="n">
        <v>0</v>
      </c>
      <c r="L670" t="n">
        <v>0</v>
      </c>
      <c r="M670" t="n">
        <v>0</v>
      </c>
      <c r="N670" t="n">
        <v>0</v>
      </c>
      <c r="O670" t="n">
        <v>0</v>
      </c>
      <c r="P670" t="n">
        <v>0</v>
      </c>
      <c r="Q670" t="n">
        <v>0</v>
      </c>
      <c r="R670" s="2" t="inlineStr"/>
    </row>
    <row r="671" ht="15" customHeight="1">
      <c r="A671" t="inlineStr">
        <is>
          <t>A 54366-2023</t>
        </is>
      </c>
      <c r="B671" s="1" t="n">
        <v>45233</v>
      </c>
      <c r="C671" s="1" t="n">
        <v>46076</v>
      </c>
      <c r="D671" t="inlineStr">
        <is>
          <t>UPPSALA LÄN</t>
        </is>
      </c>
      <c r="E671" t="inlineStr">
        <is>
          <t>ÖSTHAMMAR</t>
        </is>
      </c>
      <c r="F671" t="inlineStr">
        <is>
          <t>Bergvik skog öst AB</t>
        </is>
      </c>
      <c r="G671" t="n">
        <v>2.9</v>
      </c>
      <c r="H671" t="n">
        <v>0</v>
      </c>
      <c r="I671" t="n">
        <v>0</v>
      </c>
      <c r="J671" t="n">
        <v>0</v>
      </c>
      <c r="K671" t="n">
        <v>0</v>
      </c>
      <c r="L671" t="n">
        <v>0</v>
      </c>
      <c r="M671" t="n">
        <v>0</v>
      </c>
      <c r="N671" t="n">
        <v>0</v>
      </c>
      <c r="O671" t="n">
        <v>0</v>
      </c>
      <c r="P671" t="n">
        <v>0</v>
      </c>
      <c r="Q671" t="n">
        <v>0</v>
      </c>
      <c r="R671" s="2" t="inlineStr"/>
    </row>
    <row r="672" ht="15" customHeight="1">
      <c r="A672" t="inlineStr">
        <is>
          <t>A 52694-2023</t>
        </is>
      </c>
      <c r="B672" s="1" t="n">
        <v>45225.76836805556</v>
      </c>
      <c r="C672" s="1" t="n">
        <v>46076</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23120-2021</t>
        </is>
      </c>
      <c r="B673" s="1" t="n">
        <v>44330</v>
      </c>
      <c r="C673" s="1" t="n">
        <v>46076</v>
      </c>
      <c r="D673" t="inlineStr">
        <is>
          <t>UPPSALA LÄN</t>
        </is>
      </c>
      <c r="E673" t="inlineStr">
        <is>
          <t>ÖSTHAMMAR</t>
        </is>
      </c>
      <c r="G673" t="n">
        <v>0.5</v>
      </c>
      <c r="H673" t="n">
        <v>0</v>
      </c>
      <c r="I673" t="n">
        <v>0</v>
      </c>
      <c r="J673" t="n">
        <v>0</v>
      </c>
      <c r="K673" t="n">
        <v>0</v>
      </c>
      <c r="L673" t="n">
        <v>0</v>
      </c>
      <c r="M673" t="n">
        <v>0</v>
      </c>
      <c r="N673" t="n">
        <v>0</v>
      </c>
      <c r="O673" t="n">
        <v>0</v>
      </c>
      <c r="P673" t="n">
        <v>0</v>
      </c>
      <c r="Q673" t="n">
        <v>0</v>
      </c>
      <c r="R673" s="2" t="inlineStr"/>
    </row>
    <row r="674" ht="15" customHeight="1">
      <c r="A674" t="inlineStr">
        <is>
          <t>A 985-2026</t>
        </is>
      </c>
      <c r="B674" s="1" t="n">
        <v>46030.58104166666</v>
      </c>
      <c r="C674" s="1" t="n">
        <v>46076</v>
      </c>
      <c r="D674" t="inlineStr">
        <is>
          <t>UPPSALA LÄN</t>
        </is>
      </c>
      <c r="E674" t="inlineStr">
        <is>
          <t>ÖSTHAMMAR</t>
        </is>
      </c>
      <c r="G674" t="n">
        <v>0.8</v>
      </c>
      <c r="H674" t="n">
        <v>0</v>
      </c>
      <c r="I674" t="n">
        <v>0</v>
      </c>
      <c r="J674" t="n">
        <v>0</v>
      </c>
      <c r="K674" t="n">
        <v>0</v>
      </c>
      <c r="L674" t="n">
        <v>0</v>
      </c>
      <c r="M674" t="n">
        <v>0</v>
      </c>
      <c r="N674" t="n">
        <v>0</v>
      </c>
      <c r="O674" t="n">
        <v>0</v>
      </c>
      <c r="P674" t="n">
        <v>0</v>
      </c>
      <c r="Q674" t="n">
        <v>0</v>
      </c>
      <c r="R674" s="2" t="inlineStr"/>
    </row>
    <row r="675" ht="15" customHeight="1">
      <c r="A675" t="inlineStr">
        <is>
          <t>A 9666-2026</t>
        </is>
      </c>
      <c r="B675" s="1" t="n">
        <v>46072.36847222222</v>
      </c>
      <c r="C675" s="1" t="n">
        <v>46076</v>
      </c>
      <c r="D675" t="inlineStr">
        <is>
          <t>UPPSALA LÄN</t>
        </is>
      </c>
      <c r="E675" t="inlineStr">
        <is>
          <t>ÖSTHAMMAR</t>
        </is>
      </c>
      <c r="F675" t="inlineStr">
        <is>
          <t>Bergvik skog öst AB</t>
        </is>
      </c>
      <c r="G675" t="n">
        <v>12.8</v>
      </c>
      <c r="H675" t="n">
        <v>0</v>
      </c>
      <c r="I675" t="n">
        <v>0</v>
      </c>
      <c r="J675" t="n">
        <v>0</v>
      </c>
      <c r="K675" t="n">
        <v>0</v>
      </c>
      <c r="L675" t="n">
        <v>0</v>
      </c>
      <c r="M675" t="n">
        <v>0</v>
      </c>
      <c r="N675" t="n">
        <v>0</v>
      </c>
      <c r="O675" t="n">
        <v>0</v>
      </c>
      <c r="P675" t="n">
        <v>0</v>
      </c>
      <c r="Q675" t="n">
        <v>0</v>
      </c>
      <c r="R675" s="2" t="inlineStr"/>
    </row>
    <row r="676" ht="15" customHeight="1">
      <c r="A676" t="inlineStr">
        <is>
          <t>A 9664-2026</t>
        </is>
      </c>
      <c r="B676" s="1" t="n">
        <v>46072.36732638889</v>
      </c>
      <c r="C676" s="1" t="n">
        <v>46076</v>
      </c>
      <c r="D676" t="inlineStr">
        <is>
          <t>UPPSALA LÄN</t>
        </is>
      </c>
      <c r="E676" t="inlineStr">
        <is>
          <t>ÖSTHAMMAR</t>
        </is>
      </c>
      <c r="F676" t="inlineStr">
        <is>
          <t>Bergvik skog öst AB</t>
        </is>
      </c>
      <c r="G676" t="n">
        <v>0.3</v>
      </c>
      <c r="H676" t="n">
        <v>0</v>
      </c>
      <c r="I676" t="n">
        <v>0</v>
      </c>
      <c r="J676" t="n">
        <v>0</v>
      </c>
      <c r="K676" t="n">
        <v>0</v>
      </c>
      <c r="L676" t="n">
        <v>0</v>
      </c>
      <c r="M676" t="n">
        <v>0</v>
      </c>
      <c r="N676" t="n">
        <v>0</v>
      </c>
      <c r="O676" t="n">
        <v>0</v>
      </c>
      <c r="P676" t="n">
        <v>0</v>
      </c>
      <c r="Q676" t="n">
        <v>0</v>
      </c>
      <c r="R676" s="2" t="inlineStr"/>
    </row>
    <row r="677" ht="15" customHeight="1">
      <c r="A677" t="inlineStr">
        <is>
          <t>A 36873-2022</t>
        </is>
      </c>
      <c r="B677" s="1" t="n">
        <v>44805.63708333333</v>
      </c>
      <c r="C677" s="1" t="n">
        <v>46076</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54666-2022</t>
        </is>
      </c>
      <c r="B678" s="1" t="n">
        <v>44883</v>
      </c>
      <c r="C678" s="1" t="n">
        <v>46076</v>
      </c>
      <c r="D678" t="inlineStr">
        <is>
          <t>UPPSALA LÄN</t>
        </is>
      </c>
      <c r="E678" t="inlineStr">
        <is>
          <t>ÖSTHAMMAR</t>
        </is>
      </c>
      <c r="G678" t="n">
        <v>14.3</v>
      </c>
      <c r="H678" t="n">
        <v>0</v>
      </c>
      <c r="I678" t="n">
        <v>0</v>
      </c>
      <c r="J678" t="n">
        <v>0</v>
      </c>
      <c r="K678" t="n">
        <v>0</v>
      </c>
      <c r="L678" t="n">
        <v>0</v>
      </c>
      <c r="M678" t="n">
        <v>0</v>
      </c>
      <c r="N678" t="n">
        <v>0</v>
      </c>
      <c r="O678" t="n">
        <v>0</v>
      </c>
      <c r="P678" t="n">
        <v>0</v>
      </c>
      <c r="Q678" t="n">
        <v>0</v>
      </c>
      <c r="R678" s="2" t="inlineStr"/>
    </row>
    <row r="679" ht="15" customHeight="1">
      <c r="A679" t="inlineStr">
        <is>
          <t>A 1271-2026</t>
        </is>
      </c>
      <c r="B679" s="1" t="n">
        <v>46031.46616898148</v>
      </c>
      <c r="C679" s="1" t="n">
        <v>46076</v>
      </c>
      <c r="D679" t="inlineStr">
        <is>
          <t>UPPSALA LÄN</t>
        </is>
      </c>
      <c r="E679" t="inlineStr">
        <is>
          <t>ÖSTHAMMAR</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1393-2026</t>
        </is>
      </c>
      <c r="B680" s="1" t="n">
        <v>46031.63748842593</v>
      </c>
      <c r="C680" s="1" t="n">
        <v>46076</v>
      </c>
      <c r="D680" t="inlineStr">
        <is>
          <t>UPPSALA LÄN</t>
        </is>
      </c>
      <c r="E680" t="inlineStr">
        <is>
          <t>ÖSTHAMMAR</t>
        </is>
      </c>
      <c r="F680" t="inlineStr">
        <is>
          <t>Bergvik skog öst AB</t>
        </is>
      </c>
      <c r="G680" t="n">
        <v>4</v>
      </c>
      <c r="H680" t="n">
        <v>0</v>
      </c>
      <c r="I680" t="n">
        <v>0</v>
      </c>
      <c r="J680" t="n">
        <v>0</v>
      </c>
      <c r="K680" t="n">
        <v>0</v>
      </c>
      <c r="L680" t="n">
        <v>0</v>
      </c>
      <c r="M680" t="n">
        <v>0</v>
      </c>
      <c r="N680" t="n">
        <v>0</v>
      </c>
      <c r="O680" t="n">
        <v>0</v>
      </c>
      <c r="P680" t="n">
        <v>0</v>
      </c>
      <c r="Q680" t="n">
        <v>0</v>
      </c>
      <c r="R680" s="2" t="inlineStr"/>
    </row>
    <row r="681" ht="15" customHeight="1">
      <c r="A681" t="inlineStr">
        <is>
          <t>A 61817-2021</t>
        </is>
      </c>
      <c r="B681" s="1" t="n">
        <v>44501.76855324074</v>
      </c>
      <c r="C681" s="1" t="n">
        <v>46076</v>
      </c>
      <c r="D681" t="inlineStr">
        <is>
          <t>UPPSALA LÄN</t>
        </is>
      </c>
      <c r="E681" t="inlineStr">
        <is>
          <t>ÖSTHAMMAR</t>
        </is>
      </c>
      <c r="F681" t="inlineStr">
        <is>
          <t>Bergvik skog öst AB</t>
        </is>
      </c>
      <c r="G681" t="n">
        <v>2.3</v>
      </c>
      <c r="H681" t="n">
        <v>0</v>
      </c>
      <c r="I681" t="n">
        <v>0</v>
      </c>
      <c r="J681" t="n">
        <v>0</v>
      </c>
      <c r="K681" t="n">
        <v>0</v>
      </c>
      <c r="L681" t="n">
        <v>0</v>
      </c>
      <c r="M681" t="n">
        <v>0</v>
      </c>
      <c r="N681" t="n">
        <v>0</v>
      </c>
      <c r="O681" t="n">
        <v>0</v>
      </c>
      <c r="P681" t="n">
        <v>0</v>
      </c>
      <c r="Q681" t="n">
        <v>0</v>
      </c>
      <c r="R681" s="2" t="inlineStr"/>
    </row>
    <row r="682" ht="15" customHeight="1">
      <c r="A682" t="inlineStr">
        <is>
          <t>A 54437-2024</t>
        </is>
      </c>
      <c r="B682" s="1" t="n">
        <v>45617</v>
      </c>
      <c r="C682" s="1" t="n">
        <v>46076</v>
      </c>
      <c r="D682" t="inlineStr">
        <is>
          <t>UPPSALA LÄN</t>
        </is>
      </c>
      <c r="E682" t="inlineStr">
        <is>
          <t>ÖSTHAMMAR</t>
        </is>
      </c>
      <c r="G682" t="n">
        <v>2.1</v>
      </c>
      <c r="H682" t="n">
        <v>0</v>
      </c>
      <c r="I682" t="n">
        <v>0</v>
      </c>
      <c r="J682" t="n">
        <v>0</v>
      </c>
      <c r="K682" t="n">
        <v>0</v>
      </c>
      <c r="L682" t="n">
        <v>0</v>
      </c>
      <c r="M682" t="n">
        <v>0</v>
      </c>
      <c r="N682" t="n">
        <v>0</v>
      </c>
      <c r="O682" t="n">
        <v>0</v>
      </c>
      <c r="P682" t="n">
        <v>0</v>
      </c>
      <c r="Q682" t="n">
        <v>0</v>
      </c>
      <c r="R682" s="2" t="inlineStr"/>
    </row>
    <row r="683" ht="15" customHeight="1">
      <c r="A683" t="inlineStr">
        <is>
          <t>A 9052-2023</t>
        </is>
      </c>
      <c r="B683" s="1" t="n">
        <v>44979</v>
      </c>
      <c r="C683" s="1" t="n">
        <v>46076</v>
      </c>
      <c r="D683" t="inlineStr">
        <is>
          <t>UPPSALA LÄN</t>
        </is>
      </c>
      <c r="E683" t="inlineStr">
        <is>
          <t>ÖSTHAMMAR</t>
        </is>
      </c>
      <c r="F683" t="inlineStr">
        <is>
          <t>Kyrkan</t>
        </is>
      </c>
      <c r="G683" t="n">
        <v>0.2</v>
      </c>
      <c r="H683" t="n">
        <v>0</v>
      </c>
      <c r="I683" t="n">
        <v>0</v>
      </c>
      <c r="J683" t="n">
        <v>0</v>
      </c>
      <c r="K683" t="n">
        <v>0</v>
      </c>
      <c r="L683" t="n">
        <v>0</v>
      </c>
      <c r="M683" t="n">
        <v>0</v>
      </c>
      <c r="N683" t="n">
        <v>0</v>
      </c>
      <c r="O683" t="n">
        <v>0</v>
      </c>
      <c r="P683" t="n">
        <v>0</v>
      </c>
      <c r="Q683" t="n">
        <v>0</v>
      </c>
      <c r="R683" s="2" t="inlineStr"/>
    </row>
    <row r="684" ht="15" customHeight="1">
      <c r="A684" t="inlineStr">
        <is>
          <t>A 28152-2024</t>
        </is>
      </c>
      <c r="B684" s="1" t="n">
        <v>45476.77056712963</v>
      </c>
      <c r="C684" s="1" t="n">
        <v>46076</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20326-2021</t>
        </is>
      </c>
      <c r="B685" s="1" t="n">
        <v>44308</v>
      </c>
      <c r="C685" s="1" t="n">
        <v>46076</v>
      </c>
      <c r="D685" t="inlineStr">
        <is>
          <t>UPPSALA LÄN</t>
        </is>
      </c>
      <c r="E685" t="inlineStr">
        <is>
          <t>ÖSTHAMMAR</t>
        </is>
      </c>
      <c r="G685" t="n">
        <v>0.7</v>
      </c>
      <c r="H685" t="n">
        <v>0</v>
      </c>
      <c r="I685" t="n">
        <v>0</v>
      </c>
      <c r="J685" t="n">
        <v>0</v>
      </c>
      <c r="K685" t="n">
        <v>0</v>
      </c>
      <c r="L685" t="n">
        <v>0</v>
      </c>
      <c r="M685" t="n">
        <v>0</v>
      </c>
      <c r="N685" t="n">
        <v>0</v>
      </c>
      <c r="O685" t="n">
        <v>0</v>
      </c>
      <c r="P685" t="n">
        <v>0</v>
      </c>
      <c r="Q685" t="n">
        <v>0</v>
      </c>
      <c r="R685" s="2" t="inlineStr"/>
    </row>
    <row r="686" ht="15" customHeight="1">
      <c r="A686" t="inlineStr">
        <is>
          <t>A 17643-2025</t>
        </is>
      </c>
      <c r="B686" s="1" t="n">
        <v>45758.32454861111</v>
      </c>
      <c r="C686" s="1" t="n">
        <v>46076</v>
      </c>
      <c r="D686" t="inlineStr">
        <is>
          <t>UPPSALA LÄN</t>
        </is>
      </c>
      <c r="E686" t="inlineStr">
        <is>
          <t>ÖSTHAMMAR</t>
        </is>
      </c>
      <c r="F686" t="inlineStr">
        <is>
          <t>Bergvik skog väst AB</t>
        </is>
      </c>
      <c r="G686" t="n">
        <v>2.6</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44998.66662037037</v>
      </c>
      <c r="C687" s="1" t="n">
        <v>46076</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41478-2024</t>
        </is>
      </c>
      <c r="B688" s="1" t="n">
        <v>45560.44158564815</v>
      </c>
      <c r="C688" s="1" t="n">
        <v>46076</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16141-2022</t>
        </is>
      </c>
      <c r="B689" s="1" t="n">
        <v>44665</v>
      </c>
      <c r="C689" s="1" t="n">
        <v>46076</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34922-2023</t>
        </is>
      </c>
      <c r="B690" s="1" t="n">
        <v>45142.48359953704</v>
      </c>
      <c r="C690" s="1" t="n">
        <v>46076</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23495-2023</t>
        </is>
      </c>
      <c r="B691" s="1" t="n">
        <v>45076.71652777777</v>
      </c>
      <c r="C691" s="1" t="n">
        <v>46076</v>
      </c>
      <c r="D691" t="inlineStr">
        <is>
          <t>UPPSALA LÄN</t>
        </is>
      </c>
      <c r="E691" t="inlineStr">
        <is>
          <t>ÖSTHAMMAR</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38233-2024</t>
        </is>
      </c>
      <c r="B692" s="1" t="n">
        <v>45545</v>
      </c>
      <c r="C692" s="1" t="n">
        <v>46076</v>
      </c>
      <c r="D692" t="inlineStr">
        <is>
          <t>UPPSALA LÄN</t>
        </is>
      </c>
      <c r="E692" t="inlineStr">
        <is>
          <t>ÖSTHAMMAR</t>
        </is>
      </c>
      <c r="G692" t="n">
        <v>3.4</v>
      </c>
      <c r="H692" t="n">
        <v>0</v>
      </c>
      <c r="I692" t="n">
        <v>0</v>
      </c>
      <c r="J692" t="n">
        <v>0</v>
      </c>
      <c r="K692" t="n">
        <v>0</v>
      </c>
      <c r="L692" t="n">
        <v>0</v>
      </c>
      <c r="M692" t="n">
        <v>0</v>
      </c>
      <c r="N692" t="n">
        <v>0</v>
      </c>
      <c r="O692" t="n">
        <v>0</v>
      </c>
      <c r="P692" t="n">
        <v>0</v>
      </c>
      <c r="Q692" t="n">
        <v>0</v>
      </c>
      <c r="R692" s="2" t="inlineStr"/>
    </row>
    <row r="693" ht="15" customHeight="1">
      <c r="A693" t="inlineStr">
        <is>
          <t>A 17947-2022</t>
        </is>
      </c>
      <c r="B693" s="1" t="n">
        <v>44683</v>
      </c>
      <c r="C693" s="1" t="n">
        <v>46076</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22798-2023</t>
        </is>
      </c>
      <c r="B694" s="1" t="n">
        <v>45072</v>
      </c>
      <c r="C694" s="1" t="n">
        <v>46076</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row r="695" ht="15" customHeight="1">
      <c r="A695" t="inlineStr">
        <is>
          <t>A 11547-2022</t>
        </is>
      </c>
      <c r="B695" s="1" t="n">
        <v>44631.43116898148</v>
      </c>
      <c r="C695" s="1" t="n">
        <v>46076</v>
      </c>
      <c r="D695" t="inlineStr">
        <is>
          <t>UPPSALA LÄN</t>
        </is>
      </c>
      <c r="E695" t="inlineStr">
        <is>
          <t>ÖSTHAMMAR</t>
        </is>
      </c>
      <c r="G695" t="n">
        <v>4.4</v>
      </c>
      <c r="H695" t="n">
        <v>0</v>
      </c>
      <c r="I695" t="n">
        <v>0</v>
      </c>
      <c r="J695" t="n">
        <v>0</v>
      </c>
      <c r="K695" t="n">
        <v>0</v>
      </c>
      <c r="L695" t="n">
        <v>0</v>
      </c>
      <c r="M695" t="n">
        <v>0</v>
      </c>
      <c r="N695" t="n">
        <v>0</v>
      </c>
      <c r="O695" t="n">
        <v>0</v>
      </c>
      <c r="P695" t="n">
        <v>0</v>
      </c>
      <c r="Q695" t="n">
        <v>0</v>
      </c>
      <c r="R695" s="2" t="inlineStr"/>
    </row>
    <row r="696" ht="15" customHeight="1">
      <c r="A696" t="inlineStr">
        <is>
          <t>A 4561-2022</t>
        </is>
      </c>
      <c r="B696" s="1" t="n">
        <v>44591.59170138889</v>
      </c>
      <c r="C696" s="1" t="n">
        <v>46076</v>
      </c>
      <c r="D696" t="inlineStr">
        <is>
          <t>UPPSALA LÄN</t>
        </is>
      </c>
      <c r="E696" t="inlineStr">
        <is>
          <t>ÖSTHAMMAR</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23741-2024</t>
        </is>
      </c>
      <c r="B697" s="1" t="n">
        <v>45455</v>
      </c>
      <c r="C697" s="1" t="n">
        <v>46076</v>
      </c>
      <c r="D697" t="inlineStr">
        <is>
          <t>UPPSALA LÄN</t>
        </is>
      </c>
      <c r="E697" t="inlineStr">
        <is>
          <t>ÖSTHAMMAR</t>
        </is>
      </c>
      <c r="F697" t="inlineStr">
        <is>
          <t>Bergvik skog öst AB</t>
        </is>
      </c>
      <c r="G697" t="n">
        <v>1.9</v>
      </c>
      <c r="H697" t="n">
        <v>0</v>
      </c>
      <c r="I697" t="n">
        <v>0</v>
      </c>
      <c r="J697" t="n">
        <v>0</v>
      </c>
      <c r="K697" t="n">
        <v>0</v>
      </c>
      <c r="L697" t="n">
        <v>0</v>
      </c>
      <c r="M697" t="n">
        <v>0</v>
      </c>
      <c r="N697" t="n">
        <v>0</v>
      </c>
      <c r="O697" t="n">
        <v>0</v>
      </c>
      <c r="P697" t="n">
        <v>0</v>
      </c>
      <c r="Q697" t="n">
        <v>0</v>
      </c>
      <c r="R697" s="2" t="inlineStr"/>
    </row>
    <row r="698" ht="15" customHeight="1">
      <c r="A698" t="inlineStr">
        <is>
          <t>A 26612-2023</t>
        </is>
      </c>
      <c r="B698" s="1" t="n">
        <v>45089</v>
      </c>
      <c r="C698" s="1" t="n">
        <v>46076</v>
      </c>
      <c r="D698" t="inlineStr">
        <is>
          <t>UPPSALA LÄN</t>
        </is>
      </c>
      <c r="E698" t="inlineStr">
        <is>
          <t>ÖSTHAMMAR</t>
        </is>
      </c>
      <c r="G698" t="n">
        <v>2.1</v>
      </c>
      <c r="H698" t="n">
        <v>0</v>
      </c>
      <c r="I698" t="n">
        <v>0</v>
      </c>
      <c r="J698" t="n">
        <v>0</v>
      </c>
      <c r="K698" t="n">
        <v>0</v>
      </c>
      <c r="L698" t="n">
        <v>0</v>
      </c>
      <c r="M698" t="n">
        <v>0</v>
      </c>
      <c r="N698" t="n">
        <v>0</v>
      </c>
      <c r="O698" t="n">
        <v>0</v>
      </c>
      <c r="P698" t="n">
        <v>0</v>
      </c>
      <c r="Q698" t="n">
        <v>0</v>
      </c>
      <c r="R698" s="2" t="inlineStr"/>
    </row>
    <row r="699" ht="15" customHeight="1">
      <c r="A699" t="inlineStr">
        <is>
          <t>A 32244-2021</t>
        </is>
      </c>
      <c r="B699" s="1" t="n">
        <v>44371.45335648148</v>
      </c>
      <c r="C699" s="1" t="n">
        <v>46076</v>
      </c>
      <c r="D699" t="inlineStr">
        <is>
          <t>UPPSALA LÄN</t>
        </is>
      </c>
      <c r="E699" t="inlineStr">
        <is>
          <t>ÖSTHAMMAR</t>
        </is>
      </c>
      <c r="F699" t="inlineStr">
        <is>
          <t>Bergvik skog öst AB</t>
        </is>
      </c>
      <c r="G699" t="n">
        <v>2.6</v>
      </c>
      <c r="H699" t="n">
        <v>0</v>
      </c>
      <c r="I699" t="n">
        <v>0</v>
      </c>
      <c r="J699" t="n">
        <v>0</v>
      </c>
      <c r="K699" t="n">
        <v>0</v>
      </c>
      <c r="L699" t="n">
        <v>0</v>
      </c>
      <c r="M699" t="n">
        <v>0</v>
      </c>
      <c r="N699" t="n">
        <v>0</v>
      </c>
      <c r="O699" t="n">
        <v>0</v>
      </c>
      <c r="P699" t="n">
        <v>0</v>
      </c>
      <c r="Q699" t="n">
        <v>0</v>
      </c>
      <c r="R699" s="2" t="inlineStr"/>
    </row>
    <row r="700" ht="15" customHeight="1">
      <c r="A700" t="inlineStr">
        <is>
          <t>A 60079-2022</t>
        </is>
      </c>
      <c r="B700" s="1" t="n">
        <v>44909</v>
      </c>
      <c r="C700" s="1" t="n">
        <v>46076</v>
      </c>
      <c r="D700" t="inlineStr">
        <is>
          <t>UPPSALA LÄN</t>
        </is>
      </c>
      <c r="E700" t="inlineStr">
        <is>
          <t>ÖSTHAMMAR</t>
        </is>
      </c>
      <c r="G700" t="n">
        <v>9.6</v>
      </c>
      <c r="H700" t="n">
        <v>0</v>
      </c>
      <c r="I700" t="n">
        <v>0</v>
      </c>
      <c r="J700" t="n">
        <v>0</v>
      </c>
      <c r="K700" t="n">
        <v>0</v>
      </c>
      <c r="L700" t="n">
        <v>0</v>
      </c>
      <c r="M700" t="n">
        <v>0</v>
      </c>
      <c r="N700" t="n">
        <v>0</v>
      </c>
      <c r="O700" t="n">
        <v>0</v>
      </c>
      <c r="P700" t="n">
        <v>0</v>
      </c>
      <c r="Q700" t="n">
        <v>0</v>
      </c>
      <c r="R700" s="2" t="inlineStr"/>
    </row>
    <row r="701" ht="15" customHeight="1">
      <c r="A701" t="inlineStr">
        <is>
          <t>A 40637-2022</t>
        </is>
      </c>
      <c r="B701" s="1" t="n">
        <v>44824</v>
      </c>
      <c r="C701" s="1" t="n">
        <v>46076</v>
      </c>
      <c r="D701" t="inlineStr">
        <is>
          <t>UPPSALA LÄN</t>
        </is>
      </c>
      <c r="E701" t="inlineStr">
        <is>
          <t>ÖSTHAMMAR</t>
        </is>
      </c>
      <c r="F701" t="inlineStr">
        <is>
          <t>Övriga Aktiebolag</t>
        </is>
      </c>
      <c r="G701" t="n">
        <v>3.7</v>
      </c>
      <c r="H701" t="n">
        <v>0</v>
      </c>
      <c r="I701" t="n">
        <v>0</v>
      </c>
      <c r="J701" t="n">
        <v>0</v>
      </c>
      <c r="K701" t="n">
        <v>0</v>
      </c>
      <c r="L701" t="n">
        <v>0</v>
      </c>
      <c r="M701" t="n">
        <v>0</v>
      </c>
      <c r="N701" t="n">
        <v>0</v>
      </c>
      <c r="O701" t="n">
        <v>0</v>
      </c>
      <c r="P701" t="n">
        <v>0</v>
      </c>
      <c r="Q701" t="n">
        <v>0</v>
      </c>
      <c r="R701" s="2" t="inlineStr"/>
    </row>
    <row r="702" ht="15" customHeight="1">
      <c r="A702" t="inlineStr">
        <is>
          <t>A 56260-2022</t>
        </is>
      </c>
      <c r="B702" s="1" t="n">
        <v>44890</v>
      </c>
      <c r="C702" s="1" t="n">
        <v>46076</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62394-2022</t>
        </is>
      </c>
      <c r="B703" s="1" t="n">
        <v>44923.82017361111</v>
      </c>
      <c r="C703" s="1" t="n">
        <v>46076</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22709-2021</t>
        </is>
      </c>
      <c r="B704" s="1" t="n">
        <v>44327.61518518518</v>
      </c>
      <c r="C704" s="1" t="n">
        <v>46076</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8616-2023</t>
        </is>
      </c>
      <c r="B705" s="1" t="n">
        <v>44977</v>
      </c>
      <c r="C705" s="1" t="n">
        <v>46076</v>
      </c>
      <c r="D705" t="inlineStr">
        <is>
          <t>UPPSALA LÄN</t>
        </is>
      </c>
      <c r="E705" t="inlineStr">
        <is>
          <t>ÖSTHAMMAR</t>
        </is>
      </c>
      <c r="F705" t="inlineStr">
        <is>
          <t>Bergvik skog öst AB</t>
        </is>
      </c>
      <c r="G705" t="n">
        <v>0.2</v>
      </c>
      <c r="H705" t="n">
        <v>0</v>
      </c>
      <c r="I705" t="n">
        <v>0</v>
      </c>
      <c r="J705" t="n">
        <v>0</v>
      </c>
      <c r="K705" t="n">
        <v>0</v>
      </c>
      <c r="L705" t="n">
        <v>0</v>
      </c>
      <c r="M705" t="n">
        <v>0</v>
      </c>
      <c r="N705" t="n">
        <v>0</v>
      </c>
      <c r="O705" t="n">
        <v>0</v>
      </c>
      <c r="P705" t="n">
        <v>0</v>
      </c>
      <c r="Q705" t="n">
        <v>0</v>
      </c>
      <c r="R705" s="2" t="inlineStr"/>
    </row>
    <row r="706" ht="15" customHeight="1">
      <c r="A706" t="inlineStr">
        <is>
          <t>A 41538-2021</t>
        </is>
      </c>
      <c r="B706" s="1" t="n">
        <v>44425.35016203704</v>
      </c>
      <c r="C706" s="1" t="n">
        <v>46076</v>
      </c>
      <c r="D706" t="inlineStr">
        <is>
          <t>UPPSALA LÄN</t>
        </is>
      </c>
      <c r="E706" t="inlineStr">
        <is>
          <t>ÖSTHAMMAR</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34742-2022</t>
        </is>
      </c>
      <c r="B707" s="1" t="n">
        <v>44795.61990740741</v>
      </c>
      <c r="C707" s="1" t="n">
        <v>46076</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4096-2025</t>
        </is>
      </c>
      <c r="B708" s="1" t="n">
        <v>45684</v>
      </c>
      <c r="C708" s="1" t="n">
        <v>46076</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55090-2024</t>
        </is>
      </c>
      <c r="B709" s="1" t="n">
        <v>45621.4350462963</v>
      </c>
      <c r="C709" s="1" t="n">
        <v>46076</v>
      </c>
      <c r="D709" t="inlineStr">
        <is>
          <t>UPPSALA LÄN</t>
        </is>
      </c>
      <c r="E709" t="inlineStr">
        <is>
          <t>ÖSTHAMMAR</t>
        </is>
      </c>
      <c r="F709" t="inlineStr">
        <is>
          <t>Sveaskog</t>
        </is>
      </c>
      <c r="G709" t="n">
        <v>4.4</v>
      </c>
      <c r="H709" t="n">
        <v>0</v>
      </c>
      <c r="I709" t="n">
        <v>0</v>
      </c>
      <c r="J709" t="n">
        <v>0</v>
      </c>
      <c r="K709" t="n">
        <v>0</v>
      </c>
      <c r="L709" t="n">
        <v>0</v>
      </c>
      <c r="M709" t="n">
        <v>0</v>
      </c>
      <c r="N709" t="n">
        <v>0</v>
      </c>
      <c r="O709" t="n">
        <v>0</v>
      </c>
      <c r="P709" t="n">
        <v>0</v>
      </c>
      <c r="Q709" t="n">
        <v>0</v>
      </c>
      <c r="R709" s="2" t="inlineStr"/>
    </row>
    <row r="710" ht="15" customHeight="1">
      <c r="A710" t="inlineStr">
        <is>
          <t>A 55093-2024</t>
        </is>
      </c>
      <c r="B710" s="1" t="n">
        <v>45621.43712962963</v>
      </c>
      <c r="C710" s="1" t="n">
        <v>46076</v>
      </c>
      <c r="D710" t="inlineStr">
        <is>
          <t>UPPSALA LÄN</t>
        </is>
      </c>
      <c r="E710" t="inlineStr">
        <is>
          <t>ÖSTHAMMAR</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55097-2024</t>
        </is>
      </c>
      <c r="B711" s="1" t="n">
        <v>45621.43855324074</v>
      </c>
      <c r="C711" s="1" t="n">
        <v>46076</v>
      </c>
      <c r="D711" t="inlineStr">
        <is>
          <t>UPPSALA LÄN</t>
        </is>
      </c>
      <c r="E711" t="inlineStr">
        <is>
          <t>ÖSTHAMMAR</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3327-2023</t>
        </is>
      </c>
      <c r="B712" s="1" t="n">
        <v>44949.4377662037</v>
      </c>
      <c r="C712" s="1" t="n">
        <v>46076</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41821-2023</t>
        </is>
      </c>
      <c r="B713" s="1" t="n">
        <v>45176</v>
      </c>
      <c r="C713" s="1" t="n">
        <v>46076</v>
      </c>
      <c r="D713" t="inlineStr">
        <is>
          <t>UPPSALA LÄN</t>
        </is>
      </c>
      <c r="E713" t="inlineStr">
        <is>
          <t>ÖSTHAMMAR</t>
        </is>
      </c>
      <c r="G713" t="n">
        <v>0.9</v>
      </c>
      <c r="H713" t="n">
        <v>0</v>
      </c>
      <c r="I713" t="n">
        <v>0</v>
      </c>
      <c r="J713" t="n">
        <v>0</v>
      </c>
      <c r="K713" t="n">
        <v>0</v>
      </c>
      <c r="L713" t="n">
        <v>0</v>
      </c>
      <c r="M713" t="n">
        <v>0</v>
      </c>
      <c r="N713" t="n">
        <v>0</v>
      </c>
      <c r="O713" t="n">
        <v>0</v>
      </c>
      <c r="P713" t="n">
        <v>0</v>
      </c>
      <c r="Q713" t="n">
        <v>0</v>
      </c>
      <c r="R713" s="2" t="inlineStr"/>
    </row>
    <row r="714" ht="15" customHeight="1">
      <c r="A714" t="inlineStr">
        <is>
          <t>A 35309-2023</t>
        </is>
      </c>
      <c r="B714" s="1" t="n">
        <v>45146</v>
      </c>
      <c r="C714" s="1" t="n">
        <v>46076</v>
      </c>
      <c r="D714" t="inlineStr">
        <is>
          <t>UPPSALA LÄN</t>
        </is>
      </c>
      <c r="E714" t="inlineStr">
        <is>
          <t>ÖSTHAMMAR</t>
        </is>
      </c>
      <c r="G714" t="n">
        <v>1.3</v>
      </c>
      <c r="H714" t="n">
        <v>0</v>
      </c>
      <c r="I714" t="n">
        <v>0</v>
      </c>
      <c r="J714" t="n">
        <v>0</v>
      </c>
      <c r="K714" t="n">
        <v>0</v>
      </c>
      <c r="L714" t="n">
        <v>0</v>
      </c>
      <c r="M714" t="n">
        <v>0</v>
      </c>
      <c r="N714" t="n">
        <v>0</v>
      </c>
      <c r="O714" t="n">
        <v>0</v>
      </c>
      <c r="P714" t="n">
        <v>0</v>
      </c>
      <c r="Q714" t="n">
        <v>0</v>
      </c>
      <c r="R714" s="2" t="inlineStr"/>
    </row>
    <row r="715" ht="15" customHeight="1">
      <c r="A715" t="inlineStr">
        <is>
          <t>A 14272-2025</t>
        </is>
      </c>
      <c r="B715" s="1" t="n">
        <v>45740.64327546296</v>
      </c>
      <c r="C715" s="1" t="n">
        <v>46076</v>
      </c>
      <c r="D715" t="inlineStr">
        <is>
          <t>UPPSALA LÄN</t>
        </is>
      </c>
      <c r="E715" t="inlineStr">
        <is>
          <t>ÖSTHAMMAR</t>
        </is>
      </c>
      <c r="G715" t="n">
        <v>5.7</v>
      </c>
      <c r="H715" t="n">
        <v>0</v>
      </c>
      <c r="I715" t="n">
        <v>0</v>
      </c>
      <c r="J715" t="n">
        <v>0</v>
      </c>
      <c r="K715" t="n">
        <v>0</v>
      </c>
      <c r="L715" t="n">
        <v>0</v>
      </c>
      <c r="M715" t="n">
        <v>0</v>
      </c>
      <c r="N715" t="n">
        <v>0</v>
      </c>
      <c r="O715" t="n">
        <v>0</v>
      </c>
      <c r="P715" t="n">
        <v>0</v>
      </c>
      <c r="Q715" t="n">
        <v>0</v>
      </c>
      <c r="R715" s="2" t="inlineStr"/>
    </row>
    <row r="716" ht="15" customHeight="1">
      <c r="A716" t="inlineStr">
        <is>
          <t>A 17940-2025</t>
        </is>
      </c>
      <c r="B716" s="1" t="n">
        <v>45760.55842592593</v>
      </c>
      <c r="C716" s="1" t="n">
        <v>46076</v>
      </c>
      <c r="D716" t="inlineStr">
        <is>
          <t>UPPSALA LÄN</t>
        </is>
      </c>
      <c r="E716" t="inlineStr">
        <is>
          <t>ÖSTHAMMAR</t>
        </is>
      </c>
      <c r="F716" t="inlineStr">
        <is>
          <t>Bergvik skog öst AB</t>
        </is>
      </c>
      <c r="G716" t="n">
        <v>5.6</v>
      </c>
      <c r="H716" t="n">
        <v>0</v>
      </c>
      <c r="I716" t="n">
        <v>0</v>
      </c>
      <c r="J716" t="n">
        <v>0</v>
      </c>
      <c r="K716" t="n">
        <v>0</v>
      </c>
      <c r="L716" t="n">
        <v>0</v>
      </c>
      <c r="M716" t="n">
        <v>0</v>
      </c>
      <c r="N716" t="n">
        <v>0</v>
      </c>
      <c r="O716" t="n">
        <v>0</v>
      </c>
      <c r="P716" t="n">
        <v>0</v>
      </c>
      <c r="Q716" t="n">
        <v>0</v>
      </c>
      <c r="R716" s="2" t="inlineStr"/>
    </row>
    <row r="717" ht="15" customHeight="1">
      <c r="A717" t="inlineStr">
        <is>
          <t>A 12215-2023</t>
        </is>
      </c>
      <c r="B717" s="1" t="n">
        <v>44998</v>
      </c>
      <c r="C717" s="1" t="n">
        <v>46076</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66779-2021</t>
        </is>
      </c>
      <c r="B718" s="1" t="n">
        <v>44522.31700231481</v>
      </c>
      <c r="C718" s="1" t="n">
        <v>46076</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33062-2021</t>
        </is>
      </c>
      <c r="B719" s="1" t="n">
        <v>44376</v>
      </c>
      <c r="C719" s="1" t="n">
        <v>46076</v>
      </c>
      <c r="D719" t="inlineStr">
        <is>
          <t>UPPSALA LÄN</t>
        </is>
      </c>
      <c r="E719" t="inlineStr">
        <is>
          <t>ÖSTHAMMAR</t>
        </is>
      </c>
      <c r="G719" t="n">
        <v>12</v>
      </c>
      <c r="H719" t="n">
        <v>0</v>
      </c>
      <c r="I719" t="n">
        <v>0</v>
      </c>
      <c r="J719" t="n">
        <v>0</v>
      </c>
      <c r="K719" t="n">
        <v>0</v>
      </c>
      <c r="L719" t="n">
        <v>0</v>
      </c>
      <c r="M719" t="n">
        <v>0</v>
      </c>
      <c r="N719" t="n">
        <v>0</v>
      </c>
      <c r="O719" t="n">
        <v>0</v>
      </c>
      <c r="P719" t="n">
        <v>0</v>
      </c>
      <c r="Q719" t="n">
        <v>0</v>
      </c>
      <c r="R719" s="2" t="inlineStr"/>
    </row>
    <row r="720" ht="15" customHeight="1">
      <c r="A720" t="inlineStr">
        <is>
          <t>A 24033-2023</t>
        </is>
      </c>
      <c r="B720" s="1" t="n">
        <v>45078</v>
      </c>
      <c r="C720" s="1" t="n">
        <v>46076</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17939-2025</t>
        </is>
      </c>
      <c r="B721" s="1" t="n">
        <v>45760.55671296296</v>
      </c>
      <c r="C721" s="1" t="n">
        <v>46076</v>
      </c>
      <c r="D721" t="inlineStr">
        <is>
          <t>UPPSALA LÄN</t>
        </is>
      </c>
      <c r="E721" t="inlineStr">
        <is>
          <t>ÖSTHAMMAR</t>
        </is>
      </c>
      <c r="F721" t="inlineStr">
        <is>
          <t>Bergvik skog öst AB</t>
        </is>
      </c>
      <c r="G721" t="n">
        <v>5.4</v>
      </c>
      <c r="H721" t="n">
        <v>0</v>
      </c>
      <c r="I721" t="n">
        <v>0</v>
      </c>
      <c r="J721" t="n">
        <v>0</v>
      </c>
      <c r="K721" t="n">
        <v>0</v>
      </c>
      <c r="L721" t="n">
        <v>0</v>
      </c>
      <c r="M721" t="n">
        <v>0</v>
      </c>
      <c r="N721" t="n">
        <v>0</v>
      </c>
      <c r="O721" t="n">
        <v>0</v>
      </c>
      <c r="P721" t="n">
        <v>0</v>
      </c>
      <c r="Q721" t="n">
        <v>0</v>
      </c>
      <c r="R721" s="2" t="inlineStr"/>
    </row>
    <row r="722" ht="15" customHeight="1">
      <c r="A722" t="inlineStr">
        <is>
          <t>A 3638-2022</t>
        </is>
      </c>
      <c r="B722" s="1" t="n">
        <v>44578</v>
      </c>
      <c r="C722" s="1" t="n">
        <v>46076</v>
      </c>
      <c r="D722" t="inlineStr">
        <is>
          <t>UPPSALA LÄN</t>
        </is>
      </c>
      <c r="E722" t="inlineStr">
        <is>
          <t>ÖSTHAMMAR</t>
        </is>
      </c>
      <c r="G722" t="n">
        <v>1.7</v>
      </c>
      <c r="H722" t="n">
        <v>0</v>
      </c>
      <c r="I722" t="n">
        <v>0</v>
      </c>
      <c r="J722" t="n">
        <v>0</v>
      </c>
      <c r="K722" t="n">
        <v>0</v>
      </c>
      <c r="L722" t="n">
        <v>0</v>
      </c>
      <c r="M722" t="n">
        <v>0</v>
      </c>
      <c r="N722" t="n">
        <v>0</v>
      </c>
      <c r="O722" t="n">
        <v>0</v>
      </c>
      <c r="P722" t="n">
        <v>0</v>
      </c>
      <c r="Q722" t="n">
        <v>0</v>
      </c>
      <c r="R722" s="2" t="inlineStr"/>
    </row>
    <row r="723" ht="15" customHeight="1">
      <c r="A723" t="inlineStr">
        <is>
          <t>A 49897-2023</t>
        </is>
      </c>
      <c r="B723" s="1" t="n">
        <v>45213.84846064815</v>
      </c>
      <c r="C723" s="1" t="n">
        <v>46076</v>
      </c>
      <c r="D723" t="inlineStr">
        <is>
          <t>UPPSALA LÄN</t>
        </is>
      </c>
      <c r="E723" t="inlineStr">
        <is>
          <t>ÖSTHAMMAR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37812-2022</t>
        </is>
      </c>
      <c r="B724" s="1" t="n">
        <v>44810</v>
      </c>
      <c r="C724" s="1" t="n">
        <v>46076</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60555-2023</t>
        </is>
      </c>
      <c r="B725" s="1" t="n">
        <v>45259</v>
      </c>
      <c r="C725" s="1" t="n">
        <v>46076</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44815-2022</t>
        </is>
      </c>
      <c r="B726" s="1" t="n">
        <v>44841.40452546296</v>
      </c>
      <c r="C726" s="1" t="n">
        <v>46076</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73483-2021</t>
        </is>
      </c>
      <c r="B727" s="1" t="n">
        <v>44550</v>
      </c>
      <c r="C727" s="1" t="n">
        <v>46076</v>
      </c>
      <c r="D727" t="inlineStr">
        <is>
          <t>UPPSALA LÄN</t>
        </is>
      </c>
      <c r="E727" t="inlineStr">
        <is>
          <t>ÖSTHAMMAR</t>
        </is>
      </c>
      <c r="G727" t="n">
        <v>2.8</v>
      </c>
      <c r="H727" t="n">
        <v>0</v>
      </c>
      <c r="I727" t="n">
        <v>0</v>
      </c>
      <c r="J727" t="n">
        <v>0</v>
      </c>
      <c r="K727" t="n">
        <v>0</v>
      </c>
      <c r="L727" t="n">
        <v>0</v>
      </c>
      <c r="M727" t="n">
        <v>0</v>
      </c>
      <c r="N727" t="n">
        <v>0</v>
      </c>
      <c r="O727" t="n">
        <v>0</v>
      </c>
      <c r="P727" t="n">
        <v>0</v>
      </c>
      <c r="Q727" t="n">
        <v>0</v>
      </c>
      <c r="R727" s="2" t="inlineStr"/>
    </row>
    <row r="728" ht="15" customHeight="1">
      <c r="A728" t="inlineStr">
        <is>
          <t>A 6121-2024</t>
        </is>
      </c>
      <c r="B728" s="1" t="n">
        <v>45337.4219212963</v>
      </c>
      <c r="C728" s="1" t="n">
        <v>46076</v>
      </c>
      <c r="D728" t="inlineStr">
        <is>
          <t>UPPSALA LÄN</t>
        </is>
      </c>
      <c r="E728" t="inlineStr">
        <is>
          <t>ÖSTHAMMAR</t>
        </is>
      </c>
      <c r="G728" t="n">
        <v>0.4</v>
      </c>
      <c r="H728" t="n">
        <v>0</v>
      </c>
      <c r="I728" t="n">
        <v>0</v>
      </c>
      <c r="J728" t="n">
        <v>0</v>
      </c>
      <c r="K728" t="n">
        <v>0</v>
      </c>
      <c r="L728" t="n">
        <v>0</v>
      </c>
      <c r="M728" t="n">
        <v>0</v>
      </c>
      <c r="N728" t="n">
        <v>0</v>
      </c>
      <c r="O728" t="n">
        <v>0</v>
      </c>
      <c r="P728" t="n">
        <v>0</v>
      </c>
      <c r="Q728" t="n">
        <v>0</v>
      </c>
      <c r="R728" s="2" t="inlineStr"/>
    </row>
    <row r="729" ht="15" customHeight="1">
      <c r="A729" t="inlineStr">
        <is>
          <t>A 62391-2022</t>
        </is>
      </c>
      <c r="B729" s="1" t="n">
        <v>44923.7849537037</v>
      </c>
      <c r="C729" s="1" t="n">
        <v>46076</v>
      </c>
      <c r="D729" t="inlineStr">
        <is>
          <t>UPPSALA LÄN</t>
        </is>
      </c>
      <c r="E729" t="inlineStr">
        <is>
          <t>ÖSTHAMMAR</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54314-2023</t>
        </is>
      </c>
      <c r="B730" s="1" t="n">
        <v>45225</v>
      </c>
      <c r="C730" s="1" t="n">
        <v>46076</v>
      </c>
      <c r="D730" t="inlineStr">
        <is>
          <t>UPPSALA LÄN</t>
        </is>
      </c>
      <c r="E730" t="inlineStr">
        <is>
          <t>ÖSTHAMMAR</t>
        </is>
      </c>
      <c r="G730" t="n">
        <v>5.1</v>
      </c>
      <c r="H730" t="n">
        <v>0</v>
      </c>
      <c r="I730" t="n">
        <v>0</v>
      </c>
      <c r="J730" t="n">
        <v>0</v>
      </c>
      <c r="K730" t="n">
        <v>0</v>
      </c>
      <c r="L730" t="n">
        <v>0</v>
      </c>
      <c r="M730" t="n">
        <v>0</v>
      </c>
      <c r="N730" t="n">
        <v>0</v>
      </c>
      <c r="O730" t="n">
        <v>0</v>
      </c>
      <c r="P730" t="n">
        <v>0</v>
      </c>
      <c r="Q730" t="n">
        <v>0</v>
      </c>
      <c r="R730" s="2" t="inlineStr"/>
    </row>
    <row r="731" ht="15" customHeight="1">
      <c r="A731" t="inlineStr">
        <is>
          <t>A 23363-2023</t>
        </is>
      </c>
      <c r="B731" s="1" t="n">
        <v>45076</v>
      </c>
      <c r="C731" s="1" t="n">
        <v>46076</v>
      </c>
      <c r="D731" t="inlineStr">
        <is>
          <t>UPPSALA LÄN</t>
        </is>
      </c>
      <c r="E731" t="inlineStr">
        <is>
          <t>ÖSTHAMMAR</t>
        </is>
      </c>
      <c r="G731" t="n">
        <v>3</v>
      </c>
      <c r="H731" t="n">
        <v>0</v>
      </c>
      <c r="I731" t="n">
        <v>0</v>
      </c>
      <c r="J731" t="n">
        <v>0</v>
      </c>
      <c r="K731" t="n">
        <v>0</v>
      </c>
      <c r="L731" t="n">
        <v>0</v>
      </c>
      <c r="M731" t="n">
        <v>0</v>
      </c>
      <c r="N731" t="n">
        <v>0</v>
      </c>
      <c r="O731" t="n">
        <v>0</v>
      </c>
      <c r="P731" t="n">
        <v>0</v>
      </c>
      <c r="Q731" t="n">
        <v>0</v>
      </c>
      <c r="R731" s="2" t="inlineStr"/>
    </row>
    <row r="732" ht="15" customHeight="1">
      <c r="A732" t="inlineStr">
        <is>
          <t>A 4233-2023</t>
        </is>
      </c>
      <c r="B732" s="1" t="n">
        <v>44953.48619212963</v>
      </c>
      <c r="C732" s="1" t="n">
        <v>46076</v>
      </c>
      <c r="D732" t="inlineStr">
        <is>
          <t>UPPSALA LÄN</t>
        </is>
      </c>
      <c r="E732" t="inlineStr">
        <is>
          <t>ÖSTHAMMAR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58270-2023</t>
        </is>
      </c>
      <c r="B733" s="1" t="n">
        <v>45250.49961805555</v>
      </c>
      <c r="C733" s="1" t="n">
        <v>46076</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73592-2021</t>
        </is>
      </c>
      <c r="B734" s="1" t="n">
        <v>44552.36974537037</v>
      </c>
      <c r="C734" s="1" t="n">
        <v>46076</v>
      </c>
      <c r="D734" t="inlineStr">
        <is>
          <t>UPPSALA LÄN</t>
        </is>
      </c>
      <c r="E734" t="inlineStr">
        <is>
          <t>ÖSTHAMMAR</t>
        </is>
      </c>
      <c r="G734" t="n">
        <v>1.7</v>
      </c>
      <c r="H734" t="n">
        <v>0</v>
      </c>
      <c r="I734" t="n">
        <v>0</v>
      </c>
      <c r="J734" t="n">
        <v>0</v>
      </c>
      <c r="K734" t="n">
        <v>0</v>
      </c>
      <c r="L734" t="n">
        <v>0</v>
      </c>
      <c r="M734" t="n">
        <v>0</v>
      </c>
      <c r="N734" t="n">
        <v>0</v>
      </c>
      <c r="O734" t="n">
        <v>0</v>
      </c>
      <c r="P734" t="n">
        <v>0</v>
      </c>
      <c r="Q734" t="n">
        <v>0</v>
      </c>
      <c r="R734" s="2" t="inlineStr"/>
    </row>
    <row r="735" ht="15" customHeight="1">
      <c r="A735" t="inlineStr">
        <is>
          <t>A 25938-2024</t>
        </is>
      </c>
      <c r="B735" s="1" t="n">
        <v>45467.63127314814</v>
      </c>
      <c r="C735" s="1" t="n">
        <v>46076</v>
      </c>
      <c r="D735" t="inlineStr">
        <is>
          <t>UPPSALA LÄN</t>
        </is>
      </c>
      <c r="E735" t="inlineStr">
        <is>
          <t>ÖSTHAMMAR</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35539-2023</t>
        </is>
      </c>
      <c r="B736" s="1" t="n">
        <v>45147.37006944444</v>
      </c>
      <c r="C736" s="1" t="n">
        <v>46076</v>
      </c>
      <c r="D736" t="inlineStr">
        <is>
          <t>UPPSALA LÄN</t>
        </is>
      </c>
      <c r="E736" t="inlineStr">
        <is>
          <t>ÖSTHAMMAR</t>
        </is>
      </c>
      <c r="G736" t="n">
        <v>1.4</v>
      </c>
      <c r="H736" t="n">
        <v>0</v>
      </c>
      <c r="I736" t="n">
        <v>0</v>
      </c>
      <c r="J736" t="n">
        <v>0</v>
      </c>
      <c r="K736" t="n">
        <v>0</v>
      </c>
      <c r="L736" t="n">
        <v>0</v>
      </c>
      <c r="M736" t="n">
        <v>0</v>
      </c>
      <c r="N736" t="n">
        <v>0</v>
      </c>
      <c r="O736" t="n">
        <v>0</v>
      </c>
      <c r="P736" t="n">
        <v>0</v>
      </c>
      <c r="Q736" t="n">
        <v>0</v>
      </c>
      <c r="R736" s="2" t="inlineStr"/>
    </row>
    <row r="737" ht="15" customHeight="1">
      <c r="A737" t="inlineStr">
        <is>
          <t>A 32744-2022</t>
        </is>
      </c>
      <c r="B737" s="1" t="n">
        <v>44783.70378472222</v>
      </c>
      <c r="C737" s="1" t="n">
        <v>46076</v>
      </c>
      <c r="D737" t="inlineStr">
        <is>
          <t>UPPSALA LÄN</t>
        </is>
      </c>
      <c r="E737" t="inlineStr">
        <is>
          <t>ÖSTHAMMAR</t>
        </is>
      </c>
      <c r="F737" t="inlineStr">
        <is>
          <t>Bergvik skog öst AB</t>
        </is>
      </c>
      <c r="G737" t="n">
        <v>3</v>
      </c>
      <c r="H737" t="n">
        <v>0</v>
      </c>
      <c r="I737" t="n">
        <v>0</v>
      </c>
      <c r="J737" t="n">
        <v>0</v>
      </c>
      <c r="K737" t="n">
        <v>0</v>
      </c>
      <c r="L737" t="n">
        <v>0</v>
      </c>
      <c r="M737" t="n">
        <v>0</v>
      </c>
      <c r="N737" t="n">
        <v>0</v>
      </c>
      <c r="O737" t="n">
        <v>0</v>
      </c>
      <c r="P737" t="n">
        <v>0</v>
      </c>
      <c r="Q737" t="n">
        <v>0</v>
      </c>
      <c r="R737" s="2" t="inlineStr"/>
    </row>
    <row r="738" ht="15" customHeight="1">
      <c r="A738" t="inlineStr">
        <is>
          <t>A 18230-2025</t>
        </is>
      </c>
      <c r="B738" s="1" t="n">
        <v>45761.87114583333</v>
      </c>
      <c r="C738" s="1" t="n">
        <v>46076</v>
      </c>
      <c r="D738" t="inlineStr">
        <is>
          <t>UPPSALA LÄN</t>
        </is>
      </c>
      <c r="E738" t="inlineStr">
        <is>
          <t>ÖSTHAMMAR</t>
        </is>
      </c>
      <c r="F738" t="inlineStr">
        <is>
          <t>Bergvik skog öst AB</t>
        </is>
      </c>
      <c r="G738" t="n">
        <v>4.2</v>
      </c>
      <c r="H738" t="n">
        <v>0</v>
      </c>
      <c r="I738" t="n">
        <v>0</v>
      </c>
      <c r="J738" t="n">
        <v>0</v>
      </c>
      <c r="K738" t="n">
        <v>0</v>
      </c>
      <c r="L738" t="n">
        <v>0</v>
      </c>
      <c r="M738" t="n">
        <v>0</v>
      </c>
      <c r="N738" t="n">
        <v>0</v>
      </c>
      <c r="O738" t="n">
        <v>0</v>
      </c>
      <c r="P738" t="n">
        <v>0</v>
      </c>
      <c r="Q738" t="n">
        <v>0</v>
      </c>
      <c r="R738" s="2" t="inlineStr"/>
    </row>
    <row r="739" ht="15" customHeight="1">
      <c r="A739" t="inlineStr">
        <is>
          <t>A 8006-2023</t>
        </is>
      </c>
      <c r="B739" s="1" t="n">
        <v>44973</v>
      </c>
      <c r="C739" s="1" t="n">
        <v>46076</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13755-2023</t>
        </is>
      </c>
      <c r="B740" s="1" t="n">
        <v>45007</v>
      </c>
      <c r="C740" s="1" t="n">
        <v>46076</v>
      </c>
      <c r="D740" t="inlineStr">
        <is>
          <t>UPPSALA LÄN</t>
        </is>
      </c>
      <c r="E740" t="inlineStr">
        <is>
          <t>ÖSTHAMMAR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13771-2023</t>
        </is>
      </c>
      <c r="B741" s="1" t="n">
        <v>45007</v>
      </c>
      <c r="C741" s="1" t="n">
        <v>46076</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7543-2023</t>
        </is>
      </c>
      <c r="B742" s="1" t="n">
        <v>44972</v>
      </c>
      <c r="C742" s="1" t="n">
        <v>46076</v>
      </c>
      <c r="D742" t="inlineStr">
        <is>
          <t>UPPSALA LÄN</t>
        </is>
      </c>
      <c r="E742" t="inlineStr">
        <is>
          <t>ÖSTHAMMAR</t>
        </is>
      </c>
      <c r="F742" t="inlineStr">
        <is>
          <t>Bergvik skog öst AB</t>
        </is>
      </c>
      <c r="G742" t="n">
        <v>13.3</v>
      </c>
      <c r="H742" t="n">
        <v>0</v>
      </c>
      <c r="I742" t="n">
        <v>0</v>
      </c>
      <c r="J742" t="n">
        <v>0</v>
      </c>
      <c r="K742" t="n">
        <v>0</v>
      </c>
      <c r="L742" t="n">
        <v>0</v>
      </c>
      <c r="M742" t="n">
        <v>0</v>
      </c>
      <c r="N742" t="n">
        <v>0</v>
      </c>
      <c r="O742" t="n">
        <v>0</v>
      </c>
      <c r="P742" t="n">
        <v>0</v>
      </c>
      <c r="Q742" t="n">
        <v>0</v>
      </c>
      <c r="R742" s="2" t="inlineStr"/>
    </row>
    <row r="743" ht="15" customHeight="1">
      <c r="A743" t="inlineStr">
        <is>
          <t>A 49899-2023</t>
        </is>
      </c>
      <c r="B743" s="1" t="n">
        <v>45213</v>
      </c>
      <c r="C743" s="1" t="n">
        <v>46076</v>
      </c>
      <c r="D743" t="inlineStr">
        <is>
          <t>UPPSALA LÄN</t>
        </is>
      </c>
      <c r="E743" t="inlineStr">
        <is>
          <t>ÖSTHAMMAR</t>
        </is>
      </c>
      <c r="G743" t="n">
        <v>6.2</v>
      </c>
      <c r="H743" t="n">
        <v>0</v>
      </c>
      <c r="I743" t="n">
        <v>0</v>
      </c>
      <c r="J743" t="n">
        <v>0</v>
      </c>
      <c r="K743" t="n">
        <v>0</v>
      </c>
      <c r="L743" t="n">
        <v>0</v>
      </c>
      <c r="M743" t="n">
        <v>0</v>
      </c>
      <c r="N743" t="n">
        <v>0</v>
      </c>
      <c r="O743" t="n">
        <v>0</v>
      </c>
      <c r="P743" t="n">
        <v>0</v>
      </c>
      <c r="Q743" t="n">
        <v>0</v>
      </c>
      <c r="R743" s="2" t="inlineStr"/>
    </row>
    <row r="744" ht="15" customHeight="1">
      <c r="A744" t="inlineStr">
        <is>
          <t>A 4676-2025</t>
        </is>
      </c>
      <c r="B744" s="1" t="n">
        <v>45687.8313425926</v>
      </c>
      <c r="C744" s="1" t="n">
        <v>46076</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17009-2021</t>
        </is>
      </c>
      <c r="B745" s="1" t="n">
        <v>44295.63969907408</v>
      </c>
      <c r="C745" s="1" t="n">
        <v>46076</v>
      </c>
      <c r="D745" t="inlineStr">
        <is>
          <t>UPPSALA LÄN</t>
        </is>
      </c>
      <c r="E745" t="inlineStr">
        <is>
          <t>ÖSTHAMMAR</t>
        </is>
      </c>
      <c r="F745" t="inlineStr">
        <is>
          <t>Bergvik skog öst AB</t>
        </is>
      </c>
      <c r="G745" t="n">
        <v>3.2</v>
      </c>
      <c r="H745" t="n">
        <v>0</v>
      </c>
      <c r="I745" t="n">
        <v>0</v>
      </c>
      <c r="J745" t="n">
        <v>0</v>
      </c>
      <c r="K745" t="n">
        <v>0</v>
      </c>
      <c r="L745" t="n">
        <v>0</v>
      </c>
      <c r="M745" t="n">
        <v>0</v>
      </c>
      <c r="N745" t="n">
        <v>0</v>
      </c>
      <c r="O745" t="n">
        <v>0</v>
      </c>
      <c r="P745" t="n">
        <v>0</v>
      </c>
      <c r="Q745" t="n">
        <v>0</v>
      </c>
      <c r="R745" s="2" t="inlineStr"/>
    </row>
    <row r="746" ht="15" customHeight="1">
      <c r="A746" t="inlineStr">
        <is>
          <t>A 33758-2024</t>
        </is>
      </c>
      <c r="B746" s="1" t="n">
        <v>45520.56896990741</v>
      </c>
      <c r="C746" s="1" t="n">
        <v>46076</v>
      </c>
      <c r="D746" t="inlineStr">
        <is>
          <t>UPPSALA LÄN</t>
        </is>
      </c>
      <c r="E746" t="inlineStr">
        <is>
          <t>ÖSTHAMMAR</t>
        </is>
      </c>
      <c r="G746" t="n">
        <v>6.5</v>
      </c>
      <c r="H746" t="n">
        <v>0</v>
      </c>
      <c r="I746" t="n">
        <v>0</v>
      </c>
      <c r="J746" t="n">
        <v>0</v>
      </c>
      <c r="K746" t="n">
        <v>0</v>
      </c>
      <c r="L746" t="n">
        <v>0</v>
      </c>
      <c r="M746" t="n">
        <v>0</v>
      </c>
      <c r="N746" t="n">
        <v>0</v>
      </c>
      <c r="O746" t="n">
        <v>0</v>
      </c>
      <c r="P746" t="n">
        <v>0</v>
      </c>
      <c r="Q746" t="n">
        <v>0</v>
      </c>
      <c r="R746" s="2" t="inlineStr"/>
    </row>
    <row r="747" ht="15" customHeight="1">
      <c r="A747" t="inlineStr">
        <is>
          <t>A 24259-2022</t>
        </is>
      </c>
      <c r="B747" s="1" t="n">
        <v>44725</v>
      </c>
      <c r="C747" s="1" t="n">
        <v>46076</v>
      </c>
      <c r="D747" t="inlineStr">
        <is>
          <t>UPPSALA LÄN</t>
        </is>
      </c>
      <c r="E747" t="inlineStr">
        <is>
          <t>ÖSTHAMMAR</t>
        </is>
      </c>
      <c r="G747" t="n">
        <v>2.4</v>
      </c>
      <c r="H747" t="n">
        <v>0</v>
      </c>
      <c r="I747" t="n">
        <v>0</v>
      </c>
      <c r="J747" t="n">
        <v>0</v>
      </c>
      <c r="K747" t="n">
        <v>0</v>
      </c>
      <c r="L747" t="n">
        <v>0</v>
      </c>
      <c r="M747" t="n">
        <v>0</v>
      </c>
      <c r="N747" t="n">
        <v>0</v>
      </c>
      <c r="O747" t="n">
        <v>0</v>
      </c>
      <c r="P747" t="n">
        <v>0</v>
      </c>
      <c r="Q747" t="n">
        <v>0</v>
      </c>
      <c r="R747" s="2" t="inlineStr"/>
    </row>
    <row r="748" ht="15" customHeight="1">
      <c r="A748" t="inlineStr">
        <is>
          <t>A 18113-2023</t>
        </is>
      </c>
      <c r="B748" s="1" t="n">
        <v>45040</v>
      </c>
      <c r="C748" s="1" t="n">
        <v>46076</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61216-2022</t>
        </is>
      </c>
      <c r="B749" s="1" t="n">
        <v>44915.55423611111</v>
      </c>
      <c r="C749" s="1" t="n">
        <v>46076</v>
      </c>
      <c r="D749" t="inlineStr">
        <is>
          <t>UPPSALA LÄN</t>
        </is>
      </c>
      <c r="E749" t="inlineStr">
        <is>
          <t>ÖSTHAMMAR</t>
        </is>
      </c>
      <c r="G749" t="n">
        <v>2.9</v>
      </c>
      <c r="H749" t="n">
        <v>0</v>
      </c>
      <c r="I749" t="n">
        <v>0</v>
      </c>
      <c r="J749" t="n">
        <v>0</v>
      </c>
      <c r="K749" t="n">
        <v>0</v>
      </c>
      <c r="L749" t="n">
        <v>0</v>
      </c>
      <c r="M749" t="n">
        <v>0</v>
      </c>
      <c r="N749" t="n">
        <v>0</v>
      </c>
      <c r="O749" t="n">
        <v>0</v>
      </c>
      <c r="P749" t="n">
        <v>0</v>
      </c>
      <c r="Q749" t="n">
        <v>0</v>
      </c>
      <c r="R749" s="2" t="inlineStr"/>
    </row>
    <row r="750" ht="15" customHeight="1">
      <c r="A750" t="inlineStr">
        <is>
          <t>A 27660-2023</t>
        </is>
      </c>
      <c r="B750" s="1" t="n">
        <v>45097</v>
      </c>
      <c r="C750" s="1" t="n">
        <v>46076</v>
      </c>
      <c r="D750" t="inlineStr">
        <is>
          <t>UPPSALA LÄN</t>
        </is>
      </c>
      <c r="E750" t="inlineStr">
        <is>
          <t>ÖSTHAMMAR</t>
        </is>
      </c>
      <c r="G750" t="n">
        <v>2.8</v>
      </c>
      <c r="H750" t="n">
        <v>0</v>
      </c>
      <c r="I750" t="n">
        <v>0</v>
      </c>
      <c r="J750" t="n">
        <v>0</v>
      </c>
      <c r="K750" t="n">
        <v>0</v>
      </c>
      <c r="L750" t="n">
        <v>0</v>
      </c>
      <c r="M750" t="n">
        <v>0</v>
      </c>
      <c r="N750" t="n">
        <v>0</v>
      </c>
      <c r="O750" t="n">
        <v>0</v>
      </c>
      <c r="P750" t="n">
        <v>0</v>
      </c>
      <c r="Q750" t="n">
        <v>0</v>
      </c>
      <c r="R750" s="2" t="inlineStr"/>
    </row>
    <row r="751" ht="15" customHeight="1">
      <c r="A751" t="inlineStr">
        <is>
          <t>A 69411-2021</t>
        </is>
      </c>
      <c r="B751" s="1" t="n">
        <v>44531.61038194445</v>
      </c>
      <c r="C751" s="1" t="n">
        <v>46076</v>
      </c>
      <c r="D751" t="inlineStr">
        <is>
          <t>UPPSALA LÄN</t>
        </is>
      </c>
      <c r="E751" t="inlineStr">
        <is>
          <t>ÖSTHAMMAR</t>
        </is>
      </c>
      <c r="F751" t="inlineStr">
        <is>
          <t>Bergvik skog öst AB</t>
        </is>
      </c>
      <c r="G751" t="n">
        <v>1.1</v>
      </c>
      <c r="H751" t="n">
        <v>0</v>
      </c>
      <c r="I751" t="n">
        <v>0</v>
      </c>
      <c r="J751" t="n">
        <v>0</v>
      </c>
      <c r="K751" t="n">
        <v>0</v>
      </c>
      <c r="L751" t="n">
        <v>0</v>
      </c>
      <c r="M751" t="n">
        <v>0</v>
      </c>
      <c r="N751" t="n">
        <v>0</v>
      </c>
      <c r="O751" t="n">
        <v>0</v>
      </c>
      <c r="P751" t="n">
        <v>0</v>
      </c>
      <c r="Q751" t="n">
        <v>0</v>
      </c>
      <c r="R751" s="2" t="inlineStr"/>
    </row>
    <row r="752" ht="15" customHeight="1">
      <c r="A752" t="inlineStr">
        <is>
          <t>A 26303-2024</t>
        </is>
      </c>
      <c r="B752" s="1" t="n">
        <v>45468</v>
      </c>
      <c r="C752" s="1" t="n">
        <v>46076</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7100-2025</t>
        </is>
      </c>
      <c r="B753" s="1" t="n">
        <v>45701.83930555556</v>
      </c>
      <c r="C753" s="1" t="n">
        <v>46076</v>
      </c>
      <c r="D753" t="inlineStr">
        <is>
          <t>UPPSALA LÄN</t>
        </is>
      </c>
      <c r="E753" t="inlineStr">
        <is>
          <t>ÖSTHAMMAR</t>
        </is>
      </c>
      <c r="G753" t="n">
        <v>4.3</v>
      </c>
      <c r="H753" t="n">
        <v>0</v>
      </c>
      <c r="I753" t="n">
        <v>0</v>
      </c>
      <c r="J753" t="n">
        <v>0</v>
      </c>
      <c r="K753" t="n">
        <v>0</v>
      </c>
      <c r="L753" t="n">
        <v>0</v>
      </c>
      <c r="M753" t="n">
        <v>0</v>
      </c>
      <c r="N753" t="n">
        <v>0</v>
      </c>
      <c r="O753" t="n">
        <v>0</v>
      </c>
      <c r="P753" t="n">
        <v>0</v>
      </c>
      <c r="Q753" t="n">
        <v>0</v>
      </c>
      <c r="R753" s="2" t="inlineStr"/>
    </row>
    <row r="754" ht="15" customHeight="1">
      <c r="A754" t="inlineStr">
        <is>
          <t>A 60577-2021</t>
        </is>
      </c>
      <c r="B754" s="1" t="n">
        <v>44496.57019675926</v>
      </c>
      <c r="C754" s="1" t="n">
        <v>46076</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10495-2025</t>
        </is>
      </c>
      <c r="B755" s="1" t="n">
        <v>45721</v>
      </c>
      <c r="C755" s="1" t="n">
        <v>46076</v>
      </c>
      <c r="D755" t="inlineStr">
        <is>
          <t>UPPSALA LÄN</t>
        </is>
      </c>
      <c r="E755" t="inlineStr">
        <is>
          <t>ÖSTHAMMAR</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1791-2023</t>
        </is>
      </c>
      <c r="B756" s="1" t="n">
        <v>44938</v>
      </c>
      <c r="C756" s="1" t="n">
        <v>46076</v>
      </c>
      <c r="D756" t="inlineStr">
        <is>
          <t>UPPSALA LÄN</t>
        </is>
      </c>
      <c r="E756" t="inlineStr">
        <is>
          <t>ÖSTHAMMAR</t>
        </is>
      </c>
      <c r="G756" t="n">
        <v>2</v>
      </c>
      <c r="H756" t="n">
        <v>0</v>
      </c>
      <c r="I756" t="n">
        <v>0</v>
      </c>
      <c r="J756" t="n">
        <v>0</v>
      </c>
      <c r="K756" t="n">
        <v>0</v>
      </c>
      <c r="L756" t="n">
        <v>0</v>
      </c>
      <c r="M756" t="n">
        <v>0</v>
      </c>
      <c r="N756" t="n">
        <v>0</v>
      </c>
      <c r="O756" t="n">
        <v>0</v>
      </c>
      <c r="P756" t="n">
        <v>0</v>
      </c>
      <c r="Q756" t="n">
        <v>0</v>
      </c>
      <c r="R756" s="2" t="inlineStr"/>
    </row>
    <row r="757" ht="15" customHeight="1">
      <c r="A757" t="inlineStr">
        <is>
          <t>A 49796-2024</t>
        </is>
      </c>
      <c r="B757" s="1" t="n">
        <v>45597</v>
      </c>
      <c r="C757" s="1" t="n">
        <v>46076</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21133-2025</t>
        </is>
      </c>
      <c r="B758" s="1" t="n">
        <v>45778.415625</v>
      </c>
      <c r="C758" s="1" t="n">
        <v>46076</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row>
    <row r="759" ht="15" customHeight="1">
      <c r="A759" t="inlineStr">
        <is>
          <t>A 21132-2025</t>
        </is>
      </c>
      <c r="B759" s="1" t="n">
        <v>45778.4108912037</v>
      </c>
      <c r="C759" s="1" t="n">
        <v>46076</v>
      </c>
      <c r="D759" t="inlineStr">
        <is>
          <t>UPPSALA LÄN</t>
        </is>
      </c>
      <c r="E759" t="inlineStr">
        <is>
          <t>ÖSTHAMMAR</t>
        </is>
      </c>
      <c r="G759" t="n">
        <v>10.1</v>
      </c>
      <c r="H759" t="n">
        <v>0</v>
      </c>
      <c r="I759" t="n">
        <v>0</v>
      </c>
      <c r="J759" t="n">
        <v>0</v>
      </c>
      <c r="K759" t="n">
        <v>0</v>
      </c>
      <c r="L759" t="n">
        <v>0</v>
      </c>
      <c r="M759" t="n">
        <v>0</v>
      </c>
      <c r="N759" t="n">
        <v>0</v>
      </c>
      <c r="O759" t="n">
        <v>0</v>
      </c>
      <c r="P759" t="n">
        <v>0</v>
      </c>
      <c r="Q759" t="n">
        <v>0</v>
      </c>
      <c r="R759" s="2" t="inlineStr"/>
    </row>
    <row r="760" ht="15" customHeight="1">
      <c r="A760" t="inlineStr">
        <is>
          <t>A 42262-2024</t>
        </is>
      </c>
      <c r="B760" s="1" t="n">
        <v>45562</v>
      </c>
      <c r="C760" s="1" t="n">
        <v>46076</v>
      </c>
      <c r="D760" t="inlineStr">
        <is>
          <t>UPPSALA LÄN</t>
        </is>
      </c>
      <c r="E760" t="inlineStr">
        <is>
          <t>ÖSTHAMMAR</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36954-2024</t>
        </is>
      </c>
      <c r="B761" s="1" t="n">
        <v>45538.71109953704</v>
      </c>
      <c r="C761" s="1" t="n">
        <v>46076</v>
      </c>
      <c r="D761" t="inlineStr">
        <is>
          <t>UPPSALA LÄN</t>
        </is>
      </c>
      <c r="E761" t="inlineStr">
        <is>
          <t>ÖSTHAMMAR</t>
        </is>
      </c>
      <c r="F761" t="inlineStr">
        <is>
          <t>Bergvik skog öst AB</t>
        </is>
      </c>
      <c r="G761" t="n">
        <v>5.1</v>
      </c>
      <c r="H761" t="n">
        <v>0</v>
      </c>
      <c r="I761" t="n">
        <v>0</v>
      </c>
      <c r="J761" t="n">
        <v>0</v>
      </c>
      <c r="K761" t="n">
        <v>0</v>
      </c>
      <c r="L761" t="n">
        <v>0</v>
      </c>
      <c r="M761" t="n">
        <v>0</v>
      </c>
      <c r="N761" t="n">
        <v>0</v>
      </c>
      <c r="O761" t="n">
        <v>0</v>
      </c>
      <c r="P761" t="n">
        <v>0</v>
      </c>
      <c r="Q761" t="n">
        <v>0</v>
      </c>
      <c r="R761" s="2" t="inlineStr"/>
    </row>
    <row r="762" ht="15" customHeight="1">
      <c r="A762" t="inlineStr">
        <is>
          <t>A 33685-2024</t>
        </is>
      </c>
      <c r="B762" s="1" t="n">
        <v>45520.51063657407</v>
      </c>
      <c r="C762" s="1" t="n">
        <v>46076</v>
      </c>
      <c r="D762" t="inlineStr">
        <is>
          <t>UPPSALA LÄN</t>
        </is>
      </c>
      <c r="E762" t="inlineStr">
        <is>
          <t>ÖSTHAMMAR</t>
        </is>
      </c>
      <c r="F762" t="inlineStr">
        <is>
          <t>Bergvik skog öst AB</t>
        </is>
      </c>
      <c r="G762" t="n">
        <v>3.8</v>
      </c>
      <c r="H762" t="n">
        <v>0</v>
      </c>
      <c r="I762" t="n">
        <v>0</v>
      </c>
      <c r="J762" t="n">
        <v>0</v>
      </c>
      <c r="K762" t="n">
        <v>0</v>
      </c>
      <c r="L762" t="n">
        <v>0</v>
      </c>
      <c r="M762" t="n">
        <v>0</v>
      </c>
      <c r="N762" t="n">
        <v>0</v>
      </c>
      <c r="O762" t="n">
        <v>0</v>
      </c>
      <c r="P762" t="n">
        <v>0</v>
      </c>
      <c r="Q762" t="n">
        <v>0</v>
      </c>
      <c r="R762" s="2" t="inlineStr"/>
    </row>
    <row r="763" ht="15" customHeight="1">
      <c r="A763" t="inlineStr">
        <is>
          <t>A 43655-2024</t>
        </is>
      </c>
      <c r="B763" s="1" t="n">
        <v>45569</v>
      </c>
      <c r="C763" s="1" t="n">
        <v>46076</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22488-2025</t>
        </is>
      </c>
      <c r="B764" s="1" t="n">
        <v>45786.64865740741</v>
      </c>
      <c r="C764" s="1" t="n">
        <v>46076</v>
      </c>
      <c r="D764" t="inlineStr">
        <is>
          <t>UPPSALA LÄN</t>
        </is>
      </c>
      <c r="E764" t="inlineStr">
        <is>
          <t>ÖSTHAMMAR</t>
        </is>
      </c>
      <c r="F764" t="inlineStr">
        <is>
          <t>Bergvik skog öst AB</t>
        </is>
      </c>
      <c r="G764" t="n">
        <v>14.9</v>
      </c>
      <c r="H764" t="n">
        <v>0</v>
      </c>
      <c r="I764" t="n">
        <v>0</v>
      </c>
      <c r="J764" t="n">
        <v>0</v>
      </c>
      <c r="K764" t="n">
        <v>0</v>
      </c>
      <c r="L764" t="n">
        <v>0</v>
      </c>
      <c r="M764" t="n">
        <v>0</v>
      </c>
      <c r="N764" t="n">
        <v>0</v>
      </c>
      <c r="O764" t="n">
        <v>0</v>
      </c>
      <c r="P764" t="n">
        <v>0</v>
      </c>
      <c r="Q764" t="n">
        <v>0</v>
      </c>
      <c r="R764" s="2" t="inlineStr"/>
    </row>
    <row r="765" ht="15" customHeight="1">
      <c r="A765" t="inlineStr">
        <is>
          <t>A 14595-2023</t>
        </is>
      </c>
      <c r="B765" s="1" t="n">
        <v>45013.57858796296</v>
      </c>
      <c r="C765" s="1" t="n">
        <v>46076</v>
      </c>
      <c r="D765" t="inlineStr">
        <is>
          <t>UPPSALA LÄN</t>
        </is>
      </c>
      <c r="E765" t="inlineStr">
        <is>
          <t>ÖSTHAMMAR</t>
        </is>
      </c>
      <c r="G765" t="n">
        <v>5</v>
      </c>
      <c r="H765" t="n">
        <v>0</v>
      </c>
      <c r="I765" t="n">
        <v>0</v>
      </c>
      <c r="J765" t="n">
        <v>0</v>
      </c>
      <c r="K765" t="n">
        <v>0</v>
      </c>
      <c r="L765" t="n">
        <v>0</v>
      </c>
      <c r="M765" t="n">
        <v>0</v>
      </c>
      <c r="N765" t="n">
        <v>0</v>
      </c>
      <c r="O765" t="n">
        <v>0</v>
      </c>
      <c r="P765" t="n">
        <v>0</v>
      </c>
      <c r="Q765" t="n">
        <v>0</v>
      </c>
      <c r="R765" s="2" t="inlineStr"/>
    </row>
    <row r="766" ht="15" customHeight="1">
      <c r="A766" t="inlineStr">
        <is>
          <t>A 32483-2024</t>
        </is>
      </c>
      <c r="B766" s="1" t="n">
        <v>45513.36644675926</v>
      </c>
      <c r="C766" s="1" t="n">
        <v>46076</v>
      </c>
      <c r="D766" t="inlineStr">
        <is>
          <t>UPPSALA LÄN</t>
        </is>
      </c>
      <c r="E766" t="inlineStr">
        <is>
          <t>ÖSTHAMMAR</t>
        </is>
      </c>
      <c r="F766" t="inlineStr">
        <is>
          <t>Kyrkan</t>
        </is>
      </c>
      <c r="G766" t="n">
        <v>4.7</v>
      </c>
      <c r="H766" t="n">
        <v>0</v>
      </c>
      <c r="I766" t="n">
        <v>0</v>
      </c>
      <c r="J766" t="n">
        <v>0</v>
      </c>
      <c r="K766" t="n">
        <v>0</v>
      </c>
      <c r="L766" t="n">
        <v>0</v>
      </c>
      <c r="M766" t="n">
        <v>0</v>
      </c>
      <c r="N766" t="n">
        <v>0</v>
      </c>
      <c r="O766" t="n">
        <v>0</v>
      </c>
      <c r="P766" t="n">
        <v>0</v>
      </c>
      <c r="Q766" t="n">
        <v>0</v>
      </c>
      <c r="R766" s="2" t="inlineStr"/>
    </row>
    <row r="767" ht="15" customHeight="1">
      <c r="A767" t="inlineStr">
        <is>
          <t>A 38575-2024</t>
        </is>
      </c>
      <c r="B767" s="1" t="n">
        <v>45546.64221064815</v>
      </c>
      <c r="C767" s="1" t="n">
        <v>46076</v>
      </c>
      <c r="D767" t="inlineStr">
        <is>
          <t>UPPSALA LÄN</t>
        </is>
      </c>
      <c r="E767" t="inlineStr">
        <is>
          <t>ÖSTHAMMAR</t>
        </is>
      </c>
      <c r="F767" t="inlineStr">
        <is>
          <t>Bergvik skog öst AB</t>
        </is>
      </c>
      <c r="G767" t="n">
        <v>5.1</v>
      </c>
      <c r="H767" t="n">
        <v>0</v>
      </c>
      <c r="I767" t="n">
        <v>0</v>
      </c>
      <c r="J767" t="n">
        <v>0</v>
      </c>
      <c r="K767" t="n">
        <v>0</v>
      </c>
      <c r="L767" t="n">
        <v>0</v>
      </c>
      <c r="M767" t="n">
        <v>0</v>
      </c>
      <c r="N767" t="n">
        <v>0</v>
      </c>
      <c r="O767" t="n">
        <v>0</v>
      </c>
      <c r="P767" t="n">
        <v>0</v>
      </c>
      <c r="Q767" t="n">
        <v>0</v>
      </c>
      <c r="R767" s="2" t="inlineStr"/>
    </row>
    <row r="768" ht="15" customHeight="1">
      <c r="A768" t="inlineStr">
        <is>
          <t>A 43685-2024</t>
        </is>
      </c>
      <c r="B768" s="1" t="n">
        <v>45569</v>
      </c>
      <c r="C768" s="1" t="n">
        <v>46076</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44796-2024</t>
        </is>
      </c>
      <c r="B769" s="1" t="n">
        <v>45574</v>
      </c>
      <c r="C769" s="1" t="n">
        <v>46076</v>
      </c>
      <c r="D769" t="inlineStr">
        <is>
          <t>UPPSALA LÄN</t>
        </is>
      </c>
      <c r="E769" t="inlineStr">
        <is>
          <t>ÖSTHAMMAR</t>
        </is>
      </c>
      <c r="G769" t="n">
        <v>4.7</v>
      </c>
      <c r="H769" t="n">
        <v>0</v>
      </c>
      <c r="I769" t="n">
        <v>0</v>
      </c>
      <c r="J769" t="n">
        <v>0</v>
      </c>
      <c r="K769" t="n">
        <v>0</v>
      </c>
      <c r="L769" t="n">
        <v>0</v>
      </c>
      <c r="M769" t="n">
        <v>0</v>
      </c>
      <c r="N769" t="n">
        <v>0</v>
      </c>
      <c r="O769" t="n">
        <v>0</v>
      </c>
      <c r="P769" t="n">
        <v>0</v>
      </c>
      <c r="Q769" t="n">
        <v>0</v>
      </c>
      <c r="R769" s="2" t="inlineStr"/>
    </row>
    <row r="770" ht="15" customHeight="1">
      <c r="A770" t="inlineStr">
        <is>
          <t>A 44027-2024</t>
        </is>
      </c>
      <c r="B770" s="1" t="n">
        <v>45572</v>
      </c>
      <c r="C770" s="1" t="n">
        <v>46076</v>
      </c>
      <c r="D770" t="inlineStr">
        <is>
          <t>UPPSALA LÄN</t>
        </is>
      </c>
      <c r="E770" t="inlineStr">
        <is>
          <t>ÖSTHAMMAR</t>
        </is>
      </c>
      <c r="G770" t="n">
        <v>6</v>
      </c>
      <c r="H770" t="n">
        <v>0</v>
      </c>
      <c r="I770" t="n">
        <v>0</v>
      </c>
      <c r="J770" t="n">
        <v>0</v>
      </c>
      <c r="K770" t="n">
        <v>0</v>
      </c>
      <c r="L770" t="n">
        <v>0</v>
      </c>
      <c r="M770" t="n">
        <v>0</v>
      </c>
      <c r="N770" t="n">
        <v>0</v>
      </c>
      <c r="O770" t="n">
        <v>0</v>
      </c>
      <c r="P770" t="n">
        <v>0</v>
      </c>
      <c r="Q770" t="n">
        <v>0</v>
      </c>
      <c r="R770" s="2" t="inlineStr"/>
    </row>
    <row r="771" ht="15" customHeight="1">
      <c r="A771" t="inlineStr">
        <is>
          <t>A 5931-2022</t>
        </is>
      </c>
      <c r="B771" s="1" t="n">
        <v>44598.82700231481</v>
      </c>
      <c r="C771" s="1" t="n">
        <v>46076</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43683-2024</t>
        </is>
      </c>
      <c r="B772" s="1" t="n">
        <v>45569.57518518518</v>
      </c>
      <c r="C772" s="1" t="n">
        <v>46076</v>
      </c>
      <c r="D772" t="inlineStr">
        <is>
          <t>UPPSALA LÄN</t>
        </is>
      </c>
      <c r="E772" t="inlineStr">
        <is>
          <t>ÖSTHAMMAR</t>
        </is>
      </c>
      <c r="G772" t="n">
        <v>4.7</v>
      </c>
      <c r="H772" t="n">
        <v>0</v>
      </c>
      <c r="I772" t="n">
        <v>0</v>
      </c>
      <c r="J772" t="n">
        <v>0</v>
      </c>
      <c r="K772" t="n">
        <v>0</v>
      </c>
      <c r="L772" t="n">
        <v>0</v>
      </c>
      <c r="M772" t="n">
        <v>0</v>
      </c>
      <c r="N772" t="n">
        <v>0</v>
      </c>
      <c r="O772" t="n">
        <v>0</v>
      </c>
      <c r="P772" t="n">
        <v>0</v>
      </c>
      <c r="Q772" t="n">
        <v>0</v>
      </c>
      <c r="R772" s="2" t="inlineStr"/>
    </row>
    <row r="773" ht="15" customHeight="1">
      <c r="A773" t="inlineStr">
        <is>
          <t>A 43993-2024</t>
        </is>
      </c>
      <c r="B773" s="1" t="n">
        <v>45572.52690972222</v>
      </c>
      <c r="C773" s="1" t="n">
        <v>46076</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row>
    <row r="774" ht="15" customHeight="1">
      <c r="A774" t="inlineStr">
        <is>
          <t>A 22492-2025</t>
        </is>
      </c>
      <c r="B774" s="1" t="n">
        <v>45786.65072916666</v>
      </c>
      <c r="C774" s="1" t="n">
        <v>46076</v>
      </c>
      <c r="D774" t="inlineStr">
        <is>
          <t>UPPSALA LÄN</t>
        </is>
      </c>
      <c r="E774" t="inlineStr">
        <is>
          <t>ÖSTHAMMAR</t>
        </is>
      </c>
      <c r="F774" t="inlineStr">
        <is>
          <t>Bergvik skog öst AB</t>
        </is>
      </c>
      <c r="G774" t="n">
        <v>16.6</v>
      </c>
      <c r="H774" t="n">
        <v>0</v>
      </c>
      <c r="I774" t="n">
        <v>0</v>
      </c>
      <c r="J774" t="n">
        <v>0</v>
      </c>
      <c r="K774" t="n">
        <v>0</v>
      </c>
      <c r="L774" t="n">
        <v>0</v>
      </c>
      <c r="M774" t="n">
        <v>0</v>
      </c>
      <c r="N774" t="n">
        <v>0</v>
      </c>
      <c r="O774" t="n">
        <v>0</v>
      </c>
      <c r="P774" t="n">
        <v>0</v>
      </c>
      <c r="Q774" t="n">
        <v>0</v>
      </c>
      <c r="R774" s="2" t="inlineStr"/>
    </row>
    <row r="775" ht="15" customHeight="1">
      <c r="A775" t="inlineStr">
        <is>
          <t>A 22483-2025</t>
        </is>
      </c>
      <c r="B775" s="1" t="n">
        <v>45786.64141203704</v>
      </c>
      <c r="C775" s="1" t="n">
        <v>46076</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59291-2023</t>
        </is>
      </c>
      <c r="B776" s="1" t="n">
        <v>45253.57559027777</v>
      </c>
      <c r="C776" s="1" t="n">
        <v>46076</v>
      </c>
      <c r="D776" t="inlineStr">
        <is>
          <t>UPPSALA LÄN</t>
        </is>
      </c>
      <c r="E776" t="inlineStr">
        <is>
          <t>ÖSTHAMMAR</t>
        </is>
      </c>
      <c r="G776" t="n">
        <v>1.7</v>
      </c>
      <c r="H776" t="n">
        <v>0</v>
      </c>
      <c r="I776" t="n">
        <v>0</v>
      </c>
      <c r="J776" t="n">
        <v>0</v>
      </c>
      <c r="K776" t="n">
        <v>0</v>
      </c>
      <c r="L776" t="n">
        <v>0</v>
      </c>
      <c r="M776" t="n">
        <v>0</v>
      </c>
      <c r="N776" t="n">
        <v>0</v>
      </c>
      <c r="O776" t="n">
        <v>0</v>
      </c>
      <c r="P776" t="n">
        <v>0</v>
      </c>
      <c r="Q776" t="n">
        <v>0</v>
      </c>
      <c r="R776" s="2" t="inlineStr"/>
    </row>
    <row r="777" ht="15" customHeight="1">
      <c r="A777" t="inlineStr">
        <is>
          <t>A 23305-2025</t>
        </is>
      </c>
      <c r="B777" s="1" t="n">
        <v>45791.60127314815</v>
      </c>
      <c r="C777" s="1" t="n">
        <v>46076</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1584-2025</t>
        </is>
      </c>
      <c r="B778" s="1" t="n">
        <v>45670</v>
      </c>
      <c r="C778" s="1" t="n">
        <v>46076</v>
      </c>
      <c r="D778" t="inlineStr">
        <is>
          <t>UPPSALA LÄN</t>
        </is>
      </c>
      <c r="E778" t="inlineStr">
        <is>
          <t>ÖSTHAMMAR</t>
        </is>
      </c>
      <c r="G778" t="n">
        <v>0.7</v>
      </c>
      <c r="H778" t="n">
        <v>0</v>
      </c>
      <c r="I778" t="n">
        <v>0</v>
      </c>
      <c r="J778" t="n">
        <v>0</v>
      </c>
      <c r="K778" t="n">
        <v>0</v>
      </c>
      <c r="L778" t="n">
        <v>0</v>
      </c>
      <c r="M778" t="n">
        <v>0</v>
      </c>
      <c r="N778" t="n">
        <v>0</v>
      </c>
      <c r="O778" t="n">
        <v>0</v>
      </c>
      <c r="P778" t="n">
        <v>0</v>
      </c>
      <c r="Q778" t="n">
        <v>0</v>
      </c>
      <c r="R778" s="2" t="inlineStr"/>
    </row>
    <row r="779" ht="15" customHeight="1">
      <c r="A779" t="inlineStr">
        <is>
          <t>A 30972-2024</t>
        </is>
      </c>
      <c r="B779" s="1" t="n">
        <v>45499.47106481482</v>
      </c>
      <c r="C779" s="1" t="n">
        <v>46076</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24160-2024</t>
        </is>
      </c>
      <c r="B780" s="1" t="n">
        <v>45456</v>
      </c>
      <c r="C780" s="1" t="n">
        <v>46076</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24415-2025</t>
        </is>
      </c>
      <c r="B781" s="1" t="n">
        <v>45797.67381944445</v>
      </c>
      <c r="C781" s="1" t="n">
        <v>46076</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23968-2025</t>
        </is>
      </c>
      <c r="B782" s="1" t="n">
        <v>45796</v>
      </c>
      <c r="C782" s="1" t="n">
        <v>46076</v>
      </c>
      <c r="D782" t="inlineStr">
        <is>
          <t>UPPSALA LÄN</t>
        </is>
      </c>
      <c r="E782" t="inlineStr">
        <is>
          <t>ÖSTHAMMAR</t>
        </is>
      </c>
      <c r="F782" t="inlineStr">
        <is>
          <t>Bergvik skog öst AB</t>
        </is>
      </c>
      <c r="G782" t="n">
        <v>7.5</v>
      </c>
      <c r="H782" t="n">
        <v>0</v>
      </c>
      <c r="I782" t="n">
        <v>0</v>
      </c>
      <c r="J782" t="n">
        <v>0</v>
      </c>
      <c r="K782" t="n">
        <v>0</v>
      </c>
      <c r="L782" t="n">
        <v>0</v>
      </c>
      <c r="M782" t="n">
        <v>0</v>
      </c>
      <c r="N782" t="n">
        <v>0</v>
      </c>
      <c r="O782" t="n">
        <v>0</v>
      </c>
      <c r="P782" t="n">
        <v>0</v>
      </c>
      <c r="Q782" t="n">
        <v>0</v>
      </c>
      <c r="R782" s="2" t="inlineStr"/>
    </row>
    <row r="783" ht="15" customHeight="1">
      <c r="A783" t="inlineStr">
        <is>
          <t>A 24174-2025</t>
        </is>
      </c>
      <c r="B783" s="1" t="n">
        <v>45796.69207175926</v>
      </c>
      <c r="C783" s="1" t="n">
        <v>46076</v>
      </c>
      <c r="D783" t="inlineStr">
        <is>
          <t>UPPSALA LÄN</t>
        </is>
      </c>
      <c r="E783" t="inlineStr">
        <is>
          <t>ÖSTHAMMAR</t>
        </is>
      </c>
      <c r="G783" t="n">
        <v>4.9</v>
      </c>
      <c r="H783" t="n">
        <v>0</v>
      </c>
      <c r="I783" t="n">
        <v>0</v>
      </c>
      <c r="J783" t="n">
        <v>0</v>
      </c>
      <c r="K783" t="n">
        <v>0</v>
      </c>
      <c r="L783" t="n">
        <v>0</v>
      </c>
      <c r="M783" t="n">
        <v>0</v>
      </c>
      <c r="N783" t="n">
        <v>0</v>
      </c>
      <c r="O783" t="n">
        <v>0</v>
      </c>
      <c r="P783" t="n">
        <v>0</v>
      </c>
      <c r="Q783" t="n">
        <v>0</v>
      </c>
      <c r="R783" s="2" t="inlineStr"/>
    </row>
    <row r="784" ht="15" customHeight="1">
      <c r="A784" t="inlineStr">
        <is>
          <t>A 24606-2024</t>
        </is>
      </c>
      <c r="B784" s="1" t="n">
        <v>45460</v>
      </c>
      <c r="C784" s="1" t="n">
        <v>46076</v>
      </c>
      <c r="D784" t="inlineStr">
        <is>
          <t>UPPSALA LÄN</t>
        </is>
      </c>
      <c r="E784" t="inlineStr">
        <is>
          <t>ÖSTHAMMAR</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25049-2025</t>
        </is>
      </c>
      <c r="B785" s="1" t="n">
        <v>45799.66876157407</v>
      </c>
      <c r="C785" s="1" t="n">
        <v>46076</v>
      </c>
      <c r="D785" t="inlineStr">
        <is>
          <t>UPPSALA LÄN</t>
        </is>
      </c>
      <c r="E785" t="inlineStr">
        <is>
          <t>ÖSTHAMMAR</t>
        </is>
      </c>
      <c r="F785" t="inlineStr">
        <is>
          <t>Bergvik skog öst AB</t>
        </is>
      </c>
      <c r="G785" t="n">
        <v>3.8</v>
      </c>
      <c r="H785" t="n">
        <v>0</v>
      </c>
      <c r="I785" t="n">
        <v>0</v>
      </c>
      <c r="J785" t="n">
        <v>0</v>
      </c>
      <c r="K785" t="n">
        <v>0</v>
      </c>
      <c r="L785" t="n">
        <v>0</v>
      </c>
      <c r="M785" t="n">
        <v>0</v>
      </c>
      <c r="N785" t="n">
        <v>0</v>
      </c>
      <c r="O785" t="n">
        <v>0</v>
      </c>
      <c r="P785" t="n">
        <v>0</v>
      </c>
      <c r="Q785" t="n">
        <v>0</v>
      </c>
      <c r="R785" s="2" t="inlineStr"/>
    </row>
    <row r="786" ht="15" customHeight="1">
      <c r="A786" t="inlineStr">
        <is>
          <t>A 24944-2025</t>
        </is>
      </c>
      <c r="B786" s="1" t="n">
        <v>45799.56347222222</v>
      </c>
      <c r="C786" s="1" t="n">
        <v>46076</v>
      </c>
      <c r="D786" t="inlineStr">
        <is>
          <t>UPPSALA LÄN</t>
        </is>
      </c>
      <c r="E786" t="inlineStr">
        <is>
          <t>ÖSTHAMMAR</t>
        </is>
      </c>
      <c r="G786" t="n">
        <v>7.3</v>
      </c>
      <c r="H786" t="n">
        <v>0</v>
      </c>
      <c r="I786" t="n">
        <v>0</v>
      </c>
      <c r="J786" t="n">
        <v>0</v>
      </c>
      <c r="K786" t="n">
        <v>0</v>
      </c>
      <c r="L786" t="n">
        <v>0</v>
      </c>
      <c r="M786" t="n">
        <v>0</v>
      </c>
      <c r="N786" t="n">
        <v>0</v>
      </c>
      <c r="O786" t="n">
        <v>0</v>
      </c>
      <c r="P786" t="n">
        <v>0</v>
      </c>
      <c r="Q786" t="n">
        <v>0</v>
      </c>
      <c r="R786" s="2" t="inlineStr"/>
    </row>
    <row r="787" ht="15" customHeight="1">
      <c r="A787" t="inlineStr">
        <is>
          <t>A 12945-2025</t>
        </is>
      </c>
      <c r="B787" s="1" t="n">
        <v>45734.38159722222</v>
      </c>
      <c r="C787" s="1" t="n">
        <v>46076</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34185-2024</t>
        </is>
      </c>
      <c r="B788" s="1" t="n">
        <v>45524</v>
      </c>
      <c r="C788" s="1" t="n">
        <v>46076</v>
      </c>
      <c r="D788" t="inlineStr">
        <is>
          <t>UPPSALA LÄN</t>
        </is>
      </c>
      <c r="E788" t="inlineStr">
        <is>
          <t>ÖSTHAMMAR</t>
        </is>
      </c>
      <c r="G788" t="n">
        <v>2.5</v>
      </c>
      <c r="H788" t="n">
        <v>0</v>
      </c>
      <c r="I788" t="n">
        <v>0</v>
      </c>
      <c r="J788" t="n">
        <v>0</v>
      </c>
      <c r="K788" t="n">
        <v>0</v>
      </c>
      <c r="L788" t="n">
        <v>0</v>
      </c>
      <c r="M788" t="n">
        <v>0</v>
      </c>
      <c r="N788" t="n">
        <v>0</v>
      </c>
      <c r="O788" t="n">
        <v>0</v>
      </c>
      <c r="P788" t="n">
        <v>0</v>
      </c>
      <c r="Q788" t="n">
        <v>0</v>
      </c>
      <c r="R788" s="2" t="inlineStr"/>
    </row>
    <row r="789" ht="15" customHeight="1">
      <c r="A789" t="inlineStr">
        <is>
          <t>A 16089-2025</t>
        </is>
      </c>
      <c r="B789" s="1" t="n">
        <v>45749.84232638889</v>
      </c>
      <c r="C789" s="1" t="n">
        <v>46076</v>
      </c>
      <c r="D789" t="inlineStr">
        <is>
          <t>UPPSALA LÄN</t>
        </is>
      </c>
      <c r="E789" t="inlineStr">
        <is>
          <t>ÖSTHAMMAR</t>
        </is>
      </c>
      <c r="F789" t="inlineStr">
        <is>
          <t>Bergvik skog öst AB</t>
        </is>
      </c>
      <c r="G789" t="n">
        <v>2.6</v>
      </c>
      <c r="H789" t="n">
        <v>0</v>
      </c>
      <c r="I789" t="n">
        <v>0</v>
      </c>
      <c r="J789" t="n">
        <v>0</v>
      </c>
      <c r="K789" t="n">
        <v>0</v>
      </c>
      <c r="L789" t="n">
        <v>0</v>
      </c>
      <c r="M789" t="n">
        <v>0</v>
      </c>
      <c r="N789" t="n">
        <v>0</v>
      </c>
      <c r="O789" t="n">
        <v>0</v>
      </c>
      <c r="P789" t="n">
        <v>0</v>
      </c>
      <c r="Q789" t="n">
        <v>0</v>
      </c>
      <c r="R789" s="2" t="inlineStr"/>
    </row>
    <row r="790" ht="15" customHeight="1">
      <c r="A790" t="inlineStr">
        <is>
          <t>A 14170-2025</t>
        </is>
      </c>
      <c r="B790" s="1" t="n">
        <v>45740.51895833333</v>
      </c>
      <c r="C790" s="1" t="n">
        <v>46076</v>
      </c>
      <c r="D790" t="inlineStr">
        <is>
          <t>UPPSALA LÄN</t>
        </is>
      </c>
      <c r="E790" t="inlineStr">
        <is>
          <t>ÖSTHAMMAR</t>
        </is>
      </c>
      <c r="G790" t="n">
        <v>1.2</v>
      </c>
      <c r="H790" t="n">
        <v>0</v>
      </c>
      <c r="I790" t="n">
        <v>0</v>
      </c>
      <c r="J790" t="n">
        <v>0</v>
      </c>
      <c r="K790" t="n">
        <v>0</v>
      </c>
      <c r="L790" t="n">
        <v>0</v>
      </c>
      <c r="M790" t="n">
        <v>0</v>
      </c>
      <c r="N790" t="n">
        <v>0</v>
      </c>
      <c r="O790" t="n">
        <v>0</v>
      </c>
      <c r="P790" t="n">
        <v>0</v>
      </c>
      <c r="Q790" t="n">
        <v>0</v>
      </c>
      <c r="R790" s="2" t="inlineStr"/>
    </row>
    <row r="791" ht="15" customHeight="1">
      <c r="A791" t="inlineStr">
        <is>
          <t>A 58297-2024</t>
        </is>
      </c>
      <c r="B791" s="1" t="n">
        <v>45632.59780092593</v>
      </c>
      <c r="C791" s="1" t="n">
        <v>46076</v>
      </c>
      <c r="D791" t="inlineStr">
        <is>
          <t>UPPSALA LÄN</t>
        </is>
      </c>
      <c r="E791" t="inlineStr">
        <is>
          <t>ÖSTHAMMAR</t>
        </is>
      </c>
      <c r="G791" t="n">
        <v>5.1</v>
      </c>
      <c r="H791" t="n">
        <v>0</v>
      </c>
      <c r="I791" t="n">
        <v>0</v>
      </c>
      <c r="J791" t="n">
        <v>0</v>
      </c>
      <c r="K791" t="n">
        <v>0</v>
      </c>
      <c r="L791" t="n">
        <v>0</v>
      </c>
      <c r="M791" t="n">
        <v>0</v>
      </c>
      <c r="N791" t="n">
        <v>0</v>
      </c>
      <c r="O791" t="n">
        <v>0</v>
      </c>
      <c r="P791" t="n">
        <v>0</v>
      </c>
      <c r="Q791" t="n">
        <v>0</v>
      </c>
      <c r="R791" s="2" t="inlineStr"/>
    </row>
    <row r="792" ht="15" customHeight="1">
      <c r="A792" t="inlineStr">
        <is>
          <t>A 26330-2025</t>
        </is>
      </c>
      <c r="B792" s="1" t="n">
        <v>45805.68263888889</v>
      </c>
      <c r="C792" s="1" t="n">
        <v>46076</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26319-2025</t>
        </is>
      </c>
      <c r="B793" s="1" t="n">
        <v>45805.65960648148</v>
      </c>
      <c r="C793" s="1" t="n">
        <v>46076</v>
      </c>
      <c r="D793" t="inlineStr">
        <is>
          <t>UPPSALA LÄN</t>
        </is>
      </c>
      <c r="E793" t="inlineStr">
        <is>
          <t>ÖSTHAMMAR</t>
        </is>
      </c>
      <c r="G793" t="n">
        <v>1</v>
      </c>
      <c r="H793" t="n">
        <v>0</v>
      </c>
      <c r="I793" t="n">
        <v>0</v>
      </c>
      <c r="J793" t="n">
        <v>0</v>
      </c>
      <c r="K793" t="n">
        <v>0</v>
      </c>
      <c r="L793" t="n">
        <v>0</v>
      </c>
      <c r="M793" t="n">
        <v>0</v>
      </c>
      <c r="N793" t="n">
        <v>0</v>
      </c>
      <c r="O793" t="n">
        <v>0</v>
      </c>
      <c r="P793" t="n">
        <v>0</v>
      </c>
      <c r="Q793" t="n">
        <v>0</v>
      </c>
      <c r="R793" s="2" t="inlineStr"/>
    </row>
    <row r="794" ht="15" customHeight="1">
      <c r="A794" t="inlineStr">
        <is>
          <t>A 26055-2025</t>
        </is>
      </c>
      <c r="B794" s="1" t="n">
        <v>45804.77559027778</v>
      </c>
      <c r="C794" s="1" t="n">
        <v>46076</v>
      </c>
      <c r="D794" t="inlineStr">
        <is>
          <t>UPPSALA LÄN</t>
        </is>
      </c>
      <c r="E794" t="inlineStr">
        <is>
          <t>ÖSTHAMMAR</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26521-2025</t>
        </is>
      </c>
      <c r="B795" s="1" t="n">
        <v>45807.56275462963</v>
      </c>
      <c r="C795" s="1" t="n">
        <v>46076</v>
      </c>
      <c r="D795" t="inlineStr">
        <is>
          <t>UPPSALA LÄN</t>
        </is>
      </c>
      <c r="E795" t="inlineStr">
        <is>
          <t>ÖSTHAMMAR</t>
        </is>
      </c>
      <c r="G795" t="n">
        <v>1.1</v>
      </c>
      <c r="H795" t="n">
        <v>0</v>
      </c>
      <c r="I795" t="n">
        <v>0</v>
      </c>
      <c r="J795" t="n">
        <v>0</v>
      </c>
      <c r="K795" t="n">
        <v>0</v>
      </c>
      <c r="L795" t="n">
        <v>0</v>
      </c>
      <c r="M795" t="n">
        <v>0</v>
      </c>
      <c r="N795" t="n">
        <v>0</v>
      </c>
      <c r="O795" t="n">
        <v>0</v>
      </c>
      <c r="P795" t="n">
        <v>0</v>
      </c>
      <c r="Q795" t="n">
        <v>0</v>
      </c>
      <c r="R795" s="2" t="inlineStr"/>
    </row>
    <row r="796" ht="15" customHeight="1">
      <c r="A796" t="inlineStr">
        <is>
          <t>A 26526-2025</t>
        </is>
      </c>
      <c r="B796" s="1" t="n">
        <v>45807.56612268519</v>
      </c>
      <c r="C796" s="1" t="n">
        <v>46076</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27131-2025</t>
        </is>
      </c>
      <c r="B797" s="1" t="n">
        <v>45811</v>
      </c>
      <c r="C797" s="1" t="n">
        <v>46076</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27132-2025</t>
        </is>
      </c>
      <c r="B798" s="1" t="n">
        <v>45811</v>
      </c>
      <c r="C798" s="1" t="n">
        <v>46076</v>
      </c>
      <c r="D798" t="inlineStr">
        <is>
          <t>UPPSALA LÄN</t>
        </is>
      </c>
      <c r="E798" t="inlineStr">
        <is>
          <t>ÖSTHAMMAR</t>
        </is>
      </c>
      <c r="G798" t="n">
        <v>2.3</v>
      </c>
      <c r="H798" t="n">
        <v>0</v>
      </c>
      <c r="I798" t="n">
        <v>0</v>
      </c>
      <c r="J798" t="n">
        <v>0</v>
      </c>
      <c r="K798" t="n">
        <v>0</v>
      </c>
      <c r="L798" t="n">
        <v>0</v>
      </c>
      <c r="M798" t="n">
        <v>0</v>
      </c>
      <c r="N798" t="n">
        <v>0</v>
      </c>
      <c r="O798" t="n">
        <v>0</v>
      </c>
      <c r="P798" t="n">
        <v>0</v>
      </c>
      <c r="Q798" t="n">
        <v>0</v>
      </c>
      <c r="R798" s="2" t="inlineStr"/>
    </row>
    <row r="799" ht="15" customHeight="1">
      <c r="A799" t="inlineStr">
        <is>
          <t>A 27058-2025</t>
        </is>
      </c>
      <c r="B799" s="1" t="n">
        <v>45811.63436342592</v>
      </c>
      <c r="C799" s="1" t="n">
        <v>46076</v>
      </c>
      <c r="D799" t="inlineStr">
        <is>
          <t>UPPSALA LÄN</t>
        </is>
      </c>
      <c r="E799" t="inlineStr">
        <is>
          <t>ÖSTHAMMAR</t>
        </is>
      </c>
      <c r="F799" t="inlineStr">
        <is>
          <t>Bergvik skog öst AB</t>
        </is>
      </c>
      <c r="G799" t="n">
        <v>5.7</v>
      </c>
      <c r="H799" t="n">
        <v>0</v>
      </c>
      <c r="I799" t="n">
        <v>0</v>
      </c>
      <c r="J799" t="n">
        <v>0</v>
      </c>
      <c r="K799" t="n">
        <v>0</v>
      </c>
      <c r="L799" t="n">
        <v>0</v>
      </c>
      <c r="M799" t="n">
        <v>0</v>
      </c>
      <c r="N799" t="n">
        <v>0</v>
      </c>
      <c r="O799" t="n">
        <v>0</v>
      </c>
      <c r="P799" t="n">
        <v>0</v>
      </c>
      <c r="Q799" t="n">
        <v>0</v>
      </c>
      <c r="R799" s="2" t="inlineStr"/>
    </row>
    <row r="800" ht="15" customHeight="1">
      <c r="A800" t="inlineStr">
        <is>
          <t>A 27347-2025</t>
        </is>
      </c>
      <c r="B800" s="1" t="n">
        <v>45812.62390046296</v>
      </c>
      <c r="C800" s="1" t="n">
        <v>46076</v>
      </c>
      <c r="D800" t="inlineStr">
        <is>
          <t>UPPSALA LÄN</t>
        </is>
      </c>
      <c r="E800" t="inlineStr">
        <is>
          <t>ÖSTHAMMAR</t>
        </is>
      </c>
      <c r="G800" t="n">
        <v>0.4</v>
      </c>
      <c r="H800" t="n">
        <v>0</v>
      </c>
      <c r="I800" t="n">
        <v>0</v>
      </c>
      <c r="J800" t="n">
        <v>0</v>
      </c>
      <c r="K800" t="n">
        <v>0</v>
      </c>
      <c r="L800" t="n">
        <v>0</v>
      </c>
      <c r="M800" t="n">
        <v>0</v>
      </c>
      <c r="N800" t="n">
        <v>0</v>
      </c>
      <c r="O800" t="n">
        <v>0</v>
      </c>
      <c r="P800" t="n">
        <v>0</v>
      </c>
      <c r="Q800" t="n">
        <v>0</v>
      </c>
      <c r="R800" s="2" t="inlineStr"/>
    </row>
    <row r="801" ht="15" customHeight="1">
      <c r="A801" t="inlineStr">
        <is>
          <t>A 27392-2025</t>
        </is>
      </c>
      <c r="B801" s="1" t="n">
        <v>45812.68268518519</v>
      </c>
      <c r="C801" s="1" t="n">
        <v>46076</v>
      </c>
      <c r="D801" t="inlineStr">
        <is>
          <t>UPPSALA LÄN</t>
        </is>
      </c>
      <c r="E801" t="inlineStr">
        <is>
          <t>ÖSTHAMMAR</t>
        </is>
      </c>
      <c r="F801" t="inlineStr">
        <is>
          <t>Bergvik skog öst AB</t>
        </is>
      </c>
      <c r="G801" t="n">
        <v>2.1</v>
      </c>
      <c r="H801" t="n">
        <v>0</v>
      </c>
      <c r="I801" t="n">
        <v>0</v>
      </c>
      <c r="J801" t="n">
        <v>0</v>
      </c>
      <c r="K801" t="n">
        <v>0</v>
      </c>
      <c r="L801" t="n">
        <v>0</v>
      </c>
      <c r="M801" t="n">
        <v>0</v>
      </c>
      <c r="N801" t="n">
        <v>0</v>
      </c>
      <c r="O801" t="n">
        <v>0</v>
      </c>
      <c r="P801" t="n">
        <v>0</v>
      </c>
      <c r="Q801" t="n">
        <v>0</v>
      </c>
      <c r="R801" s="2" t="inlineStr"/>
    </row>
    <row r="802" ht="15" customHeight="1">
      <c r="A802" t="inlineStr">
        <is>
          <t>A 27352-2025</t>
        </is>
      </c>
      <c r="B802" s="1" t="n">
        <v>45812.62694444445</v>
      </c>
      <c r="C802" s="1" t="n">
        <v>46076</v>
      </c>
      <c r="D802" t="inlineStr">
        <is>
          <t>UPPSALA LÄN</t>
        </is>
      </c>
      <c r="E802" t="inlineStr">
        <is>
          <t>ÖSTHAMMAR</t>
        </is>
      </c>
      <c r="G802" t="n">
        <v>2.5</v>
      </c>
      <c r="H802" t="n">
        <v>0</v>
      </c>
      <c r="I802" t="n">
        <v>0</v>
      </c>
      <c r="J802" t="n">
        <v>0</v>
      </c>
      <c r="K802" t="n">
        <v>0</v>
      </c>
      <c r="L802" t="n">
        <v>0</v>
      </c>
      <c r="M802" t="n">
        <v>0</v>
      </c>
      <c r="N802" t="n">
        <v>0</v>
      </c>
      <c r="O802" t="n">
        <v>0</v>
      </c>
      <c r="P802" t="n">
        <v>0</v>
      </c>
      <c r="Q802" t="n">
        <v>0</v>
      </c>
      <c r="R802" s="2" t="inlineStr"/>
    </row>
    <row r="803" ht="15" customHeight="1">
      <c r="A803" t="inlineStr">
        <is>
          <t>A 27350-2025</t>
        </is>
      </c>
      <c r="B803" s="1" t="n">
        <v>45812.62571759259</v>
      </c>
      <c r="C803" s="1" t="n">
        <v>46076</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27383-2025</t>
        </is>
      </c>
      <c r="B804" s="1" t="n">
        <v>45812.66628472223</v>
      </c>
      <c r="C804" s="1" t="n">
        <v>46076</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27385-2025</t>
        </is>
      </c>
      <c r="B805" s="1" t="n">
        <v>45812.66829861111</v>
      </c>
      <c r="C805" s="1" t="n">
        <v>46076</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27395-2025</t>
        </is>
      </c>
      <c r="B806" s="1" t="n">
        <v>45812.6850462963</v>
      </c>
      <c r="C806" s="1" t="n">
        <v>46076</v>
      </c>
      <c r="D806" t="inlineStr">
        <is>
          <t>UPPSALA LÄN</t>
        </is>
      </c>
      <c r="E806" t="inlineStr">
        <is>
          <t>ÖSTHAMMAR</t>
        </is>
      </c>
      <c r="F806" t="inlineStr">
        <is>
          <t>Bergvik skog öst AB</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27563-2025</t>
        </is>
      </c>
      <c r="B807" s="1" t="n">
        <v>45813.48471064815</v>
      </c>
      <c r="C807" s="1" t="n">
        <v>46076</v>
      </c>
      <c r="D807" t="inlineStr">
        <is>
          <t>UPPSALA LÄN</t>
        </is>
      </c>
      <c r="E807" t="inlineStr">
        <is>
          <t>ÖSTHAMMAR</t>
        </is>
      </c>
      <c r="F807" t="inlineStr">
        <is>
          <t>Bergvik skog öst AB</t>
        </is>
      </c>
      <c r="G807" t="n">
        <v>4</v>
      </c>
      <c r="H807" t="n">
        <v>0</v>
      </c>
      <c r="I807" t="n">
        <v>0</v>
      </c>
      <c r="J807" t="n">
        <v>0</v>
      </c>
      <c r="K807" t="n">
        <v>0</v>
      </c>
      <c r="L807" t="n">
        <v>0</v>
      </c>
      <c r="M807" t="n">
        <v>0</v>
      </c>
      <c r="N807" t="n">
        <v>0</v>
      </c>
      <c r="O807" t="n">
        <v>0</v>
      </c>
      <c r="P807" t="n">
        <v>0</v>
      </c>
      <c r="Q807" t="n">
        <v>0</v>
      </c>
      <c r="R807" s="2" t="inlineStr"/>
    </row>
    <row r="808" ht="15" customHeight="1">
      <c r="A808" t="inlineStr">
        <is>
          <t>A 27919-2025</t>
        </is>
      </c>
      <c r="B808" s="1" t="n">
        <v>45817.48384259259</v>
      </c>
      <c r="C808" s="1" t="n">
        <v>46076</v>
      </c>
      <c r="D808" t="inlineStr">
        <is>
          <t>UPPSALA LÄN</t>
        </is>
      </c>
      <c r="E808" t="inlineStr">
        <is>
          <t>ÖSTHAMMAR</t>
        </is>
      </c>
      <c r="F808" t="inlineStr">
        <is>
          <t>Bergvik skog öst AB</t>
        </is>
      </c>
      <c r="G808" t="n">
        <v>3.5</v>
      </c>
      <c r="H808" t="n">
        <v>0</v>
      </c>
      <c r="I808" t="n">
        <v>0</v>
      </c>
      <c r="J808" t="n">
        <v>0</v>
      </c>
      <c r="K808" t="n">
        <v>0</v>
      </c>
      <c r="L808" t="n">
        <v>0</v>
      </c>
      <c r="M808" t="n">
        <v>0</v>
      </c>
      <c r="N808" t="n">
        <v>0</v>
      </c>
      <c r="O808" t="n">
        <v>0</v>
      </c>
      <c r="P808" t="n">
        <v>0</v>
      </c>
      <c r="Q808" t="n">
        <v>0</v>
      </c>
      <c r="R808" s="2" t="inlineStr"/>
    </row>
    <row r="809" ht="15" customHeight="1">
      <c r="A809" t="inlineStr">
        <is>
          <t>A 27853-2025</t>
        </is>
      </c>
      <c r="B809" s="1" t="n">
        <v>45817.40178240741</v>
      </c>
      <c r="C809" s="1" t="n">
        <v>46076</v>
      </c>
      <c r="D809" t="inlineStr">
        <is>
          <t>UPPSALA LÄN</t>
        </is>
      </c>
      <c r="E809" t="inlineStr">
        <is>
          <t>ÖSTHAMMAR</t>
        </is>
      </c>
      <c r="F809" t="inlineStr">
        <is>
          <t>Bergvik skog öst AB</t>
        </is>
      </c>
      <c r="G809" t="n">
        <v>1.4</v>
      </c>
      <c r="H809" t="n">
        <v>0</v>
      </c>
      <c r="I809" t="n">
        <v>0</v>
      </c>
      <c r="J809" t="n">
        <v>0</v>
      </c>
      <c r="K809" t="n">
        <v>0</v>
      </c>
      <c r="L809" t="n">
        <v>0</v>
      </c>
      <c r="M809" t="n">
        <v>0</v>
      </c>
      <c r="N809" t="n">
        <v>0</v>
      </c>
      <c r="O809" t="n">
        <v>0</v>
      </c>
      <c r="P809" t="n">
        <v>0</v>
      </c>
      <c r="Q809" t="n">
        <v>0</v>
      </c>
      <c r="R809" s="2" t="inlineStr"/>
    </row>
    <row r="810">
      <c r="A810" t="inlineStr">
        <is>
          <t>A 27812-2025</t>
        </is>
      </c>
      <c r="B810" s="1" t="n">
        <v>45817.32150462963</v>
      </c>
      <c r="C810" s="1" t="n">
        <v>46076</v>
      </c>
      <c r="D810" t="inlineStr">
        <is>
          <t>UPPSALA LÄN</t>
        </is>
      </c>
      <c r="E810" t="inlineStr">
        <is>
          <t>ÖSTHAMMAR</t>
        </is>
      </c>
      <c r="F810" t="inlineStr">
        <is>
          <t>Bergvik skog öst AB</t>
        </is>
      </c>
      <c r="G810" t="n">
        <v>1.8</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2026-02-23T11:05:31Z</dcterms:created>
  <dcterms:modified xmlns:dcterms="http://purl.org/dc/terms/" xmlns:xsi="http://www.w3.org/2001/XMLSchema-instance" xsi:type="dcterms:W3CDTF">2026-02-23T11:05:32Z</dcterms:modified>
</cp:coreProperties>
</file>