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46216</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46216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46216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46216</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46216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46216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46216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46216</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46216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46216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46216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46216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46216</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46216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46216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46216</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46216</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46216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46216</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46216</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46216</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46216</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46216</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46216</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46216</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46216</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221-2025</t>
        </is>
      </c>
      <c r="B28" t="inlineStr">
        <is>
          <t>avverkningsanmälan</t>
        </is>
      </c>
      <c r="C28" t="inlineStr">
        <is>
          <t>Föryngringsavverkning</t>
        </is>
      </c>
      <c r="D28" s="1" t="n">
        <v>45660</v>
      </c>
      <c r="E28" s="1" t="n">
        <v>46216</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s="2" t="inlineStr">
        <is>
          <t>Gul taggsvamp
Fjällig taggsvamp s.str.
Motaggsvamp
Talltita
Ullticka
Grön sköldmossa
Korallblylav
Rödgul trumpetsvamp
Blåsippa
Tallbit
Kungsfågel</t>
        </is>
      </c>
      <c r="V28">
        <f>HYPERLINK("https://klasma.github.io/Logging_0382/artfynd/A 221-2025 artfynd.xlsx", "A 221-2025")</f>
        <v/>
      </c>
      <c r="W28">
        <f>HYPERLINK("https://klasma.github.io/Logging_0382/kartor/A 221-2025 karta.png", "A 221-2025")</f>
        <v/>
      </c>
      <c r="Y28">
        <f>HYPERLINK("https://klasma.github.io/Logging_0382/klagomål/A 221-2025 FSC-klagomål.docx", "A 221-2025")</f>
        <v/>
      </c>
      <c r="Z28">
        <f>HYPERLINK("https://klasma.github.io/Logging_0382/klagomålsmail/A 221-2025 FSC-klagomål mail.docx", "A 221-2025")</f>
        <v/>
      </c>
      <c r="AA28">
        <f>HYPERLINK("https://klasma.github.io/Logging_0382/tillsyn/A 221-2025 tillsynsbegäran.docx", "A 221-2025")</f>
        <v/>
      </c>
      <c r="AB28">
        <f>HYPERLINK("https://klasma.github.io/Logging_0382/tillsynsmail/A 221-2025 tillsynsbegäran mail.docx", "A 221-2025")</f>
        <v/>
      </c>
      <c r="AC28">
        <f>HYPERLINK("https://klasma.github.io/Logging_0382/fåglar/A 221-2025 prioriterade fågelarter.docx", "A 221-2025")</f>
        <v/>
      </c>
    </row>
    <row r="29" ht="15" customHeight="1">
      <c r="A29" t="inlineStr">
        <is>
          <t>A 1783-2023</t>
        </is>
      </c>
      <c r="B29" t="inlineStr">
        <is>
          <t>avverkningsanmälan</t>
        </is>
      </c>
      <c r="C29" t="inlineStr">
        <is>
          <t>Föryngringsavverkning</t>
        </is>
      </c>
      <c r="D29" s="1" t="n">
        <v>44938</v>
      </c>
      <c r="E29" s="1" t="n">
        <v>46216</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s="2" t="inlineStr">
        <is>
          <t>Fjällfotad fingersvamp
Knärot
Lappuggla
Gultoppig fingersvamp
Sårläka
Tallticka
Tretåig hackspett
Skogsknipprot
Tibast
Tvåblad
Fläcknycklar</t>
        </is>
      </c>
      <c r="V29">
        <f>HYPERLINK("https://klasma.github.io/Logging_0382/artfynd/A 1783-2023 artfynd.xlsx", "A 1783-2023")</f>
        <v/>
      </c>
      <c r="W29">
        <f>HYPERLINK("https://klasma.github.io/Logging_0382/kartor/A 1783-2023 karta.png", "A 1783-2023")</f>
        <v/>
      </c>
      <c r="X29">
        <f>HYPERLINK("https://klasma.github.io/Logging_0382/knärot/A 1783-2023 karta knärot.png", "A 1783-2023")</f>
        <v/>
      </c>
      <c r="Y29">
        <f>HYPERLINK("https://klasma.github.io/Logging_0382/klagomål/A 1783-2023 FSC-klagomål.docx", "A 1783-2023")</f>
        <v/>
      </c>
      <c r="Z29">
        <f>HYPERLINK("https://klasma.github.io/Logging_0382/klagomålsmail/A 1783-2023 FSC-klagomål mail.docx", "A 1783-2023")</f>
        <v/>
      </c>
      <c r="AA29">
        <f>HYPERLINK("https://klasma.github.io/Logging_0382/tillsyn/A 1783-2023 tillsynsbegäran.docx", "A 1783-2023")</f>
        <v/>
      </c>
      <c r="AB29">
        <f>HYPERLINK("https://klasma.github.io/Logging_0382/tillsynsmail/A 1783-2023 tillsynsbegäran mail.docx", "A 1783-2023")</f>
        <v/>
      </c>
      <c r="AC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46216</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s="2" t="inlineStr">
        <is>
          <t>Knärot
Ullticka
Vedtrappmossa
Bronshjon
Grön sköldmossa
Gullgröppa
Rödgul trumpetsvamp
Stubbspretmossa
Vågbandad barkbock
Blåsippa
Spillkråka</t>
        </is>
      </c>
      <c r="V30">
        <f>HYPERLINK("https://klasma.github.io/Logging_0382/artfynd/A 55518-2024 artfynd.xlsx", "A 55518-2024")</f>
        <v/>
      </c>
      <c r="W30">
        <f>HYPERLINK("https://klasma.github.io/Logging_0382/kartor/A 55518-2024 karta.png", "A 55518-2024")</f>
        <v/>
      </c>
      <c r="X30">
        <f>HYPERLINK("https://klasma.github.io/Logging_0382/knärot/A 55518-2024 karta knärot.png", "A 55518-2024")</f>
        <v/>
      </c>
      <c r="Y30">
        <f>HYPERLINK("https://klasma.github.io/Logging_0382/klagomål/A 55518-2024 FSC-klagomål.docx", "A 55518-2024")</f>
        <v/>
      </c>
      <c r="Z30">
        <f>HYPERLINK("https://klasma.github.io/Logging_0382/klagomålsmail/A 55518-2024 FSC-klagomål mail.docx", "A 55518-2024")</f>
        <v/>
      </c>
      <c r="AA30">
        <f>HYPERLINK("https://klasma.github.io/Logging_0382/tillsyn/A 55518-2024 tillsynsbegäran.docx", "A 55518-2024")</f>
        <v/>
      </c>
      <c r="AB30">
        <f>HYPERLINK("https://klasma.github.io/Logging_0382/tillsynsmail/A 55518-2024 tillsynsbegäran mail.docx", "A 55518-2024")</f>
        <v/>
      </c>
      <c r="AC30">
        <f>HYPERLINK("https://klasma.github.io/Logging_0382/fåglar/A 55518-2024 prioriterade fågelarter.docx", "A 55518-2024")</f>
        <v/>
      </c>
    </row>
    <row r="31" ht="15" customHeight="1">
      <c r="A31" t="inlineStr">
        <is>
          <t>A 63054-2025</t>
        </is>
      </c>
      <c r="B31" t="inlineStr">
        <is>
          <t>avverkningsanmälan</t>
        </is>
      </c>
      <c r="C31" t="inlineStr">
        <is>
          <t>Föryngringsavverkning</t>
        </is>
      </c>
      <c r="D31" s="1" t="n">
        <v>46009</v>
      </c>
      <c r="E31" s="1" t="n">
        <v>46216</v>
      </c>
      <c r="F31" t="inlineStr">
        <is>
          <t>UPPSALA LÄN</t>
        </is>
      </c>
      <c r="G31" t="inlineStr">
        <is>
          <t>ÖSTHAMMAR</t>
        </is>
      </c>
      <c r="H31" t="inlineStr">
        <is>
          <t>Kyrkan</t>
        </is>
      </c>
      <c r="I31" t="n">
        <v>6.5</v>
      </c>
      <c r="J31" t="n">
        <v>2</v>
      </c>
      <c r="K31" t="n">
        <v>1</v>
      </c>
      <c r="L31" t="n">
        <v>6</v>
      </c>
      <c r="M31" t="n">
        <v>2</v>
      </c>
      <c r="N31" t="n">
        <v>1</v>
      </c>
      <c r="O31" t="n">
        <v>0</v>
      </c>
      <c r="P31" t="n">
        <v>0</v>
      </c>
      <c r="Q31" t="n">
        <v>9</v>
      </c>
      <c r="R31" t="n">
        <v>3</v>
      </c>
      <c r="S31" t="n">
        <v>11</v>
      </c>
      <c r="T31" t="n">
        <v>19</v>
      </c>
      <c r="U31" s="2" t="inlineStr">
        <is>
          <t>Violgubbe
Knärot
Läderdoftande fingersvamp
Blek fingersvamp
Fjällig taggsvamp s.str.
Gultoppig fingersvamp
Kortskaftad ärgspik
Vedtrappmossa
Vågticka
Svavelriska
Blåsippa</t>
        </is>
      </c>
      <c r="V31">
        <f>HYPERLINK("https://klasma.github.io/Logging_0382/artfynd/A 63054-2025 artfynd.xlsx", "A 63054-2025")</f>
        <v/>
      </c>
      <c r="W31">
        <f>HYPERLINK("https://klasma.github.io/Logging_0382/kartor/A 63054-2025 karta.png", "A 63054-2025")</f>
        <v/>
      </c>
      <c r="X31">
        <f>HYPERLINK("https://klasma.github.io/Logging_0382/knärot/A 63054-2025 karta knärot.png", "A 63054-2025")</f>
        <v/>
      </c>
      <c r="Y31">
        <f>HYPERLINK("https://klasma.github.io/Logging_0382/klagomål/A 63054-2025 FSC-klagomål.docx", "A 63054-2025")</f>
        <v/>
      </c>
      <c r="Z31">
        <f>HYPERLINK("https://klasma.github.io/Logging_0382/klagomålsmail/A 63054-2025 FSC-klagomål mail.docx", "A 63054-2025")</f>
        <v/>
      </c>
      <c r="AA31">
        <f>HYPERLINK("https://klasma.github.io/Logging_0382/tillsyn/A 63054-2025 tillsynsbegäran.docx", "A 63054-2025")</f>
        <v/>
      </c>
      <c r="AB31">
        <f>HYPERLINK("https://klasma.github.io/Logging_0382/tillsynsmail/A 63054-2025 tillsynsbegäran mail.docx", "A 63054-2025")</f>
        <v/>
      </c>
    </row>
    <row r="32" ht="15" customHeight="1">
      <c r="A32" t="inlineStr">
        <is>
          <t>A 23496-2023</t>
        </is>
      </c>
      <c r="B32" t="inlineStr">
        <is>
          <t>avverkningsanmälan</t>
        </is>
      </c>
      <c r="C32" t="inlineStr">
        <is>
          <t>Föryngringsavverkning</t>
        </is>
      </c>
      <c r="D32" s="1" t="n">
        <v>45076</v>
      </c>
      <c r="E32" s="1" t="n">
        <v>46216</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s="2" t="inlineStr">
        <is>
          <t>Grönfink
Tornseglare
Gulsparv
Järnsparv
Sädesärla
Talltita
Grönsiska
Kungsfågel
Svartvit flugsnappare
Sävsparv
Sångsvan</t>
        </is>
      </c>
      <c r="V32">
        <f>HYPERLINK("https://klasma.github.io/Logging_0382/artfynd/A 23496-2023 artfynd.xlsx", "A 23496-2023")</f>
        <v/>
      </c>
      <c r="W32">
        <f>HYPERLINK("https://klasma.github.io/Logging_0382/kartor/A 23496-2023 karta.png", "A 23496-2023")</f>
        <v/>
      </c>
      <c r="Y32">
        <f>HYPERLINK("https://klasma.github.io/Logging_0382/klagomål/A 23496-2023 FSC-klagomål.docx", "A 23496-2023")</f>
        <v/>
      </c>
      <c r="Z32">
        <f>HYPERLINK("https://klasma.github.io/Logging_0382/klagomålsmail/A 23496-2023 FSC-klagomål mail.docx", "A 23496-2023")</f>
        <v/>
      </c>
      <c r="AA32">
        <f>HYPERLINK("https://klasma.github.io/Logging_0382/tillsyn/A 23496-2023 tillsynsbegäran.docx", "A 23496-2023")</f>
        <v/>
      </c>
      <c r="AB32">
        <f>HYPERLINK("https://klasma.github.io/Logging_0382/tillsynsmail/A 23496-2023 tillsynsbegäran mail.docx", "A 23496-2023")</f>
        <v/>
      </c>
      <c r="AC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46216</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46216</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s="2" t="inlineStr">
        <is>
          <t>Rödvingetrast
Talltita
Bronshjon
Mörk husmossa
Nästrot
Tvåblad
Blåsippa
Brudborste
Ormbär
Nattviol</t>
        </is>
      </c>
      <c r="V34">
        <f>HYPERLINK("https://klasma.github.io/Logging_0382/artfynd/A 51154-2025 artfynd.xlsx", "A 51154-2025")</f>
        <v/>
      </c>
      <c r="W34">
        <f>HYPERLINK("https://klasma.github.io/Logging_0382/kartor/A 51154-2025 karta.png", "A 51154-2025")</f>
        <v/>
      </c>
      <c r="Y34">
        <f>HYPERLINK("https://klasma.github.io/Logging_0382/klagomål/A 51154-2025 FSC-klagomål.docx", "A 51154-2025")</f>
        <v/>
      </c>
      <c r="Z34">
        <f>HYPERLINK("https://klasma.github.io/Logging_0382/klagomålsmail/A 51154-2025 FSC-klagomål mail.docx", "A 51154-2025")</f>
        <v/>
      </c>
      <c r="AA34">
        <f>HYPERLINK("https://klasma.github.io/Logging_0382/tillsyn/A 51154-2025 tillsynsbegäran.docx", "A 51154-2025")</f>
        <v/>
      </c>
      <c r="AB34">
        <f>HYPERLINK("https://klasma.github.io/Logging_0382/tillsynsmail/A 51154-2025 tillsynsbegäran mail.docx", "A 51154-2025")</f>
        <v/>
      </c>
      <c r="AC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46216</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s="2" t="inlineStr">
        <is>
          <t>Violgubbe
Skarp dropptaggsvamp
Sårläka
Äggspindling
Anisspindling
Brun klibbskivling
Grönkulla
Kalktallört
Spindelblomster
Svavelriska</t>
        </is>
      </c>
      <c r="V35">
        <f>HYPERLINK("https://klasma.github.io/Logging_0382/artfynd/A 31207-2022 artfynd.xlsx", "A 31207-2022")</f>
        <v/>
      </c>
      <c r="W35">
        <f>HYPERLINK("https://klasma.github.io/Logging_0382/kartor/A 31207-2022 karta.png", "A 31207-2022")</f>
        <v/>
      </c>
      <c r="Y35">
        <f>HYPERLINK("https://klasma.github.io/Logging_0382/klagomål/A 31207-2022 FSC-klagomål.docx", "A 31207-2022")</f>
        <v/>
      </c>
      <c r="Z35">
        <f>HYPERLINK("https://klasma.github.io/Logging_0382/klagomålsmail/A 31207-2022 FSC-klagomål mail.docx", "A 31207-2022")</f>
        <v/>
      </c>
      <c r="AA35">
        <f>HYPERLINK("https://klasma.github.io/Logging_0382/tillsyn/A 31207-2022 tillsynsbegäran.docx", "A 31207-2022")</f>
        <v/>
      </c>
      <c r="AB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46216</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s="2" t="inlineStr">
        <is>
          <t>Hussvala
Grönsångare
Gulsparv
Järnsparv
Skrattmås
Grön sköldmossa
Grönsiska
Kungsfågel
Törnskata
Ärtsångare</t>
        </is>
      </c>
      <c r="V36">
        <f>HYPERLINK("https://klasma.github.io/Logging_0382/artfynd/A 46204-2023 artfynd.xlsx", "A 46204-2023")</f>
        <v/>
      </c>
      <c r="W36">
        <f>HYPERLINK("https://klasma.github.io/Logging_0382/kartor/A 46204-2023 karta.png", "A 46204-2023")</f>
        <v/>
      </c>
      <c r="Y36">
        <f>HYPERLINK("https://klasma.github.io/Logging_0382/klagomål/A 46204-2023 FSC-klagomål.docx", "A 46204-2023")</f>
        <v/>
      </c>
      <c r="Z36">
        <f>HYPERLINK("https://klasma.github.io/Logging_0382/klagomålsmail/A 46204-2023 FSC-klagomål mail.docx", "A 46204-2023")</f>
        <v/>
      </c>
      <c r="AA36">
        <f>HYPERLINK("https://klasma.github.io/Logging_0382/tillsyn/A 46204-2023 tillsynsbegäran.docx", "A 46204-2023")</f>
        <v/>
      </c>
      <c r="AB36">
        <f>HYPERLINK("https://klasma.github.io/Logging_0382/tillsynsmail/A 46204-2023 tillsynsbegäran mail.docx", "A 46204-2023")</f>
        <v/>
      </c>
      <c r="AC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46216</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HYPERLINK("https://klasma.github.io/Logging_0382/knärot/A 29832-2026 karta knärot.png", "A 29832-2026")</f>
        <v/>
      </c>
      <c r="Y37">
        <f>HYPERLINK("https://klasma.github.io/Logging_0382/klagomål/A 29832-2026 FSC-klagomål.docx", "A 29832-2026")</f>
        <v/>
      </c>
      <c r="Z37">
        <f>HYPERLINK("https://klasma.github.io/Logging_0382/klagomålsmail/A 29832-2026 FSC-klagomål mail.docx", "A 29832-2026")</f>
        <v/>
      </c>
      <c r="AA37">
        <f>HYPERLINK("https://klasma.github.io/Logging_0382/tillsyn/A 29832-2026 tillsynsbegäran.docx", "A 29832-2026")</f>
        <v/>
      </c>
      <c r="AB37">
        <f>HYPERLINK("https://klasma.github.io/Logging_0382/tillsynsmail/A 29832-2026 tillsynsbegäran mail.docx", "A 29832-2026")</f>
        <v/>
      </c>
      <c r="AC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46216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46216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46216</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46216</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s="2" t="inlineStr">
        <is>
          <t>Garnlav
Knärot
Kattfotslav
Grönpyrola
Vågbandad barkbock
Blåsippa
Spillkråka
Tjäder
Revlummer</t>
        </is>
      </c>
      <c r="V41">
        <f>HYPERLINK("https://klasma.github.io/Logging_0382/artfynd/A 39834-2025 artfynd.xlsx", "A 39834-2025")</f>
        <v/>
      </c>
      <c r="W41">
        <f>HYPERLINK("https://klasma.github.io/Logging_0382/kartor/A 39834-2025 karta.png", "A 39834-2025")</f>
        <v/>
      </c>
      <c r="X41">
        <f>HYPERLINK("https://klasma.github.io/Logging_0382/knärot/A 39834-2025 karta knärot.png", "A 39834-2025")</f>
        <v/>
      </c>
      <c r="Y41">
        <f>HYPERLINK("https://klasma.github.io/Logging_0382/klagomål/A 39834-2025 FSC-klagomål.docx", "A 39834-2025")</f>
        <v/>
      </c>
      <c r="Z41">
        <f>HYPERLINK("https://klasma.github.io/Logging_0382/klagomålsmail/A 39834-2025 FSC-klagomål mail.docx", "A 39834-2025")</f>
        <v/>
      </c>
      <c r="AA41">
        <f>HYPERLINK("https://klasma.github.io/Logging_0382/tillsyn/A 39834-2025 tillsynsbegäran.docx", "A 39834-2025")</f>
        <v/>
      </c>
      <c r="AB41">
        <f>HYPERLINK("https://klasma.github.io/Logging_0382/tillsynsmail/A 39834-2025 tillsynsbegäran mail.docx", "A 39834-2025")</f>
        <v/>
      </c>
      <c r="AC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46216</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HYPERLINK("https://klasma.github.io/Logging_0382/knärot/A 52808-2023 karta knärot.png", "A 52808-2023")</f>
        <v/>
      </c>
      <c r="Y42">
        <f>HYPERLINK("https://klasma.github.io/Logging_0382/klagomål/A 52808-2023 FSC-klagomål.docx", "A 52808-2023")</f>
        <v/>
      </c>
      <c r="Z42">
        <f>HYPERLINK("https://klasma.github.io/Logging_0382/klagomålsmail/A 52808-2023 FSC-klagomål mail.docx", "A 52808-2023")</f>
        <v/>
      </c>
      <c r="AA42">
        <f>HYPERLINK("https://klasma.github.io/Logging_0382/tillsyn/A 52808-2023 tillsynsbegäran.docx", "A 52808-2023")</f>
        <v/>
      </c>
      <c r="AB42">
        <f>HYPERLINK("https://klasma.github.io/Logging_0382/tillsynsmail/A 52808-2023 tillsynsbegäran mail.docx", "A 52808-2023")</f>
        <v/>
      </c>
      <c r="AC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46216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46216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46216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46216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46216</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s="2" t="inlineStr">
        <is>
          <t>Silverblåvinge
Ängsblåvinge
Gulpudrad spiklav
Sotlav
Svart trolldruva
Tibast
Blåsippa</t>
        </is>
      </c>
      <c r="V47">
        <f>HYPERLINK("https://klasma.github.io/Logging_0382/artfynd/A 55051-2021 artfynd.xlsx", "A 55051-2021")</f>
        <v/>
      </c>
      <c r="W47">
        <f>HYPERLINK("https://klasma.github.io/Logging_0382/kartor/A 55051-2021 karta.png", "A 55051-2021")</f>
        <v/>
      </c>
      <c r="Y47">
        <f>HYPERLINK("https://klasma.github.io/Logging_0382/klagomål/A 55051-2021 FSC-klagomål.docx", "A 55051-2021")</f>
        <v/>
      </c>
      <c r="Z47">
        <f>HYPERLINK("https://klasma.github.io/Logging_0382/klagomålsmail/A 55051-2021 FSC-klagomål mail.docx", "A 55051-2021")</f>
        <v/>
      </c>
      <c r="AA47">
        <f>HYPERLINK("https://klasma.github.io/Logging_0382/tillsyn/A 55051-2021 tillsynsbegäran.docx", "A 55051-2021")</f>
        <v/>
      </c>
      <c r="AB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46216</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s="2" t="inlineStr">
        <is>
          <t>Gyllenfingersvamp
Koppartaggsvamp
Skarp dropptaggsvamp
Äggspindling
Anisspindling
Olivspindling
Trådticka</t>
        </is>
      </c>
      <c r="V48">
        <f>HYPERLINK("https://klasma.github.io/Logging_0382/artfynd/A 9569-2026 artfynd.xlsx", "A 9569-2026")</f>
        <v/>
      </c>
      <c r="W48">
        <f>HYPERLINK("https://klasma.github.io/Logging_0382/kartor/A 9569-2026 karta.png", "A 9569-2026")</f>
        <v/>
      </c>
      <c r="Y48">
        <f>HYPERLINK("https://klasma.github.io/Logging_0382/klagomål/A 9569-2026 FSC-klagomål.docx", "A 9569-2026")</f>
        <v/>
      </c>
      <c r="Z48">
        <f>HYPERLINK("https://klasma.github.io/Logging_0382/klagomålsmail/A 9569-2026 FSC-klagomål mail.docx", "A 9569-2026")</f>
        <v/>
      </c>
      <c r="AA48">
        <f>HYPERLINK("https://klasma.github.io/Logging_0382/tillsyn/A 9569-2026 tillsynsbegäran.docx", "A 9569-2026")</f>
        <v/>
      </c>
      <c r="AB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46216</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s="2" t="inlineStr">
        <is>
          <t>Grönfink
Stare
Gulsparv
Buskskvätta
Svartvit flugsnappare
Törnskata
Ängsnycklar</t>
        </is>
      </c>
      <c r="V49">
        <f>HYPERLINK("https://klasma.github.io/Logging_0382/artfynd/A 43992-2022 artfynd.xlsx", "A 43992-2022")</f>
        <v/>
      </c>
      <c r="W49">
        <f>HYPERLINK("https://klasma.github.io/Logging_0382/kartor/A 43992-2022 karta.png", "A 43992-2022")</f>
        <v/>
      </c>
      <c r="Y49">
        <f>HYPERLINK("https://klasma.github.io/Logging_0382/klagomål/A 43992-2022 FSC-klagomål.docx", "A 43992-2022")</f>
        <v/>
      </c>
      <c r="Z49">
        <f>HYPERLINK("https://klasma.github.io/Logging_0382/klagomålsmail/A 43992-2022 FSC-klagomål mail.docx", "A 43992-2022")</f>
        <v/>
      </c>
      <c r="AA49">
        <f>HYPERLINK("https://klasma.github.io/Logging_0382/tillsyn/A 43992-2022 tillsynsbegäran.docx", "A 43992-2022")</f>
        <v/>
      </c>
      <c r="AB49">
        <f>HYPERLINK("https://klasma.github.io/Logging_0382/tillsynsmail/A 43992-2022 tillsynsbegäran mail.docx", "A 43992-2022")</f>
        <v/>
      </c>
      <c r="AC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46216</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s="2" t="inlineStr">
        <is>
          <t>Violgubbe
Gul lammticka
Kopparspindling
Läderdoftande fingersvamp
Orange taggsvamp
Kamjordstjärna
Olivspindling</t>
        </is>
      </c>
      <c r="V50">
        <f>HYPERLINK("https://klasma.github.io/Logging_0382/artfynd/A 33269-2025 artfynd.xlsx", "A 33269-2025")</f>
        <v/>
      </c>
      <c r="W50">
        <f>HYPERLINK("https://klasma.github.io/Logging_0382/kartor/A 33269-2025 karta.png", "A 33269-2025")</f>
        <v/>
      </c>
      <c r="Y50">
        <f>HYPERLINK("https://klasma.github.io/Logging_0382/klagomål/A 33269-2025 FSC-klagomål.docx", "A 33269-2025")</f>
        <v/>
      </c>
      <c r="Z50">
        <f>HYPERLINK("https://klasma.github.io/Logging_0382/klagomålsmail/A 33269-2025 FSC-klagomål mail.docx", "A 33269-2025")</f>
        <v/>
      </c>
      <c r="AA50">
        <f>HYPERLINK("https://klasma.github.io/Logging_0382/tillsyn/A 33269-2025 tillsynsbegäran.docx", "A 33269-2025")</f>
        <v/>
      </c>
      <c r="AB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46216</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s="2" t="inlineStr">
        <is>
          <t>Sårläka
Nästrot
Skogsknipprot
Tibast
Vågbandad barkbock
Blåsippa
Grönvit nattviol</t>
        </is>
      </c>
      <c r="V51">
        <f>HYPERLINK("https://klasma.github.io/Logging_0382/artfynd/A 46785-2023 artfynd.xlsx", "A 46785-2023")</f>
        <v/>
      </c>
      <c r="W51">
        <f>HYPERLINK("https://klasma.github.io/Logging_0382/kartor/A 46785-2023 karta.png", "A 46785-2023")</f>
        <v/>
      </c>
      <c r="Y51">
        <f>HYPERLINK("https://klasma.github.io/Logging_0382/klagomål/A 46785-2023 FSC-klagomål.docx", "A 46785-2023")</f>
        <v/>
      </c>
      <c r="Z51">
        <f>HYPERLINK("https://klasma.github.io/Logging_0382/klagomålsmail/A 46785-2023 FSC-klagomål mail.docx", "A 46785-2023")</f>
        <v/>
      </c>
      <c r="AA51">
        <f>HYPERLINK("https://klasma.github.io/Logging_0382/tillsyn/A 46785-2023 tillsynsbegäran.docx", "A 46785-2023")</f>
        <v/>
      </c>
      <c r="AB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46216</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s="2" t="inlineStr">
        <is>
          <t>Apelticka
Motaggsvamp
Skarp dropptaggsvamp
Tallticka
Vedskivlav
Nästlav
Revlummer</t>
        </is>
      </c>
      <c r="V52">
        <f>HYPERLINK("https://klasma.github.io/Logging_0382/artfynd/S 2766-2023 artfynd.xlsx", "S 2766-2023")</f>
        <v/>
      </c>
      <c r="W52">
        <f>HYPERLINK("https://klasma.github.io/Logging_0382/kartor/S 2766-2023 karta.png", "S 2766-2023")</f>
        <v/>
      </c>
      <c r="Y52">
        <f>HYPERLINK("https://klasma.github.io/Logging_0382/klagomål/S 2766-2023 FSC-klagomål.docx", "S 2766-2023")</f>
        <v/>
      </c>
      <c r="Z52">
        <f>HYPERLINK("https://klasma.github.io/Logging_0382/klagomålsmail/S 2766-2023 FSC-klagomål mail.docx", "S 2766-2023")</f>
        <v/>
      </c>
      <c r="AA52">
        <f>HYPERLINK("https://klasma.github.io/Logging_0382/tillsyn/S 2766-2023 tillsynsbegäran.docx", "S 2766-2023")</f>
        <v/>
      </c>
      <c r="AB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46216</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s="2" t="inlineStr">
        <is>
          <t>Talltita
Brandticka
Tibast
Blåsippa
Tjäder
Kungsfågel
Orre</t>
        </is>
      </c>
      <c r="V53">
        <f>HYPERLINK("https://klasma.github.io/Logging_0382/artfynd/S 522-2022 artfynd.xlsx", "S 522-2022")</f>
        <v/>
      </c>
      <c r="W53">
        <f>HYPERLINK("https://klasma.github.io/Logging_0382/kartor/S 522-2022 karta.png", "S 522-2022")</f>
        <v/>
      </c>
      <c r="Y53">
        <f>HYPERLINK("https://klasma.github.io/Logging_0382/klagomål/S 522-2022 FSC-klagomål.docx", "S 522-2022")</f>
        <v/>
      </c>
      <c r="Z53">
        <f>HYPERLINK("https://klasma.github.io/Logging_0382/klagomålsmail/S 522-2022 FSC-klagomål mail.docx", "S 522-2022")</f>
        <v/>
      </c>
      <c r="AA53">
        <f>HYPERLINK("https://klasma.github.io/Logging_0382/tillsyn/S 522-2022 tillsynsbegäran.docx", "S 522-2022")</f>
        <v/>
      </c>
      <c r="AB53">
        <f>HYPERLINK("https://klasma.github.io/Logging_0382/tillsynsmail/S 522-2022 tillsynsbegäran mail.docx", "S 522-2022")</f>
        <v/>
      </c>
      <c r="AC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46216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46216</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s="2" t="inlineStr">
        <is>
          <t>Grönsångare
Nordfladdermus
Sädesärla
Mindre flugsnappare
Dvärgpipistrell
Vattenfladdermus</t>
        </is>
      </c>
      <c r="V55">
        <f>HYPERLINK("https://klasma.github.io/Logging_0382/artfynd/A 26552-2022 artfynd.xlsx", "A 26552-2022")</f>
        <v/>
      </c>
      <c r="W55">
        <f>HYPERLINK("https://klasma.github.io/Logging_0382/kartor/A 26552-2022 karta.png", "A 26552-2022")</f>
        <v/>
      </c>
      <c r="Y55">
        <f>HYPERLINK("https://klasma.github.io/Logging_0382/klagomål/A 26552-2022 FSC-klagomål.docx", "A 26552-2022")</f>
        <v/>
      </c>
      <c r="Z55">
        <f>HYPERLINK("https://klasma.github.io/Logging_0382/klagomålsmail/A 26552-2022 FSC-klagomål mail.docx", "A 26552-2022")</f>
        <v/>
      </c>
      <c r="AA55">
        <f>HYPERLINK("https://klasma.github.io/Logging_0382/tillsyn/A 26552-2022 tillsynsbegäran.docx", "A 26552-2022")</f>
        <v/>
      </c>
      <c r="AB55">
        <f>HYPERLINK("https://klasma.github.io/Logging_0382/tillsynsmail/A 26552-2022 tillsynsbegäran mail.docx", "A 26552-2022")</f>
        <v/>
      </c>
      <c r="AC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46216</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s="2" t="inlineStr">
        <is>
          <t>Violgubbe
Knärot
Orange taggsvamp
Skogsknipprot
Tvåblad
Fläcknycklar</t>
        </is>
      </c>
      <c r="V56">
        <f>HYPERLINK("https://klasma.github.io/Logging_0382/artfynd/A 55492-2023 artfynd.xlsx", "A 55492-2023")</f>
        <v/>
      </c>
      <c r="W56">
        <f>HYPERLINK("https://klasma.github.io/Logging_0382/kartor/A 55492-2023 karta.png", "A 55492-2023")</f>
        <v/>
      </c>
      <c r="X56">
        <f>HYPERLINK("https://klasma.github.io/Logging_0382/knärot/A 55492-2023 karta knärot.png", "A 55492-2023")</f>
        <v/>
      </c>
      <c r="Y56">
        <f>HYPERLINK("https://klasma.github.io/Logging_0382/klagomål/A 55492-2023 FSC-klagomål.docx", "A 55492-2023")</f>
        <v/>
      </c>
      <c r="Z56">
        <f>HYPERLINK("https://klasma.github.io/Logging_0382/klagomålsmail/A 55492-2023 FSC-klagomål mail.docx", "A 55492-2023")</f>
        <v/>
      </c>
      <c r="AA56">
        <f>HYPERLINK("https://klasma.github.io/Logging_0382/tillsyn/A 55492-2023 tillsynsbegäran.docx", "A 55492-2023")</f>
        <v/>
      </c>
      <c r="AB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46216</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s="2" t="inlineStr">
        <is>
          <t>Koppartaggsvamp
Gul lammticka
Anisspindling
Kamjordstjärna
Olivspindling
Rödgul trumpetsvamp</t>
        </is>
      </c>
      <c r="V57">
        <f>HYPERLINK("https://klasma.github.io/Logging_0382/artfynd/A 24563-2022 artfynd.xlsx", "A 24563-2022")</f>
        <v/>
      </c>
      <c r="W57">
        <f>HYPERLINK("https://klasma.github.io/Logging_0382/kartor/A 24563-2022 karta.png", "A 24563-2022")</f>
        <v/>
      </c>
      <c r="Y57">
        <f>HYPERLINK("https://klasma.github.io/Logging_0382/klagomål/A 24563-2022 FSC-klagomål.docx", "A 24563-2022")</f>
        <v/>
      </c>
      <c r="Z57">
        <f>HYPERLINK("https://klasma.github.io/Logging_0382/klagomålsmail/A 24563-2022 FSC-klagomål mail.docx", "A 24563-2022")</f>
        <v/>
      </c>
      <c r="AA57">
        <f>HYPERLINK("https://klasma.github.io/Logging_0382/tillsyn/A 24563-2022 tillsynsbegäran.docx", "A 24563-2022")</f>
        <v/>
      </c>
      <c r="AB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46216</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s="2" t="inlineStr">
        <is>
          <t>Gul lammticka
Odörspindling
Sårläka
Nästrot
Zontaggsvamp
Gröngöling</t>
        </is>
      </c>
      <c r="V58">
        <f>HYPERLINK("https://klasma.github.io/Logging_0382/artfynd/A 48277-2023 artfynd.xlsx", "A 48277-2023")</f>
        <v/>
      </c>
      <c r="W58">
        <f>HYPERLINK("https://klasma.github.io/Logging_0382/kartor/A 48277-2023 karta.png", "A 48277-2023")</f>
        <v/>
      </c>
      <c r="Y58">
        <f>HYPERLINK("https://klasma.github.io/Logging_0382/klagomål/A 48277-2023 FSC-klagomål.docx", "A 48277-2023")</f>
        <v/>
      </c>
      <c r="Z58">
        <f>HYPERLINK("https://klasma.github.io/Logging_0382/klagomålsmail/A 48277-2023 FSC-klagomål mail.docx", "A 48277-2023")</f>
        <v/>
      </c>
      <c r="AA58">
        <f>HYPERLINK("https://klasma.github.io/Logging_0382/tillsyn/A 48277-2023 tillsynsbegäran.docx", "A 48277-2023")</f>
        <v/>
      </c>
      <c r="AB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46216</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46216</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46216</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46216</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Y62">
        <f>HYPERLINK("https://klasma.github.io/Logging_0382/klagomål/A 52650-2022 FSC-klagomål.docx", "A 52650-2022")</f>
        <v/>
      </c>
      <c r="Z62">
        <f>HYPERLINK("https://klasma.github.io/Logging_0382/klagomålsmail/A 52650-2022 FSC-klagomål mail.docx", "A 52650-2022")</f>
        <v/>
      </c>
      <c r="AA62">
        <f>HYPERLINK("https://klasma.github.io/Logging_0382/tillsyn/A 52650-2022 tillsynsbegäran.docx", "A 52650-2022")</f>
        <v/>
      </c>
      <c r="AB62">
        <f>HYPERLINK("https://klasma.github.io/Logging_0382/tillsynsmail/A 52650-2022 tillsynsbegäran mail.docx", "A 52650-2022")</f>
        <v/>
      </c>
      <c r="AC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46216</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s="2" t="inlineStr">
        <is>
          <t>Skogsalm
Myskmadra
Strävlosta
Underviol
Blåsippa</t>
        </is>
      </c>
      <c r="V63">
        <f>HYPERLINK("https://klasma.github.io/Logging_0382/artfynd/A 17004-2024 artfynd.xlsx", "A 17004-2024")</f>
        <v/>
      </c>
      <c r="W63">
        <f>HYPERLINK("https://klasma.github.io/Logging_0382/kartor/A 17004-2024 karta.png", "A 17004-2024")</f>
        <v/>
      </c>
      <c r="Y63">
        <f>HYPERLINK("https://klasma.github.io/Logging_0382/klagomål/A 17004-2024 FSC-klagomål.docx", "A 17004-2024")</f>
        <v/>
      </c>
      <c r="Z63">
        <f>HYPERLINK("https://klasma.github.io/Logging_0382/klagomålsmail/A 17004-2024 FSC-klagomål mail.docx", "A 17004-2024")</f>
        <v/>
      </c>
      <c r="AA63">
        <f>HYPERLINK("https://klasma.github.io/Logging_0382/tillsyn/A 17004-2024 tillsynsbegäran.docx", "A 17004-2024")</f>
        <v/>
      </c>
      <c r="AB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46216</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s="2" t="inlineStr">
        <is>
          <t>Stare
Tofsvipa
Gulsparv
Buskskvätta
Svartvit flugsnappare</t>
        </is>
      </c>
      <c r="V64">
        <f>HYPERLINK("https://klasma.github.io/Logging_0382/artfynd/A 24797-2022 artfynd.xlsx", "A 24797-2022")</f>
        <v/>
      </c>
      <c r="W64">
        <f>HYPERLINK("https://klasma.github.io/Logging_0382/kartor/A 24797-2022 karta.png", "A 24797-2022")</f>
        <v/>
      </c>
      <c r="Y64">
        <f>HYPERLINK("https://klasma.github.io/Logging_0382/klagomål/A 24797-2022 FSC-klagomål.docx", "A 24797-2022")</f>
        <v/>
      </c>
      <c r="Z64">
        <f>HYPERLINK("https://klasma.github.io/Logging_0382/klagomålsmail/A 24797-2022 FSC-klagomål mail.docx", "A 24797-2022")</f>
        <v/>
      </c>
      <c r="AA64">
        <f>HYPERLINK("https://klasma.github.io/Logging_0382/tillsyn/A 24797-2022 tillsynsbegäran.docx", "A 24797-2022")</f>
        <v/>
      </c>
      <c r="AB64">
        <f>HYPERLINK("https://klasma.github.io/Logging_0382/tillsynsmail/A 24797-2022 tillsynsbegäran mail.docx", "A 24797-2022")</f>
        <v/>
      </c>
      <c r="AC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46216</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s="2" t="inlineStr">
        <is>
          <t>Spricktaggsvamp
Grangråticka
Dropptaggsvamp
Grantaggsvamp
Brandmusseron</t>
        </is>
      </c>
      <c r="V65">
        <f>HYPERLINK("https://klasma.github.io/Logging_0382/artfynd/A 25179-2023 artfynd.xlsx", "A 25179-2023")</f>
        <v/>
      </c>
      <c r="W65">
        <f>HYPERLINK("https://klasma.github.io/Logging_0382/kartor/A 25179-2023 karta.png", "A 25179-2023")</f>
        <v/>
      </c>
      <c r="Y65">
        <f>HYPERLINK("https://klasma.github.io/Logging_0382/klagomål/A 25179-2023 FSC-klagomål.docx", "A 25179-2023")</f>
        <v/>
      </c>
      <c r="Z65">
        <f>HYPERLINK("https://klasma.github.io/Logging_0382/klagomålsmail/A 25179-2023 FSC-klagomål mail.docx", "A 25179-2023")</f>
        <v/>
      </c>
      <c r="AA65">
        <f>HYPERLINK("https://klasma.github.io/Logging_0382/tillsyn/A 25179-2023 tillsynsbegäran.docx", "A 25179-2023")</f>
        <v/>
      </c>
      <c r="AB65">
        <f>HYPERLINK("https://klasma.github.io/Logging_0382/tillsynsmail/A 25179-2023 tillsynsbegäran mail.docx", "A 25179-2023")</f>
        <v/>
      </c>
    </row>
    <row r="66" ht="15" customHeight="1">
      <c r="A66" t="inlineStr">
        <is>
          <t>A 26277-2024</t>
        </is>
      </c>
      <c r="B66" t="inlineStr">
        <is>
          <t>avverkningsanmälan</t>
        </is>
      </c>
      <c r="C66" t="inlineStr">
        <is>
          <t>Föryngringsavverkning</t>
        </is>
      </c>
      <c r="D66" s="1" t="n">
        <v>45468</v>
      </c>
      <c r="E66" s="1" t="n">
        <v>46216</v>
      </c>
      <c r="F66" t="inlineStr">
        <is>
          <t>UPPSALA LÄN</t>
        </is>
      </c>
      <c r="G66" t="inlineStr">
        <is>
          <t>ÖSTHAMMAR</t>
        </is>
      </c>
      <c r="I66" t="n">
        <v>3.5</v>
      </c>
      <c r="J66" t="n">
        <v>2</v>
      </c>
      <c r="K66" t="n">
        <v>2</v>
      </c>
      <c r="L66" t="n">
        <v>3</v>
      </c>
      <c r="M66" t="n">
        <v>0</v>
      </c>
      <c r="N66" t="n">
        <v>0</v>
      </c>
      <c r="O66" t="n">
        <v>0</v>
      </c>
      <c r="P66" t="n">
        <v>0</v>
      </c>
      <c r="Q66" t="n">
        <v>3</v>
      </c>
      <c r="R66" t="n">
        <v>0</v>
      </c>
      <c r="S66" t="n">
        <v>5</v>
      </c>
      <c r="T66" t="n">
        <v>5</v>
      </c>
      <c r="U66" s="2" t="inlineStr">
        <is>
          <t>Sårläka
Ullticka
Vårärt
Nästrot
Skogsknipprot</t>
        </is>
      </c>
      <c r="V66">
        <f>HYPERLINK("https://klasma.github.io/Logging_0382/artfynd/A 26277-2024 artfynd.xlsx", "A 26277-2024")</f>
        <v/>
      </c>
      <c r="W66">
        <f>HYPERLINK("https://klasma.github.io/Logging_0382/kartor/A 26277-2024 karta.png", "A 26277-2024")</f>
        <v/>
      </c>
      <c r="Y66">
        <f>HYPERLINK("https://klasma.github.io/Logging_0382/klagomål/A 26277-2024 FSC-klagomål.docx", "A 26277-2024")</f>
        <v/>
      </c>
      <c r="Z66">
        <f>HYPERLINK("https://klasma.github.io/Logging_0382/klagomålsmail/A 26277-2024 FSC-klagomål mail.docx", "A 26277-2024")</f>
        <v/>
      </c>
      <c r="AA66">
        <f>HYPERLINK("https://klasma.github.io/Logging_0382/tillsyn/A 26277-2024 tillsynsbegäran.docx", "A 26277-2024")</f>
        <v/>
      </c>
      <c r="AB66">
        <f>HYPERLINK("https://klasma.github.io/Logging_0382/tillsynsmail/A 26277-2024 tillsynsbegäran mail.docx", "A 26277-2024")</f>
        <v/>
      </c>
    </row>
    <row r="67" ht="15" customHeight="1">
      <c r="A67" t="inlineStr">
        <is>
          <t>A 67855-2021</t>
        </is>
      </c>
      <c r="B67" t="inlineStr">
        <is>
          <t>avverkningsanmälan</t>
        </is>
      </c>
      <c r="C67" t="inlineStr">
        <is>
          <t>Föryngringsavverkning</t>
        </is>
      </c>
      <c r="D67" s="1" t="n">
        <v>44525</v>
      </c>
      <c r="E67" s="1" t="n">
        <v>46216</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s="2" t="inlineStr">
        <is>
          <t>Fransig jordstjärna
Guldkremla
Kamjordstjärna
Platt fjädermossa
Svavelriska</t>
        </is>
      </c>
      <c r="V67">
        <f>HYPERLINK("https://klasma.github.io/Logging_0382/artfynd/A 67855-2021 artfynd.xlsx", "A 67855-2021")</f>
        <v/>
      </c>
      <c r="W67">
        <f>HYPERLINK("https://klasma.github.io/Logging_0382/kartor/A 67855-2021 karta.png", "A 67855-2021")</f>
        <v/>
      </c>
      <c r="Y67">
        <f>HYPERLINK("https://klasma.github.io/Logging_0382/klagomål/A 67855-2021 FSC-klagomål.docx", "A 67855-2021")</f>
        <v/>
      </c>
      <c r="Z67">
        <f>HYPERLINK("https://klasma.github.io/Logging_0382/klagomålsmail/A 67855-2021 FSC-klagomål mail.docx", "A 67855-2021")</f>
        <v/>
      </c>
      <c r="AA67">
        <f>HYPERLINK("https://klasma.github.io/Logging_0382/tillsyn/A 67855-2021 tillsynsbegäran.docx", "A 67855-2021")</f>
        <v/>
      </c>
      <c r="AB67">
        <f>HYPERLINK("https://klasma.github.io/Logging_0382/tillsynsmail/A 67855-2021 tillsynsbegäran mail.docx", "A 67855-2021")</f>
        <v/>
      </c>
    </row>
    <row r="68" ht="15" customHeight="1">
      <c r="A68" t="inlineStr">
        <is>
          <t>A 29679-2023</t>
        </is>
      </c>
      <c r="B68" t="inlineStr">
        <is>
          <t>avverkningsanmälan</t>
        </is>
      </c>
      <c r="C68" t="inlineStr">
        <is>
          <t>Avverkning för att bevara och utveckla /försöksver</t>
        </is>
      </c>
      <c r="D68" s="1" t="n">
        <v>45107</v>
      </c>
      <c r="E68" s="1" t="n">
        <v>46216</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s="2" t="inlineStr">
        <is>
          <t>Granrotspindling
Lammticka
Reliktbock
Vintertagging
Vanlig padda</t>
        </is>
      </c>
      <c r="V68">
        <f>HYPERLINK("https://klasma.github.io/Logging_0382/artfynd/A 29679-2023 artfynd.xlsx", "A 29679-2023")</f>
        <v/>
      </c>
      <c r="W68">
        <f>HYPERLINK("https://klasma.github.io/Logging_0382/kartor/A 29679-2023 karta.png", "A 29679-2023")</f>
        <v/>
      </c>
      <c r="Y68">
        <f>HYPERLINK("https://klasma.github.io/Logging_0382/klagomål/A 29679-2023 FSC-klagomål.docx", "A 29679-2023")</f>
        <v/>
      </c>
      <c r="Z68">
        <f>HYPERLINK("https://klasma.github.io/Logging_0382/klagomålsmail/A 29679-2023 FSC-klagomål mail.docx", "A 29679-2023")</f>
        <v/>
      </c>
      <c r="AA68">
        <f>HYPERLINK("https://klasma.github.io/Logging_0382/tillsyn/A 29679-2023 tillsynsbegäran.docx", "A 29679-2023")</f>
        <v/>
      </c>
      <c r="AB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46216</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s="2" t="inlineStr">
        <is>
          <t>Blåsippa
Kärrbräken
Mattlummer
Vanlig padda
Fläcknycklar</t>
        </is>
      </c>
      <c r="V69">
        <f>HYPERLINK("https://klasma.github.io/Logging_0382/artfynd/S 193-2024 artfynd.xlsx", "S 193-2024")</f>
        <v/>
      </c>
      <c r="W69">
        <f>HYPERLINK("https://klasma.github.io/Logging_0382/kartor/S 193-2024 karta.png", "S 193-2024")</f>
        <v/>
      </c>
      <c r="Y69">
        <f>HYPERLINK("https://klasma.github.io/Logging_0382/klagomål/S 193-2024 FSC-klagomål.docx", "S 193-2024")</f>
        <v/>
      </c>
      <c r="Z69">
        <f>HYPERLINK("https://klasma.github.io/Logging_0382/klagomålsmail/S 193-2024 FSC-klagomål mail.docx", "S 193-2024")</f>
        <v/>
      </c>
      <c r="AA69">
        <f>HYPERLINK("https://klasma.github.io/Logging_0382/tillsyn/S 193-2024 tillsynsbegäran.docx", "S 193-2024")</f>
        <v/>
      </c>
      <c r="AB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46216</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s="2" t="inlineStr">
        <is>
          <t>Vårärt
Guckusko
Rödgul trumpetsvamp
Blåsippa</t>
        </is>
      </c>
      <c r="V70">
        <f>HYPERLINK("https://klasma.github.io/Logging_0382/artfynd/A 22287-2023 artfynd.xlsx", "A 22287-2023")</f>
        <v/>
      </c>
      <c r="W70">
        <f>HYPERLINK("https://klasma.github.io/Logging_0382/kartor/A 22287-2023 karta.png", "A 22287-2023")</f>
        <v/>
      </c>
      <c r="Y70">
        <f>HYPERLINK("https://klasma.github.io/Logging_0382/klagomål/A 22287-2023 FSC-klagomål.docx", "A 22287-2023")</f>
        <v/>
      </c>
      <c r="Z70">
        <f>HYPERLINK("https://klasma.github.io/Logging_0382/klagomålsmail/A 22287-2023 FSC-klagomål mail.docx", "A 22287-2023")</f>
        <v/>
      </c>
      <c r="AA70">
        <f>HYPERLINK("https://klasma.github.io/Logging_0382/tillsyn/A 22287-2023 tillsynsbegäran.docx", "A 22287-2023")</f>
        <v/>
      </c>
      <c r="AB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46216</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s="2" t="inlineStr">
        <is>
          <t>Solvända
Tvåblad
Blåsippa
Gullviva</t>
        </is>
      </c>
      <c r="V71">
        <f>HYPERLINK("https://klasma.github.io/Logging_0382/artfynd/A 9683-2023 artfynd.xlsx", "A 9683-2023")</f>
        <v/>
      </c>
      <c r="W71">
        <f>HYPERLINK("https://klasma.github.io/Logging_0382/kartor/A 9683-2023 karta.png", "A 9683-2023")</f>
        <v/>
      </c>
      <c r="Y71">
        <f>HYPERLINK("https://klasma.github.io/Logging_0382/klagomål/A 9683-2023 FSC-klagomål.docx", "A 9683-2023")</f>
        <v/>
      </c>
      <c r="Z71">
        <f>HYPERLINK("https://klasma.github.io/Logging_0382/klagomålsmail/A 9683-2023 FSC-klagomål mail.docx", "A 9683-2023")</f>
        <v/>
      </c>
      <c r="AA71">
        <f>HYPERLINK("https://klasma.github.io/Logging_0382/tillsyn/A 9683-2023 tillsynsbegäran.docx", "A 9683-2023")</f>
        <v/>
      </c>
      <c r="AB71">
        <f>HYPERLINK("https://klasma.github.io/Logging_0382/tillsynsmail/A 9683-2023 tillsynsbegäran mail.docx", "A 9683-2023")</f>
        <v/>
      </c>
    </row>
    <row r="72" ht="15" customHeight="1">
      <c r="A72" t="inlineStr">
        <is>
          <t>A 4714-2026</t>
        </is>
      </c>
      <c r="B72" t="inlineStr">
        <is>
          <t>avverkningsanmälan</t>
        </is>
      </c>
      <c r="C72" t="inlineStr">
        <is>
          <t>Avverkning för att bevara och utveckla /försöksver</t>
        </is>
      </c>
      <c r="D72" s="1" t="n">
        <v>46048</v>
      </c>
      <c r="E72" s="1" t="n">
        <v>46216</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s="2" t="inlineStr">
        <is>
          <t>Kattfotslav
Nordfladdermus
Sårläka
Spindelblomster</t>
        </is>
      </c>
      <c r="V72">
        <f>HYPERLINK("https://klasma.github.io/Logging_0382/artfynd/A 4714-2026 artfynd.xlsx", "A 4714-2026")</f>
        <v/>
      </c>
      <c r="W72">
        <f>HYPERLINK("https://klasma.github.io/Logging_0382/kartor/A 4714-2026 karta.png", "A 4714-2026")</f>
        <v/>
      </c>
      <c r="Y72">
        <f>HYPERLINK("https://klasma.github.io/Logging_0382/klagomål/A 4714-2026 FSC-klagomål.docx", "A 4714-2026")</f>
        <v/>
      </c>
      <c r="Z72">
        <f>HYPERLINK("https://klasma.github.io/Logging_0382/klagomålsmail/A 4714-2026 FSC-klagomål mail.docx", "A 4714-2026")</f>
        <v/>
      </c>
      <c r="AA72">
        <f>HYPERLINK("https://klasma.github.io/Logging_0382/tillsyn/A 4714-2026 tillsynsbegäran.docx", "A 4714-2026")</f>
        <v/>
      </c>
      <c r="AB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46216</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s="2" t="inlineStr">
        <is>
          <t>Fjällig taggsvamp s.str.
Skarp dropptaggsvamp
Sårläka
Guldkremla</t>
        </is>
      </c>
      <c r="V73">
        <f>HYPERLINK("https://klasma.github.io/Logging_0382/artfynd/A 60889-2025 artfynd.xlsx", "A 60889-2025")</f>
        <v/>
      </c>
      <c r="W73">
        <f>HYPERLINK("https://klasma.github.io/Logging_0382/kartor/A 60889-2025 karta.png", "A 60889-2025")</f>
        <v/>
      </c>
      <c r="Y73">
        <f>HYPERLINK("https://klasma.github.io/Logging_0382/klagomål/A 60889-2025 FSC-klagomål.docx", "A 60889-2025")</f>
        <v/>
      </c>
      <c r="Z73">
        <f>HYPERLINK("https://klasma.github.io/Logging_0382/klagomålsmail/A 60889-2025 FSC-klagomål mail.docx", "A 60889-2025")</f>
        <v/>
      </c>
      <c r="AA73">
        <f>HYPERLINK("https://klasma.github.io/Logging_0382/tillsyn/A 60889-2025 tillsynsbegäran.docx", "A 60889-2025")</f>
        <v/>
      </c>
      <c r="AB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46216</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s="2" t="inlineStr">
        <is>
          <t>Granbarkgnagare
Rödgul trumpetsvamp
Tjäder
Fläcknycklar</t>
        </is>
      </c>
      <c r="V74">
        <f>HYPERLINK("https://klasma.github.io/Logging_0382/artfynd/A 33800-2024 artfynd.xlsx", "A 33800-2024")</f>
        <v/>
      </c>
      <c r="W74">
        <f>HYPERLINK("https://klasma.github.io/Logging_0382/kartor/A 33800-2024 karta.png", "A 33800-2024")</f>
        <v/>
      </c>
      <c r="Y74">
        <f>HYPERLINK("https://klasma.github.io/Logging_0382/klagomål/A 33800-2024 FSC-klagomål.docx", "A 33800-2024")</f>
        <v/>
      </c>
      <c r="Z74">
        <f>HYPERLINK("https://klasma.github.io/Logging_0382/klagomålsmail/A 33800-2024 FSC-klagomål mail.docx", "A 33800-2024")</f>
        <v/>
      </c>
      <c r="AA74">
        <f>HYPERLINK("https://klasma.github.io/Logging_0382/tillsyn/A 33800-2024 tillsynsbegäran.docx", "A 33800-2024")</f>
        <v/>
      </c>
      <c r="AB74">
        <f>HYPERLINK("https://klasma.github.io/Logging_0382/tillsynsmail/A 33800-2024 tillsynsbegäran mail.docx", "A 33800-2024")</f>
        <v/>
      </c>
      <c r="AC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46216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s="2" t="inlineStr">
        <is>
          <t>Gultoppig fingersvamp
Skarp dropptaggsvamp
Anisspindling
Diskvaxskivling</t>
        </is>
      </c>
      <c r="V75">
        <f>HYPERLINK("https://klasma.github.io/Logging_0382/artfynd/A 48352-2022 artfynd.xlsx", "A 48352-2022")</f>
        <v/>
      </c>
      <c r="W75">
        <f>HYPERLINK("https://klasma.github.io/Logging_0382/kartor/A 48352-2022 karta.png", "A 48352-2022")</f>
        <v/>
      </c>
      <c r="Y75">
        <f>HYPERLINK("https://klasma.github.io/Logging_0382/klagomål/A 48352-2022 FSC-klagomål.docx", "A 48352-2022")</f>
        <v/>
      </c>
      <c r="Z75">
        <f>HYPERLINK("https://klasma.github.io/Logging_0382/klagomålsmail/A 48352-2022 FSC-klagomål mail.docx", "A 48352-2022")</f>
        <v/>
      </c>
      <c r="AA75">
        <f>HYPERLINK("https://klasma.github.io/Logging_0382/tillsyn/A 48352-2022 tillsynsbegäran.docx", "A 48352-2022")</f>
        <v/>
      </c>
      <c r="AB75">
        <f>HYPERLINK("https://klasma.github.io/Logging_0382/tillsynsmail/A 48352-2022 tillsynsbegäran mail.docx", "A 48352-2022")</f>
        <v/>
      </c>
    </row>
    <row r="76" ht="15" customHeight="1">
      <c r="A76" t="inlineStr">
        <is>
          <t>A 26522-2026</t>
        </is>
      </c>
      <c r="B76" t="inlineStr">
        <is>
          <t>avverkningsanmälan</t>
        </is>
      </c>
      <c r="C76" t="inlineStr">
        <is>
          <t>Föryngringsavverkning</t>
        </is>
      </c>
      <c r="D76" s="1" t="n">
        <v>46183</v>
      </c>
      <c r="E76" s="1" t="n">
        <v>46216</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s="2" t="inlineStr">
        <is>
          <t>Flentimotej
Solvända
Säfferot
Gullviva</t>
        </is>
      </c>
      <c r="V76">
        <f>HYPERLINK("https://klasma.github.io/Logging_0382/artfynd/A 26522-2026 artfynd.xlsx", "A 26522-2026")</f>
        <v/>
      </c>
      <c r="W76">
        <f>HYPERLINK("https://klasma.github.io/Logging_0382/kartor/A 26522-2026 karta.png", "A 26522-2026")</f>
        <v/>
      </c>
      <c r="Y76">
        <f>HYPERLINK("https://klasma.github.io/Logging_0382/klagomål/A 26522-2026 FSC-klagomål.docx", "A 26522-2026")</f>
        <v/>
      </c>
      <c r="Z76">
        <f>HYPERLINK("https://klasma.github.io/Logging_0382/klagomålsmail/A 26522-2026 FSC-klagomål mail.docx", "A 26522-2026")</f>
        <v/>
      </c>
      <c r="AA76">
        <f>HYPERLINK("https://klasma.github.io/Logging_0382/tillsyn/A 26522-2026 tillsynsbegäran.docx", "A 26522-2026")</f>
        <v/>
      </c>
      <c r="AB76">
        <f>HYPERLINK("https://klasma.github.io/Logging_0382/tillsynsmail/A 26522-2026 tillsynsbegäran mail.docx", "A 26522-2026")</f>
        <v/>
      </c>
    </row>
    <row r="77" ht="15" customHeight="1">
      <c r="A77" t="inlineStr">
        <is>
          <t>A 54492-2024</t>
        </is>
      </c>
      <c r="B77" t="inlineStr">
        <is>
          <t>avverkningsanmälan</t>
        </is>
      </c>
      <c r="C77" t="inlineStr">
        <is>
          <t>Föryngringsavverkning</t>
        </is>
      </c>
      <c r="D77" s="1" t="n">
        <v>45617</v>
      </c>
      <c r="E77" s="1" t="n">
        <v>46216</v>
      </c>
      <c r="F77" t="inlineStr">
        <is>
          <t>UPPSALA LÄN</t>
        </is>
      </c>
      <c r="G77" t="inlineStr">
        <is>
          <t>ÖSTHAMMAR</t>
        </is>
      </c>
      <c r="I77" t="n">
        <v>23.9</v>
      </c>
      <c r="J77" t="n">
        <v>1</v>
      </c>
      <c r="K77" t="n">
        <v>3</v>
      </c>
      <c r="L77" t="n">
        <v>0</v>
      </c>
      <c r="M77" t="n">
        <v>0</v>
      </c>
      <c r="N77" t="n">
        <v>0</v>
      </c>
      <c r="O77" t="n">
        <v>0</v>
      </c>
      <c r="P77" t="n">
        <v>0</v>
      </c>
      <c r="Q77" t="n">
        <v>0</v>
      </c>
      <c r="R77" t="n">
        <v>0</v>
      </c>
      <c r="S77" t="n">
        <v>4</v>
      </c>
      <c r="T77" t="n">
        <v>6</v>
      </c>
      <c r="U77" s="2" t="inlineStr">
        <is>
          <t>Bårdlav
Hasselticka
Läderskål
Blåsippa</t>
        </is>
      </c>
      <c r="V77">
        <f>HYPERLINK("https://klasma.github.io/Logging_0382/artfynd/A 54492-2024 artfynd.xlsx", "A 54492-2024")</f>
        <v/>
      </c>
      <c r="W77">
        <f>HYPERLINK("https://klasma.github.io/Logging_0382/kartor/A 54492-2024 karta.png", "A 54492-2024")</f>
        <v/>
      </c>
      <c r="Y77">
        <f>HYPERLINK("https://klasma.github.io/Logging_0382/klagomål/A 54492-2024 FSC-klagomål.docx", "A 54492-2024")</f>
        <v/>
      </c>
      <c r="Z77">
        <f>HYPERLINK("https://klasma.github.io/Logging_0382/klagomålsmail/A 54492-2024 FSC-klagomål mail.docx", "A 54492-2024")</f>
        <v/>
      </c>
      <c r="AA77">
        <f>HYPERLINK("https://klasma.github.io/Logging_0382/tillsyn/A 54492-2024 tillsynsbegäran.docx", "A 54492-2024")</f>
        <v/>
      </c>
      <c r="AB77">
        <f>HYPERLINK("https://klasma.github.io/Logging_0382/tillsynsmail/A 54492-2024 tillsynsbegäran mail.docx", "A 54492-2024")</f>
        <v/>
      </c>
    </row>
    <row r="78" ht="15" customHeight="1">
      <c r="A78" t="inlineStr">
        <is>
          <t>A 38233-2024</t>
        </is>
      </c>
      <c r="B78" t="inlineStr">
        <is>
          <t>avverkningsanmälan</t>
        </is>
      </c>
      <c r="C78" t="inlineStr">
        <is>
          <t>Föryngringsavverkning</t>
        </is>
      </c>
      <c r="D78" s="1" t="n">
        <v>45545</v>
      </c>
      <c r="E78" s="1" t="n">
        <v>46216</v>
      </c>
      <c r="F78" t="inlineStr">
        <is>
          <t>UPPSALA LÄN</t>
        </is>
      </c>
      <c r="G78" t="inlineStr">
        <is>
          <t>ÖSTHAMMAR</t>
        </is>
      </c>
      <c r="I78" t="n">
        <v>3.4</v>
      </c>
      <c r="J78" t="n">
        <v>2</v>
      </c>
      <c r="K78" t="n">
        <v>0</v>
      </c>
      <c r="L78" t="n">
        <v>2</v>
      </c>
      <c r="M78" t="n">
        <v>0</v>
      </c>
      <c r="N78" t="n">
        <v>0</v>
      </c>
      <c r="O78" t="n">
        <v>0</v>
      </c>
      <c r="P78" t="n">
        <v>0</v>
      </c>
      <c r="Q78" t="n">
        <v>2</v>
      </c>
      <c r="R78" t="n">
        <v>0</v>
      </c>
      <c r="S78" t="n">
        <v>4</v>
      </c>
      <c r="T78" t="n">
        <v>5</v>
      </c>
      <c r="U78" s="2" t="inlineStr">
        <is>
          <t>Jungfrulin
Solvända
Blåsippa
Gullviva</t>
        </is>
      </c>
      <c r="V78">
        <f>HYPERLINK("https://klasma.github.io/Logging_0382/artfynd/A 38233-2024 artfynd.xlsx", "A 38233-2024")</f>
        <v/>
      </c>
      <c r="W78">
        <f>HYPERLINK("https://klasma.github.io/Logging_0382/kartor/A 38233-2024 karta.png", "A 38233-2024")</f>
        <v/>
      </c>
      <c r="Y78">
        <f>HYPERLINK("https://klasma.github.io/Logging_0382/klagomål/A 38233-2024 FSC-klagomål.docx", "A 38233-2024")</f>
        <v/>
      </c>
      <c r="Z78">
        <f>HYPERLINK("https://klasma.github.io/Logging_0382/klagomålsmail/A 38233-2024 FSC-klagomål mail.docx", "A 38233-2024")</f>
        <v/>
      </c>
      <c r="AA78">
        <f>HYPERLINK("https://klasma.github.io/Logging_0382/tillsyn/A 38233-2024 tillsynsbegäran.docx", "A 38233-2024")</f>
        <v/>
      </c>
      <c r="AB78">
        <f>HYPERLINK("https://klasma.github.io/Logging_0382/tillsynsmail/A 38233-2024 tillsynsbegäran mail.docx", "A 38233-2024")</f>
        <v/>
      </c>
    </row>
    <row r="79" ht="15" customHeight="1">
      <c r="A79" t="inlineStr">
        <is>
          <t>A 15258-2026</t>
        </is>
      </c>
      <c r="B79" t="inlineStr">
        <is>
          <t>avverkningsanmälan</t>
        </is>
      </c>
      <c r="C79" t="inlineStr">
        <is>
          <t>Föryngringsavverkning</t>
        </is>
      </c>
      <c r="D79" s="1" t="n">
        <v>46105</v>
      </c>
      <c r="E79" s="1" t="n">
        <v>46216</v>
      </c>
      <c r="F79" t="inlineStr">
        <is>
          <t>UPPSALA LÄN</t>
        </is>
      </c>
      <c r="G79" t="inlineStr">
        <is>
          <t>ÖSTHAMMAR</t>
        </is>
      </c>
      <c r="H79" t="inlineStr">
        <is>
          <t>Övriga Aktiebolag</t>
        </is>
      </c>
      <c r="I79" t="n">
        <v>3.4</v>
      </c>
      <c r="J79" t="n">
        <v>2</v>
      </c>
      <c r="K79" t="n">
        <v>1</v>
      </c>
      <c r="L79" t="n">
        <v>2</v>
      </c>
      <c r="M79" t="n">
        <v>1</v>
      </c>
      <c r="N79" t="n">
        <v>0</v>
      </c>
      <c r="O79" t="n">
        <v>0</v>
      </c>
      <c r="P79" t="n">
        <v>0</v>
      </c>
      <c r="Q79" t="n">
        <v>3</v>
      </c>
      <c r="R79" t="n">
        <v>1</v>
      </c>
      <c r="S79" t="n">
        <v>4</v>
      </c>
      <c r="T79" t="n">
        <v>9</v>
      </c>
      <c r="U79" s="2" t="inlineStr">
        <is>
          <t>Hällebräcka
Klasefibbla
Slåtterfibbla
Tvåblad</t>
        </is>
      </c>
      <c r="V79">
        <f>HYPERLINK("https://klasma.github.io/Logging_0382/artfynd/A 15258-2026 artfynd.xlsx", "A 15258-2026")</f>
        <v/>
      </c>
      <c r="W79">
        <f>HYPERLINK("https://klasma.github.io/Logging_0382/kartor/A 15258-2026 karta.png", "A 15258-2026")</f>
        <v/>
      </c>
      <c r="Y79">
        <f>HYPERLINK("https://klasma.github.io/Logging_0382/klagomål/A 15258-2026 FSC-klagomål.docx", "A 15258-2026")</f>
        <v/>
      </c>
      <c r="Z79">
        <f>HYPERLINK("https://klasma.github.io/Logging_0382/klagomålsmail/A 15258-2026 FSC-klagomål mail.docx", "A 15258-2026")</f>
        <v/>
      </c>
      <c r="AA79">
        <f>HYPERLINK("https://klasma.github.io/Logging_0382/tillsyn/A 15258-2026 tillsynsbegäran.docx", "A 15258-2026")</f>
        <v/>
      </c>
      <c r="AB79">
        <f>HYPERLINK("https://klasma.github.io/Logging_0382/tillsynsmail/A 15258-2026 tillsynsbegäran mail.docx", "A 15258-2026")</f>
        <v/>
      </c>
    </row>
    <row r="80" ht="15" customHeight="1">
      <c r="A80" t="inlineStr">
        <is>
          <t>S 413-2025</t>
        </is>
      </c>
      <c r="B80" t="inlineStr">
        <is>
          <t>samrådsanmälan</t>
        </is>
      </c>
      <c r="C80" t="inlineStr">
        <is>
          <t>Skogsgödsling</t>
        </is>
      </c>
      <c r="D80" s="1" t="n">
        <v>45699</v>
      </c>
      <c r="E80" s="1" t="n">
        <v>46216</v>
      </c>
      <c r="F80" t="inlineStr">
        <is>
          <t>UPPSALA LÄN</t>
        </is>
      </c>
      <c r="G80" t="inlineStr">
        <is>
          <t>ÖSTHAMMAR</t>
        </is>
      </c>
      <c r="H80" t="inlineStr">
        <is>
          <t>Bergvik skog öst AB</t>
        </is>
      </c>
      <c r="I80" t="n">
        <v>187.3</v>
      </c>
      <c r="J80" t="n">
        <v>1</v>
      </c>
      <c r="K80" t="n">
        <v>2</v>
      </c>
      <c r="L80" t="n">
        <v>1</v>
      </c>
      <c r="M80" t="n">
        <v>0</v>
      </c>
      <c r="N80" t="n">
        <v>0</v>
      </c>
      <c r="O80" t="n">
        <v>0</v>
      </c>
      <c r="P80" t="n">
        <v>0</v>
      </c>
      <c r="Q80" t="n">
        <v>1</v>
      </c>
      <c r="R80" t="n">
        <v>0</v>
      </c>
      <c r="S80" t="n">
        <v>4</v>
      </c>
      <c r="T80" t="n">
        <v>6</v>
      </c>
      <c r="U80" s="2" t="inlineStr">
        <is>
          <t>Vedtrappmossa
Flagellkvastmossa
Skogshakmossa
Grönvit nattviol</t>
        </is>
      </c>
      <c r="V80">
        <f>HYPERLINK("https://klasma.github.io/Logging_0382/artfynd/S 413-2025 artfynd.xlsx", "S 413-2025")</f>
        <v/>
      </c>
      <c r="W80">
        <f>HYPERLINK("https://klasma.github.io/Logging_0382/kartor/S 413-2025 karta.png", "S 413-2025")</f>
        <v/>
      </c>
      <c r="Y80">
        <f>HYPERLINK("https://klasma.github.io/Logging_0382/klagomål/S 413-2025 FSC-klagomål.docx", "S 413-2025")</f>
        <v/>
      </c>
      <c r="Z80">
        <f>HYPERLINK("https://klasma.github.io/Logging_0382/klagomålsmail/S 413-2025 FSC-klagomål mail.docx", "S 413-2025")</f>
        <v/>
      </c>
      <c r="AA80">
        <f>HYPERLINK("https://klasma.github.io/Logging_0382/tillsyn/S 413-2025 tillsynsbegäran.docx", "S 413-2025")</f>
        <v/>
      </c>
      <c r="AB80">
        <f>HYPERLINK("https://klasma.github.io/Logging_0382/tillsynsmail/S 413-2025 tillsynsbegäran mail.docx", "S 413-2025")</f>
        <v/>
      </c>
    </row>
    <row r="81" ht="15" customHeight="1">
      <c r="A81" t="inlineStr">
        <is>
          <t>S 1089-2024</t>
        </is>
      </c>
      <c r="B81" t="inlineStr">
        <is>
          <t>samrådsanmälan</t>
        </is>
      </c>
      <c r="C81" t="inlineStr">
        <is>
          <t>Annan skogsbruksåtgärd</t>
        </is>
      </c>
      <c r="D81" s="1" t="n">
        <v>45390</v>
      </c>
      <c r="E81" s="1" t="n">
        <v>46216</v>
      </c>
      <c r="F81" t="inlineStr">
        <is>
          <t>UPPSALA LÄN</t>
        </is>
      </c>
      <c r="G81" t="inlineStr">
        <is>
          <t>ÖSTHAMMAR</t>
        </is>
      </c>
      <c r="H81" t="inlineStr">
        <is>
          <t>Bergvik skog öst AB</t>
        </is>
      </c>
      <c r="I81" t="n">
        <v>4.4</v>
      </c>
      <c r="J81" t="n">
        <v>0</v>
      </c>
      <c r="K81" t="n">
        <v>3</v>
      </c>
      <c r="L81" t="n">
        <v>1</v>
      </c>
      <c r="M81" t="n">
        <v>0</v>
      </c>
      <c r="N81" t="n">
        <v>0</v>
      </c>
      <c r="O81" t="n">
        <v>0</v>
      </c>
      <c r="P81" t="n">
        <v>0</v>
      </c>
      <c r="Q81" t="n">
        <v>1</v>
      </c>
      <c r="R81" t="n">
        <v>0</v>
      </c>
      <c r="S81" t="n">
        <v>4</v>
      </c>
      <c r="T81" t="n">
        <v>4</v>
      </c>
      <c r="U81" s="2" t="inlineStr">
        <is>
          <t>Vårärt
Korallblylav
Skinnlav
Stor aspticka</t>
        </is>
      </c>
      <c r="V81">
        <f>HYPERLINK("https://klasma.github.io/Logging_0382/artfynd/S 1089-2024 artfynd.xlsx", "S 1089-2024")</f>
        <v/>
      </c>
      <c r="W81">
        <f>HYPERLINK("https://klasma.github.io/Logging_0382/kartor/S 1089-2024 karta.png", "S 1089-2024")</f>
        <v/>
      </c>
      <c r="Y81">
        <f>HYPERLINK("https://klasma.github.io/Logging_0382/klagomål/S 1089-2024 FSC-klagomål.docx", "S 1089-2024")</f>
        <v/>
      </c>
      <c r="Z81">
        <f>HYPERLINK("https://klasma.github.io/Logging_0382/klagomålsmail/S 1089-2024 FSC-klagomål mail.docx", "S 1089-2024")</f>
        <v/>
      </c>
      <c r="AA81">
        <f>HYPERLINK("https://klasma.github.io/Logging_0382/tillsyn/S 1089-2024 tillsynsbegäran.docx", "S 1089-2024")</f>
        <v/>
      </c>
      <c r="AB81">
        <f>HYPERLINK("https://klasma.github.io/Logging_0382/tillsynsmail/S 1089-2024 tillsynsbegäran mail.docx", "S 1089-2024")</f>
        <v/>
      </c>
    </row>
    <row r="82" ht="15" customHeight="1">
      <c r="A82" t="inlineStr">
        <is>
          <t>A 52651-2022</t>
        </is>
      </c>
      <c r="B82" t="inlineStr">
        <is>
          <t>avverkningsanmälan</t>
        </is>
      </c>
      <c r="C82" t="inlineStr">
        <is>
          <t>Föryngringsavverkning</t>
        </is>
      </c>
      <c r="D82" s="1" t="n">
        <v>44874</v>
      </c>
      <c r="E82" s="1" t="n">
        <v>46216</v>
      </c>
      <c r="F82" t="inlineStr">
        <is>
          <t>UPPSALA LÄN</t>
        </is>
      </c>
      <c r="G82" t="inlineStr">
        <is>
          <t>ÖSTHAMMAR</t>
        </is>
      </c>
      <c r="H82" t="inlineStr">
        <is>
          <t>Bergvik skog öst AB</t>
        </is>
      </c>
      <c r="I82" t="n">
        <v>0.6</v>
      </c>
      <c r="J82" t="n">
        <v>3</v>
      </c>
      <c r="K82" t="n">
        <v>0</v>
      </c>
      <c r="L82" t="n">
        <v>1</v>
      </c>
      <c r="M82" t="n">
        <v>0</v>
      </c>
      <c r="N82" t="n">
        <v>0</v>
      </c>
      <c r="O82" t="n">
        <v>0</v>
      </c>
      <c r="P82" t="n">
        <v>0</v>
      </c>
      <c r="Q82" t="n">
        <v>1</v>
      </c>
      <c r="R82" t="n">
        <v>0</v>
      </c>
      <c r="S82" t="n">
        <v>3</v>
      </c>
      <c r="T82" t="n">
        <v>3</v>
      </c>
      <c r="U82" s="2" t="inlineStr">
        <is>
          <t>Järnsparv
Kungsfågel
Svartvit flugsnappare</t>
        </is>
      </c>
      <c r="V82">
        <f>HYPERLINK("https://klasma.github.io/Logging_0382/artfynd/A 52651-2022 artfynd.xlsx", "A 52651-2022")</f>
        <v/>
      </c>
      <c r="W82">
        <f>HYPERLINK("https://klasma.github.io/Logging_0382/kartor/A 52651-2022 karta.png", "A 52651-2022")</f>
        <v/>
      </c>
      <c r="Y82">
        <f>HYPERLINK("https://klasma.github.io/Logging_0382/klagomål/A 52651-2022 FSC-klagomål.docx", "A 52651-2022")</f>
        <v/>
      </c>
      <c r="Z82">
        <f>HYPERLINK("https://klasma.github.io/Logging_0382/klagomålsmail/A 52651-2022 FSC-klagomål mail.docx", "A 52651-2022")</f>
        <v/>
      </c>
      <c r="AA82">
        <f>HYPERLINK("https://klasma.github.io/Logging_0382/tillsyn/A 52651-2022 tillsynsbegäran.docx", "A 52651-2022")</f>
        <v/>
      </c>
      <c r="AB82">
        <f>HYPERLINK("https://klasma.github.io/Logging_0382/tillsynsmail/A 52651-2022 tillsynsbegäran mail.docx", "A 52651-2022")</f>
        <v/>
      </c>
      <c r="AC82">
        <f>HYPERLINK("https://klasma.github.io/Logging_0382/fåglar/A 52651-2022 prioriterade fågelarter.docx", "A 52651-2022")</f>
        <v/>
      </c>
    </row>
    <row r="83" ht="15" customHeight="1">
      <c r="A83" t="inlineStr">
        <is>
          <t>A 11385-2024</t>
        </is>
      </c>
      <c r="B83" t="inlineStr">
        <is>
          <t>avverkningsanmälan</t>
        </is>
      </c>
      <c r="C83" t="inlineStr">
        <is>
          <t>Föryngringsavverkning</t>
        </is>
      </c>
      <c r="D83" s="1" t="n">
        <v>45372</v>
      </c>
      <c r="E83" s="1" t="n">
        <v>46216</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s="2" t="inlineStr">
        <is>
          <t>Solvända
Skogsknipprot
Tvåblad</t>
        </is>
      </c>
      <c r="V83">
        <f>HYPERLINK("https://klasma.github.io/Logging_0382/artfynd/A 11385-2024 artfynd.xlsx", "A 11385-2024")</f>
        <v/>
      </c>
      <c r="W83">
        <f>HYPERLINK("https://klasma.github.io/Logging_0382/kartor/A 11385-2024 karta.png", "A 11385-2024")</f>
        <v/>
      </c>
      <c r="Y83">
        <f>HYPERLINK("https://klasma.github.io/Logging_0382/klagomål/A 11385-2024 FSC-klagomål.docx", "A 11385-2024")</f>
        <v/>
      </c>
      <c r="Z83">
        <f>HYPERLINK("https://klasma.github.io/Logging_0382/klagomålsmail/A 11385-2024 FSC-klagomål mail.docx", "A 11385-2024")</f>
        <v/>
      </c>
      <c r="AA83">
        <f>HYPERLINK("https://klasma.github.io/Logging_0382/tillsyn/A 11385-2024 tillsynsbegäran.docx", "A 11385-2024")</f>
        <v/>
      </c>
      <c r="AB83">
        <f>HYPERLINK("https://klasma.github.io/Logging_0382/tillsynsmail/A 11385-2024 tillsynsbegäran mail.docx", "A 11385-2024")</f>
        <v/>
      </c>
    </row>
    <row r="84" ht="15" customHeight="1">
      <c r="A84" t="inlineStr">
        <is>
          <t>A 58878-2022</t>
        </is>
      </c>
      <c r="B84" t="inlineStr">
        <is>
          <t>avverkningsanmälan</t>
        </is>
      </c>
      <c r="C84" t="inlineStr">
        <is>
          <t>Föryngringsavverkning</t>
        </is>
      </c>
      <c r="D84" s="1" t="n">
        <v>44903</v>
      </c>
      <c r="E84" s="1" t="n">
        <v>46216</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s="2" t="inlineStr">
        <is>
          <t>Solvända
Tvåblad
Gullviva</t>
        </is>
      </c>
      <c r="V84">
        <f>HYPERLINK("https://klasma.github.io/Logging_0382/artfynd/A 58878-2022 artfynd.xlsx", "A 58878-2022")</f>
        <v/>
      </c>
      <c r="W84">
        <f>HYPERLINK("https://klasma.github.io/Logging_0382/kartor/A 58878-2022 karta.png", "A 58878-2022")</f>
        <v/>
      </c>
      <c r="Y84">
        <f>HYPERLINK("https://klasma.github.io/Logging_0382/klagomål/A 58878-2022 FSC-klagomål.docx", "A 58878-2022")</f>
        <v/>
      </c>
      <c r="Z84">
        <f>HYPERLINK("https://klasma.github.io/Logging_0382/klagomålsmail/A 58878-2022 FSC-klagomål mail.docx", "A 58878-2022")</f>
        <v/>
      </c>
      <c r="AA84">
        <f>HYPERLINK("https://klasma.github.io/Logging_0382/tillsyn/A 58878-2022 tillsynsbegäran.docx", "A 58878-2022")</f>
        <v/>
      </c>
      <c r="AB84">
        <f>HYPERLINK("https://klasma.github.io/Logging_0382/tillsynsmail/A 58878-2022 tillsynsbegäran mail.docx", "A 58878-2022")</f>
        <v/>
      </c>
    </row>
    <row r="85" ht="15" customHeight="1">
      <c r="A85" t="inlineStr">
        <is>
          <t>A 60898-2025</t>
        </is>
      </c>
      <c r="B85" t="inlineStr">
        <is>
          <t>avverkningsanmälan</t>
        </is>
      </c>
      <c r="C85" t="inlineStr">
        <is>
          <t>Föryngringsavverkning</t>
        </is>
      </c>
      <c r="D85" s="1" t="n">
        <v>45999</v>
      </c>
      <c r="E85" s="1" t="n">
        <v>46216</v>
      </c>
      <c r="F85" t="inlineStr">
        <is>
          <t>UPPSALA LÄN</t>
        </is>
      </c>
      <c r="G85" t="inlineStr">
        <is>
          <t>ÖSTHAMMAR</t>
        </is>
      </c>
      <c r="I85" t="n">
        <v>3.9</v>
      </c>
      <c r="J85" t="n">
        <v>0</v>
      </c>
      <c r="K85" t="n">
        <v>2</v>
      </c>
      <c r="L85" t="n">
        <v>1</v>
      </c>
      <c r="M85" t="n">
        <v>0</v>
      </c>
      <c r="N85" t="n">
        <v>0</v>
      </c>
      <c r="O85" t="n">
        <v>0</v>
      </c>
      <c r="P85" t="n">
        <v>0</v>
      </c>
      <c r="Q85" t="n">
        <v>1</v>
      </c>
      <c r="R85" t="n">
        <v>0</v>
      </c>
      <c r="S85" t="n">
        <v>3</v>
      </c>
      <c r="T85" t="n">
        <v>6</v>
      </c>
      <c r="U85" s="2" t="inlineStr">
        <is>
          <t>Gullpudra
Anisspindling
Svavelriska</t>
        </is>
      </c>
      <c r="V85">
        <f>HYPERLINK("https://klasma.github.io/Logging_0382/artfynd/A 60898-2025 artfynd.xlsx", "A 60898-2025")</f>
        <v/>
      </c>
      <c r="W85">
        <f>HYPERLINK("https://klasma.github.io/Logging_0382/kartor/A 60898-2025 karta.png", "A 60898-2025")</f>
        <v/>
      </c>
      <c r="Y85">
        <f>HYPERLINK("https://klasma.github.io/Logging_0382/klagomål/A 60898-2025 FSC-klagomål.docx", "A 60898-2025")</f>
        <v/>
      </c>
      <c r="Z85">
        <f>HYPERLINK("https://klasma.github.io/Logging_0382/klagomålsmail/A 60898-2025 FSC-klagomål mail.docx", "A 60898-2025")</f>
        <v/>
      </c>
      <c r="AA85">
        <f>HYPERLINK("https://klasma.github.io/Logging_0382/tillsyn/A 60898-2025 tillsynsbegäran.docx", "A 60898-2025")</f>
        <v/>
      </c>
      <c r="AB85">
        <f>HYPERLINK("https://klasma.github.io/Logging_0382/tillsynsmail/A 60898-2025 tillsynsbegäran mail.docx", "A 60898-2025")</f>
        <v/>
      </c>
    </row>
    <row r="86" ht="15" customHeight="1">
      <c r="A86" t="inlineStr">
        <is>
          <t>A 30943-2024</t>
        </is>
      </c>
      <c r="B86" t="inlineStr">
        <is>
          <t>avverkningsanmälan</t>
        </is>
      </c>
      <c r="C86" t="inlineStr">
        <is>
          <t>Föryngringsavverkning</t>
        </is>
      </c>
      <c r="D86" s="1" t="n">
        <v>45499</v>
      </c>
      <c r="E86" s="1" t="n">
        <v>46216</v>
      </c>
      <c r="F86" t="inlineStr">
        <is>
          <t>UPPSALA LÄN</t>
        </is>
      </c>
      <c r="G86" t="inlineStr">
        <is>
          <t>ÖSTHAMMAR</t>
        </is>
      </c>
      <c r="I86" t="n">
        <v>4.5</v>
      </c>
      <c r="J86" t="n">
        <v>0</v>
      </c>
      <c r="K86" t="n">
        <v>3</v>
      </c>
      <c r="L86" t="n">
        <v>0</v>
      </c>
      <c r="M86" t="n">
        <v>0</v>
      </c>
      <c r="N86" t="n">
        <v>0</v>
      </c>
      <c r="O86" t="n">
        <v>0</v>
      </c>
      <c r="P86" t="n">
        <v>0</v>
      </c>
      <c r="Q86" t="n">
        <v>0</v>
      </c>
      <c r="R86" t="n">
        <v>0</v>
      </c>
      <c r="S86" t="n">
        <v>3</v>
      </c>
      <c r="T86" t="n">
        <v>4</v>
      </c>
      <c r="U86" s="2" t="inlineStr">
        <is>
          <t>Svart trolldruva
Tibast
Underviol</t>
        </is>
      </c>
      <c r="V86">
        <f>HYPERLINK("https://klasma.github.io/Logging_0382/artfynd/A 30943-2024 artfynd.xlsx", "A 30943-2024")</f>
        <v/>
      </c>
      <c r="W86">
        <f>HYPERLINK("https://klasma.github.io/Logging_0382/kartor/A 30943-2024 karta.png", "A 30943-2024")</f>
        <v/>
      </c>
      <c r="Y86">
        <f>HYPERLINK("https://klasma.github.io/Logging_0382/klagomål/A 30943-2024 FSC-klagomål.docx", "A 30943-2024")</f>
        <v/>
      </c>
      <c r="Z86">
        <f>HYPERLINK("https://klasma.github.io/Logging_0382/klagomålsmail/A 30943-2024 FSC-klagomål mail.docx", "A 30943-2024")</f>
        <v/>
      </c>
      <c r="AA86">
        <f>HYPERLINK("https://klasma.github.io/Logging_0382/tillsyn/A 30943-2024 tillsynsbegäran.docx", "A 30943-2024")</f>
        <v/>
      </c>
      <c r="AB86">
        <f>HYPERLINK("https://klasma.github.io/Logging_0382/tillsynsmail/A 30943-2024 tillsynsbegäran mail.docx", "A 30943-2024")</f>
        <v/>
      </c>
    </row>
    <row r="87" ht="15" customHeight="1">
      <c r="A87" t="inlineStr">
        <is>
          <t>A 17694-2026</t>
        </is>
      </c>
      <c r="B87" t="inlineStr">
        <is>
          <t>avverkningsanmälan</t>
        </is>
      </c>
      <c r="C87" t="inlineStr">
        <is>
          <t>Föryngringsavverkning</t>
        </is>
      </c>
      <c r="D87" s="1" t="n">
        <v>46121</v>
      </c>
      <c r="E87" s="1" t="n">
        <v>46216</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s="2" t="inlineStr">
        <is>
          <t>Ask
Ängsstarr
Guckusko</t>
        </is>
      </c>
      <c r="V87">
        <f>HYPERLINK("https://klasma.github.io/Logging_0382/artfynd/A 17694-2026 artfynd.xlsx", "A 17694-2026")</f>
        <v/>
      </c>
      <c r="W87">
        <f>HYPERLINK("https://klasma.github.io/Logging_0382/kartor/A 17694-2026 karta.png", "A 17694-2026")</f>
        <v/>
      </c>
      <c r="Y87">
        <f>HYPERLINK("https://klasma.github.io/Logging_0382/klagomål/A 17694-2026 FSC-klagomål.docx", "A 17694-2026")</f>
        <v/>
      </c>
      <c r="Z87">
        <f>HYPERLINK("https://klasma.github.io/Logging_0382/klagomålsmail/A 17694-2026 FSC-klagomål mail.docx", "A 17694-2026")</f>
        <v/>
      </c>
      <c r="AA87">
        <f>HYPERLINK("https://klasma.github.io/Logging_0382/tillsyn/A 17694-2026 tillsynsbegäran.docx", "A 17694-2026")</f>
        <v/>
      </c>
      <c r="AB87">
        <f>HYPERLINK("https://klasma.github.io/Logging_0382/tillsynsmail/A 17694-2026 tillsynsbegäran mail.docx", "A 17694-2026")</f>
        <v/>
      </c>
    </row>
    <row r="88" ht="15" customHeight="1">
      <c r="A88" t="inlineStr">
        <is>
          <t>A 73981-2021</t>
        </is>
      </c>
      <c r="B88" t="inlineStr">
        <is>
          <t>avverkningsanmälan</t>
        </is>
      </c>
      <c r="C88" t="inlineStr">
        <is>
          <t>Föryngringsavverkning</t>
        </is>
      </c>
      <c r="D88" s="1" t="n">
        <v>44555</v>
      </c>
      <c r="E88" s="1" t="n">
        <v>46216</v>
      </c>
      <c r="F88" t="inlineStr">
        <is>
          <t>UPPSALA LÄN</t>
        </is>
      </c>
      <c r="G88" t="inlineStr">
        <is>
          <t>ÖSTHAMMAR</t>
        </is>
      </c>
      <c r="I88" t="n">
        <v>2.4</v>
      </c>
      <c r="J88" t="n">
        <v>0</v>
      </c>
      <c r="K88" t="n">
        <v>0</v>
      </c>
      <c r="L88" t="n">
        <v>3</v>
      </c>
      <c r="M88" t="n">
        <v>0</v>
      </c>
      <c r="N88" t="n">
        <v>0</v>
      </c>
      <c r="O88" t="n">
        <v>0</v>
      </c>
      <c r="P88" t="n">
        <v>0</v>
      </c>
      <c r="Q88" t="n">
        <v>3</v>
      </c>
      <c r="R88" t="n">
        <v>0</v>
      </c>
      <c r="S88" t="n">
        <v>3</v>
      </c>
      <c r="T88" t="n">
        <v>4</v>
      </c>
      <c r="U88" s="2" t="inlineStr">
        <is>
          <t>Krisslesköldbagge
Skogsklocka
Vårärt</t>
        </is>
      </c>
      <c r="V88">
        <f>HYPERLINK("https://klasma.github.io/Logging_0382/artfynd/A 73981-2021 artfynd.xlsx", "A 73981-2021")</f>
        <v/>
      </c>
      <c r="W88">
        <f>HYPERLINK("https://klasma.github.io/Logging_0382/kartor/A 73981-2021 karta.png", "A 73981-2021")</f>
        <v/>
      </c>
      <c r="Y88">
        <f>HYPERLINK("https://klasma.github.io/Logging_0382/klagomål/A 73981-2021 FSC-klagomål.docx", "A 73981-2021")</f>
        <v/>
      </c>
      <c r="Z88">
        <f>HYPERLINK("https://klasma.github.io/Logging_0382/klagomålsmail/A 73981-2021 FSC-klagomål mail.docx", "A 73981-2021")</f>
        <v/>
      </c>
      <c r="AA88">
        <f>HYPERLINK("https://klasma.github.io/Logging_0382/tillsyn/A 73981-2021 tillsynsbegäran.docx", "A 73981-2021")</f>
        <v/>
      </c>
      <c r="AB88">
        <f>HYPERLINK("https://klasma.github.io/Logging_0382/tillsynsmail/A 73981-2021 tillsynsbegäran mail.docx", "A 73981-2021")</f>
        <v/>
      </c>
    </row>
    <row r="89" ht="15" customHeight="1">
      <c r="A89" t="inlineStr">
        <is>
          <t>A 17947-2022</t>
        </is>
      </c>
      <c r="B89" t="inlineStr">
        <is>
          <t>avverkningsanmälan</t>
        </is>
      </c>
      <c r="C89" t="inlineStr">
        <is>
          <t>Föryngringsavverkning</t>
        </is>
      </c>
      <c r="D89" s="1" t="n">
        <v>44683</v>
      </c>
      <c r="E89" s="1" t="n">
        <v>46216</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s="2" t="inlineStr">
        <is>
          <t>Slåtterfibbla
Solvända
Tvåblad</t>
        </is>
      </c>
      <c r="V89">
        <f>HYPERLINK("https://klasma.github.io/Logging_0382/artfynd/A 17947-2022 artfynd.xlsx", "A 17947-2022")</f>
        <v/>
      </c>
      <c r="W89">
        <f>HYPERLINK("https://klasma.github.io/Logging_0382/kartor/A 17947-2022 karta.png", "A 17947-2022")</f>
        <v/>
      </c>
      <c r="Y89">
        <f>HYPERLINK("https://klasma.github.io/Logging_0382/klagomål/A 17947-2022 FSC-klagomål.docx", "A 17947-2022")</f>
        <v/>
      </c>
      <c r="Z89">
        <f>HYPERLINK("https://klasma.github.io/Logging_0382/klagomålsmail/A 17947-2022 FSC-klagomål mail.docx", "A 17947-2022")</f>
        <v/>
      </c>
      <c r="AA89">
        <f>HYPERLINK("https://klasma.github.io/Logging_0382/tillsyn/A 17947-2022 tillsynsbegäran.docx", "A 17947-2022")</f>
        <v/>
      </c>
      <c r="AB89">
        <f>HYPERLINK("https://klasma.github.io/Logging_0382/tillsynsmail/A 17947-2022 tillsynsbegäran mail.docx", "A 17947-2022")</f>
        <v/>
      </c>
    </row>
    <row r="90" ht="15" customHeight="1">
      <c r="A90" t="inlineStr">
        <is>
          <t>A 25098-2022</t>
        </is>
      </c>
      <c r="B90" t="inlineStr">
        <is>
          <t>avverkningsanmälan</t>
        </is>
      </c>
      <c r="C90" t="inlineStr">
        <is>
          <t>Föryngringsavverkning</t>
        </is>
      </c>
      <c r="D90" s="1" t="n">
        <v>44729</v>
      </c>
      <c r="E90" s="1" t="n">
        <v>46216</v>
      </c>
      <c r="F90" t="inlineStr">
        <is>
          <t>UPPSALA LÄN</t>
        </is>
      </c>
      <c r="G90" t="inlineStr">
        <is>
          <t>ÖSTHAMMAR</t>
        </is>
      </c>
      <c r="I90" t="n">
        <v>2.9</v>
      </c>
      <c r="J90" t="n">
        <v>3</v>
      </c>
      <c r="K90" t="n">
        <v>0</v>
      </c>
      <c r="L90" t="n">
        <v>1</v>
      </c>
      <c r="M90" t="n">
        <v>0</v>
      </c>
      <c r="N90" t="n">
        <v>0</v>
      </c>
      <c r="O90" t="n">
        <v>0</v>
      </c>
      <c r="P90" t="n">
        <v>0</v>
      </c>
      <c r="Q90" t="n">
        <v>1</v>
      </c>
      <c r="R90" t="n">
        <v>0</v>
      </c>
      <c r="S90" t="n">
        <v>3</v>
      </c>
      <c r="T90" t="n">
        <v>3</v>
      </c>
      <c r="U90" s="2" t="inlineStr">
        <is>
          <t>Mindre hackspett
Blåsippa
Gullviva</t>
        </is>
      </c>
      <c r="V90">
        <f>HYPERLINK("https://klasma.github.io/Logging_0382/artfynd/A 25098-2022 artfynd.xlsx", "A 25098-2022")</f>
        <v/>
      </c>
      <c r="W90">
        <f>HYPERLINK("https://klasma.github.io/Logging_0382/kartor/A 25098-2022 karta.png", "A 25098-2022")</f>
        <v/>
      </c>
      <c r="Y90">
        <f>HYPERLINK("https://klasma.github.io/Logging_0382/klagomål/A 25098-2022 FSC-klagomål.docx", "A 25098-2022")</f>
        <v/>
      </c>
      <c r="Z90">
        <f>HYPERLINK("https://klasma.github.io/Logging_0382/klagomålsmail/A 25098-2022 FSC-klagomål mail.docx", "A 25098-2022")</f>
        <v/>
      </c>
      <c r="AA90">
        <f>HYPERLINK("https://klasma.github.io/Logging_0382/tillsyn/A 25098-2022 tillsynsbegäran.docx", "A 25098-2022")</f>
        <v/>
      </c>
      <c r="AB90">
        <f>HYPERLINK("https://klasma.github.io/Logging_0382/tillsynsmail/A 25098-2022 tillsynsbegäran mail.docx", "A 25098-2022")</f>
        <v/>
      </c>
      <c r="AC90">
        <f>HYPERLINK("https://klasma.github.io/Logging_0382/fåglar/A 25098-2022 prioriterade fågelarter.docx", "A 25098-2022")</f>
        <v/>
      </c>
    </row>
    <row r="91" ht="15" customHeight="1">
      <c r="A91" t="inlineStr">
        <is>
          <t>A 22375-2024</t>
        </is>
      </c>
      <c r="B91" t="inlineStr">
        <is>
          <t>avverkningsanmälan</t>
        </is>
      </c>
      <c r="C91" t="inlineStr">
        <is>
          <t>Föryngringsavverkning</t>
        </is>
      </c>
      <c r="D91" s="1" t="n">
        <v>45446</v>
      </c>
      <c r="E91" s="1" t="n">
        <v>46216</v>
      </c>
      <c r="F91" t="inlineStr">
        <is>
          <t>UPPSALA LÄN</t>
        </is>
      </c>
      <c r="G91" t="inlineStr">
        <is>
          <t>ÖSTHAMMAR</t>
        </is>
      </c>
      <c r="H91" t="inlineStr">
        <is>
          <t>Bergvik skog öst AB</t>
        </is>
      </c>
      <c r="I91" t="n">
        <v>2.2</v>
      </c>
      <c r="J91" t="n">
        <v>0</v>
      </c>
      <c r="K91" t="n">
        <v>0</v>
      </c>
      <c r="L91" t="n">
        <v>1</v>
      </c>
      <c r="M91" t="n">
        <v>2</v>
      </c>
      <c r="N91" t="n">
        <v>0</v>
      </c>
      <c r="O91" t="n">
        <v>0</v>
      </c>
      <c r="P91" t="n">
        <v>0</v>
      </c>
      <c r="Q91" t="n">
        <v>3</v>
      </c>
      <c r="R91" t="n">
        <v>2</v>
      </c>
      <c r="S91" t="n">
        <v>3</v>
      </c>
      <c r="T91" t="n">
        <v>4</v>
      </c>
      <c r="U91" s="2" t="inlineStr">
        <is>
          <t>Mindre bastardsvärmare
Stortimjan
Slåtterfibbla</t>
        </is>
      </c>
      <c r="V91">
        <f>HYPERLINK("https://klasma.github.io/Logging_0382/artfynd/A 22375-2024 artfynd.xlsx", "A 22375-2024")</f>
        <v/>
      </c>
      <c r="W91">
        <f>HYPERLINK("https://klasma.github.io/Logging_0382/kartor/A 22375-2024 karta.png", "A 22375-2024")</f>
        <v/>
      </c>
      <c r="Y91">
        <f>HYPERLINK("https://klasma.github.io/Logging_0382/klagomål/A 22375-2024 FSC-klagomål.docx", "A 22375-2024")</f>
        <v/>
      </c>
      <c r="Z91">
        <f>HYPERLINK("https://klasma.github.io/Logging_0382/klagomålsmail/A 22375-2024 FSC-klagomål mail.docx", "A 22375-2024")</f>
        <v/>
      </c>
      <c r="AA91">
        <f>HYPERLINK("https://klasma.github.io/Logging_0382/tillsyn/A 22375-2024 tillsynsbegäran.docx", "A 22375-2024")</f>
        <v/>
      </c>
      <c r="AB91">
        <f>HYPERLINK("https://klasma.github.io/Logging_0382/tillsynsmail/A 22375-2024 tillsynsbegäran mail.docx", "A 22375-2024")</f>
        <v/>
      </c>
    </row>
    <row r="92" ht="15" customHeight="1">
      <c r="A92" t="inlineStr">
        <is>
          <t>A 23125-2026</t>
        </is>
      </c>
      <c r="B92" t="inlineStr">
        <is>
          <t>avverkningsanmälan</t>
        </is>
      </c>
      <c r="C92" t="inlineStr">
        <is>
          <t>Föryngringsavverkning</t>
        </is>
      </c>
      <c r="D92" s="1" t="n">
        <v>46161</v>
      </c>
      <c r="E92" s="1" t="n">
        <v>46216</v>
      </c>
      <c r="F92" t="inlineStr">
        <is>
          <t>UPPSALA LÄN</t>
        </is>
      </c>
      <c r="G92" t="inlineStr">
        <is>
          <t>ÖSTHAMMAR</t>
        </is>
      </c>
      <c r="H92" t="inlineStr">
        <is>
          <t>Övriga Aktiebolag</t>
        </is>
      </c>
      <c r="I92" t="n">
        <v>4.4</v>
      </c>
      <c r="J92" t="n">
        <v>1</v>
      </c>
      <c r="K92" t="n">
        <v>2</v>
      </c>
      <c r="L92" t="n">
        <v>0</v>
      </c>
      <c r="M92" t="n">
        <v>0</v>
      </c>
      <c r="N92" t="n">
        <v>0</v>
      </c>
      <c r="O92" t="n">
        <v>0</v>
      </c>
      <c r="P92" t="n">
        <v>0</v>
      </c>
      <c r="Q92" t="n">
        <v>0</v>
      </c>
      <c r="R92" t="n">
        <v>0</v>
      </c>
      <c r="S92" t="n">
        <v>3</v>
      </c>
      <c r="T92" t="n">
        <v>3</v>
      </c>
      <c r="U92" s="2" t="inlineStr">
        <is>
          <t>Blek stjärnmossa
Bårdlav
Blåsippa</t>
        </is>
      </c>
      <c r="V92">
        <f>HYPERLINK("https://klasma.github.io/Logging_0382/artfynd/A 23125-2026 artfynd.xlsx", "A 23125-2026")</f>
        <v/>
      </c>
      <c r="W92">
        <f>HYPERLINK("https://klasma.github.io/Logging_0382/kartor/A 23125-2026 karta.png", "A 23125-2026")</f>
        <v/>
      </c>
      <c r="Y92">
        <f>HYPERLINK("https://klasma.github.io/Logging_0382/klagomål/A 23125-2026 FSC-klagomål.docx", "A 23125-2026")</f>
        <v/>
      </c>
      <c r="Z92">
        <f>HYPERLINK("https://klasma.github.io/Logging_0382/klagomålsmail/A 23125-2026 FSC-klagomål mail.docx", "A 23125-2026")</f>
        <v/>
      </c>
      <c r="AA92">
        <f>HYPERLINK("https://klasma.github.io/Logging_0382/tillsyn/A 23125-2026 tillsynsbegäran.docx", "A 23125-2026")</f>
        <v/>
      </c>
      <c r="AB92">
        <f>HYPERLINK("https://klasma.github.io/Logging_0382/tillsynsmail/A 23125-2026 tillsynsbegäran mail.docx", "A 23125-2026")</f>
        <v/>
      </c>
    </row>
    <row r="93" ht="15" customHeight="1">
      <c r="A93" t="inlineStr">
        <is>
          <t>A 24606-2024</t>
        </is>
      </c>
      <c r="B93" t="inlineStr">
        <is>
          <t>avverkningsanmälan</t>
        </is>
      </c>
      <c r="C93" t="inlineStr">
        <is>
          <t>Föryngringsavverkning</t>
        </is>
      </c>
      <c r="D93" s="1" t="n">
        <v>45460</v>
      </c>
      <c r="E93" s="1" t="n">
        <v>46216</v>
      </c>
      <c r="F93" t="inlineStr">
        <is>
          <t>UPPSALA LÄN</t>
        </is>
      </c>
      <c r="G93" t="inlineStr">
        <is>
          <t>ÖSTHAMMAR</t>
        </is>
      </c>
      <c r="H93" t="inlineStr">
        <is>
          <t>Bergvik skog öst AB</t>
        </is>
      </c>
      <c r="I93" t="n">
        <v>2.9</v>
      </c>
      <c r="J93" t="n">
        <v>0</v>
      </c>
      <c r="K93" t="n">
        <v>1</v>
      </c>
      <c r="L93" t="n">
        <v>1</v>
      </c>
      <c r="M93" t="n">
        <v>0</v>
      </c>
      <c r="N93" t="n">
        <v>1</v>
      </c>
      <c r="O93" t="n">
        <v>0</v>
      </c>
      <c r="P93" t="n">
        <v>0</v>
      </c>
      <c r="Q93" t="n">
        <v>2</v>
      </c>
      <c r="R93" t="n">
        <v>1</v>
      </c>
      <c r="S93" t="n">
        <v>3</v>
      </c>
      <c r="T93" t="n">
        <v>3</v>
      </c>
      <c r="U93" s="2" t="inlineStr">
        <is>
          <t>Violgubbe
Dofttaggsvamp
Zontaggsvamp</t>
        </is>
      </c>
      <c r="V93">
        <f>HYPERLINK("https://klasma.github.io/Logging_0382/artfynd/A 24606-2024 artfynd.xlsx", "A 24606-2024")</f>
        <v/>
      </c>
      <c r="W93">
        <f>HYPERLINK("https://klasma.github.io/Logging_0382/kartor/A 24606-2024 karta.png", "A 24606-2024")</f>
        <v/>
      </c>
      <c r="Y93">
        <f>HYPERLINK("https://klasma.github.io/Logging_0382/klagomål/A 24606-2024 FSC-klagomål.docx", "A 24606-2024")</f>
        <v/>
      </c>
      <c r="Z93">
        <f>HYPERLINK("https://klasma.github.io/Logging_0382/klagomålsmail/A 24606-2024 FSC-klagomål mail.docx", "A 24606-2024")</f>
        <v/>
      </c>
      <c r="AA93">
        <f>HYPERLINK("https://klasma.github.io/Logging_0382/tillsyn/A 24606-2024 tillsynsbegäran.docx", "A 24606-2024")</f>
        <v/>
      </c>
      <c r="AB93">
        <f>HYPERLINK("https://klasma.github.io/Logging_0382/tillsynsmail/A 24606-2024 tillsynsbegäran mail.docx", "A 24606-2024")</f>
        <v/>
      </c>
    </row>
    <row r="94" ht="15" customHeight="1">
      <c r="A94" t="inlineStr">
        <is>
          <t>S 4491-2023</t>
        </is>
      </c>
      <c r="B94" t="inlineStr">
        <is>
          <t>samrådsanmälan</t>
        </is>
      </c>
      <c r="C94" t="inlineStr">
        <is>
          <t>Annan skogsbruksåtgärd</t>
        </is>
      </c>
      <c r="D94" s="1" t="n">
        <v>45274</v>
      </c>
      <c r="E94" s="1" t="n">
        <v>46216</v>
      </c>
      <c r="F94" t="inlineStr">
        <is>
          <t>UPPSALA LÄN</t>
        </is>
      </c>
      <c r="G94" t="inlineStr">
        <is>
          <t>ÖSTHAMMAR</t>
        </is>
      </c>
      <c r="I94" t="n">
        <v>1.8</v>
      </c>
      <c r="J94" t="n">
        <v>0</v>
      </c>
      <c r="K94" t="n">
        <v>1</v>
      </c>
      <c r="L94" t="n">
        <v>1</v>
      </c>
      <c r="M94" t="n">
        <v>0</v>
      </c>
      <c r="N94" t="n">
        <v>1</v>
      </c>
      <c r="O94" t="n">
        <v>0</v>
      </c>
      <c r="P94" t="n">
        <v>0</v>
      </c>
      <c r="Q94" t="n">
        <v>2</v>
      </c>
      <c r="R94" t="n">
        <v>1</v>
      </c>
      <c r="S94" t="n">
        <v>3</v>
      </c>
      <c r="T94" t="n">
        <v>6</v>
      </c>
      <c r="U94" s="2" t="inlineStr">
        <is>
          <t>Violgubbe
Fjällig taggsvamp s.str.
Stor aspticka</t>
        </is>
      </c>
      <c r="V94">
        <f>HYPERLINK("https://klasma.github.io/Logging_0382/artfynd/S 4491-2023 artfynd.xlsx", "S 4491-2023")</f>
        <v/>
      </c>
      <c r="W94">
        <f>HYPERLINK("https://klasma.github.io/Logging_0382/kartor/S 4491-2023 karta.png", "S 4491-2023")</f>
        <v/>
      </c>
      <c r="Y94">
        <f>HYPERLINK("https://klasma.github.io/Logging_0382/klagomål/S 4491-2023 FSC-klagomål.docx", "S 4491-2023")</f>
        <v/>
      </c>
      <c r="Z94">
        <f>HYPERLINK("https://klasma.github.io/Logging_0382/klagomålsmail/S 4491-2023 FSC-klagomål mail.docx", "S 4491-2023")</f>
        <v/>
      </c>
      <c r="AA94">
        <f>HYPERLINK("https://klasma.github.io/Logging_0382/tillsyn/S 4491-2023 tillsynsbegäran.docx", "S 4491-2023")</f>
        <v/>
      </c>
      <c r="AB94">
        <f>HYPERLINK("https://klasma.github.io/Logging_0382/tillsynsmail/S 4491-2023 tillsynsbegäran mail.docx", "S 4491-2023")</f>
        <v/>
      </c>
    </row>
    <row r="95" ht="15" customHeight="1">
      <c r="A95" t="inlineStr">
        <is>
          <t>S 2399-2025</t>
        </is>
      </c>
      <c r="B95" t="inlineStr">
        <is>
          <t>samrådsanmälan</t>
        </is>
      </c>
      <c r="C95" t="inlineStr">
        <is>
          <t>Annan skogsbruksåtgärd</t>
        </is>
      </c>
      <c r="D95" s="1" t="n">
        <v>45895</v>
      </c>
      <c r="E95" s="1" t="n">
        <v>46216</v>
      </c>
      <c r="F95" t="inlineStr">
        <is>
          <t>UPPSALA LÄN</t>
        </is>
      </c>
      <c r="G95" t="inlineStr">
        <is>
          <t>ÖSTHAMMAR</t>
        </is>
      </c>
      <c r="I95" t="n">
        <v>1.4</v>
      </c>
      <c r="J95" t="n">
        <v>0</v>
      </c>
      <c r="K95" t="n">
        <v>2</v>
      </c>
      <c r="L95" t="n">
        <v>0</v>
      </c>
      <c r="M95" t="n">
        <v>1</v>
      </c>
      <c r="N95" t="n">
        <v>0</v>
      </c>
      <c r="O95" t="n">
        <v>0</v>
      </c>
      <c r="P95" t="n">
        <v>0</v>
      </c>
      <c r="Q95" t="n">
        <v>1</v>
      </c>
      <c r="R95" t="n">
        <v>1</v>
      </c>
      <c r="S95" t="n">
        <v>3</v>
      </c>
      <c r="T95" t="n">
        <v>3</v>
      </c>
      <c r="U95" s="2" t="inlineStr">
        <is>
          <t>Gul lammticka
Brun klibbskivling
Tibast</t>
        </is>
      </c>
      <c r="V95">
        <f>HYPERLINK("https://klasma.github.io/Logging_0382/artfynd/S 2399-2025 artfynd.xlsx", "S 2399-2025")</f>
        <v/>
      </c>
      <c r="W95">
        <f>HYPERLINK("https://klasma.github.io/Logging_0382/kartor/S 2399-2025 karta.png", "S 2399-2025")</f>
        <v/>
      </c>
      <c r="Y95">
        <f>HYPERLINK("https://klasma.github.io/Logging_0382/klagomål/S 2399-2025 FSC-klagomål.docx", "S 2399-2025")</f>
        <v/>
      </c>
      <c r="Z95">
        <f>HYPERLINK("https://klasma.github.io/Logging_0382/klagomålsmail/S 2399-2025 FSC-klagomål mail.docx", "S 2399-2025")</f>
        <v/>
      </c>
      <c r="AA95">
        <f>HYPERLINK("https://klasma.github.io/Logging_0382/tillsyn/S 2399-2025 tillsynsbegäran.docx", "S 2399-2025")</f>
        <v/>
      </c>
      <c r="AB95">
        <f>HYPERLINK("https://klasma.github.io/Logging_0382/tillsynsmail/S 2399-2025 tillsynsbegäran mail.docx", "S 2399-2025")</f>
        <v/>
      </c>
    </row>
    <row r="96" ht="15" customHeight="1">
      <c r="A96" t="inlineStr">
        <is>
          <t>S 752-2026</t>
        </is>
      </c>
      <c r="B96" t="inlineStr">
        <is>
          <t>samrådsanmälan</t>
        </is>
      </c>
      <c r="C96" t="inlineStr">
        <is>
          <t>Skogsgödsling</t>
        </is>
      </c>
      <c r="D96" s="1" t="n">
        <v>46089</v>
      </c>
      <c r="E96" s="1" t="n">
        <v>46216</v>
      </c>
      <c r="F96" t="inlineStr">
        <is>
          <t>UPPSALA LÄN</t>
        </is>
      </c>
      <c r="G96" t="inlineStr">
        <is>
          <t>ÖSTHAMMAR</t>
        </is>
      </c>
      <c r="H96" t="inlineStr">
        <is>
          <t>Bergvik skog öst AB</t>
        </is>
      </c>
      <c r="I96" t="n">
        <v>197.1</v>
      </c>
      <c r="J96" t="n">
        <v>1</v>
      </c>
      <c r="K96" t="n">
        <v>1</v>
      </c>
      <c r="L96" t="n">
        <v>1</v>
      </c>
      <c r="M96" t="n">
        <v>1</v>
      </c>
      <c r="N96" t="n">
        <v>0</v>
      </c>
      <c r="O96" t="n">
        <v>0</v>
      </c>
      <c r="P96" t="n">
        <v>0</v>
      </c>
      <c r="Q96" t="n">
        <v>2</v>
      </c>
      <c r="R96" t="n">
        <v>1</v>
      </c>
      <c r="S96" t="n">
        <v>3</v>
      </c>
      <c r="T96" t="n">
        <v>4</v>
      </c>
      <c r="U96" s="2" t="inlineStr">
        <is>
          <t>Garnlav
Motaggsvamp
Grön sköldmossa</t>
        </is>
      </c>
      <c r="V96">
        <f>HYPERLINK("https://klasma.github.io/Logging_0382/artfynd/S 752-2026 artfynd.xlsx", "S 752-2026")</f>
        <v/>
      </c>
      <c r="W96">
        <f>HYPERLINK("https://klasma.github.io/Logging_0382/kartor/S 752-2026 karta.png", "S 752-2026")</f>
        <v/>
      </c>
      <c r="Y96">
        <f>HYPERLINK("https://klasma.github.io/Logging_0382/klagomål/S 752-2026 FSC-klagomål.docx", "S 752-2026")</f>
        <v/>
      </c>
      <c r="Z96">
        <f>HYPERLINK("https://klasma.github.io/Logging_0382/klagomålsmail/S 752-2026 FSC-klagomål mail.docx", "S 752-2026")</f>
        <v/>
      </c>
      <c r="AA96">
        <f>HYPERLINK("https://klasma.github.io/Logging_0382/tillsyn/S 752-2026 tillsynsbegäran.docx", "S 752-2026")</f>
        <v/>
      </c>
      <c r="AB96">
        <f>HYPERLINK("https://klasma.github.io/Logging_0382/tillsynsmail/S 752-2026 tillsynsbegäran mail.docx", "S 752-2026")</f>
        <v/>
      </c>
    </row>
    <row r="97" ht="15" customHeight="1">
      <c r="A97" t="inlineStr">
        <is>
          <t>A 60078-2021</t>
        </is>
      </c>
      <c r="B97" t="inlineStr">
        <is>
          <t>avverkningsanmälan</t>
        </is>
      </c>
      <c r="C97" t="inlineStr">
        <is>
          <t>Föryngringsavverkning</t>
        </is>
      </c>
      <c r="D97" s="1" t="n">
        <v>44495</v>
      </c>
      <c r="E97" s="1" t="n">
        <v>46216</v>
      </c>
      <c r="F97" t="inlineStr">
        <is>
          <t>UPPSALA LÄN</t>
        </is>
      </c>
      <c r="G97" t="inlineStr">
        <is>
          <t>ÖSTHAMMAR</t>
        </is>
      </c>
      <c r="I97" t="n">
        <v>1.1</v>
      </c>
      <c r="J97" t="n">
        <v>0</v>
      </c>
      <c r="K97" t="n">
        <v>0</v>
      </c>
      <c r="L97" t="n">
        <v>1</v>
      </c>
      <c r="M97" t="n">
        <v>0</v>
      </c>
      <c r="N97" t="n">
        <v>1</v>
      </c>
      <c r="O97" t="n">
        <v>0</v>
      </c>
      <c r="P97" t="n">
        <v>0</v>
      </c>
      <c r="Q97" t="n">
        <v>2</v>
      </c>
      <c r="R97" t="n">
        <v>1</v>
      </c>
      <c r="S97" t="n">
        <v>2</v>
      </c>
      <c r="T97" t="n">
        <v>2</v>
      </c>
      <c r="U97" s="2" t="inlineStr">
        <is>
          <t>Violgubbe
Blek fingersvamp</t>
        </is>
      </c>
      <c r="V97">
        <f>HYPERLINK("https://klasma.github.io/Logging_0382/artfynd/A 60078-2021 artfynd.xlsx", "A 60078-2021")</f>
        <v/>
      </c>
      <c r="W97">
        <f>HYPERLINK("https://klasma.github.io/Logging_0382/kartor/A 60078-2021 karta.png", "A 60078-2021")</f>
        <v/>
      </c>
      <c r="Y97">
        <f>HYPERLINK("https://klasma.github.io/Logging_0382/klagomål/A 60078-2021 FSC-klagomål.docx", "A 60078-2021")</f>
        <v/>
      </c>
      <c r="Z97">
        <f>HYPERLINK("https://klasma.github.io/Logging_0382/klagomålsmail/A 60078-2021 FSC-klagomål mail.docx", "A 60078-2021")</f>
        <v/>
      </c>
      <c r="AA97">
        <f>HYPERLINK("https://klasma.github.io/Logging_0382/tillsyn/A 60078-2021 tillsynsbegäran.docx", "A 60078-2021")</f>
        <v/>
      </c>
      <c r="AB97">
        <f>HYPERLINK("https://klasma.github.io/Logging_0382/tillsynsmail/A 60078-2021 tillsynsbegäran mail.docx", "A 60078-2021")</f>
        <v/>
      </c>
    </row>
    <row r="98" ht="15" customHeight="1">
      <c r="A98" t="inlineStr">
        <is>
          <t>A 65165-2021</t>
        </is>
      </c>
      <c r="B98" t="inlineStr">
        <is>
          <t>avverkningsanmälan</t>
        </is>
      </c>
      <c r="C98" t="inlineStr">
        <is>
          <t>Föryngringsavverkning</t>
        </is>
      </c>
      <c r="D98" s="1" t="n">
        <v>44515</v>
      </c>
      <c r="E98" s="1" t="n">
        <v>46216</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s="2" t="inlineStr">
        <is>
          <t>Vedtrappmossa
Spillkråka</t>
        </is>
      </c>
      <c r="V98">
        <f>HYPERLINK("https://klasma.github.io/Logging_0382/artfynd/A 65165-2021 artfynd.xlsx", "A 65165-2021")</f>
        <v/>
      </c>
      <c r="W98">
        <f>HYPERLINK("https://klasma.github.io/Logging_0382/kartor/A 65165-2021 karta.png", "A 65165-2021")</f>
        <v/>
      </c>
      <c r="X98">
        <f>HYPERLINK("https://klasma.github.io/Logging_0382/knärot/A 65165-2021 karta knärot.png", "A 65165-2021")</f>
        <v/>
      </c>
      <c r="Y98">
        <f>HYPERLINK("https://klasma.github.io/Logging_0382/klagomål/A 65165-2021 FSC-klagomål.docx", "A 65165-2021")</f>
        <v/>
      </c>
      <c r="Z98">
        <f>HYPERLINK("https://klasma.github.io/Logging_0382/klagomålsmail/A 65165-2021 FSC-klagomål mail.docx", "A 65165-2021")</f>
        <v/>
      </c>
      <c r="AA98">
        <f>HYPERLINK("https://klasma.github.io/Logging_0382/tillsyn/A 65165-2021 tillsynsbegäran.docx", "A 65165-2021")</f>
        <v/>
      </c>
      <c r="AB98">
        <f>HYPERLINK("https://klasma.github.io/Logging_0382/tillsynsmail/A 65165-2021 tillsynsbegäran mail.docx", "A 65165-2021")</f>
        <v/>
      </c>
      <c r="AC98">
        <f>HYPERLINK("https://klasma.github.io/Logging_0382/fåglar/A 65165-2021 prioriterade fågelarter.docx", "A 65165-2021")</f>
        <v/>
      </c>
    </row>
    <row r="99" ht="15" customHeight="1">
      <c r="A99" t="inlineStr">
        <is>
          <t>A 49871-2021</t>
        </is>
      </c>
      <c r="B99" t="inlineStr">
        <is>
          <t>avverkningsanmälan</t>
        </is>
      </c>
      <c r="C99" t="inlineStr">
        <is>
          <t>Föryngringsavverkning</t>
        </is>
      </c>
      <c r="D99" s="1" t="n">
        <v>44455</v>
      </c>
      <c r="E99" s="1" t="n">
        <v>46216</v>
      </c>
      <c r="F99" t="inlineStr">
        <is>
          <t>UPPSALA LÄN</t>
        </is>
      </c>
      <c r="G99" t="inlineStr">
        <is>
          <t>ÖSTHAMMAR</t>
        </is>
      </c>
      <c r="I99" t="n">
        <v>0.5</v>
      </c>
      <c r="J99" t="n">
        <v>1</v>
      </c>
      <c r="K99" t="n">
        <v>2</v>
      </c>
      <c r="L99" t="n">
        <v>0</v>
      </c>
      <c r="M99" t="n">
        <v>0</v>
      </c>
      <c r="N99" t="n">
        <v>0</v>
      </c>
      <c r="O99" t="n">
        <v>0</v>
      </c>
      <c r="P99" t="n">
        <v>0</v>
      </c>
      <c r="Q99" t="n">
        <v>0</v>
      </c>
      <c r="R99" t="n">
        <v>0</v>
      </c>
      <c r="S99" t="n">
        <v>2</v>
      </c>
      <c r="T99" t="n">
        <v>2</v>
      </c>
      <c r="U99" s="2" t="inlineStr">
        <is>
          <t>Anisspindling
Skogsknipprot</t>
        </is>
      </c>
      <c r="V99">
        <f>HYPERLINK("https://klasma.github.io/Logging_0382/artfynd/A 49871-2021 artfynd.xlsx", "A 49871-2021")</f>
        <v/>
      </c>
      <c r="W99">
        <f>HYPERLINK("https://klasma.github.io/Logging_0382/kartor/A 49871-2021 karta.png", "A 49871-2021")</f>
        <v/>
      </c>
      <c r="Y99">
        <f>HYPERLINK("https://klasma.github.io/Logging_0382/klagomål/A 49871-2021 FSC-klagomål.docx", "A 49871-2021")</f>
        <v/>
      </c>
      <c r="Z99">
        <f>HYPERLINK("https://klasma.github.io/Logging_0382/klagomålsmail/A 49871-2021 FSC-klagomål mail.docx", "A 49871-2021")</f>
        <v/>
      </c>
      <c r="AA99">
        <f>HYPERLINK("https://klasma.github.io/Logging_0382/tillsyn/A 49871-2021 tillsynsbegäran.docx", "A 49871-2021")</f>
        <v/>
      </c>
      <c r="AB99">
        <f>HYPERLINK("https://klasma.github.io/Logging_0382/tillsynsmail/A 49871-2021 tillsynsbegäran mail.docx", "A 49871-2021")</f>
        <v/>
      </c>
    </row>
    <row r="100" ht="15" customHeight="1">
      <c r="A100" t="inlineStr">
        <is>
          <t>A 2168-2022</t>
        </is>
      </c>
      <c r="B100" t="inlineStr">
        <is>
          <t>avverkningsanmälan</t>
        </is>
      </c>
      <c r="C100" t="inlineStr">
        <is>
          <t>Föryngringsavverkning</t>
        </is>
      </c>
      <c r="D100" s="1" t="n">
        <v>44578</v>
      </c>
      <c r="E100" s="1" t="n">
        <v>46216</v>
      </c>
      <c r="F100" t="inlineStr">
        <is>
          <t>UPPSALA LÄN</t>
        </is>
      </c>
      <c r="G100" t="inlineStr">
        <is>
          <t>ÖSTHAMMAR</t>
        </is>
      </c>
      <c r="I100" t="n">
        <v>2.9</v>
      </c>
      <c r="J100" t="n">
        <v>0</v>
      </c>
      <c r="K100" t="n">
        <v>2</v>
      </c>
      <c r="L100" t="n">
        <v>0</v>
      </c>
      <c r="M100" t="n">
        <v>0</v>
      </c>
      <c r="N100" t="n">
        <v>0</v>
      </c>
      <c r="O100" t="n">
        <v>0</v>
      </c>
      <c r="P100" t="n">
        <v>0</v>
      </c>
      <c r="Q100" t="n">
        <v>0</v>
      </c>
      <c r="R100" t="n">
        <v>0</v>
      </c>
      <c r="S100" t="n">
        <v>2</v>
      </c>
      <c r="T100" t="n">
        <v>2</v>
      </c>
      <c r="U100" s="2" t="inlineStr">
        <is>
          <t>Jättesvampmal
Olivspindling</t>
        </is>
      </c>
      <c r="V100">
        <f>HYPERLINK("https://klasma.github.io/Logging_0382/artfynd/A 2168-2022 artfynd.xlsx", "A 2168-2022")</f>
        <v/>
      </c>
      <c r="W100">
        <f>HYPERLINK("https://klasma.github.io/Logging_0382/kartor/A 2168-2022 karta.png", "A 2168-2022")</f>
        <v/>
      </c>
      <c r="Y100">
        <f>HYPERLINK("https://klasma.github.io/Logging_0382/klagomål/A 2168-2022 FSC-klagomål.docx", "A 2168-2022")</f>
        <v/>
      </c>
      <c r="Z100">
        <f>HYPERLINK("https://klasma.github.io/Logging_0382/klagomålsmail/A 2168-2022 FSC-klagomål mail.docx", "A 2168-2022")</f>
        <v/>
      </c>
      <c r="AA100">
        <f>HYPERLINK("https://klasma.github.io/Logging_0382/tillsyn/A 2168-2022 tillsynsbegäran.docx", "A 2168-2022")</f>
        <v/>
      </c>
      <c r="AB100">
        <f>HYPERLINK("https://klasma.github.io/Logging_0382/tillsynsmail/A 2168-2022 tillsynsbegäran mail.docx", "A 2168-2022")</f>
        <v/>
      </c>
    </row>
    <row r="101" ht="15" customHeight="1">
      <c r="A101" t="inlineStr">
        <is>
          <t>A 32064-2022</t>
        </is>
      </c>
      <c r="B101" t="inlineStr">
        <is>
          <t>avverkningsanmälan</t>
        </is>
      </c>
      <c r="C101" t="inlineStr">
        <is>
          <t>Föryngringsavverkning</t>
        </is>
      </c>
      <c r="D101" s="1" t="n">
        <v>44778</v>
      </c>
      <c r="E101" s="1" t="n">
        <v>46216</v>
      </c>
      <c r="F101" t="inlineStr">
        <is>
          <t>UPPSALA LÄN</t>
        </is>
      </c>
      <c r="G101" t="inlineStr">
        <is>
          <t>ÖSTHAMMAR</t>
        </is>
      </c>
      <c r="I101" t="n">
        <v>2.2</v>
      </c>
      <c r="J101" t="n">
        <v>0</v>
      </c>
      <c r="K101" t="n">
        <v>1</v>
      </c>
      <c r="L101" t="n">
        <v>0</v>
      </c>
      <c r="M101" t="n">
        <v>1</v>
      </c>
      <c r="N101" t="n">
        <v>0</v>
      </c>
      <c r="O101" t="n">
        <v>0</v>
      </c>
      <c r="P101" t="n">
        <v>0</v>
      </c>
      <c r="Q101" t="n">
        <v>1</v>
      </c>
      <c r="R101" t="n">
        <v>1</v>
      </c>
      <c r="S101" t="n">
        <v>2</v>
      </c>
      <c r="T101" t="n">
        <v>2</v>
      </c>
      <c r="U101" s="2" t="inlineStr">
        <is>
          <t>Gul lammticka
Olivspindling</t>
        </is>
      </c>
      <c r="V101">
        <f>HYPERLINK("https://klasma.github.io/Logging_0382/artfynd/A 32064-2022 artfynd.xlsx", "A 32064-2022")</f>
        <v/>
      </c>
      <c r="W101">
        <f>HYPERLINK("https://klasma.github.io/Logging_0382/kartor/A 32064-2022 karta.png", "A 32064-2022")</f>
        <v/>
      </c>
      <c r="Y101">
        <f>HYPERLINK("https://klasma.github.io/Logging_0382/klagomål/A 32064-2022 FSC-klagomål.docx", "A 32064-2022")</f>
        <v/>
      </c>
      <c r="Z101">
        <f>HYPERLINK("https://klasma.github.io/Logging_0382/klagomålsmail/A 32064-2022 FSC-klagomål mail.docx", "A 32064-2022")</f>
        <v/>
      </c>
      <c r="AA101">
        <f>HYPERLINK("https://klasma.github.io/Logging_0382/tillsyn/A 32064-2022 tillsynsbegäran.docx", "A 32064-2022")</f>
        <v/>
      </c>
      <c r="AB101">
        <f>HYPERLINK("https://klasma.github.io/Logging_0382/tillsynsmail/A 32064-2022 tillsynsbegäran mail.docx", "A 32064-2022")</f>
        <v/>
      </c>
    </row>
    <row r="102" ht="15" customHeight="1">
      <c r="A102" t="inlineStr">
        <is>
          <t>A 21862-2023</t>
        </is>
      </c>
      <c r="B102" t="inlineStr">
        <is>
          <t>avverkningsanmälan</t>
        </is>
      </c>
      <c r="C102" t="inlineStr">
        <is>
          <t>Föryngringsavverkning</t>
        </is>
      </c>
      <c r="D102" s="1" t="n">
        <v>45068</v>
      </c>
      <c r="E102" s="1" t="n">
        <v>46216</v>
      </c>
      <c r="F102" t="inlineStr">
        <is>
          <t>UPPSALA LÄN</t>
        </is>
      </c>
      <c r="G102" t="inlineStr">
        <is>
          <t>ÖSTHAMMAR</t>
        </is>
      </c>
      <c r="I102" t="n">
        <v>0.5</v>
      </c>
      <c r="J102" t="n">
        <v>2</v>
      </c>
      <c r="K102" t="n">
        <v>0</v>
      </c>
      <c r="L102" t="n">
        <v>1</v>
      </c>
      <c r="M102" t="n">
        <v>0</v>
      </c>
      <c r="N102" t="n">
        <v>0</v>
      </c>
      <c r="O102" t="n">
        <v>0</v>
      </c>
      <c r="P102" t="n">
        <v>0</v>
      </c>
      <c r="Q102" t="n">
        <v>1</v>
      </c>
      <c r="R102" t="n">
        <v>0</v>
      </c>
      <c r="S102" t="n">
        <v>2</v>
      </c>
      <c r="T102" t="n">
        <v>2</v>
      </c>
      <c r="U102" s="2" t="inlineStr">
        <is>
          <t>Nordfladdermus
Vattenfladdermus</t>
        </is>
      </c>
      <c r="V102">
        <f>HYPERLINK("https://klasma.github.io/Logging_0382/artfynd/A 21862-2023 artfynd.xlsx", "A 21862-2023")</f>
        <v/>
      </c>
      <c r="W102">
        <f>HYPERLINK("https://klasma.github.io/Logging_0382/kartor/A 21862-2023 karta.png", "A 21862-2023")</f>
        <v/>
      </c>
      <c r="Y102">
        <f>HYPERLINK("https://klasma.github.io/Logging_0382/klagomål/A 21862-2023 FSC-klagomål.docx", "A 21862-2023")</f>
        <v/>
      </c>
      <c r="Z102">
        <f>HYPERLINK("https://klasma.github.io/Logging_0382/klagomålsmail/A 21862-2023 FSC-klagomål mail.docx", "A 21862-2023")</f>
        <v/>
      </c>
      <c r="AA102">
        <f>HYPERLINK("https://klasma.github.io/Logging_0382/tillsyn/A 21862-2023 tillsynsbegäran.docx", "A 21862-2023")</f>
        <v/>
      </c>
      <c r="AB102">
        <f>HYPERLINK("https://klasma.github.io/Logging_0382/tillsynsmail/A 21862-2023 tillsynsbegäran mail.docx", "A 21862-2023")</f>
        <v/>
      </c>
    </row>
    <row r="103" ht="15" customHeight="1">
      <c r="A103" t="inlineStr">
        <is>
          <t>A 19009-2023</t>
        </is>
      </c>
      <c r="B103" t="inlineStr">
        <is>
          <t>avverkningsanmälan</t>
        </is>
      </c>
      <c r="C103" t="inlineStr">
        <is>
          <t>Föryngringsavverkning</t>
        </is>
      </c>
      <c r="D103" s="1" t="n">
        <v>45045</v>
      </c>
      <c r="E103" s="1" t="n">
        <v>46216</v>
      </c>
      <c r="F103" t="inlineStr">
        <is>
          <t>UPPSALA LÄN</t>
        </is>
      </c>
      <c r="G103" t="inlineStr">
        <is>
          <t>ÖSTHAMMAR</t>
        </is>
      </c>
      <c r="H103" t="inlineStr">
        <is>
          <t>Bergvik skog öst AB</t>
        </is>
      </c>
      <c r="I103" t="n">
        <v>0.2</v>
      </c>
      <c r="J103" t="n">
        <v>1</v>
      </c>
      <c r="K103" t="n">
        <v>0</v>
      </c>
      <c r="L103" t="n">
        <v>1</v>
      </c>
      <c r="M103" t="n">
        <v>0</v>
      </c>
      <c r="N103" t="n">
        <v>0</v>
      </c>
      <c r="O103" t="n">
        <v>0</v>
      </c>
      <c r="P103" t="n">
        <v>0</v>
      </c>
      <c r="Q103" t="n">
        <v>1</v>
      </c>
      <c r="R103" t="n">
        <v>0</v>
      </c>
      <c r="S103" t="n">
        <v>2</v>
      </c>
      <c r="T103" t="n">
        <v>2</v>
      </c>
      <c r="U103" s="2" t="inlineStr">
        <is>
          <t>Slåtterfibbla
Gullviva</t>
        </is>
      </c>
      <c r="V103">
        <f>HYPERLINK("https://klasma.github.io/Logging_0382/artfynd/A 19009-2023 artfynd.xlsx", "A 19009-2023")</f>
        <v/>
      </c>
      <c r="W103">
        <f>HYPERLINK("https://klasma.github.io/Logging_0382/kartor/A 19009-2023 karta.png", "A 19009-2023")</f>
        <v/>
      </c>
      <c r="Y103">
        <f>HYPERLINK("https://klasma.github.io/Logging_0382/klagomål/A 19009-2023 FSC-klagomål.docx", "A 19009-2023")</f>
        <v/>
      </c>
      <c r="Z103">
        <f>HYPERLINK("https://klasma.github.io/Logging_0382/klagomålsmail/A 19009-2023 FSC-klagomål mail.docx", "A 19009-2023")</f>
        <v/>
      </c>
      <c r="AA103">
        <f>HYPERLINK("https://klasma.github.io/Logging_0382/tillsyn/A 19009-2023 tillsynsbegäran.docx", "A 19009-2023")</f>
        <v/>
      </c>
      <c r="AB103">
        <f>HYPERLINK("https://klasma.github.io/Logging_0382/tillsynsmail/A 19009-2023 tillsynsbegäran mail.docx", "A 19009-2023")</f>
        <v/>
      </c>
    </row>
    <row r="104" ht="15" customHeight="1">
      <c r="A104" t="inlineStr">
        <is>
          <t>A 18539-2024</t>
        </is>
      </c>
      <c r="B104" t="inlineStr">
        <is>
          <t>avverkningsanmälan</t>
        </is>
      </c>
      <c r="C104" t="inlineStr">
        <is>
          <t>Föryngringsavverkning</t>
        </is>
      </c>
      <c r="D104" s="1" t="n">
        <v>45425</v>
      </c>
      <c r="E104" s="1" t="n">
        <v>46216</v>
      </c>
      <c r="F104" t="inlineStr">
        <is>
          <t>UPPSALA LÄN</t>
        </is>
      </c>
      <c r="G104" t="inlineStr">
        <is>
          <t>ÖSTHAMMAR</t>
        </is>
      </c>
      <c r="I104" t="n">
        <v>4.7</v>
      </c>
      <c r="J104" t="n">
        <v>0</v>
      </c>
      <c r="K104" t="n">
        <v>2</v>
      </c>
      <c r="L104" t="n">
        <v>0</v>
      </c>
      <c r="M104" t="n">
        <v>0</v>
      </c>
      <c r="N104" t="n">
        <v>0</v>
      </c>
      <c r="O104" t="n">
        <v>0</v>
      </c>
      <c r="P104" t="n">
        <v>0</v>
      </c>
      <c r="Q104" t="n">
        <v>0</v>
      </c>
      <c r="R104" t="n">
        <v>0</v>
      </c>
      <c r="S104" t="n">
        <v>2</v>
      </c>
      <c r="T104" t="n">
        <v>3</v>
      </c>
      <c r="U104" s="2" t="inlineStr">
        <is>
          <t>Bronshjon
Vågbandad barkbock</t>
        </is>
      </c>
      <c r="V104">
        <f>HYPERLINK("https://klasma.github.io/Logging_0382/artfynd/A 18539-2024 artfynd.xlsx", "A 18539-2024")</f>
        <v/>
      </c>
      <c r="W104">
        <f>HYPERLINK("https://klasma.github.io/Logging_0382/kartor/A 18539-2024 karta.png", "A 18539-2024")</f>
        <v/>
      </c>
      <c r="Y104">
        <f>HYPERLINK("https://klasma.github.io/Logging_0382/klagomål/A 18539-2024 FSC-klagomål.docx", "A 18539-2024")</f>
        <v/>
      </c>
      <c r="Z104">
        <f>HYPERLINK("https://klasma.github.io/Logging_0382/klagomålsmail/A 18539-2024 FSC-klagomål mail.docx", "A 18539-2024")</f>
        <v/>
      </c>
      <c r="AA104">
        <f>HYPERLINK("https://klasma.github.io/Logging_0382/tillsyn/A 18539-2024 tillsynsbegäran.docx", "A 18539-2024")</f>
        <v/>
      </c>
      <c r="AB104">
        <f>HYPERLINK("https://klasma.github.io/Logging_0382/tillsynsmail/A 18539-2024 tillsynsbegäran mail.docx", "A 18539-2024")</f>
        <v/>
      </c>
    </row>
    <row r="105" ht="15" customHeight="1">
      <c r="A105" t="inlineStr">
        <is>
          <t>A 20553-2025</t>
        </is>
      </c>
      <c r="B105" t="inlineStr">
        <is>
          <t>avverkningsanmälan</t>
        </is>
      </c>
      <c r="C105" t="inlineStr">
        <is>
          <t>Föryngringsavverkning</t>
        </is>
      </c>
      <c r="D105" s="1" t="n">
        <v>45775</v>
      </c>
      <c r="E105" s="1" t="n">
        <v>46216</v>
      </c>
      <c r="F105" t="inlineStr">
        <is>
          <t>UPPSALA LÄN</t>
        </is>
      </c>
      <c r="G105" t="inlineStr">
        <is>
          <t>ÖSTHAMMAR</t>
        </is>
      </c>
      <c r="I105" t="n">
        <v>0.4</v>
      </c>
      <c r="J105" t="n">
        <v>0</v>
      </c>
      <c r="K105" t="n">
        <v>2</v>
      </c>
      <c r="L105" t="n">
        <v>0</v>
      </c>
      <c r="M105" t="n">
        <v>0</v>
      </c>
      <c r="N105" t="n">
        <v>0</v>
      </c>
      <c r="O105" t="n">
        <v>0</v>
      </c>
      <c r="P105" t="n">
        <v>0</v>
      </c>
      <c r="Q105" t="n">
        <v>0</v>
      </c>
      <c r="R105" t="n">
        <v>0</v>
      </c>
      <c r="S105" t="n">
        <v>2</v>
      </c>
      <c r="T105" t="n">
        <v>2</v>
      </c>
      <c r="U105" s="2" t="inlineStr">
        <is>
          <t>Jättesvampmal
Robust tickgnagare</t>
        </is>
      </c>
      <c r="V105">
        <f>HYPERLINK("https://klasma.github.io/Logging_0382/artfynd/A 20553-2025 artfynd.xlsx", "A 20553-2025")</f>
        <v/>
      </c>
      <c r="W105">
        <f>HYPERLINK("https://klasma.github.io/Logging_0382/kartor/A 20553-2025 karta.png", "A 20553-2025")</f>
        <v/>
      </c>
      <c r="Y105">
        <f>HYPERLINK("https://klasma.github.io/Logging_0382/klagomål/A 20553-2025 FSC-klagomål.docx", "A 20553-2025")</f>
        <v/>
      </c>
      <c r="Z105">
        <f>HYPERLINK("https://klasma.github.io/Logging_0382/klagomålsmail/A 20553-2025 FSC-klagomål mail.docx", "A 20553-2025")</f>
        <v/>
      </c>
      <c r="AA105">
        <f>HYPERLINK("https://klasma.github.io/Logging_0382/tillsyn/A 20553-2025 tillsynsbegäran.docx", "A 20553-2025")</f>
        <v/>
      </c>
      <c r="AB105">
        <f>HYPERLINK("https://klasma.github.io/Logging_0382/tillsynsmail/A 20553-2025 tillsynsbegäran mail.docx", "A 20553-2025")</f>
        <v/>
      </c>
    </row>
    <row r="106" ht="15" customHeight="1">
      <c r="A106" t="inlineStr">
        <is>
          <t>A 46629-2024</t>
        </is>
      </c>
      <c r="B106" t="inlineStr">
        <is>
          <t>avverkningsanmälan</t>
        </is>
      </c>
      <c r="C106" t="inlineStr">
        <is>
          <t>Föryngringsavverkning</t>
        </is>
      </c>
      <c r="D106" s="1" t="n">
        <v>45583</v>
      </c>
      <c r="E106" s="1" t="n">
        <v>46216</v>
      </c>
      <c r="F106" t="inlineStr">
        <is>
          <t>UPPSALA LÄN</t>
        </is>
      </c>
      <c r="G106" t="inlineStr">
        <is>
          <t>ÖSTHAMMAR</t>
        </is>
      </c>
      <c r="H106" t="inlineStr">
        <is>
          <t>Bergvik skog öst AB</t>
        </is>
      </c>
      <c r="I106" t="n">
        <v>0.7</v>
      </c>
      <c r="J106" t="n">
        <v>0</v>
      </c>
      <c r="K106" t="n">
        <v>0</v>
      </c>
      <c r="L106" t="n">
        <v>1</v>
      </c>
      <c r="M106" t="n">
        <v>1</v>
      </c>
      <c r="N106" t="n">
        <v>0</v>
      </c>
      <c r="O106" t="n">
        <v>0</v>
      </c>
      <c r="P106" t="n">
        <v>0</v>
      </c>
      <c r="Q106" t="n">
        <v>2</v>
      </c>
      <c r="R106" t="n">
        <v>1</v>
      </c>
      <c r="S106" t="n">
        <v>2</v>
      </c>
      <c r="T106" t="n">
        <v>2</v>
      </c>
      <c r="U106" s="2" t="inlineStr">
        <is>
          <t>Sexfläckig bastardsvärmare
Slåtterfibbla</t>
        </is>
      </c>
      <c r="V106">
        <f>HYPERLINK("https://klasma.github.io/Logging_0382/artfynd/A 46629-2024 artfynd.xlsx", "A 46629-2024")</f>
        <v/>
      </c>
      <c r="W106">
        <f>HYPERLINK("https://klasma.github.io/Logging_0382/kartor/A 46629-2024 karta.png", "A 46629-2024")</f>
        <v/>
      </c>
      <c r="Y106">
        <f>HYPERLINK("https://klasma.github.io/Logging_0382/klagomål/A 46629-2024 FSC-klagomål.docx", "A 46629-2024")</f>
        <v/>
      </c>
      <c r="Z106">
        <f>HYPERLINK("https://klasma.github.io/Logging_0382/klagomålsmail/A 46629-2024 FSC-klagomål mail.docx", "A 46629-2024")</f>
        <v/>
      </c>
      <c r="AA106">
        <f>HYPERLINK("https://klasma.github.io/Logging_0382/tillsyn/A 46629-2024 tillsynsbegäran.docx", "A 46629-2024")</f>
        <v/>
      </c>
      <c r="AB106">
        <f>HYPERLINK("https://klasma.github.io/Logging_0382/tillsynsmail/A 46629-2024 tillsynsbegäran mail.docx", "A 46629-2024")</f>
        <v/>
      </c>
    </row>
    <row r="107" ht="15" customHeight="1">
      <c r="A107" t="inlineStr">
        <is>
          <t>A 51708-2025</t>
        </is>
      </c>
      <c r="B107" t="inlineStr">
        <is>
          <t>avverkningsanmälan</t>
        </is>
      </c>
      <c r="C107" t="inlineStr">
        <is>
          <t>Föryngringsavverkning</t>
        </is>
      </c>
      <c r="D107" s="1" t="n">
        <v>45951</v>
      </c>
      <c r="E107" s="1" t="n">
        <v>46216</v>
      </c>
      <c r="F107" t="inlineStr">
        <is>
          <t>UPPSALA LÄN</t>
        </is>
      </c>
      <c r="G107" t="inlineStr">
        <is>
          <t>ÖSTHAMMAR</t>
        </is>
      </c>
      <c r="H107" t="inlineStr">
        <is>
          <t>Bergvik skog öst AB</t>
        </is>
      </c>
      <c r="I107" t="n">
        <v>1.3</v>
      </c>
      <c r="J107" t="n">
        <v>2</v>
      </c>
      <c r="K107" t="n">
        <v>0</v>
      </c>
      <c r="L107" t="n">
        <v>0</v>
      </c>
      <c r="M107" t="n">
        <v>1</v>
      </c>
      <c r="N107" t="n">
        <v>0</v>
      </c>
      <c r="O107" t="n">
        <v>0</v>
      </c>
      <c r="P107" t="n">
        <v>0</v>
      </c>
      <c r="Q107" t="n">
        <v>1</v>
      </c>
      <c r="R107" t="n">
        <v>1</v>
      </c>
      <c r="S107" t="n">
        <v>2</v>
      </c>
      <c r="T107" t="n">
        <v>2</v>
      </c>
      <c r="U107" s="2" t="inlineStr">
        <is>
          <t>Tofsvipa
Grönsiska</t>
        </is>
      </c>
      <c r="V107">
        <f>HYPERLINK("https://klasma.github.io/Logging_0382/artfynd/A 51708-2025 artfynd.xlsx", "A 51708-2025")</f>
        <v/>
      </c>
      <c r="W107">
        <f>HYPERLINK("https://klasma.github.io/Logging_0382/kartor/A 51708-2025 karta.png", "A 51708-2025")</f>
        <v/>
      </c>
      <c r="Y107">
        <f>HYPERLINK("https://klasma.github.io/Logging_0382/klagomål/A 51708-2025 FSC-klagomål.docx", "A 51708-2025")</f>
        <v/>
      </c>
      <c r="Z107">
        <f>HYPERLINK("https://klasma.github.io/Logging_0382/klagomålsmail/A 51708-2025 FSC-klagomål mail.docx", "A 51708-2025")</f>
        <v/>
      </c>
      <c r="AA107">
        <f>HYPERLINK("https://klasma.github.io/Logging_0382/tillsyn/A 51708-2025 tillsynsbegäran.docx", "A 51708-2025")</f>
        <v/>
      </c>
      <c r="AB107">
        <f>HYPERLINK("https://klasma.github.io/Logging_0382/tillsynsmail/A 51708-2025 tillsynsbegäran mail.docx", "A 51708-2025")</f>
        <v/>
      </c>
    </row>
    <row r="108" ht="15" customHeight="1">
      <c r="A108" t="inlineStr">
        <is>
          <t>A 13279-2022</t>
        </is>
      </c>
      <c r="B108" t="inlineStr">
        <is>
          <t>avverkningsanmälan</t>
        </is>
      </c>
      <c r="C108" t="inlineStr">
        <is>
          <t>Föryngringsavverkning</t>
        </is>
      </c>
      <c r="D108" s="1" t="n">
        <v>44644</v>
      </c>
      <c r="E108" s="1" t="n">
        <v>46216</v>
      </c>
      <c r="F108" t="inlineStr">
        <is>
          <t>UPPSALA LÄN</t>
        </is>
      </c>
      <c r="G108" t="inlineStr">
        <is>
          <t>ÖSTHAMMAR</t>
        </is>
      </c>
      <c r="I108" t="n">
        <v>1.4</v>
      </c>
      <c r="J108" t="n">
        <v>2</v>
      </c>
      <c r="K108" t="n">
        <v>1</v>
      </c>
      <c r="L108" t="n">
        <v>0</v>
      </c>
      <c r="M108" t="n">
        <v>0</v>
      </c>
      <c r="N108" t="n">
        <v>0</v>
      </c>
      <c r="O108" t="n">
        <v>0</v>
      </c>
      <c r="P108" t="n">
        <v>0</v>
      </c>
      <c r="Q108" t="n">
        <v>0</v>
      </c>
      <c r="R108" t="n">
        <v>0</v>
      </c>
      <c r="S108" t="n">
        <v>2</v>
      </c>
      <c r="T108" t="n">
        <v>7</v>
      </c>
      <c r="U108" s="2" t="inlineStr">
        <is>
          <t>Tvåblad
Gullviva</t>
        </is>
      </c>
      <c r="V108">
        <f>HYPERLINK("https://klasma.github.io/Logging_0382/artfynd/A 13279-2022 artfynd.xlsx", "A 13279-2022")</f>
        <v/>
      </c>
      <c r="W108">
        <f>HYPERLINK("https://klasma.github.io/Logging_0382/kartor/A 13279-2022 karta.png", "A 13279-2022")</f>
        <v/>
      </c>
      <c r="Y108">
        <f>HYPERLINK("https://klasma.github.io/Logging_0382/klagomål/A 13279-2022 FSC-klagomål.docx", "A 13279-2022")</f>
        <v/>
      </c>
      <c r="Z108">
        <f>HYPERLINK("https://klasma.github.io/Logging_0382/klagomålsmail/A 13279-2022 FSC-klagomål mail.docx", "A 13279-2022")</f>
        <v/>
      </c>
      <c r="AA108">
        <f>HYPERLINK("https://klasma.github.io/Logging_0382/tillsyn/A 13279-2022 tillsynsbegäran.docx", "A 13279-2022")</f>
        <v/>
      </c>
      <c r="AB108">
        <f>HYPERLINK("https://klasma.github.io/Logging_0382/tillsynsmail/A 13279-2022 tillsynsbegäran mail.docx", "A 13279-2022")</f>
        <v/>
      </c>
    </row>
    <row r="109" ht="15" customHeight="1">
      <c r="A109" t="inlineStr">
        <is>
          <t>A 61400-2025</t>
        </is>
      </c>
      <c r="B109" t="inlineStr">
        <is>
          <t>avverkningsanmälan</t>
        </is>
      </c>
      <c r="C109" t="inlineStr">
        <is>
          <t>Föryngringsavverkning</t>
        </is>
      </c>
      <c r="D109" s="1" t="n">
        <v>46001</v>
      </c>
      <c r="E109" s="1" t="n">
        <v>46216</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s="2" t="inlineStr">
        <is>
          <t>Kattfotslav
Granbarkgnagare</t>
        </is>
      </c>
      <c r="V109">
        <f>HYPERLINK("https://klasma.github.io/Logging_0382/artfynd/A 61400-2025 artfynd.xlsx", "A 61400-2025")</f>
        <v/>
      </c>
      <c r="W109">
        <f>HYPERLINK("https://klasma.github.io/Logging_0382/kartor/A 61400-2025 karta.png", "A 61400-2025")</f>
        <v/>
      </c>
      <c r="Y109">
        <f>HYPERLINK("https://klasma.github.io/Logging_0382/klagomål/A 61400-2025 FSC-klagomål.docx", "A 61400-2025")</f>
        <v/>
      </c>
      <c r="Z109">
        <f>HYPERLINK("https://klasma.github.io/Logging_0382/klagomålsmail/A 61400-2025 FSC-klagomål mail.docx", "A 61400-2025")</f>
        <v/>
      </c>
      <c r="AA109">
        <f>HYPERLINK("https://klasma.github.io/Logging_0382/tillsyn/A 61400-2025 tillsynsbegäran.docx", "A 61400-2025")</f>
        <v/>
      </c>
      <c r="AB109">
        <f>HYPERLINK("https://klasma.github.io/Logging_0382/tillsynsmail/A 61400-2025 tillsynsbegäran mail.docx", "A 61400-2025")</f>
        <v/>
      </c>
    </row>
    <row r="110" ht="15" customHeight="1">
      <c r="A110" t="inlineStr">
        <is>
          <t>A 9646-2024</t>
        </is>
      </c>
      <c r="B110" t="inlineStr">
        <is>
          <t>avverkningsanmälan</t>
        </is>
      </c>
      <c r="C110" t="inlineStr">
        <is>
          <t>Föryngringsavverkning</t>
        </is>
      </c>
      <c r="D110" s="1" t="n">
        <v>45362</v>
      </c>
      <c r="E110" s="1" t="n">
        <v>46216</v>
      </c>
      <c r="F110" t="inlineStr">
        <is>
          <t>UPPSALA LÄN</t>
        </is>
      </c>
      <c r="G110" t="inlineStr">
        <is>
          <t>ÖSTHAMMAR</t>
        </is>
      </c>
      <c r="I110" t="n">
        <v>1.6</v>
      </c>
      <c r="J110" t="n">
        <v>0</v>
      </c>
      <c r="K110" t="n">
        <v>0</v>
      </c>
      <c r="L110" t="n">
        <v>1</v>
      </c>
      <c r="M110" t="n">
        <v>0</v>
      </c>
      <c r="N110" t="n">
        <v>1</v>
      </c>
      <c r="O110" t="n">
        <v>0</v>
      </c>
      <c r="P110" t="n">
        <v>0</v>
      </c>
      <c r="Q110" t="n">
        <v>2</v>
      </c>
      <c r="R110" t="n">
        <v>1</v>
      </c>
      <c r="S110" t="n">
        <v>2</v>
      </c>
      <c r="T110" t="n">
        <v>2</v>
      </c>
      <c r="U110" s="2" t="inlineStr">
        <is>
          <t>Violgubbe
Gultoppig fingersvamp</t>
        </is>
      </c>
      <c r="V110">
        <f>HYPERLINK("https://klasma.github.io/Logging_0382/artfynd/A 9646-2024 artfynd.xlsx", "A 9646-2024")</f>
        <v/>
      </c>
      <c r="W110">
        <f>HYPERLINK("https://klasma.github.io/Logging_0382/kartor/A 9646-2024 karta.png", "A 9646-2024")</f>
        <v/>
      </c>
      <c r="Y110">
        <f>HYPERLINK("https://klasma.github.io/Logging_0382/klagomål/A 9646-2024 FSC-klagomål.docx", "A 9646-2024")</f>
        <v/>
      </c>
      <c r="Z110">
        <f>HYPERLINK("https://klasma.github.io/Logging_0382/klagomålsmail/A 9646-2024 FSC-klagomål mail.docx", "A 9646-2024")</f>
        <v/>
      </c>
      <c r="AA110">
        <f>HYPERLINK("https://klasma.github.io/Logging_0382/tillsyn/A 9646-2024 tillsynsbegäran.docx", "A 9646-2024")</f>
        <v/>
      </c>
      <c r="AB110">
        <f>HYPERLINK("https://klasma.github.io/Logging_0382/tillsynsmail/A 9646-2024 tillsynsbegäran mail.docx", "A 9646-2024")</f>
        <v/>
      </c>
    </row>
    <row r="111" ht="15" customHeight="1">
      <c r="A111" t="inlineStr">
        <is>
          <t>A 21453-2023</t>
        </is>
      </c>
      <c r="B111" t="inlineStr">
        <is>
          <t>avverkningsanmälan</t>
        </is>
      </c>
      <c r="C111" t="inlineStr">
        <is>
          <t>Föryngringsavverkning</t>
        </is>
      </c>
      <c r="D111" s="1" t="n">
        <v>45063</v>
      </c>
      <c r="E111" s="1" t="n">
        <v>46216</v>
      </c>
      <c r="F111" t="inlineStr">
        <is>
          <t>UPPSALA LÄN</t>
        </is>
      </c>
      <c r="G111" t="inlineStr">
        <is>
          <t>ÖSTHAMMAR</t>
        </is>
      </c>
      <c r="H111" t="inlineStr">
        <is>
          <t>Bergvik skog väst AB</t>
        </is>
      </c>
      <c r="I111" t="n">
        <v>6.1</v>
      </c>
      <c r="J111" t="n">
        <v>1</v>
      </c>
      <c r="K111" t="n">
        <v>1</v>
      </c>
      <c r="L111" t="n">
        <v>0</v>
      </c>
      <c r="M111" t="n">
        <v>0</v>
      </c>
      <c r="N111" t="n">
        <v>0</v>
      </c>
      <c r="O111" t="n">
        <v>0</v>
      </c>
      <c r="P111" t="n">
        <v>0</v>
      </c>
      <c r="Q111" t="n">
        <v>0</v>
      </c>
      <c r="R111" t="n">
        <v>0</v>
      </c>
      <c r="S111" t="n">
        <v>2</v>
      </c>
      <c r="T111" t="n">
        <v>2</v>
      </c>
      <c r="U111" s="2" t="inlineStr">
        <is>
          <t>Fransig jordstjärna
Blåsippa</t>
        </is>
      </c>
      <c r="V111">
        <f>HYPERLINK("https://klasma.github.io/Logging_0382/artfynd/A 21453-2023 artfynd.xlsx", "A 21453-2023")</f>
        <v/>
      </c>
      <c r="W111">
        <f>HYPERLINK("https://klasma.github.io/Logging_0382/kartor/A 21453-2023 karta.png", "A 21453-2023")</f>
        <v/>
      </c>
      <c r="Y111">
        <f>HYPERLINK("https://klasma.github.io/Logging_0382/klagomål/A 21453-2023 FSC-klagomål.docx", "A 21453-2023")</f>
        <v/>
      </c>
      <c r="Z111">
        <f>HYPERLINK("https://klasma.github.io/Logging_0382/klagomålsmail/A 21453-2023 FSC-klagomål mail.docx", "A 21453-2023")</f>
        <v/>
      </c>
      <c r="AA111">
        <f>HYPERLINK("https://klasma.github.io/Logging_0382/tillsyn/A 21453-2023 tillsynsbegäran.docx", "A 21453-2023")</f>
        <v/>
      </c>
      <c r="AB111">
        <f>HYPERLINK("https://klasma.github.io/Logging_0382/tillsynsmail/A 21453-2023 tillsynsbegäran mail.docx", "A 21453-2023")</f>
        <v/>
      </c>
    </row>
    <row r="112" ht="15" customHeight="1">
      <c r="A112" t="inlineStr">
        <is>
          <t>A 20871-2026</t>
        </is>
      </c>
      <c r="B112" t="inlineStr">
        <is>
          <t>avverkningsanmälan</t>
        </is>
      </c>
      <c r="C112" t="inlineStr">
        <is>
          <t>Föryngringsavverkning</t>
        </is>
      </c>
      <c r="D112" s="1" t="n">
        <v>46142</v>
      </c>
      <c r="E112" s="1" t="n">
        <v>46216</v>
      </c>
      <c r="F112" t="inlineStr">
        <is>
          <t>UPPSALA LÄN</t>
        </is>
      </c>
      <c r="G112" t="inlineStr">
        <is>
          <t>ÖSTHAMMAR</t>
        </is>
      </c>
      <c r="H112" t="inlineStr">
        <is>
          <t>Övriga Aktiebolag</t>
        </is>
      </c>
      <c r="I112" t="n">
        <v>6.2</v>
      </c>
      <c r="J112" t="n">
        <v>0</v>
      </c>
      <c r="K112" t="n">
        <v>0</v>
      </c>
      <c r="L112" t="n">
        <v>2</v>
      </c>
      <c r="M112" t="n">
        <v>0</v>
      </c>
      <c r="N112" t="n">
        <v>0</v>
      </c>
      <c r="O112" t="n">
        <v>0</v>
      </c>
      <c r="P112" t="n">
        <v>0</v>
      </c>
      <c r="Q112" t="n">
        <v>2</v>
      </c>
      <c r="R112" t="n">
        <v>0</v>
      </c>
      <c r="S112" t="n">
        <v>2</v>
      </c>
      <c r="T112" t="n">
        <v>3</v>
      </c>
      <c r="U112" s="2" t="inlineStr">
        <is>
          <t>Klasefibbla
Slåtterfibbla</t>
        </is>
      </c>
      <c r="V112">
        <f>HYPERLINK("https://klasma.github.io/Logging_0382/artfynd/A 20871-2026 artfynd.xlsx", "A 20871-2026")</f>
        <v/>
      </c>
      <c r="W112">
        <f>HYPERLINK("https://klasma.github.io/Logging_0382/kartor/A 20871-2026 karta.png", "A 20871-2026")</f>
        <v/>
      </c>
      <c r="Y112">
        <f>HYPERLINK("https://klasma.github.io/Logging_0382/klagomål/A 20871-2026 FSC-klagomål.docx", "A 20871-2026")</f>
        <v/>
      </c>
      <c r="Z112">
        <f>HYPERLINK("https://klasma.github.io/Logging_0382/klagomålsmail/A 20871-2026 FSC-klagomål mail.docx", "A 20871-2026")</f>
        <v/>
      </c>
      <c r="AA112">
        <f>HYPERLINK("https://klasma.github.io/Logging_0382/tillsyn/A 20871-2026 tillsynsbegäran.docx", "A 20871-2026")</f>
        <v/>
      </c>
      <c r="AB112">
        <f>HYPERLINK("https://klasma.github.io/Logging_0382/tillsynsmail/A 20871-2026 tillsynsbegäran mail.docx", "A 20871-2026")</f>
        <v/>
      </c>
    </row>
    <row r="113" ht="15" customHeight="1">
      <c r="A113" t="inlineStr">
        <is>
          <t>A 54666-2022</t>
        </is>
      </c>
      <c r="B113" t="inlineStr">
        <is>
          <t>avverkningsanmälan</t>
        </is>
      </c>
      <c r="C113" t="inlineStr">
        <is>
          <t>Föryngringsavverkning</t>
        </is>
      </c>
      <c r="D113" s="1" t="n">
        <v>44883</v>
      </c>
      <c r="E113" s="1" t="n">
        <v>46216</v>
      </c>
      <c r="F113" t="inlineStr">
        <is>
          <t>UPPSALA LÄN</t>
        </is>
      </c>
      <c r="G113" t="inlineStr">
        <is>
          <t>ÖSTHAMMAR</t>
        </is>
      </c>
      <c r="I113" t="n">
        <v>14.3</v>
      </c>
      <c r="J113" t="n">
        <v>0</v>
      </c>
      <c r="K113" t="n">
        <v>1</v>
      </c>
      <c r="L113" t="n">
        <v>0</v>
      </c>
      <c r="M113" t="n">
        <v>0</v>
      </c>
      <c r="N113" t="n">
        <v>0</v>
      </c>
      <c r="O113" t="n">
        <v>0</v>
      </c>
      <c r="P113" t="n">
        <v>0</v>
      </c>
      <c r="Q113" t="n">
        <v>0</v>
      </c>
      <c r="R113" t="n">
        <v>0</v>
      </c>
      <c r="S113" t="n">
        <v>2</v>
      </c>
      <c r="T113" t="n">
        <v>2</v>
      </c>
      <c r="U113" s="2" t="inlineStr">
        <is>
          <t>Kamjordstjärna
Repestarr</t>
        </is>
      </c>
      <c r="V113">
        <f>HYPERLINK("https://klasma.github.io/Logging_0382/artfynd/A 54666-2022 artfynd.xlsx", "A 54666-2022")</f>
        <v/>
      </c>
      <c r="W113">
        <f>HYPERLINK("https://klasma.github.io/Logging_0382/kartor/A 54666-2022 karta.png", "A 54666-2022")</f>
        <v/>
      </c>
      <c r="Y113">
        <f>HYPERLINK("https://klasma.github.io/Logging_0382/klagomål/A 54666-2022 FSC-klagomål.docx", "A 54666-2022")</f>
        <v/>
      </c>
      <c r="Z113">
        <f>HYPERLINK("https://klasma.github.io/Logging_0382/klagomålsmail/A 54666-2022 FSC-klagomål mail.docx", "A 54666-2022")</f>
        <v/>
      </c>
      <c r="AA113">
        <f>HYPERLINK("https://klasma.github.io/Logging_0382/tillsyn/A 54666-2022 tillsynsbegäran.docx", "A 54666-2022")</f>
        <v/>
      </c>
      <c r="AB113">
        <f>HYPERLINK("https://klasma.github.io/Logging_0382/tillsynsmail/A 54666-2022 tillsynsbegäran mail.docx", "A 54666-2022")</f>
        <v/>
      </c>
    </row>
    <row r="114" ht="15" customHeight="1">
      <c r="A114" t="inlineStr">
        <is>
          <t>A 21422-2023</t>
        </is>
      </c>
      <c r="B114" t="inlineStr">
        <is>
          <t>avverkningsanmälan</t>
        </is>
      </c>
      <c r="C114" t="inlineStr">
        <is>
          <t>Föryngringsavverkning</t>
        </is>
      </c>
      <c r="D114" s="1" t="n">
        <v>45063</v>
      </c>
      <c r="E114" s="1" t="n">
        <v>46216</v>
      </c>
      <c r="F114" t="inlineStr">
        <is>
          <t>UPPSALA LÄN</t>
        </is>
      </c>
      <c r="G114" t="inlineStr">
        <is>
          <t>ÖSTHAMMAR</t>
        </is>
      </c>
      <c r="H114" t="inlineStr">
        <is>
          <t>Sveaskog</t>
        </is>
      </c>
      <c r="I114" t="n">
        <v>2.8</v>
      </c>
      <c r="J114" t="n">
        <v>2</v>
      </c>
      <c r="K114" t="n">
        <v>0</v>
      </c>
      <c r="L114" t="n">
        <v>1</v>
      </c>
      <c r="M114" t="n">
        <v>0</v>
      </c>
      <c r="N114" t="n">
        <v>0</v>
      </c>
      <c r="O114" t="n">
        <v>0</v>
      </c>
      <c r="P114" t="n">
        <v>0</v>
      </c>
      <c r="Q114" t="n">
        <v>1</v>
      </c>
      <c r="R114" t="n">
        <v>0</v>
      </c>
      <c r="S114" t="n">
        <v>2</v>
      </c>
      <c r="T114" t="n">
        <v>5</v>
      </c>
      <c r="U114" s="2" t="inlineStr">
        <is>
          <t>Nordfladdermus
Dvärgpipistrell</t>
        </is>
      </c>
      <c r="V114">
        <f>HYPERLINK("https://klasma.github.io/Logging_0382/artfynd/A 21422-2023 artfynd.xlsx", "A 21422-2023")</f>
        <v/>
      </c>
      <c r="W114">
        <f>HYPERLINK("https://klasma.github.io/Logging_0382/kartor/A 21422-2023 karta.png", "A 21422-2023")</f>
        <v/>
      </c>
      <c r="Y114">
        <f>HYPERLINK("https://klasma.github.io/Logging_0382/klagomål/A 21422-2023 FSC-klagomål.docx", "A 21422-2023")</f>
        <v/>
      </c>
      <c r="Z114">
        <f>HYPERLINK("https://klasma.github.io/Logging_0382/klagomålsmail/A 21422-2023 FSC-klagomål mail.docx", "A 21422-2023")</f>
        <v/>
      </c>
      <c r="AA114">
        <f>HYPERLINK("https://klasma.github.io/Logging_0382/tillsyn/A 21422-2023 tillsynsbegäran.docx", "A 21422-2023")</f>
        <v/>
      </c>
      <c r="AB114">
        <f>HYPERLINK("https://klasma.github.io/Logging_0382/tillsynsmail/A 21422-2023 tillsynsbegäran mail.docx", "A 21422-2023")</f>
        <v/>
      </c>
    </row>
    <row r="115" ht="15" customHeight="1">
      <c r="A115" t="inlineStr">
        <is>
          <t>A 21451-2026</t>
        </is>
      </c>
      <c r="B115" t="inlineStr">
        <is>
          <t>avverkningsanmälan</t>
        </is>
      </c>
      <c r="C115" t="inlineStr">
        <is>
          <t>Föryngringsavverkning</t>
        </is>
      </c>
      <c r="D115" s="1" t="n">
        <v>46146</v>
      </c>
      <c r="E115" s="1" t="n">
        <v>46216</v>
      </c>
      <c r="F115" t="inlineStr">
        <is>
          <t>UPPSALA LÄN</t>
        </is>
      </c>
      <c r="G115" t="inlineStr">
        <is>
          <t>ÖSTHAMMAR</t>
        </is>
      </c>
      <c r="I115" t="n">
        <v>0.7</v>
      </c>
      <c r="J115" t="n">
        <v>0</v>
      </c>
      <c r="K115" t="n">
        <v>0</v>
      </c>
      <c r="L115" t="n">
        <v>2</v>
      </c>
      <c r="M115" t="n">
        <v>0</v>
      </c>
      <c r="N115" t="n">
        <v>0</v>
      </c>
      <c r="O115" t="n">
        <v>0</v>
      </c>
      <c r="P115" t="n">
        <v>0</v>
      </c>
      <c r="Q115" t="n">
        <v>2</v>
      </c>
      <c r="R115" t="n">
        <v>0</v>
      </c>
      <c r="S115" t="n">
        <v>2</v>
      </c>
      <c r="T115" t="n">
        <v>4</v>
      </c>
      <c r="U115" s="2" t="inlineStr">
        <is>
          <t>Slåtterfibbla
Vårärt</t>
        </is>
      </c>
      <c r="V115">
        <f>HYPERLINK("https://klasma.github.io/Logging_0382/artfynd/A 21451-2026 artfynd.xlsx", "A 21451-2026")</f>
        <v/>
      </c>
      <c r="W115">
        <f>HYPERLINK("https://klasma.github.io/Logging_0382/kartor/A 21451-2026 karta.png", "A 21451-2026")</f>
        <v/>
      </c>
      <c r="Y115">
        <f>HYPERLINK("https://klasma.github.io/Logging_0382/klagomål/A 21451-2026 FSC-klagomål.docx", "A 21451-2026")</f>
        <v/>
      </c>
      <c r="Z115">
        <f>HYPERLINK("https://klasma.github.io/Logging_0382/klagomålsmail/A 21451-2026 FSC-klagomål mail.docx", "A 21451-2026")</f>
        <v/>
      </c>
      <c r="AA115">
        <f>HYPERLINK("https://klasma.github.io/Logging_0382/tillsyn/A 21451-2026 tillsynsbegäran.docx", "A 21451-2026")</f>
        <v/>
      </c>
      <c r="AB115">
        <f>HYPERLINK("https://klasma.github.io/Logging_0382/tillsynsmail/A 21451-2026 tillsynsbegäran mail.docx", "A 21451-2026")</f>
        <v/>
      </c>
    </row>
    <row r="116" ht="15" customHeight="1">
      <c r="A116" t="inlineStr">
        <is>
          <t>A 14859-2025</t>
        </is>
      </c>
      <c r="B116" t="inlineStr">
        <is>
          <t>avverkningsanmälan</t>
        </is>
      </c>
      <c r="C116" t="inlineStr">
        <is>
          <t>Föryngringsavverkning</t>
        </is>
      </c>
      <c r="D116" s="1" t="n">
        <v>45743</v>
      </c>
      <c r="E116" s="1" t="n">
        <v>46216</v>
      </c>
      <c r="F116" t="inlineStr">
        <is>
          <t>UPPSALA LÄN</t>
        </is>
      </c>
      <c r="G116" t="inlineStr">
        <is>
          <t>ÖSTHAMMAR</t>
        </is>
      </c>
      <c r="I116" t="n">
        <v>1.1</v>
      </c>
      <c r="J116" t="n">
        <v>0</v>
      </c>
      <c r="K116" t="n">
        <v>0</v>
      </c>
      <c r="L116" t="n">
        <v>2</v>
      </c>
      <c r="M116" t="n">
        <v>0</v>
      </c>
      <c r="N116" t="n">
        <v>0</v>
      </c>
      <c r="O116" t="n">
        <v>0</v>
      </c>
      <c r="P116" t="n">
        <v>0</v>
      </c>
      <c r="Q116" t="n">
        <v>2</v>
      </c>
      <c r="R116" t="n">
        <v>0</v>
      </c>
      <c r="S116" t="n">
        <v>2</v>
      </c>
      <c r="T116" t="n">
        <v>2</v>
      </c>
      <c r="U116" s="2" t="inlineStr">
        <is>
          <t>Klasefibbla
Solvända</t>
        </is>
      </c>
      <c r="V116">
        <f>HYPERLINK("https://klasma.github.io/Logging_0382/artfynd/A 14859-2025 artfynd.xlsx", "A 14859-2025")</f>
        <v/>
      </c>
      <c r="W116">
        <f>HYPERLINK("https://klasma.github.io/Logging_0382/kartor/A 14859-2025 karta.png", "A 14859-2025")</f>
        <v/>
      </c>
      <c r="Y116">
        <f>HYPERLINK("https://klasma.github.io/Logging_0382/klagomål/A 14859-2025 FSC-klagomål.docx", "A 14859-2025")</f>
        <v/>
      </c>
      <c r="Z116">
        <f>HYPERLINK("https://klasma.github.io/Logging_0382/klagomålsmail/A 14859-2025 FSC-klagomål mail.docx", "A 14859-2025")</f>
        <v/>
      </c>
      <c r="AA116">
        <f>HYPERLINK("https://klasma.github.io/Logging_0382/tillsyn/A 14859-2025 tillsynsbegäran.docx", "A 14859-2025")</f>
        <v/>
      </c>
      <c r="AB116">
        <f>HYPERLINK("https://klasma.github.io/Logging_0382/tillsynsmail/A 14859-2025 tillsynsbegäran mail.docx", "A 14859-2025")</f>
        <v/>
      </c>
    </row>
    <row r="117" ht="15" customHeight="1">
      <c r="A117" t="inlineStr">
        <is>
          <t>A 14203-2024</t>
        </is>
      </c>
      <c r="B117" t="inlineStr">
        <is>
          <t>avverkningsanmälan</t>
        </is>
      </c>
      <c r="C117" t="inlineStr">
        <is>
          <t>Föryngringsavverkning</t>
        </is>
      </c>
      <c r="D117" s="1" t="n">
        <v>45393</v>
      </c>
      <c r="E117" s="1" t="n">
        <v>46216</v>
      </c>
      <c r="F117" t="inlineStr">
        <is>
          <t>UPPSALA LÄN</t>
        </is>
      </c>
      <c r="G117" t="inlineStr">
        <is>
          <t>ÖSTHAMMAR</t>
        </is>
      </c>
      <c r="I117" t="n">
        <v>1.4</v>
      </c>
      <c r="J117" t="n">
        <v>0</v>
      </c>
      <c r="K117" t="n">
        <v>1</v>
      </c>
      <c r="L117" t="n">
        <v>1</v>
      </c>
      <c r="M117" t="n">
        <v>0</v>
      </c>
      <c r="N117" t="n">
        <v>0</v>
      </c>
      <c r="O117" t="n">
        <v>0</v>
      </c>
      <c r="P117" t="n">
        <v>0</v>
      </c>
      <c r="Q117" t="n">
        <v>1</v>
      </c>
      <c r="R117" t="n">
        <v>0</v>
      </c>
      <c r="S117" t="n">
        <v>2</v>
      </c>
      <c r="T117" t="n">
        <v>2</v>
      </c>
      <c r="U117" s="2" t="inlineStr">
        <is>
          <t>Scharlakansvaxing
Blodvaxing</t>
        </is>
      </c>
      <c r="V117">
        <f>HYPERLINK("https://klasma.github.io/Logging_0382/artfynd/A 14203-2024 artfynd.xlsx", "A 14203-2024")</f>
        <v/>
      </c>
      <c r="W117">
        <f>HYPERLINK("https://klasma.github.io/Logging_0382/kartor/A 14203-2024 karta.png", "A 14203-2024")</f>
        <v/>
      </c>
      <c r="Y117">
        <f>HYPERLINK("https://klasma.github.io/Logging_0382/klagomål/A 14203-2024 FSC-klagomål.docx", "A 14203-2024")</f>
        <v/>
      </c>
      <c r="Z117">
        <f>HYPERLINK("https://klasma.github.io/Logging_0382/klagomålsmail/A 14203-2024 FSC-klagomål mail.docx", "A 14203-2024")</f>
        <v/>
      </c>
      <c r="AA117">
        <f>HYPERLINK("https://klasma.github.io/Logging_0382/tillsyn/A 14203-2024 tillsynsbegäran.docx", "A 14203-2024")</f>
        <v/>
      </c>
      <c r="AB117">
        <f>HYPERLINK("https://klasma.github.io/Logging_0382/tillsynsmail/A 14203-2024 tillsynsbegäran mail.docx", "A 14203-2024")</f>
        <v/>
      </c>
    </row>
    <row r="118" ht="15" customHeight="1">
      <c r="A118" t="inlineStr">
        <is>
          <t>S 4493-2022</t>
        </is>
      </c>
      <c r="B118" t="inlineStr">
        <is>
          <t>samrådsanmälan</t>
        </is>
      </c>
      <c r="C118" t="inlineStr">
        <is>
          <t>Åtgärd i nyckelbiotop</t>
        </is>
      </c>
      <c r="D118" s="1" t="n">
        <v>44782</v>
      </c>
      <c r="E118" s="1" t="n">
        <v>46216</v>
      </c>
      <c r="F118" t="inlineStr">
        <is>
          <t>UPPSALA LÄN</t>
        </is>
      </c>
      <c r="G118" t="inlineStr">
        <is>
          <t>ÖSTHAMMAR</t>
        </is>
      </c>
      <c r="I118" t="n">
        <v>3.6</v>
      </c>
      <c r="J118" t="n">
        <v>0</v>
      </c>
      <c r="K118" t="n">
        <v>1</v>
      </c>
      <c r="L118" t="n">
        <v>0</v>
      </c>
      <c r="M118" t="n">
        <v>1</v>
      </c>
      <c r="N118" t="n">
        <v>0</v>
      </c>
      <c r="O118" t="n">
        <v>0</v>
      </c>
      <c r="P118" t="n">
        <v>0</v>
      </c>
      <c r="Q118" t="n">
        <v>1</v>
      </c>
      <c r="R118" t="n">
        <v>1</v>
      </c>
      <c r="S118" t="n">
        <v>2</v>
      </c>
      <c r="T118" t="n">
        <v>2</v>
      </c>
      <c r="U118" s="2" t="inlineStr">
        <is>
          <t>Gul lammticka
Brandmusseron</t>
        </is>
      </c>
      <c r="V118">
        <f>HYPERLINK("https://klasma.github.io/Logging_0382/artfynd/S 4493-2022 artfynd.xlsx", "S 4493-2022")</f>
        <v/>
      </c>
      <c r="W118">
        <f>HYPERLINK("https://klasma.github.io/Logging_0382/kartor/S 4493-2022 karta.png", "S 4493-2022")</f>
        <v/>
      </c>
      <c r="Y118">
        <f>HYPERLINK("https://klasma.github.io/Logging_0382/klagomål/S 4493-2022 FSC-klagomål.docx", "S 4493-2022")</f>
        <v/>
      </c>
      <c r="Z118">
        <f>HYPERLINK("https://klasma.github.io/Logging_0382/klagomålsmail/S 4493-2022 FSC-klagomål mail.docx", "S 4493-2022")</f>
        <v/>
      </c>
      <c r="AA118">
        <f>HYPERLINK("https://klasma.github.io/Logging_0382/tillsyn/S 4493-2022 tillsynsbegäran.docx", "S 4493-2022")</f>
        <v/>
      </c>
      <c r="AB118">
        <f>HYPERLINK("https://klasma.github.io/Logging_0382/tillsynsmail/S 4493-2022 tillsynsbegäran mail.docx", "S 4493-2022")</f>
        <v/>
      </c>
    </row>
    <row r="119" ht="15" customHeight="1">
      <c r="A119" t="inlineStr">
        <is>
          <t>S 6023-2022</t>
        </is>
      </c>
      <c r="B119" t="inlineStr">
        <is>
          <t>samrådsanmälan</t>
        </is>
      </c>
      <c r="C119" t="inlineStr">
        <is>
          <t>Annan skogsbruksåtgärd</t>
        </is>
      </c>
      <c r="D119" s="1" t="n">
        <v>44859</v>
      </c>
      <c r="E119" s="1" t="n">
        <v>46216</v>
      </c>
      <c r="F119" t="inlineStr">
        <is>
          <t>UPPSALA LÄN</t>
        </is>
      </c>
      <c r="G119" t="inlineStr">
        <is>
          <t>ÖSTHAMMAR</t>
        </is>
      </c>
      <c r="H119" t="inlineStr">
        <is>
          <t>Bergvik skog öst AB</t>
        </is>
      </c>
      <c r="I119" t="n">
        <v>1.4</v>
      </c>
      <c r="J119" t="n">
        <v>1</v>
      </c>
      <c r="K119" t="n">
        <v>0</v>
      </c>
      <c r="L119" t="n">
        <v>1</v>
      </c>
      <c r="M119" t="n">
        <v>0</v>
      </c>
      <c r="N119" t="n">
        <v>1</v>
      </c>
      <c r="O119" t="n">
        <v>0</v>
      </c>
      <c r="P119" t="n">
        <v>0</v>
      </c>
      <c r="Q119" t="n">
        <v>2</v>
      </c>
      <c r="R119" t="n">
        <v>1</v>
      </c>
      <c r="S119" t="n">
        <v>2</v>
      </c>
      <c r="T119" t="n">
        <v>3</v>
      </c>
      <c r="U119" s="2" t="inlineStr">
        <is>
          <t>Ask
Drillsnäppa</t>
        </is>
      </c>
      <c r="V119">
        <f>HYPERLINK("https://klasma.github.io/Logging_0382/artfynd/S 6023-2022 artfynd.xlsx", "S 6023-2022")</f>
        <v/>
      </c>
      <c r="W119">
        <f>HYPERLINK("https://klasma.github.io/Logging_0382/kartor/S 6023-2022 karta.png", "S 6023-2022")</f>
        <v/>
      </c>
      <c r="Y119">
        <f>HYPERLINK("https://klasma.github.io/Logging_0382/klagomål/S 6023-2022 FSC-klagomål.docx", "S 6023-2022")</f>
        <v/>
      </c>
      <c r="Z119">
        <f>HYPERLINK("https://klasma.github.io/Logging_0382/klagomålsmail/S 6023-2022 FSC-klagomål mail.docx", "S 6023-2022")</f>
        <v/>
      </c>
      <c r="AA119">
        <f>HYPERLINK("https://klasma.github.io/Logging_0382/tillsyn/S 6023-2022 tillsynsbegäran.docx", "S 6023-2022")</f>
        <v/>
      </c>
      <c r="AB119">
        <f>HYPERLINK("https://klasma.github.io/Logging_0382/tillsynsmail/S 6023-2022 tillsynsbegäran mail.docx", "S 6023-2022")</f>
        <v/>
      </c>
      <c r="AC119">
        <f>HYPERLINK("https://klasma.github.io/Logging_0382/fåglar/S 6023-2022 prioriterade fågelarter.docx", "S 6023-2022")</f>
        <v/>
      </c>
    </row>
    <row r="120" ht="15" customHeight="1">
      <c r="A120" t="inlineStr">
        <is>
          <t>A 18732-2022</t>
        </is>
      </c>
      <c r="B120" t="inlineStr">
        <is>
          <t>avverkningsanmälan</t>
        </is>
      </c>
      <c r="C120" t="inlineStr">
        <is>
          <t>Föryngringsavverkning</t>
        </is>
      </c>
      <c r="D120" s="1" t="n">
        <v>44687</v>
      </c>
      <c r="E120" s="1" t="n">
        <v>46216</v>
      </c>
      <c r="F120" t="inlineStr">
        <is>
          <t>UPPSALA LÄN</t>
        </is>
      </c>
      <c r="G120" t="inlineStr">
        <is>
          <t>ÖSTHAMMAR</t>
        </is>
      </c>
      <c r="I120" t="n">
        <v>10.5</v>
      </c>
      <c r="J120" t="n">
        <v>1</v>
      </c>
      <c r="K120" t="n">
        <v>0</v>
      </c>
      <c r="L120" t="n">
        <v>0</v>
      </c>
      <c r="M120" t="n">
        <v>0</v>
      </c>
      <c r="N120" t="n">
        <v>0</v>
      </c>
      <c r="O120" t="n">
        <v>0</v>
      </c>
      <c r="P120" t="n">
        <v>0</v>
      </c>
      <c r="Q120" t="n">
        <v>0</v>
      </c>
      <c r="R120" t="n">
        <v>0</v>
      </c>
      <c r="S120" t="n">
        <v>1</v>
      </c>
      <c r="T120" t="n">
        <v>1</v>
      </c>
      <c r="U120" s="2" t="inlineStr">
        <is>
          <t>Skogsödla</t>
        </is>
      </c>
      <c r="V120">
        <f>HYPERLINK("https://klasma.github.io/Logging_0382/artfynd/A 18732-2022 artfynd.xlsx", "A 18732-2022")</f>
        <v/>
      </c>
      <c r="W120">
        <f>HYPERLINK("https://klasma.github.io/Logging_0382/kartor/A 18732-2022 karta.png", "A 18732-2022")</f>
        <v/>
      </c>
      <c r="Y120">
        <f>HYPERLINK("https://klasma.github.io/Logging_0382/klagomål/A 18732-2022 FSC-klagomål.docx", "A 18732-2022")</f>
        <v/>
      </c>
      <c r="Z120">
        <f>HYPERLINK("https://klasma.github.io/Logging_0382/klagomålsmail/A 18732-2022 FSC-klagomål mail.docx", "A 18732-2022")</f>
        <v/>
      </c>
      <c r="AA120">
        <f>HYPERLINK("https://klasma.github.io/Logging_0382/tillsyn/A 18732-2022 tillsynsbegäran.docx", "A 18732-2022")</f>
        <v/>
      </c>
      <c r="AB120">
        <f>HYPERLINK("https://klasma.github.io/Logging_0382/tillsynsmail/A 18732-2022 tillsynsbegäran mail.docx", "A 18732-2022")</f>
        <v/>
      </c>
    </row>
    <row r="121" ht="15" customHeight="1">
      <c r="A121" t="inlineStr">
        <is>
          <t>A 38442-2022</t>
        </is>
      </c>
      <c r="B121" t="inlineStr">
        <is>
          <t>avverkningsanmälan</t>
        </is>
      </c>
      <c r="C121" t="inlineStr">
        <is>
          <t>Föryngringsavverkning</t>
        </is>
      </c>
      <c r="D121" s="1" t="n">
        <v>44813</v>
      </c>
      <c r="E121" s="1" t="n">
        <v>46216</v>
      </c>
      <c r="F121" t="inlineStr">
        <is>
          <t>UPPSALA LÄN</t>
        </is>
      </c>
      <c r="G121" t="inlineStr">
        <is>
          <t>ÖSTHAMMAR</t>
        </is>
      </c>
      <c r="H121" t="inlineStr">
        <is>
          <t>Kyrkan</t>
        </is>
      </c>
      <c r="I121" t="n">
        <v>2.9</v>
      </c>
      <c r="J121" t="n">
        <v>0</v>
      </c>
      <c r="K121" t="n">
        <v>0</v>
      </c>
      <c r="L121" t="n">
        <v>1</v>
      </c>
      <c r="M121" t="n">
        <v>0</v>
      </c>
      <c r="N121" t="n">
        <v>0</v>
      </c>
      <c r="O121" t="n">
        <v>0</v>
      </c>
      <c r="P121" t="n">
        <v>0</v>
      </c>
      <c r="Q121" t="n">
        <v>1</v>
      </c>
      <c r="R121" t="n">
        <v>0</v>
      </c>
      <c r="S121" t="n">
        <v>1</v>
      </c>
      <c r="T121" t="n">
        <v>2</v>
      </c>
      <c r="U121" s="2" t="inlineStr">
        <is>
          <t>Slåtterfibbla</t>
        </is>
      </c>
      <c r="V121">
        <f>HYPERLINK("https://klasma.github.io/Logging_0382/artfynd/A 38442-2022 artfynd.xlsx", "A 38442-2022")</f>
        <v/>
      </c>
      <c r="W121">
        <f>HYPERLINK("https://klasma.github.io/Logging_0382/kartor/A 38442-2022 karta.png", "A 38442-2022")</f>
        <v/>
      </c>
      <c r="Y121">
        <f>HYPERLINK("https://klasma.github.io/Logging_0382/klagomål/A 38442-2022 FSC-klagomål.docx", "A 38442-2022")</f>
        <v/>
      </c>
      <c r="Z121">
        <f>HYPERLINK("https://klasma.github.io/Logging_0382/klagomålsmail/A 38442-2022 FSC-klagomål mail.docx", "A 38442-2022")</f>
        <v/>
      </c>
      <c r="AA121">
        <f>HYPERLINK("https://klasma.github.io/Logging_0382/tillsyn/A 38442-2022 tillsynsbegäran.docx", "A 38442-2022")</f>
        <v/>
      </c>
      <c r="AB121">
        <f>HYPERLINK("https://klasma.github.io/Logging_0382/tillsynsmail/A 38442-2022 tillsynsbegäran mail.docx", "A 38442-2022")</f>
        <v/>
      </c>
    </row>
    <row r="122" ht="15" customHeight="1">
      <c r="A122" t="inlineStr">
        <is>
          <t>A 10294-2022</t>
        </is>
      </c>
      <c r="B122" t="inlineStr">
        <is>
          <t>avverkningsanmälan</t>
        </is>
      </c>
      <c r="C122" t="inlineStr">
        <is>
          <t>Föryngringsavverkning</t>
        </is>
      </c>
      <c r="D122" s="1" t="n">
        <v>44622</v>
      </c>
      <c r="E122" s="1" t="n">
        <v>46216</v>
      </c>
      <c r="F122" t="inlineStr">
        <is>
          <t>UPPSALA LÄN</t>
        </is>
      </c>
      <c r="G122" t="inlineStr">
        <is>
          <t>ÖSTHAMMAR</t>
        </is>
      </c>
      <c r="H122" t="inlineStr">
        <is>
          <t>Bergvik skog öst AB</t>
        </is>
      </c>
      <c r="I122" t="n">
        <v>1</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HYPERLINK("https://klasma.github.io/Logging_0382/artfynd/A 10294-2022 artfynd.xlsx", "A 10294-2022")</f>
        <v/>
      </c>
      <c r="W122">
        <f>HYPERLINK("https://klasma.github.io/Logging_0382/kartor/A 10294-2022 karta.png", "A 10294-2022")</f>
        <v/>
      </c>
      <c r="Y122">
        <f>HYPERLINK("https://klasma.github.io/Logging_0382/klagomål/A 10294-2022 FSC-klagomål.docx", "A 10294-2022")</f>
        <v/>
      </c>
      <c r="Z122">
        <f>HYPERLINK("https://klasma.github.io/Logging_0382/klagomålsmail/A 10294-2022 FSC-klagomål mail.docx", "A 10294-2022")</f>
        <v/>
      </c>
      <c r="AA122">
        <f>HYPERLINK("https://klasma.github.io/Logging_0382/tillsyn/A 10294-2022 tillsynsbegäran.docx", "A 10294-2022")</f>
        <v/>
      </c>
      <c r="AB122">
        <f>HYPERLINK("https://klasma.github.io/Logging_0382/tillsynsmail/A 10294-2022 tillsynsbegäran mail.docx", "A 10294-2022")</f>
        <v/>
      </c>
    </row>
    <row r="123" ht="15" customHeight="1">
      <c r="A123" t="inlineStr">
        <is>
          <t>A 61536-2021</t>
        </is>
      </c>
      <c r="B123" t="inlineStr">
        <is>
          <t>avverkningsanmälan</t>
        </is>
      </c>
      <c r="C123" t="inlineStr">
        <is>
          <t>Föryngringsavverkning</t>
        </is>
      </c>
      <c r="D123" s="1" t="n">
        <v>44501</v>
      </c>
      <c r="E123" s="1" t="n">
        <v>46216</v>
      </c>
      <c r="F123" t="inlineStr">
        <is>
          <t>UPPSALA LÄN</t>
        </is>
      </c>
      <c r="G123" t="inlineStr">
        <is>
          <t>ÖSTHAMMAR</t>
        </is>
      </c>
      <c r="H123" t="inlineStr">
        <is>
          <t>Sveaskog</t>
        </is>
      </c>
      <c r="I123" t="n">
        <v>2.1</v>
      </c>
      <c r="J123" t="n">
        <v>0</v>
      </c>
      <c r="K123" t="n">
        <v>0</v>
      </c>
      <c r="L123" t="n">
        <v>1</v>
      </c>
      <c r="M123" t="n">
        <v>0</v>
      </c>
      <c r="N123" t="n">
        <v>0</v>
      </c>
      <c r="O123" t="n">
        <v>0</v>
      </c>
      <c r="P123" t="n">
        <v>0</v>
      </c>
      <c r="Q123" t="n">
        <v>1</v>
      </c>
      <c r="R123" t="n">
        <v>0</v>
      </c>
      <c r="S123" t="n">
        <v>1</v>
      </c>
      <c r="T123" t="n">
        <v>1</v>
      </c>
      <c r="U123" s="2" t="inlineStr">
        <is>
          <t>Klasefibbla</t>
        </is>
      </c>
      <c r="V123">
        <f>HYPERLINK("https://klasma.github.io/Logging_0382/artfynd/A 61536-2021 artfynd.xlsx", "A 61536-2021")</f>
        <v/>
      </c>
      <c r="W123">
        <f>HYPERLINK("https://klasma.github.io/Logging_0382/kartor/A 61536-2021 karta.png", "A 61536-2021")</f>
        <v/>
      </c>
      <c r="Y123">
        <f>HYPERLINK("https://klasma.github.io/Logging_0382/klagomål/A 61536-2021 FSC-klagomål.docx", "A 61536-2021")</f>
        <v/>
      </c>
      <c r="Z123">
        <f>HYPERLINK("https://klasma.github.io/Logging_0382/klagomålsmail/A 61536-2021 FSC-klagomål mail.docx", "A 61536-2021")</f>
        <v/>
      </c>
      <c r="AA123">
        <f>HYPERLINK("https://klasma.github.io/Logging_0382/tillsyn/A 61536-2021 tillsynsbegäran.docx", "A 61536-2021")</f>
        <v/>
      </c>
      <c r="AB123">
        <f>HYPERLINK("https://klasma.github.io/Logging_0382/tillsynsmail/A 61536-2021 tillsynsbegäran mail.docx", "A 61536-2021")</f>
        <v/>
      </c>
    </row>
    <row r="124" ht="15" customHeight="1">
      <c r="A124" t="inlineStr">
        <is>
          <t>A 22887-2022</t>
        </is>
      </c>
      <c r="B124" t="inlineStr">
        <is>
          <t>avverkningsanmälan</t>
        </is>
      </c>
      <c r="C124" t="inlineStr">
        <is>
          <t>Avverkning för annat ändamål</t>
        </is>
      </c>
      <c r="D124" s="1" t="n">
        <v>44715</v>
      </c>
      <c r="E124" s="1" t="n">
        <v>46216</v>
      </c>
      <c r="F124" t="inlineStr">
        <is>
          <t>UPPSALA LÄN</t>
        </is>
      </c>
      <c r="G124" t="inlineStr">
        <is>
          <t>ÖSTHAMMAR</t>
        </is>
      </c>
      <c r="I124" t="n">
        <v>0.2</v>
      </c>
      <c r="J124" t="n">
        <v>0</v>
      </c>
      <c r="K124" t="n">
        <v>0</v>
      </c>
      <c r="L124" t="n">
        <v>1</v>
      </c>
      <c r="M124" t="n">
        <v>0</v>
      </c>
      <c r="N124" t="n">
        <v>0</v>
      </c>
      <c r="O124" t="n">
        <v>0</v>
      </c>
      <c r="P124" t="n">
        <v>0</v>
      </c>
      <c r="Q124" t="n">
        <v>1</v>
      </c>
      <c r="R124" t="n">
        <v>0</v>
      </c>
      <c r="S124" t="n">
        <v>1</v>
      </c>
      <c r="T124" t="n">
        <v>1</v>
      </c>
      <c r="U124" s="2" t="inlineStr">
        <is>
          <t>Ullticka</t>
        </is>
      </c>
      <c r="V124">
        <f>HYPERLINK("https://klasma.github.io/Logging_0382/artfynd/A 22887-2022 artfynd.xlsx", "A 22887-2022")</f>
        <v/>
      </c>
      <c r="W124">
        <f>HYPERLINK("https://klasma.github.io/Logging_0382/kartor/A 22887-2022 karta.png", "A 22887-2022")</f>
        <v/>
      </c>
      <c r="Y124">
        <f>HYPERLINK("https://klasma.github.io/Logging_0382/klagomål/A 22887-2022 FSC-klagomål.docx", "A 22887-2022")</f>
        <v/>
      </c>
      <c r="Z124">
        <f>HYPERLINK("https://klasma.github.io/Logging_0382/klagomålsmail/A 22887-2022 FSC-klagomål mail.docx", "A 22887-2022")</f>
        <v/>
      </c>
      <c r="AA124">
        <f>HYPERLINK("https://klasma.github.io/Logging_0382/tillsyn/A 22887-2022 tillsynsbegäran.docx", "A 22887-2022")</f>
        <v/>
      </c>
      <c r="AB124">
        <f>HYPERLINK("https://klasma.github.io/Logging_0382/tillsynsmail/A 22887-2022 tillsynsbegäran mail.docx", "A 22887-2022")</f>
        <v/>
      </c>
    </row>
    <row r="125" ht="15" customHeight="1">
      <c r="A125" t="inlineStr">
        <is>
          <t>A 34418-2022</t>
        </is>
      </c>
      <c r="B125" t="inlineStr">
        <is>
          <t>avverkningsanmälan</t>
        </is>
      </c>
      <c r="C125" t="inlineStr">
        <is>
          <t>Föryngringsavverkning</t>
        </is>
      </c>
      <c r="D125" s="1" t="n">
        <v>44792</v>
      </c>
      <c r="E125" s="1" t="n">
        <v>46216</v>
      </c>
      <c r="F125" t="inlineStr">
        <is>
          <t>UPPSALA LÄN</t>
        </is>
      </c>
      <c r="G125" t="inlineStr">
        <is>
          <t>ÖSTHAMMAR</t>
        </is>
      </c>
      <c r="I125" t="n">
        <v>0.3</v>
      </c>
      <c r="J125" t="n">
        <v>0</v>
      </c>
      <c r="K125" t="n">
        <v>1</v>
      </c>
      <c r="L125" t="n">
        <v>0</v>
      </c>
      <c r="M125" t="n">
        <v>0</v>
      </c>
      <c r="N125" t="n">
        <v>0</v>
      </c>
      <c r="O125" t="n">
        <v>0</v>
      </c>
      <c r="P125" t="n">
        <v>0</v>
      </c>
      <c r="Q125" t="n">
        <v>0</v>
      </c>
      <c r="R125" t="n">
        <v>0</v>
      </c>
      <c r="S125" t="n">
        <v>1</v>
      </c>
      <c r="T125" t="n">
        <v>1</v>
      </c>
      <c r="U125" s="2" t="inlineStr">
        <is>
          <t>Grönpyrola</t>
        </is>
      </c>
      <c r="V125">
        <f>HYPERLINK("https://klasma.github.io/Logging_0382/artfynd/A 34418-2022 artfynd.xlsx", "A 34418-2022")</f>
        <v/>
      </c>
      <c r="W125">
        <f>HYPERLINK("https://klasma.github.io/Logging_0382/kartor/A 34418-2022 karta.png", "A 34418-2022")</f>
        <v/>
      </c>
      <c r="Y125">
        <f>HYPERLINK("https://klasma.github.io/Logging_0382/klagomål/A 34418-2022 FSC-klagomål.docx", "A 34418-2022")</f>
        <v/>
      </c>
      <c r="Z125">
        <f>HYPERLINK("https://klasma.github.io/Logging_0382/klagomålsmail/A 34418-2022 FSC-klagomål mail.docx", "A 34418-2022")</f>
        <v/>
      </c>
      <c r="AA125">
        <f>HYPERLINK("https://klasma.github.io/Logging_0382/tillsyn/A 34418-2022 tillsynsbegäran.docx", "A 34418-2022")</f>
        <v/>
      </c>
      <c r="AB125">
        <f>HYPERLINK("https://klasma.github.io/Logging_0382/tillsynsmail/A 34418-2022 tillsynsbegäran mail.docx", "A 34418-2022")</f>
        <v/>
      </c>
    </row>
    <row r="126" ht="15" customHeight="1">
      <c r="A126" t="inlineStr">
        <is>
          <t>A 7446-2022</t>
        </is>
      </c>
      <c r="B126" t="inlineStr">
        <is>
          <t>avverkningsanmälan</t>
        </is>
      </c>
      <c r="C126" t="inlineStr">
        <is>
          <t>Föryngringsavverkning</t>
        </is>
      </c>
      <c r="D126" s="1" t="n">
        <v>44606</v>
      </c>
      <c r="E126" s="1" t="n">
        <v>46216</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s="2" t="inlineStr">
        <is>
          <t>Mattlummer</t>
        </is>
      </c>
      <c r="V126">
        <f>HYPERLINK("https://klasma.github.io/Logging_0382/artfynd/A 7446-2022 artfynd.xlsx", "A 7446-2022")</f>
        <v/>
      </c>
      <c r="W126">
        <f>HYPERLINK("https://klasma.github.io/Logging_0382/kartor/A 7446-2022 karta.png", "A 7446-2022")</f>
        <v/>
      </c>
      <c r="Y126">
        <f>HYPERLINK("https://klasma.github.io/Logging_0382/klagomål/A 7446-2022 FSC-klagomål.docx", "A 7446-2022")</f>
        <v/>
      </c>
      <c r="Z126">
        <f>HYPERLINK("https://klasma.github.io/Logging_0382/klagomålsmail/A 7446-2022 FSC-klagomål mail.docx", "A 7446-2022")</f>
        <v/>
      </c>
      <c r="AA126">
        <f>HYPERLINK("https://klasma.github.io/Logging_0382/tillsyn/A 7446-2022 tillsynsbegäran.docx", "A 7446-2022")</f>
        <v/>
      </c>
      <c r="AB126">
        <f>HYPERLINK("https://klasma.github.io/Logging_0382/tillsynsmail/A 7446-2022 tillsynsbegäran mail.docx", "A 7446-2022")</f>
        <v/>
      </c>
    </row>
    <row r="127" ht="15" customHeight="1">
      <c r="A127" t="inlineStr">
        <is>
          <t>A 36904-2023</t>
        </is>
      </c>
      <c r="B127" t="inlineStr">
        <is>
          <t>avverkningsanmälan</t>
        </is>
      </c>
      <c r="C127" t="inlineStr">
        <is>
          <t>Föryngringsavverkning</t>
        </is>
      </c>
      <c r="D127" s="1" t="n">
        <v>45154</v>
      </c>
      <c r="E127" s="1" t="n">
        <v>46216</v>
      </c>
      <c r="F127" t="inlineStr">
        <is>
          <t>UPPSALA LÄN</t>
        </is>
      </c>
      <c r="G127" t="inlineStr">
        <is>
          <t>ÖSTHAMMAR</t>
        </is>
      </c>
      <c r="H127" t="inlineStr">
        <is>
          <t>Övriga Aktiebolag</t>
        </is>
      </c>
      <c r="I127" t="n">
        <v>1.5</v>
      </c>
      <c r="J127" t="n">
        <v>1</v>
      </c>
      <c r="K127" t="n">
        <v>0</v>
      </c>
      <c r="L127" t="n">
        <v>0</v>
      </c>
      <c r="M127" t="n">
        <v>1</v>
      </c>
      <c r="N127" t="n">
        <v>0</v>
      </c>
      <c r="O127" t="n">
        <v>0</v>
      </c>
      <c r="P127" t="n">
        <v>0</v>
      </c>
      <c r="Q127" t="n">
        <v>1</v>
      </c>
      <c r="R127" t="n">
        <v>1</v>
      </c>
      <c r="S127" t="n">
        <v>1</v>
      </c>
      <c r="T127" t="n">
        <v>1</v>
      </c>
      <c r="U127" s="2" t="inlineStr">
        <is>
          <t>Hällebräcka</t>
        </is>
      </c>
      <c r="V127">
        <f>HYPERLINK("https://klasma.github.io/Logging_0382/artfynd/A 36904-2023 artfynd.xlsx", "A 36904-2023")</f>
        <v/>
      </c>
      <c r="W127">
        <f>HYPERLINK("https://klasma.github.io/Logging_0382/kartor/A 36904-2023 karta.png", "A 36904-2023")</f>
        <v/>
      </c>
      <c r="Y127">
        <f>HYPERLINK("https://klasma.github.io/Logging_0382/klagomål/A 36904-2023 FSC-klagomål.docx", "A 36904-2023")</f>
        <v/>
      </c>
      <c r="Z127">
        <f>HYPERLINK("https://klasma.github.io/Logging_0382/klagomålsmail/A 36904-2023 FSC-klagomål mail.docx", "A 36904-2023")</f>
        <v/>
      </c>
      <c r="AA127">
        <f>HYPERLINK("https://klasma.github.io/Logging_0382/tillsyn/A 36904-2023 tillsynsbegäran.docx", "A 36904-2023")</f>
        <v/>
      </c>
      <c r="AB127">
        <f>HYPERLINK("https://klasma.github.io/Logging_0382/tillsynsmail/A 36904-2023 tillsynsbegäran mail.docx", "A 36904-2023")</f>
        <v/>
      </c>
    </row>
    <row r="128" ht="15" customHeight="1">
      <c r="A128" t="inlineStr">
        <is>
          <t>A 4984-2024</t>
        </is>
      </c>
      <c r="B128" t="inlineStr">
        <is>
          <t>avverkningsanmälan</t>
        </is>
      </c>
      <c r="C128" t="inlineStr">
        <is>
          <t>Föryngringsavverkning</t>
        </is>
      </c>
      <c r="D128" s="1" t="n">
        <v>45329</v>
      </c>
      <c r="E128" s="1" t="n">
        <v>46216</v>
      </c>
      <c r="F128" t="inlineStr">
        <is>
          <t>UPPSALA LÄN</t>
        </is>
      </c>
      <c r="G128" t="inlineStr">
        <is>
          <t>ÖSTHAMMAR</t>
        </is>
      </c>
      <c r="I128" t="n">
        <v>2.2</v>
      </c>
      <c r="J128" t="n">
        <v>1</v>
      </c>
      <c r="K128" t="n">
        <v>1</v>
      </c>
      <c r="L128" t="n">
        <v>0</v>
      </c>
      <c r="M128" t="n">
        <v>0</v>
      </c>
      <c r="N128" t="n">
        <v>0</v>
      </c>
      <c r="O128" t="n">
        <v>0</v>
      </c>
      <c r="P128" t="n">
        <v>0</v>
      </c>
      <c r="Q128" t="n">
        <v>0</v>
      </c>
      <c r="R128" t="n">
        <v>0</v>
      </c>
      <c r="S128" t="n">
        <v>1</v>
      </c>
      <c r="T128" t="n">
        <v>1</v>
      </c>
      <c r="U128" s="2" t="inlineStr">
        <is>
          <t>Guckusko</t>
        </is>
      </c>
      <c r="V128">
        <f>HYPERLINK("https://klasma.github.io/Logging_0382/artfynd/A 4984-2024 artfynd.xlsx", "A 4984-2024")</f>
        <v/>
      </c>
      <c r="W128">
        <f>HYPERLINK("https://klasma.github.io/Logging_0382/kartor/A 4984-2024 karta.png", "A 4984-2024")</f>
        <v/>
      </c>
      <c r="Y128">
        <f>HYPERLINK("https://klasma.github.io/Logging_0382/klagomål/A 4984-2024 FSC-klagomål.docx", "A 4984-2024")</f>
        <v/>
      </c>
      <c r="Z128">
        <f>HYPERLINK("https://klasma.github.io/Logging_0382/klagomålsmail/A 4984-2024 FSC-klagomål mail.docx", "A 4984-2024")</f>
        <v/>
      </c>
      <c r="AA128">
        <f>HYPERLINK("https://klasma.github.io/Logging_0382/tillsyn/A 4984-2024 tillsynsbegäran.docx", "A 4984-2024")</f>
        <v/>
      </c>
      <c r="AB128">
        <f>HYPERLINK("https://klasma.github.io/Logging_0382/tillsynsmail/A 4984-2024 tillsynsbegäran mail.docx", "A 4984-2024")</f>
        <v/>
      </c>
    </row>
    <row r="129" ht="15" customHeight="1">
      <c r="A129" t="inlineStr">
        <is>
          <t>A 40570-2025</t>
        </is>
      </c>
      <c r="B129" t="inlineStr">
        <is>
          <t>avverkningsanmälan</t>
        </is>
      </c>
      <c r="C129" t="inlineStr">
        <is>
          <t>Föryngringsavverkning</t>
        </is>
      </c>
      <c r="D129" s="1" t="n">
        <v>45896</v>
      </c>
      <c r="E129" s="1" t="n">
        <v>46216</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s="2" t="inlineStr">
        <is>
          <t>Skogskorn</t>
        </is>
      </c>
      <c r="V129">
        <f>HYPERLINK("https://klasma.github.io/Logging_0382/artfynd/A 40570-2025 artfynd.xlsx", "A 40570-2025")</f>
        <v/>
      </c>
      <c r="W129">
        <f>HYPERLINK("https://klasma.github.io/Logging_0382/kartor/A 40570-2025 karta.png", "A 40570-2025")</f>
        <v/>
      </c>
      <c r="Y129">
        <f>HYPERLINK("https://klasma.github.io/Logging_0382/klagomål/A 40570-2025 FSC-klagomål.docx", "A 40570-2025")</f>
        <v/>
      </c>
      <c r="Z129">
        <f>HYPERLINK("https://klasma.github.io/Logging_0382/klagomålsmail/A 40570-2025 FSC-klagomål mail.docx", "A 40570-2025")</f>
        <v/>
      </c>
      <c r="AA129">
        <f>HYPERLINK("https://klasma.github.io/Logging_0382/tillsyn/A 40570-2025 tillsynsbegäran.docx", "A 40570-2025")</f>
        <v/>
      </c>
      <c r="AB129">
        <f>HYPERLINK("https://klasma.github.io/Logging_0382/tillsynsmail/A 40570-2025 tillsynsbegäran mail.docx", "A 40570-2025")</f>
        <v/>
      </c>
    </row>
    <row r="130" ht="15" customHeight="1">
      <c r="A130" t="inlineStr">
        <is>
          <t>A 2947-2025</t>
        </is>
      </c>
      <c r="B130" t="inlineStr">
        <is>
          <t>avverkningsanmälan</t>
        </is>
      </c>
      <c r="C130" t="inlineStr">
        <is>
          <t>Föryngringsavverkning</t>
        </is>
      </c>
      <c r="D130" s="1" t="n">
        <v>45678</v>
      </c>
      <c r="E130" s="1" t="n">
        <v>46216</v>
      </c>
      <c r="F130" t="inlineStr">
        <is>
          <t>UPPSALA LÄN</t>
        </is>
      </c>
      <c r="G130" t="inlineStr">
        <is>
          <t>ÖSTHAMMAR</t>
        </is>
      </c>
      <c r="I130" t="n">
        <v>3.6</v>
      </c>
      <c r="J130" t="n">
        <v>0</v>
      </c>
      <c r="K130" t="n">
        <v>0</v>
      </c>
      <c r="L130" t="n">
        <v>1</v>
      </c>
      <c r="M130" t="n">
        <v>0</v>
      </c>
      <c r="N130" t="n">
        <v>0</v>
      </c>
      <c r="O130" t="n">
        <v>0</v>
      </c>
      <c r="P130" t="n">
        <v>0</v>
      </c>
      <c r="Q130" t="n">
        <v>1</v>
      </c>
      <c r="R130" t="n">
        <v>0</v>
      </c>
      <c r="S130" t="n">
        <v>1</v>
      </c>
      <c r="T130" t="n">
        <v>1</v>
      </c>
      <c r="U130" s="2" t="inlineStr">
        <is>
          <t>Vedtrappmossa</t>
        </is>
      </c>
      <c r="V130">
        <f>HYPERLINK("https://klasma.github.io/Logging_0382/artfynd/A 2947-2025 artfynd.xlsx", "A 2947-2025")</f>
        <v/>
      </c>
      <c r="W130">
        <f>HYPERLINK("https://klasma.github.io/Logging_0382/kartor/A 2947-2025 karta.png", "A 2947-2025")</f>
        <v/>
      </c>
      <c r="Y130">
        <f>HYPERLINK("https://klasma.github.io/Logging_0382/klagomål/A 2947-2025 FSC-klagomål.docx", "A 2947-2025")</f>
        <v/>
      </c>
      <c r="Z130">
        <f>HYPERLINK("https://klasma.github.io/Logging_0382/klagomålsmail/A 2947-2025 FSC-klagomål mail.docx", "A 2947-2025")</f>
        <v/>
      </c>
      <c r="AA130">
        <f>HYPERLINK("https://klasma.github.io/Logging_0382/tillsyn/A 2947-2025 tillsynsbegäran.docx", "A 2947-2025")</f>
        <v/>
      </c>
      <c r="AB130">
        <f>HYPERLINK("https://klasma.github.io/Logging_0382/tillsynsmail/A 2947-2025 tillsynsbegäran mail.docx", "A 2947-2025")</f>
        <v/>
      </c>
    </row>
    <row r="131" ht="15" customHeight="1">
      <c r="A131" t="inlineStr">
        <is>
          <t>A 6507-2026</t>
        </is>
      </c>
      <c r="B131" t="inlineStr">
        <is>
          <t>avverkningsanmälan</t>
        </is>
      </c>
      <c r="C131" t="inlineStr">
        <is>
          <t>Föryngringsavverkning</t>
        </is>
      </c>
      <c r="D131" s="1" t="n">
        <v>46056</v>
      </c>
      <c r="E131" s="1" t="n">
        <v>46216</v>
      </c>
      <c r="F131" t="inlineStr">
        <is>
          <t>UPPSALA LÄN</t>
        </is>
      </c>
      <c r="G131" t="inlineStr">
        <is>
          <t>ÖSTHAMMAR</t>
        </is>
      </c>
      <c r="H131" t="inlineStr">
        <is>
          <t>Bergvik skog öst AB</t>
        </is>
      </c>
      <c r="I131" t="n">
        <v>1.5</v>
      </c>
      <c r="J131" t="n">
        <v>0</v>
      </c>
      <c r="K131" t="n">
        <v>1</v>
      </c>
      <c r="L131" t="n">
        <v>0</v>
      </c>
      <c r="M131" t="n">
        <v>0</v>
      </c>
      <c r="N131" t="n">
        <v>0</v>
      </c>
      <c r="O131" t="n">
        <v>0</v>
      </c>
      <c r="P131" t="n">
        <v>0</v>
      </c>
      <c r="Q131" t="n">
        <v>0</v>
      </c>
      <c r="R131" t="n">
        <v>0</v>
      </c>
      <c r="S131" t="n">
        <v>1</v>
      </c>
      <c r="T131" t="n">
        <v>1</v>
      </c>
      <c r="U131" s="2" t="inlineStr">
        <is>
          <t>Tibast</t>
        </is>
      </c>
      <c r="V131">
        <f>HYPERLINK("https://klasma.github.io/Logging_0382/artfynd/A 6507-2026 artfynd.xlsx", "A 6507-2026")</f>
        <v/>
      </c>
      <c r="W131">
        <f>HYPERLINK("https://klasma.github.io/Logging_0382/kartor/A 6507-2026 karta.png", "A 6507-2026")</f>
        <v/>
      </c>
      <c r="Y131">
        <f>HYPERLINK("https://klasma.github.io/Logging_0382/klagomål/A 6507-2026 FSC-klagomål.docx", "A 6507-2026")</f>
        <v/>
      </c>
      <c r="Z131">
        <f>HYPERLINK("https://klasma.github.io/Logging_0382/klagomålsmail/A 6507-2026 FSC-klagomål mail.docx", "A 6507-2026")</f>
        <v/>
      </c>
      <c r="AA131">
        <f>HYPERLINK("https://klasma.github.io/Logging_0382/tillsyn/A 6507-2026 tillsynsbegäran.docx", "A 6507-2026")</f>
        <v/>
      </c>
      <c r="AB131">
        <f>HYPERLINK("https://klasma.github.io/Logging_0382/tillsynsmail/A 6507-2026 tillsynsbegäran mail.docx", "A 6507-2026")</f>
        <v/>
      </c>
    </row>
    <row r="132" ht="15" customHeight="1">
      <c r="A132" t="inlineStr">
        <is>
          <t>A 7855-2026</t>
        </is>
      </c>
      <c r="B132" t="inlineStr">
        <is>
          <t>avverkningsanmälan</t>
        </is>
      </c>
      <c r="C132" t="inlineStr">
        <is>
          <t>Föryngringsavverkning</t>
        </is>
      </c>
      <c r="D132" s="1" t="n">
        <v>46062</v>
      </c>
      <c r="E132" s="1" t="n">
        <v>46216</v>
      </c>
      <c r="F132" t="inlineStr">
        <is>
          <t>UPPSALA LÄN</t>
        </is>
      </c>
      <c r="G132" t="inlineStr">
        <is>
          <t>ÖSTHAMMAR</t>
        </is>
      </c>
      <c r="I132" t="n">
        <v>3.8</v>
      </c>
      <c r="J132" t="n">
        <v>0</v>
      </c>
      <c r="K132" t="n">
        <v>0</v>
      </c>
      <c r="L132" t="n">
        <v>1</v>
      </c>
      <c r="M132" t="n">
        <v>0</v>
      </c>
      <c r="N132" t="n">
        <v>0</v>
      </c>
      <c r="O132" t="n">
        <v>0</v>
      </c>
      <c r="P132" t="n">
        <v>0</v>
      </c>
      <c r="Q132" t="n">
        <v>1</v>
      </c>
      <c r="R132" t="n">
        <v>0</v>
      </c>
      <c r="S132" t="n">
        <v>1</v>
      </c>
      <c r="T132" t="n">
        <v>1</v>
      </c>
      <c r="U132" s="2" t="inlineStr">
        <is>
          <t>Skogsklocka</t>
        </is>
      </c>
      <c r="V132">
        <f>HYPERLINK("https://klasma.github.io/Logging_0382/artfynd/A 7855-2026 artfynd.xlsx", "A 7855-2026")</f>
        <v/>
      </c>
      <c r="W132">
        <f>HYPERLINK("https://klasma.github.io/Logging_0382/kartor/A 7855-2026 karta.png", "A 7855-2026")</f>
        <v/>
      </c>
      <c r="Y132">
        <f>HYPERLINK("https://klasma.github.io/Logging_0382/klagomål/A 7855-2026 FSC-klagomål.docx", "A 7855-2026")</f>
        <v/>
      </c>
      <c r="Z132">
        <f>HYPERLINK("https://klasma.github.io/Logging_0382/klagomålsmail/A 7855-2026 FSC-klagomål mail.docx", "A 7855-2026")</f>
        <v/>
      </c>
      <c r="AA132">
        <f>HYPERLINK("https://klasma.github.io/Logging_0382/tillsyn/A 7855-2026 tillsynsbegäran.docx", "A 7855-2026")</f>
        <v/>
      </c>
      <c r="AB132">
        <f>HYPERLINK("https://klasma.github.io/Logging_0382/tillsynsmail/A 7855-2026 tillsynsbegäran mail.docx", "A 7855-2026")</f>
        <v/>
      </c>
    </row>
    <row r="133" ht="15" customHeight="1">
      <c r="A133" t="inlineStr">
        <is>
          <t>A 6046-2025</t>
        </is>
      </c>
      <c r="B133" t="inlineStr">
        <is>
          <t>avverkningsanmälan</t>
        </is>
      </c>
      <c r="C133" t="inlineStr">
        <is>
          <t>Föryngringsavverkning</t>
        </is>
      </c>
      <c r="D133" s="1" t="n">
        <v>45695</v>
      </c>
      <c r="E133" s="1" t="n">
        <v>46216</v>
      </c>
      <c r="F133" t="inlineStr">
        <is>
          <t>UPPSALA LÄN</t>
        </is>
      </c>
      <c r="G133" t="inlineStr">
        <is>
          <t>ÖSTHAMMAR</t>
        </is>
      </c>
      <c r="I133" t="n">
        <v>0.8</v>
      </c>
      <c r="J133" t="n">
        <v>1</v>
      </c>
      <c r="K133" t="n">
        <v>0</v>
      </c>
      <c r="L133" t="n">
        <v>0</v>
      </c>
      <c r="M133" t="n">
        <v>1</v>
      </c>
      <c r="N133" t="n">
        <v>0</v>
      </c>
      <c r="O133" t="n">
        <v>0</v>
      </c>
      <c r="P133" t="n">
        <v>0</v>
      </c>
      <c r="Q133" t="n">
        <v>1</v>
      </c>
      <c r="R133" t="n">
        <v>1</v>
      </c>
      <c r="S133" t="n">
        <v>1</v>
      </c>
      <c r="T133" t="n">
        <v>2</v>
      </c>
      <c r="U133" s="2" t="inlineStr">
        <is>
          <t>Knärot</t>
        </is>
      </c>
      <c r="V133">
        <f>HYPERLINK("https://klasma.github.io/Logging_0382/artfynd/A 6046-2025 artfynd.xlsx", "A 6046-2025")</f>
        <v/>
      </c>
      <c r="W133">
        <f>HYPERLINK("https://klasma.github.io/Logging_0382/kartor/A 6046-2025 karta.png", "A 6046-2025")</f>
        <v/>
      </c>
      <c r="X133">
        <f>HYPERLINK("https://klasma.github.io/Logging_0382/knärot/A 6046-2025 karta knärot.png", "A 6046-2025")</f>
        <v/>
      </c>
      <c r="Y133">
        <f>HYPERLINK("https://klasma.github.io/Logging_0382/klagomål/A 6046-2025 FSC-klagomål.docx", "A 6046-2025")</f>
        <v/>
      </c>
      <c r="Z133">
        <f>HYPERLINK("https://klasma.github.io/Logging_0382/klagomålsmail/A 6046-2025 FSC-klagomål mail.docx", "A 6046-2025")</f>
        <v/>
      </c>
      <c r="AA133">
        <f>HYPERLINK("https://klasma.github.io/Logging_0382/tillsyn/A 6046-2025 tillsynsbegäran.docx", "A 6046-2025")</f>
        <v/>
      </c>
      <c r="AB133">
        <f>HYPERLINK("https://klasma.github.io/Logging_0382/tillsynsmail/A 6046-2025 tillsynsbegäran mail.docx", "A 6046-2025")</f>
        <v/>
      </c>
    </row>
    <row r="134" ht="15" customHeight="1">
      <c r="A134" t="inlineStr">
        <is>
          <t>A 7470-2022</t>
        </is>
      </c>
      <c r="B134" t="inlineStr">
        <is>
          <t>avverkningsanmälan</t>
        </is>
      </c>
      <c r="C134" t="inlineStr">
        <is>
          <t>Föryngringsavverkning</t>
        </is>
      </c>
      <c r="D134" s="1" t="n">
        <v>44607</v>
      </c>
      <c r="E134" s="1" t="n">
        <v>46216</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s="2" t="inlineStr">
        <is>
          <t>Grön sköldmossa</t>
        </is>
      </c>
      <c r="V134">
        <f>HYPERLINK("https://klasma.github.io/Logging_0382/artfynd/A 7470-2022 artfynd.xlsx", "A 7470-2022")</f>
        <v/>
      </c>
      <c r="W134">
        <f>HYPERLINK("https://klasma.github.io/Logging_0382/kartor/A 7470-2022 karta.png", "A 7470-2022")</f>
        <v/>
      </c>
      <c r="Y134">
        <f>HYPERLINK("https://klasma.github.io/Logging_0382/klagomål/A 7470-2022 FSC-klagomål.docx", "A 7470-2022")</f>
        <v/>
      </c>
      <c r="Z134">
        <f>HYPERLINK("https://klasma.github.io/Logging_0382/klagomålsmail/A 7470-2022 FSC-klagomål mail.docx", "A 7470-2022")</f>
        <v/>
      </c>
      <c r="AA134">
        <f>HYPERLINK("https://klasma.github.io/Logging_0382/tillsyn/A 7470-2022 tillsynsbegäran.docx", "A 7470-2022")</f>
        <v/>
      </c>
      <c r="AB134">
        <f>HYPERLINK("https://klasma.github.io/Logging_0382/tillsynsmail/A 7470-2022 tillsynsbegäran mail.docx", "A 7470-2022")</f>
        <v/>
      </c>
    </row>
    <row r="135" ht="15" customHeight="1">
      <c r="A135" t="inlineStr">
        <is>
          <t>A 22209-2022</t>
        </is>
      </c>
      <c r="B135" t="inlineStr">
        <is>
          <t>avverkningsanmälan</t>
        </is>
      </c>
      <c r="C135" t="inlineStr">
        <is>
          <t>Föryngringsavverkning</t>
        </is>
      </c>
      <c r="D135" s="1" t="n">
        <v>44712</v>
      </c>
      <c r="E135" s="1" t="n">
        <v>46216</v>
      </c>
      <c r="F135" t="inlineStr">
        <is>
          <t>UPPSALA LÄN</t>
        </is>
      </c>
      <c r="G135" t="inlineStr">
        <is>
          <t>ÖSTHAMMAR</t>
        </is>
      </c>
      <c r="H135" t="inlineStr">
        <is>
          <t>Bergvik skog öst AB</t>
        </is>
      </c>
      <c r="I135" t="n">
        <v>1.5</v>
      </c>
      <c r="J135" t="n">
        <v>1</v>
      </c>
      <c r="K135" t="n">
        <v>0</v>
      </c>
      <c r="L135" t="n">
        <v>0</v>
      </c>
      <c r="M135" t="n">
        <v>0</v>
      </c>
      <c r="N135" t="n">
        <v>0</v>
      </c>
      <c r="O135" t="n">
        <v>0</v>
      </c>
      <c r="P135" t="n">
        <v>0</v>
      </c>
      <c r="Q135" t="n">
        <v>0</v>
      </c>
      <c r="R135" t="n">
        <v>0</v>
      </c>
      <c r="S135" t="n">
        <v>1</v>
      </c>
      <c r="T135" t="n">
        <v>1</v>
      </c>
      <c r="U135" s="2" t="inlineStr">
        <is>
          <t>Blåsippa</t>
        </is>
      </c>
      <c r="V135">
        <f>HYPERLINK("https://klasma.github.io/Logging_0382/artfynd/A 22209-2022 artfynd.xlsx", "A 22209-2022")</f>
        <v/>
      </c>
      <c r="W135">
        <f>HYPERLINK("https://klasma.github.io/Logging_0382/kartor/A 22209-2022 karta.png", "A 22209-2022")</f>
        <v/>
      </c>
      <c r="Y135">
        <f>HYPERLINK("https://klasma.github.io/Logging_0382/klagomål/A 22209-2022 FSC-klagomål.docx", "A 22209-2022")</f>
        <v/>
      </c>
      <c r="Z135">
        <f>HYPERLINK("https://klasma.github.io/Logging_0382/klagomålsmail/A 22209-2022 FSC-klagomål mail.docx", "A 22209-2022")</f>
        <v/>
      </c>
      <c r="AA135">
        <f>HYPERLINK("https://klasma.github.io/Logging_0382/tillsyn/A 22209-2022 tillsynsbegäran.docx", "A 22209-2022")</f>
        <v/>
      </c>
      <c r="AB135">
        <f>HYPERLINK("https://klasma.github.io/Logging_0382/tillsynsmail/A 22209-2022 tillsynsbegäran mail.docx", "A 22209-2022")</f>
        <v/>
      </c>
    </row>
    <row r="136" ht="15" customHeight="1">
      <c r="A136" t="inlineStr">
        <is>
          <t>A 12753-2024</t>
        </is>
      </c>
      <c r="B136" t="inlineStr">
        <is>
          <t>avverkningsanmälan</t>
        </is>
      </c>
      <c r="C136" t="inlineStr">
        <is>
          <t>Föryngringsavverkning</t>
        </is>
      </c>
      <c r="D136" s="1" t="n">
        <v>45384</v>
      </c>
      <c r="E136" s="1" t="n">
        <v>46216</v>
      </c>
      <c r="F136" t="inlineStr">
        <is>
          <t>UPPSALA LÄN</t>
        </is>
      </c>
      <c r="G136" t="inlineStr">
        <is>
          <t>ÖSTHAMMAR</t>
        </is>
      </c>
      <c r="I136" t="n">
        <v>1.7</v>
      </c>
      <c r="J136" t="n">
        <v>0</v>
      </c>
      <c r="K136" t="n">
        <v>0</v>
      </c>
      <c r="L136" t="n">
        <v>1</v>
      </c>
      <c r="M136" t="n">
        <v>0</v>
      </c>
      <c r="N136" t="n">
        <v>0</v>
      </c>
      <c r="O136" t="n">
        <v>0</v>
      </c>
      <c r="P136" t="n">
        <v>0</v>
      </c>
      <c r="Q136" t="n">
        <v>1</v>
      </c>
      <c r="R136" t="n">
        <v>0</v>
      </c>
      <c r="S136" t="n">
        <v>1</v>
      </c>
      <c r="T136" t="n">
        <v>1</v>
      </c>
      <c r="U136" s="2" t="inlineStr">
        <is>
          <t>Flattoppad klubbsvamp</t>
        </is>
      </c>
      <c r="V136">
        <f>HYPERLINK("https://klasma.github.io/Logging_0382/artfynd/A 12753-2024 artfynd.xlsx", "A 12753-2024")</f>
        <v/>
      </c>
      <c r="W136">
        <f>HYPERLINK("https://klasma.github.io/Logging_0382/kartor/A 12753-2024 karta.png", "A 12753-2024")</f>
        <v/>
      </c>
      <c r="Y136">
        <f>HYPERLINK("https://klasma.github.io/Logging_0382/klagomål/A 12753-2024 FSC-klagomål.docx", "A 12753-2024")</f>
        <v/>
      </c>
      <c r="Z136">
        <f>HYPERLINK("https://klasma.github.io/Logging_0382/klagomålsmail/A 12753-2024 FSC-klagomål mail.docx", "A 12753-2024")</f>
        <v/>
      </c>
      <c r="AA136">
        <f>HYPERLINK("https://klasma.github.io/Logging_0382/tillsyn/A 12753-2024 tillsynsbegäran.docx", "A 12753-2024")</f>
        <v/>
      </c>
      <c r="AB136">
        <f>HYPERLINK("https://klasma.github.io/Logging_0382/tillsynsmail/A 12753-2024 tillsynsbegäran mail.docx", "A 12753-2024")</f>
        <v/>
      </c>
    </row>
    <row r="137" ht="15" customHeight="1">
      <c r="A137" t="inlineStr">
        <is>
          <t>A 37865-2023</t>
        </is>
      </c>
      <c r="B137" t="inlineStr">
        <is>
          <t>avverkningsanmälan</t>
        </is>
      </c>
      <c r="C137" t="inlineStr">
        <is>
          <t>Föryngringsavverkning</t>
        </is>
      </c>
      <c r="D137" s="1" t="n">
        <v>45160</v>
      </c>
      <c r="E137" s="1" t="n">
        <v>46216</v>
      </c>
      <c r="F137" t="inlineStr">
        <is>
          <t>UPPSALA LÄN</t>
        </is>
      </c>
      <c r="G137" t="inlineStr">
        <is>
          <t>ÖSTHAMMAR</t>
        </is>
      </c>
      <c r="I137" t="n">
        <v>1.4</v>
      </c>
      <c r="J137" t="n">
        <v>0</v>
      </c>
      <c r="K137" t="n">
        <v>0</v>
      </c>
      <c r="L137" t="n">
        <v>1</v>
      </c>
      <c r="M137" t="n">
        <v>0</v>
      </c>
      <c r="N137" t="n">
        <v>0</v>
      </c>
      <c r="O137" t="n">
        <v>0</v>
      </c>
      <c r="P137" t="n">
        <v>0</v>
      </c>
      <c r="Q137" t="n">
        <v>1</v>
      </c>
      <c r="R137" t="n">
        <v>0</v>
      </c>
      <c r="S137" t="n">
        <v>1</v>
      </c>
      <c r="T137" t="n">
        <v>2</v>
      </c>
      <c r="U137" s="2" t="inlineStr">
        <is>
          <t>Backklöver</t>
        </is>
      </c>
      <c r="V137">
        <f>HYPERLINK("https://klasma.github.io/Logging_0382/artfynd/A 37865-2023 artfynd.xlsx", "A 37865-2023")</f>
        <v/>
      </c>
      <c r="W137">
        <f>HYPERLINK("https://klasma.github.io/Logging_0382/kartor/A 37865-2023 karta.png", "A 37865-2023")</f>
        <v/>
      </c>
      <c r="Y137">
        <f>HYPERLINK("https://klasma.github.io/Logging_0382/klagomål/A 37865-2023 FSC-klagomål.docx", "A 37865-2023")</f>
        <v/>
      </c>
      <c r="Z137">
        <f>HYPERLINK("https://klasma.github.io/Logging_0382/klagomålsmail/A 37865-2023 FSC-klagomål mail.docx", "A 37865-2023")</f>
        <v/>
      </c>
      <c r="AA137">
        <f>HYPERLINK("https://klasma.github.io/Logging_0382/tillsyn/A 37865-2023 tillsynsbegäran.docx", "A 37865-2023")</f>
        <v/>
      </c>
      <c r="AB137">
        <f>HYPERLINK("https://klasma.github.io/Logging_0382/tillsynsmail/A 37865-2023 tillsynsbegäran mail.docx", "A 37865-2023")</f>
        <v/>
      </c>
    </row>
    <row r="138" ht="15" customHeight="1">
      <c r="A138" t="inlineStr">
        <is>
          <t>A 14006-2026</t>
        </is>
      </c>
      <c r="B138" t="inlineStr">
        <is>
          <t>avverkningsanmälan</t>
        </is>
      </c>
      <c r="C138" t="inlineStr">
        <is>
          <t>Föryngringsavverkning</t>
        </is>
      </c>
      <c r="D138" s="1" t="n">
        <v>46098</v>
      </c>
      <c r="E138" s="1" t="n">
        <v>46216</v>
      </c>
      <c r="F138" t="inlineStr">
        <is>
          <t>UPPSALA LÄN</t>
        </is>
      </c>
      <c r="G138" t="inlineStr">
        <is>
          <t>ÖSTHAMMAR</t>
        </is>
      </c>
      <c r="I138" t="n">
        <v>2</v>
      </c>
      <c r="J138" t="n">
        <v>0</v>
      </c>
      <c r="K138" t="n">
        <v>0</v>
      </c>
      <c r="L138" t="n">
        <v>0</v>
      </c>
      <c r="M138" t="n">
        <v>1</v>
      </c>
      <c r="N138" t="n">
        <v>0</v>
      </c>
      <c r="O138" t="n">
        <v>0</v>
      </c>
      <c r="P138" t="n">
        <v>0</v>
      </c>
      <c r="Q138" t="n">
        <v>1</v>
      </c>
      <c r="R138" t="n">
        <v>1</v>
      </c>
      <c r="S138" t="n">
        <v>1</v>
      </c>
      <c r="T138" t="n">
        <v>1</v>
      </c>
      <c r="U138" s="2" t="inlineStr">
        <is>
          <t>Igelkott</t>
        </is>
      </c>
      <c r="V138">
        <f>HYPERLINK("https://klasma.github.io/Logging_0382/artfynd/A 14006-2026 artfynd.xlsx", "A 14006-2026")</f>
        <v/>
      </c>
      <c r="W138">
        <f>HYPERLINK("https://klasma.github.io/Logging_0382/kartor/A 14006-2026 karta.png", "A 14006-2026")</f>
        <v/>
      </c>
      <c r="Y138">
        <f>HYPERLINK("https://klasma.github.io/Logging_0382/klagomål/A 14006-2026 FSC-klagomål.docx", "A 14006-2026")</f>
        <v/>
      </c>
      <c r="Z138">
        <f>HYPERLINK("https://klasma.github.io/Logging_0382/klagomålsmail/A 14006-2026 FSC-klagomål mail.docx", "A 14006-2026")</f>
        <v/>
      </c>
      <c r="AA138">
        <f>HYPERLINK("https://klasma.github.io/Logging_0382/tillsyn/A 14006-2026 tillsynsbegäran.docx", "A 14006-2026")</f>
        <v/>
      </c>
      <c r="AB138">
        <f>HYPERLINK("https://klasma.github.io/Logging_0382/tillsynsmail/A 14006-2026 tillsynsbegäran mail.docx", "A 14006-2026")</f>
        <v/>
      </c>
    </row>
    <row r="139" ht="15" customHeight="1">
      <c r="A139" t="inlineStr">
        <is>
          <t>A 20634-2024</t>
        </is>
      </c>
      <c r="B139" t="inlineStr">
        <is>
          <t>avverkningsanmälan</t>
        </is>
      </c>
      <c r="C139" t="inlineStr">
        <is>
          <t>Föryngringsavverkning</t>
        </is>
      </c>
      <c r="D139" s="1" t="n">
        <v>45436</v>
      </c>
      <c r="E139" s="1" t="n">
        <v>46216</v>
      </c>
      <c r="F139" t="inlineStr">
        <is>
          <t>UPPSALA LÄN</t>
        </is>
      </c>
      <c r="G139" t="inlineStr">
        <is>
          <t>ÖSTHAMMAR</t>
        </is>
      </c>
      <c r="I139" t="n">
        <v>6.5</v>
      </c>
      <c r="J139" t="n">
        <v>0</v>
      </c>
      <c r="K139" t="n">
        <v>0</v>
      </c>
      <c r="L139" t="n">
        <v>1</v>
      </c>
      <c r="M139" t="n">
        <v>0</v>
      </c>
      <c r="N139" t="n">
        <v>0</v>
      </c>
      <c r="O139" t="n">
        <v>0</v>
      </c>
      <c r="P139" t="n">
        <v>0</v>
      </c>
      <c r="Q139" t="n">
        <v>1</v>
      </c>
      <c r="R139" t="n">
        <v>0</v>
      </c>
      <c r="S139" t="n">
        <v>1</v>
      </c>
      <c r="T139" t="n">
        <v>1</v>
      </c>
      <c r="U139" s="2" t="inlineStr">
        <is>
          <t>Skarp dropptaggsvamp</t>
        </is>
      </c>
      <c r="V139">
        <f>HYPERLINK("https://klasma.github.io/Logging_0382/artfynd/A 20634-2024 artfynd.xlsx", "A 20634-2024")</f>
        <v/>
      </c>
      <c r="W139">
        <f>HYPERLINK("https://klasma.github.io/Logging_0382/kartor/A 20634-2024 karta.png", "A 20634-2024")</f>
        <v/>
      </c>
      <c r="Y139">
        <f>HYPERLINK("https://klasma.github.io/Logging_0382/klagomål/A 20634-2024 FSC-klagomål.docx", "A 20634-2024")</f>
        <v/>
      </c>
      <c r="Z139">
        <f>HYPERLINK("https://klasma.github.io/Logging_0382/klagomålsmail/A 20634-2024 FSC-klagomål mail.docx", "A 20634-2024")</f>
        <v/>
      </c>
      <c r="AA139">
        <f>HYPERLINK("https://klasma.github.io/Logging_0382/tillsyn/A 20634-2024 tillsynsbegäran.docx", "A 20634-2024")</f>
        <v/>
      </c>
      <c r="AB139">
        <f>HYPERLINK("https://klasma.github.io/Logging_0382/tillsynsmail/A 20634-2024 tillsynsbegäran mail.docx", "A 20634-2024")</f>
        <v/>
      </c>
    </row>
    <row r="140" ht="15" customHeight="1">
      <c r="A140" t="inlineStr">
        <is>
          <t>A 61257-2022</t>
        </is>
      </c>
      <c r="B140" t="inlineStr">
        <is>
          <t>avverkningsanmälan</t>
        </is>
      </c>
      <c r="C140" t="inlineStr">
        <is>
          <t>Föryngringsavverkning</t>
        </is>
      </c>
      <c r="D140" s="1" t="n">
        <v>44915</v>
      </c>
      <c r="E140" s="1" t="n">
        <v>46216</v>
      </c>
      <c r="F140" t="inlineStr">
        <is>
          <t>UPPSALA LÄN</t>
        </is>
      </c>
      <c r="G140" t="inlineStr">
        <is>
          <t>ÖSTHAMMAR</t>
        </is>
      </c>
      <c r="I140" t="n">
        <v>1</v>
      </c>
      <c r="J140" t="n">
        <v>1</v>
      </c>
      <c r="K140" t="n">
        <v>0</v>
      </c>
      <c r="L140" t="n">
        <v>0</v>
      </c>
      <c r="M140" t="n">
        <v>1</v>
      </c>
      <c r="N140" t="n">
        <v>0</v>
      </c>
      <c r="O140" t="n">
        <v>0</v>
      </c>
      <c r="P140" t="n">
        <v>0</v>
      </c>
      <c r="Q140" t="n">
        <v>1</v>
      </c>
      <c r="R140" t="n">
        <v>1</v>
      </c>
      <c r="S140" t="n">
        <v>1</v>
      </c>
      <c r="T140" t="n">
        <v>1</v>
      </c>
      <c r="U140" s="2" t="inlineStr">
        <is>
          <t>Hällebräcka</t>
        </is>
      </c>
      <c r="V140">
        <f>HYPERLINK("https://klasma.github.io/Logging_0382/artfynd/A 61257-2022 artfynd.xlsx", "A 61257-2022")</f>
        <v/>
      </c>
      <c r="W140">
        <f>HYPERLINK("https://klasma.github.io/Logging_0382/kartor/A 61257-2022 karta.png", "A 61257-2022")</f>
        <v/>
      </c>
      <c r="Y140">
        <f>HYPERLINK("https://klasma.github.io/Logging_0382/klagomål/A 61257-2022 FSC-klagomål.docx", "A 61257-2022")</f>
        <v/>
      </c>
      <c r="Z140">
        <f>HYPERLINK("https://klasma.github.io/Logging_0382/klagomålsmail/A 61257-2022 FSC-klagomål mail.docx", "A 61257-2022")</f>
        <v/>
      </c>
      <c r="AA140">
        <f>HYPERLINK("https://klasma.github.io/Logging_0382/tillsyn/A 61257-2022 tillsynsbegäran.docx", "A 61257-2022")</f>
        <v/>
      </c>
      <c r="AB140">
        <f>HYPERLINK("https://klasma.github.io/Logging_0382/tillsynsmail/A 61257-2022 tillsynsbegäran mail.docx", "A 61257-2022")</f>
        <v/>
      </c>
    </row>
    <row r="141" ht="15" customHeight="1">
      <c r="A141" t="inlineStr">
        <is>
          <t>A 8014-2026</t>
        </is>
      </c>
      <c r="B141" t="inlineStr">
        <is>
          <t>avverkningsanmälan</t>
        </is>
      </c>
      <c r="C141" t="inlineStr">
        <is>
          <t>Föryngringsavverkning</t>
        </is>
      </c>
      <c r="D141" s="1" t="n">
        <v>46063</v>
      </c>
      <c r="E141" s="1" t="n">
        <v>46216</v>
      </c>
      <c r="F141" t="inlineStr">
        <is>
          <t>UPPSALA LÄN</t>
        </is>
      </c>
      <c r="G141" t="inlineStr">
        <is>
          <t>ÖSTHAMMAR</t>
        </is>
      </c>
      <c r="I141" t="n">
        <v>15.2</v>
      </c>
      <c r="J141" t="n">
        <v>1</v>
      </c>
      <c r="K141" t="n">
        <v>1</v>
      </c>
      <c r="L141" t="n">
        <v>0</v>
      </c>
      <c r="M141" t="n">
        <v>0</v>
      </c>
      <c r="N141" t="n">
        <v>0</v>
      </c>
      <c r="O141" t="n">
        <v>0</v>
      </c>
      <c r="P141" t="n">
        <v>0</v>
      </c>
      <c r="Q141" t="n">
        <v>0</v>
      </c>
      <c r="R141" t="n">
        <v>0</v>
      </c>
      <c r="S141" t="n">
        <v>1</v>
      </c>
      <c r="T141" t="n">
        <v>1</v>
      </c>
      <c r="U141" s="2" t="inlineStr">
        <is>
          <t>Skogsknipprot</t>
        </is>
      </c>
      <c r="V141">
        <f>HYPERLINK("https://klasma.github.io/Logging_0382/artfynd/A 8014-2026 artfynd.xlsx", "A 8014-2026")</f>
        <v/>
      </c>
      <c r="W141">
        <f>HYPERLINK("https://klasma.github.io/Logging_0382/kartor/A 8014-2026 karta.png", "A 8014-2026")</f>
        <v/>
      </c>
      <c r="Y141">
        <f>HYPERLINK("https://klasma.github.io/Logging_0382/klagomål/A 8014-2026 FSC-klagomål.docx", "A 8014-2026")</f>
        <v/>
      </c>
      <c r="Z141">
        <f>HYPERLINK("https://klasma.github.io/Logging_0382/klagomålsmail/A 8014-2026 FSC-klagomål mail.docx", "A 8014-2026")</f>
        <v/>
      </c>
      <c r="AA141">
        <f>HYPERLINK("https://klasma.github.io/Logging_0382/tillsyn/A 8014-2026 tillsynsbegäran.docx", "A 8014-2026")</f>
        <v/>
      </c>
      <c r="AB141">
        <f>HYPERLINK("https://klasma.github.io/Logging_0382/tillsynsmail/A 8014-2026 tillsynsbegäran mail.docx", "A 8014-2026")</f>
        <v/>
      </c>
    </row>
    <row r="142" ht="15" customHeight="1">
      <c r="A142" t="inlineStr">
        <is>
          <t>A 14706-2023</t>
        </is>
      </c>
      <c r="B142" t="inlineStr">
        <is>
          <t>avverkningsanmälan</t>
        </is>
      </c>
      <c r="C142" t="inlineStr">
        <is>
          <t>Föryngringsavverkning</t>
        </is>
      </c>
      <c r="D142" s="1" t="n">
        <v>45013</v>
      </c>
      <c r="E142" s="1" t="n">
        <v>46216</v>
      </c>
      <c r="F142" t="inlineStr">
        <is>
          <t>UPPSALA LÄN</t>
        </is>
      </c>
      <c r="G142" t="inlineStr">
        <is>
          <t>ÖSTHAMMAR</t>
        </is>
      </c>
      <c r="I142" t="n">
        <v>0.9</v>
      </c>
      <c r="J142" t="n">
        <v>0</v>
      </c>
      <c r="K142" t="n">
        <v>1</v>
      </c>
      <c r="L142" t="n">
        <v>0</v>
      </c>
      <c r="M142" t="n">
        <v>0</v>
      </c>
      <c r="N142" t="n">
        <v>0</v>
      </c>
      <c r="O142" t="n">
        <v>0</v>
      </c>
      <c r="P142" t="n">
        <v>0</v>
      </c>
      <c r="Q142" t="n">
        <v>0</v>
      </c>
      <c r="R142" t="n">
        <v>0</v>
      </c>
      <c r="S142" t="n">
        <v>1</v>
      </c>
      <c r="T142" t="n">
        <v>1</v>
      </c>
      <c r="U142" s="2" t="inlineStr">
        <is>
          <t>Olivspindling</t>
        </is>
      </c>
      <c r="V142">
        <f>HYPERLINK("https://klasma.github.io/Logging_0382/artfynd/A 14706-2023 artfynd.xlsx", "A 14706-2023")</f>
        <v/>
      </c>
      <c r="W142">
        <f>HYPERLINK("https://klasma.github.io/Logging_0382/kartor/A 14706-2023 karta.png", "A 14706-2023")</f>
        <v/>
      </c>
      <c r="Y142">
        <f>HYPERLINK("https://klasma.github.io/Logging_0382/klagomål/A 14706-2023 FSC-klagomål.docx", "A 14706-2023")</f>
        <v/>
      </c>
      <c r="Z142">
        <f>HYPERLINK("https://klasma.github.io/Logging_0382/klagomålsmail/A 14706-2023 FSC-klagomål mail.docx", "A 14706-2023")</f>
        <v/>
      </c>
      <c r="AA142">
        <f>HYPERLINK("https://klasma.github.io/Logging_0382/tillsyn/A 14706-2023 tillsynsbegäran.docx", "A 14706-2023")</f>
        <v/>
      </c>
      <c r="AB142">
        <f>HYPERLINK("https://klasma.github.io/Logging_0382/tillsynsmail/A 14706-2023 tillsynsbegäran mail.docx", "A 14706-2023")</f>
        <v/>
      </c>
    </row>
    <row r="143" ht="15" customHeight="1">
      <c r="A143" t="inlineStr">
        <is>
          <t>A 1227-2022</t>
        </is>
      </c>
      <c r="B143" t="inlineStr">
        <is>
          <t>avverkningsanmälan</t>
        </is>
      </c>
      <c r="C143" t="inlineStr">
        <is>
          <t>Föryngringsavverkning</t>
        </is>
      </c>
      <c r="D143" s="1" t="n">
        <v>44572</v>
      </c>
      <c r="E143" s="1" t="n">
        <v>46216</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s="2" t="inlineStr">
        <is>
          <t>Guldkremla</t>
        </is>
      </c>
      <c r="V143">
        <f>HYPERLINK("https://klasma.github.io/Logging_0382/artfynd/A 1227-2022 artfynd.xlsx", "A 1227-2022")</f>
        <v/>
      </c>
      <c r="W143">
        <f>HYPERLINK("https://klasma.github.io/Logging_0382/kartor/A 1227-2022 karta.png", "A 1227-2022")</f>
        <v/>
      </c>
      <c r="Y143">
        <f>HYPERLINK("https://klasma.github.io/Logging_0382/klagomål/A 1227-2022 FSC-klagomål.docx", "A 1227-2022")</f>
        <v/>
      </c>
      <c r="Z143">
        <f>HYPERLINK("https://klasma.github.io/Logging_0382/klagomålsmail/A 1227-2022 FSC-klagomål mail.docx", "A 1227-2022")</f>
        <v/>
      </c>
      <c r="AA143">
        <f>HYPERLINK("https://klasma.github.io/Logging_0382/tillsyn/A 1227-2022 tillsynsbegäran.docx", "A 1227-2022")</f>
        <v/>
      </c>
      <c r="AB143">
        <f>HYPERLINK("https://klasma.github.io/Logging_0382/tillsynsmail/A 1227-2022 tillsynsbegäran mail.docx", "A 1227-2022")</f>
        <v/>
      </c>
    </row>
    <row r="144" ht="15" customHeight="1">
      <c r="A144" t="inlineStr">
        <is>
          <t>A 34090-2023</t>
        </is>
      </c>
      <c r="B144" t="inlineStr">
        <is>
          <t>avverkningsanmälan</t>
        </is>
      </c>
      <c r="C144" t="inlineStr">
        <is>
          <t>Föryngringsavverkning</t>
        </is>
      </c>
      <c r="D144" s="1" t="n">
        <v>45135</v>
      </c>
      <c r="E144" s="1" t="n">
        <v>46216</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1</v>
      </c>
      <c r="U144" s="2" t="inlineStr">
        <is>
          <t>Spillkråka</t>
        </is>
      </c>
      <c r="V144">
        <f>HYPERLINK("https://klasma.github.io/Logging_0382/artfynd/A 34090-2023 artfynd.xlsx", "A 34090-2023")</f>
        <v/>
      </c>
      <c r="W144">
        <f>HYPERLINK("https://klasma.github.io/Logging_0382/kartor/A 34090-2023 karta.png", "A 34090-2023")</f>
        <v/>
      </c>
      <c r="Y144">
        <f>HYPERLINK("https://klasma.github.io/Logging_0382/klagomål/A 34090-2023 FSC-klagomål.docx", "A 34090-2023")</f>
        <v/>
      </c>
      <c r="Z144">
        <f>HYPERLINK("https://klasma.github.io/Logging_0382/klagomålsmail/A 34090-2023 FSC-klagomål mail.docx", "A 34090-2023")</f>
        <v/>
      </c>
      <c r="AA144">
        <f>HYPERLINK("https://klasma.github.io/Logging_0382/tillsyn/A 34090-2023 tillsynsbegäran.docx", "A 34090-2023")</f>
        <v/>
      </c>
      <c r="AB144">
        <f>HYPERLINK("https://klasma.github.io/Logging_0382/tillsynsmail/A 34090-2023 tillsynsbegäran mail.docx", "A 34090-2023")</f>
        <v/>
      </c>
      <c r="AC144">
        <f>HYPERLINK("https://klasma.github.io/Logging_0382/fåglar/A 34090-2023 prioriterade fågelarter.docx", "A 34090-2023")</f>
        <v/>
      </c>
    </row>
    <row r="145" ht="15" customHeight="1">
      <c r="A145" t="inlineStr">
        <is>
          <t>A 11017-2023</t>
        </is>
      </c>
      <c r="B145" t="inlineStr">
        <is>
          <t>avverkningsanmälan</t>
        </is>
      </c>
      <c r="C145" t="inlineStr">
        <is>
          <t>Avverkning för annat ändamål</t>
        </is>
      </c>
      <c r="D145" s="1" t="n">
        <v>44991</v>
      </c>
      <c r="E145" s="1" t="n">
        <v>46216</v>
      </c>
      <c r="F145" t="inlineStr">
        <is>
          <t>UPPSALA LÄN</t>
        </is>
      </c>
      <c r="G145" t="inlineStr">
        <is>
          <t>ÖSTHAMMAR</t>
        </is>
      </c>
      <c r="I145" t="n">
        <v>1.9</v>
      </c>
      <c r="J145" t="n">
        <v>1</v>
      </c>
      <c r="K145" t="n">
        <v>0</v>
      </c>
      <c r="L145" t="n">
        <v>0</v>
      </c>
      <c r="M145" t="n">
        <v>0</v>
      </c>
      <c r="N145" t="n">
        <v>1</v>
      </c>
      <c r="O145" t="n">
        <v>0</v>
      </c>
      <c r="P145" t="n">
        <v>0</v>
      </c>
      <c r="Q145" t="n">
        <v>1</v>
      </c>
      <c r="R145" t="n">
        <v>1</v>
      </c>
      <c r="S145" t="n">
        <v>1</v>
      </c>
      <c r="T145" t="n">
        <v>1</v>
      </c>
      <c r="U145" s="2" t="inlineStr">
        <is>
          <t>Kornknarr</t>
        </is>
      </c>
      <c r="V145">
        <f>HYPERLINK("https://klasma.github.io/Logging_0382/artfynd/A 11017-2023 artfynd.xlsx", "A 11017-2023")</f>
        <v/>
      </c>
      <c r="W145">
        <f>HYPERLINK("https://klasma.github.io/Logging_0382/kartor/A 11017-2023 karta.png", "A 11017-2023")</f>
        <v/>
      </c>
      <c r="Y145">
        <f>HYPERLINK("https://klasma.github.io/Logging_0382/klagomål/A 11017-2023 FSC-klagomål.docx", "A 11017-2023")</f>
        <v/>
      </c>
      <c r="Z145">
        <f>HYPERLINK("https://klasma.github.io/Logging_0382/klagomålsmail/A 11017-2023 FSC-klagomål mail.docx", "A 11017-2023")</f>
        <v/>
      </c>
      <c r="AA145">
        <f>HYPERLINK("https://klasma.github.io/Logging_0382/tillsyn/A 11017-2023 tillsynsbegäran.docx", "A 11017-2023")</f>
        <v/>
      </c>
      <c r="AB145">
        <f>HYPERLINK("https://klasma.github.io/Logging_0382/tillsynsmail/A 11017-2023 tillsynsbegäran mail.docx", "A 11017-2023")</f>
        <v/>
      </c>
    </row>
    <row r="146" ht="15" customHeight="1">
      <c r="A146" t="inlineStr">
        <is>
          <t>A 52818-2022</t>
        </is>
      </c>
      <c r="B146" t="inlineStr">
        <is>
          <t>avverkningsanmälan</t>
        </is>
      </c>
      <c r="C146" t="inlineStr">
        <is>
          <t>Föryngringsavverkning</t>
        </is>
      </c>
      <c r="D146" s="1" t="n">
        <v>44875</v>
      </c>
      <c r="E146" s="1" t="n">
        <v>46216</v>
      </c>
      <c r="F146" t="inlineStr">
        <is>
          <t>UPPSALA LÄN</t>
        </is>
      </c>
      <c r="G146" t="inlineStr">
        <is>
          <t>ÖSTHAMMAR</t>
        </is>
      </c>
      <c r="I146" t="n">
        <v>0.9</v>
      </c>
      <c r="J146" t="n">
        <v>1</v>
      </c>
      <c r="K146" t="n">
        <v>1</v>
      </c>
      <c r="L146" t="n">
        <v>0</v>
      </c>
      <c r="M146" t="n">
        <v>0</v>
      </c>
      <c r="N146" t="n">
        <v>0</v>
      </c>
      <c r="O146" t="n">
        <v>0</v>
      </c>
      <c r="P146" t="n">
        <v>0</v>
      </c>
      <c r="Q146" t="n">
        <v>0</v>
      </c>
      <c r="R146" t="n">
        <v>0</v>
      </c>
      <c r="S146" t="n">
        <v>1</v>
      </c>
      <c r="T146" t="n">
        <v>1</v>
      </c>
      <c r="U146" s="2" t="inlineStr">
        <is>
          <t>Guckusko</t>
        </is>
      </c>
      <c r="V146">
        <f>HYPERLINK("https://klasma.github.io/Logging_0382/artfynd/A 52818-2022 artfynd.xlsx", "A 52818-2022")</f>
        <v/>
      </c>
      <c r="W146">
        <f>HYPERLINK("https://klasma.github.io/Logging_0382/kartor/A 52818-2022 karta.png", "A 52818-2022")</f>
        <v/>
      </c>
      <c r="Y146">
        <f>HYPERLINK("https://klasma.github.io/Logging_0382/klagomål/A 52818-2022 FSC-klagomål.docx", "A 52818-2022")</f>
        <v/>
      </c>
      <c r="Z146">
        <f>HYPERLINK("https://klasma.github.io/Logging_0382/klagomålsmail/A 52818-2022 FSC-klagomål mail.docx", "A 52818-2022")</f>
        <v/>
      </c>
      <c r="AA146">
        <f>HYPERLINK("https://klasma.github.io/Logging_0382/tillsyn/A 52818-2022 tillsynsbegäran.docx", "A 52818-2022")</f>
        <v/>
      </c>
      <c r="AB146">
        <f>HYPERLINK("https://klasma.github.io/Logging_0382/tillsynsmail/A 52818-2022 tillsynsbegäran mail.docx", "A 52818-2022")</f>
        <v/>
      </c>
    </row>
    <row r="147" ht="15" customHeight="1">
      <c r="A147" t="inlineStr">
        <is>
          <t>A 38600-2023</t>
        </is>
      </c>
      <c r="B147" t="inlineStr">
        <is>
          <t>avverkningsanmälan</t>
        </is>
      </c>
      <c r="C147" t="inlineStr">
        <is>
          <t>Avverkning för annat ändamål</t>
        </is>
      </c>
      <c r="D147" s="1" t="n">
        <v>45162</v>
      </c>
      <c r="E147" s="1" t="n">
        <v>46216</v>
      </c>
      <c r="F147" t="inlineStr">
        <is>
          <t>UPPSALA LÄN</t>
        </is>
      </c>
      <c r="G147" t="inlineStr">
        <is>
          <t>ÖSTHAMMAR</t>
        </is>
      </c>
      <c r="H147" t="inlineStr">
        <is>
          <t>Bergvik skog väst AB</t>
        </is>
      </c>
      <c r="I147" t="n">
        <v>0.1</v>
      </c>
      <c r="J147" t="n">
        <v>1</v>
      </c>
      <c r="K147" t="n">
        <v>0</v>
      </c>
      <c r="L147" t="n">
        <v>0</v>
      </c>
      <c r="M147" t="n">
        <v>0</v>
      </c>
      <c r="N147" t="n">
        <v>0</v>
      </c>
      <c r="O147" t="n">
        <v>0</v>
      </c>
      <c r="P147" t="n">
        <v>0</v>
      </c>
      <c r="Q147" t="n">
        <v>0</v>
      </c>
      <c r="R147" t="n">
        <v>0</v>
      </c>
      <c r="S147" t="n">
        <v>1</v>
      </c>
      <c r="T147" t="n">
        <v>1</v>
      </c>
      <c r="U147" s="2" t="inlineStr">
        <is>
          <t>Blåsippa</t>
        </is>
      </c>
      <c r="V147">
        <f>HYPERLINK("https://klasma.github.io/Logging_0382/artfynd/A 38600-2023 artfynd.xlsx", "A 38600-2023")</f>
        <v/>
      </c>
      <c r="W147">
        <f>HYPERLINK("https://klasma.github.io/Logging_0382/kartor/A 38600-2023 karta.png", "A 38600-2023")</f>
        <v/>
      </c>
      <c r="Y147">
        <f>HYPERLINK("https://klasma.github.io/Logging_0382/klagomål/A 38600-2023 FSC-klagomål.docx", "A 38600-2023")</f>
        <v/>
      </c>
      <c r="Z147">
        <f>HYPERLINK("https://klasma.github.io/Logging_0382/klagomålsmail/A 38600-2023 FSC-klagomål mail.docx", "A 38600-2023")</f>
        <v/>
      </c>
      <c r="AA147">
        <f>HYPERLINK("https://klasma.github.io/Logging_0382/tillsyn/A 38600-2023 tillsynsbegäran.docx", "A 38600-2023")</f>
        <v/>
      </c>
      <c r="AB147">
        <f>HYPERLINK("https://klasma.github.io/Logging_0382/tillsynsmail/A 38600-2023 tillsynsbegäran mail.docx", "A 38600-2023")</f>
        <v/>
      </c>
    </row>
    <row r="148" ht="15" customHeight="1">
      <c r="A148" t="inlineStr">
        <is>
          <t>A 37296-2023</t>
        </is>
      </c>
      <c r="B148" t="inlineStr">
        <is>
          <t>avverkningsanmälan</t>
        </is>
      </c>
      <c r="C148" t="inlineStr">
        <is>
          <t>Föryngringsavverkning</t>
        </is>
      </c>
      <c r="D148" s="1" t="n">
        <v>45156</v>
      </c>
      <c r="E148" s="1" t="n">
        <v>46216</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s="2" t="inlineStr">
        <is>
          <t>Backsippa</t>
        </is>
      </c>
      <c r="V148">
        <f>HYPERLINK("https://klasma.github.io/Logging_0382/artfynd/A 37296-2023 artfynd.xlsx", "A 37296-2023")</f>
        <v/>
      </c>
      <c r="W148">
        <f>HYPERLINK("https://klasma.github.io/Logging_0382/kartor/A 37296-2023 karta.png", "A 37296-2023")</f>
        <v/>
      </c>
      <c r="Y148">
        <f>HYPERLINK("https://klasma.github.io/Logging_0382/klagomål/A 37296-2023 FSC-klagomål.docx", "A 37296-2023")</f>
        <v/>
      </c>
      <c r="Z148">
        <f>HYPERLINK("https://klasma.github.io/Logging_0382/klagomålsmail/A 37296-2023 FSC-klagomål mail.docx", "A 37296-2023")</f>
        <v/>
      </c>
      <c r="AA148">
        <f>HYPERLINK("https://klasma.github.io/Logging_0382/tillsyn/A 37296-2023 tillsynsbegäran.docx", "A 37296-2023")</f>
        <v/>
      </c>
      <c r="AB148">
        <f>HYPERLINK("https://klasma.github.io/Logging_0382/tillsynsmail/A 37296-2023 tillsynsbegäran mail.docx", "A 37296-2023")</f>
        <v/>
      </c>
    </row>
    <row r="149" ht="15" customHeight="1">
      <c r="A149" t="inlineStr">
        <is>
          <t>A 30605-2025</t>
        </is>
      </c>
      <c r="B149" t="inlineStr">
        <is>
          <t>avverkningsanmälan</t>
        </is>
      </c>
      <c r="C149" t="inlineStr">
        <is>
          <t>Föryngringsavverkning</t>
        </is>
      </c>
      <c r="D149" s="1" t="n">
        <v>45831</v>
      </c>
      <c r="E149" s="1" t="n">
        <v>46216</v>
      </c>
      <c r="F149" t="inlineStr">
        <is>
          <t>UPPSALA LÄN</t>
        </is>
      </c>
      <c r="G149" t="inlineStr">
        <is>
          <t>ÖSTHAMMAR</t>
        </is>
      </c>
      <c r="I149" t="n">
        <v>1.7</v>
      </c>
      <c r="J149" t="n">
        <v>0</v>
      </c>
      <c r="K149" t="n">
        <v>0</v>
      </c>
      <c r="L149" t="n">
        <v>0</v>
      </c>
      <c r="M149" t="n">
        <v>1</v>
      </c>
      <c r="N149" t="n">
        <v>0</v>
      </c>
      <c r="O149" t="n">
        <v>0</v>
      </c>
      <c r="P149" t="n">
        <v>0</v>
      </c>
      <c r="Q149" t="n">
        <v>1</v>
      </c>
      <c r="R149" t="n">
        <v>1</v>
      </c>
      <c r="S149" t="n">
        <v>1</v>
      </c>
      <c r="T149" t="n">
        <v>1</v>
      </c>
      <c r="U149" s="2" t="inlineStr">
        <is>
          <t>Plattsäv</t>
        </is>
      </c>
      <c r="V149">
        <f>HYPERLINK("https://klasma.github.io/Logging_0382/artfynd/A 30605-2025 artfynd.xlsx", "A 30605-2025")</f>
        <v/>
      </c>
      <c r="W149">
        <f>HYPERLINK("https://klasma.github.io/Logging_0382/kartor/A 30605-2025 karta.png", "A 30605-2025")</f>
        <v/>
      </c>
      <c r="Y149">
        <f>HYPERLINK("https://klasma.github.io/Logging_0382/klagomål/A 30605-2025 FSC-klagomål.docx", "A 30605-2025")</f>
        <v/>
      </c>
      <c r="Z149">
        <f>HYPERLINK("https://klasma.github.io/Logging_0382/klagomålsmail/A 30605-2025 FSC-klagomål mail.docx", "A 30605-2025")</f>
        <v/>
      </c>
      <c r="AA149">
        <f>HYPERLINK("https://klasma.github.io/Logging_0382/tillsyn/A 30605-2025 tillsynsbegäran.docx", "A 30605-2025")</f>
        <v/>
      </c>
      <c r="AB149">
        <f>HYPERLINK("https://klasma.github.io/Logging_0382/tillsynsmail/A 30605-2025 tillsynsbegäran mail.docx", "A 30605-2025")</f>
        <v/>
      </c>
    </row>
    <row r="150" ht="15" customHeight="1">
      <c r="A150" t="inlineStr">
        <is>
          <t>A 10034-2023</t>
        </is>
      </c>
      <c r="B150" t="inlineStr">
        <is>
          <t>avverkningsanmälan</t>
        </is>
      </c>
      <c r="C150" t="inlineStr">
        <is>
          <t>Avverkning för annat ändamål</t>
        </is>
      </c>
      <c r="D150" s="1" t="n">
        <v>44985</v>
      </c>
      <c r="E150" s="1" t="n">
        <v>46216</v>
      </c>
      <c r="F150" t="inlineStr">
        <is>
          <t>UPPSALA LÄN</t>
        </is>
      </c>
      <c r="G150" t="inlineStr">
        <is>
          <t>ÖSTHAMMAR</t>
        </is>
      </c>
      <c r="I150" t="n">
        <v>2.1</v>
      </c>
      <c r="J150" t="n">
        <v>1</v>
      </c>
      <c r="K150" t="n">
        <v>0</v>
      </c>
      <c r="L150" t="n">
        <v>0</v>
      </c>
      <c r="M150" t="n">
        <v>0</v>
      </c>
      <c r="N150" t="n">
        <v>0</v>
      </c>
      <c r="O150" t="n">
        <v>0</v>
      </c>
      <c r="P150" t="n">
        <v>0</v>
      </c>
      <c r="Q150" t="n">
        <v>0</v>
      </c>
      <c r="R150" t="n">
        <v>0</v>
      </c>
      <c r="S150" t="n">
        <v>1</v>
      </c>
      <c r="T150" t="n">
        <v>1</v>
      </c>
      <c r="U150" s="2" t="inlineStr">
        <is>
          <t>Blåsippa</t>
        </is>
      </c>
      <c r="V150">
        <f>HYPERLINK("https://klasma.github.io/Logging_0382/artfynd/A 10034-2023 artfynd.xlsx", "A 10034-2023")</f>
        <v/>
      </c>
      <c r="W150">
        <f>HYPERLINK("https://klasma.github.io/Logging_0382/kartor/A 10034-2023 karta.png", "A 10034-2023")</f>
        <v/>
      </c>
      <c r="Y150">
        <f>HYPERLINK("https://klasma.github.io/Logging_0382/klagomål/A 10034-2023 FSC-klagomål.docx", "A 10034-2023")</f>
        <v/>
      </c>
      <c r="Z150">
        <f>HYPERLINK("https://klasma.github.io/Logging_0382/klagomålsmail/A 10034-2023 FSC-klagomål mail.docx", "A 10034-2023")</f>
        <v/>
      </c>
      <c r="AA150">
        <f>HYPERLINK("https://klasma.github.io/Logging_0382/tillsyn/A 10034-2023 tillsynsbegäran.docx", "A 10034-2023")</f>
        <v/>
      </c>
      <c r="AB150">
        <f>HYPERLINK("https://klasma.github.io/Logging_0382/tillsynsmail/A 10034-2023 tillsynsbegäran mail.docx", "A 10034-2023")</f>
        <v/>
      </c>
    </row>
    <row r="151" ht="15" customHeight="1">
      <c r="A151" t="inlineStr">
        <is>
          <t>A 20396-2026</t>
        </is>
      </c>
      <c r="B151" t="inlineStr">
        <is>
          <t>avverkningsanmälan</t>
        </is>
      </c>
      <c r="C151" t="inlineStr">
        <is>
          <t>Föryngringsavverkning</t>
        </is>
      </c>
      <c r="D151" s="1" t="n">
        <v>46139</v>
      </c>
      <c r="E151" s="1" t="n">
        <v>46216</v>
      </c>
      <c r="F151" t="inlineStr">
        <is>
          <t>UPPSALA LÄN</t>
        </is>
      </c>
      <c r="G151" t="inlineStr">
        <is>
          <t>ÖSTHAMMAR</t>
        </is>
      </c>
      <c r="I151" t="n">
        <v>1.4</v>
      </c>
      <c r="J151" t="n">
        <v>1</v>
      </c>
      <c r="K151" t="n">
        <v>0</v>
      </c>
      <c r="L151" t="n">
        <v>1</v>
      </c>
      <c r="M151" t="n">
        <v>0</v>
      </c>
      <c r="N151" t="n">
        <v>0</v>
      </c>
      <c r="O151" t="n">
        <v>0</v>
      </c>
      <c r="P151" t="n">
        <v>0</v>
      </c>
      <c r="Q151" t="n">
        <v>1</v>
      </c>
      <c r="R151" t="n">
        <v>0</v>
      </c>
      <c r="S151" t="n">
        <v>1</v>
      </c>
      <c r="T151" t="n">
        <v>1</v>
      </c>
      <c r="U151" s="2" t="inlineStr">
        <is>
          <t>Bivråk</t>
        </is>
      </c>
      <c r="V151">
        <f>HYPERLINK("https://klasma.github.io/Logging_0382/artfynd/A 20396-2026 artfynd.xlsx", "A 20396-2026")</f>
        <v/>
      </c>
      <c r="W151">
        <f>HYPERLINK("https://klasma.github.io/Logging_0382/kartor/A 20396-2026 karta.png", "A 20396-2026")</f>
        <v/>
      </c>
      <c r="Y151">
        <f>HYPERLINK("https://klasma.github.io/Logging_0382/klagomål/A 20396-2026 FSC-klagomål.docx", "A 20396-2026")</f>
        <v/>
      </c>
      <c r="Z151">
        <f>HYPERLINK("https://klasma.github.io/Logging_0382/klagomålsmail/A 20396-2026 FSC-klagomål mail.docx", "A 20396-2026")</f>
        <v/>
      </c>
      <c r="AA151">
        <f>HYPERLINK("https://klasma.github.io/Logging_0382/tillsyn/A 20396-2026 tillsynsbegäran.docx", "A 20396-2026")</f>
        <v/>
      </c>
      <c r="AB151">
        <f>HYPERLINK("https://klasma.github.io/Logging_0382/tillsynsmail/A 20396-2026 tillsynsbegäran mail.docx", "A 20396-2026")</f>
        <v/>
      </c>
      <c r="AC151">
        <f>HYPERLINK("https://klasma.github.io/Logging_0382/fåglar/A 20396-2026 prioriterade fågelarter.docx", "A 20396-2026")</f>
        <v/>
      </c>
    </row>
    <row r="152" ht="15" customHeight="1">
      <c r="A152" t="inlineStr">
        <is>
          <t>A 13358-2024</t>
        </is>
      </c>
      <c r="B152" t="inlineStr">
        <is>
          <t>avverkningsanmälan</t>
        </is>
      </c>
      <c r="C152" t="inlineStr">
        <is>
          <t>Föryngringsavverkning</t>
        </is>
      </c>
      <c r="D152" s="1" t="n">
        <v>45387</v>
      </c>
      <c r="E152" s="1" t="n">
        <v>46216</v>
      </c>
      <c r="F152" t="inlineStr">
        <is>
          <t>UPPSALA LÄN</t>
        </is>
      </c>
      <c r="G152" t="inlineStr">
        <is>
          <t>ÖSTHAMMAR</t>
        </is>
      </c>
      <c r="I152" t="n">
        <v>2.2</v>
      </c>
      <c r="J152" t="n">
        <v>1</v>
      </c>
      <c r="K152" t="n">
        <v>0</v>
      </c>
      <c r="L152" t="n">
        <v>0</v>
      </c>
      <c r="M152" t="n">
        <v>0</v>
      </c>
      <c r="N152" t="n">
        <v>1</v>
      </c>
      <c r="O152" t="n">
        <v>0</v>
      </c>
      <c r="P152" t="n">
        <v>0</v>
      </c>
      <c r="Q152" t="n">
        <v>1</v>
      </c>
      <c r="R152" t="n">
        <v>1</v>
      </c>
      <c r="S152" t="n">
        <v>1</v>
      </c>
      <c r="T152" t="n">
        <v>1</v>
      </c>
      <c r="U152" s="2" t="inlineStr">
        <is>
          <t>Kornknarr</t>
        </is>
      </c>
      <c r="V152">
        <f>HYPERLINK("https://klasma.github.io/Logging_0382/artfynd/A 13358-2024 artfynd.xlsx", "A 13358-2024")</f>
        <v/>
      </c>
      <c r="W152">
        <f>HYPERLINK("https://klasma.github.io/Logging_0382/kartor/A 13358-2024 karta.png", "A 13358-2024")</f>
        <v/>
      </c>
      <c r="Y152">
        <f>HYPERLINK("https://klasma.github.io/Logging_0382/klagomål/A 13358-2024 FSC-klagomål.docx", "A 13358-2024")</f>
        <v/>
      </c>
      <c r="Z152">
        <f>HYPERLINK("https://klasma.github.io/Logging_0382/klagomålsmail/A 13358-2024 FSC-klagomål mail.docx", "A 13358-2024")</f>
        <v/>
      </c>
      <c r="AA152">
        <f>HYPERLINK("https://klasma.github.io/Logging_0382/tillsyn/A 13358-2024 tillsynsbegäran.docx", "A 13358-2024")</f>
        <v/>
      </c>
      <c r="AB152">
        <f>HYPERLINK("https://klasma.github.io/Logging_0382/tillsynsmail/A 13358-2024 tillsynsbegäran mail.docx", "A 13358-2024")</f>
        <v/>
      </c>
    </row>
    <row r="153" ht="15" customHeight="1">
      <c r="A153" t="inlineStr">
        <is>
          <t>A 61574-2025</t>
        </is>
      </c>
      <c r="B153" t="inlineStr">
        <is>
          <t>avverkningsanmälan</t>
        </is>
      </c>
      <c r="C153" t="inlineStr">
        <is>
          <t>Föryngringsavverkning</t>
        </is>
      </c>
      <c r="D153" s="1" t="n">
        <v>46002</v>
      </c>
      <c r="E153" s="1" t="n">
        <v>46216</v>
      </c>
      <c r="F153" t="inlineStr">
        <is>
          <t>UPPSALA LÄN</t>
        </is>
      </c>
      <c r="G153" t="inlineStr">
        <is>
          <t>ÖSTHAMMAR</t>
        </is>
      </c>
      <c r="H153" t="inlineStr">
        <is>
          <t>Övriga Aktiebolag</t>
        </is>
      </c>
      <c r="I153" t="n">
        <v>16.6</v>
      </c>
      <c r="J153" t="n">
        <v>1</v>
      </c>
      <c r="K153" t="n">
        <v>0</v>
      </c>
      <c r="L153" t="n">
        <v>0</v>
      </c>
      <c r="M153" t="n">
        <v>1</v>
      </c>
      <c r="N153" t="n">
        <v>0</v>
      </c>
      <c r="O153" t="n">
        <v>0</v>
      </c>
      <c r="P153" t="n">
        <v>0</v>
      </c>
      <c r="Q153" t="n">
        <v>1</v>
      </c>
      <c r="R153" t="n">
        <v>1</v>
      </c>
      <c r="S153" t="n">
        <v>1</v>
      </c>
      <c r="T153" t="n">
        <v>4</v>
      </c>
      <c r="U153" s="2" t="inlineStr">
        <is>
          <t>Hällebräcka</t>
        </is>
      </c>
      <c r="V153">
        <f>HYPERLINK("https://klasma.github.io/Logging_0382/artfynd/A 61574-2025 artfynd.xlsx", "A 61574-2025")</f>
        <v/>
      </c>
      <c r="W153">
        <f>HYPERLINK("https://klasma.github.io/Logging_0382/kartor/A 61574-2025 karta.png", "A 61574-2025")</f>
        <v/>
      </c>
      <c r="Y153">
        <f>HYPERLINK("https://klasma.github.io/Logging_0382/klagomål/A 61574-2025 FSC-klagomål.docx", "A 61574-2025")</f>
        <v/>
      </c>
      <c r="Z153">
        <f>HYPERLINK("https://klasma.github.io/Logging_0382/klagomålsmail/A 61574-2025 FSC-klagomål mail.docx", "A 61574-2025")</f>
        <v/>
      </c>
      <c r="AA153">
        <f>HYPERLINK("https://klasma.github.io/Logging_0382/tillsyn/A 61574-2025 tillsynsbegäran.docx", "A 61574-2025")</f>
        <v/>
      </c>
      <c r="AB153">
        <f>HYPERLINK("https://klasma.github.io/Logging_0382/tillsynsmail/A 61574-2025 tillsynsbegäran mail.docx", "A 61574-2025")</f>
        <v/>
      </c>
    </row>
    <row r="154" ht="15" customHeight="1">
      <c r="A154" t="inlineStr">
        <is>
          <t>A 9052-2023</t>
        </is>
      </c>
      <c r="B154" t="inlineStr">
        <is>
          <t>avverkningsanmälan</t>
        </is>
      </c>
      <c r="C154" t="inlineStr">
        <is>
          <t>Avverkning för annat ändamål</t>
        </is>
      </c>
      <c r="D154" s="1" t="n">
        <v>44979</v>
      </c>
      <c r="E154" s="1" t="n">
        <v>46216</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s="2" t="inlineStr">
        <is>
          <t>Slåtterfibbla</t>
        </is>
      </c>
      <c r="V154">
        <f>HYPERLINK("https://klasma.github.io/Logging_0382/artfynd/A 9052-2023 artfynd.xlsx", "A 9052-2023")</f>
        <v/>
      </c>
      <c r="W154">
        <f>HYPERLINK("https://klasma.github.io/Logging_0382/kartor/A 9052-2023 karta.png", "A 9052-2023")</f>
        <v/>
      </c>
      <c r="Y154">
        <f>HYPERLINK("https://klasma.github.io/Logging_0382/klagomål/A 9052-2023 FSC-klagomål.docx", "A 9052-2023")</f>
        <v/>
      </c>
      <c r="Z154">
        <f>HYPERLINK("https://klasma.github.io/Logging_0382/klagomålsmail/A 9052-2023 FSC-klagomål mail.docx", "A 9052-2023")</f>
        <v/>
      </c>
      <c r="AA154">
        <f>HYPERLINK("https://klasma.github.io/Logging_0382/tillsyn/A 9052-2023 tillsynsbegäran.docx", "A 9052-2023")</f>
        <v/>
      </c>
      <c r="AB154">
        <f>HYPERLINK("https://klasma.github.io/Logging_0382/tillsynsmail/A 9052-2023 tillsynsbegäran mail.docx", "A 9052-2023")</f>
        <v/>
      </c>
    </row>
    <row r="155" ht="15" customHeight="1">
      <c r="A155" t="inlineStr">
        <is>
          <t>A 12262-2023</t>
        </is>
      </c>
      <c r="B155" t="inlineStr">
        <is>
          <t>avverkningsanmälan</t>
        </is>
      </c>
      <c r="C155" t="inlineStr">
        <is>
          <t>Föryngringsavverkning</t>
        </is>
      </c>
      <c r="D155" s="1" t="n">
        <v>44998</v>
      </c>
      <c r="E155" s="1" t="n">
        <v>46216</v>
      </c>
      <c r="F155" t="inlineStr">
        <is>
          <t>UPPSALA LÄN</t>
        </is>
      </c>
      <c r="G155" t="inlineStr">
        <is>
          <t>ÖSTHAMMAR</t>
        </is>
      </c>
      <c r="I155" t="n">
        <v>4.1</v>
      </c>
      <c r="J155" t="n">
        <v>0</v>
      </c>
      <c r="K155" t="n">
        <v>0</v>
      </c>
      <c r="L155" t="n">
        <v>1</v>
      </c>
      <c r="M155" t="n">
        <v>0</v>
      </c>
      <c r="N155" t="n">
        <v>0</v>
      </c>
      <c r="O155" t="n">
        <v>0</v>
      </c>
      <c r="P155" t="n">
        <v>0</v>
      </c>
      <c r="Q155" t="n">
        <v>1</v>
      </c>
      <c r="R155" t="n">
        <v>0</v>
      </c>
      <c r="S155" t="n">
        <v>1</v>
      </c>
      <c r="T155" t="n">
        <v>1</v>
      </c>
      <c r="U155" s="2" t="inlineStr">
        <is>
          <t>Vårärt</t>
        </is>
      </c>
      <c r="V155">
        <f>HYPERLINK("https://klasma.github.io/Logging_0382/artfynd/A 12262-2023 artfynd.xlsx", "A 12262-2023")</f>
        <v/>
      </c>
      <c r="W155">
        <f>HYPERLINK("https://klasma.github.io/Logging_0382/kartor/A 12262-2023 karta.png", "A 12262-2023")</f>
        <v/>
      </c>
      <c r="Y155">
        <f>HYPERLINK("https://klasma.github.io/Logging_0382/klagomål/A 12262-2023 FSC-klagomål.docx", "A 12262-2023")</f>
        <v/>
      </c>
      <c r="Z155">
        <f>HYPERLINK("https://klasma.github.io/Logging_0382/klagomålsmail/A 12262-2023 FSC-klagomål mail.docx", "A 12262-2023")</f>
        <v/>
      </c>
      <c r="AA155">
        <f>HYPERLINK("https://klasma.github.io/Logging_0382/tillsyn/A 12262-2023 tillsynsbegäran.docx", "A 12262-2023")</f>
        <v/>
      </c>
      <c r="AB155">
        <f>HYPERLINK("https://klasma.github.io/Logging_0382/tillsynsmail/A 12262-2023 tillsynsbegäran mail.docx", "A 12262-2023")</f>
        <v/>
      </c>
    </row>
    <row r="156" ht="15" customHeight="1">
      <c r="A156" t="inlineStr">
        <is>
          <t>A 65989-2021</t>
        </is>
      </c>
      <c r="B156" t="inlineStr">
        <is>
          <t>avverkningsanmälan</t>
        </is>
      </c>
      <c r="C156" t="inlineStr">
        <is>
          <t>Föryngringsavverkning</t>
        </is>
      </c>
      <c r="D156" s="1" t="n">
        <v>44517</v>
      </c>
      <c r="E156" s="1" t="n">
        <v>46216</v>
      </c>
      <c r="F156" t="inlineStr">
        <is>
          <t>UPPSALA LÄN</t>
        </is>
      </c>
      <c r="G156" t="inlineStr">
        <is>
          <t>ÖSTHAMMAR</t>
        </is>
      </c>
      <c r="I156" t="n">
        <v>6.9</v>
      </c>
      <c r="J156" t="n">
        <v>1</v>
      </c>
      <c r="K156" t="n">
        <v>1</v>
      </c>
      <c r="L156" t="n">
        <v>0</v>
      </c>
      <c r="M156" t="n">
        <v>0</v>
      </c>
      <c r="N156" t="n">
        <v>0</v>
      </c>
      <c r="O156" t="n">
        <v>0</v>
      </c>
      <c r="P156" t="n">
        <v>0</v>
      </c>
      <c r="Q156" t="n">
        <v>0</v>
      </c>
      <c r="R156" t="n">
        <v>0</v>
      </c>
      <c r="S156" t="n">
        <v>1</v>
      </c>
      <c r="T156" t="n">
        <v>2</v>
      </c>
      <c r="U156" s="2" t="inlineStr">
        <is>
          <t>Skogsknipprot</t>
        </is>
      </c>
      <c r="V156">
        <f>HYPERLINK("https://klasma.github.io/Logging_0382/artfynd/A 65989-2021 artfynd.xlsx", "A 65989-2021")</f>
        <v/>
      </c>
      <c r="W156">
        <f>HYPERLINK("https://klasma.github.io/Logging_0382/kartor/A 65989-2021 karta.png", "A 65989-2021")</f>
        <v/>
      </c>
      <c r="Y156">
        <f>HYPERLINK("https://klasma.github.io/Logging_0382/klagomål/A 65989-2021 FSC-klagomål.docx", "A 65989-2021")</f>
        <v/>
      </c>
      <c r="Z156">
        <f>HYPERLINK("https://klasma.github.io/Logging_0382/klagomålsmail/A 65989-2021 FSC-klagomål mail.docx", "A 65989-2021")</f>
        <v/>
      </c>
      <c r="AA156">
        <f>HYPERLINK("https://klasma.github.io/Logging_0382/tillsyn/A 65989-2021 tillsynsbegäran.docx", "A 65989-2021")</f>
        <v/>
      </c>
      <c r="AB156">
        <f>HYPERLINK("https://klasma.github.io/Logging_0382/tillsynsmail/A 65989-2021 tillsynsbegäran mail.docx", "A 65989-2021")</f>
        <v/>
      </c>
    </row>
    <row r="157" ht="15" customHeight="1">
      <c r="A157" t="inlineStr">
        <is>
          <t>A 28024-2026</t>
        </is>
      </c>
      <c r="B157" t="inlineStr">
        <is>
          <t>avverkningsanmälan</t>
        </is>
      </c>
      <c r="C157" t="inlineStr">
        <is>
          <t>Föryngringsavverkning</t>
        </is>
      </c>
      <c r="D157" s="1" t="n">
        <v>46195</v>
      </c>
      <c r="E157" s="1" t="n">
        <v>46216</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2</v>
      </c>
      <c r="U157" s="2" t="inlineStr">
        <is>
          <t>Tjäder</t>
        </is>
      </c>
      <c r="V157">
        <f>HYPERLINK("https://klasma.github.io/Logging_0382/artfynd/A 28024-2026 artfynd.xlsx", "A 28024-2026")</f>
        <v/>
      </c>
      <c r="W157">
        <f>HYPERLINK("https://klasma.github.io/Logging_0382/kartor/A 28024-2026 karta.png", "A 28024-2026")</f>
        <v/>
      </c>
      <c r="Y157">
        <f>HYPERLINK("https://klasma.github.io/Logging_0382/klagomål/A 28024-2026 FSC-klagomål.docx", "A 28024-2026")</f>
        <v/>
      </c>
      <c r="Z157">
        <f>HYPERLINK("https://klasma.github.io/Logging_0382/klagomålsmail/A 28024-2026 FSC-klagomål mail.docx", "A 28024-2026")</f>
        <v/>
      </c>
      <c r="AA157">
        <f>HYPERLINK("https://klasma.github.io/Logging_0382/tillsyn/A 28024-2026 tillsynsbegäran.docx", "A 28024-2026")</f>
        <v/>
      </c>
      <c r="AB157">
        <f>HYPERLINK("https://klasma.github.io/Logging_0382/tillsynsmail/A 28024-2026 tillsynsbegäran mail.docx", "A 28024-2026")</f>
        <v/>
      </c>
      <c r="AC157">
        <f>HYPERLINK("https://klasma.github.io/Logging_0382/fåglar/A 28024-2026 prioriterade fågelarter.docx", "A 28024-2026")</f>
        <v/>
      </c>
    </row>
    <row r="158" ht="15" customHeight="1">
      <c r="A158" t="inlineStr">
        <is>
          <t>A 22409-2026</t>
        </is>
      </c>
      <c r="B158" t="inlineStr">
        <is>
          <t>avverkningsanmälan</t>
        </is>
      </c>
      <c r="C158" t="inlineStr">
        <is>
          <t>Föryngringsavverkning</t>
        </is>
      </c>
      <c r="D158" s="1" t="n">
        <v>46154</v>
      </c>
      <c r="E158" s="1" t="n">
        <v>46216</v>
      </c>
      <c r="F158" t="inlineStr">
        <is>
          <t>UPPSALA LÄN</t>
        </is>
      </c>
      <c r="G158" t="inlineStr">
        <is>
          <t>ÖSTHAMMAR</t>
        </is>
      </c>
      <c r="H158" t="inlineStr">
        <is>
          <t>Övriga Aktiebolag</t>
        </is>
      </c>
      <c r="I158" t="n">
        <v>4.8</v>
      </c>
      <c r="J158" t="n">
        <v>0</v>
      </c>
      <c r="K158" t="n">
        <v>0</v>
      </c>
      <c r="L158" t="n">
        <v>1</v>
      </c>
      <c r="M158" t="n">
        <v>0</v>
      </c>
      <c r="N158" t="n">
        <v>0</v>
      </c>
      <c r="O158" t="n">
        <v>0</v>
      </c>
      <c r="P158" t="n">
        <v>0</v>
      </c>
      <c r="Q158" t="n">
        <v>1</v>
      </c>
      <c r="R158" t="n">
        <v>0</v>
      </c>
      <c r="S158" t="n">
        <v>1</v>
      </c>
      <c r="T158" t="n">
        <v>1</v>
      </c>
      <c r="U158" s="2" t="inlineStr">
        <is>
          <t>Backklöver</t>
        </is>
      </c>
      <c r="V158">
        <f>HYPERLINK("https://klasma.github.io/Logging_0382/artfynd/A 22409-2026 artfynd.xlsx", "A 22409-2026")</f>
        <v/>
      </c>
      <c r="W158">
        <f>HYPERLINK("https://klasma.github.io/Logging_0382/kartor/A 22409-2026 karta.png", "A 22409-2026")</f>
        <v/>
      </c>
      <c r="Y158">
        <f>HYPERLINK("https://klasma.github.io/Logging_0382/klagomål/A 22409-2026 FSC-klagomål.docx", "A 22409-2026")</f>
        <v/>
      </c>
      <c r="Z158">
        <f>HYPERLINK("https://klasma.github.io/Logging_0382/klagomålsmail/A 22409-2026 FSC-klagomål mail.docx", "A 22409-2026")</f>
        <v/>
      </c>
      <c r="AA158">
        <f>HYPERLINK("https://klasma.github.io/Logging_0382/tillsyn/A 22409-2026 tillsynsbegäran.docx", "A 22409-2026")</f>
        <v/>
      </c>
      <c r="AB158">
        <f>HYPERLINK("https://klasma.github.io/Logging_0382/tillsynsmail/A 22409-2026 tillsynsbegäran mail.docx", "A 22409-2026")</f>
        <v/>
      </c>
    </row>
    <row r="159" ht="15" customHeight="1">
      <c r="A159" t="inlineStr">
        <is>
          <t>A 24033-2023</t>
        </is>
      </c>
      <c r="B159" t="inlineStr">
        <is>
          <t>avverkningsanmälan</t>
        </is>
      </c>
      <c r="C159" t="inlineStr">
        <is>
          <t>Föryngringsavverkning</t>
        </is>
      </c>
      <c r="D159" s="1" t="n">
        <v>45078</v>
      </c>
      <c r="E159" s="1" t="n">
        <v>46216</v>
      </c>
      <c r="F159" t="inlineStr">
        <is>
          <t>UPPSALA LÄN</t>
        </is>
      </c>
      <c r="G159" t="inlineStr">
        <is>
          <t>ÖSTHAMMAR</t>
        </is>
      </c>
      <c r="H159" t="inlineStr">
        <is>
          <t>Bergvik skog öst AB</t>
        </is>
      </c>
      <c r="I159" t="n">
        <v>0.7</v>
      </c>
      <c r="J159" t="n">
        <v>1</v>
      </c>
      <c r="K159" t="n">
        <v>0</v>
      </c>
      <c r="L159" t="n">
        <v>0</v>
      </c>
      <c r="M159" t="n">
        <v>0</v>
      </c>
      <c r="N159" t="n">
        <v>0</v>
      </c>
      <c r="O159" t="n">
        <v>0</v>
      </c>
      <c r="P159" t="n">
        <v>0</v>
      </c>
      <c r="Q159" t="n">
        <v>0</v>
      </c>
      <c r="R159" t="n">
        <v>0</v>
      </c>
      <c r="S159" t="n">
        <v>1</v>
      </c>
      <c r="T159" t="n">
        <v>1</v>
      </c>
      <c r="U159" s="2" t="inlineStr">
        <is>
          <t>Vattenfladdermus</t>
        </is>
      </c>
      <c r="V159">
        <f>HYPERLINK("https://klasma.github.io/Logging_0382/artfynd/A 24033-2023 artfynd.xlsx", "A 24033-2023")</f>
        <v/>
      </c>
      <c r="W159">
        <f>HYPERLINK("https://klasma.github.io/Logging_0382/kartor/A 24033-2023 karta.png", "A 24033-2023")</f>
        <v/>
      </c>
      <c r="Y159">
        <f>HYPERLINK("https://klasma.github.io/Logging_0382/klagomål/A 24033-2023 FSC-klagomål.docx", "A 24033-2023")</f>
        <v/>
      </c>
      <c r="Z159">
        <f>HYPERLINK("https://klasma.github.io/Logging_0382/klagomålsmail/A 24033-2023 FSC-klagomål mail.docx", "A 24033-2023")</f>
        <v/>
      </c>
      <c r="AA159">
        <f>HYPERLINK("https://klasma.github.io/Logging_0382/tillsyn/A 24033-2023 tillsynsbegäran.docx", "A 24033-2023")</f>
        <v/>
      </c>
      <c r="AB159">
        <f>HYPERLINK("https://klasma.github.io/Logging_0382/tillsynsmail/A 24033-2023 tillsynsbegäran mail.docx", "A 24033-2023")</f>
        <v/>
      </c>
    </row>
    <row r="160" ht="15" customHeight="1">
      <c r="A160" t="inlineStr">
        <is>
          <t>A 28046-2026</t>
        </is>
      </c>
      <c r="B160" t="inlineStr">
        <is>
          <t>avverkningsanmälan</t>
        </is>
      </c>
      <c r="C160" t="inlineStr">
        <is>
          <t>Föryngringsavverkning</t>
        </is>
      </c>
      <c r="D160" s="1" t="n">
        <v>46195</v>
      </c>
      <c r="E160" s="1" t="n">
        <v>46216</v>
      </c>
      <c r="F160" t="inlineStr">
        <is>
          <t>UPPSALA LÄN</t>
        </is>
      </c>
      <c r="G160" t="inlineStr">
        <is>
          <t>ÖSTHAMMAR</t>
        </is>
      </c>
      <c r="H160" t="inlineStr">
        <is>
          <t>Övriga Aktiebolag</t>
        </is>
      </c>
      <c r="I160" t="n">
        <v>21.2</v>
      </c>
      <c r="J160" t="n">
        <v>1</v>
      </c>
      <c r="K160" t="n">
        <v>0</v>
      </c>
      <c r="L160" t="n">
        <v>0</v>
      </c>
      <c r="M160" t="n">
        <v>1</v>
      </c>
      <c r="N160" t="n">
        <v>0</v>
      </c>
      <c r="O160" t="n">
        <v>0</v>
      </c>
      <c r="P160" t="n">
        <v>0</v>
      </c>
      <c r="Q160" t="n">
        <v>1</v>
      </c>
      <c r="R160" t="n">
        <v>1</v>
      </c>
      <c r="S160" t="n">
        <v>1</v>
      </c>
      <c r="T160" t="n">
        <v>1</v>
      </c>
      <c r="U160" s="2" t="inlineStr">
        <is>
          <t>Hällebräcka</t>
        </is>
      </c>
      <c r="V160">
        <f>HYPERLINK("https://klasma.github.io/Logging_0382/artfynd/A 28046-2026 artfynd.xlsx", "A 28046-2026")</f>
        <v/>
      </c>
      <c r="W160">
        <f>HYPERLINK("https://klasma.github.io/Logging_0382/kartor/A 28046-2026 karta.png", "A 28046-2026")</f>
        <v/>
      </c>
      <c r="Y160">
        <f>HYPERLINK("https://klasma.github.io/Logging_0382/klagomål/A 28046-2026 FSC-klagomål.docx", "A 28046-2026")</f>
        <v/>
      </c>
      <c r="Z160">
        <f>HYPERLINK("https://klasma.github.io/Logging_0382/klagomålsmail/A 28046-2026 FSC-klagomål mail.docx", "A 28046-2026")</f>
        <v/>
      </c>
      <c r="AA160">
        <f>HYPERLINK("https://klasma.github.io/Logging_0382/tillsyn/A 28046-2026 tillsynsbegäran.docx", "A 28046-2026")</f>
        <v/>
      </c>
      <c r="AB160">
        <f>HYPERLINK("https://klasma.github.io/Logging_0382/tillsynsmail/A 28046-2026 tillsynsbegäran mail.docx", "A 28046-2026")</f>
        <v/>
      </c>
    </row>
    <row r="161" ht="15" customHeight="1">
      <c r="A161" t="inlineStr">
        <is>
          <t>A 30700-2026</t>
        </is>
      </c>
      <c r="B161" t="inlineStr">
        <is>
          <t>avverkningsanmälan</t>
        </is>
      </c>
      <c r="C161" t="inlineStr">
        <is>
          <t>Föryngringsavverkning</t>
        </is>
      </c>
      <c r="D161" s="1" t="n">
        <v>46211</v>
      </c>
      <c r="E161" s="1" t="n">
        <v>46216</v>
      </c>
      <c r="F161" t="inlineStr">
        <is>
          <t>UPPSALA LÄN</t>
        </is>
      </c>
      <c r="G161" t="inlineStr">
        <is>
          <t>ÖSTHAMMAR</t>
        </is>
      </c>
      <c r="H161" t="inlineStr">
        <is>
          <t>Bergvik skog öst AB</t>
        </is>
      </c>
      <c r="I161" t="n">
        <v>0.8</v>
      </c>
      <c r="J161" t="n">
        <v>1</v>
      </c>
      <c r="K161" t="n">
        <v>1</v>
      </c>
      <c r="L161" t="n">
        <v>0</v>
      </c>
      <c r="M161" t="n">
        <v>0</v>
      </c>
      <c r="N161" t="n">
        <v>0</v>
      </c>
      <c r="O161" t="n">
        <v>0</v>
      </c>
      <c r="P161" t="n">
        <v>0</v>
      </c>
      <c r="Q161" t="n">
        <v>0</v>
      </c>
      <c r="R161" t="n">
        <v>0</v>
      </c>
      <c r="S161" t="n">
        <v>1</v>
      </c>
      <c r="T161" t="n">
        <v>1</v>
      </c>
      <c r="U161" s="2" t="inlineStr">
        <is>
          <t>Skogsknipprot</t>
        </is>
      </c>
      <c r="V161">
        <f>HYPERLINK("https://klasma.github.io/Logging_0382/artfynd/A 30700-2026 artfynd.xlsx", "A 30700-2026")</f>
        <v/>
      </c>
      <c r="W161">
        <f>HYPERLINK("https://klasma.github.io/Logging_0382/kartor/A 30700-2026 karta.png", "A 30700-2026")</f>
        <v/>
      </c>
      <c r="Y161">
        <f>HYPERLINK("https://klasma.github.io/Logging_0382/klagomål/A 30700-2026 FSC-klagomål.docx", "A 30700-2026")</f>
        <v/>
      </c>
      <c r="Z161">
        <f>HYPERLINK("https://klasma.github.io/Logging_0382/klagomålsmail/A 30700-2026 FSC-klagomål mail.docx", "A 30700-2026")</f>
        <v/>
      </c>
      <c r="AA161">
        <f>HYPERLINK("https://klasma.github.io/Logging_0382/tillsyn/A 30700-2026 tillsynsbegäran.docx", "A 30700-2026")</f>
        <v/>
      </c>
      <c r="AB161">
        <f>HYPERLINK("https://klasma.github.io/Logging_0382/tillsynsmail/A 30700-2026 tillsynsbegäran mail.docx", "A 30700-2026")</f>
        <v/>
      </c>
    </row>
    <row r="162" ht="15" customHeight="1">
      <c r="A162" t="inlineStr">
        <is>
          <t>A 58270-2023</t>
        </is>
      </c>
      <c r="B162" t="inlineStr">
        <is>
          <t>avverkningsanmälan</t>
        </is>
      </c>
      <c r="C162" t="inlineStr">
        <is>
          <t>Föryngringsavverkning</t>
        </is>
      </c>
      <c r="D162" s="1" t="n">
        <v>45250</v>
      </c>
      <c r="E162" s="1" t="n">
        <v>46216</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s="2" t="inlineStr">
        <is>
          <t>Gullviva</t>
        </is>
      </c>
      <c r="V162">
        <f>HYPERLINK("https://klasma.github.io/Logging_0382/artfynd/A 58270-2023 artfynd.xlsx", "A 58270-2023")</f>
        <v/>
      </c>
      <c r="W162">
        <f>HYPERLINK("https://klasma.github.io/Logging_0382/kartor/A 58270-2023 karta.png", "A 58270-2023")</f>
        <v/>
      </c>
      <c r="Y162">
        <f>HYPERLINK("https://klasma.github.io/Logging_0382/klagomål/A 58270-2023 FSC-klagomål.docx", "A 58270-2023")</f>
        <v/>
      </c>
      <c r="Z162">
        <f>HYPERLINK("https://klasma.github.io/Logging_0382/klagomålsmail/A 58270-2023 FSC-klagomål mail.docx", "A 58270-2023")</f>
        <v/>
      </c>
      <c r="AA162">
        <f>HYPERLINK("https://klasma.github.io/Logging_0382/tillsyn/A 58270-2023 tillsynsbegäran.docx", "A 58270-2023")</f>
        <v/>
      </c>
      <c r="AB162">
        <f>HYPERLINK("https://klasma.github.io/Logging_0382/tillsynsmail/A 58270-2023 tillsynsbegäran mail.docx", "A 58270-2023")</f>
        <v/>
      </c>
    </row>
    <row r="163" ht="15" customHeight="1">
      <c r="A163" t="inlineStr">
        <is>
          <t>A 30703-2026</t>
        </is>
      </c>
      <c r="B163" t="inlineStr">
        <is>
          <t>avverkningsanmälan</t>
        </is>
      </c>
      <c r="C163" t="inlineStr">
        <is>
          <t>Föryngringsavverkning</t>
        </is>
      </c>
      <c r="D163" s="1" t="n">
        <v>46211</v>
      </c>
      <c r="E163" s="1" t="n">
        <v>46216</v>
      </c>
      <c r="F163" t="inlineStr">
        <is>
          <t>UPPSALA LÄN</t>
        </is>
      </c>
      <c r="G163" t="inlineStr">
        <is>
          <t>ÖSTHAMMAR</t>
        </is>
      </c>
      <c r="H163" t="inlineStr">
        <is>
          <t>Bergvik skog öst AB</t>
        </is>
      </c>
      <c r="I163" t="n">
        <v>0.9</v>
      </c>
      <c r="J163" t="n">
        <v>1</v>
      </c>
      <c r="K163" t="n">
        <v>1</v>
      </c>
      <c r="L163" t="n">
        <v>0</v>
      </c>
      <c r="M163" t="n">
        <v>0</v>
      </c>
      <c r="N163" t="n">
        <v>0</v>
      </c>
      <c r="O163" t="n">
        <v>0</v>
      </c>
      <c r="P163" t="n">
        <v>0</v>
      </c>
      <c r="Q163" t="n">
        <v>0</v>
      </c>
      <c r="R163" t="n">
        <v>0</v>
      </c>
      <c r="S163" t="n">
        <v>1</v>
      </c>
      <c r="T163" t="n">
        <v>1</v>
      </c>
      <c r="U163" s="2" t="inlineStr">
        <is>
          <t>Skogsknipprot</t>
        </is>
      </c>
      <c r="V163">
        <f>HYPERLINK("https://klasma.github.io/Logging_0382/artfynd/A 30703-2026 artfynd.xlsx", "A 30703-2026")</f>
        <v/>
      </c>
      <c r="W163">
        <f>HYPERLINK("https://klasma.github.io/Logging_0382/kartor/A 30703-2026 karta.png", "A 30703-2026")</f>
        <v/>
      </c>
      <c r="Y163">
        <f>HYPERLINK("https://klasma.github.io/Logging_0382/klagomål/A 30703-2026 FSC-klagomål.docx", "A 30703-2026")</f>
        <v/>
      </c>
      <c r="Z163">
        <f>HYPERLINK("https://klasma.github.io/Logging_0382/klagomålsmail/A 30703-2026 FSC-klagomål mail.docx", "A 30703-2026")</f>
        <v/>
      </c>
      <c r="AA163">
        <f>HYPERLINK("https://klasma.github.io/Logging_0382/tillsyn/A 30703-2026 tillsynsbegäran.docx", "A 30703-2026")</f>
        <v/>
      </c>
      <c r="AB163">
        <f>HYPERLINK("https://klasma.github.io/Logging_0382/tillsynsmail/A 30703-2026 tillsynsbegäran mail.docx", "A 30703-2026")</f>
        <v/>
      </c>
    </row>
    <row r="164" ht="15" customHeight="1">
      <c r="A164" t="inlineStr">
        <is>
          <t>A 13755-2023</t>
        </is>
      </c>
      <c r="B164" t="inlineStr">
        <is>
          <t>avverkningsanmälan</t>
        </is>
      </c>
      <c r="C164" t="inlineStr">
        <is>
          <t>Föryngringsavverkning</t>
        </is>
      </c>
      <c r="D164" s="1" t="n">
        <v>45007</v>
      </c>
      <c r="E164" s="1" t="n">
        <v>46216</v>
      </c>
      <c r="F164" t="inlineStr">
        <is>
          <t>UPPSALA LÄN</t>
        </is>
      </c>
      <c r="G164" t="inlineStr">
        <is>
          <t>ÖSTHAMMAR</t>
        </is>
      </c>
      <c r="I164" t="n">
        <v>2.4</v>
      </c>
      <c r="J164" t="n">
        <v>1</v>
      </c>
      <c r="K164" t="n">
        <v>1</v>
      </c>
      <c r="L164" t="n">
        <v>0</v>
      </c>
      <c r="M164" t="n">
        <v>0</v>
      </c>
      <c r="N164" t="n">
        <v>0</v>
      </c>
      <c r="O164" t="n">
        <v>0</v>
      </c>
      <c r="P164" t="n">
        <v>0</v>
      </c>
      <c r="Q164" t="n">
        <v>0</v>
      </c>
      <c r="R164" t="n">
        <v>0</v>
      </c>
      <c r="S164" t="n">
        <v>1</v>
      </c>
      <c r="T164" t="n">
        <v>2</v>
      </c>
      <c r="U164" s="2" t="inlineStr">
        <is>
          <t>Guckusko</t>
        </is>
      </c>
      <c r="V164">
        <f>HYPERLINK("https://klasma.github.io/Logging_0382/artfynd/A 13755-2023 artfynd.xlsx", "A 13755-2023")</f>
        <v/>
      </c>
      <c r="W164">
        <f>HYPERLINK("https://klasma.github.io/Logging_0382/kartor/A 13755-2023 karta.png", "A 13755-2023")</f>
        <v/>
      </c>
      <c r="Y164">
        <f>HYPERLINK("https://klasma.github.io/Logging_0382/klagomål/A 13755-2023 FSC-klagomål.docx", "A 13755-2023")</f>
        <v/>
      </c>
      <c r="Z164">
        <f>HYPERLINK("https://klasma.github.io/Logging_0382/klagomålsmail/A 13755-2023 FSC-klagomål mail.docx", "A 13755-2023")</f>
        <v/>
      </c>
      <c r="AA164">
        <f>HYPERLINK("https://klasma.github.io/Logging_0382/tillsyn/A 13755-2023 tillsynsbegäran.docx", "A 13755-2023")</f>
        <v/>
      </c>
      <c r="AB164">
        <f>HYPERLINK("https://klasma.github.io/Logging_0382/tillsynsmail/A 13755-2023 tillsynsbegäran mail.docx", "A 13755-2023")</f>
        <v/>
      </c>
    </row>
    <row r="165" ht="15" customHeight="1">
      <c r="A165" t="inlineStr">
        <is>
          <t>A 49899-2023</t>
        </is>
      </c>
      <c r="B165" t="inlineStr">
        <is>
          <t>avverkningsanmälan</t>
        </is>
      </c>
      <c r="C165" t="inlineStr">
        <is>
          <t>Avverkning för att bevara och utveckla /försöksver</t>
        </is>
      </c>
      <c r="D165" s="1" t="n">
        <v>45213</v>
      </c>
      <c r="E165" s="1" t="n">
        <v>46216</v>
      </c>
      <c r="F165" t="inlineStr">
        <is>
          <t>UPPSALA LÄN</t>
        </is>
      </c>
      <c r="G165" t="inlineStr">
        <is>
          <t>ÖSTHAMMAR</t>
        </is>
      </c>
      <c r="I165" t="n">
        <v>6.2</v>
      </c>
      <c r="J165" t="n">
        <v>1</v>
      </c>
      <c r="K165" t="n">
        <v>0</v>
      </c>
      <c r="L165" t="n">
        <v>0</v>
      </c>
      <c r="M165" t="n">
        <v>0</v>
      </c>
      <c r="N165" t="n">
        <v>0</v>
      </c>
      <c r="O165" t="n">
        <v>0</v>
      </c>
      <c r="P165" t="n">
        <v>0</v>
      </c>
      <c r="Q165" t="n">
        <v>0</v>
      </c>
      <c r="R165" t="n">
        <v>0</v>
      </c>
      <c r="S165" t="n">
        <v>1</v>
      </c>
      <c r="T165" t="n">
        <v>1</v>
      </c>
      <c r="U165" s="2" t="inlineStr">
        <is>
          <t>Grönvit nattviol</t>
        </is>
      </c>
      <c r="V165">
        <f>HYPERLINK("https://klasma.github.io/Logging_0382/artfynd/A 49899-2023 artfynd.xlsx", "A 49899-2023")</f>
        <v/>
      </c>
      <c r="W165">
        <f>HYPERLINK("https://klasma.github.io/Logging_0382/kartor/A 49899-2023 karta.png", "A 49899-2023")</f>
        <v/>
      </c>
      <c r="Y165">
        <f>HYPERLINK("https://klasma.github.io/Logging_0382/klagomål/A 49899-2023 FSC-klagomål.docx", "A 49899-2023")</f>
        <v/>
      </c>
      <c r="Z165">
        <f>HYPERLINK("https://klasma.github.io/Logging_0382/klagomålsmail/A 49899-2023 FSC-klagomål mail.docx", "A 49899-2023")</f>
        <v/>
      </c>
      <c r="AA165">
        <f>HYPERLINK("https://klasma.github.io/Logging_0382/tillsyn/A 49899-2023 tillsynsbegäran.docx", "A 49899-2023")</f>
        <v/>
      </c>
      <c r="AB165">
        <f>HYPERLINK("https://klasma.github.io/Logging_0382/tillsynsmail/A 49899-2023 tillsynsbegäran mail.docx", "A 49899-2023")</f>
        <v/>
      </c>
    </row>
    <row r="166" ht="15" customHeight="1">
      <c r="A166" t="inlineStr">
        <is>
          <t>A 32483-2024</t>
        </is>
      </c>
      <c r="B166" t="inlineStr">
        <is>
          <t>avverkningsanmälan</t>
        </is>
      </c>
      <c r="C166" t="inlineStr">
        <is>
          <t>Föryngringsavverkning</t>
        </is>
      </c>
      <c r="D166" s="1" t="n">
        <v>45513</v>
      </c>
      <c r="E166" s="1" t="n">
        <v>46216</v>
      </c>
      <c r="F166" t="inlineStr">
        <is>
          <t>UPPSALA LÄN</t>
        </is>
      </c>
      <c r="G166" t="inlineStr">
        <is>
          <t>ÖSTHAMMAR</t>
        </is>
      </c>
      <c r="H166" t="inlineStr">
        <is>
          <t>Kyrkan</t>
        </is>
      </c>
      <c r="I166" t="n">
        <v>4.7</v>
      </c>
      <c r="J166" t="n">
        <v>1</v>
      </c>
      <c r="K166" t="n">
        <v>0</v>
      </c>
      <c r="L166" t="n">
        <v>0</v>
      </c>
      <c r="M166" t="n">
        <v>0</v>
      </c>
      <c r="N166" t="n">
        <v>0</v>
      </c>
      <c r="O166" t="n">
        <v>0</v>
      </c>
      <c r="P166" t="n">
        <v>0</v>
      </c>
      <c r="Q166" t="n">
        <v>0</v>
      </c>
      <c r="R166" t="n">
        <v>0</v>
      </c>
      <c r="S166" t="n">
        <v>1</v>
      </c>
      <c r="T166" t="n">
        <v>1</v>
      </c>
      <c r="U166" s="2" t="inlineStr">
        <is>
          <t>Blåsippa</t>
        </is>
      </c>
      <c r="V166">
        <f>HYPERLINK("https://klasma.github.io/Logging_0382/artfynd/A 32483-2024 artfynd.xlsx", "A 32483-2024")</f>
        <v/>
      </c>
      <c r="W166">
        <f>HYPERLINK("https://klasma.github.io/Logging_0382/kartor/A 32483-2024 karta.png", "A 32483-2024")</f>
        <v/>
      </c>
      <c r="Y166">
        <f>HYPERLINK("https://klasma.github.io/Logging_0382/klagomål/A 32483-2024 FSC-klagomål.docx", "A 32483-2024")</f>
        <v/>
      </c>
      <c r="Z166">
        <f>HYPERLINK("https://klasma.github.io/Logging_0382/klagomålsmail/A 32483-2024 FSC-klagomål mail.docx", "A 32483-2024")</f>
        <v/>
      </c>
      <c r="AA166">
        <f>HYPERLINK("https://klasma.github.io/Logging_0382/tillsyn/A 32483-2024 tillsynsbegäran.docx", "A 32483-2024")</f>
        <v/>
      </c>
      <c r="AB166">
        <f>HYPERLINK("https://klasma.github.io/Logging_0382/tillsynsmail/A 32483-2024 tillsynsbegäran mail.docx", "A 32483-2024")</f>
        <v/>
      </c>
    </row>
    <row r="167" ht="15" customHeight="1">
      <c r="A167" t="inlineStr">
        <is>
          <t>A 63615-2021</t>
        </is>
      </c>
      <c r="B167" t="inlineStr">
        <is>
          <t>avverkningsanmälan</t>
        </is>
      </c>
      <c r="C167" t="inlineStr">
        <is>
          <t>Föryngringsavverkning</t>
        </is>
      </c>
      <c r="D167" s="1" t="n">
        <v>44509</v>
      </c>
      <c r="E167" s="1" t="n">
        <v>46216</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s="2" t="inlineStr">
        <is>
          <t>Gul taggsvamp</t>
        </is>
      </c>
      <c r="V167">
        <f>HYPERLINK("https://klasma.github.io/Logging_0382/artfynd/A 63615-2021 artfynd.xlsx", "A 63615-2021")</f>
        <v/>
      </c>
      <c r="W167">
        <f>HYPERLINK("https://klasma.github.io/Logging_0382/kartor/A 63615-2021 karta.png", "A 63615-2021")</f>
        <v/>
      </c>
      <c r="Y167">
        <f>HYPERLINK("https://klasma.github.io/Logging_0382/klagomål/A 63615-2021 FSC-klagomål.docx", "A 63615-2021")</f>
        <v/>
      </c>
      <c r="Z167">
        <f>HYPERLINK("https://klasma.github.io/Logging_0382/klagomålsmail/A 63615-2021 FSC-klagomål mail.docx", "A 63615-2021")</f>
        <v/>
      </c>
      <c r="AA167">
        <f>HYPERLINK("https://klasma.github.io/Logging_0382/tillsyn/A 63615-2021 tillsynsbegäran.docx", "A 63615-2021")</f>
        <v/>
      </c>
      <c r="AB167">
        <f>HYPERLINK("https://klasma.github.io/Logging_0382/tillsynsmail/A 63615-2021 tillsynsbegäran mail.docx", "A 63615-2021")</f>
        <v/>
      </c>
    </row>
    <row r="168" ht="15" customHeight="1">
      <c r="A168" t="inlineStr">
        <is>
          <t>S 1922-2023</t>
        </is>
      </c>
      <c r="B168" t="inlineStr">
        <is>
          <t>samrådsanmälan</t>
        </is>
      </c>
      <c r="C168" t="inlineStr">
        <is>
          <t>Annan skogsbruksåtgärd</t>
        </is>
      </c>
      <c r="D168" s="1" t="n">
        <v>45078</v>
      </c>
      <c r="E168" s="1" t="n">
        <v>46216</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s="2" t="inlineStr">
        <is>
          <t>Nästrot</t>
        </is>
      </c>
      <c r="V168">
        <f>HYPERLINK("https://klasma.github.io/Logging_0382/artfynd/S 1922-2023 artfynd.xlsx", "S 1922-2023")</f>
        <v/>
      </c>
      <c r="W168">
        <f>HYPERLINK("https://klasma.github.io/Logging_0382/kartor/S 1922-2023 karta.png", "S 1922-2023")</f>
        <v/>
      </c>
      <c r="Y168">
        <f>HYPERLINK("https://klasma.github.io/Logging_0382/klagomål/S 1922-2023 FSC-klagomål.docx", "S 1922-2023")</f>
        <v/>
      </c>
      <c r="Z168">
        <f>HYPERLINK("https://klasma.github.io/Logging_0382/klagomålsmail/S 1922-2023 FSC-klagomål mail.docx", "S 1922-2023")</f>
        <v/>
      </c>
      <c r="AA168">
        <f>HYPERLINK("https://klasma.github.io/Logging_0382/tillsyn/S 1922-2023 tillsynsbegäran.docx", "S 1922-2023")</f>
        <v/>
      </c>
      <c r="AB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46216</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s="2" t="inlineStr">
        <is>
          <t>Diskvaxskivling</t>
        </is>
      </c>
      <c r="V169">
        <f>HYPERLINK("https://klasma.github.io/Logging_0382/artfynd/S 3586-2023 artfynd.xlsx", "S 3586-2023")</f>
        <v/>
      </c>
      <c r="W169">
        <f>HYPERLINK("https://klasma.github.io/Logging_0382/kartor/S 3586-2023 karta.png", "S 3586-2023")</f>
        <v/>
      </c>
      <c r="Y169">
        <f>HYPERLINK("https://klasma.github.io/Logging_0382/klagomål/S 3586-2023 FSC-klagomål.docx", "S 3586-2023")</f>
        <v/>
      </c>
      <c r="Z169">
        <f>HYPERLINK("https://klasma.github.io/Logging_0382/klagomålsmail/S 3586-2023 FSC-klagomål mail.docx", "S 3586-2023")</f>
        <v/>
      </c>
      <c r="AA169">
        <f>HYPERLINK("https://klasma.github.io/Logging_0382/tillsyn/S 3586-2023 tillsynsbegäran.docx", "S 3586-2023")</f>
        <v/>
      </c>
      <c r="AB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46216</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s="2" t="inlineStr">
        <is>
          <t>Granbarkgnagare</t>
        </is>
      </c>
      <c r="V170">
        <f>HYPERLINK("https://klasma.github.io/Logging_0382/artfynd/S 3126-2023 artfynd.xlsx", "S 3126-2023")</f>
        <v/>
      </c>
      <c r="W170">
        <f>HYPERLINK("https://klasma.github.io/Logging_0382/kartor/S 3126-2023 karta.png", "S 3126-2023")</f>
        <v/>
      </c>
      <c r="Y170">
        <f>HYPERLINK("https://klasma.github.io/Logging_0382/klagomål/S 3126-2023 FSC-klagomål.docx", "S 3126-2023")</f>
        <v/>
      </c>
      <c r="Z170">
        <f>HYPERLINK("https://klasma.github.io/Logging_0382/klagomålsmail/S 3126-2023 FSC-klagomål mail.docx", "S 3126-2023")</f>
        <v/>
      </c>
      <c r="AA170">
        <f>HYPERLINK("https://klasma.github.io/Logging_0382/tillsyn/S 3126-2023 tillsynsbegäran.docx", "S 3126-2023")</f>
        <v/>
      </c>
      <c r="AB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46216</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s="2" t="inlineStr">
        <is>
          <t>Violgubbe</t>
        </is>
      </c>
      <c r="V171">
        <f>HYPERLINK("https://klasma.github.io/Logging_0382/artfynd/S 1000-2023 artfynd.xlsx", "S 1000-2023")</f>
        <v/>
      </c>
      <c r="W171">
        <f>HYPERLINK("https://klasma.github.io/Logging_0382/kartor/S 1000-2023 karta.png", "S 1000-2023")</f>
        <v/>
      </c>
      <c r="Y171">
        <f>HYPERLINK("https://klasma.github.io/Logging_0382/klagomål/S 1000-2023 FSC-klagomål.docx", "S 1000-2023")</f>
        <v/>
      </c>
      <c r="Z171">
        <f>HYPERLINK("https://klasma.github.io/Logging_0382/klagomålsmail/S 1000-2023 FSC-klagomål mail.docx", "S 1000-2023")</f>
        <v/>
      </c>
      <c r="AA171">
        <f>HYPERLINK("https://klasma.github.io/Logging_0382/tillsyn/S 1000-2023 tillsynsbegäran.docx", "S 1000-2023")</f>
        <v/>
      </c>
      <c r="AB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46216</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s="2" t="inlineStr">
        <is>
          <t>Aspgelélav</t>
        </is>
      </c>
      <c r="V172">
        <f>HYPERLINK("https://klasma.github.io/Logging_0382/artfynd/S 3291-2022 artfynd.xlsx", "S 3291-2022")</f>
        <v/>
      </c>
      <c r="W172">
        <f>HYPERLINK("https://klasma.github.io/Logging_0382/kartor/S 3291-2022 karta.png", "S 3291-2022")</f>
        <v/>
      </c>
      <c r="Y172">
        <f>HYPERLINK("https://klasma.github.io/Logging_0382/klagomål/S 3291-2022 FSC-klagomål.docx", "S 3291-2022")</f>
        <v/>
      </c>
      <c r="Z172">
        <f>HYPERLINK("https://klasma.github.io/Logging_0382/klagomålsmail/S 3291-2022 FSC-klagomål mail.docx", "S 3291-2022")</f>
        <v/>
      </c>
      <c r="AA172">
        <f>HYPERLINK("https://klasma.github.io/Logging_0382/tillsyn/S 3291-2022 tillsynsbegäran.docx", "S 3291-2022")</f>
        <v/>
      </c>
      <c r="AB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46216</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s="2" t="inlineStr">
        <is>
          <t>Gul taggsvamp</t>
        </is>
      </c>
      <c r="V173">
        <f>HYPERLINK("https://klasma.github.io/Logging_0382/artfynd/S 8274-2021 artfynd.xlsx", "S 8274-2021")</f>
        <v/>
      </c>
      <c r="W173">
        <f>HYPERLINK("https://klasma.github.io/Logging_0382/kartor/S 8274-2021 karta.png", "S 8274-2021")</f>
        <v/>
      </c>
      <c r="Y173">
        <f>HYPERLINK("https://klasma.github.io/Logging_0382/klagomål/S 8274-2021 FSC-klagomål.docx", "S 8274-2021")</f>
        <v/>
      </c>
      <c r="Z173">
        <f>HYPERLINK("https://klasma.github.io/Logging_0382/klagomålsmail/S 8274-2021 FSC-klagomål mail.docx", "S 8274-2021")</f>
        <v/>
      </c>
      <c r="AA173">
        <f>HYPERLINK("https://klasma.github.io/Logging_0382/tillsyn/S 8274-2021 tillsynsbegäran.docx", "S 8274-2021")</f>
        <v/>
      </c>
      <c r="AB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46216</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s="2" t="inlineStr">
        <is>
          <t>Nästrot</t>
        </is>
      </c>
      <c r="V174">
        <f>HYPERLINK("https://klasma.github.io/Logging_0382/artfynd/S 1926-2023 artfynd.xlsx", "S 1926-2023")</f>
        <v/>
      </c>
      <c r="W174">
        <f>HYPERLINK("https://klasma.github.io/Logging_0382/kartor/S 1926-2023 karta.png", "S 1926-2023")</f>
        <v/>
      </c>
      <c r="Y174">
        <f>HYPERLINK("https://klasma.github.io/Logging_0382/klagomål/S 1926-2023 FSC-klagomål.docx", "S 1926-2023")</f>
        <v/>
      </c>
      <c r="Z174">
        <f>HYPERLINK("https://klasma.github.io/Logging_0382/klagomålsmail/S 1926-2023 FSC-klagomål mail.docx", "S 1926-2023")</f>
        <v/>
      </c>
      <c r="AA174">
        <f>HYPERLINK("https://klasma.github.io/Logging_0382/tillsyn/S 1926-2023 tillsynsbegäran.docx", "S 1926-2023")</f>
        <v/>
      </c>
      <c r="AB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46216</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s="2" t="inlineStr">
        <is>
          <t>Aspgelélav</t>
        </is>
      </c>
      <c r="V175">
        <f>HYPERLINK("https://klasma.github.io/Logging_0382/artfynd/S 1001-2022 artfynd.xlsx", "S 1001-2022")</f>
        <v/>
      </c>
      <c r="W175">
        <f>HYPERLINK("https://klasma.github.io/Logging_0382/kartor/S 1001-2022 karta.png", "S 1001-2022")</f>
        <v/>
      </c>
      <c r="Y175">
        <f>HYPERLINK("https://klasma.github.io/Logging_0382/klagomål/S 1001-2022 FSC-klagomål.docx", "S 1001-2022")</f>
        <v/>
      </c>
      <c r="Z175">
        <f>HYPERLINK("https://klasma.github.io/Logging_0382/klagomålsmail/S 1001-2022 FSC-klagomål mail.docx", "S 1001-2022")</f>
        <v/>
      </c>
      <c r="AA175">
        <f>HYPERLINK("https://klasma.github.io/Logging_0382/tillsyn/S 1001-2022 tillsynsbegäran.docx", "S 1001-2022")</f>
        <v/>
      </c>
      <c r="AB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46216</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s="2" t="inlineStr">
        <is>
          <t>Flagellkvastmossa</t>
        </is>
      </c>
      <c r="V176">
        <f>HYPERLINK("https://klasma.github.io/Logging_0382/artfynd/S 1836-2025 artfynd.xlsx", "S 1836-2025")</f>
        <v/>
      </c>
      <c r="W176">
        <f>HYPERLINK("https://klasma.github.io/Logging_0382/kartor/S 1836-2025 karta.png", "S 1836-2025")</f>
        <v/>
      </c>
      <c r="Y176">
        <f>HYPERLINK("https://klasma.github.io/Logging_0382/klagomål/S 1836-2025 FSC-klagomål.docx", "S 1836-2025")</f>
        <v/>
      </c>
      <c r="Z176">
        <f>HYPERLINK("https://klasma.github.io/Logging_0382/klagomålsmail/S 1836-2025 FSC-klagomål mail.docx", "S 1836-2025")</f>
        <v/>
      </c>
      <c r="AA176">
        <f>HYPERLINK("https://klasma.github.io/Logging_0382/tillsyn/S 1836-2025 tillsynsbegäran.docx", "S 1836-2025")</f>
        <v/>
      </c>
      <c r="AB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46216</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s="2" t="inlineStr">
        <is>
          <t>Skogsknipprot</t>
        </is>
      </c>
      <c r="V177">
        <f>HYPERLINK("https://klasma.github.io/Logging_0382/artfynd/S 785-2025 artfynd.xlsx", "S 785-2025")</f>
        <v/>
      </c>
      <c r="W177">
        <f>HYPERLINK("https://klasma.github.io/Logging_0382/kartor/S 785-2025 karta.png", "S 785-2025")</f>
        <v/>
      </c>
      <c r="Y177">
        <f>HYPERLINK("https://klasma.github.io/Logging_0382/klagomål/S 785-2025 FSC-klagomål.docx", "S 785-2025")</f>
        <v/>
      </c>
      <c r="Z177">
        <f>HYPERLINK("https://klasma.github.io/Logging_0382/klagomålsmail/S 785-2025 FSC-klagomål mail.docx", "S 785-2025")</f>
        <v/>
      </c>
      <c r="AA177">
        <f>HYPERLINK("https://klasma.github.io/Logging_0382/tillsyn/S 785-2025 tillsynsbegäran.docx", "S 785-2025")</f>
        <v/>
      </c>
      <c r="AB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46216</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s="2" t="inlineStr">
        <is>
          <t>Guckusko</t>
        </is>
      </c>
      <c r="V178">
        <f>HYPERLINK("https://klasma.github.io/Logging_0382/artfynd/S 941-2026 artfynd.xlsx", "S 941-2026")</f>
        <v/>
      </c>
      <c r="W178">
        <f>HYPERLINK("https://klasma.github.io/Logging_0382/kartor/S 941-2026 karta.png", "S 941-2026")</f>
        <v/>
      </c>
      <c r="Y178">
        <f>HYPERLINK("https://klasma.github.io/Logging_0382/klagomål/S 941-2026 FSC-klagomål.docx", "S 941-2026")</f>
        <v/>
      </c>
      <c r="Z178">
        <f>HYPERLINK("https://klasma.github.io/Logging_0382/klagomålsmail/S 941-2026 FSC-klagomål mail.docx", "S 941-2026")</f>
        <v/>
      </c>
      <c r="AA178">
        <f>HYPERLINK("https://klasma.github.io/Logging_0382/tillsyn/S 941-2026 tillsynsbegäran.docx", "S 941-2026")</f>
        <v/>
      </c>
      <c r="AB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46216</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s="2" t="inlineStr">
        <is>
          <t>Guckusko</t>
        </is>
      </c>
      <c r="V179">
        <f>HYPERLINK("https://klasma.github.io/Logging_0382/artfynd/S 1833-2026 artfynd.xlsx", "S 1833-2026")</f>
        <v/>
      </c>
      <c r="W179">
        <f>HYPERLINK("https://klasma.github.io/Logging_0382/kartor/S 1833-2026 karta.png", "S 1833-2026")</f>
        <v/>
      </c>
      <c r="Y179">
        <f>HYPERLINK("https://klasma.github.io/Logging_0382/klagomål/S 1833-2026 FSC-klagomål.docx", "S 1833-2026")</f>
        <v/>
      </c>
      <c r="Z179">
        <f>HYPERLINK("https://klasma.github.io/Logging_0382/klagomålsmail/S 1833-2026 FSC-klagomål mail.docx", "S 1833-2026")</f>
        <v/>
      </c>
      <c r="AA179">
        <f>HYPERLINK("https://klasma.github.io/Logging_0382/tillsyn/S 1833-2026 tillsynsbegäran.docx", "S 1833-2026")</f>
        <v/>
      </c>
      <c r="AB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46216</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25434-2022</t>
        </is>
      </c>
      <c r="B181" t="inlineStr">
        <is>
          <t>avverkningsanmälan</t>
        </is>
      </c>
      <c r="C181" t="inlineStr">
        <is>
          <t>Föryngringsavverkning</t>
        </is>
      </c>
      <c r="D181" s="1" t="n">
        <v>44732</v>
      </c>
      <c r="E181" s="1" t="n">
        <v>46216</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25076-2022</t>
        </is>
      </c>
      <c r="B182" t="inlineStr">
        <is>
          <t>avverkningsanmälan</t>
        </is>
      </c>
      <c r="C182" t="inlineStr">
        <is>
          <t>Avverkning för annat ändamål</t>
        </is>
      </c>
      <c r="D182" s="1" t="n">
        <v>44729</v>
      </c>
      <c r="E182" s="1" t="n">
        <v>46216</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8775-2022</t>
        </is>
      </c>
      <c r="B183" t="inlineStr">
        <is>
          <t>avverkningsanmälan</t>
        </is>
      </c>
      <c r="C183" t="inlineStr">
        <is>
          <t>Föryngringsavverkning</t>
        </is>
      </c>
      <c r="D183" s="1" t="n">
        <v>44614</v>
      </c>
      <c r="E183" s="1" t="n">
        <v>46216</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10287-2022</t>
        </is>
      </c>
      <c r="B184" t="inlineStr">
        <is>
          <t>avverkningsanmälan</t>
        </is>
      </c>
      <c r="C184" t="inlineStr">
        <is>
          <t>Föryngringsavverkning</t>
        </is>
      </c>
      <c r="D184" s="1" t="n">
        <v>44622</v>
      </c>
      <c r="E184" s="1" t="n">
        <v>46216</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s="2" t="inlineStr"/>
    </row>
    <row r="185" ht="15" customHeight="1">
      <c r="A185" t="inlineStr">
        <is>
          <t>A 61555-2021</t>
        </is>
      </c>
      <c r="B185" t="inlineStr">
        <is>
          <t>avverkningsanmälan</t>
        </is>
      </c>
      <c r="C185" t="inlineStr">
        <is>
          <t>Föryngringsavverkning</t>
        </is>
      </c>
      <c r="D185" s="1" t="n">
        <v>44501</v>
      </c>
      <c r="E185" s="1" t="n">
        <v>46216</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10288-2022</t>
        </is>
      </c>
      <c r="B186" t="inlineStr">
        <is>
          <t>avverkningsanmälan</t>
        </is>
      </c>
      <c r="C186" t="inlineStr">
        <is>
          <t>Föryngringsavverkning</t>
        </is>
      </c>
      <c r="D186" s="1" t="n">
        <v>44622</v>
      </c>
      <c r="E186" s="1" t="n">
        <v>46216</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18727-2022</t>
        </is>
      </c>
      <c r="B187" t="inlineStr">
        <is>
          <t>avverkningsanmälan</t>
        </is>
      </c>
      <c r="C187" t="inlineStr">
        <is>
          <t>Föryngringsavverkning</t>
        </is>
      </c>
      <c r="D187" s="1" t="n">
        <v>44687</v>
      </c>
      <c r="E187" s="1" t="n">
        <v>46216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15847-2022</t>
        </is>
      </c>
      <c r="B188" t="inlineStr">
        <is>
          <t>avverkningsanmälan</t>
        </is>
      </c>
      <c r="C188" t="inlineStr">
        <is>
          <t>Föryngringsavverkning</t>
        </is>
      </c>
      <c r="D188" s="1" t="n">
        <v>44664</v>
      </c>
      <c r="E188" s="1" t="n">
        <v>46216</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s="2" t="inlineStr"/>
    </row>
    <row r="189" ht="15" customHeight="1">
      <c r="A189" t="inlineStr">
        <is>
          <t>A 14271-2022</t>
        </is>
      </c>
      <c r="B189" t="inlineStr">
        <is>
          <t>avverkningsanmälan</t>
        </is>
      </c>
      <c r="C189" t="inlineStr">
        <is>
          <t>Föryngringsavverkning</t>
        </is>
      </c>
      <c r="D189" s="1" t="n">
        <v>44651</v>
      </c>
      <c r="E189" s="1" t="n">
        <v>46216</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13238-2022</t>
        </is>
      </c>
      <c r="B190" t="inlineStr">
        <is>
          <t>avverkningsanmälan</t>
        </is>
      </c>
      <c r="C190" t="inlineStr">
        <is>
          <t>Föryngringsavverkning</t>
        </is>
      </c>
      <c r="D190" s="1" t="n">
        <v>44644</v>
      </c>
      <c r="E190" s="1" t="n">
        <v>46216</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s="2" t="inlineStr"/>
    </row>
    <row r="191" ht="15" customHeight="1">
      <c r="A191" t="inlineStr">
        <is>
          <t>A 51055-2022</t>
        </is>
      </c>
      <c r="B191" t="inlineStr">
        <is>
          <t>avverkningsanmälan</t>
        </is>
      </c>
      <c r="C191" t="inlineStr">
        <is>
          <t>Föryngringsavverkning</t>
        </is>
      </c>
      <c r="D191" s="1" t="n">
        <v>44868</v>
      </c>
      <c r="E191" s="1" t="n">
        <v>46216</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59498-2021</t>
        </is>
      </c>
      <c r="B192" t="inlineStr">
        <is>
          <t>avverkningsanmälan</t>
        </is>
      </c>
      <c r="C192" t="inlineStr">
        <is>
          <t>Föryngringsavverkning</t>
        </is>
      </c>
      <c r="D192" s="1" t="n">
        <v>44491</v>
      </c>
      <c r="E192" s="1" t="n">
        <v>46216</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61746-2021</t>
        </is>
      </c>
      <c r="B193" t="inlineStr">
        <is>
          <t>avverkningsanmälan</t>
        </is>
      </c>
      <c r="C193" t="inlineStr">
        <is>
          <t>Föryngringsavverkning</t>
        </is>
      </c>
      <c r="D193" s="1" t="n">
        <v>44498</v>
      </c>
      <c r="E193" s="1" t="n">
        <v>46216</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s="2" t="inlineStr"/>
    </row>
    <row r="194" ht="15" customHeight="1">
      <c r="A194" t="inlineStr">
        <is>
          <t>A 44019-2022</t>
        </is>
      </c>
      <c r="B194" t="inlineStr">
        <is>
          <t>avverkningsanmälan</t>
        </is>
      </c>
      <c r="C194" t="inlineStr">
        <is>
          <t>Föryngringsavverkning</t>
        </is>
      </c>
      <c r="D194" s="1" t="n">
        <v>44838</v>
      </c>
      <c r="E194" s="1" t="n">
        <v>46216</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19174-2022</t>
        </is>
      </c>
      <c r="B195" t="inlineStr">
        <is>
          <t>avverkningsanmälan</t>
        </is>
      </c>
      <c r="C195" t="inlineStr">
        <is>
          <t>Föryngringsavverkning</t>
        </is>
      </c>
      <c r="D195" s="1" t="n">
        <v>44691</v>
      </c>
      <c r="E195" s="1" t="n">
        <v>46216</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2108-2022</t>
        </is>
      </c>
      <c r="B196" t="inlineStr">
        <is>
          <t>avverkningsanmälan</t>
        </is>
      </c>
      <c r="C196" t="inlineStr">
        <is>
          <t>Föryngringsavverkning</t>
        </is>
      </c>
      <c r="D196" s="1" t="n">
        <v>44577</v>
      </c>
      <c r="E196" s="1" t="n">
        <v>46216</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51412-2021</t>
        </is>
      </c>
      <c r="B197" t="inlineStr">
        <is>
          <t>avverkningsanmälan</t>
        </is>
      </c>
      <c r="C197" t="inlineStr">
        <is>
          <t>Föryngringsavverkning</t>
        </is>
      </c>
      <c r="D197" s="1" t="n">
        <v>44461</v>
      </c>
      <c r="E197" s="1" t="n">
        <v>46216</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15456-2022</t>
        </is>
      </c>
      <c r="B198" t="inlineStr">
        <is>
          <t>avverkningsanmälan</t>
        </is>
      </c>
      <c r="C198" t="inlineStr">
        <is>
          <t>Föryngringsavverkning</t>
        </is>
      </c>
      <c r="D198" s="1" t="n">
        <v>44661</v>
      </c>
      <c r="E198" s="1" t="n">
        <v>46216</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13867-2022</t>
        </is>
      </c>
      <c r="B199" t="inlineStr">
        <is>
          <t>avverkningsanmälan</t>
        </is>
      </c>
      <c r="C199" t="inlineStr">
        <is>
          <t>Föryngringsavverkning</t>
        </is>
      </c>
      <c r="D199" s="1" t="n">
        <v>44649</v>
      </c>
      <c r="E199" s="1" t="n">
        <v>46216</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67859-2021</t>
        </is>
      </c>
      <c r="B200" t="inlineStr">
        <is>
          <t>avverkningsanmälan</t>
        </is>
      </c>
      <c r="C200" t="inlineStr">
        <is>
          <t>Föryngringsavverkning</t>
        </is>
      </c>
      <c r="D200" s="1" t="n">
        <v>44525</v>
      </c>
      <c r="E200" s="1" t="n">
        <v>46216</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10298-2022</t>
        </is>
      </c>
      <c r="B201" t="inlineStr">
        <is>
          <t>avverkningsanmälan</t>
        </is>
      </c>
      <c r="C201" t="inlineStr">
        <is>
          <t>Föryngringsavverkning</t>
        </is>
      </c>
      <c r="D201" s="1" t="n">
        <v>44622</v>
      </c>
      <c r="E201" s="1" t="n">
        <v>46216</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8556-2022</t>
        </is>
      </c>
      <c r="B202" t="inlineStr">
        <is>
          <t>avverkningsanmälan</t>
        </is>
      </c>
      <c r="C202" t="inlineStr">
        <is>
          <t>Föryngringsavverkning</t>
        </is>
      </c>
      <c r="D202" s="1" t="n">
        <v>44613</v>
      </c>
      <c r="E202" s="1" t="n">
        <v>46216</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4315-2022</t>
        </is>
      </c>
      <c r="B203" t="inlineStr">
        <is>
          <t>avverkningsanmälan</t>
        </is>
      </c>
      <c r="C203" t="inlineStr">
        <is>
          <t>Föryngringsavverkning</t>
        </is>
      </c>
      <c r="D203" s="1" t="n">
        <v>44588</v>
      </c>
      <c r="E203" s="1" t="n">
        <v>46216</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24149-2022</t>
        </is>
      </c>
      <c r="B204" t="inlineStr">
        <is>
          <t>avverkningsanmälan</t>
        </is>
      </c>
      <c r="C204" t="inlineStr">
        <is>
          <t>Föryngringsavverkning</t>
        </is>
      </c>
      <c r="D204" s="1" t="n">
        <v>44725</v>
      </c>
      <c r="E204" s="1" t="n">
        <v>46216</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24138-2022</t>
        </is>
      </c>
      <c r="B205" t="inlineStr">
        <is>
          <t>avverkningsanmälan</t>
        </is>
      </c>
      <c r="C205" t="inlineStr">
        <is>
          <t>Föryngringsavverkning</t>
        </is>
      </c>
      <c r="D205" s="1" t="n">
        <v>44725</v>
      </c>
      <c r="E205" s="1" t="n">
        <v>46216</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47163-2022</t>
        </is>
      </c>
      <c r="B206" t="inlineStr">
        <is>
          <t>avverkningsanmälan</t>
        </is>
      </c>
      <c r="C206" t="inlineStr">
        <is>
          <t>Föryngringsavverkning</t>
        </is>
      </c>
      <c r="D206" s="1" t="n">
        <v>44852</v>
      </c>
      <c r="E206" s="1" t="n">
        <v>46216</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s="2" t="inlineStr"/>
    </row>
    <row r="207" ht="15" customHeight="1">
      <c r="A207" t="inlineStr">
        <is>
          <t>A 66549-2021</t>
        </is>
      </c>
      <c r="B207" t="inlineStr">
        <is>
          <t>avverkningsanmälan</t>
        </is>
      </c>
      <c r="C207" t="inlineStr">
        <is>
          <t>Föryngringsavverkning</t>
        </is>
      </c>
      <c r="D207" s="1" t="n">
        <v>44519</v>
      </c>
      <c r="E207" s="1" t="n">
        <v>46216</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5932-2022</t>
        </is>
      </c>
      <c r="B208" t="inlineStr">
        <is>
          <t>avverkningsanmälan</t>
        </is>
      </c>
      <c r="C208" t="inlineStr">
        <is>
          <t>Föryngringsavverkning</t>
        </is>
      </c>
      <c r="D208" s="1" t="n">
        <v>44598</v>
      </c>
      <c r="E208" s="1" t="n">
        <v>46216</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48308-2021</t>
        </is>
      </c>
      <c r="B209" t="inlineStr">
        <is>
          <t>avverkningsanmälan</t>
        </is>
      </c>
      <c r="C209" t="inlineStr">
        <is>
          <t>Föryngringsavverkning</t>
        </is>
      </c>
      <c r="D209" s="1" t="n">
        <v>44450</v>
      </c>
      <c r="E209" s="1" t="n">
        <v>46216</v>
      </c>
      <c r="F209" t="inlineStr">
        <is>
          <t>UPPSALA LÄN</t>
        </is>
      </c>
      <c r="G209" t="inlineStr">
        <is>
          <t>ÖSTHAMMAR</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19287-2022</t>
        </is>
      </c>
      <c r="B210" t="inlineStr">
        <is>
          <t>avverkningsanmälan</t>
        </is>
      </c>
      <c r="C210" t="inlineStr">
        <is>
          <t>Föryngringsavverkning</t>
        </is>
      </c>
      <c r="D210" s="1" t="n">
        <v>44692</v>
      </c>
      <c r="E210" s="1" t="n">
        <v>46216</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51612-2021</t>
        </is>
      </c>
      <c r="B211" t="inlineStr">
        <is>
          <t>avverkningsanmälan</t>
        </is>
      </c>
      <c r="C211" t="inlineStr">
        <is>
          <t>Föryngringsavverkning</t>
        </is>
      </c>
      <c r="D211" s="1" t="n">
        <v>44462</v>
      </c>
      <c r="E211" s="1" t="n">
        <v>46216</v>
      </c>
      <c r="F211" t="inlineStr">
        <is>
          <t>UPPSALA LÄN</t>
        </is>
      </c>
      <c r="G211" t="inlineStr">
        <is>
          <t>ÖSTHAMMAR</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19181-2022</t>
        </is>
      </c>
      <c r="B212" t="inlineStr">
        <is>
          <t>avverkningsanmälan</t>
        </is>
      </c>
      <c r="C212" t="inlineStr">
        <is>
          <t>Föryngringsavverkning</t>
        </is>
      </c>
      <c r="D212" s="1" t="n">
        <v>44691</v>
      </c>
      <c r="E212" s="1" t="n">
        <v>46216</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19707-2022</t>
        </is>
      </c>
      <c r="B213" t="inlineStr">
        <is>
          <t>avverkningsanmälan</t>
        </is>
      </c>
      <c r="C213" t="inlineStr">
        <is>
          <t>Föryngringsavverkning</t>
        </is>
      </c>
      <c r="D213" s="1" t="n">
        <v>44694</v>
      </c>
      <c r="E213" s="1" t="n">
        <v>46216</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15334-2022</t>
        </is>
      </c>
      <c r="B214" t="inlineStr">
        <is>
          <t>avverkningsanmälan</t>
        </is>
      </c>
      <c r="C214" t="inlineStr">
        <is>
          <t>Föryngringsavverkning</t>
        </is>
      </c>
      <c r="D214" s="1" t="n">
        <v>44659</v>
      </c>
      <c r="E214" s="1" t="n">
        <v>46216</v>
      </c>
      <c r="F214" t="inlineStr">
        <is>
          <t>UPPSALA LÄN</t>
        </is>
      </c>
      <c r="G214" t="inlineStr">
        <is>
          <t>ÖSTHAMMAR</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64872-2021</t>
        </is>
      </c>
      <c r="B215" t="inlineStr">
        <is>
          <t>avverkningsanmälan</t>
        </is>
      </c>
      <c r="C215" t="inlineStr">
        <is>
          <t>Föryngringsavverkning</t>
        </is>
      </c>
      <c r="D215" s="1" t="n">
        <v>44512</v>
      </c>
      <c r="E215" s="1" t="n">
        <v>46216</v>
      </c>
      <c r="F215" t="inlineStr">
        <is>
          <t>UPPSALA LÄN</t>
        </is>
      </c>
      <c r="G215" t="inlineStr">
        <is>
          <t>ÖSTHAMMAR</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43469-2021</t>
        </is>
      </c>
      <c r="B216" t="inlineStr">
        <is>
          <t>avverkningsanmälan</t>
        </is>
      </c>
      <c r="C216" t="inlineStr">
        <is>
          <t>Föryngringsavverkning</t>
        </is>
      </c>
      <c r="D216" s="1" t="n">
        <v>44432</v>
      </c>
      <c r="E216" s="1" t="n">
        <v>46216</v>
      </c>
      <c r="F216" t="inlineStr">
        <is>
          <t>UPPSALA LÄN</t>
        </is>
      </c>
      <c r="G216" t="inlineStr">
        <is>
          <t>ÖSTHAMMAR</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49914-2022</t>
        </is>
      </c>
      <c r="B217" t="inlineStr">
        <is>
          <t>avverkningsanmälan</t>
        </is>
      </c>
      <c r="C217" t="inlineStr">
        <is>
          <t>Föryngringsavverkning</t>
        </is>
      </c>
      <c r="D217" s="1" t="n">
        <v>44865</v>
      </c>
      <c r="E217" s="1" t="n">
        <v>46216</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22945-2022</t>
        </is>
      </c>
      <c r="B218" t="inlineStr">
        <is>
          <t>avverkningsanmälan</t>
        </is>
      </c>
      <c r="C218" t="inlineStr">
        <is>
          <t>Föryngringsavverkning</t>
        </is>
      </c>
      <c r="D218" s="1" t="n">
        <v>44715</v>
      </c>
      <c r="E218" s="1" t="n">
        <v>46216</v>
      </c>
      <c r="F218" t="inlineStr">
        <is>
          <t>UPPSALA LÄN</t>
        </is>
      </c>
      <c r="G218" t="inlineStr">
        <is>
          <t>ÖSTHAMMAR</t>
        </is>
      </c>
      <c r="H218" t="inlineStr">
        <is>
          <t>Bergvik skog öst AB</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15845-2022</t>
        </is>
      </c>
      <c r="B219" t="inlineStr">
        <is>
          <t>avverkningsanmälan</t>
        </is>
      </c>
      <c r="C219" t="inlineStr">
        <is>
          <t>Föryngringsavverkning</t>
        </is>
      </c>
      <c r="D219" s="1" t="n">
        <v>44664</v>
      </c>
      <c r="E219" s="1" t="n">
        <v>46216</v>
      </c>
      <c r="F219" t="inlineStr">
        <is>
          <t>UPPSALA LÄN</t>
        </is>
      </c>
      <c r="G219" t="inlineStr">
        <is>
          <t>ÖSTHAMMAR</t>
        </is>
      </c>
      <c r="I219" t="n">
        <v>4.5</v>
      </c>
      <c r="J219" t="n">
        <v>0</v>
      </c>
      <c r="K219" t="n">
        <v>0</v>
      </c>
      <c r="L219" t="n">
        <v>0</v>
      </c>
      <c r="M219" t="n">
        <v>0</v>
      </c>
      <c r="N219" t="n">
        <v>0</v>
      </c>
      <c r="O219" t="n">
        <v>0</v>
      </c>
      <c r="P219" t="n">
        <v>0</v>
      </c>
      <c r="Q219" t="n">
        <v>0</v>
      </c>
      <c r="R219" t="n">
        <v>0</v>
      </c>
      <c r="S219" t="n">
        <v>0</v>
      </c>
      <c r="T219" t="n">
        <v>0</v>
      </c>
      <c r="U219" s="2" t="inlineStr"/>
    </row>
    <row r="220" ht="15" customHeight="1">
      <c r="A220" t="inlineStr">
        <is>
          <t>A 30209-2022</t>
        </is>
      </c>
      <c r="B220" t="inlineStr">
        <is>
          <t>avverkningsanmälan</t>
        </is>
      </c>
      <c r="C220" t="inlineStr">
        <is>
          <t>Föryngringsavverkning</t>
        </is>
      </c>
      <c r="D220" s="1" t="n">
        <v>44757</v>
      </c>
      <c r="E220" s="1" t="n">
        <v>46216</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49334-2022</t>
        </is>
      </c>
      <c r="B221" t="inlineStr">
        <is>
          <t>avverkningsanmälan</t>
        </is>
      </c>
      <c r="C221" t="inlineStr">
        <is>
          <t>Avverkning för att bevara och utveckla /försöksver</t>
        </is>
      </c>
      <c r="D221" s="1" t="n">
        <v>44861</v>
      </c>
      <c r="E221" s="1" t="n">
        <v>46216</v>
      </c>
      <c r="F221" t="inlineStr">
        <is>
          <t>UPPSALA LÄN</t>
        </is>
      </c>
      <c r="G221" t="inlineStr">
        <is>
          <t>ÖSTHAMMAR</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52295-2022</t>
        </is>
      </c>
      <c r="B222" t="inlineStr">
        <is>
          <t>avverkningsanmälan</t>
        </is>
      </c>
      <c r="C222" t="inlineStr">
        <is>
          <t>Föryngringsavverkning</t>
        </is>
      </c>
      <c r="D222" s="1" t="n">
        <v>44873</v>
      </c>
      <c r="E222" s="1" t="n">
        <v>46216</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41558-2021</t>
        </is>
      </c>
      <c r="B223" t="inlineStr">
        <is>
          <t>avverkningsanmälan</t>
        </is>
      </c>
      <c r="C223" t="inlineStr">
        <is>
          <t>Föryngringsavverkning</t>
        </is>
      </c>
      <c r="D223" s="1" t="n">
        <v>44425</v>
      </c>
      <c r="E223" s="1" t="n">
        <v>46216</v>
      </c>
      <c r="F223" t="inlineStr">
        <is>
          <t>UPPSALA LÄN</t>
        </is>
      </c>
      <c r="G223" t="inlineStr">
        <is>
          <t>ÖSTHAMMAR</t>
        </is>
      </c>
      <c r="H223" t="inlineStr">
        <is>
          <t>Bergvik skog öst AB</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15457-2022</t>
        </is>
      </c>
      <c r="B224" t="inlineStr">
        <is>
          <t>avverkningsanmälan</t>
        </is>
      </c>
      <c r="C224" t="inlineStr">
        <is>
          <t>Föryngringsavverkning</t>
        </is>
      </c>
      <c r="D224" s="1" t="n">
        <v>44661</v>
      </c>
      <c r="E224" s="1" t="n">
        <v>46216</v>
      </c>
      <c r="F224" t="inlineStr">
        <is>
          <t>UPPSALA LÄN</t>
        </is>
      </c>
      <c r="G224" t="inlineStr">
        <is>
          <t>ÖSTHAMMAR</t>
        </is>
      </c>
      <c r="H224" t="inlineStr">
        <is>
          <t>Bergvik skog öst AB</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61560-2021</t>
        </is>
      </c>
      <c r="B225" t="inlineStr">
        <is>
          <t>avverkningsanmälan</t>
        </is>
      </c>
      <c r="C225" t="inlineStr">
        <is>
          <t>Föryngringsavverkning</t>
        </is>
      </c>
      <c r="D225" s="1" t="n">
        <v>44501</v>
      </c>
      <c r="E225" s="1" t="n">
        <v>46216</v>
      </c>
      <c r="F225" t="inlineStr">
        <is>
          <t>UPPSALA LÄN</t>
        </is>
      </c>
      <c r="G225" t="inlineStr">
        <is>
          <t>ÖSTHAMMAR</t>
        </is>
      </c>
      <c r="H225" t="inlineStr">
        <is>
          <t>Sveaskog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37570-2022</t>
        </is>
      </c>
      <c r="B226" t="inlineStr">
        <is>
          <t>avverkningsanmälan</t>
        </is>
      </c>
      <c r="C226" t="inlineStr">
        <is>
          <t>Föryngringsavverkning</t>
        </is>
      </c>
      <c r="D226" s="1" t="n">
        <v>44809</v>
      </c>
      <c r="E226" s="1" t="n">
        <v>46216</v>
      </c>
      <c r="F226" t="inlineStr">
        <is>
          <t>UPPSALA LÄN</t>
        </is>
      </c>
      <c r="G226" t="inlineStr">
        <is>
          <t>ÖSTHAMMAR</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37545-2022</t>
        </is>
      </c>
      <c r="B227" t="inlineStr">
        <is>
          <t>avverkningsanmälan</t>
        </is>
      </c>
      <c r="C227" t="inlineStr">
        <is>
          <t>Föryngringsavverkning</t>
        </is>
      </c>
      <c r="D227" s="1" t="n">
        <v>44809</v>
      </c>
      <c r="E227" s="1" t="n">
        <v>46216</v>
      </c>
      <c r="F227" t="inlineStr">
        <is>
          <t>UPPSALA LÄN</t>
        </is>
      </c>
      <c r="G227" t="inlineStr">
        <is>
          <t>ÖSTHAMMAR</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38501-2022</t>
        </is>
      </c>
      <c r="B228" t="inlineStr">
        <is>
          <t>avverkningsanmälan</t>
        </is>
      </c>
      <c r="C228" t="inlineStr">
        <is>
          <t>Avverkning för annat ändamål</t>
        </is>
      </c>
      <c r="D228" s="1" t="n">
        <v>44813</v>
      </c>
      <c r="E228" s="1" t="n">
        <v>46216</v>
      </c>
      <c r="F228" t="inlineStr">
        <is>
          <t>UPPSALA LÄN</t>
        </is>
      </c>
      <c r="G228" t="inlineStr">
        <is>
          <t>ÖSTHAMMAR</t>
        </is>
      </c>
      <c r="H228" t="inlineStr">
        <is>
          <t>Bergvik skog öst AB</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37813-2022</t>
        </is>
      </c>
      <c r="B229" t="inlineStr">
        <is>
          <t>avverkningsanmälan</t>
        </is>
      </c>
      <c r="C229" t="inlineStr">
        <is>
          <t>Föryngringsavverkning</t>
        </is>
      </c>
      <c r="D229" s="1" t="n">
        <v>44810</v>
      </c>
      <c r="E229" s="1" t="n">
        <v>46216</v>
      </c>
      <c r="F229" t="inlineStr">
        <is>
          <t>UPPSALA LÄN</t>
        </is>
      </c>
      <c r="G229" t="inlineStr">
        <is>
          <t>ÖSTHAMMAR</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11987-2022</t>
        </is>
      </c>
      <c r="B230" t="inlineStr">
        <is>
          <t>avverkningsanmälan</t>
        </is>
      </c>
      <c r="C230" t="inlineStr">
        <is>
          <t>Föryngringsavverkning</t>
        </is>
      </c>
      <c r="D230" s="1" t="n">
        <v>44635</v>
      </c>
      <c r="E230" s="1" t="n">
        <v>46216</v>
      </c>
      <c r="F230" t="inlineStr">
        <is>
          <t>UPPSALA LÄN</t>
        </is>
      </c>
      <c r="G230" t="inlineStr">
        <is>
          <t>ÖSTHAMMAR</t>
        </is>
      </c>
      <c r="H230" t="inlineStr">
        <is>
          <t>Bergvik skog öst AB</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22207-2022</t>
        </is>
      </c>
      <c r="B231" t="inlineStr">
        <is>
          <t>avverkningsanmälan</t>
        </is>
      </c>
      <c r="C231" t="inlineStr">
        <is>
          <t>Föryngringsavverkning</t>
        </is>
      </c>
      <c r="D231" s="1" t="n">
        <v>44712</v>
      </c>
      <c r="E231" s="1" t="n">
        <v>46216</v>
      </c>
      <c r="F231" t="inlineStr">
        <is>
          <t>UPPSALA LÄN</t>
        </is>
      </c>
      <c r="G231" t="inlineStr">
        <is>
          <t>ÖSTHAMMAR</t>
        </is>
      </c>
      <c r="H231" t="inlineStr">
        <is>
          <t>Bergvik skog öst AB</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16184-2022</t>
        </is>
      </c>
      <c r="B232" t="inlineStr">
        <is>
          <t>avverkningsanmälan</t>
        </is>
      </c>
      <c r="C232" t="inlineStr">
        <is>
          <t>Föryngringsavverkning</t>
        </is>
      </c>
      <c r="D232" s="1" t="n">
        <v>44669</v>
      </c>
      <c r="E232" s="1" t="n">
        <v>46216</v>
      </c>
      <c r="F232" t="inlineStr">
        <is>
          <t>UPPSALA LÄN</t>
        </is>
      </c>
      <c r="G232" t="inlineStr">
        <is>
          <t>ÖSTHAMMAR</t>
        </is>
      </c>
      <c r="H232" t="inlineStr">
        <is>
          <t>Bergvik skog öst AB</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18736-2022</t>
        </is>
      </c>
      <c r="B233" t="inlineStr">
        <is>
          <t>avverkningsanmälan</t>
        </is>
      </c>
      <c r="C233" t="inlineStr">
        <is>
          <t>Föryngringsavverkning</t>
        </is>
      </c>
      <c r="D233" s="1" t="n">
        <v>44687</v>
      </c>
      <c r="E233" s="1" t="n">
        <v>46216</v>
      </c>
      <c r="F233" t="inlineStr">
        <is>
          <t>UPPSALA LÄN</t>
        </is>
      </c>
      <c r="G233" t="inlineStr">
        <is>
          <t>ÖSTHAMMAR</t>
        </is>
      </c>
      <c r="H233" t="inlineStr">
        <is>
          <t>Bergvik skog öst AB</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7871-2022</t>
        </is>
      </c>
      <c r="B234" t="inlineStr">
        <is>
          <t>avverkningsanmälan</t>
        </is>
      </c>
      <c r="C234" t="inlineStr">
        <is>
          <t>Föryngringsavverkning</t>
        </is>
      </c>
      <c r="D234" s="1" t="n">
        <v>44608</v>
      </c>
      <c r="E234" s="1" t="n">
        <v>46216</v>
      </c>
      <c r="F234" t="inlineStr">
        <is>
          <t>UPPSALA LÄN</t>
        </is>
      </c>
      <c r="G234" t="inlineStr">
        <is>
          <t>ÖSTHAMMAR</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24817-2022</t>
        </is>
      </c>
      <c r="B235" t="inlineStr">
        <is>
          <t>avverkningsanmälan</t>
        </is>
      </c>
      <c r="C235" t="inlineStr">
        <is>
          <t>Avverkning för annat ändamål</t>
        </is>
      </c>
      <c r="D235" s="1" t="n">
        <v>44728</v>
      </c>
      <c r="E235" s="1" t="n">
        <v>46216</v>
      </c>
      <c r="F235" t="inlineStr">
        <is>
          <t>UPPSALA LÄN</t>
        </is>
      </c>
      <c r="G235" t="inlineStr">
        <is>
          <t>ÖSTHAMMAR</t>
        </is>
      </c>
      <c r="H235" t="inlineStr">
        <is>
          <t>Sveaskog</t>
        </is>
      </c>
      <c r="I235" t="n">
        <v>0.2</v>
      </c>
      <c r="J235" t="n">
        <v>0</v>
      </c>
      <c r="K235" t="n">
        <v>0</v>
      </c>
      <c r="L235" t="n">
        <v>0</v>
      </c>
      <c r="M235" t="n">
        <v>0</v>
      </c>
      <c r="N235" t="n">
        <v>0</v>
      </c>
      <c r="O235" t="n">
        <v>0</v>
      </c>
      <c r="P235" t="n">
        <v>0</v>
      </c>
      <c r="Q235" t="n">
        <v>0</v>
      </c>
      <c r="R235" t="n">
        <v>0</v>
      </c>
      <c r="S235" t="n">
        <v>0</v>
      </c>
      <c r="T235" t="n">
        <v>0</v>
      </c>
      <c r="U235" s="2" t="inlineStr"/>
    </row>
    <row r="236" ht="15" customHeight="1">
      <c r="A236" t="inlineStr">
        <is>
          <t>A 51906-2022</t>
        </is>
      </c>
      <c r="B236" t="inlineStr">
        <is>
          <t>avverkningsanmälan</t>
        </is>
      </c>
      <c r="C236" t="inlineStr">
        <is>
          <t>Föryngringsavverkning</t>
        </is>
      </c>
      <c r="D236" s="1" t="n">
        <v>44872</v>
      </c>
      <c r="E236" s="1" t="n">
        <v>46216</v>
      </c>
      <c r="F236" t="inlineStr">
        <is>
          <t>UPPSALA LÄN</t>
        </is>
      </c>
      <c r="G236" t="inlineStr">
        <is>
          <t>ÖSTHAMMAR</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31182-2022</t>
        </is>
      </c>
      <c r="B237" t="inlineStr">
        <is>
          <t>avverkningsanmälan</t>
        </is>
      </c>
      <c r="C237" t="inlineStr">
        <is>
          <t>Föryngringsavverkning</t>
        </is>
      </c>
      <c r="D237" s="1" t="n">
        <v>44770</v>
      </c>
      <c r="E237" s="1" t="n">
        <v>46216</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s="2" t="inlineStr"/>
    </row>
    <row r="238" ht="15" customHeight="1">
      <c r="A238" t="inlineStr">
        <is>
          <t>A 26534-2022</t>
        </is>
      </c>
      <c r="B238" t="inlineStr">
        <is>
          <t>avverkningsanmälan</t>
        </is>
      </c>
      <c r="C238" t="inlineStr">
        <is>
          <t>Föryngringsavverkning</t>
        </is>
      </c>
      <c r="D238" s="1" t="n">
        <v>44739</v>
      </c>
      <c r="E238" s="1" t="n">
        <v>46216</v>
      </c>
      <c r="F238" t="inlineStr">
        <is>
          <t>UPPSALA LÄN</t>
        </is>
      </c>
      <c r="G238" t="inlineStr">
        <is>
          <t>ÖSTHAMMAR</t>
        </is>
      </c>
      <c r="H238" t="inlineStr">
        <is>
          <t>Övriga statliga verk och myndigheter</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52898-2021</t>
        </is>
      </c>
      <c r="B239" t="inlineStr">
        <is>
          <t>avverkningsanmälan</t>
        </is>
      </c>
      <c r="C239" t="inlineStr">
        <is>
          <t>Föryngringsavverkning</t>
        </is>
      </c>
      <c r="D239" s="1" t="n">
        <v>44467</v>
      </c>
      <c r="E239" s="1" t="n">
        <v>46216</v>
      </c>
      <c r="F239" t="inlineStr">
        <is>
          <t>UPPSALA LÄN</t>
        </is>
      </c>
      <c r="G239" t="inlineStr">
        <is>
          <t>ÖSTHAMMAR</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9789-2022</t>
        </is>
      </c>
      <c r="B240" t="inlineStr">
        <is>
          <t>avverkningsanmälan</t>
        </is>
      </c>
      <c r="C240" t="inlineStr">
        <is>
          <t>Föryngringsavverkning</t>
        </is>
      </c>
      <c r="D240" s="1" t="n">
        <v>44620</v>
      </c>
      <c r="E240" s="1" t="n">
        <v>46216</v>
      </c>
      <c r="F240" t="inlineStr">
        <is>
          <t>UPPSALA LÄN</t>
        </is>
      </c>
      <c r="G240" t="inlineStr">
        <is>
          <t>ÖSTHAMMAR</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18734-2022</t>
        </is>
      </c>
      <c r="B241" t="inlineStr">
        <is>
          <t>avverkningsanmälan</t>
        </is>
      </c>
      <c r="C241" t="inlineStr">
        <is>
          <t>Föryngringsavverkning</t>
        </is>
      </c>
      <c r="D241" s="1" t="n">
        <v>44687</v>
      </c>
      <c r="E241" s="1" t="n">
        <v>46216</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s="2" t="inlineStr"/>
    </row>
    <row r="242" ht="15" customHeight="1">
      <c r="A242" t="inlineStr">
        <is>
          <t>A 11884-2022</t>
        </is>
      </c>
      <c r="B242" t="inlineStr">
        <is>
          <t>avverkningsanmälan</t>
        </is>
      </c>
      <c r="C242" t="inlineStr">
        <is>
          <t>Föryngringsavverkning</t>
        </is>
      </c>
      <c r="D242" s="1" t="n">
        <v>44635</v>
      </c>
      <c r="E242" s="1" t="n">
        <v>46216</v>
      </c>
      <c r="F242" t="inlineStr">
        <is>
          <t>UPPSALA LÄN</t>
        </is>
      </c>
      <c r="G242" t="inlineStr">
        <is>
          <t>ÖSTHAMMAR</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17013-2022</t>
        </is>
      </c>
      <c r="B243" t="inlineStr">
        <is>
          <t>avverkningsanmälan</t>
        </is>
      </c>
      <c r="C243" t="inlineStr">
        <is>
          <t>Föryngringsavverkning</t>
        </is>
      </c>
      <c r="D243" s="1" t="n">
        <v>44676</v>
      </c>
      <c r="E243" s="1" t="n">
        <v>46216</v>
      </c>
      <c r="F243" t="inlineStr">
        <is>
          <t>UPPSALA LÄN</t>
        </is>
      </c>
      <c r="G243" t="inlineStr">
        <is>
          <t>ÖSTHAMMAR</t>
        </is>
      </c>
      <c r="H243" t="inlineStr">
        <is>
          <t>Bergvik skog öst AB</t>
        </is>
      </c>
      <c r="I243" t="n">
        <v>0.2</v>
      </c>
      <c r="J243" t="n">
        <v>0</v>
      </c>
      <c r="K243" t="n">
        <v>0</v>
      </c>
      <c r="L243" t="n">
        <v>0</v>
      </c>
      <c r="M243" t="n">
        <v>0</v>
      </c>
      <c r="N243" t="n">
        <v>0</v>
      </c>
      <c r="O243" t="n">
        <v>0</v>
      </c>
      <c r="P243" t="n">
        <v>0</v>
      </c>
      <c r="Q243" t="n">
        <v>0</v>
      </c>
      <c r="R243" t="n">
        <v>0</v>
      </c>
      <c r="S243" t="n">
        <v>0</v>
      </c>
      <c r="T243" t="n">
        <v>0</v>
      </c>
      <c r="U243" s="2" t="inlineStr"/>
    </row>
    <row r="244" ht="15" customHeight="1">
      <c r="A244" t="inlineStr">
        <is>
          <t>A 12999-2022</t>
        </is>
      </c>
      <c r="B244" t="inlineStr">
        <is>
          <t>avverkningsanmälan</t>
        </is>
      </c>
      <c r="C244" t="inlineStr">
        <is>
          <t>Föryngringsavverkning</t>
        </is>
      </c>
      <c r="D244" s="1" t="n">
        <v>44643</v>
      </c>
      <c r="E244" s="1" t="n">
        <v>46216</v>
      </c>
      <c r="F244" t="inlineStr">
        <is>
          <t>UPPSALA LÄN</t>
        </is>
      </c>
      <c r="G244" t="inlineStr">
        <is>
          <t>ÖSTHAMMAR</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16185-2022</t>
        </is>
      </c>
      <c r="B245" t="inlineStr">
        <is>
          <t>avverkningsanmälan</t>
        </is>
      </c>
      <c r="C245" t="inlineStr">
        <is>
          <t>Föryngringsavverkning</t>
        </is>
      </c>
      <c r="D245" s="1" t="n">
        <v>44669</v>
      </c>
      <c r="E245" s="1" t="n">
        <v>46216</v>
      </c>
      <c r="F245" t="inlineStr">
        <is>
          <t>UPPSALA LÄN</t>
        </is>
      </c>
      <c r="G245" t="inlineStr">
        <is>
          <t>ÖSTHAMMAR</t>
        </is>
      </c>
      <c r="H245" t="inlineStr">
        <is>
          <t>Bergvik skog öst AB</t>
        </is>
      </c>
      <c r="I245" t="n">
        <v>0.3</v>
      </c>
      <c r="J245" t="n">
        <v>0</v>
      </c>
      <c r="K245" t="n">
        <v>0</v>
      </c>
      <c r="L245" t="n">
        <v>0</v>
      </c>
      <c r="M245" t="n">
        <v>0</v>
      </c>
      <c r="N245" t="n">
        <v>0</v>
      </c>
      <c r="O245" t="n">
        <v>0</v>
      </c>
      <c r="P245" t="n">
        <v>0</v>
      </c>
      <c r="Q245" t="n">
        <v>0</v>
      </c>
      <c r="R245" t="n">
        <v>0</v>
      </c>
      <c r="S245" t="n">
        <v>0</v>
      </c>
      <c r="T245" t="n">
        <v>0</v>
      </c>
      <c r="U245" s="2" t="inlineStr"/>
    </row>
    <row r="246" ht="15" customHeight="1">
      <c r="A246" t="inlineStr">
        <is>
          <t>A 52544-2021</t>
        </is>
      </c>
      <c r="B246" t="inlineStr">
        <is>
          <t>avverkningsanmälan</t>
        </is>
      </c>
      <c r="C246" t="inlineStr">
        <is>
          <t>Föryngringsavverkning</t>
        </is>
      </c>
      <c r="D246" s="1" t="n">
        <v>44466</v>
      </c>
      <c r="E246" s="1" t="n">
        <v>46216</v>
      </c>
      <c r="F246" t="inlineStr">
        <is>
          <t>UPPSALA LÄN</t>
        </is>
      </c>
      <c r="G246" t="inlineStr">
        <is>
          <t>ÖSTHAMMAR</t>
        </is>
      </c>
      <c r="H246" t="inlineStr">
        <is>
          <t>Bergvik skog väst AB</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57003-2021</t>
        </is>
      </c>
      <c r="B247" t="inlineStr">
        <is>
          <t>avverkningsanmälan</t>
        </is>
      </c>
      <c r="C247" t="inlineStr">
        <is>
          <t>Föryngringsavverkning</t>
        </is>
      </c>
      <c r="D247" s="1" t="n">
        <v>44482</v>
      </c>
      <c r="E247" s="1" t="n">
        <v>46216</v>
      </c>
      <c r="F247" t="inlineStr">
        <is>
          <t>UPPSALA LÄN</t>
        </is>
      </c>
      <c r="G247" t="inlineStr">
        <is>
          <t>ÖSTHAMMAR</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37568-2022</t>
        </is>
      </c>
      <c r="B248" t="inlineStr">
        <is>
          <t>avverkningsanmälan</t>
        </is>
      </c>
      <c r="C248" t="inlineStr">
        <is>
          <t>Föryngringsavverkning</t>
        </is>
      </c>
      <c r="D248" s="1" t="n">
        <v>44809</v>
      </c>
      <c r="E248" s="1" t="n">
        <v>46216</v>
      </c>
      <c r="F248" t="inlineStr">
        <is>
          <t>UPPSALA LÄN</t>
        </is>
      </c>
      <c r="G248" t="inlineStr">
        <is>
          <t>ÖSTHAMMAR</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31479-2023</t>
        </is>
      </c>
      <c r="B249" t="inlineStr">
        <is>
          <t>avverkningsanmälan</t>
        </is>
      </c>
      <c r="C249" t="inlineStr">
        <is>
          <t>Föryngringsavverkning</t>
        </is>
      </c>
      <c r="D249" s="1" t="n">
        <v>45114</v>
      </c>
      <c r="E249" s="1" t="n">
        <v>46216</v>
      </c>
      <c r="F249" t="inlineStr">
        <is>
          <t>UPPSALA LÄN</t>
        </is>
      </c>
      <c r="G249" t="inlineStr">
        <is>
          <t>ÖSTHAMMAR</t>
        </is>
      </c>
      <c r="H249" t="inlineStr">
        <is>
          <t>Bergvik skog öst AB</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2085-2022</t>
        </is>
      </c>
      <c r="B250" t="inlineStr">
        <is>
          <t>avverkningsanmälan</t>
        </is>
      </c>
      <c r="C250" t="inlineStr">
        <is>
          <t>Föryngringsavverkning</t>
        </is>
      </c>
      <c r="D250" s="1" t="n">
        <v>44576</v>
      </c>
      <c r="E250" s="1" t="n">
        <v>46216</v>
      </c>
      <c r="F250" t="inlineStr">
        <is>
          <t>UPPSALA LÄN</t>
        </is>
      </c>
      <c r="G250" t="inlineStr">
        <is>
          <t>ÖSTHAMMAR</t>
        </is>
      </c>
      <c r="H250" t="inlineStr">
        <is>
          <t>Bergvik skog öst AB</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74436-2021</t>
        </is>
      </c>
      <c r="B251" t="inlineStr">
        <is>
          <t>avverkningsanmälan</t>
        </is>
      </c>
      <c r="C251" t="inlineStr">
        <is>
          <t>Föryngringsavverkning</t>
        </is>
      </c>
      <c r="D251" s="1" t="n">
        <v>44560</v>
      </c>
      <c r="E251" s="1" t="n">
        <v>46216</v>
      </c>
      <c r="F251" t="inlineStr">
        <is>
          <t>UPPSALA LÄN</t>
        </is>
      </c>
      <c r="G251" t="inlineStr">
        <is>
          <t>ÖSTHAMMAR</t>
        </is>
      </c>
      <c r="H251" t="inlineStr">
        <is>
          <t>Bergvik skog öst AB</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48719-2023</t>
        </is>
      </c>
      <c r="B252" t="inlineStr">
        <is>
          <t>avverkningsanmälan</t>
        </is>
      </c>
      <c r="C252" t="inlineStr">
        <is>
          <t>Föryngringsavverkning</t>
        </is>
      </c>
      <c r="D252" s="1" t="n">
        <v>45208</v>
      </c>
      <c r="E252" s="1" t="n">
        <v>46216</v>
      </c>
      <c r="F252" t="inlineStr">
        <is>
          <t>UPPSALA LÄN</t>
        </is>
      </c>
      <c r="G252" t="inlineStr">
        <is>
          <t>ÖSTHAMMAR</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31574-2022</t>
        </is>
      </c>
      <c r="B253" t="inlineStr">
        <is>
          <t>avverkningsanmälan</t>
        </is>
      </c>
      <c r="C253" t="inlineStr">
        <is>
          <t>Föryngringsavverkning</t>
        </is>
      </c>
      <c r="D253" s="1" t="n">
        <v>44775</v>
      </c>
      <c r="E253" s="1" t="n">
        <v>46216</v>
      </c>
      <c r="F253" t="inlineStr">
        <is>
          <t>UPPSALA LÄN</t>
        </is>
      </c>
      <c r="G253" t="inlineStr">
        <is>
          <t>ÖSTHAMMAR</t>
        </is>
      </c>
      <c r="I253" t="n">
        <v>29.7</v>
      </c>
      <c r="J253" t="n">
        <v>0</v>
      </c>
      <c r="K253" t="n">
        <v>0</v>
      </c>
      <c r="L253" t="n">
        <v>0</v>
      </c>
      <c r="M253" t="n">
        <v>0</v>
      </c>
      <c r="N253" t="n">
        <v>0</v>
      </c>
      <c r="O253" t="n">
        <v>0</v>
      </c>
      <c r="P253" t="n">
        <v>0</v>
      </c>
      <c r="Q253" t="n">
        <v>0</v>
      </c>
      <c r="R253" t="n">
        <v>0</v>
      </c>
      <c r="S253" t="n">
        <v>0</v>
      </c>
      <c r="T253" t="n">
        <v>0</v>
      </c>
      <c r="U253" s="2" t="inlineStr"/>
    </row>
    <row r="254" ht="15" customHeight="1">
      <c r="A254" t="inlineStr">
        <is>
          <t>A 55086-2024</t>
        </is>
      </c>
      <c r="B254" t="inlineStr">
        <is>
          <t>avverkningsanmälan</t>
        </is>
      </c>
      <c r="C254" t="inlineStr">
        <is>
          <t>Föryngringsavverkning</t>
        </is>
      </c>
      <c r="D254" s="1" t="n">
        <v>45621</v>
      </c>
      <c r="E254" s="1" t="n">
        <v>46216</v>
      </c>
      <c r="F254" t="inlineStr">
        <is>
          <t>UPPSALA LÄN</t>
        </is>
      </c>
      <c r="G254" t="inlineStr">
        <is>
          <t>ÖSTHAMMAR</t>
        </is>
      </c>
      <c r="H254" t="inlineStr">
        <is>
          <t>Sveaskog</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62695-2023</t>
        </is>
      </c>
      <c r="B255" t="inlineStr">
        <is>
          <t>avverkningsanmälan</t>
        </is>
      </c>
      <c r="C255" t="inlineStr">
        <is>
          <t>Föryngringsavverkning</t>
        </is>
      </c>
      <c r="D255" s="1" t="n">
        <v>45271</v>
      </c>
      <c r="E255" s="1" t="n">
        <v>46216</v>
      </c>
      <c r="F255" t="inlineStr">
        <is>
          <t>UPPSALA LÄN</t>
        </is>
      </c>
      <c r="G255" t="inlineStr">
        <is>
          <t>ÖSTHAMMAR</t>
        </is>
      </c>
      <c r="I255" t="n">
        <v>5.3</v>
      </c>
      <c r="J255" t="n">
        <v>0</v>
      </c>
      <c r="K255" t="n">
        <v>0</v>
      </c>
      <c r="L255" t="n">
        <v>0</v>
      </c>
      <c r="M255" t="n">
        <v>0</v>
      </c>
      <c r="N255" t="n">
        <v>0</v>
      </c>
      <c r="O255" t="n">
        <v>0</v>
      </c>
      <c r="P255" t="n">
        <v>0</v>
      </c>
      <c r="Q255" t="n">
        <v>0</v>
      </c>
      <c r="R255" t="n">
        <v>0</v>
      </c>
      <c r="S255" t="n">
        <v>0</v>
      </c>
      <c r="T255" t="n">
        <v>0</v>
      </c>
      <c r="U255" s="2" t="inlineStr"/>
    </row>
    <row r="256" ht="15" customHeight="1">
      <c r="A256" t="inlineStr">
        <is>
          <t>A 10982-2023</t>
        </is>
      </c>
      <c r="B256" t="inlineStr">
        <is>
          <t>avverkningsanmälan</t>
        </is>
      </c>
      <c r="C256" t="inlineStr">
        <is>
          <t>Föryngringsavverkning</t>
        </is>
      </c>
      <c r="D256" s="1" t="n">
        <v>44991</v>
      </c>
      <c r="E256" s="1" t="n">
        <v>46216</v>
      </c>
      <c r="F256" t="inlineStr">
        <is>
          <t>UPPSALA LÄN</t>
        </is>
      </c>
      <c r="G256" t="inlineStr">
        <is>
          <t>ÖSTHAMMAR</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4559-2022</t>
        </is>
      </c>
      <c r="B257" t="inlineStr">
        <is>
          <t>avverkningsanmälan</t>
        </is>
      </c>
      <c r="C257" t="inlineStr">
        <is>
          <t>Föryngringsavverkning</t>
        </is>
      </c>
      <c r="D257" s="1" t="n">
        <v>44591</v>
      </c>
      <c r="E257" s="1" t="n">
        <v>46216</v>
      </c>
      <c r="F257" t="inlineStr">
        <is>
          <t>UPPSALA LÄN</t>
        </is>
      </c>
      <c r="G257" t="inlineStr">
        <is>
          <t>ÖSTHAMMAR</t>
        </is>
      </c>
      <c r="H257" t="inlineStr">
        <is>
          <t>Bergvik skog öst AB</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29824-2023</t>
        </is>
      </c>
      <c r="B258" t="inlineStr">
        <is>
          <t>avverkningsanmälan</t>
        </is>
      </c>
      <c r="C258" t="inlineStr">
        <is>
          <t>Föryngringsavverkning</t>
        </is>
      </c>
      <c r="D258" s="1" t="n">
        <v>45107</v>
      </c>
      <c r="E258" s="1" t="n">
        <v>46216</v>
      </c>
      <c r="F258" t="inlineStr">
        <is>
          <t>UPPSALA LÄN</t>
        </is>
      </c>
      <c r="G258" t="inlineStr">
        <is>
          <t>ÖSTHAMMAR</t>
        </is>
      </c>
      <c r="H258" t="inlineStr">
        <is>
          <t>Naturvårdsverket</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20046-2023</t>
        </is>
      </c>
      <c r="B259" t="inlineStr">
        <is>
          <t>avverkningsanmälan</t>
        </is>
      </c>
      <c r="C259" t="inlineStr">
        <is>
          <t>Avverkning för annat ändamål</t>
        </is>
      </c>
      <c r="D259" s="1" t="n">
        <v>45054</v>
      </c>
      <c r="E259" s="1" t="n">
        <v>46216</v>
      </c>
      <c r="F259" t="inlineStr">
        <is>
          <t>UPPSALA LÄN</t>
        </is>
      </c>
      <c r="G259" t="inlineStr">
        <is>
          <t>ÖSTHAMMAR</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30086-2023</t>
        </is>
      </c>
      <c r="B260" t="inlineStr">
        <is>
          <t>avverkningsanmälan</t>
        </is>
      </c>
      <c r="C260" t="inlineStr">
        <is>
          <t>Föryngringsavverkning</t>
        </is>
      </c>
      <c r="D260" s="1" t="n">
        <v>45110</v>
      </c>
      <c r="E260" s="1" t="n">
        <v>46216</v>
      </c>
      <c r="F260" t="inlineStr">
        <is>
          <t>UPPSALA LÄN</t>
        </is>
      </c>
      <c r="G260" t="inlineStr">
        <is>
          <t>ÖSTHAMMAR</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29753-2022</t>
        </is>
      </c>
      <c r="B261" t="inlineStr">
        <is>
          <t>avverkningsanmälan</t>
        </is>
      </c>
      <c r="C261" t="inlineStr">
        <is>
          <t>Föryngringsavverkning</t>
        </is>
      </c>
      <c r="D261" s="1" t="n">
        <v>44755</v>
      </c>
      <c r="E261" s="1" t="n">
        <v>46216</v>
      </c>
      <c r="F261" t="inlineStr">
        <is>
          <t>UPPSALA LÄN</t>
        </is>
      </c>
      <c r="G261" t="inlineStr">
        <is>
          <t>ÖSTHAMMAR</t>
        </is>
      </c>
      <c r="I261" t="n">
        <v>9.4</v>
      </c>
      <c r="J261" t="n">
        <v>0</v>
      </c>
      <c r="K261" t="n">
        <v>0</v>
      </c>
      <c r="L261" t="n">
        <v>0</v>
      </c>
      <c r="M261" t="n">
        <v>0</v>
      </c>
      <c r="N261" t="n">
        <v>0</v>
      </c>
      <c r="O261" t="n">
        <v>0</v>
      </c>
      <c r="P261" t="n">
        <v>0</v>
      </c>
      <c r="Q261" t="n">
        <v>0</v>
      </c>
      <c r="R261" t="n">
        <v>0</v>
      </c>
      <c r="S261" t="n">
        <v>0</v>
      </c>
      <c r="T261" t="n">
        <v>0</v>
      </c>
      <c r="U261" s="2" t="inlineStr"/>
    </row>
    <row r="262" ht="15" customHeight="1">
      <c r="A262" t="inlineStr">
        <is>
          <t>A 32742-2022</t>
        </is>
      </c>
      <c r="B262" t="inlineStr">
        <is>
          <t>avverkningsanmälan</t>
        </is>
      </c>
      <c r="C262" t="inlineStr">
        <is>
          <t>Föryngringsavverkning</t>
        </is>
      </c>
      <c r="D262" s="1" t="n">
        <v>44783</v>
      </c>
      <c r="E262" s="1" t="n">
        <v>46216</v>
      </c>
      <c r="F262" t="inlineStr">
        <is>
          <t>UPPSALA LÄN</t>
        </is>
      </c>
      <c r="G262" t="inlineStr">
        <is>
          <t>ÖSTHAMMAR</t>
        </is>
      </c>
      <c r="H262" t="inlineStr">
        <is>
          <t>Bergvik skog öst AB</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49833-2023</t>
        </is>
      </c>
      <c r="B263" t="inlineStr">
        <is>
          <t>avverkningsanmälan</t>
        </is>
      </c>
      <c r="C263" t="inlineStr">
        <is>
          <t>Föryngringsavverkning</t>
        </is>
      </c>
      <c r="D263" s="1" t="n">
        <v>45212</v>
      </c>
      <c r="E263" s="1" t="n">
        <v>46216</v>
      </c>
      <c r="F263" t="inlineStr">
        <is>
          <t>UPPSALA LÄN</t>
        </is>
      </c>
      <c r="G263" t="inlineStr">
        <is>
          <t>ÖSTHAMMAR</t>
        </is>
      </c>
      <c r="H263" t="inlineStr">
        <is>
          <t>Bergvik skog öst AB</t>
        </is>
      </c>
      <c r="I263" t="n">
        <v>0.4</v>
      </c>
      <c r="J263" t="n">
        <v>0</v>
      </c>
      <c r="K263" t="n">
        <v>0</v>
      </c>
      <c r="L263" t="n">
        <v>0</v>
      </c>
      <c r="M263" t="n">
        <v>0</v>
      </c>
      <c r="N263" t="n">
        <v>0</v>
      </c>
      <c r="O263" t="n">
        <v>0</v>
      </c>
      <c r="P263" t="n">
        <v>0</v>
      </c>
      <c r="Q263" t="n">
        <v>0</v>
      </c>
      <c r="R263" t="n">
        <v>0</v>
      </c>
      <c r="S263" t="n">
        <v>0</v>
      </c>
      <c r="T263" t="n">
        <v>0</v>
      </c>
      <c r="U263" s="2" t="inlineStr"/>
    </row>
    <row r="264" ht="15" customHeight="1">
      <c r="A264" t="inlineStr">
        <is>
          <t>A 61261-2022</t>
        </is>
      </c>
      <c r="B264" t="inlineStr">
        <is>
          <t>avverkningsanmälan</t>
        </is>
      </c>
      <c r="C264" t="inlineStr">
        <is>
          <t>Föryngringsavverkning</t>
        </is>
      </c>
      <c r="D264" s="1" t="n">
        <v>44915</v>
      </c>
      <c r="E264" s="1" t="n">
        <v>46216</v>
      </c>
      <c r="F264" t="inlineStr">
        <is>
          <t>UPPSALA LÄN</t>
        </is>
      </c>
      <c r="G264" t="inlineStr">
        <is>
          <t>ÖSTHAMMAR</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45307-2023</t>
        </is>
      </c>
      <c r="B265" t="inlineStr">
        <is>
          <t>avverkningsanmälan</t>
        </is>
      </c>
      <c r="C265" t="inlineStr">
        <is>
          <t>Föryngringsavverkning</t>
        </is>
      </c>
      <c r="D265" s="1" t="n">
        <v>45191</v>
      </c>
      <c r="E265" s="1" t="n">
        <v>46216</v>
      </c>
      <c r="F265" t="inlineStr">
        <is>
          <t>UPPSALA LÄN</t>
        </is>
      </c>
      <c r="G265" t="inlineStr">
        <is>
          <t>ÖSTHAMMAR</t>
        </is>
      </c>
      <c r="H265" t="inlineStr">
        <is>
          <t>Bergvik skog öst AB</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14187-2022</t>
        </is>
      </c>
      <c r="B266" t="inlineStr">
        <is>
          <t>avverkningsanmälan</t>
        </is>
      </c>
      <c r="C266" t="inlineStr">
        <is>
          <t>Föryngringsavverkning</t>
        </is>
      </c>
      <c r="D266" s="1" t="n">
        <v>44651</v>
      </c>
      <c r="E266" s="1" t="n">
        <v>46216</v>
      </c>
      <c r="F266" t="inlineStr">
        <is>
          <t>UPPSALA LÄN</t>
        </is>
      </c>
      <c r="G266" t="inlineStr">
        <is>
          <t>ÖSTHAMMAR</t>
        </is>
      </c>
      <c r="H266" t="inlineStr">
        <is>
          <t>Övriga Aktiebolag</t>
        </is>
      </c>
      <c r="I266" t="n">
        <v>14.1</v>
      </c>
      <c r="J266" t="n">
        <v>0</v>
      </c>
      <c r="K266" t="n">
        <v>0</v>
      </c>
      <c r="L266" t="n">
        <v>0</v>
      </c>
      <c r="M266" t="n">
        <v>0</v>
      </c>
      <c r="N266" t="n">
        <v>0</v>
      </c>
      <c r="O266" t="n">
        <v>0</v>
      </c>
      <c r="P266" t="n">
        <v>0</v>
      </c>
      <c r="Q266" t="n">
        <v>0</v>
      </c>
      <c r="R266" t="n">
        <v>0</v>
      </c>
      <c r="S266" t="n">
        <v>0</v>
      </c>
      <c r="T266" t="n">
        <v>0</v>
      </c>
      <c r="U266" s="2" t="inlineStr"/>
    </row>
    <row r="267" ht="15" customHeight="1">
      <c r="A267" t="inlineStr">
        <is>
          <t>A 13093-2022</t>
        </is>
      </c>
      <c r="B267" t="inlineStr">
        <is>
          <t>avverkningsanmälan</t>
        </is>
      </c>
      <c r="C267" t="inlineStr">
        <is>
          <t>Föryngringsavverkning</t>
        </is>
      </c>
      <c r="D267" s="1" t="n">
        <v>44643</v>
      </c>
      <c r="E267" s="1" t="n">
        <v>46216</v>
      </c>
      <c r="F267" t="inlineStr">
        <is>
          <t>UPPSALA LÄN</t>
        </is>
      </c>
      <c r="G267" t="inlineStr">
        <is>
          <t>ÖSTHAMMAR</t>
        </is>
      </c>
      <c r="H267" t="inlineStr">
        <is>
          <t>Bergvik skog öst AB</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6143-2022</t>
        </is>
      </c>
      <c r="B268" t="inlineStr">
        <is>
          <t>avverkningsanmälan</t>
        </is>
      </c>
      <c r="C268" t="inlineStr">
        <is>
          <t>Föryngringsavverkning</t>
        </is>
      </c>
      <c r="D268" s="1" t="n">
        <v>44599</v>
      </c>
      <c r="E268" s="1" t="n">
        <v>46216</v>
      </c>
      <c r="F268" t="inlineStr">
        <is>
          <t>UPPSALA LÄN</t>
        </is>
      </c>
      <c r="G268" t="inlineStr">
        <is>
          <t>ÖSTHAMMAR</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6153-2022</t>
        </is>
      </c>
      <c r="B269" t="inlineStr">
        <is>
          <t>avverkningsanmälan</t>
        </is>
      </c>
      <c r="C269" t="inlineStr">
        <is>
          <t>Föryngringsavverkning</t>
        </is>
      </c>
      <c r="D269" s="1" t="n">
        <v>44599</v>
      </c>
      <c r="E269" s="1" t="n">
        <v>46216</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14124-2022</t>
        </is>
      </c>
      <c r="B270" t="inlineStr">
        <is>
          <t>avverkningsanmälan</t>
        </is>
      </c>
      <c r="C270" t="inlineStr">
        <is>
          <t>Föryngringsavverkning</t>
        </is>
      </c>
      <c r="D270" s="1" t="n">
        <v>44651</v>
      </c>
      <c r="E270" s="1" t="n">
        <v>46216</v>
      </c>
      <c r="F270" t="inlineStr">
        <is>
          <t>UPPSALA LÄN</t>
        </is>
      </c>
      <c r="G270" t="inlineStr">
        <is>
          <t>ÖSTHAMMAR</t>
        </is>
      </c>
      <c r="H270" t="inlineStr">
        <is>
          <t>Bergvik skog öst AB</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58324-2023</t>
        </is>
      </c>
      <c r="B271" t="inlineStr">
        <is>
          <t>avverkningsanmälan</t>
        </is>
      </c>
      <c r="C271" t="inlineStr">
        <is>
          <t>Föryngringsavverkning</t>
        </is>
      </c>
      <c r="D271" s="1" t="n">
        <v>45250</v>
      </c>
      <c r="E271" s="1" t="n">
        <v>46216</v>
      </c>
      <c r="F271" t="inlineStr">
        <is>
          <t>UPPSALA LÄN</t>
        </is>
      </c>
      <c r="G271" t="inlineStr">
        <is>
          <t>ÖSTHAMMAR</t>
        </is>
      </c>
      <c r="I271" t="n">
        <v>5.1</v>
      </c>
      <c r="J271" t="n">
        <v>0</v>
      </c>
      <c r="K271" t="n">
        <v>0</v>
      </c>
      <c r="L271" t="n">
        <v>0</v>
      </c>
      <c r="M271" t="n">
        <v>0</v>
      </c>
      <c r="N271" t="n">
        <v>0</v>
      </c>
      <c r="O271" t="n">
        <v>0</v>
      </c>
      <c r="P271" t="n">
        <v>0</v>
      </c>
      <c r="Q271" t="n">
        <v>0</v>
      </c>
      <c r="R271" t="n">
        <v>0</v>
      </c>
      <c r="S271" t="n">
        <v>0</v>
      </c>
      <c r="T271" t="n">
        <v>0</v>
      </c>
      <c r="U271" s="2" t="inlineStr"/>
    </row>
    <row r="272" ht="15" customHeight="1">
      <c r="A272" t="inlineStr">
        <is>
          <t>A 35474-2023</t>
        </is>
      </c>
      <c r="B272" t="inlineStr">
        <is>
          <t>avverkningsanmälan</t>
        </is>
      </c>
      <c r="C272" t="inlineStr">
        <is>
          <t>Föryngringsavverkning</t>
        </is>
      </c>
      <c r="D272" s="1" t="n">
        <v>45146</v>
      </c>
      <c r="E272" s="1" t="n">
        <v>46216</v>
      </c>
      <c r="F272" t="inlineStr">
        <is>
          <t>UPPSALA LÄN</t>
        </is>
      </c>
      <c r="G272" t="inlineStr">
        <is>
          <t>ÖSTHAMMAR</t>
        </is>
      </c>
      <c r="H272" t="inlineStr">
        <is>
          <t>Sveaskog</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31035-2022</t>
        </is>
      </c>
      <c r="B273" t="inlineStr">
        <is>
          <t>avverkningsanmälan</t>
        </is>
      </c>
      <c r="C273" t="inlineStr">
        <is>
          <t>Föryngringsavverkning</t>
        </is>
      </c>
      <c r="D273" s="1" t="n">
        <v>44768</v>
      </c>
      <c r="E273" s="1" t="n">
        <v>46216</v>
      </c>
      <c r="F273" t="inlineStr">
        <is>
          <t>UPPSALA LÄN</t>
        </is>
      </c>
      <c r="G273" t="inlineStr">
        <is>
          <t>ÖSTHAMMAR</t>
        </is>
      </c>
      <c r="H273" t="inlineStr">
        <is>
          <t>Bergvik skog öst AB</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49097-2022</t>
        </is>
      </c>
      <c r="B274" t="inlineStr">
        <is>
          <t>avverkningsanmälan</t>
        </is>
      </c>
      <c r="C274" t="inlineStr">
        <is>
          <t>Föryngringsavverkning</t>
        </is>
      </c>
      <c r="D274" s="1" t="n">
        <v>44860</v>
      </c>
      <c r="E274" s="1" t="n">
        <v>46216</v>
      </c>
      <c r="F274" t="inlineStr">
        <is>
          <t>UPPSALA LÄN</t>
        </is>
      </c>
      <c r="G274" t="inlineStr">
        <is>
          <t>ÖSTHAMMAR</t>
        </is>
      </c>
      <c r="I274" t="n">
        <v>6.9</v>
      </c>
      <c r="J274" t="n">
        <v>0</v>
      </c>
      <c r="K274" t="n">
        <v>0</v>
      </c>
      <c r="L274" t="n">
        <v>0</v>
      </c>
      <c r="M274" t="n">
        <v>0</v>
      </c>
      <c r="N274" t="n">
        <v>0</v>
      </c>
      <c r="O274" t="n">
        <v>0</v>
      </c>
      <c r="P274" t="n">
        <v>0</v>
      </c>
      <c r="Q274" t="n">
        <v>0</v>
      </c>
      <c r="R274" t="n">
        <v>0</v>
      </c>
      <c r="S274" t="n">
        <v>0</v>
      </c>
      <c r="T274" t="n">
        <v>0</v>
      </c>
      <c r="U274" s="2" t="inlineStr"/>
    </row>
    <row r="275" ht="15" customHeight="1">
      <c r="A275" t="inlineStr">
        <is>
          <t>A 10449-2023</t>
        </is>
      </c>
      <c r="B275" t="inlineStr">
        <is>
          <t>avverkningsanmälan</t>
        </is>
      </c>
      <c r="C275" t="inlineStr">
        <is>
          <t>Föryngringsavverkning</t>
        </is>
      </c>
      <c r="D275" s="1" t="n">
        <v>44987</v>
      </c>
      <c r="E275" s="1" t="n">
        <v>46216</v>
      </c>
      <c r="F275" t="inlineStr">
        <is>
          <t>UPPSALA LÄN</t>
        </is>
      </c>
      <c r="G275" t="inlineStr">
        <is>
          <t>ÖSTHAMMAR</t>
        </is>
      </c>
      <c r="I275" t="n">
        <v>3.1</v>
      </c>
      <c r="J275" t="n">
        <v>0</v>
      </c>
      <c r="K275" t="n">
        <v>0</v>
      </c>
      <c r="L275" t="n">
        <v>0</v>
      </c>
      <c r="M275" t="n">
        <v>0</v>
      </c>
      <c r="N275" t="n">
        <v>0</v>
      </c>
      <c r="O275" t="n">
        <v>0</v>
      </c>
      <c r="P275" t="n">
        <v>0</v>
      </c>
      <c r="Q275" t="n">
        <v>0</v>
      </c>
      <c r="R275" t="n">
        <v>0</v>
      </c>
      <c r="S275" t="n">
        <v>0</v>
      </c>
      <c r="T275" t="n">
        <v>0</v>
      </c>
      <c r="U275" s="2" t="inlineStr"/>
    </row>
    <row r="276" ht="15" customHeight="1">
      <c r="A276" t="inlineStr">
        <is>
          <t>A 53735-2023</t>
        </is>
      </c>
      <c r="B276" t="inlineStr">
        <is>
          <t>avverkningsanmälan</t>
        </is>
      </c>
      <c r="C276" t="inlineStr">
        <is>
          <t>Föryngringsavverkning</t>
        </is>
      </c>
      <c r="D276" s="1" t="n">
        <v>45230</v>
      </c>
      <c r="E276" s="1" t="n">
        <v>46216</v>
      </c>
      <c r="F276" t="inlineStr">
        <is>
          <t>UPPSALA LÄN</t>
        </is>
      </c>
      <c r="G276" t="inlineStr">
        <is>
          <t>ÖSTHAMMAR</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38702-2022</t>
        </is>
      </c>
      <c r="B277" t="inlineStr">
        <is>
          <t>avverkningsanmälan</t>
        </is>
      </c>
      <c r="C277" t="inlineStr">
        <is>
          <t>Föryngringsavverkning</t>
        </is>
      </c>
      <c r="D277" s="1" t="n">
        <v>44814</v>
      </c>
      <c r="E277" s="1" t="n">
        <v>46216</v>
      </c>
      <c r="F277" t="inlineStr">
        <is>
          <t>UPPSALA LÄN</t>
        </is>
      </c>
      <c r="G277" t="inlineStr">
        <is>
          <t>ÖSTHAMMAR</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1575-2025</t>
        </is>
      </c>
      <c r="B278" t="inlineStr">
        <is>
          <t>avverkningsanmälan</t>
        </is>
      </c>
      <c r="C278" t="inlineStr">
        <is>
          <t>Avverkning för annat ändamål</t>
        </is>
      </c>
      <c r="D278" s="1" t="n">
        <v>45670</v>
      </c>
      <c r="E278" s="1" t="n">
        <v>46216</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38571-2023</t>
        </is>
      </c>
      <c r="B279" t="inlineStr">
        <is>
          <t>avverkningsanmälan</t>
        </is>
      </c>
      <c r="C279" t="inlineStr">
        <is>
          <t>Föryngringsavverkning</t>
        </is>
      </c>
      <c r="D279" s="1" t="n">
        <v>45162</v>
      </c>
      <c r="E279" s="1" t="n">
        <v>46216</v>
      </c>
      <c r="F279" t="inlineStr">
        <is>
          <t>UPPSALA LÄN</t>
        </is>
      </c>
      <c r="G279" t="inlineStr">
        <is>
          <t>ÖSTHAMMAR</t>
        </is>
      </c>
      <c r="H279" t="inlineStr">
        <is>
          <t>Bergvik skog öst AB</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5884-2023</t>
        </is>
      </c>
      <c r="B280" t="inlineStr">
        <is>
          <t>avverkningsanmälan</t>
        </is>
      </c>
      <c r="C280" t="inlineStr">
        <is>
          <t>Föryngringsavverkning</t>
        </is>
      </c>
      <c r="D280" s="1" t="n">
        <v>44963</v>
      </c>
      <c r="E280" s="1" t="n">
        <v>46216</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21522-2022</t>
        </is>
      </c>
      <c r="B281" t="inlineStr">
        <is>
          <t>avverkningsanmälan</t>
        </is>
      </c>
      <c r="C281" t="inlineStr">
        <is>
          <t>Föryngringsavverkning</t>
        </is>
      </c>
      <c r="D281" s="1" t="n">
        <v>44706</v>
      </c>
      <c r="E281" s="1" t="n">
        <v>46216</v>
      </c>
      <c r="F281" t="inlineStr">
        <is>
          <t>UPPSALA LÄN</t>
        </is>
      </c>
      <c r="G281" t="inlineStr">
        <is>
          <t>ÖSTHAMMAR</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59731-2023</t>
        </is>
      </c>
      <c r="B282" t="inlineStr">
        <is>
          <t>avverkningsanmälan</t>
        </is>
      </c>
      <c r="C282" t="inlineStr">
        <is>
          <t>Föryngringsavverkning</t>
        </is>
      </c>
      <c r="D282" s="1" t="n">
        <v>45257</v>
      </c>
      <c r="E282" s="1" t="n">
        <v>46216</v>
      </c>
      <c r="F282" t="inlineStr">
        <is>
          <t>UPPSALA LÄN</t>
        </is>
      </c>
      <c r="G282" t="inlineStr">
        <is>
          <t>ÖSTHAMMAR</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12945-2025</t>
        </is>
      </c>
      <c r="B283" t="inlineStr">
        <is>
          <t>avverkningsanmälan</t>
        </is>
      </c>
      <c r="C283" t="inlineStr">
        <is>
          <t>Föryngringsavverkning</t>
        </is>
      </c>
      <c r="D283" s="1" t="n">
        <v>45734</v>
      </c>
      <c r="E283" s="1" t="n">
        <v>46216</v>
      </c>
      <c r="F283" t="inlineStr">
        <is>
          <t>UPPSALA LÄN</t>
        </is>
      </c>
      <c r="G283" t="inlineStr">
        <is>
          <t>ÖSTHAMMAR</t>
        </is>
      </c>
      <c r="I283" t="n">
        <v>2.1</v>
      </c>
      <c r="J283" t="n">
        <v>0</v>
      </c>
      <c r="K283" t="n">
        <v>0</v>
      </c>
      <c r="L283" t="n">
        <v>0</v>
      </c>
      <c r="M283" t="n">
        <v>0</v>
      </c>
      <c r="N283" t="n">
        <v>0</v>
      </c>
      <c r="O283" t="n">
        <v>0</v>
      </c>
      <c r="P283" t="n">
        <v>0</v>
      </c>
      <c r="Q283" t="n">
        <v>0</v>
      </c>
      <c r="R283" t="n">
        <v>0</v>
      </c>
      <c r="S283" t="n">
        <v>0</v>
      </c>
      <c r="T283" t="n">
        <v>0</v>
      </c>
      <c r="U283" s="2" t="inlineStr"/>
    </row>
    <row r="284" ht="15" customHeight="1">
      <c r="A284" t="inlineStr">
        <is>
          <t>A 34185-2024</t>
        </is>
      </c>
      <c r="B284" t="inlineStr">
        <is>
          <t>avverkningsanmälan</t>
        </is>
      </c>
      <c r="C284" t="inlineStr">
        <is>
          <t>Föryngringsavverkning</t>
        </is>
      </c>
      <c r="D284" s="1" t="n">
        <v>45524</v>
      </c>
      <c r="E284" s="1" t="n">
        <v>46216</v>
      </c>
      <c r="F284" t="inlineStr">
        <is>
          <t>UPPSALA LÄN</t>
        </is>
      </c>
      <c r="G284" t="inlineStr">
        <is>
          <t>ÖSTHAMMAR</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28228-2022</t>
        </is>
      </c>
      <c r="B285" t="inlineStr">
        <is>
          <t>avverkningsanmälan</t>
        </is>
      </c>
      <c r="C285" t="inlineStr">
        <is>
          <t>Föryngringsavverkning</t>
        </is>
      </c>
      <c r="D285" s="1" t="n">
        <v>44746</v>
      </c>
      <c r="E285" s="1" t="n">
        <v>46216</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16089-2025</t>
        </is>
      </c>
      <c r="B286" t="inlineStr">
        <is>
          <t>avverkningsanmälan</t>
        </is>
      </c>
      <c r="C286" t="inlineStr">
        <is>
          <t>Föryngringsavverkning</t>
        </is>
      </c>
      <c r="D286" s="1" t="n">
        <v>45749</v>
      </c>
      <c r="E286" s="1" t="n">
        <v>46216</v>
      </c>
      <c r="F286" t="inlineStr">
        <is>
          <t>UPPSALA LÄN</t>
        </is>
      </c>
      <c r="G286" t="inlineStr">
        <is>
          <t>ÖSTHAMMAR</t>
        </is>
      </c>
      <c r="H286" t="inlineStr">
        <is>
          <t>Bergvik skog öst AB</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49831-2023</t>
        </is>
      </c>
      <c r="B287" t="inlineStr">
        <is>
          <t>avverkningsanmälan</t>
        </is>
      </c>
      <c r="C287" t="inlineStr">
        <is>
          <t>Föryngringsavverkning</t>
        </is>
      </c>
      <c r="D287" s="1" t="n">
        <v>45212</v>
      </c>
      <c r="E287" s="1" t="n">
        <v>46216</v>
      </c>
      <c r="F287" t="inlineStr">
        <is>
          <t>UPPSALA LÄN</t>
        </is>
      </c>
      <c r="G287" t="inlineStr">
        <is>
          <t>ÖSTHAMMAR</t>
        </is>
      </c>
      <c r="H287" t="inlineStr">
        <is>
          <t>Bergvik skog öst AB</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35316-2024</t>
        </is>
      </c>
      <c r="B288" t="inlineStr">
        <is>
          <t>avverkningsanmälan</t>
        </is>
      </c>
      <c r="C288" t="inlineStr">
        <is>
          <t>Föryngringsavverkning</t>
        </is>
      </c>
      <c r="D288" s="1" t="n">
        <v>45530</v>
      </c>
      <c r="E288" s="1" t="n">
        <v>46216</v>
      </c>
      <c r="F288" t="inlineStr">
        <is>
          <t>UPPSALA LÄN</t>
        </is>
      </c>
      <c r="G288" t="inlineStr">
        <is>
          <t>ÖSTHAMMAR</t>
        </is>
      </c>
      <c r="H288" t="inlineStr">
        <is>
          <t>Bergvik skog öst AB</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14170-2025</t>
        </is>
      </c>
      <c r="B289" t="inlineStr">
        <is>
          <t>avverkningsanmälan</t>
        </is>
      </c>
      <c r="C289" t="inlineStr">
        <is>
          <t>Föryngringsavverkning</t>
        </is>
      </c>
      <c r="D289" s="1" t="n">
        <v>45740</v>
      </c>
      <c r="E289" s="1" t="n">
        <v>46216</v>
      </c>
      <c r="F289" t="inlineStr">
        <is>
          <t>UPPSALA LÄN</t>
        </is>
      </c>
      <c r="G289" t="inlineStr">
        <is>
          <t>ÖSTHAMMAR</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45561-2023</t>
        </is>
      </c>
      <c r="B290" t="inlineStr">
        <is>
          <t>avverkningsanmälan</t>
        </is>
      </c>
      <c r="C290" t="inlineStr">
        <is>
          <t>Föryngringsavverkning</t>
        </is>
      </c>
      <c r="D290" s="1" t="n">
        <v>45194</v>
      </c>
      <c r="E290" s="1" t="n">
        <v>46216</v>
      </c>
      <c r="F290" t="inlineStr">
        <is>
          <t>UPPSALA LÄN</t>
        </is>
      </c>
      <c r="G290" t="inlineStr">
        <is>
          <t>ÖSTHAMMAR</t>
        </is>
      </c>
      <c r="H290" t="inlineStr">
        <is>
          <t>Bergvik skog öst AB</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58297-2024</t>
        </is>
      </c>
      <c r="B291" t="inlineStr">
        <is>
          <t>avverkningsanmälan</t>
        </is>
      </c>
      <c r="C291" t="inlineStr">
        <is>
          <t>Föryngringsavverkning</t>
        </is>
      </c>
      <c r="D291" s="1" t="n">
        <v>45632</v>
      </c>
      <c r="E291" s="1" t="n">
        <v>46216</v>
      </c>
      <c r="F291" t="inlineStr">
        <is>
          <t>UPPSALA LÄN</t>
        </is>
      </c>
      <c r="G291" t="inlineStr">
        <is>
          <t>ÖSTHAMMAR</t>
        </is>
      </c>
      <c r="I291" t="n">
        <v>5.1</v>
      </c>
      <c r="J291" t="n">
        <v>0</v>
      </c>
      <c r="K291" t="n">
        <v>0</v>
      </c>
      <c r="L291" t="n">
        <v>0</v>
      </c>
      <c r="M291" t="n">
        <v>0</v>
      </c>
      <c r="N291" t="n">
        <v>0</v>
      </c>
      <c r="O291" t="n">
        <v>0</v>
      </c>
      <c r="P291" t="n">
        <v>0</v>
      </c>
      <c r="Q291" t="n">
        <v>0</v>
      </c>
      <c r="R291" t="n">
        <v>0</v>
      </c>
      <c r="S291" t="n">
        <v>0</v>
      </c>
      <c r="T291" t="n">
        <v>0</v>
      </c>
      <c r="U291" s="2" t="inlineStr"/>
    </row>
    <row r="292" ht="15" customHeight="1">
      <c r="A292" t="inlineStr">
        <is>
          <t>A 26330-2025</t>
        </is>
      </c>
      <c r="B292" t="inlineStr">
        <is>
          <t>avverkningsanmälan</t>
        </is>
      </c>
      <c r="C292" t="inlineStr">
        <is>
          <t>Föryngringsavverkning</t>
        </is>
      </c>
      <c r="D292" s="1" t="n">
        <v>45805</v>
      </c>
      <c r="E292" s="1" t="n">
        <v>46216</v>
      </c>
      <c r="F292" t="inlineStr">
        <is>
          <t>UPPSALA LÄN</t>
        </is>
      </c>
      <c r="G292" t="inlineStr">
        <is>
          <t>ÖSTHAMMAR</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11036-2023</t>
        </is>
      </c>
      <c r="B293" t="inlineStr">
        <is>
          <t>avverkningsanmälan</t>
        </is>
      </c>
      <c r="C293" t="inlineStr">
        <is>
          <t>Föryngringsavverkning</t>
        </is>
      </c>
      <c r="D293" s="1" t="n">
        <v>44991</v>
      </c>
      <c r="E293" s="1" t="n">
        <v>46216</v>
      </c>
      <c r="F293" t="inlineStr">
        <is>
          <t>UPPSALA LÄN</t>
        </is>
      </c>
      <c r="G293" t="inlineStr">
        <is>
          <t>ÖSTHAMMAR</t>
        </is>
      </c>
      <c r="H293" t="inlineStr">
        <is>
          <t>Bergvik skog öst AB</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32884-2024</t>
        </is>
      </c>
      <c r="B294" t="inlineStr">
        <is>
          <t>avverkningsanmälan</t>
        </is>
      </c>
      <c r="C294" t="inlineStr">
        <is>
          <t>Föryngringsavverkning</t>
        </is>
      </c>
      <c r="D294" s="1" t="n">
        <v>45516</v>
      </c>
      <c r="E294" s="1" t="n">
        <v>46216</v>
      </c>
      <c r="F294" t="inlineStr">
        <is>
          <t>UPPSALA LÄN</t>
        </is>
      </c>
      <c r="G294" t="inlineStr">
        <is>
          <t>ÖSTHAMMAR</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64586-2021</t>
        </is>
      </c>
      <c r="B295" t="inlineStr">
        <is>
          <t>avverkningsanmälan</t>
        </is>
      </c>
      <c r="C295" t="inlineStr">
        <is>
          <t>Föryngringsavverkning</t>
        </is>
      </c>
      <c r="D295" s="1" t="n">
        <v>44511</v>
      </c>
      <c r="E295" s="1" t="n">
        <v>46216</v>
      </c>
      <c r="F295" t="inlineStr">
        <is>
          <t>UPPSALA LÄN</t>
        </is>
      </c>
      <c r="G295" t="inlineStr">
        <is>
          <t>ÖSTHAMMAR</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27132-2025</t>
        </is>
      </c>
      <c r="B296" t="inlineStr">
        <is>
          <t>avverkningsanmälan</t>
        </is>
      </c>
      <c r="C296" t="inlineStr">
        <is>
          <t>Föryngringsavverkning</t>
        </is>
      </c>
      <c r="D296" s="1" t="n">
        <v>45811</v>
      </c>
      <c r="E296" s="1" t="n">
        <v>46216</v>
      </c>
      <c r="F296" t="inlineStr">
        <is>
          <t>UPPSALA LÄN</t>
        </is>
      </c>
      <c r="G296" t="inlineStr">
        <is>
          <t>ÖSTHAMMAR</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70008-2021</t>
        </is>
      </c>
      <c r="B297" t="inlineStr">
        <is>
          <t>avverkningsanmälan</t>
        </is>
      </c>
      <c r="C297" t="inlineStr">
        <is>
          <t>Föryngringsavverkning</t>
        </is>
      </c>
      <c r="D297" s="1" t="n">
        <v>44533</v>
      </c>
      <c r="E297" s="1" t="n">
        <v>46216</v>
      </c>
      <c r="F297" t="inlineStr">
        <is>
          <t>UPPSALA LÄN</t>
        </is>
      </c>
      <c r="G297" t="inlineStr">
        <is>
          <t>ÖSTHAMMAR</t>
        </is>
      </c>
      <c r="H297" t="inlineStr">
        <is>
          <t>Sveaskog</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73982-2021</t>
        </is>
      </c>
      <c r="B298" t="inlineStr">
        <is>
          <t>avverkningsanmälan</t>
        </is>
      </c>
      <c r="C298" t="inlineStr">
        <is>
          <t>Föryngringsavverkning</t>
        </is>
      </c>
      <c r="D298" s="1" t="n">
        <v>44555</v>
      </c>
      <c r="E298" s="1" t="n">
        <v>46216</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27347-2025</t>
        </is>
      </c>
      <c r="B299" t="inlineStr">
        <is>
          <t>avverkningsanmälan</t>
        </is>
      </c>
      <c r="C299" t="inlineStr">
        <is>
          <t>Föryngringsavverkning</t>
        </is>
      </c>
      <c r="D299" s="1" t="n">
        <v>45812</v>
      </c>
      <c r="E299" s="1" t="n">
        <v>46216</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27350-2025</t>
        </is>
      </c>
      <c r="B300" t="inlineStr">
        <is>
          <t>avverkningsanmälan</t>
        </is>
      </c>
      <c r="C300" t="inlineStr">
        <is>
          <t>Föryngringsavverkning</t>
        </is>
      </c>
      <c r="D300" s="1" t="n">
        <v>45812</v>
      </c>
      <c r="E300" s="1" t="n">
        <v>46216</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21624-2023</t>
        </is>
      </c>
      <c r="B301" t="inlineStr">
        <is>
          <t>avverkningsanmälan</t>
        </is>
      </c>
      <c r="C301" t="inlineStr">
        <is>
          <t>Föryngringsavverkning</t>
        </is>
      </c>
      <c r="D301" s="1" t="n">
        <v>45063</v>
      </c>
      <c r="E301" s="1" t="n">
        <v>46216</v>
      </c>
      <c r="F301" t="inlineStr">
        <is>
          <t>UPPSALA LÄN</t>
        </is>
      </c>
      <c r="G301" t="inlineStr">
        <is>
          <t>ÖSTHAMMAR</t>
        </is>
      </c>
      <c r="H301" t="inlineStr">
        <is>
          <t>Sveaskog</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41996-2024</t>
        </is>
      </c>
      <c r="B302" t="inlineStr">
        <is>
          <t>avverkningsanmälan</t>
        </is>
      </c>
      <c r="C302" t="inlineStr">
        <is>
          <t>Föryngringsavverkning</t>
        </is>
      </c>
      <c r="D302" s="1" t="n">
        <v>45561</v>
      </c>
      <c r="E302" s="1" t="n">
        <v>46216</v>
      </c>
      <c r="F302" t="inlineStr">
        <is>
          <t>UPPSALA LÄN</t>
        </is>
      </c>
      <c r="G302" t="inlineStr">
        <is>
          <t>ÖSTHAMMAR</t>
        </is>
      </c>
      <c r="H302" t="inlineStr">
        <is>
          <t>Bergvik skog öst AB</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23742-2024</t>
        </is>
      </c>
      <c r="B303" t="inlineStr">
        <is>
          <t>avverkningsanmälan</t>
        </is>
      </c>
      <c r="C303" t="inlineStr">
        <is>
          <t>Föryngringsavverkning</t>
        </is>
      </c>
      <c r="D303" s="1" t="n">
        <v>45455</v>
      </c>
      <c r="E303" s="1" t="n">
        <v>46216</v>
      </c>
      <c r="F303" t="inlineStr">
        <is>
          <t>UPPSALA LÄN</t>
        </is>
      </c>
      <c r="G303" t="inlineStr">
        <is>
          <t>ÖSTHAMMAR</t>
        </is>
      </c>
      <c r="H303" t="inlineStr">
        <is>
          <t>Bergvik skog öst AB</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40384-2025</t>
        </is>
      </c>
      <c r="B304" t="inlineStr">
        <is>
          <t>avverkningsanmälan</t>
        </is>
      </c>
      <c r="C304" t="inlineStr">
        <is>
          <t>Föryngringsavverkning</t>
        </is>
      </c>
      <c r="D304" s="1" t="n">
        <v>45895</v>
      </c>
      <c r="E304" s="1" t="n">
        <v>46216</v>
      </c>
      <c r="F304" t="inlineStr">
        <is>
          <t>UPPSALA LÄN</t>
        </is>
      </c>
      <c r="G304" t="inlineStr">
        <is>
          <t>ÖSTHAMMAR</t>
        </is>
      </c>
      <c r="I304" t="n">
        <v>8.699999999999999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40382-2025</t>
        </is>
      </c>
      <c r="B305" t="inlineStr">
        <is>
          <t>avverkningsanmälan</t>
        </is>
      </c>
      <c r="C305" t="inlineStr">
        <is>
          <t>Föryngringsavverkning</t>
        </is>
      </c>
      <c r="D305" s="1" t="n">
        <v>45895</v>
      </c>
      <c r="E305" s="1" t="n">
        <v>46216</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40460-2025</t>
        </is>
      </c>
      <c r="B306" t="inlineStr">
        <is>
          <t>avverkningsanmälan</t>
        </is>
      </c>
      <c r="C306" t="inlineStr">
        <is>
          <t>Föryngringsavverkning</t>
        </is>
      </c>
      <c r="D306" s="1" t="n">
        <v>45895</v>
      </c>
      <c r="E306" s="1" t="n">
        <v>46216</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6106-2024</t>
        </is>
      </c>
      <c r="B307" t="inlineStr">
        <is>
          <t>avverkningsanmälan</t>
        </is>
      </c>
      <c r="C307" t="inlineStr">
        <is>
          <t>Föryngringsavverkning</t>
        </is>
      </c>
      <c r="D307" s="1" t="n">
        <v>45337</v>
      </c>
      <c r="E307" s="1" t="n">
        <v>46216</v>
      </c>
      <c r="F307" t="inlineStr">
        <is>
          <t>UPPSALA LÄN</t>
        </is>
      </c>
      <c r="G307" t="inlineStr">
        <is>
          <t>ÖSTHAMMAR</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40462-2025</t>
        </is>
      </c>
      <c r="B308" t="inlineStr">
        <is>
          <t>avverkningsanmälan</t>
        </is>
      </c>
      <c r="C308" t="inlineStr">
        <is>
          <t>Föryngringsavverkning</t>
        </is>
      </c>
      <c r="D308" s="1" t="n">
        <v>45895</v>
      </c>
      <c r="E308" s="1" t="n">
        <v>46216</v>
      </c>
      <c r="F308" t="inlineStr">
        <is>
          <t>UPPSALA LÄN</t>
        </is>
      </c>
      <c r="G308" t="inlineStr">
        <is>
          <t>ÖSTHAMMAR</t>
        </is>
      </c>
      <c r="I308" t="n">
        <v>4.5</v>
      </c>
      <c r="J308" t="n">
        <v>0</v>
      </c>
      <c r="K308" t="n">
        <v>0</v>
      </c>
      <c r="L308" t="n">
        <v>0</v>
      </c>
      <c r="M308" t="n">
        <v>0</v>
      </c>
      <c r="N308" t="n">
        <v>0</v>
      </c>
      <c r="O308" t="n">
        <v>0</v>
      </c>
      <c r="P308" t="n">
        <v>0</v>
      </c>
      <c r="Q308" t="n">
        <v>0</v>
      </c>
      <c r="R308" t="n">
        <v>0</v>
      </c>
      <c r="S308" t="n">
        <v>0</v>
      </c>
      <c r="T308" t="n">
        <v>0</v>
      </c>
      <c r="U308" s="2" t="inlineStr"/>
    </row>
    <row r="309" ht="15" customHeight="1">
      <c r="A309" t="inlineStr">
        <is>
          <t>A 27920-2025</t>
        </is>
      </c>
      <c r="B309" t="inlineStr">
        <is>
          <t>avverkningsanmälan</t>
        </is>
      </c>
      <c r="C309" t="inlineStr">
        <is>
          <t>Föryngringsavverkning</t>
        </is>
      </c>
      <c r="D309" s="1" t="n">
        <v>45817</v>
      </c>
      <c r="E309" s="1" t="n">
        <v>46216</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8330-2025</t>
        </is>
      </c>
      <c r="B310" t="inlineStr">
        <is>
          <t>avverkningsanmälan</t>
        </is>
      </c>
      <c r="C310" t="inlineStr">
        <is>
          <t>Föryngringsavverkning</t>
        </is>
      </c>
      <c r="D310" s="1" t="n">
        <v>45708</v>
      </c>
      <c r="E310" s="1" t="n">
        <v>46216</v>
      </c>
      <c r="F310" t="inlineStr">
        <is>
          <t>UPPSALA LÄN</t>
        </is>
      </c>
      <c r="G310" t="inlineStr">
        <is>
          <t>ÖSTHAMMAR</t>
        </is>
      </c>
      <c r="H310" t="inlineStr">
        <is>
          <t>Övriga Aktiebolag</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27509-2025</t>
        </is>
      </c>
      <c r="B311" t="inlineStr">
        <is>
          <t>avverkningsanmälan</t>
        </is>
      </c>
      <c r="C311" t="inlineStr">
        <is>
          <t>Föryngringsavverkning</t>
        </is>
      </c>
      <c r="D311" s="1" t="n">
        <v>45813</v>
      </c>
      <c r="E311" s="1" t="n">
        <v>46216</v>
      </c>
      <c r="F311" t="inlineStr">
        <is>
          <t>UPPSALA LÄN</t>
        </is>
      </c>
      <c r="G311" t="inlineStr">
        <is>
          <t>ÖSTHAMMAR</t>
        </is>
      </c>
      <c r="H311" t="inlineStr">
        <is>
          <t>Bergvik skog öst AB</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40416-2025</t>
        </is>
      </c>
      <c r="B312" t="inlineStr">
        <is>
          <t>avverkningsanmälan</t>
        </is>
      </c>
      <c r="C312" t="inlineStr">
        <is>
          <t>Föryngringsavverkning</t>
        </is>
      </c>
      <c r="D312" s="1" t="n">
        <v>45895</v>
      </c>
      <c r="E312" s="1" t="n">
        <v>46216</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65020-2021</t>
        </is>
      </c>
      <c r="B313" t="inlineStr">
        <is>
          <t>avverkningsanmälan</t>
        </is>
      </c>
      <c r="C313" t="inlineStr">
        <is>
          <t>Avverkning för att bevara och utveckla /försöksver</t>
        </is>
      </c>
      <c r="D313" s="1" t="n">
        <v>44515</v>
      </c>
      <c r="E313" s="1" t="n">
        <v>46216</v>
      </c>
      <c r="F313" t="inlineStr">
        <is>
          <t>UPPSALA LÄN</t>
        </is>
      </c>
      <c r="G313" t="inlineStr">
        <is>
          <t>ÖSTHAMMAR</t>
        </is>
      </c>
      <c r="H313" t="inlineStr">
        <is>
          <t>Sveaskog</t>
        </is>
      </c>
      <c r="I313" t="n">
        <v>4.7</v>
      </c>
      <c r="J313" t="n">
        <v>0</v>
      </c>
      <c r="K313" t="n">
        <v>0</v>
      </c>
      <c r="L313" t="n">
        <v>0</v>
      </c>
      <c r="M313" t="n">
        <v>0</v>
      </c>
      <c r="N313" t="n">
        <v>0</v>
      </c>
      <c r="O313" t="n">
        <v>0</v>
      </c>
      <c r="P313" t="n">
        <v>0</v>
      </c>
      <c r="Q313" t="n">
        <v>0</v>
      </c>
      <c r="R313" t="n">
        <v>0</v>
      </c>
      <c r="S313" t="n">
        <v>0</v>
      </c>
      <c r="T313" t="n">
        <v>0</v>
      </c>
      <c r="U313" s="2" t="inlineStr"/>
    </row>
    <row r="314" ht="15" customHeight="1">
      <c r="A314" t="inlineStr">
        <is>
          <t>A 41220-2025</t>
        </is>
      </c>
      <c r="B314" t="inlineStr">
        <is>
          <t>avverkningsanmälan</t>
        </is>
      </c>
      <c r="C314" t="inlineStr">
        <is>
          <t>Föryngringsavverkning</t>
        </is>
      </c>
      <c r="D314" s="1" t="n">
        <v>45898</v>
      </c>
      <c r="E314" s="1" t="n">
        <v>46216</v>
      </c>
      <c r="F314" t="inlineStr">
        <is>
          <t>UPPSALA LÄN</t>
        </is>
      </c>
      <c r="G314" t="inlineStr">
        <is>
          <t>ÖSTHAMMAR</t>
        </is>
      </c>
      <c r="H314" t="inlineStr">
        <is>
          <t>Bergvik skog öst AB</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1238-2022</t>
        </is>
      </c>
      <c r="B315" t="inlineStr">
        <is>
          <t>avverkningsanmälan</t>
        </is>
      </c>
      <c r="C315" t="inlineStr">
        <is>
          <t>Föryngringsavverkning</t>
        </is>
      </c>
      <c r="D315" s="1" t="n">
        <v>44572</v>
      </c>
      <c r="E315" s="1" t="n">
        <v>46216</v>
      </c>
      <c r="F315" t="inlineStr">
        <is>
          <t>UPPSALA LÄN</t>
        </is>
      </c>
      <c r="G315" t="inlineStr">
        <is>
          <t>ÖSTHAMMAR</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27494-2025</t>
        </is>
      </c>
      <c r="B316" t="inlineStr">
        <is>
          <t>avverkningsanmälan</t>
        </is>
      </c>
      <c r="C316" t="inlineStr">
        <is>
          <t>Föryngringsavverkning</t>
        </is>
      </c>
      <c r="D316" s="1" t="n">
        <v>45813</v>
      </c>
      <c r="E316" s="1" t="n">
        <v>46216</v>
      </c>
      <c r="F316" t="inlineStr">
        <is>
          <t>UPPSALA LÄN</t>
        </is>
      </c>
      <c r="G316" t="inlineStr">
        <is>
          <t>ÖSTHAMMAR</t>
        </is>
      </c>
      <c r="H316" t="inlineStr">
        <is>
          <t>Bergvik skog öst AB</t>
        </is>
      </c>
      <c r="I316" t="n">
        <v>23.4</v>
      </c>
      <c r="J316" t="n">
        <v>0</v>
      </c>
      <c r="K316" t="n">
        <v>0</v>
      </c>
      <c r="L316" t="n">
        <v>0</v>
      </c>
      <c r="M316" t="n">
        <v>0</v>
      </c>
      <c r="N316" t="n">
        <v>0</v>
      </c>
      <c r="O316" t="n">
        <v>0</v>
      </c>
      <c r="P316" t="n">
        <v>0</v>
      </c>
      <c r="Q316" t="n">
        <v>0</v>
      </c>
      <c r="R316" t="n">
        <v>0</v>
      </c>
      <c r="S316" t="n">
        <v>0</v>
      </c>
      <c r="T316" t="n">
        <v>0</v>
      </c>
      <c r="U316" s="2" t="inlineStr"/>
    </row>
    <row r="317" ht="15" customHeight="1">
      <c r="A317" t="inlineStr">
        <is>
          <t>A 29384-2025</t>
        </is>
      </c>
      <c r="B317" t="inlineStr">
        <is>
          <t>avverkningsanmälan</t>
        </is>
      </c>
      <c r="C317" t="inlineStr">
        <is>
          <t>Föryngringsavverkning</t>
        </is>
      </c>
      <c r="D317" s="1" t="n">
        <v>45824</v>
      </c>
      <c r="E317" s="1" t="n">
        <v>46216</v>
      </c>
      <c r="F317" t="inlineStr">
        <is>
          <t>UPPSALA LÄN</t>
        </is>
      </c>
      <c r="G317" t="inlineStr">
        <is>
          <t>ÖSTHAMMAR</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38003-2024</t>
        </is>
      </c>
      <c r="B318" t="inlineStr">
        <is>
          <t>avverkningsanmälan</t>
        </is>
      </c>
      <c r="C318" t="inlineStr">
        <is>
          <t>Föryngringsavverkning</t>
        </is>
      </c>
      <c r="D318" s="1" t="n">
        <v>45544</v>
      </c>
      <c r="E318" s="1" t="n">
        <v>46216</v>
      </c>
      <c r="F318" t="inlineStr">
        <is>
          <t>UPPSALA LÄN</t>
        </is>
      </c>
      <c r="G318" t="inlineStr">
        <is>
          <t>ÖSTHAMMAR</t>
        </is>
      </c>
      <c r="H318" t="inlineStr">
        <is>
          <t>Naturvårdsverket</t>
        </is>
      </c>
      <c r="I318" t="n">
        <v>4.2</v>
      </c>
      <c r="J318" t="n">
        <v>0</v>
      </c>
      <c r="K318" t="n">
        <v>0</v>
      </c>
      <c r="L318" t="n">
        <v>0</v>
      </c>
      <c r="M318" t="n">
        <v>0</v>
      </c>
      <c r="N318" t="n">
        <v>0</v>
      </c>
      <c r="O318" t="n">
        <v>0</v>
      </c>
      <c r="P318" t="n">
        <v>0</v>
      </c>
      <c r="Q318" t="n">
        <v>0</v>
      </c>
      <c r="R318" t="n">
        <v>0</v>
      </c>
      <c r="S318" t="n">
        <v>0</v>
      </c>
      <c r="T318" t="n">
        <v>0</v>
      </c>
      <c r="U318" s="2" t="inlineStr"/>
    </row>
    <row r="319" ht="15" customHeight="1">
      <c r="A319" t="inlineStr">
        <is>
          <t>A 27490-2025</t>
        </is>
      </c>
      <c r="B319" t="inlineStr">
        <is>
          <t>avverkningsanmälan</t>
        </is>
      </c>
      <c r="C319" t="inlineStr">
        <is>
          <t>Föryngringsavverkning</t>
        </is>
      </c>
      <c r="D319" s="1" t="n">
        <v>45813</v>
      </c>
      <c r="E319" s="1" t="n">
        <v>46216</v>
      </c>
      <c r="F319" t="inlineStr">
        <is>
          <t>UPPSALA LÄN</t>
        </is>
      </c>
      <c r="G319" t="inlineStr">
        <is>
          <t>ÖSTHAMMAR</t>
        </is>
      </c>
      <c r="H319" t="inlineStr">
        <is>
          <t>Bergvik skog öst AB</t>
        </is>
      </c>
      <c r="I319" t="n">
        <v>6.1</v>
      </c>
      <c r="J319" t="n">
        <v>0</v>
      </c>
      <c r="K319" t="n">
        <v>0</v>
      </c>
      <c r="L319" t="n">
        <v>0</v>
      </c>
      <c r="M319" t="n">
        <v>0</v>
      </c>
      <c r="N319" t="n">
        <v>0</v>
      </c>
      <c r="O319" t="n">
        <v>0</v>
      </c>
      <c r="P319" t="n">
        <v>0</v>
      </c>
      <c r="Q319" t="n">
        <v>0</v>
      </c>
      <c r="R319" t="n">
        <v>0</v>
      </c>
      <c r="S319" t="n">
        <v>0</v>
      </c>
      <c r="T319" t="n">
        <v>0</v>
      </c>
      <c r="U319" s="2" t="inlineStr"/>
    </row>
    <row r="320" ht="15" customHeight="1">
      <c r="A320" t="inlineStr">
        <is>
          <t>A 27486-2025</t>
        </is>
      </c>
      <c r="B320" t="inlineStr">
        <is>
          <t>avverkningsanmälan</t>
        </is>
      </c>
      <c r="C320" t="inlineStr">
        <is>
          <t>Föryngringsavverkning</t>
        </is>
      </c>
      <c r="D320" s="1" t="n">
        <v>45813</v>
      </c>
      <c r="E320" s="1" t="n">
        <v>46216</v>
      </c>
      <c r="F320" t="inlineStr">
        <is>
          <t>UPPSALA LÄN</t>
        </is>
      </c>
      <c r="G320" t="inlineStr">
        <is>
          <t>ÖSTHAMMAR</t>
        </is>
      </c>
      <c r="H320" t="inlineStr">
        <is>
          <t>Bergvik skog öst AB</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25252-2024</t>
        </is>
      </c>
      <c r="B321" t="inlineStr">
        <is>
          <t>avverkningsanmälan</t>
        </is>
      </c>
      <c r="C321" t="inlineStr">
        <is>
          <t>Föryngringsavverkning</t>
        </is>
      </c>
      <c r="D321" s="1" t="n">
        <v>45462</v>
      </c>
      <c r="E321" s="1" t="n">
        <v>46216</v>
      </c>
      <c r="F321" t="inlineStr">
        <is>
          <t>UPPSALA LÄN</t>
        </is>
      </c>
      <c r="G321" t="inlineStr">
        <is>
          <t>ÖSTHAMMAR</t>
        </is>
      </c>
      <c r="I321" t="n">
        <v>4.3</v>
      </c>
      <c r="J321" t="n">
        <v>0</v>
      </c>
      <c r="K321" t="n">
        <v>0</v>
      </c>
      <c r="L321" t="n">
        <v>0</v>
      </c>
      <c r="M321" t="n">
        <v>0</v>
      </c>
      <c r="N321" t="n">
        <v>0</v>
      </c>
      <c r="O321" t="n">
        <v>0</v>
      </c>
      <c r="P321" t="n">
        <v>0</v>
      </c>
      <c r="Q321" t="n">
        <v>0</v>
      </c>
      <c r="R321" t="n">
        <v>0</v>
      </c>
      <c r="S321" t="n">
        <v>0</v>
      </c>
      <c r="T321" t="n">
        <v>0</v>
      </c>
      <c r="U321" s="2" t="inlineStr"/>
    </row>
    <row r="322" ht="15" customHeight="1">
      <c r="A322" t="inlineStr">
        <is>
          <t>A 16531-2025</t>
        </is>
      </c>
      <c r="B322" t="inlineStr">
        <is>
          <t>avverkningsanmälan</t>
        </is>
      </c>
      <c r="C322" t="inlineStr">
        <is>
          <t>Avverkning för annat ändamål</t>
        </is>
      </c>
      <c r="D322" s="1" t="n">
        <v>45751</v>
      </c>
      <c r="E322" s="1" t="n">
        <v>46216</v>
      </c>
      <c r="F322" t="inlineStr">
        <is>
          <t>UPPSALA LÄN</t>
        </is>
      </c>
      <c r="G322" t="inlineStr">
        <is>
          <t>ÖSTHAMMAR</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24401-2025</t>
        </is>
      </c>
      <c r="B323" t="inlineStr">
        <is>
          <t>avverkningsanmälan</t>
        </is>
      </c>
      <c r="C323" t="inlineStr">
        <is>
          <t>Föryngringsavverkning</t>
        </is>
      </c>
      <c r="D323" s="1" t="n">
        <v>45797</v>
      </c>
      <c r="E323" s="1" t="n">
        <v>46216</v>
      </c>
      <c r="F323" t="inlineStr">
        <is>
          <t>UPPSALA LÄN</t>
        </is>
      </c>
      <c r="G323" t="inlineStr">
        <is>
          <t>ÖSTHAMMAR</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24408-2025</t>
        </is>
      </c>
      <c r="B324" t="inlineStr">
        <is>
          <t>avverkningsanmälan</t>
        </is>
      </c>
      <c r="C324" t="inlineStr">
        <is>
          <t>Föryngringsavverkning</t>
        </is>
      </c>
      <c r="D324" s="1" t="n">
        <v>45797</v>
      </c>
      <c r="E324" s="1" t="n">
        <v>46216</v>
      </c>
      <c r="F324" t="inlineStr">
        <is>
          <t>UPPSALA LÄN</t>
        </is>
      </c>
      <c r="G324" t="inlineStr">
        <is>
          <t>ÖSTHAMMAR</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24389-2025</t>
        </is>
      </c>
      <c r="B325" t="inlineStr">
        <is>
          <t>avverkningsanmälan</t>
        </is>
      </c>
      <c r="C325" t="inlineStr">
        <is>
          <t>Föryngringsavverkning</t>
        </is>
      </c>
      <c r="D325" s="1" t="n">
        <v>45797</v>
      </c>
      <c r="E325" s="1" t="n">
        <v>46216</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31137-2022</t>
        </is>
      </c>
      <c r="B326" t="inlineStr">
        <is>
          <t>avverkningsanmälan</t>
        </is>
      </c>
      <c r="C326" t="inlineStr">
        <is>
          <t>Föryngringsavverkning</t>
        </is>
      </c>
      <c r="D326" s="1" t="n">
        <v>44770</v>
      </c>
      <c r="E326" s="1" t="n">
        <v>46216</v>
      </c>
      <c r="F326" t="inlineStr">
        <is>
          <t>UPPSALA LÄN</t>
        </is>
      </c>
      <c r="G326" t="inlineStr">
        <is>
          <t>ÖSTHAMMAR</t>
        </is>
      </c>
      <c r="H326" t="inlineStr">
        <is>
          <t>Bergvik skog öst AB</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30610-2025</t>
        </is>
      </c>
      <c r="B327" t="inlineStr">
        <is>
          <t>avverkningsanmälan</t>
        </is>
      </c>
      <c r="C327" t="inlineStr">
        <is>
          <t>Föryngringsavverkning</t>
        </is>
      </c>
      <c r="D327" s="1" t="n">
        <v>45831</v>
      </c>
      <c r="E327" s="1" t="n">
        <v>46216</v>
      </c>
      <c r="F327" t="inlineStr">
        <is>
          <t>UPPSALA LÄN</t>
        </is>
      </c>
      <c r="G327" t="inlineStr">
        <is>
          <t>ÖSTHAMMAR</t>
        </is>
      </c>
      <c r="I327" t="n">
        <v>0.2</v>
      </c>
      <c r="J327" t="n">
        <v>0</v>
      </c>
      <c r="K327" t="n">
        <v>0</v>
      </c>
      <c r="L327" t="n">
        <v>0</v>
      </c>
      <c r="M327" t="n">
        <v>0</v>
      </c>
      <c r="N327" t="n">
        <v>0</v>
      </c>
      <c r="O327" t="n">
        <v>0</v>
      </c>
      <c r="P327" t="n">
        <v>0</v>
      </c>
      <c r="Q327" t="n">
        <v>0</v>
      </c>
      <c r="R327" t="n">
        <v>0</v>
      </c>
      <c r="S327" t="n">
        <v>0</v>
      </c>
      <c r="T327" t="n">
        <v>0</v>
      </c>
      <c r="U327" s="2" t="inlineStr"/>
    </row>
    <row r="328" ht="15" customHeight="1">
      <c r="A328" t="inlineStr">
        <is>
          <t>A 30504-2025</t>
        </is>
      </c>
      <c r="B328" t="inlineStr">
        <is>
          <t>avverkningsanmälan</t>
        </is>
      </c>
      <c r="C328" t="inlineStr">
        <is>
          <t>Föryngringsavverkning</t>
        </is>
      </c>
      <c r="D328" s="1" t="n">
        <v>45830</v>
      </c>
      <c r="E328" s="1" t="n">
        <v>46216</v>
      </c>
      <c r="F328" t="inlineStr">
        <is>
          <t>UPPSALA LÄN</t>
        </is>
      </c>
      <c r="G328" t="inlineStr">
        <is>
          <t>ÖSTHAMMAR</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30503-2025</t>
        </is>
      </c>
      <c r="B329" t="inlineStr">
        <is>
          <t>avverkningsanmälan</t>
        </is>
      </c>
      <c r="C329" t="inlineStr">
        <is>
          <t>Föryngringsavverkning</t>
        </is>
      </c>
      <c r="D329" s="1" t="n">
        <v>45830</v>
      </c>
      <c r="E329" s="1" t="n">
        <v>46216</v>
      </c>
      <c r="F329" t="inlineStr">
        <is>
          <t>UPPSALA LÄN</t>
        </is>
      </c>
      <c r="G329" t="inlineStr">
        <is>
          <t>ÖSTHAMMAR</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28099-2025</t>
        </is>
      </c>
      <c r="B330" t="inlineStr">
        <is>
          <t>avverkningsanmälan</t>
        </is>
      </c>
      <c r="C330" t="inlineStr">
        <is>
          <t>Föryngringsavverkning</t>
        </is>
      </c>
      <c r="D330" s="1" t="n">
        <v>45817</v>
      </c>
      <c r="E330" s="1" t="n">
        <v>46216</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74429-2021</t>
        </is>
      </c>
      <c r="B331" t="inlineStr">
        <is>
          <t>avverkningsanmälan</t>
        </is>
      </c>
      <c r="C331" t="inlineStr">
        <is>
          <t>Föryngringsavverkning</t>
        </is>
      </c>
      <c r="D331" s="1" t="n">
        <v>44560</v>
      </c>
      <c r="E331" s="1" t="n">
        <v>46216</v>
      </c>
      <c r="F331" t="inlineStr">
        <is>
          <t>UPPSALA LÄN</t>
        </is>
      </c>
      <c r="G331" t="inlineStr">
        <is>
          <t>ÖSTHAMMAR</t>
        </is>
      </c>
      <c r="H331" t="inlineStr">
        <is>
          <t>Bergvik skog öst AB</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42940-2025</t>
        </is>
      </c>
      <c r="B332" t="inlineStr">
        <is>
          <t>avverkningsanmälan</t>
        </is>
      </c>
      <c r="C332" t="inlineStr">
        <is>
          <t>Föryngringsavverkning</t>
        </is>
      </c>
      <c r="D332" s="1" t="n">
        <v>45909</v>
      </c>
      <c r="E332" s="1" t="n">
        <v>46216</v>
      </c>
      <c r="F332" t="inlineStr">
        <is>
          <t>UPPSALA LÄN</t>
        </is>
      </c>
      <c r="G332" t="inlineStr">
        <is>
          <t>ÖSTHAMMAR</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31579-2025</t>
        </is>
      </c>
      <c r="B333" t="inlineStr">
        <is>
          <t>avverkningsanmälan</t>
        </is>
      </c>
      <c r="C333" t="inlineStr">
        <is>
          <t>Föryngringsavverkning</t>
        </is>
      </c>
      <c r="D333" s="1" t="n">
        <v>45833</v>
      </c>
      <c r="E333" s="1" t="n">
        <v>46216</v>
      </c>
      <c r="F333" t="inlineStr">
        <is>
          <t>UPPSALA LÄN</t>
        </is>
      </c>
      <c r="G333" t="inlineStr">
        <is>
          <t>ÖSTHAMMAR</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17867-2024</t>
        </is>
      </c>
      <c r="B334" t="inlineStr">
        <is>
          <t>avverkningsanmälan</t>
        </is>
      </c>
      <c r="C334" t="inlineStr">
        <is>
          <t>Föryngringsavverkning</t>
        </is>
      </c>
      <c r="D334" s="1" t="n">
        <v>45419</v>
      </c>
      <c r="E334" s="1" t="n">
        <v>46216</v>
      </c>
      <c r="F334" t="inlineStr">
        <is>
          <t>UPPSALA LÄN</t>
        </is>
      </c>
      <c r="G334" t="inlineStr">
        <is>
          <t>ÖSTHAMMAR</t>
        </is>
      </c>
      <c r="I334" t="n">
        <v>7.2</v>
      </c>
      <c r="J334" t="n">
        <v>0</v>
      </c>
      <c r="K334" t="n">
        <v>0</v>
      </c>
      <c r="L334" t="n">
        <v>0</v>
      </c>
      <c r="M334" t="n">
        <v>0</v>
      </c>
      <c r="N334" t="n">
        <v>0</v>
      </c>
      <c r="O334" t="n">
        <v>0</v>
      </c>
      <c r="P334" t="n">
        <v>0</v>
      </c>
      <c r="Q334" t="n">
        <v>0</v>
      </c>
      <c r="R334" t="n">
        <v>0</v>
      </c>
      <c r="S334" t="n">
        <v>0</v>
      </c>
      <c r="T334" t="n">
        <v>0</v>
      </c>
      <c r="U334" s="2" t="inlineStr"/>
    </row>
    <row r="335" ht="15" customHeight="1">
      <c r="A335" t="inlineStr">
        <is>
          <t>A 4228-2023</t>
        </is>
      </c>
      <c r="B335" t="inlineStr">
        <is>
          <t>avverkningsanmälan</t>
        </is>
      </c>
      <c r="C335" t="inlineStr">
        <is>
          <t>Föryngringsavverkning</t>
        </is>
      </c>
      <c r="D335" s="1" t="n">
        <v>44953</v>
      </c>
      <c r="E335" s="1" t="n">
        <v>46216</v>
      </c>
      <c r="F335" t="inlineStr">
        <is>
          <t>UPPSALA LÄN</t>
        </is>
      </c>
      <c r="G335" t="inlineStr">
        <is>
          <t>ÖSTHAMMAR</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27476-2025</t>
        </is>
      </c>
      <c r="B336" t="inlineStr">
        <is>
          <t>avverkningsanmälan</t>
        </is>
      </c>
      <c r="C336" t="inlineStr">
        <is>
          <t>Föryngringsavverkning</t>
        </is>
      </c>
      <c r="D336" s="1" t="n">
        <v>45813</v>
      </c>
      <c r="E336" s="1" t="n">
        <v>46216</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36301-2023</t>
        </is>
      </c>
      <c r="B337" t="inlineStr">
        <is>
          <t>avverkningsanmälan</t>
        </is>
      </c>
      <c r="C337" t="inlineStr">
        <is>
          <t>Föryngringsavverkning</t>
        </is>
      </c>
      <c r="D337" s="1" t="n">
        <v>45152</v>
      </c>
      <c r="E337" s="1" t="n">
        <v>46216</v>
      </c>
      <c r="F337" t="inlineStr">
        <is>
          <t>UPPSALA LÄN</t>
        </is>
      </c>
      <c r="G337" t="inlineStr">
        <is>
          <t>ÖSTHAMMAR</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7195-2023</t>
        </is>
      </c>
      <c r="B338" t="inlineStr">
        <is>
          <t>avverkningsanmälan</t>
        </is>
      </c>
      <c r="C338" t="inlineStr">
        <is>
          <t>Föryngringsavverkning</t>
        </is>
      </c>
      <c r="D338" s="1" t="n">
        <v>44970</v>
      </c>
      <c r="E338" s="1" t="n">
        <v>46216</v>
      </c>
      <c r="F338" t="inlineStr">
        <is>
          <t>UPPSALA LÄN</t>
        </is>
      </c>
      <c r="G338" t="inlineStr">
        <is>
          <t>ÖSTHAMMAR</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21478-2023</t>
        </is>
      </c>
      <c r="B339" t="inlineStr">
        <is>
          <t>avverkningsanmälan</t>
        </is>
      </c>
      <c r="C339" t="inlineStr">
        <is>
          <t>Föryngringsavverkning</t>
        </is>
      </c>
      <c r="D339" s="1" t="n">
        <v>45063</v>
      </c>
      <c r="E339" s="1" t="n">
        <v>46216</v>
      </c>
      <c r="F339" t="inlineStr">
        <is>
          <t>UPPSALA LÄN</t>
        </is>
      </c>
      <c r="G339" t="inlineStr">
        <is>
          <t>ÖSTHAMMAR</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26774-2023</t>
        </is>
      </c>
      <c r="B340" t="inlineStr">
        <is>
          <t>avverkningsanmälan</t>
        </is>
      </c>
      <c r="C340" t="inlineStr">
        <is>
          <t>Föryngringsavverkning</t>
        </is>
      </c>
      <c r="D340" s="1" t="n">
        <v>45093</v>
      </c>
      <c r="E340" s="1" t="n">
        <v>46216</v>
      </c>
      <c r="F340" t="inlineStr">
        <is>
          <t>UPPSALA LÄN</t>
        </is>
      </c>
      <c r="G340" t="inlineStr">
        <is>
          <t>ÖSTHAMMAR</t>
        </is>
      </c>
      <c r="H340" t="inlineStr">
        <is>
          <t>Bergvik skog öst AB</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33529-2025</t>
        </is>
      </c>
      <c r="B341" t="inlineStr">
        <is>
          <t>avverkningsanmälan</t>
        </is>
      </c>
      <c r="C341" t="inlineStr">
        <is>
          <t>Föryngringsavverkning</t>
        </is>
      </c>
      <c r="D341" s="1" t="n">
        <v>45841</v>
      </c>
      <c r="E341" s="1" t="n">
        <v>46216</v>
      </c>
      <c r="F341" t="inlineStr">
        <is>
          <t>UPPSALA LÄN</t>
        </is>
      </c>
      <c r="G341" t="inlineStr">
        <is>
          <t>ÖSTHAMMAR</t>
        </is>
      </c>
      <c r="H341" t="inlineStr">
        <is>
          <t>Bergvik skog öst AB</t>
        </is>
      </c>
      <c r="I341" t="n">
        <v>11.8</v>
      </c>
      <c r="J341" t="n">
        <v>0</v>
      </c>
      <c r="K341" t="n">
        <v>0</v>
      </c>
      <c r="L341" t="n">
        <v>0</v>
      </c>
      <c r="M341" t="n">
        <v>0</v>
      </c>
      <c r="N341" t="n">
        <v>0</v>
      </c>
      <c r="O341" t="n">
        <v>0</v>
      </c>
      <c r="P341" t="n">
        <v>0</v>
      </c>
      <c r="Q341" t="n">
        <v>0</v>
      </c>
      <c r="R341" t="n">
        <v>0</v>
      </c>
      <c r="S341" t="n">
        <v>0</v>
      </c>
      <c r="T341" t="n">
        <v>0</v>
      </c>
      <c r="U341" s="2" t="inlineStr"/>
    </row>
    <row r="342" ht="15" customHeight="1">
      <c r="A342" t="inlineStr">
        <is>
          <t>A 26395-2025</t>
        </is>
      </c>
      <c r="B342" t="inlineStr">
        <is>
          <t>avverkningsanmälan</t>
        </is>
      </c>
      <c r="C342" t="inlineStr">
        <is>
          <t>Föryngringsavverkning</t>
        </is>
      </c>
      <c r="D342" s="1" t="n">
        <v>45807</v>
      </c>
      <c r="E342" s="1" t="n">
        <v>46216</v>
      </c>
      <c r="F342" t="inlineStr">
        <is>
          <t>UPPSALA LÄN</t>
        </is>
      </c>
      <c r="G342" t="inlineStr">
        <is>
          <t>ÖSTHAMMAR</t>
        </is>
      </c>
      <c r="I342" t="n">
        <v>7</v>
      </c>
      <c r="J342" t="n">
        <v>0</v>
      </c>
      <c r="K342" t="n">
        <v>0</v>
      </c>
      <c r="L342" t="n">
        <v>0</v>
      </c>
      <c r="M342" t="n">
        <v>0</v>
      </c>
      <c r="N342" t="n">
        <v>0</v>
      </c>
      <c r="O342" t="n">
        <v>0</v>
      </c>
      <c r="P342" t="n">
        <v>0</v>
      </c>
      <c r="Q342" t="n">
        <v>0</v>
      </c>
      <c r="R342" t="n">
        <v>0</v>
      </c>
      <c r="S342" t="n">
        <v>0</v>
      </c>
      <c r="T342" t="n">
        <v>0</v>
      </c>
      <c r="U342" s="2" t="inlineStr"/>
    </row>
    <row r="343" ht="15" customHeight="1">
      <c r="A343" t="inlineStr">
        <is>
          <t>A 33972-2025</t>
        </is>
      </c>
      <c r="B343" t="inlineStr">
        <is>
          <t>avverkningsanmälan</t>
        </is>
      </c>
      <c r="C343" t="inlineStr">
        <is>
          <t>Föryngringsavverkning</t>
        </is>
      </c>
      <c r="D343" s="1" t="n">
        <v>45842</v>
      </c>
      <c r="E343" s="1" t="n">
        <v>46216</v>
      </c>
      <c r="F343" t="inlineStr">
        <is>
          <t>UPPSALA LÄN</t>
        </is>
      </c>
      <c r="G343" t="inlineStr">
        <is>
          <t>ÖSTHAMMAR</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33973-2025</t>
        </is>
      </c>
      <c r="B344" t="inlineStr">
        <is>
          <t>avverkningsanmälan</t>
        </is>
      </c>
      <c r="C344" t="inlineStr">
        <is>
          <t>Föryngringsavverkning</t>
        </is>
      </c>
      <c r="D344" s="1" t="n">
        <v>45842</v>
      </c>
      <c r="E344" s="1" t="n">
        <v>46216</v>
      </c>
      <c r="F344" t="inlineStr">
        <is>
          <t>UPPSALA LÄN</t>
        </is>
      </c>
      <c r="G344" t="inlineStr">
        <is>
          <t>ÖSTHAMMAR</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12528-2024</t>
        </is>
      </c>
      <c r="B345" t="inlineStr">
        <is>
          <t>avverkningsanmälan</t>
        </is>
      </c>
      <c r="C345" t="inlineStr">
        <is>
          <t>Föryngringsavverkning</t>
        </is>
      </c>
      <c r="D345" s="1" t="n">
        <v>45379</v>
      </c>
      <c r="E345" s="1" t="n">
        <v>46216</v>
      </c>
      <c r="F345" t="inlineStr">
        <is>
          <t>UPPSALA LÄN</t>
        </is>
      </c>
      <c r="G345" t="inlineStr">
        <is>
          <t>ÖSTHAMMAR</t>
        </is>
      </c>
      <c r="H345" t="inlineStr">
        <is>
          <t>Bergvik skog öst AB</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25859-2024</t>
        </is>
      </c>
      <c r="B346" t="inlineStr">
        <is>
          <t>avverkningsanmälan</t>
        </is>
      </c>
      <c r="C346" t="inlineStr">
        <is>
          <t>Föryngringsavverkning</t>
        </is>
      </c>
      <c r="D346" s="1" t="n">
        <v>45467</v>
      </c>
      <c r="E346" s="1" t="n">
        <v>46216</v>
      </c>
      <c r="F346" t="inlineStr">
        <is>
          <t>UPPSALA LÄN</t>
        </is>
      </c>
      <c r="G346" t="inlineStr">
        <is>
          <t>ÖSTHAMMAR</t>
        </is>
      </c>
      <c r="I346" t="n">
        <v>7.9</v>
      </c>
      <c r="J346" t="n">
        <v>0</v>
      </c>
      <c r="K346" t="n">
        <v>0</v>
      </c>
      <c r="L346" t="n">
        <v>0</v>
      </c>
      <c r="M346" t="n">
        <v>0</v>
      </c>
      <c r="N346" t="n">
        <v>0</v>
      </c>
      <c r="O346" t="n">
        <v>0</v>
      </c>
      <c r="P346" t="n">
        <v>0</v>
      </c>
      <c r="Q346" t="n">
        <v>0</v>
      </c>
      <c r="R346" t="n">
        <v>0</v>
      </c>
      <c r="S346" t="n">
        <v>0</v>
      </c>
      <c r="T346" t="n">
        <v>0</v>
      </c>
      <c r="U346" s="2" t="inlineStr"/>
    </row>
    <row r="347" ht="15" customHeight="1">
      <c r="A347" t="inlineStr">
        <is>
          <t>A 10117-2025</t>
        </is>
      </c>
      <c r="B347" t="inlineStr">
        <is>
          <t>avverkningsanmälan</t>
        </is>
      </c>
      <c r="C347" t="inlineStr">
        <is>
          <t>Föryngringsavverkning</t>
        </is>
      </c>
      <c r="D347" s="1" t="n">
        <v>45719</v>
      </c>
      <c r="E347" s="1" t="n">
        <v>46216</v>
      </c>
      <c r="F347" t="inlineStr">
        <is>
          <t>UPPSALA LÄN</t>
        </is>
      </c>
      <c r="G347" t="inlineStr">
        <is>
          <t>ÖSTHAMMAR</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9267-2024</t>
        </is>
      </c>
      <c r="B348" t="inlineStr">
        <is>
          <t>avverkningsanmälan</t>
        </is>
      </c>
      <c r="C348" t="inlineStr">
        <is>
          <t>Föryngringsavverkning</t>
        </is>
      </c>
      <c r="D348" s="1" t="n">
        <v>45358</v>
      </c>
      <c r="E348" s="1" t="n">
        <v>46216</v>
      </c>
      <c r="F348" t="inlineStr">
        <is>
          <t>UPPSALA LÄN</t>
        </is>
      </c>
      <c r="G348" t="inlineStr">
        <is>
          <t>ÖSTHAMMAR</t>
        </is>
      </c>
      <c r="H348" t="inlineStr">
        <is>
          <t>Bergvik skog öst AB</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45993-2025</t>
        </is>
      </c>
      <c r="B349" t="inlineStr">
        <is>
          <t>avverkningsanmälan</t>
        </is>
      </c>
      <c r="C349" t="inlineStr">
        <is>
          <t>Föryngringsavverkning</t>
        </is>
      </c>
      <c r="D349" s="1" t="n">
        <v>45924</v>
      </c>
      <c r="E349" s="1" t="n">
        <v>46216</v>
      </c>
      <c r="F349" t="inlineStr">
        <is>
          <t>UPPSALA LÄN</t>
        </is>
      </c>
      <c r="G349" t="inlineStr">
        <is>
          <t>ÖSTHAMMAR</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33601-2024</t>
        </is>
      </c>
      <c r="B350" t="inlineStr">
        <is>
          <t>avverkningsanmälan</t>
        </is>
      </c>
      <c r="C350" t="inlineStr">
        <is>
          <t>Föryngringsavverkning</t>
        </is>
      </c>
      <c r="D350" s="1" t="n">
        <v>45520</v>
      </c>
      <c r="E350" s="1" t="n">
        <v>46216</v>
      </c>
      <c r="F350" t="inlineStr">
        <is>
          <t>UPPSALA LÄN</t>
        </is>
      </c>
      <c r="G350" t="inlineStr">
        <is>
          <t>ÖSTHAMMAR</t>
        </is>
      </c>
      <c r="H350" t="inlineStr">
        <is>
          <t>Övriga Aktiebolag</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19640-2025</t>
        </is>
      </c>
      <c r="B351" t="inlineStr">
        <is>
          <t>avverkningsanmälan</t>
        </is>
      </c>
      <c r="C351" t="inlineStr">
        <is>
          <t>Föryngringsavverkning</t>
        </is>
      </c>
      <c r="D351" s="1" t="n">
        <v>45770</v>
      </c>
      <c r="E351" s="1" t="n">
        <v>46216</v>
      </c>
      <c r="F351" t="inlineStr">
        <is>
          <t>UPPSALA LÄN</t>
        </is>
      </c>
      <c r="G351" t="inlineStr">
        <is>
          <t>ÖSTHAMMAR</t>
        </is>
      </c>
      <c r="H351" t="inlineStr">
        <is>
          <t>Övriga Aktiebolag</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23197-2023</t>
        </is>
      </c>
      <c r="B352" t="inlineStr">
        <is>
          <t>avverkningsanmälan</t>
        </is>
      </c>
      <c r="C352" t="inlineStr">
        <is>
          <t>Föryngringsavverkning</t>
        </is>
      </c>
      <c r="D352" s="1" t="n">
        <v>45075</v>
      </c>
      <c r="E352" s="1" t="n">
        <v>46216</v>
      </c>
      <c r="F352" t="inlineStr">
        <is>
          <t>UPPSALA LÄN</t>
        </is>
      </c>
      <c r="G352" t="inlineStr">
        <is>
          <t>ÖSTHAMMAR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13044-2022</t>
        </is>
      </c>
      <c r="B353" t="inlineStr">
        <is>
          <t>avverkningsanmälan</t>
        </is>
      </c>
      <c r="C353" t="inlineStr">
        <is>
          <t>Föryngringsavverkning</t>
        </is>
      </c>
      <c r="D353" s="1" t="n">
        <v>44643</v>
      </c>
      <c r="E353" s="1" t="n">
        <v>46216</v>
      </c>
      <c r="F353" t="inlineStr">
        <is>
          <t>UPPSALA LÄN</t>
        </is>
      </c>
      <c r="G353" t="inlineStr">
        <is>
          <t>ÖSTHAMMAR</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17433-2025</t>
        </is>
      </c>
      <c r="B354" t="inlineStr">
        <is>
          <t>avverkningsanmälan</t>
        </is>
      </c>
      <c r="C354" t="inlineStr">
        <is>
          <t>Föryngringsavverkning</t>
        </is>
      </c>
      <c r="D354" s="1" t="n">
        <v>45757</v>
      </c>
      <c r="E354" s="1" t="n">
        <v>46216</v>
      </c>
      <c r="F354" t="inlineStr">
        <is>
          <t>UPPSALA LÄN</t>
        </is>
      </c>
      <c r="G354" t="inlineStr">
        <is>
          <t>ÖSTHAMMAR</t>
        </is>
      </c>
      <c r="H354" t="inlineStr">
        <is>
          <t>Övriga Aktiebolag</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47336-2025</t>
        </is>
      </c>
      <c r="B355" t="inlineStr">
        <is>
          <t>avverkningsanmälan</t>
        </is>
      </c>
      <c r="C355" t="inlineStr">
        <is>
          <t>Föryngringsavverkning</t>
        </is>
      </c>
      <c r="D355" s="1" t="n">
        <v>45930</v>
      </c>
      <c r="E355" s="1" t="n">
        <v>46216</v>
      </c>
      <c r="F355" t="inlineStr">
        <is>
          <t>UPPSALA LÄN</t>
        </is>
      </c>
      <c r="G355" t="inlineStr">
        <is>
          <t>ÖSTHAMMAR</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12756-2024</t>
        </is>
      </c>
      <c r="B356" t="inlineStr">
        <is>
          <t>avverkningsanmälan</t>
        </is>
      </c>
      <c r="C356" t="inlineStr">
        <is>
          <t>Föryngringsavverkning</t>
        </is>
      </c>
      <c r="D356" s="1" t="n">
        <v>45384</v>
      </c>
      <c r="E356" s="1" t="n">
        <v>46216</v>
      </c>
      <c r="F356" t="inlineStr">
        <is>
          <t>UPPSALA LÄN</t>
        </is>
      </c>
      <c r="G356" t="inlineStr">
        <is>
          <t>ÖSTHAMMAR</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15928-2022</t>
        </is>
      </c>
      <c r="B357" t="inlineStr">
        <is>
          <t>avverkningsanmälan</t>
        </is>
      </c>
      <c r="C357" t="inlineStr">
        <is>
          <t>Föryngringsavverkning</t>
        </is>
      </c>
      <c r="D357" s="1" t="n">
        <v>44664</v>
      </c>
      <c r="E357" s="1" t="n">
        <v>46216</v>
      </c>
      <c r="F357" t="inlineStr">
        <is>
          <t>UPPSALA LÄN</t>
        </is>
      </c>
      <c r="G357" t="inlineStr">
        <is>
          <t>ÖSTHAMMAR</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8708-2022</t>
        </is>
      </c>
      <c r="B358" t="inlineStr">
        <is>
          <t>avverkningsanmälan</t>
        </is>
      </c>
      <c r="C358" t="inlineStr">
        <is>
          <t>Föryngringsavverkning</t>
        </is>
      </c>
      <c r="D358" s="1" t="n">
        <v>44613</v>
      </c>
      <c r="E358" s="1" t="n">
        <v>46216</v>
      </c>
      <c r="F358" t="inlineStr">
        <is>
          <t>UPPSALA LÄN</t>
        </is>
      </c>
      <c r="G358" t="inlineStr">
        <is>
          <t>ÖSTHAMMAR</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47615-2025</t>
        </is>
      </c>
      <c r="B359" t="inlineStr">
        <is>
          <t>avverkningsanmälan</t>
        </is>
      </c>
      <c r="C359" t="inlineStr">
        <is>
          <t>Föryngringsavverkning</t>
        </is>
      </c>
      <c r="D359" s="1" t="n">
        <v>45931</v>
      </c>
      <c r="E359" s="1" t="n">
        <v>46216</v>
      </c>
      <c r="F359" t="inlineStr">
        <is>
          <t>UPPSALA LÄN</t>
        </is>
      </c>
      <c r="G359" t="inlineStr">
        <is>
          <t>ÖSTHAMMAR</t>
        </is>
      </c>
      <c r="I359" t="n">
        <v>7</v>
      </c>
      <c r="J359" t="n">
        <v>0</v>
      </c>
      <c r="K359" t="n">
        <v>0</v>
      </c>
      <c r="L359" t="n">
        <v>0</v>
      </c>
      <c r="M359" t="n">
        <v>0</v>
      </c>
      <c r="N359" t="n">
        <v>0</v>
      </c>
      <c r="O359" t="n">
        <v>0</v>
      </c>
      <c r="P359" t="n">
        <v>0</v>
      </c>
      <c r="Q359" t="n">
        <v>0</v>
      </c>
      <c r="R359" t="n">
        <v>0</v>
      </c>
      <c r="S359" t="n">
        <v>0</v>
      </c>
      <c r="T359" t="n">
        <v>0</v>
      </c>
      <c r="U359" s="2" t="inlineStr"/>
    </row>
    <row r="360" ht="15" customHeight="1">
      <c r="A360" t="inlineStr">
        <is>
          <t>A 17929-2025</t>
        </is>
      </c>
      <c r="B360" t="inlineStr">
        <is>
          <t>avverkningsanmälan</t>
        </is>
      </c>
      <c r="C360" t="inlineStr">
        <is>
          <t>Föryngringsavverkning</t>
        </is>
      </c>
      <c r="D360" s="1" t="n">
        <v>45759</v>
      </c>
      <c r="E360" s="1" t="n">
        <v>46216</v>
      </c>
      <c r="F360" t="inlineStr">
        <is>
          <t>UPPSALA LÄN</t>
        </is>
      </c>
      <c r="G360" t="inlineStr">
        <is>
          <t>ÖSTHAMMAR</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33760-2024</t>
        </is>
      </c>
      <c r="B361" t="inlineStr">
        <is>
          <t>avverkningsanmälan</t>
        </is>
      </c>
      <c r="C361" t="inlineStr">
        <is>
          <t>Föryngringsavverkning</t>
        </is>
      </c>
      <c r="D361" s="1" t="n">
        <v>45520</v>
      </c>
      <c r="E361" s="1" t="n">
        <v>46216</v>
      </c>
      <c r="F361" t="inlineStr">
        <is>
          <t>UPPSALA LÄN</t>
        </is>
      </c>
      <c r="G361" t="inlineStr">
        <is>
          <t>ÖSTHAMMAR</t>
        </is>
      </c>
      <c r="H361" t="inlineStr">
        <is>
          <t>Övriga Aktiebolag</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36451-2025</t>
        </is>
      </c>
      <c r="B362" t="inlineStr">
        <is>
          <t>avverkningsanmälan</t>
        </is>
      </c>
      <c r="C362" t="inlineStr">
        <is>
          <t>Föryngringsavverkning</t>
        </is>
      </c>
      <c r="D362" s="1" t="n">
        <v>45869</v>
      </c>
      <c r="E362" s="1" t="n">
        <v>46216</v>
      </c>
      <c r="F362" t="inlineStr">
        <is>
          <t>UPPSALA LÄN</t>
        </is>
      </c>
      <c r="G362" t="inlineStr">
        <is>
          <t>ÖSTHAMMAR</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8592-2022</t>
        </is>
      </c>
      <c r="B363" t="inlineStr">
        <is>
          <t>avverkningsanmälan</t>
        </is>
      </c>
      <c r="C363" t="inlineStr">
        <is>
          <t>Föryngringsavverkning</t>
        </is>
      </c>
      <c r="D363" s="1" t="n">
        <v>44613</v>
      </c>
      <c r="E363" s="1" t="n">
        <v>46216</v>
      </c>
      <c r="F363" t="inlineStr">
        <is>
          <t>UPPSALA LÄN</t>
        </is>
      </c>
      <c r="G363" t="inlineStr">
        <is>
          <t>ÖSTHAMMAR</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52629-2023</t>
        </is>
      </c>
      <c r="B364" t="inlineStr">
        <is>
          <t>avverkningsanmälan</t>
        </is>
      </c>
      <c r="C364" t="inlineStr">
        <is>
          <t>Föryngringsavverkning</t>
        </is>
      </c>
      <c r="D364" s="1" t="n">
        <v>45225</v>
      </c>
      <c r="E364" s="1" t="n">
        <v>46216</v>
      </c>
      <c r="F364" t="inlineStr">
        <is>
          <t>UPPSALA LÄN</t>
        </is>
      </c>
      <c r="G364" t="inlineStr">
        <is>
          <t>ÖSTHAMMAR</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35918-2023</t>
        </is>
      </c>
      <c r="B365" t="inlineStr">
        <is>
          <t>avverkningsanmälan</t>
        </is>
      </c>
      <c r="C365" t="inlineStr">
        <is>
          <t>Föryngringsavverkning</t>
        </is>
      </c>
      <c r="D365" s="1" t="n">
        <v>45148</v>
      </c>
      <c r="E365" s="1" t="n">
        <v>46216</v>
      </c>
      <c r="F365" t="inlineStr">
        <is>
          <t>UPPSALA LÄN</t>
        </is>
      </c>
      <c r="G365" t="inlineStr">
        <is>
          <t>ÖSTHAMMAR</t>
        </is>
      </c>
      <c r="H365" t="inlineStr">
        <is>
          <t>Bergvik skog öst AB</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6661-2024</t>
        </is>
      </c>
      <c r="B366" t="inlineStr">
        <is>
          <t>avverkningsanmälan</t>
        </is>
      </c>
      <c r="C366" t="inlineStr">
        <is>
          <t>Föryngringsavverkning</t>
        </is>
      </c>
      <c r="D366" s="1" t="n">
        <v>45341</v>
      </c>
      <c r="E366" s="1" t="n">
        <v>46216</v>
      </c>
      <c r="F366" t="inlineStr">
        <is>
          <t>UPPSALA LÄN</t>
        </is>
      </c>
      <c r="G366" t="inlineStr">
        <is>
          <t>ÖSTHAMMAR</t>
        </is>
      </c>
      <c r="I366" t="n">
        <v>0.2</v>
      </c>
      <c r="J366" t="n">
        <v>0</v>
      </c>
      <c r="K366" t="n">
        <v>0</v>
      </c>
      <c r="L366" t="n">
        <v>0</v>
      </c>
      <c r="M366" t="n">
        <v>0</v>
      </c>
      <c r="N366" t="n">
        <v>0</v>
      </c>
      <c r="O366" t="n">
        <v>0</v>
      </c>
      <c r="P366" t="n">
        <v>0</v>
      </c>
      <c r="Q366" t="n">
        <v>0</v>
      </c>
      <c r="R366" t="n">
        <v>0</v>
      </c>
      <c r="S366" t="n">
        <v>0</v>
      </c>
      <c r="T366" t="n">
        <v>0</v>
      </c>
      <c r="U366" s="2" t="inlineStr"/>
    </row>
    <row r="367" ht="15" customHeight="1">
      <c r="A367" t="inlineStr">
        <is>
          <t>A 56903-2023</t>
        </is>
      </c>
      <c r="B367" t="inlineStr">
        <is>
          <t>avverkningsanmälan</t>
        </is>
      </c>
      <c r="C367" t="inlineStr">
        <is>
          <t>Föryngringsavverkning</t>
        </is>
      </c>
      <c r="D367" s="1" t="n">
        <v>45244</v>
      </c>
      <c r="E367" s="1" t="n">
        <v>46216</v>
      </c>
      <c r="F367" t="inlineStr">
        <is>
          <t>UPPSALA LÄN</t>
        </is>
      </c>
      <c r="G367" t="inlineStr">
        <is>
          <t>ÖSTHAMMAR</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3095-2026</t>
        </is>
      </c>
      <c r="B368" t="inlineStr">
        <is>
          <t>avverkningsanmälan</t>
        </is>
      </c>
      <c r="C368" t="inlineStr">
        <is>
          <t>Föryngringsavverkning</t>
        </is>
      </c>
      <c r="D368" s="1" t="n">
        <v>46040</v>
      </c>
      <c r="E368" s="1" t="n">
        <v>46216</v>
      </c>
      <c r="F368" t="inlineStr">
        <is>
          <t>UPPSALA LÄN</t>
        </is>
      </c>
      <c r="G368" t="inlineStr">
        <is>
          <t>ÖSTHAMMAR</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3055-2026</t>
        </is>
      </c>
      <c r="B369" t="inlineStr">
        <is>
          <t>avverkningsanmälan</t>
        </is>
      </c>
      <c r="C369" t="inlineStr">
        <is>
          <t>Föryngringsavverkning</t>
        </is>
      </c>
      <c r="D369" s="1" t="n">
        <v>46039</v>
      </c>
      <c r="E369" s="1" t="n">
        <v>46216</v>
      </c>
      <c r="F369" t="inlineStr">
        <is>
          <t>UPPSALA LÄN</t>
        </is>
      </c>
      <c r="G369" t="inlineStr">
        <is>
          <t>ÖSTHAMMAR</t>
        </is>
      </c>
      <c r="H369" t="inlineStr">
        <is>
          <t>Bergvik skog öst AB</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28420-2023</t>
        </is>
      </c>
      <c r="B370" t="inlineStr">
        <is>
          <t>avverkningsanmälan</t>
        </is>
      </c>
      <c r="C370" t="inlineStr">
        <is>
          <t>Föryngringsavverkning</t>
        </is>
      </c>
      <c r="D370" s="1" t="n">
        <v>45102</v>
      </c>
      <c r="E370" s="1" t="n">
        <v>46216</v>
      </c>
      <c r="F370" t="inlineStr">
        <is>
          <t>UPPSALA LÄN</t>
        </is>
      </c>
      <c r="G370" t="inlineStr">
        <is>
          <t>ÖSTHAMMAR</t>
        </is>
      </c>
      <c r="H370" t="inlineStr">
        <is>
          <t>Bergvik skog öst AB</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28432-2023</t>
        </is>
      </c>
      <c r="B371" t="inlineStr">
        <is>
          <t>avverkningsanmälan</t>
        </is>
      </c>
      <c r="C371" t="inlineStr">
        <is>
          <t>Föryngringsavverkning</t>
        </is>
      </c>
      <c r="D371" s="1" t="n">
        <v>45102</v>
      </c>
      <c r="E371" s="1" t="n">
        <v>46216</v>
      </c>
      <c r="F371" t="inlineStr">
        <is>
          <t>UPPSALA LÄN</t>
        </is>
      </c>
      <c r="G371" t="inlineStr">
        <is>
          <t>ÖSTHAMMAR</t>
        </is>
      </c>
      <c r="H371" t="inlineStr">
        <is>
          <t>Bergvik skog öst AB</t>
        </is>
      </c>
      <c r="I371" t="n">
        <v>3.9</v>
      </c>
      <c r="J371" t="n">
        <v>0</v>
      </c>
      <c r="K371" t="n">
        <v>0</v>
      </c>
      <c r="L371" t="n">
        <v>0</v>
      </c>
      <c r="M371" t="n">
        <v>0</v>
      </c>
      <c r="N371" t="n">
        <v>0</v>
      </c>
      <c r="O371" t="n">
        <v>0</v>
      </c>
      <c r="P371" t="n">
        <v>0</v>
      </c>
      <c r="Q371" t="n">
        <v>0</v>
      </c>
      <c r="R371" t="n">
        <v>0</v>
      </c>
      <c r="S371" t="n">
        <v>0</v>
      </c>
      <c r="T371" t="n">
        <v>0</v>
      </c>
      <c r="U371" s="2" t="inlineStr"/>
    </row>
    <row r="372" ht="15" customHeight="1">
      <c r="A372" t="inlineStr">
        <is>
          <t>A 48854-2025</t>
        </is>
      </c>
      <c r="B372" t="inlineStr">
        <is>
          <t>avverkningsanmälan</t>
        </is>
      </c>
      <c r="C372" t="inlineStr">
        <is>
          <t>Föryngringsavverkning</t>
        </is>
      </c>
      <c r="D372" s="1" t="n">
        <v>45937</v>
      </c>
      <c r="E372" s="1" t="n">
        <v>46216</v>
      </c>
      <c r="F372" t="inlineStr">
        <is>
          <t>UPPSALA LÄN</t>
        </is>
      </c>
      <c r="G372" t="inlineStr">
        <is>
          <t>ÖSTHAMMAR</t>
        </is>
      </c>
      <c r="H372" t="inlineStr">
        <is>
          <t>Övriga Aktiebolag</t>
        </is>
      </c>
      <c r="I372" t="n">
        <v>18.9</v>
      </c>
      <c r="J372" t="n">
        <v>0</v>
      </c>
      <c r="K372" t="n">
        <v>0</v>
      </c>
      <c r="L372" t="n">
        <v>0</v>
      </c>
      <c r="M372" t="n">
        <v>0</v>
      </c>
      <c r="N372" t="n">
        <v>0</v>
      </c>
      <c r="O372" t="n">
        <v>0</v>
      </c>
      <c r="P372" t="n">
        <v>0</v>
      </c>
      <c r="Q372" t="n">
        <v>0</v>
      </c>
      <c r="R372" t="n">
        <v>0</v>
      </c>
      <c r="S372" t="n">
        <v>0</v>
      </c>
      <c r="T372" t="n">
        <v>0</v>
      </c>
      <c r="U372" s="2" t="inlineStr"/>
    </row>
    <row r="373" ht="15" customHeight="1">
      <c r="A373" t="inlineStr">
        <is>
          <t>A 56969-2022</t>
        </is>
      </c>
      <c r="B373" t="inlineStr">
        <is>
          <t>avverkningsanmälan</t>
        </is>
      </c>
      <c r="C373" t="inlineStr">
        <is>
          <t>Föryngringsavverkning</t>
        </is>
      </c>
      <c r="D373" s="1" t="n">
        <v>44894</v>
      </c>
      <c r="E373" s="1" t="n">
        <v>46216</v>
      </c>
      <c r="F373" t="inlineStr">
        <is>
          <t>UPPSALA LÄN</t>
        </is>
      </c>
      <c r="G373" t="inlineStr">
        <is>
          <t>ÖSTHAMMAR</t>
        </is>
      </c>
      <c r="I373" t="n">
        <v>5.5</v>
      </c>
      <c r="J373" t="n">
        <v>0</v>
      </c>
      <c r="K373" t="n">
        <v>0</v>
      </c>
      <c r="L373" t="n">
        <v>0</v>
      </c>
      <c r="M373" t="n">
        <v>0</v>
      </c>
      <c r="N373" t="n">
        <v>0</v>
      </c>
      <c r="O373" t="n">
        <v>0</v>
      </c>
      <c r="P373" t="n">
        <v>0</v>
      </c>
      <c r="Q373" t="n">
        <v>0</v>
      </c>
      <c r="R373" t="n">
        <v>0</v>
      </c>
      <c r="S373" t="n">
        <v>0</v>
      </c>
      <c r="T373" t="n">
        <v>0</v>
      </c>
      <c r="U373" s="2" t="inlineStr"/>
    </row>
    <row r="374" ht="15" customHeight="1">
      <c r="A374" t="inlineStr">
        <is>
          <t>A 60584-2021</t>
        </is>
      </c>
      <c r="B374" t="inlineStr">
        <is>
          <t>avverkningsanmälan</t>
        </is>
      </c>
      <c r="C374" t="inlineStr">
        <is>
          <t>Föryngringsavverkning</t>
        </is>
      </c>
      <c r="D374" s="1" t="n">
        <v>44496</v>
      </c>
      <c r="E374" s="1" t="n">
        <v>46216</v>
      </c>
      <c r="F374" t="inlineStr">
        <is>
          <t>UPPSALA LÄN</t>
        </is>
      </c>
      <c r="G374" t="inlineStr">
        <is>
          <t>ÖSTHAMMAR</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44152-2024</t>
        </is>
      </c>
      <c r="B375" t="inlineStr">
        <is>
          <t>avverkningsanmälan</t>
        </is>
      </c>
      <c r="C375" t="inlineStr">
        <is>
          <t>Föryngringsavverkning</t>
        </is>
      </c>
      <c r="D375" s="1" t="n">
        <v>45572</v>
      </c>
      <c r="E375" s="1" t="n">
        <v>46216</v>
      </c>
      <c r="F375" t="inlineStr">
        <is>
          <t>UPPSALA LÄN</t>
        </is>
      </c>
      <c r="G375" t="inlineStr">
        <is>
          <t>ÖSTHAMMAR</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47390-2023</t>
        </is>
      </c>
      <c r="B376" t="inlineStr">
        <is>
          <t>avverkningsanmälan</t>
        </is>
      </c>
      <c r="C376" t="inlineStr">
        <is>
          <t>Föryngringsavverkning</t>
        </is>
      </c>
      <c r="D376" s="1" t="n">
        <v>45202</v>
      </c>
      <c r="E376" s="1" t="n">
        <v>46216</v>
      </c>
      <c r="F376" t="inlineStr">
        <is>
          <t>UPPSALA LÄN</t>
        </is>
      </c>
      <c r="G376" t="inlineStr">
        <is>
          <t>ÖSTHAMMAR</t>
        </is>
      </c>
      <c r="I376" t="n">
        <v>3.7</v>
      </c>
      <c r="J376" t="n">
        <v>0</v>
      </c>
      <c r="K376" t="n">
        <v>0</v>
      </c>
      <c r="L376" t="n">
        <v>0</v>
      </c>
      <c r="M376" t="n">
        <v>0</v>
      </c>
      <c r="N376" t="n">
        <v>0</v>
      </c>
      <c r="O376" t="n">
        <v>0</v>
      </c>
      <c r="P376" t="n">
        <v>0</v>
      </c>
      <c r="Q376" t="n">
        <v>0</v>
      </c>
      <c r="R376" t="n">
        <v>0</v>
      </c>
      <c r="S376" t="n">
        <v>0</v>
      </c>
      <c r="T376" t="n">
        <v>0</v>
      </c>
      <c r="U376" s="2" t="inlineStr"/>
    </row>
    <row r="377" ht="15" customHeight="1">
      <c r="A377" t="inlineStr">
        <is>
          <t>A 7118-2023</t>
        </is>
      </c>
      <c r="B377" t="inlineStr">
        <is>
          <t>avverkningsanmälan</t>
        </is>
      </c>
      <c r="C377" t="inlineStr">
        <is>
          <t>Föryngringsavverkning</t>
        </is>
      </c>
      <c r="D377" s="1" t="n">
        <v>44970</v>
      </c>
      <c r="E377" s="1" t="n">
        <v>46216</v>
      </c>
      <c r="F377" t="inlineStr">
        <is>
          <t>UPPSALA LÄN</t>
        </is>
      </c>
      <c r="G377" t="inlineStr">
        <is>
          <t>ÖSTHAMMAR</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5877-2023</t>
        </is>
      </c>
      <c r="B378" t="inlineStr">
        <is>
          <t>avverkningsanmälan</t>
        </is>
      </c>
      <c r="C378" t="inlineStr">
        <is>
          <t>Föryngringsavverkning</t>
        </is>
      </c>
      <c r="D378" s="1" t="n">
        <v>44963</v>
      </c>
      <c r="E378" s="1" t="n">
        <v>46216</v>
      </c>
      <c r="F378" t="inlineStr">
        <is>
          <t>UPPSALA LÄN</t>
        </is>
      </c>
      <c r="G378" t="inlineStr">
        <is>
          <t>ÖSTHAMMAR</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52389-2022</t>
        </is>
      </c>
      <c r="B379" t="inlineStr">
        <is>
          <t>avverkningsanmälan</t>
        </is>
      </c>
      <c r="C379" t="inlineStr">
        <is>
          <t>Föryngringsavverkning</t>
        </is>
      </c>
      <c r="D379" s="1" t="n">
        <v>44874</v>
      </c>
      <c r="E379" s="1" t="n">
        <v>46216</v>
      </c>
      <c r="F379" t="inlineStr">
        <is>
          <t>UPPSALA LÄN</t>
        </is>
      </c>
      <c r="G379" t="inlineStr">
        <is>
          <t>ÖSTHAMMAR</t>
        </is>
      </c>
      <c r="I379" t="n">
        <v>3.1</v>
      </c>
      <c r="J379" t="n">
        <v>0</v>
      </c>
      <c r="K379" t="n">
        <v>0</v>
      </c>
      <c r="L379" t="n">
        <v>0</v>
      </c>
      <c r="M379" t="n">
        <v>0</v>
      </c>
      <c r="N379" t="n">
        <v>0</v>
      </c>
      <c r="O379" t="n">
        <v>0</v>
      </c>
      <c r="P379" t="n">
        <v>0</v>
      </c>
      <c r="Q379" t="n">
        <v>0</v>
      </c>
      <c r="R379" t="n">
        <v>0</v>
      </c>
      <c r="S379" t="n">
        <v>0</v>
      </c>
      <c r="T379" t="n">
        <v>0</v>
      </c>
      <c r="U379" s="2" t="inlineStr"/>
    </row>
    <row r="380" ht="15" customHeight="1">
      <c r="A380" t="inlineStr">
        <is>
          <t>A 51156-2025</t>
        </is>
      </c>
      <c r="B380" t="inlineStr">
        <is>
          <t>avverkningsanmälan</t>
        </is>
      </c>
      <c r="C380" t="inlineStr">
        <is>
          <t>Föryngringsavverkning</t>
        </is>
      </c>
      <c r="D380" s="1" t="n">
        <v>45947</v>
      </c>
      <c r="E380" s="1" t="n">
        <v>46216</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57453-2022</t>
        </is>
      </c>
      <c r="B381" t="inlineStr">
        <is>
          <t>avverkningsanmälan</t>
        </is>
      </c>
      <c r="C381" t="inlineStr">
        <is>
          <t>Föryngringsavverkning</t>
        </is>
      </c>
      <c r="D381" s="1" t="n">
        <v>44896</v>
      </c>
      <c r="E381" s="1" t="n">
        <v>46216</v>
      </c>
      <c r="F381" t="inlineStr">
        <is>
          <t>UPPSALA LÄN</t>
        </is>
      </c>
      <c r="G381" t="inlineStr">
        <is>
          <t>ÖSTHAMMAR</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57462-2022</t>
        </is>
      </c>
      <c r="B382" t="inlineStr">
        <is>
          <t>avverkningsanmälan</t>
        </is>
      </c>
      <c r="C382" t="inlineStr">
        <is>
          <t>Föryngringsavverkning</t>
        </is>
      </c>
      <c r="D382" s="1" t="n">
        <v>44896</v>
      </c>
      <c r="E382" s="1" t="n">
        <v>46216</v>
      </c>
      <c r="F382" t="inlineStr">
        <is>
          <t>UPPSALA LÄN</t>
        </is>
      </c>
      <c r="G382" t="inlineStr">
        <is>
          <t>ÖSTHAMMAR</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51379-2025</t>
        </is>
      </c>
      <c r="B383" t="inlineStr">
        <is>
          <t>avverkningsanmälan</t>
        </is>
      </c>
      <c r="C383" t="inlineStr">
        <is>
          <t>Föryngringsavverkning</t>
        </is>
      </c>
      <c r="D383" s="1" t="n">
        <v>45950</v>
      </c>
      <c r="E383" s="1" t="n">
        <v>46216</v>
      </c>
      <c r="F383" t="inlineStr">
        <is>
          <t>UPPSALA LÄN</t>
        </is>
      </c>
      <c r="G383" t="inlineStr">
        <is>
          <t>ÖSTHAMMAR</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51255-2025</t>
        </is>
      </c>
      <c r="B384" t="inlineStr">
        <is>
          <t>avverkningsanmälan</t>
        </is>
      </c>
      <c r="C384" t="inlineStr">
        <is>
          <t>Föryngringsavverkning</t>
        </is>
      </c>
      <c r="D384" s="1" t="n">
        <v>45949</v>
      </c>
      <c r="E384" s="1" t="n">
        <v>46216</v>
      </c>
      <c r="F384" t="inlineStr">
        <is>
          <t>UPPSALA LÄN</t>
        </is>
      </c>
      <c r="G384" t="inlineStr">
        <is>
          <t>ÖSTHAMMAR</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51266-2025</t>
        </is>
      </c>
      <c r="B385" t="inlineStr">
        <is>
          <t>avverkningsanmälan</t>
        </is>
      </c>
      <c r="C385" t="inlineStr">
        <is>
          <t>Föryngringsavverkning</t>
        </is>
      </c>
      <c r="D385" s="1" t="n">
        <v>45949</v>
      </c>
      <c r="E385" s="1" t="n">
        <v>46216</v>
      </c>
      <c r="F385" t="inlineStr">
        <is>
          <t>UPPSALA LÄN</t>
        </is>
      </c>
      <c r="G385" t="inlineStr">
        <is>
          <t>ÖSTHAMMAR</t>
        </is>
      </c>
      <c r="H385" t="inlineStr">
        <is>
          <t>Bergvik skog öst AB</t>
        </is>
      </c>
      <c r="I385" t="n">
        <v>4.7</v>
      </c>
      <c r="J385" t="n">
        <v>0</v>
      </c>
      <c r="K385" t="n">
        <v>0</v>
      </c>
      <c r="L385" t="n">
        <v>0</v>
      </c>
      <c r="M385" t="n">
        <v>0</v>
      </c>
      <c r="N385" t="n">
        <v>0</v>
      </c>
      <c r="O385" t="n">
        <v>0</v>
      </c>
      <c r="P385" t="n">
        <v>0</v>
      </c>
      <c r="Q385" t="n">
        <v>0</v>
      </c>
      <c r="R385" t="n">
        <v>0</v>
      </c>
      <c r="S385" t="n">
        <v>0</v>
      </c>
      <c r="T385" t="n">
        <v>0</v>
      </c>
      <c r="U385" s="2" t="inlineStr"/>
    </row>
    <row r="386" ht="15" customHeight="1">
      <c r="A386" t="inlineStr">
        <is>
          <t>A 51254-2025</t>
        </is>
      </c>
      <c r="B386" t="inlineStr">
        <is>
          <t>avverkningsanmälan</t>
        </is>
      </c>
      <c r="C386" t="inlineStr">
        <is>
          <t>Föryngringsavverkning</t>
        </is>
      </c>
      <c r="D386" s="1" t="n">
        <v>45948</v>
      </c>
      <c r="E386" s="1" t="n">
        <v>46216</v>
      </c>
      <c r="F386" t="inlineStr">
        <is>
          <t>UPPSALA LÄN</t>
        </is>
      </c>
      <c r="G386" t="inlineStr">
        <is>
          <t>ÖSTHAMMAR</t>
        </is>
      </c>
      <c r="I386" t="n">
        <v>8.9</v>
      </c>
      <c r="J386" t="n">
        <v>0</v>
      </c>
      <c r="K386" t="n">
        <v>0</v>
      </c>
      <c r="L386" t="n">
        <v>0</v>
      </c>
      <c r="M386" t="n">
        <v>0</v>
      </c>
      <c r="N386" t="n">
        <v>0</v>
      </c>
      <c r="O386" t="n">
        <v>0</v>
      </c>
      <c r="P386" t="n">
        <v>0</v>
      </c>
      <c r="Q386" t="n">
        <v>0</v>
      </c>
      <c r="R386" t="n">
        <v>0</v>
      </c>
      <c r="S386" t="n">
        <v>0</v>
      </c>
      <c r="T386" t="n">
        <v>0</v>
      </c>
      <c r="U386" s="2" t="inlineStr"/>
    </row>
    <row r="387" ht="15" customHeight="1">
      <c r="A387" t="inlineStr">
        <is>
          <t>A 51265-2025</t>
        </is>
      </c>
      <c r="B387" t="inlineStr">
        <is>
          <t>avverkningsanmälan</t>
        </is>
      </c>
      <c r="C387" t="inlineStr">
        <is>
          <t>Föryngringsavverkning</t>
        </is>
      </c>
      <c r="D387" s="1" t="n">
        <v>45949</v>
      </c>
      <c r="E387" s="1" t="n">
        <v>46216</v>
      </c>
      <c r="F387" t="inlineStr">
        <is>
          <t>UPPSALA LÄN</t>
        </is>
      </c>
      <c r="G387" t="inlineStr">
        <is>
          <t>ÖSTHAMMAR</t>
        </is>
      </c>
      <c r="H387" t="inlineStr">
        <is>
          <t>Bergvik skog öst AB</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51364-2021</t>
        </is>
      </c>
      <c r="B388" t="inlineStr">
        <is>
          <t>avverkningsanmälan</t>
        </is>
      </c>
      <c r="C388" t="inlineStr">
        <is>
          <t>Föryngringsavverkning</t>
        </is>
      </c>
      <c r="D388" s="1" t="n">
        <v>44461</v>
      </c>
      <c r="E388" s="1" t="n">
        <v>46216</v>
      </c>
      <c r="F388" t="inlineStr">
        <is>
          <t>UPPSALA LÄN</t>
        </is>
      </c>
      <c r="G388" t="inlineStr">
        <is>
          <t>ÖSTHAMMAR</t>
        </is>
      </c>
      <c r="I388" t="n">
        <v>2.4</v>
      </c>
      <c r="J388" t="n">
        <v>0</v>
      </c>
      <c r="K388" t="n">
        <v>0</v>
      </c>
      <c r="L388" t="n">
        <v>0</v>
      </c>
      <c r="M388" t="n">
        <v>0</v>
      </c>
      <c r="N388" t="n">
        <v>0</v>
      </c>
      <c r="O388" t="n">
        <v>0</v>
      </c>
      <c r="P388" t="n">
        <v>0</v>
      </c>
      <c r="Q388" t="n">
        <v>0</v>
      </c>
      <c r="R388" t="n">
        <v>0</v>
      </c>
      <c r="S388" t="n">
        <v>0</v>
      </c>
      <c r="T388" t="n">
        <v>0</v>
      </c>
      <c r="U388" s="2" t="inlineStr"/>
    </row>
    <row r="389" ht="15" customHeight="1">
      <c r="A389" t="inlineStr">
        <is>
          <t>A 3642-2026</t>
        </is>
      </c>
      <c r="B389" t="inlineStr">
        <is>
          <t>avverkningsanmälan</t>
        </is>
      </c>
      <c r="C389" t="inlineStr">
        <is>
          <t>Föryngringsavverkning</t>
        </is>
      </c>
      <c r="D389" s="1" t="n">
        <v>46043</v>
      </c>
      <c r="E389" s="1" t="n">
        <v>46216</v>
      </c>
      <c r="F389" t="inlineStr">
        <is>
          <t>UPPSALA LÄN</t>
        </is>
      </c>
      <c r="G389" t="inlineStr">
        <is>
          <t>ÖSTHAMMAR</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3668-2026</t>
        </is>
      </c>
      <c r="B390" t="inlineStr">
        <is>
          <t>avverkningsanmälan</t>
        </is>
      </c>
      <c r="C390" t="inlineStr">
        <is>
          <t>Föryngringsavverkning</t>
        </is>
      </c>
      <c r="D390" s="1" t="n">
        <v>46043</v>
      </c>
      <c r="E390" s="1" t="n">
        <v>46216</v>
      </c>
      <c r="F390" t="inlineStr">
        <is>
          <t>UPPSALA LÄN</t>
        </is>
      </c>
      <c r="G390" t="inlineStr">
        <is>
          <t>ÖSTHAMMAR</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42213-2025</t>
        </is>
      </c>
      <c r="B391" t="inlineStr">
        <is>
          <t>avverkningsanmälan</t>
        </is>
      </c>
      <c r="C391" t="inlineStr">
        <is>
          <t>Föryngringsavverkning</t>
        </is>
      </c>
      <c r="D391" s="1" t="n">
        <v>45904</v>
      </c>
      <c r="E391" s="1" t="n">
        <v>46216</v>
      </c>
      <c r="F391" t="inlineStr">
        <is>
          <t>UPPSALA LÄN</t>
        </is>
      </c>
      <c r="G391" t="inlineStr">
        <is>
          <t>ÖSTHAMMAR</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43915-2023</t>
        </is>
      </c>
      <c r="B392" t="inlineStr">
        <is>
          <t>avverkningsanmälan</t>
        </is>
      </c>
      <c r="C392" t="inlineStr">
        <is>
          <t>Föryngringsavverkning</t>
        </is>
      </c>
      <c r="D392" s="1" t="n">
        <v>45187</v>
      </c>
      <c r="E392" s="1" t="n">
        <v>46216</v>
      </c>
      <c r="F392" t="inlineStr">
        <is>
          <t>UPPSALA LÄN</t>
        </is>
      </c>
      <c r="G392" t="inlineStr">
        <is>
          <t>ÖSTHAMMAR</t>
        </is>
      </c>
      <c r="H392" t="inlineStr">
        <is>
          <t>Bergvik skog öst AB</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3926-2026</t>
        </is>
      </c>
      <c r="B393" t="inlineStr">
        <is>
          <t>avverkningsanmälan</t>
        </is>
      </c>
      <c r="C393" t="inlineStr">
        <is>
          <t>Föryngringsavverkning</t>
        </is>
      </c>
      <c r="D393" s="1" t="n">
        <v>46043</v>
      </c>
      <c r="E393" s="1" t="n">
        <v>46216</v>
      </c>
      <c r="F393" t="inlineStr">
        <is>
          <t>UPPSALA LÄN</t>
        </is>
      </c>
      <c r="G393" t="inlineStr">
        <is>
          <t>ÖSTHAMMAR</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28421-2023</t>
        </is>
      </c>
      <c r="B394" t="inlineStr">
        <is>
          <t>avverkningsanmälan</t>
        </is>
      </c>
      <c r="C394" t="inlineStr">
        <is>
          <t>Föryngringsavverkning</t>
        </is>
      </c>
      <c r="D394" s="1" t="n">
        <v>45102</v>
      </c>
      <c r="E394" s="1" t="n">
        <v>46216</v>
      </c>
      <c r="F394" t="inlineStr">
        <is>
          <t>UPPSALA LÄN</t>
        </is>
      </c>
      <c r="G394" t="inlineStr">
        <is>
          <t>ÖSTHAMMAR</t>
        </is>
      </c>
      <c r="H394" t="inlineStr">
        <is>
          <t>Bergvik skog öst AB</t>
        </is>
      </c>
      <c r="I394" t="n">
        <v>0.4</v>
      </c>
      <c r="J394" t="n">
        <v>0</v>
      </c>
      <c r="K394" t="n">
        <v>0</v>
      </c>
      <c r="L394" t="n">
        <v>0</v>
      </c>
      <c r="M394" t="n">
        <v>0</v>
      </c>
      <c r="N394" t="n">
        <v>0</v>
      </c>
      <c r="O394" t="n">
        <v>0</v>
      </c>
      <c r="P394" t="n">
        <v>0</v>
      </c>
      <c r="Q394" t="n">
        <v>0</v>
      </c>
      <c r="R394" t="n">
        <v>0</v>
      </c>
      <c r="S394" t="n">
        <v>0</v>
      </c>
      <c r="T394" t="n">
        <v>0</v>
      </c>
      <c r="U394" s="2" t="inlineStr"/>
    </row>
    <row r="395" ht="15" customHeight="1">
      <c r="A395" t="inlineStr">
        <is>
          <t>A 54368-2023</t>
        </is>
      </c>
      <c r="B395" t="inlineStr">
        <is>
          <t>avverkningsanmälan</t>
        </is>
      </c>
      <c r="C395" t="inlineStr">
        <is>
          <t>Föryngringsavverkning</t>
        </is>
      </c>
      <c r="D395" s="1" t="n">
        <v>45233</v>
      </c>
      <c r="E395" s="1" t="n">
        <v>46216</v>
      </c>
      <c r="F395" t="inlineStr">
        <is>
          <t>UPPSALA LÄN</t>
        </is>
      </c>
      <c r="G395" t="inlineStr">
        <is>
          <t>ÖSTHAMMAR</t>
        </is>
      </c>
      <c r="H395" t="inlineStr">
        <is>
          <t>Bergvik skog öst AB</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32815-2024</t>
        </is>
      </c>
      <c r="B396" t="inlineStr">
        <is>
          <t>avverkningsanmälan</t>
        </is>
      </c>
      <c r="C396" t="inlineStr">
        <is>
          <t>Föryngringsavverkning</t>
        </is>
      </c>
      <c r="D396" s="1" t="n">
        <v>45516</v>
      </c>
      <c r="E396" s="1" t="n">
        <v>46216</v>
      </c>
      <c r="F396" t="inlineStr">
        <is>
          <t>UPPSALA LÄN</t>
        </is>
      </c>
      <c r="G396" t="inlineStr">
        <is>
          <t>ÖSTHAMMAR</t>
        </is>
      </c>
      <c r="H396" t="inlineStr">
        <is>
          <t>Bergvik skog öst AB</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53735-2025</t>
        </is>
      </c>
      <c r="B397" t="inlineStr">
        <is>
          <t>avverkningsanmälan</t>
        </is>
      </c>
      <c r="C397" t="inlineStr">
        <is>
          <t>Föryngringsavverkning</t>
        </is>
      </c>
      <c r="D397" s="1" t="n">
        <v>45960</v>
      </c>
      <c r="E397" s="1" t="n">
        <v>46216</v>
      </c>
      <c r="F397" t="inlineStr">
        <is>
          <t>UPPSALA LÄN</t>
        </is>
      </c>
      <c r="G397" t="inlineStr">
        <is>
          <t>ÖSTHAMMAR</t>
        </is>
      </c>
      <c r="H397" t="inlineStr">
        <is>
          <t>Bergvik skog öst AB</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53737-2025</t>
        </is>
      </c>
      <c r="B398" t="inlineStr">
        <is>
          <t>avverkningsanmälan</t>
        </is>
      </c>
      <c r="C398" t="inlineStr">
        <is>
          <t>Föryngringsavverkning</t>
        </is>
      </c>
      <c r="D398" s="1" t="n">
        <v>45960</v>
      </c>
      <c r="E398" s="1" t="n">
        <v>46216</v>
      </c>
      <c r="F398" t="inlineStr">
        <is>
          <t>UPPSALA LÄN</t>
        </is>
      </c>
      <c r="G398" t="inlineStr">
        <is>
          <t>ÖSTHAMMAR</t>
        </is>
      </c>
      <c r="H398" t="inlineStr">
        <is>
          <t>Bergvik skog öst AB</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4570-2026</t>
        </is>
      </c>
      <c r="B399" t="inlineStr">
        <is>
          <t>avverkningsanmälan</t>
        </is>
      </c>
      <c r="C399" t="inlineStr">
        <is>
          <t>Föryngringsavverkning</t>
        </is>
      </c>
      <c r="D399" s="1" t="n">
        <v>46048</v>
      </c>
      <c r="E399" s="1" t="n">
        <v>46216</v>
      </c>
      <c r="F399" t="inlineStr">
        <is>
          <t>UPPSALA LÄN</t>
        </is>
      </c>
      <c r="G399" t="inlineStr">
        <is>
          <t>ÖSTHAMMAR</t>
        </is>
      </c>
      <c r="H399" t="inlineStr">
        <is>
          <t>Allmännings- och besparingsskogar</t>
        </is>
      </c>
      <c r="I399" t="n">
        <v>7.1</v>
      </c>
      <c r="J399" t="n">
        <v>0</v>
      </c>
      <c r="K399" t="n">
        <v>0</v>
      </c>
      <c r="L399" t="n">
        <v>0</v>
      </c>
      <c r="M399" t="n">
        <v>0</v>
      </c>
      <c r="N399" t="n">
        <v>0</v>
      </c>
      <c r="O399" t="n">
        <v>0</v>
      </c>
      <c r="P399" t="n">
        <v>0</v>
      </c>
      <c r="Q399" t="n">
        <v>0</v>
      </c>
      <c r="R399" t="n">
        <v>0</v>
      </c>
      <c r="S399" t="n">
        <v>0</v>
      </c>
      <c r="T399" t="n">
        <v>0</v>
      </c>
      <c r="U399" s="2" t="inlineStr"/>
    </row>
    <row r="400" ht="15" customHeight="1">
      <c r="A400" t="inlineStr">
        <is>
          <t>A 5429-2023</t>
        </is>
      </c>
      <c r="B400" t="inlineStr">
        <is>
          <t>avverkningsanmälan</t>
        </is>
      </c>
      <c r="C400" t="inlineStr">
        <is>
          <t>Föryngringsavverkning</t>
        </is>
      </c>
      <c r="D400" s="1" t="n">
        <v>44959</v>
      </c>
      <c r="E400" s="1" t="n">
        <v>46216</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11008-2023</t>
        </is>
      </c>
      <c r="B401" t="inlineStr">
        <is>
          <t>avverkningsanmälan</t>
        </is>
      </c>
      <c r="C401" t="inlineStr">
        <is>
          <t>Föryngringsavverkning</t>
        </is>
      </c>
      <c r="D401" s="1" t="n">
        <v>44991</v>
      </c>
      <c r="E401" s="1" t="n">
        <v>46216</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60047-2021</t>
        </is>
      </c>
      <c r="B402" t="inlineStr">
        <is>
          <t>avverkningsanmälan</t>
        </is>
      </c>
      <c r="C402" t="inlineStr">
        <is>
          <t>Föryngringsavverkning</t>
        </is>
      </c>
      <c r="D402" s="1" t="n">
        <v>44495</v>
      </c>
      <c r="E402" s="1" t="n">
        <v>46216</v>
      </c>
      <c r="F402" t="inlineStr">
        <is>
          <t>UPPSALA LÄN</t>
        </is>
      </c>
      <c r="G402" t="inlineStr">
        <is>
          <t>ÖSTHAMMAR</t>
        </is>
      </c>
      <c r="H402" t="inlineStr">
        <is>
          <t>Övriga Aktiebolag</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54647-2025</t>
        </is>
      </c>
      <c r="B403" t="inlineStr">
        <is>
          <t>avverkningsanmälan</t>
        </is>
      </c>
      <c r="C403" t="inlineStr">
        <is>
          <t>Föryngringsavverkning</t>
        </is>
      </c>
      <c r="D403" s="1" t="n">
        <v>45966</v>
      </c>
      <c r="E403" s="1" t="n">
        <v>46216</v>
      </c>
      <c r="F403" t="inlineStr">
        <is>
          <t>UPPSALA LÄN</t>
        </is>
      </c>
      <c r="G403" t="inlineStr">
        <is>
          <t>ÖSTHAMMAR</t>
        </is>
      </c>
      <c r="I403" t="n">
        <v>4.3</v>
      </c>
      <c r="J403" t="n">
        <v>0</v>
      </c>
      <c r="K403" t="n">
        <v>0</v>
      </c>
      <c r="L403" t="n">
        <v>0</v>
      </c>
      <c r="M403" t="n">
        <v>0</v>
      </c>
      <c r="N403" t="n">
        <v>0</v>
      </c>
      <c r="O403" t="n">
        <v>0</v>
      </c>
      <c r="P403" t="n">
        <v>0</v>
      </c>
      <c r="Q403" t="n">
        <v>0</v>
      </c>
      <c r="R403" t="n">
        <v>0</v>
      </c>
      <c r="S403" t="n">
        <v>0</v>
      </c>
      <c r="T403" t="n">
        <v>0</v>
      </c>
      <c r="U403" s="2" t="inlineStr"/>
    </row>
    <row r="404" ht="15" customHeight="1">
      <c r="A404" t="inlineStr">
        <is>
          <t>A 54649-2025</t>
        </is>
      </c>
      <c r="B404" t="inlineStr">
        <is>
          <t>avverkningsanmälan</t>
        </is>
      </c>
      <c r="C404" t="inlineStr">
        <is>
          <t>Föryngringsavverkning</t>
        </is>
      </c>
      <c r="D404" s="1" t="n">
        <v>45966</v>
      </c>
      <c r="E404" s="1" t="n">
        <v>46216</v>
      </c>
      <c r="F404" t="inlineStr">
        <is>
          <t>UPPSALA LÄN</t>
        </is>
      </c>
      <c r="G404" t="inlineStr">
        <is>
          <t>ÖSTHAMMAR</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3514-2023</t>
        </is>
      </c>
      <c r="B405" t="inlineStr">
        <is>
          <t>avverkningsanmälan</t>
        </is>
      </c>
      <c r="C405" t="inlineStr">
        <is>
          <t>Föryngringsavverkning</t>
        </is>
      </c>
      <c r="D405" s="1" t="n">
        <v>44950</v>
      </c>
      <c r="E405" s="1" t="n">
        <v>46216</v>
      </c>
      <c r="F405" t="inlineStr">
        <is>
          <t>UPPSALA LÄN</t>
        </is>
      </c>
      <c r="G405" t="inlineStr">
        <is>
          <t>ÖSTHAMMAR</t>
        </is>
      </c>
      <c r="H405" t="inlineStr">
        <is>
          <t>Övriga Aktiebolag</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5469-2026</t>
        </is>
      </c>
      <c r="B406" t="inlineStr">
        <is>
          <t>avverkningsanmälan</t>
        </is>
      </c>
      <c r="C406" t="inlineStr">
        <is>
          <t>Avverkning för annat ändamål</t>
        </is>
      </c>
      <c r="D406" s="1" t="n">
        <v>46050</v>
      </c>
      <c r="E406" s="1" t="n">
        <v>46216</v>
      </c>
      <c r="F406" t="inlineStr">
        <is>
          <t>UPPSALA LÄN</t>
        </is>
      </c>
      <c r="G406" t="inlineStr">
        <is>
          <t>ÖSTHAMMAR</t>
        </is>
      </c>
      <c r="H406" t="inlineStr">
        <is>
          <t>Övriga Aktiebolag</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24128-2023</t>
        </is>
      </c>
      <c r="B407" t="inlineStr">
        <is>
          <t>avverkningsanmälan</t>
        </is>
      </c>
      <c r="C407" t="inlineStr">
        <is>
          <t>Föryngringsavverkning</t>
        </is>
      </c>
      <c r="D407" s="1" t="n">
        <v>45079</v>
      </c>
      <c r="E407" s="1" t="n">
        <v>46216</v>
      </c>
      <c r="F407" t="inlineStr">
        <is>
          <t>UPPSALA LÄN</t>
        </is>
      </c>
      <c r="G407" t="inlineStr">
        <is>
          <t>ÖSTHAMMAR</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33552-2024</t>
        </is>
      </c>
      <c r="B408" t="inlineStr">
        <is>
          <t>avverkningsanmälan</t>
        </is>
      </c>
      <c r="C408" t="inlineStr">
        <is>
          <t>Föryngringsavverkning</t>
        </is>
      </c>
      <c r="D408" s="1" t="n">
        <v>45519</v>
      </c>
      <c r="E408" s="1" t="n">
        <v>46216</v>
      </c>
      <c r="F408" t="inlineStr">
        <is>
          <t>UPPSALA LÄN</t>
        </is>
      </c>
      <c r="G408" t="inlineStr">
        <is>
          <t>ÖSTHAMMAR</t>
        </is>
      </c>
      <c r="H408" t="inlineStr">
        <is>
          <t>Bergvik skog öst AB</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24181-2022</t>
        </is>
      </c>
      <c r="B409" t="inlineStr">
        <is>
          <t>avverkningsanmälan</t>
        </is>
      </c>
      <c r="C409" t="inlineStr">
        <is>
          <t>Föryngringsavverkning</t>
        </is>
      </c>
      <c r="D409" s="1" t="n">
        <v>44725</v>
      </c>
      <c r="E409" s="1" t="n">
        <v>46216</v>
      </c>
      <c r="F409" t="inlineStr">
        <is>
          <t>UPPSALA LÄN</t>
        </is>
      </c>
      <c r="G409" t="inlineStr">
        <is>
          <t>ÖSTHAMMAR</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19947-2024</t>
        </is>
      </c>
      <c r="B410" t="inlineStr">
        <is>
          <t>avverkningsanmälan</t>
        </is>
      </c>
      <c r="C410" t="inlineStr">
        <is>
          <t>Föryngringsavverkning</t>
        </is>
      </c>
      <c r="D410" s="1" t="n">
        <v>45433</v>
      </c>
      <c r="E410" s="1" t="n">
        <v>46216</v>
      </c>
      <c r="F410" t="inlineStr">
        <is>
          <t>UPPSALA LÄN</t>
        </is>
      </c>
      <c r="G410" t="inlineStr">
        <is>
          <t>ÖSTHAMMAR</t>
        </is>
      </c>
      <c r="I410" t="n">
        <v>0.3</v>
      </c>
      <c r="J410" t="n">
        <v>0</v>
      </c>
      <c r="K410" t="n">
        <v>0</v>
      </c>
      <c r="L410" t="n">
        <v>0</v>
      </c>
      <c r="M410" t="n">
        <v>0</v>
      </c>
      <c r="N410" t="n">
        <v>0</v>
      </c>
      <c r="O410" t="n">
        <v>0</v>
      </c>
      <c r="P410" t="n">
        <v>0</v>
      </c>
      <c r="Q410" t="n">
        <v>0</v>
      </c>
      <c r="R410" t="n">
        <v>0</v>
      </c>
      <c r="S410" t="n">
        <v>0</v>
      </c>
      <c r="T410" t="n">
        <v>0</v>
      </c>
      <c r="U410" s="2" t="inlineStr"/>
    </row>
    <row r="411" ht="15" customHeight="1">
      <c r="A411" t="inlineStr">
        <is>
          <t>A 6511-2026</t>
        </is>
      </c>
      <c r="B411" t="inlineStr">
        <is>
          <t>avverkningsanmälan</t>
        </is>
      </c>
      <c r="C411" t="inlineStr">
        <is>
          <t>Föryngringsavverkning</t>
        </is>
      </c>
      <c r="D411" s="1" t="n">
        <v>46056</v>
      </c>
      <c r="E411" s="1" t="n">
        <v>46216</v>
      </c>
      <c r="F411" t="inlineStr">
        <is>
          <t>UPPSALA LÄN</t>
        </is>
      </c>
      <c r="G411" t="inlineStr">
        <is>
          <t>ÖSTHAMMAR</t>
        </is>
      </c>
      <c r="H411" t="inlineStr">
        <is>
          <t>Bergvik skog öst AB</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56757-2025</t>
        </is>
      </c>
      <c r="B412" t="inlineStr">
        <is>
          <t>avverkningsanmälan</t>
        </is>
      </c>
      <c r="C412" t="inlineStr">
        <is>
          <t>Föryngringsavverkning</t>
        </is>
      </c>
      <c r="D412" s="1" t="n">
        <v>45978</v>
      </c>
      <c r="E412" s="1" t="n">
        <v>46216</v>
      </c>
      <c r="F412" t="inlineStr">
        <is>
          <t>UPPSALA LÄN</t>
        </is>
      </c>
      <c r="G412" t="inlineStr">
        <is>
          <t>ÖSTHAMMAR</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6517-2026</t>
        </is>
      </c>
      <c r="B413" t="inlineStr">
        <is>
          <t>avverkningsanmälan</t>
        </is>
      </c>
      <c r="C413" t="inlineStr">
        <is>
          <t>Föryngringsavverkning</t>
        </is>
      </c>
      <c r="D413" s="1" t="n">
        <v>46056</v>
      </c>
      <c r="E413" s="1" t="n">
        <v>46216</v>
      </c>
      <c r="F413" t="inlineStr">
        <is>
          <t>UPPSALA LÄN</t>
        </is>
      </c>
      <c r="G413" t="inlineStr">
        <is>
          <t>ÖSTHAMMAR</t>
        </is>
      </c>
      <c r="H413" t="inlineStr">
        <is>
          <t>Bergvik skog öst AB</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56748-2025</t>
        </is>
      </c>
      <c r="B414" t="inlineStr">
        <is>
          <t>avverkningsanmälan</t>
        </is>
      </c>
      <c r="C414" t="inlineStr">
        <is>
          <t>Föryngringsavverkning</t>
        </is>
      </c>
      <c r="D414" s="1" t="n">
        <v>45978</v>
      </c>
      <c r="E414" s="1" t="n">
        <v>46216</v>
      </c>
      <c r="F414" t="inlineStr">
        <is>
          <t>UPPSALA LÄN</t>
        </is>
      </c>
      <c r="G414" t="inlineStr">
        <is>
          <t>ÖSTHAMMAR</t>
        </is>
      </c>
      <c r="H414" t="inlineStr">
        <is>
          <t>Sveaskog</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6884-2026</t>
        </is>
      </c>
      <c r="B415" t="inlineStr">
        <is>
          <t>avverkningsanmälan</t>
        </is>
      </c>
      <c r="C415" t="inlineStr">
        <is>
          <t>Föryngringsavverkning</t>
        </is>
      </c>
      <c r="D415" s="1" t="n">
        <v>46057</v>
      </c>
      <c r="E415" s="1" t="n">
        <v>46216</v>
      </c>
      <c r="F415" t="inlineStr">
        <is>
          <t>UPPSALA LÄN</t>
        </is>
      </c>
      <c r="G415" t="inlineStr">
        <is>
          <t>ÖSTHAMMAR</t>
        </is>
      </c>
      <c r="I415" t="n">
        <v>4.1</v>
      </c>
      <c r="J415" t="n">
        <v>0</v>
      </c>
      <c r="K415" t="n">
        <v>0</v>
      </c>
      <c r="L415" t="n">
        <v>0</v>
      </c>
      <c r="M415" t="n">
        <v>0</v>
      </c>
      <c r="N415" t="n">
        <v>0</v>
      </c>
      <c r="O415" t="n">
        <v>0</v>
      </c>
      <c r="P415" t="n">
        <v>0</v>
      </c>
      <c r="Q415" t="n">
        <v>0</v>
      </c>
      <c r="R415" t="n">
        <v>0</v>
      </c>
      <c r="S415" t="n">
        <v>0</v>
      </c>
      <c r="T415" t="n">
        <v>0</v>
      </c>
      <c r="U415" s="2" t="inlineStr"/>
    </row>
    <row r="416" ht="15" customHeight="1">
      <c r="A416" t="inlineStr">
        <is>
          <t>A 57-2023</t>
        </is>
      </c>
      <c r="B416" t="inlineStr">
        <is>
          <t>avverkningsanmälan</t>
        </is>
      </c>
      <c r="C416" t="inlineStr">
        <is>
          <t>Föryngringsavverkning</t>
        </is>
      </c>
      <c r="D416" s="1" t="n">
        <v>44928</v>
      </c>
      <c r="E416" s="1" t="n">
        <v>46216</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59-2023</t>
        </is>
      </c>
      <c r="B417" t="inlineStr">
        <is>
          <t>avverkningsanmälan</t>
        </is>
      </c>
      <c r="C417" t="inlineStr">
        <is>
          <t>Föryngringsavverkning</t>
        </is>
      </c>
      <c r="D417" s="1" t="n">
        <v>44928</v>
      </c>
      <c r="E417" s="1" t="n">
        <v>46216</v>
      </c>
      <c r="F417" t="inlineStr">
        <is>
          <t>UPPSALA LÄN</t>
        </is>
      </c>
      <c r="G417" t="inlineStr">
        <is>
          <t>ÖSTHAMMAR</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6635-2026</t>
        </is>
      </c>
      <c r="B418" t="inlineStr">
        <is>
          <t>avverkningsanmälan</t>
        </is>
      </c>
      <c r="C418" t="inlineStr">
        <is>
          <t>Föryngringsavverkning</t>
        </is>
      </c>
      <c r="D418" s="1" t="n">
        <v>46056</v>
      </c>
      <c r="E418" s="1" t="n">
        <v>46216</v>
      </c>
      <c r="F418" t="inlineStr">
        <is>
          <t>UPPSALA LÄN</t>
        </is>
      </c>
      <c r="G418" t="inlineStr">
        <is>
          <t>ÖSTHAMMAR</t>
        </is>
      </c>
      <c r="H418" t="inlineStr">
        <is>
          <t>Bergvik skog öst AB</t>
        </is>
      </c>
      <c r="I418" t="n">
        <v>4.3</v>
      </c>
      <c r="J418" t="n">
        <v>0</v>
      </c>
      <c r="K418" t="n">
        <v>0</v>
      </c>
      <c r="L418" t="n">
        <v>0</v>
      </c>
      <c r="M418" t="n">
        <v>0</v>
      </c>
      <c r="N418" t="n">
        <v>0</v>
      </c>
      <c r="O418" t="n">
        <v>0</v>
      </c>
      <c r="P418" t="n">
        <v>0</v>
      </c>
      <c r="Q418" t="n">
        <v>0</v>
      </c>
      <c r="R418" t="n">
        <v>0</v>
      </c>
      <c r="S418" t="n">
        <v>0</v>
      </c>
      <c r="T418" t="n">
        <v>0</v>
      </c>
      <c r="U418" s="2" t="inlineStr"/>
    </row>
    <row r="419" ht="15" customHeight="1">
      <c r="A419" t="inlineStr">
        <is>
          <t>A 6522-2026</t>
        </is>
      </c>
      <c r="B419" t="inlineStr">
        <is>
          <t>avverkningsanmälan</t>
        </is>
      </c>
      <c r="C419" t="inlineStr">
        <is>
          <t>Föryngringsavverkning</t>
        </is>
      </c>
      <c r="D419" s="1" t="n">
        <v>46056</v>
      </c>
      <c r="E419" s="1" t="n">
        <v>46216</v>
      </c>
      <c r="F419" t="inlineStr">
        <is>
          <t>UPPSALA LÄN</t>
        </is>
      </c>
      <c r="G419" t="inlineStr">
        <is>
          <t>ÖSTHAMMAR</t>
        </is>
      </c>
      <c r="H419" t="inlineStr">
        <is>
          <t>Bergvik skog öst AB</t>
        </is>
      </c>
      <c r="I419" t="n">
        <v>4.2</v>
      </c>
      <c r="J419" t="n">
        <v>0</v>
      </c>
      <c r="K419" t="n">
        <v>0</v>
      </c>
      <c r="L419" t="n">
        <v>0</v>
      </c>
      <c r="M419" t="n">
        <v>0</v>
      </c>
      <c r="N419" t="n">
        <v>0</v>
      </c>
      <c r="O419" t="n">
        <v>0</v>
      </c>
      <c r="P419" t="n">
        <v>0</v>
      </c>
      <c r="Q419" t="n">
        <v>0</v>
      </c>
      <c r="R419" t="n">
        <v>0</v>
      </c>
      <c r="S419" t="n">
        <v>0</v>
      </c>
      <c r="T419" t="n">
        <v>0</v>
      </c>
      <c r="U419" s="2" t="inlineStr"/>
    </row>
    <row r="420" ht="15" customHeight="1">
      <c r="A420" t="inlineStr">
        <is>
          <t>A 56753-2025</t>
        </is>
      </c>
      <c r="B420" t="inlineStr">
        <is>
          <t>avverkningsanmälan</t>
        </is>
      </c>
      <c r="C420" t="inlineStr">
        <is>
          <t>Föryngringsavverkning</t>
        </is>
      </c>
      <c r="D420" s="1" t="n">
        <v>45978</v>
      </c>
      <c r="E420" s="1" t="n">
        <v>46216</v>
      </c>
      <c r="F420" t="inlineStr">
        <is>
          <t>UPPSALA LÄN</t>
        </is>
      </c>
      <c r="G420" t="inlineStr">
        <is>
          <t>ÖSTHAMMAR</t>
        </is>
      </c>
      <c r="H420" t="inlineStr">
        <is>
          <t>Sveaskog</t>
        </is>
      </c>
      <c r="I420" t="n">
        <v>8.6</v>
      </c>
      <c r="J420" t="n">
        <v>0</v>
      </c>
      <c r="K420" t="n">
        <v>0</v>
      </c>
      <c r="L420" t="n">
        <v>0</v>
      </c>
      <c r="M420" t="n">
        <v>0</v>
      </c>
      <c r="N420" t="n">
        <v>0</v>
      </c>
      <c r="O420" t="n">
        <v>0</v>
      </c>
      <c r="P420" t="n">
        <v>0</v>
      </c>
      <c r="Q420" t="n">
        <v>0</v>
      </c>
      <c r="R420" t="n">
        <v>0</v>
      </c>
      <c r="S420" t="n">
        <v>0</v>
      </c>
      <c r="T420" t="n">
        <v>0</v>
      </c>
      <c r="U420" s="2" t="inlineStr"/>
    </row>
    <row r="421" ht="15" customHeight="1">
      <c r="A421" t="inlineStr">
        <is>
          <t>A 55079-2024</t>
        </is>
      </c>
      <c r="B421" t="inlineStr">
        <is>
          <t>avverkningsanmälan</t>
        </is>
      </c>
      <c r="C421" t="inlineStr">
        <is>
          <t>Föryngringsavverkning</t>
        </is>
      </c>
      <c r="D421" s="1" t="n">
        <v>45621</v>
      </c>
      <c r="E421" s="1" t="n">
        <v>46216</v>
      </c>
      <c r="F421" t="inlineStr">
        <is>
          <t>UPPSALA LÄN</t>
        </is>
      </c>
      <c r="G421" t="inlineStr">
        <is>
          <t>ÖSTHAMMAR</t>
        </is>
      </c>
      <c r="H421" t="inlineStr">
        <is>
          <t>Sveaskog</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56823-2025</t>
        </is>
      </c>
      <c r="B422" t="inlineStr">
        <is>
          <t>avverkningsanmälan</t>
        </is>
      </c>
      <c r="C422" t="inlineStr">
        <is>
          <t>Föryngringsavverkning</t>
        </is>
      </c>
      <c r="D422" s="1" t="n">
        <v>45978</v>
      </c>
      <c r="E422" s="1" t="n">
        <v>46216</v>
      </c>
      <c r="F422" t="inlineStr">
        <is>
          <t>UPPSALA LÄN</t>
        </is>
      </c>
      <c r="G422" t="inlineStr">
        <is>
          <t>ÖSTHAMMAR</t>
        </is>
      </c>
      <c r="I422" t="n">
        <v>0.1</v>
      </c>
      <c r="J422" t="n">
        <v>0</v>
      </c>
      <c r="K422" t="n">
        <v>0</v>
      </c>
      <c r="L422" t="n">
        <v>0</v>
      </c>
      <c r="M422" t="n">
        <v>0</v>
      </c>
      <c r="N422" t="n">
        <v>0</v>
      </c>
      <c r="O422" t="n">
        <v>0</v>
      </c>
      <c r="P422" t="n">
        <v>0</v>
      </c>
      <c r="Q422" t="n">
        <v>0</v>
      </c>
      <c r="R422" t="n">
        <v>0</v>
      </c>
      <c r="S422" t="n">
        <v>0</v>
      </c>
      <c r="T422" t="n">
        <v>0</v>
      </c>
      <c r="U422" s="2" t="inlineStr"/>
    </row>
    <row r="423" ht="15" customHeight="1">
      <c r="A423" t="inlineStr">
        <is>
          <t>A 33680-2024</t>
        </is>
      </c>
      <c r="B423" t="inlineStr">
        <is>
          <t>avverkningsanmälan</t>
        </is>
      </c>
      <c r="C423" t="inlineStr">
        <is>
          <t>Föryngringsavverkning</t>
        </is>
      </c>
      <c r="D423" s="1" t="n">
        <v>45520</v>
      </c>
      <c r="E423" s="1" t="n">
        <v>46216</v>
      </c>
      <c r="F423" t="inlineStr">
        <is>
          <t>UPPSALA LÄN</t>
        </is>
      </c>
      <c r="G423" t="inlineStr">
        <is>
          <t>ÖSTHAMMAR</t>
        </is>
      </c>
      <c r="H423" t="inlineStr">
        <is>
          <t>Bergvik skog öst AB</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30811-2023</t>
        </is>
      </c>
      <c r="B424" t="inlineStr">
        <is>
          <t>avverkningsanmälan</t>
        </is>
      </c>
      <c r="C424" t="inlineStr">
        <is>
          <t>Föryngringsavverkning</t>
        </is>
      </c>
      <c r="D424" s="1" t="n">
        <v>45112</v>
      </c>
      <c r="E424" s="1" t="n">
        <v>46216</v>
      </c>
      <c r="F424" t="inlineStr">
        <is>
          <t>UPPSALA LÄN</t>
        </is>
      </c>
      <c r="G424" t="inlineStr">
        <is>
          <t>ÖSTHAMMAR</t>
        </is>
      </c>
      <c r="H424" t="inlineStr">
        <is>
          <t>Bergvik skog öst AB</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7241-2026</t>
        </is>
      </c>
      <c r="B425" t="inlineStr">
        <is>
          <t>avverkningsanmälan</t>
        </is>
      </c>
      <c r="C425" t="inlineStr">
        <is>
          <t>Föryngringsavverkning</t>
        </is>
      </c>
      <c r="D425" s="1" t="n">
        <v>46058</v>
      </c>
      <c r="E425" s="1" t="n">
        <v>46216</v>
      </c>
      <c r="F425" t="inlineStr">
        <is>
          <t>UPPSALA LÄN</t>
        </is>
      </c>
      <c r="G425" t="inlineStr">
        <is>
          <t>ÖSTHAMMAR</t>
        </is>
      </c>
      <c r="H425" t="inlineStr">
        <is>
          <t>Övriga Aktiebolag</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7262-2026</t>
        </is>
      </c>
      <c r="B426" t="inlineStr">
        <is>
          <t>avverkningsanmälan</t>
        </is>
      </c>
      <c r="C426" t="inlineStr">
        <is>
          <t>Föryngringsavverkning</t>
        </is>
      </c>
      <c r="D426" s="1" t="n">
        <v>46058</v>
      </c>
      <c r="E426" s="1" t="n">
        <v>46216</v>
      </c>
      <c r="F426" t="inlineStr">
        <is>
          <t>UPPSALA LÄN</t>
        </is>
      </c>
      <c r="G426" t="inlineStr">
        <is>
          <t>ÖSTHAMMAR</t>
        </is>
      </c>
      <c r="H426" t="inlineStr">
        <is>
          <t>Övriga Aktiebolag</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55646-2021</t>
        </is>
      </c>
      <c r="B427" t="inlineStr">
        <is>
          <t>avverkningsanmälan</t>
        </is>
      </c>
      <c r="C427" t="inlineStr">
        <is>
          <t>Föryngringsavverkning</t>
        </is>
      </c>
      <c r="D427" s="1" t="n">
        <v>44476</v>
      </c>
      <c r="E427" s="1" t="n">
        <v>46216</v>
      </c>
      <c r="F427" t="inlineStr">
        <is>
          <t>UPPSALA LÄN</t>
        </is>
      </c>
      <c r="G427" t="inlineStr">
        <is>
          <t>ÖSTHAMMAR</t>
        </is>
      </c>
      <c r="H427" t="inlineStr">
        <is>
          <t>Bergvik skog öst AB</t>
        </is>
      </c>
      <c r="I427" t="n">
        <v>0.2</v>
      </c>
      <c r="J427" t="n">
        <v>0</v>
      </c>
      <c r="K427" t="n">
        <v>0</v>
      </c>
      <c r="L427" t="n">
        <v>0</v>
      </c>
      <c r="M427" t="n">
        <v>0</v>
      </c>
      <c r="N427" t="n">
        <v>0</v>
      </c>
      <c r="O427" t="n">
        <v>0</v>
      </c>
      <c r="P427" t="n">
        <v>0</v>
      </c>
      <c r="Q427" t="n">
        <v>0</v>
      </c>
      <c r="R427" t="n">
        <v>0</v>
      </c>
      <c r="S427" t="n">
        <v>0</v>
      </c>
      <c r="T427" t="n">
        <v>0</v>
      </c>
      <c r="U427" s="2" t="inlineStr"/>
    </row>
    <row r="428" ht="15" customHeight="1">
      <c r="A428" t="inlineStr">
        <is>
          <t>A 58399-2025</t>
        </is>
      </c>
      <c r="B428" t="inlineStr">
        <is>
          <t>avverkningsanmälan</t>
        </is>
      </c>
      <c r="C428" t="inlineStr">
        <is>
          <t>Föryngringsavverkning</t>
        </is>
      </c>
      <c r="D428" s="1" t="n">
        <v>45985</v>
      </c>
      <c r="E428" s="1" t="n">
        <v>46216</v>
      </c>
      <c r="F428" t="inlineStr">
        <is>
          <t>UPPSALA LÄN</t>
        </is>
      </c>
      <c r="G428" t="inlineStr">
        <is>
          <t>ÖSTHAMMAR</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61443-2024</t>
        </is>
      </c>
      <c r="B429" t="inlineStr">
        <is>
          <t>avverkningsanmälan</t>
        </is>
      </c>
      <c r="C429" t="inlineStr">
        <is>
          <t>Föryngringsavverkning</t>
        </is>
      </c>
      <c r="D429" s="1" t="n">
        <v>45646</v>
      </c>
      <c r="E429" s="1" t="n">
        <v>46216</v>
      </c>
      <c r="F429" t="inlineStr">
        <is>
          <t>UPPSALA LÄN</t>
        </is>
      </c>
      <c r="G429" t="inlineStr">
        <is>
          <t>ÖSTHAMMAR</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8030-2026</t>
        </is>
      </c>
      <c r="B430" t="inlineStr">
        <is>
          <t>avverkningsanmälan</t>
        </is>
      </c>
      <c r="C430" t="inlineStr">
        <is>
          <t>Föryngringsavverkning</t>
        </is>
      </c>
      <c r="D430" s="1" t="n">
        <v>46063</v>
      </c>
      <c r="E430" s="1" t="n">
        <v>46216</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8086-2026</t>
        </is>
      </c>
      <c r="B431" t="inlineStr">
        <is>
          <t>avverkningsanmälan</t>
        </is>
      </c>
      <c r="C431" t="inlineStr">
        <is>
          <t>Föryngringsavverkning</t>
        </is>
      </c>
      <c r="D431" s="1" t="n">
        <v>46063</v>
      </c>
      <c r="E431" s="1" t="n">
        <v>46216</v>
      </c>
      <c r="F431" t="inlineStr">
        <is>
          <t>UPPSALA LÄN</t>
        </is>
      </c>
      <c r="G431" t="inlineStr">
        <is>
          <t>ÖSTHAMMAR</t>
        </is>
      </c>
      <c r="I431" t="n">
        <v>3.8</v>
      </c>
      <c r="J431" t="n">
        <v>0</v>
      </c>
      <c r="K431" t="n">
        <v>0</v>
      </c>
      <c r="L431" t="n">
        <v>0</v>
      </c>
      <c r="M431" t="n">
        <v>0</v>
      </c>
      <c r="N431" t="n">
        <v>0</v>
      </c>
      <c r="O431" t="n">
        <v>0</v>
      </c>
      <c r="P431" t="n">
        <v>0</v>
      </c>
      <c r="Q431" t="n">
        <v>0</v>
      </c>
      <c r="R431" t="n">
        <v>0</v>
      </c>
      <c r="S431" t="n">
        <v>0</v>
      </c>
      <c r="T431" t="n">
        <v>0</v>
      </c>
      <c r="U431" s="2" t="inlineStr"/>
    </row>
    <row r="432" ht="15" customHeight="1">
      <c r="A432" t="inlineStr">
        <is>
          <t>A 18731-2022</t>
        </is>
      </c>
      <c r="B432" t="inlineStr">
        <is>
          <t>avverkningsanmälan</t>
        </is>
      </c>
      <c r="C432" t="inlineStr">
        <is>
          <t>Föryngringsavverkning</t>
        </is>
      </c>
      <c r="D432" s="1" t="n">
        <v>44687</v>
      </c>
      <c r="E432" s="1" t="n">
        <v>46216</v>
      </c>
      <c r="F432" t="inlineStr">
        <is>
          <t>UPPSALA LÄN</t>
        </is>
      </c>
      <c r="G432" t="inlineStr">
        <is>
          <t>ÖSTHAMMAR</t>
        </is>
      </c>
      <c r="I432" t="n">
        <v>4.9</v>
      </c>
      <c r="J432" t="n">
        <v>0</v>
      </c>
      <c r="K432" t="n">
        <v>0</v>
      </c>
      <c r="L432" t="n">
        <v>0</v>
      </c>
      <c r="M432" t="n">
        <v>0</v>
      </c>
      <c r="N432" t="n">
        <v>0</v>
      </c>
      <c r="O432" t="n">
        <v>0</v>
      </c>
      <c r="P432" t="n">
        <v>0</v>
      </c>
      <c r="Q432" t="n">
        <v>0</v>
      </c>
      <c r="R432" t="n">
        <v>0</v>
      </c>
      <c r="S432" t="n">
        <v>0</v>
      </c>
      <c r="T432" t="n">
        <v>0</v>
      </c>
      <c r="U432" s="2" t="inlineStr"/>
    </row>
    <row r="433" ht="15" customHeight="1">
      <c r="A433" t="inlineStr">
        <is>
          <t>A 9642-2024</t>
        </is>
      </c>
      <c r="B433" t="inlineStr">
        <is>
          <t>avverkningsanmälan</t>
        </is>
      </c>
      <c r="C433" t="inlineStr">
        <is>
          <t>Föryngringsavverkning</t>
        </is>
      </c>
      <c r="D433" s="1" t="n">
        <v>45362</v>
      </c>
      <c r="E433" s="1" t="n">
        <v>46216</v>
      </c>
      <c r="F433" t="inlineStr">
        <is>
          <t>UPPSALA LÄN</t>
        </is>
      </c>
      <c r="G433" t="inlineStr">
        <is>
          <t>ÖSTHAMMAR</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8530-2026</t>
        </is>
      </c>
      <c r="B434" t="inlineStr">
        <is>
          <t>avverkningsanmälan</t>
        </is>
      </c>
      <c r="C434" t="inlineStr">
        <is>
          <t>Föryngringsavverkning</t>
        </is>
      </c>
      <c r="D434" s="1" t="n">
        <v>46065</v>
      </c>
      <c r="E434" s="1" t="n">
        <v>46216</v>
      </c>
      <c r="F434" t="inlineStr">
        <is>
          <t>UPPSALA LÄN</t>
        </is>
      </c>
      <c r="G434" t="inlineStr">
        <is>
          <t>ÖSTHAMMAR</t>
        </is>
      </c>
      <c r="H434" t="inlineStr">
        <is>
          <t>Övriga Aktiebolag</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8269-2026</t>
        </is>
      </c>
      <c r="B435" t="inlineStr">
        <is>
          <t>avverkningsanmälan</t>
        </is>
      </c>
      <c r="C435" t="inlineStr">
        <is>
          <t>Föryngringsavverkning</t>
        </is>
      </c>
      <c r="D435" s="1" t="n">
        <v>46064</v>
      </c>
      <c r="E435" s="1" t="n">
        <v>46216</v>
      </c>
      <c r="F435" t="inlineStr">
        <is>
          <t>UPPSALA LÄN</t>
        </is>
      </c>
      <c r="G435" t="inlineStr">
        <is>
          <t>ÖSTHAMMAR</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18401-2025</t>
        </is>
      </c>
      <c r="B436" t="inlineStr">
        <is>
          <t>avverkningsanmälan</t>
        </is>
      </c>
      <c r="C436" t="inlineStr">
        <is>
          <t>Föryngringsavverkning</t>
        </is>
      </c>
      <c r="D436" s="1" t="n">
        <v>45762</v>
      </c>
      <c r="E436" s="1" t="n">
        <v>46216</v>
      </c>
      <c r="F436" t="inlineStr">
        <is>
          <t>UPPSALA LÄN</t>
        </is>
      </c>
      <c r="G436" t="inlineStr">
        <is>
          <t>ÖSTHAMMAR</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8291-2026</t>
        </is>
      </c>
      <c r="B437" t="inlineStr">
        <is>
          <t>avverkningsanmälan</t>
        </is>
      </c>
      <c r="C437" t="inlineStr">
        <is>
          <t>Föryngringsavverkning</t>
        </is>
      </c>
      <c r="D437" s="1" t="n">
        <v>46064</v>
      </c>
      <c r="E437" s="1" t="n">
        <v>46216</v>
      </c>
      <c r="F437" t="inlineStr">
        <is>
          <t>UPPSALA LÄN</t>
        </is>
      </c>
      <c r="G437" t="inlineStr">
        <is>
          <t>ÖSTHAMMAR</t>
        </is>
      </c>
      <c r="I437" t="n">
        <v>4.5</v>
      </c>
      <c r="J437" t="n">
        <v>0</v>
      </c>
      <c r="K437" t="n">
        <v>0</v>
      </c>
      <c r="L437" t="n">
        <v>0</v>
      </c>
      <c r="M437" t="n">
        <v>0</v>
      </c>
      <c r="N437" t="n">
        <v>0</v>
      </c>
      <c r="O437" t="n">
        <v>0</v>
      </c>
      <c r="P437" t="n">
        <v>0</v>
      </c>
      <c r="Q437" t="n">
        <v>0</v>
      </c>
      <c r="R437" t="n">
        <v>0</v>
      </c>
      <c r="S437" t="n">
        <v>0</v>
      </c>
      <c r="T437" t="n">
        <v>0</v>
      </c>
      <c r="U437" s="2" t="inlineStr"/>
    </row>
    <row r="438" ht="15" customHeight="1">
      <c r="A438" t="inlineStr">
        <is>
          <t>A 8525-2026</t>
        </is>
      </c>
      <c r="B438" t="inlineStr">
        <is>
          <t>avverkningsanmälan</t>
        </is>
      </c>
      <c r="C438" t="inlineStr">
        <is>
          <t>Föryngringsavverkning</t>
        </is>
      </c>
      <c r="D438" s="1" t="n">
        <v>46065</v>
      </c>
      <c r="E438" s="1" t="n">
        <v>46216</v>
      </c>
      <c r="F438" t="inlineStr">
        <is>
          <t>UPPSALA LÄN</t>
        </is>
      </c>
      <c r="G438" t="inlineStr">
        <is>
          <t>ÖSTHAMMAR</t>
        </is>
      </c>
      <c r="H438" t="inlineStr">
        <is>
          <t>Övriga Aktiebolag</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8789-2026</t>
        </is>
      </c>
      <c r="B439" t="inlineStr">
        <is>
          <t>avverkningsanmälan</t>
        </is>
      </c>
      <c r="C439" t="inlineStr">
        <is>
          <t>Föryngringsavverkning</t>
        </is>
      </c>
      <c r="D439" s="1" t="n">
        <v>46066</v>
      </c>
      <c r="E439" s="1" t="n">
        <v>46216</v>
      </c>
      <c r="F439" t="inlineStr">
        <is>
          <t>UPPSALA LÄN</t>
        </is>
      </c>
      <c r="G439" t="inlineStr">
        <is>
          <t>ÖSTHAMMAR</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28429-2023</t>
        </is>
      </c>
      <c r="B440" t="inlineStr">
        <is>
          <t>avverkningsanmälan</t>
        </is>
      </c>
      <c r="C440" t="inlineStr">
        <is>
          <t>Föryngringsavverkning</t>
        </is>
      </c>
      <c r="D440" s="1" t="n">
        <v>45102</v>
      </c>
      <c r="E440" s="1" t="n">
        <v>46216</v>
      </c>
      <c r="F440" t="inlineStr">
        <is>
          <t>UPPSALA LÄN</t>
        </is>
      </c>
      <c r="G440" t="inlineStr">
        <is>
          <t>ÖSTHAMMAR</t>
        </is>
      </c>
      <c r="H440" t="inlineStr">
        <is>
          <t>Bergvik skog öst AB</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30755-2024</t>
        </is>
      </c>
      <c r="B441" t="inlineStr">
        <is>
          <t>avverkningsanmälan</t>
        </is>
      </c>
      <c r="C441" t="inlineStr">
        <is>
          <t>Föryngringsavverkning</t>
        </is>
      </c>
      <c r="D441" s="1" t="n">
        <v>45496</v>
      </c>
      <c r="E441" s="1" t="n">
        <v>46216</v>
      </c>
      <c r="F441" t="inlineStr">
        <is>
          <t>UPPSALA LÄN</t>
        </is>
      </c>
      <c r="G441" t="inlineStr">
        <is>
          <t>ÖSTHAMMAR</t>
        </is>
      </c>
      <c r="H441" t="inlineStr">
        <is>
          <t>Bergvik skog öst AB</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57156-2025</t>
        </is>
      </c>
      <c r="B442" t="inlineStr">
        <is>
          <t>avverkningsanmälan</t>
        </is>
      </c>
      <c r="C442" t="inlineStr">
        <is>
          <t>Föryngringsavverkning</t>
        </is>
      </c>
      <c r="D442" s="1" t="n">
        <v>45979</v>
      </c>
      <c r="E442" s="1" t="n">
        <v>46216</v>
      </c>
      <c r="F442" t="inlineStr">
        <is>
          <t>UPPSALA LÄN</t>
        </is>
      </c>
      <c r="G442" t="inlineStr">
        <is>
          <t>ÖSTHAMMAR</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4562-2022</t>
        </is>
      </c>
      <c r="B443" t="inlineStr">
        <is>
          <t>avverkningsanmälan</t>
        </is>
      </c>
      <c r="C443" t="inlineStr">
        <is>
          <t>Föryngringsavverkning</t>
        </is>
      </c>
      <c r="D443" s="1" t="n">
        <v>44591</v>
      </c>
      <c r="E443" s="1" t="n">
        <v>46216</v>
      </c>
      <c r="F443" t="inlineStr">
        <is>
          <t>UPPSALA LÄN</t>
        </is>
      </c>
      <c r="G443" t="inlineStr">
        <is>
          <t>ÖSTHAMMAR</t>
        </is>
      </c>
      <c r="I443" t="n">
        <v>3.4</v>
      </c>
      <c r="J443" t="n">
        <v>0</v>
      </c>
      <c r="K443" t="n">
        <v>0</v>
      </c>
      <c r="L443" t="n">
        <v>0</v>
      </c>
      <c r="M443" t="n">
        <v>0</v>
      </c>
      <c r="N443" t="n">
        <v>0</v>
      </c>
      <c r="O443" t="n">
        <v>0</v>
      </c>
      <c r="P443" t="n">
        <v>0</v>
      </c>
      <c r="Q443" t="n">
        <v>0</v>
      </c>
      <c r="R443" t="n">
        <v>0</v>
      </c>
      <c r="S443" t="n">
        <v>0</v>
      </c>
      <c r="T443" t="n">
        <v>0</v>
      </c>
      <c r="U443" s="2" t="inlineStr"/>
    </row>
    <row r="444" ht="15" customHeight="1">
      <c r="A444" t="inlineStr">
        <is>
          <t>A 60603-2025</t>
        </is>
      </c>
      <c r="B444" t="inlineStr">
        <is>
          <t>avverkningsanmälan</t>
        </is>
      </c>
      <c r="C444" t="inlineStr">
        <is>
          <t>Föryngringsavverkning</t>
        </is>
      </c>
      <c r="D444" s="1" t="n">
        <v>45996</v>
      </c>
      <c r="E444" s="1" t="n">
        <v>46216</v>
      </c>
      <c r="F444" t="inlineStr">
        <is>
          <t>UPPSALA LÄN</t>
        </is>
      </c>
      <c r="G444" t="inlineStr">
        <is>
          <t>ÖSTHAMMAR</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60910-2025</t>
        </is>
      </c>
      <c r="B445" t="inlineStr">
        <is>
          <t>avverkningsanmälan</t>
        </is>
      </c>
      <c r="C445" t="inlineStr">
        <is>
          <t>Föryngringsavverkning</t>
        </is>
      </c>
      <c r="D445" s="1" t="n">
        <v>45999</v>
      </c>
      <c r="E445" s="1" t="n">
        <v>46216</v>
      </c>
      <c r="F445" t="inlineStr">
        <is>
          <t>UPPSALA LÄN</t>
        </is>
      </c>
      <c r="G445" t="inlineStr">
        <is>
          <t>ÖSTHAMMAR</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53733-2023</t>
        </is>
      </c>
      <c r="B446" t="inlineStr">
        <is>
          <t>avverkningsanmälan</t>
        </is>
      </c>
      <c r="C446" t="inlineStr">
        <is>
          <t>Föryngringsavverkning</t>
        </is>
      </c>
      <c r="D446" s="1" t="n">
        <v>45230</v>
      </c>
      <c r="E446" s="1" t="n">
        <v>46216</v>
      </c>
      <c r="F446" t="inlineStr">
        <is>
          <t>UPPSALA LÄN</t>
        </is>
      </c>
      <c r="G446" t="inlineStr">
        <is>
          <t>ÖSTHAMMAR</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41308-2023</t>
        </is>
      </c>
      <c r="B447" t="inlineStr">
        <is>
          <t>avverkningsanmälan</t>
        </is>
      </c>
      <c r="C447" t="inlineStr">
        <is>
          <t>Föryngringsavverkning</t>
        </is>
      </c>
      <c r="D447" s="1" t="n">
        <v>45174</v>
      </c>
      <c r="E447" s="1" t="n">
        <v>46216</v>
      </c>
      <c r="F447" t="inlineStr">
        <is>
          <t>UPPSALA LÄN</t>
        </is>
      </c>
      <c r="G447" t="inlineStr">
        <is>
          <t>ÖSTHAMMAR</t>
        </is>
      </c>
      <c r="H447" t="inlineStr">
        <is>
          <t>Övriga Aktiebolag</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17969-2023</t>
        </is>
      </c>
      <c r="B448" t="inlineStr">
        <is>
          <t>avverkningsanmälan</t>
        </is>
      </c>
      <c r="C448" t="inlineStr">
        <is>
          <t>Föryngringsavverkning</t>
        </is>
      </c>
      <c r="D448" s="1" t="n">
        <v>45040</v>
      </c>
      <c r="E448" s="1" t="n">
        <v>46216</v>
      </c>
      <c r="F448" t="inlineStr">
        <is>
          <t>UPPSALA LÄN</t>
        </is>
      </c>
      <c r="G448" t="inlineStr">
        <is>
          <t>ÖSTHAMMAR</t>
        </is>
      </c>
      <c r="I448" t="n">
        <v>5.4</v>
      </c>
      <c r="J448" t="n">
        <v>0</v>
      </c>
      <c r="K448" t="n">
        <v>0</v>
      </c>
      <c r="L448" t="n">
        <v>0</v>
      </c>
      <c r="M448" t="n">
        <v>0</v>
      </c>
      <c r="N448" t="n">
        <v>0</v>
      </c>
      <c r="O448" t="n">
        <v>0</v>
      </c>
      <c r="P448" t="n">
        <v>0</v>
      </c>
      <c r="Q448" t="n">
        <v>0</v>
      </c>
      <c r="R448" t="n">
        <v>0</v>
      </c>
      <c r="S448" t="n">
        <v>0</v>
      </c>
      <c r="T448" t="n">
        <v>0</v>
      </c>
      <c r="U448" s="2" t="inlineStr"/>
    </row>
    <row r="449" ht="15" customHeight="1">
      <c r="A449" t="inlineStr">
        <is>
          <t>A 25969-2023</t>
        </is>
      </c>
      <c r="B449" t="inlineStr">
        <is>
          <t>avverkningsanmälan</t>
        </is>
      </c>
      <c r="C449" t="inlineStr">
        <is>
          <t>Föryngringsavverkning</t>
        </is>
      </c>
      <c r="D449" s="1" t="n">
        <v>45090</v>
      </c>
      <c r="E449" s="1" t="n">
        <v>46216</v>
      </c>
      <c r="F449" t="inlineStr">
        <is>
          <t>UPPSALA LÄN</t>
        </is>
      </c>
      <c r="G449" t="inlineStr">
        <is>
          <t>ÖSTHAMMAR</t>
        </is>
      </c>
      <c r="H449" t="inlineStr">
        <is>
          <t>Sveaskog</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9664-2026</t>
        </is>
      </c>
      <c r="B450" t="inlineStr">
        <is>
          <t>avverkningsanmälan</t>
        </is>
      </c>
      <c r="C450" t="inlineStr">
        <is>
          <t>Föryngringsavverkning</t>
        </is>
      </c>
      <c r="D450" s="1" t="n">
        <v>46072</v>
      </c>
      <c r="E450" s="1" t="n">
        <v>46216</v>
      </c>
      <c r="F450" t="inlineStr">
        <is>
          <t>UPPSALA LÄN</t>
        </is>
      </c>
      <c r="G450" t="inlineStr">
        <is>
          <t>ÖSTHAMMAR</t>
        </is>
      </c>
      <c r="H450" t="inlineStr">
        <is>
          <t>Bergvik skog öst AB</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50998-2023</t>
        </is>
      </c>
      <c r="B451" t="inlineStr">
        <is>
          <t>avverkningsanmälan</t>
        </is>
      </c>
      <c r="C451" t="inlineStr">
        <is>
          <t>Föryngringsavverkning</t>
        </is>
      </c>
      <c r="D451" s="1" t="n">
        <v>45218</v>
      </c>
      <c r="E451" s="1" t="n">
        <v>46216</v>
      </c>
      <c r="F451" t="inlineStr">
        <is>
          <t>UPPSALA LÄN</t>
        </is>
      </c>
      <c r="G451" t="inlineStr">
        <is>
          <t>ÖSTHAMMAR</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A 55837-2023</t>
        </is>
      </c>
      <c r="B452" t="inlineStr">
        <is>
          <t>avverkningsanmälan</t>
        </is>
      </c>
      <c r="C452" t="inlineStr">
        <is>
          <t>Föryngringsavverkning</t>
        </is>
      </c>
      <c r="D452" s="1" t="n">
        <v>45239</v>
      </c>
      <c r="E452" s="1" t="n">
        <v>46216</v>
      </c>
      <c r="F452" t="inlineStr">
        <is>
          <t>UPPSALA LÄN</t>
        </is>
      </c>
      <c r="G452" t="inlineStr">
        <is>
          <t>ÖSTHAMMAR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18838-2023</t>
        </is>
      </c>
      <c r="B453" t="inlineStr">
        <is>
          <t>avverkningsanmälan</t>
        </is>
      </c>
      <c r="C453" t="inlineStr">
        <is>
          <t>Föryngringsavverkning</t>
        </is>
      </c>
      <c r="D453" s="1" t="n">
        <v>45044</v>
      </c>
      <c r="E453" s="1" t="n">
        <v>46216</v>
      </c>
      <c r="F453" t="inlineStr">
        <is>
          <t>UPPSALA LÄN</t>
        </is>
      </c>
      <c r="G453" t="inlineStr">
        <is>
          <t>ÖSTHAMMAR</t>
        </is>
      </c>
      <c r="I453" t="n">
        <v>2.8</v>
      </c>
      <c r="J453" t="n">
        <v>0</v>
      </c>
      <c r="K453" t="n">
        <v>0</v>
      </c>
      <c r="L453" t="n">
        <v>0</v>
      </c>
      <c r="M453" t="n">
        <v>0</v>
      </c>
      <c r="N453" t="n">
        <v>0</v>
      </c>
      <c r="O453" t="n">
        <v>0</v>
      </c>
      <c r="P453" t="n">
        <v>0</v>
      </c>
      <c r="Q453" t="n">
        <v>0</v>
      </c>
      <c r="R453" t="n">
        <v>0</v>
      </c>
      <c r="S453" t="n">
        <v>0</v>
      </c>
      <c r="T453" t="n">
        <v>0</v>
      </c>
      <c r="U453" s="2" t="inlineStr"/>
    </row>
    <row r="454" ht="15" customHeight="1">
      <c r="A454" t="inlineStr">
        <is>
          <t>A 59382-2022</t>
        </is>
      </c>
      <c r="B454" t="inlineStr">
        <is>
          <t>avverkningsanmälan</t>
        </is>
      </c>
      <c r="C454" t="inlineStr">
        <is>
          <t>Föryngringsavverkning</t>
        </is>
      </c>
      <c r="D454" s="1" t="n">
        <v>44905</v>
      </c>
      <c r="E454" s="1" t="n">
        <v>46216</v>
      </c>
      <c r="F454" t="inlineStr">
        <is>
          <t>UPPSALA LÄN</t>
        </is>
      </c>
      <c r="G454" t="inlineStr">
        <is>
          <t>ÖSTHAMMAR</t>
        </is>
      </c>
      <c r="I454" t="n">
        <v>2.9</v>
      </c>
      <c r="J454" t="n">
        <v>0</v>
      </c>
      <c r="K454" t="n">
        <v>0</v>
      </c>
      <c r="L454" t="n">
        <v>0</v>
      </c>
      <c r="M454" t="n">
        <v>0</v>
      </c>
      <c r="N454" t="n">
        <v>0</v>
      </c>
      <c r="O454" t="n">
        <v>0</v>
      </c>
      <c r="P454" t="n">
        <v>0</v>
      </c>
      <c r="Q454" t="n">
        <v>0</v>
      </c>
      <c r="R454" t="n">
        <v>0</v>
      </c>
      <c r="S454" t="n">
        <v>0</v>
      </c>
      <c r="T454" t="n">
        <v>0</v>
      </c>
      <c r="U454" s="2" t="inlineStr"/>
    </row>
    <row r="455" ht="15" customHeight="1">
      <c r="A455" t="inlineStr">
        <is>
          <t>A 61838-2025</t>
        </is>
      </c>
      <c r="B455" t="inlineStr">
        <is>
          <t>avverkningsanmälan</t>
        </is>
      </c>
      <c r="C455" t="inlineStr">
        <is>
          <t>Föryngringsavverkning</t>
        </is>
      </c>
      <c r="D455" s="1" t="n">
        <v>46003</v>
      </c>
      <c r="E455" s="1" t="n">
        <v>46216</v>
      </c>
      <c r="F455" t="inlineStr">
        <is>
          <t>UPPSALA LÄN</t>
        </is>
      </c>
      <c r="G455" t="inlineStr">
        <is>
          <t>ÖSTHAMMAR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17085-2025</t>
        </is>
      </c>
      <c r="B456" t="inlineStr">
        <is>
          <t>avverkningsanmälan</t>
        </is>
      </c>
      <c r="C456" t="inlineStr">
        <is>
          <t>Föryngringsavverkning</t>
        </is>
      </c>
      <c r="D456" s="1" t="n">
        <v>45755</v>
      </c>
      <c r="E456" s="1" t="n">
        <v>46216</v>
      </c>
      <c r="F456" t="inlineStr">
        <is>
          <t>UPPSALA LÄN</t>
        </is>
      </c>
      <c r="G456" t="inlineStr">
        <is>
          <t>ÖSTHAMMAR</t>
        </is>
      </c>
      <c r="H456" t="inlineStr">
        <is>
          <t>Bergvik skog öst AB</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29231-2024</t>
        </is>
      </c>
      <c r="B457" t="inlineStr">
        <is>
          <t>avverkningsanmälan</t>
        </is>
      </c>
      <c r="C457" t="inlineStr">
        <is>
          <t>Föryngringsavverkning</t>
        </is>
      </c>
      <c r="D457" s="1" t="n">
        <v>45482</v>
      </c>
      <c r="E457" s="1" t="n">
        <v>46216</v>
      </c>
      <c r="F457" t="inlineStr">
        <is>
          <t>UPPSALA LÄN</t>
        </is>
      </c>
      <c r="G457" t="inlineStr">
        <is>
          <t>ÖSTHAMMAR</t>
        </is>
      </c>
      <c r="H457" t="inlineStr">
        <is>
          <t>Bergvik skog öst AB</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62745-2025</t>
        </is>
      </c>
      <c r="B458" t="inlineStr">
        <is>
          <t>avverkningsanmälan</t>
        </is>
      </c>
      <c r="C458" t="inlineStr">
        <is>
          <t>Föryngringsavverkning</t>
        </is>
      </c>
      <c r="D458" s="1" t="n">
        <v>46008</v>
      </c>
      <c r="E458" s="1" t="n">
        <v>46216</v>
      </c>
      <c r="F458" t="inlineStr">
        <is>
          <t>UPPSALA LÄN</t>
        </is>
      </c>
      <c r="G458" t="inlineStr">
        <is>
          <t>ÖSTHAMMAR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9264-2024</t>
        </is>
      </c>
      <c r="B459" t="inlineStr">
        <is>
          <t>avverkningsanmälan</t>
        </is>
      </c>
      <c r="C459" t="inlineStr">
        <is>
          <t>Föryngringsavverkning</t>
        </is>
      </c>
      <c r="D459" s="1" t="n">
        <v>45358</v>
      </c>
      <c r="E459" s="1" t="n">
        <v>46216</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11643-2022</t>
        </is>
      </c>
      <c r="B460" t="inlineStr">
        <is>
          <t>avverkningsanmälan</t>
        </is>
      </c>
      <c r="C460" t="inlineStr">
        <is>
          <t>Föryngringsavverkning</t>
        </is>
      </c>
      <c r="D460" s="1" t="n">
        <v>44631</v>
      </c>
      <c r="E460" s="1" t="n">
        <v>46216</v>
      </c>
      <c r="F460" t="inlineStr">
        <is>
          <t>UPPSALA LÄN</t>
        </is>
      </c>
      <c r="G460" t="inlineStr">
        <is>
          <t>ÖSTHAMMAR</t>
        </is>
      </c>
      <c r="H460" t="inlineStr">
        <is>
          <t>Bergvik skog öst AB</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34607-2023</t>
        </is>
      </c>
      <c r="B461" t="inlineStr">
        <is>
          <t>avverkningsanmälan</t>
        </is>
      </c>
      <c r="C461" t="inlineStr">
        <is>
          <t>Föryngringsavverkning</t>
        </is>
      </c>
      <c r="D461" s="1" t="n">
        <v>45138</v>
      </c>
      <c r="E461" s="1" t="n">
        <v>46216</v>
      </c>
      <c r="F461" t="inlineStr">
        <is>
          <t>UPPSALA LÄN</t>
        </is>
      </c>
      <c r="G461" t="inlineStr">
        <is>
          <t>ÖSTHAMMAR</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5215-2025</t>
        </is>
      </c>
      <c r="B462" t="inlineStr">
        <is>
          <t>avverkningsanmälan</t>
        </is>
      </c>
      <c r="C462" t="inlineStr">
        <is>
          <t>Föryngringsavverkning</t>
        </is>
      </c>
      <c r="D462" s="1" t="n">
        <v>45691</v>
      </c>
      <c r="E462" s="1" t="n">
        <v>46216</v>
      </c>
      <c r="F462" t="inlineStr">
        <is>
          <t>UPPSALA LÄN</t>
        </is>
      </c>
      <c r="G462" t="inlineStr">
        <is>
          <t>ÖSTHAMMAR</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2733-2023</t>
        </is>
      </c>
      <c r="B463" t="inlineStr">
        <is>
          <t>avverkningsanmälan</t>
        </is>
      </c>
      <c r="C463" t="inlineStr">
        <is>
          <t>Avverkning för annat ändamål</t>
        </is>
      </c>
      <c r="D463" s="1" t="n">
        <v>44943</v>
      </c>
      <c r="E463" s="1" t="n">
        <v>46216</v>
      </c>
      <c r="F463" t="inlineStr">
        <is>
          <t>UPPSALA LÄN</t>
        </is>
      </c>
      <c r="G463" t="inlineStr">
        <is>
          <t>ÖSTHAMMAR</t>
        </is>
      </c>
      <c r="I463" t="n">
        <v>2.6</v>
      </c>
      <c r="J463" t="n">
        <v>0</v>
      </c>
      <c r="K463" t="n">
        <v>0</v>
      </c>
      <c r="L463" t="n">
        <v>0</v>
      </c>
      <c r="M463" t="n">
        <v>0</v>
      </c>
      <c r="N463" t="n">
        <v>0</v>
      </c>
      <c r="O463" t="n">
        <v>0</v>
      </c>
      <c r="P463" t="n">
        <v>0</v>
      </c>
      <c r="Q463" t="n">
        <v>0</v>
      </c>
      <c r="R463" t="n">
        <v>0</v>
      </c>
      <c r="S463" t="n">
        <v>0</v>
      </c>
      <c r="T463" t="n">
        <v>0</v>
      </c>
      <c r="U463" s="2" t="inlineStr"/>
    </row>
    <row r="464" ht="15" customHeight="1">
      <c r="A464" t="inlineStr">
        <is>
          <t>A 8769-2025</t>
        </is>
      </c>
      <c r="B464" t="inlineStr">
        <is>
          <t>avverkningsanmälan</t>
        </is>
      </c>
      <c r="C464" t="inlineStr">
        <is>
          <t>Föryngringsavverkning</t>
        </is>
      </c>
      <c r="D464" s="1" t="n">
        <v>45712</v>
      </c>
      <c r="E464" s="1" t="n">
        <v>46216</v>
      </c>
      <c r="F464" t="inlineStr">
        <is>
          <t>UPPSALA LÄN</t>
        </is>
      </c>
      <c r="G464" t="inlineStr">
        <is>
          <t>ÖSTHAMMAR</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34971-2022</t>
        </is>
      </c>
      <c r="B465" t="inlineStr">
        <is>
          <t>avverkningsanmälan</t>
        </is>
      </c>
      <c r="C465" t="inlineStr">
        <is>
          <t>Föryngringsavverkning</t>
        </is>
      </c>
      <c r="D465" s="1" t="n">
        <v>44796</v>
      </c>
      <c r="E465" s="1" t="n">
        <v>46216</v>
      </c>
      <c r="F465" t="inlineStr">
        <is>
          <t>UPPSALA LÄN</t>
        </is>
      </c>
      <c r="G465" t="inlineStr">
        <is>
          <t>ÖSTHAMMAR</t>
        </is>
      </c>
      <c r="H465" t="inlineStr">
        <is>
          <t>Bergvik skog öst AB</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3725-2022</t>
        </is>
      </c>
      <c r="B466" t="inlineStr">
        <is>
          <t>avverkningsanmälan</t>
        </is>
      </c>
      <c r="C466" t="inlineStr">
        <is>
          <t>Avverkning för annat ändamål</t>
        </is>
      </c>
      <c r="D466" s="1" t="n">
        <v>44586</v>
      </c>
      <c r="E466" s="1" t="n">
        <v>46216</v>
      </c>
      <c r="F466" t="inlineStr">
        <is>
          <t>UPPSALA LÄN</t>
        </is>
      </c>
      <c r="G466" t="inlineStr">
        <is>
          <t>ÖSTHAMMAR</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12812-2024</t>
        </is>
      </c>
      <c r="B467" t="inlineStr">
        <is>
          <t>avverkningsanmälan</t>
        </is>
      </c>
      <c r="C467" t="inlineStr">
        <is>
          <t>Föryngringsavverkning</t>
        </is>
      </c>
      <c r="D467" s="1" t="n">
        <v>45384</v>
      </c>
      <c r="E467" s="1" t="n">
        <v>46216</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12150-2026</t>
        </is>
      </c>
      <c r="B468" t="inlineStr">
        <is>
          <t>avverkningsanmälan</t>
        </is>
      </c>
      <c r="C468" t="inlineStr">
        <is>
          <t>Föryngringsavverkning</t>
        </is>
      </c>
      <c r="D468" s="1" t="n">
        <v>46086</v>
      </c>
      <c r="E468" s="1" t="n">
        <v>46216</v>
      </c>
      <c r="F468" t="inlineStr">
        <is>
          <t>UPPSALA LÄN</t>
        </is>
      </c>
      <c r="G468" t="inlineStr">
        <is>
          <t>ÖSTHAMMAR</t>
        </is>
      </c>
      <c r="H468" t="inlineStr">
        <is>
          <t>Bergvik skog öst AB</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28170-2023</t>
        </is>
      </c>
      <c r="B469" t="inlineStr">
        <is>
          <t>avverkningsanmälan</t>
        </is>
      </c>
      <c r="C469" t="inlineStr">
        <is>
          <t>Föryngringsavverkning</t>
        </is>
      </c>
      <c r="D469" s="1" t="n">
        <v>45093</v>
      </c>
      <c r="E469" s="1" t="n">
        <v>46216</v>
      </c>
      <c r="F469" t="inlineStr">
        <is>
          <t>UPPSALA LÄN</t>
        </is>
      </c>
      <c r="G469" t="inlineStr">
        <is>
          <t>ÖSTHAMMAR</t>
        </is>
      </c>
      <c r="I469" t="n">
        <v>7.2</v>
      </c>
      <c r="J469" t="n">
        <v>0</v>
      </c>
      <c r="K469" t="n">
        <v>0</v>
      </c>
      <c r="L469" t="n">
        <v>0</v>
      </c>
      <c r="M469" t="n">
        <v>0</v>
      </c>
      <c r="N469" t="n">
        <v>0</v>
      </c>
      <c r="O469" t="n">
        <v>0</v>
      </c>
      <c r="P469" t="n">
        <v>0</v>
      </c>
      <c r="Q469" t="n">
        <v>0</v>
      </c>
      <c r="R469" t="n">
        <v>0</v>
      </c>
      <c r="S469" t="n">
        <v>0</v>
      </c>
      <c r="T469" t="n">
        <v>0</v>
      </c>
      <c r="U469" s="2" t="inlineStr"/>
    </row>
    <row r="470" ht="15" customHeight="1">
      <c r="A470" t="inlineStr">
        <is>
          <t>A 7876-2023</t>
        </is>
      </c>
      <c r="B470" t="inlineStr">
        <is>
          <t>avverkningsanmälan</t>
        </is>
      </c>
      <c r="C470" t="inlineStr">
        <is>
          <t>Föryngringsavverkning</t>
        </is>
      </c>
      <c r="D470" s="1" t="n">
        <v>44973</v>
      </c>
      <c r="E470" s="1" t="n">
        <v>46216</v>
      </c>
      <c r="F470" t="inlineStr">
        <is>
          <t>UPPSALA LÄN</t>
        </is>
      </c>
      <c r="G470" t="inlineStr">
        <is>
          <t>ÖSTHAMMAR</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12151-2026</t>
        </is>
      </c>
      <c r="B471" t="inlineStr">
        <is>
          <t>avverkningsanmälan</t>
        </is>
      </c>
      <c r="C471" t="inlineStr">
        <is>
          <t>Föryngringsavverkning</t>
        </is>
      </c>
      <c r="D471" s="1" t="n">
        <v>46086</v>
      </c>
      <c r="E471" s="1" t="n">
        <v>46216</v>
      </c>
      <c r="F471" t="inlineStr">
        <is>
          <t>UPPSALA LÄN</t>
        </is>
      </c>
      <c r="G471" t="inlineStr">
        <is>
          <t>ÖSTHAMMAR</t>
        </is>
      </c>
      <c r="H471" t="inlineStr">
        <is>
          <t>Bergvik skog öst AB</t>
        </is>
      </c>
      <c r="I471" t="n">
        <v>9.199999999999999</v>
      </c>
      <c r="J471" t="n">
        <v>0</v>
      </c>
      <c r="K471" t="n">
        <v>0</v>
      </c>
      <c r="L471" t="n">
        <v>0</v>
      </c>
      <c r="M471" t="n">
        <v>0</v>
      </c>
      <c r="N471" t="n">
        <v>0</v>
      </c>
      <c r="O471" t="n">
        <v>0</v>
      </c>
      <c r="P471" t="n">
        <v>0</v>
      </c>
      <c r="Q471" t="n">
        <v>0</v>
      </c>
      <c r="R471" t="n">
        <v>0</v>
      </c>
      <c r="S471" t="n">
        <v>0</v>
      </c>
      <c r="T471" t="n">
        <v>0</v>
      </c>
      <c r="U471" s="2" t="inlineStr"/>
    </row>
    <row r="472" ht="15" customHeight="1">
      <c r="A472" t="inlineStr">
        <is>
          <t>A 14433-2024</t>
        </is>
      </c>
      <c r="B472" t="inlineStr">
        <is>
          <t>avverkningsanmälan</t>
        </is>
      </c>
      <c r="C472" t="inlineStr">
        <is>
          <t>Föryngringsavverkning</t>
        </is>
      </c>
      <c r="D472" s="1" t="n">
        <v>45394</v>
      </c>
      <c r="E472" s="1" t="n">
        <v>46216</v>
      </c>
      <c r="F472" t="inlineStr">
        <is>
          <t>UPPSALA LÄN</t>
        </is>
      </c>
      <c r="G472" t="inlineStr">
        <is>
          <t>ÖSTHAMMAR</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12261-2026</t>
        </is>
      </c>
      <c r="B473" t="inlineStr">
        <is>
          <t>avverkningsanmälan</t>
        </is>
      </c>
      <c r="C473" t="inlineStr">
        <is>
          <t>Föryngringsavverkning</t>
        </is>
      </c>
      <c r="D473" s="1" t="n">
        <v>46087</v>
      </c>
      <c r="E473" s="1" t="n">
        <v>46216</v>
      </c>
      <c r="F473" t="inlineStr">
        <is>
          <t>UPPSALA LÄN</t>
        </is>
      </c>
      <c r="G473" t="inlineStr">
        <is>
          <t>ÖSTHAMMAR</t>
        </is>
      </c>
      <c r="H473" t="inlineStr">
        <is>
          <t>Övriga Aktiebolag</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12262-2026</t>
        </is>
      </c>
      <c r="B474" t="inlineStr">
        <is>
          <t>avverkningsanmälan</t>
        </is>
      </c>
      <c r="C474" t="inlineStr">
        <is>
          <t>Föryngringsavverkning</t>
        </is>
      </c>
      <c r="D474" s="1" t="n">
        <v>46087</v>
      </c>
      <c r="E474" s="1" t="n">
        <v>46216</v>
      </c>
      <c r="F474" t="inlineStr">
        <is>
          <t>UPPSALA LÄN</t>
        </is>
      </c>
      <c r="G474" t="inlineStr">
        <is>
          <t>ÖSTHAMMAR</t>
        </is>
      </c>
      <c r="H474" t="inlineStr">
        <is>
          <t>Övriga Aktiebolag</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12387-2026</t>
        </is>
      </c>
      <c r="B475" t="inlineStr">
        <is>
          <t>avverkningsanmälan</t>
        </is>
      </c>
      <c r="C475" t="inlineStr">
        <is>
          <t>Föryngringsavverkning</t>
        </is>
      </c>
      <c r="D475" s="1" t="n">
        <v>46090</v>
      </c>
      <c r="E475" s="1" t="n">
        <v>46216</v>
      </c>
      <c r="F475" t="inlineStr">
        <is>
          <t>UPPSALA LÄN</t>
        </is>
      </c>
      <c r="G475" t="inlineStr">
        <is>
          <t>ÖSTHAMMAR</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20038-2023</t>
        </is>
      </c>
      <c r="B476" t="inlineStr">
        <is>
          <t>avverkningsanmälan</t>
        </is>
      </c>
      <c r="C476" t="inlineStr">
        <is>
          <t>Föryngringsavverkning</t>
        </is>
      </c>
      <c r="D476" s="1" t="n">
        <v>45054</v>
      </c>
      <c r="E476" s="1" t="n">
        <v>46216</v>
      </c>
      <c r="F476" t="inlineStr">
        <is>
          <t>UPPSALA LÄN</t>
        </is>
      </c>
      <c r="G476" t="inlineStr">
        <is>
          <t>ÖSTHAMMAR</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12263-2026</t>
        </is>
      </c>
      <c r="B477" t="inlineStr">
        <is>
          <t>avverkningsanmälan</t>
        </is>
      </c>
      <c r="C477" t="inlineStr">
        <is>
          <t>Föryngringsavverkning</t>
        </is>
      </c>
      <c r="D477" s="1" t="n">
        <v>46087</v>
      </c>
      <c r="E477" s="1" t="n">
        <v>46216</v>
      </c>
      <c r="F477" t="inlineStr">
        <is>
          <t>UPPSALA LÄN</t>
        </is>
      </c>
      <c r="G477" t="inlineStr">
        <is>
          <t>ÖSTHAMMAR</t>
        </is>
      </c>
      <c r="H477" t="inlineStr">
        <is>
          <t>Övriga Aktiebolag</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13738-2023</t>
        </is>
      </c>
      <c r="B478" t="inlineStr">
        <is>
          <t>avverkningsanmälan</t>
        </is>
      </c>
      <c r="C478" t="inlineStr">
        <is>
          <t>Föryngringsavverkning</t>
        </is>
      </c>
      <c r="D478" s="1" t="n">
        <v>45007</v>
      </c>
      <c r="E478" s="1" t="n">
        <v>46216</v>
      </c>
      <c r="F478" t="inlineStr">
        <is>
          <t>UPPSALA LÄN</t>
        </is>
      </c>
      <c r="G478" t="inlineStr">
        <is>
          <t>ÖSTHAMMAR</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43439-2024</t>
        </is>
      </c>
      <c r="B479" t="inlineStr">
        <is>
          <t>avverkningsanmälan</t>
        </is>
      </c>
      <c r="C479" t="inlineStr">
        <is>
          <t>Föryngringsavverkning</t>
        </is>
      </c>
      <c r="D479" s="1" t="n">
        <v>45568</v>
      </c>
      <c r="E479" s="1" t="n">
        <v>46216</v>
      </c>
      <c r="F479" t="inlineStr">
        <is>
          <t>UPPSALA LÄN</t>
        </is>
      </c>
      <c r="G479" t="inlineStr">
        <is>
          <t>ÖSTHAMMAR</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13472-2026</t>
        </is>
      </c>
      <c r="B480" t="inlineStr">
        <is>
          <t>avverkningsanmälan</t>
        </is>
      </c>
      <c r="C480" t="inlineStr">
        <is>
          <t>Föryngringsavverkning</t>
        </is>
      </c>
      <c r="D480" s="1" t="n">
        <v>46094</v>
      </c>
      <c r="E480" s="1" t="n">
        <v>46216</v>
      </c>
      <c r="F480" t="inlineStr">
        <is>
          <t>UPPSALA LÄN</t>
        </is>
      </c>
      <c r="G480" t="inlineStr">
        <is>
          <t>ÖSTHAMMAR</t>
        </is>
      </c>
      <c r="H480" t="inlineStr">
        <is>
          <t>Övriga Aktiebolag</t>
        </is>
      </c>
      <c r="I480" t="n">
        <v>4</v>
      </c>
      <c r="J480" t="n">
        <v>0</v>
      </c>
      <c r="K480" t="n">
        <v>0</v>
      </c>
      <c r="L480" t="n">
        <v>0</v>
      </c>
      <c r="M480" t="n">
        <v>0</v>
      </c>
      <c r="N480" t="n">
        <v>0</v>
      </c>
      <c r="O480" t="n">
        <v>0</v>
      </c>
      <c r="P480" t="n">
        <v>0</v>
      </c>
      <c r="Q480" t="n">
        <v>0</v>
      </c>
      <c r="R480" t="n">
        <v>0</v>
      </c>
      <c r="S480" t="n">
        <v>0</v>
      </c>
      <c r="T480" t="n">
        <v>0</v>
      </c>
      <c r="U480" s="2" t="inlineStr"/>
    </row>
    <row r="481" ht="15" customHeight="1">
      <c r="A481" t="inlineStr">
        <is>
          <t>A 11469-2023</t>
        </is>
      </c>
      <c r="B481" t="inlineStr">
        <is>
          <t>avverkningsanmälan</t>
        </is>
      </c>
      <c r="C481" t="inlineStr">
        <is>
          <t>Föryngringsavverkning</t>
        </is>
      </c>
      <c r="D481" s="1" t="n">
        <v>44993</v>
      </c>
      <c r="E481" s="1" t="n">
        <v>46216</v>
      </c>
      <c r="F481" t="inlineStr">
        <is>
          <t>UPPSALA LÄN</t>
        </is>
      </c>
      <c r="G481" t="inlineStr">
        <is>
          <t>ÖSTHAMMAR</t>
        </is>
      </c>
      <c r="H481" t="inlineStr">
        <is>
          <t>Bergvik skog öst AB</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14007-2026</t>
        </is>
      </c>
      <c r="B482" t="inlineStr">
        <is>
          <t>avverkningsanmälan</t>
        </is>
      </c>
      <c r="C482" t="inlineStr">
        <is>
          <t>Föryngringsavverkning</t>
        </is>
      </c>
      <c r="D482" s="1" t="n">
        <v>46098</v>
      </c>
      <c r="E482" s="1" t="n">
        <v>46216</v>
      </c>
      <c r="F482" t="inlineStr">
        <is>
          <t>UPPSALA LÄN</t>
        </is>
      </c>
      <c r="G482" t="inlineStr">
        <is>
          <t>ÖSTHAMMAR</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25418-2022</t>
        </is>
      </c>
      <c r="B483" t="inlineStr">
        <is>
          <t>avverkningsanmälan</t>
        </is>
      </c>
      <c r="C483" t="inlineStr">
        <is>
          <t>Föryngringsavverkning</t>
        </is>
      </c>
      <c r="D483" s="1" t="n">
        <v>44732</v>
      </c>
      <c r="E483" s="1" t="n">
        <v>46216</v>
      </c>
      <c r="F483" t="inlineStr">
        <is>
          <t>UPPSALA LÄN</t>
        </is>
      </c>
      <c r="G483" t="inlineStr">
        <is>
          <t>ÖSTHAMMAR</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14030-2026</t>
        </is>
      </c>
      <c r="B484" t="inlineStr">
        <is>
          <t>avverkningsanmälan</t>
        </is>
      </c>
      <c r="C484" t="inlineStr">
        <is>
          <t>Föryngringsavverkning</t>
        </is>
      </c>
      <c r="D484" s="1" t="n">
        <v>46098</v>
      </c>
      <c r="E484" s="1" t="n">
        <v>46216</v>
      </c>
      <c r="F484" t="inlineStr">
        <is>
          <t>UPPSALA LÄN</t>
        </is>
      </c>
      <c r="G484" t="inlineStr">
        <is>
          <t>ÖSTHAMMAR</t>
        </is>
      </c>
      <c r="H484" t="inlineStr">
        <is>
          <t>Bergvik skog öst AB</t>
        </is>
      </c>
      <c r="I484" t="n">
        <v>8.4</v>
      </c>
      <c r="J484" t="n">
        <v>0</v>
      </c>
      <c r="K484" t="n">
        <v>0</v>
      </c>
      <c r="L484" t="n">
        <v>0</v>
      </c>
      <c r="M484" t="n">
        <v>0</v>
      </c>
      <c r="N484" t="n">
        <v>0</v>
      </c>
      <c r="O484" t="n">
        <v>0</v>
      </c>
      <c r="P484" t="n">
        <v>0</v>
      </c>
      <c r="Q484" t="n">
        <v>0</v>
      </c>
      <c r="R484" t="n">
        <v>0</v>
      </c>
      <c r="S484" t="n">
        <v>0</v>
      </c>
      <c r="T484" t="n">
        <v>0</v>
      </c>
      <c r="U484" s="2" t="inlineStr"/>
    </row>
    <row r="485" ht="15" customHeight="1">
      <c r="A485" t="inlineStr">
        <is>
          <t>A 14031-2026</t>
        </is>
      </c>
      <c r="B485" t="inlineStr">
        <is>
          <t>avverkningsanmälan</t>
        </is>
      </c>
      <c r="C485" t="inlineStr">
        <is>
          <t>Föryngringsavverkning</t>
        </is>
      </c>
      <c r="D485" s="1" t="n">
        <v>46098</v>
      </c>
      <c r="E485" s="1" t="n">
        <v>46216</v>
      </c>
      <c r="F485" t="inlineStr">
        <is>
          <t>UPPSALA LÄN</t>
        </is>
      </c>
      <c r="G485" t="inlineStr">
        <is>
          <t>ÖSTHAMMAR</t>
        </is>
      </c>
      <c r="H485" t="inlineStr">
        <is>
          <t>Bergvik skog öst AB</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14671-2022</t>
        </is>
      </c>
      <c r="B486" t="inlineStr">
        <is>
          <t>avverkningsanmälan</t>
        </is>
      </c>
      <c r="C486" t="inlineStr">
        <is>
          <t>Föryngringsavverkning</t>
        </is>
      </c>
      <c r="D486" s="1" t="n">
        <v>44655</v>
      </c>
      <c r="E486" s="1" t="n">
        <v>46216</v>
      </c>
      <c r="F486" t="inlineStr">
        <is>
          <t>UPPSALA LÄN</t>
        </is>
      </c>
      <c r="G486" t="inlineStr">
        <is>
          <t>ÖSTHAMMAR</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46399-2023</t>
        </is>
      </c>
      <c r="B487" t="inlineStr">
        <is>
          <t>avverkningsanmälan</t>
        </is>
      </c>
      <c r="C487" t="inlineStr">
        <is>
          <t>Föryngringsavverkning</t>
        </is>
      </c>
      <c r="D487" s="1" t="n">
        <v>45197</v>
      </c>
      <c r="E487" s="1" t="n">
        <v>46216</v>
      </c>
      <c r="F487" t="inlineStr">
        <is>
          <t>UPPSALA LÄN</t>
        </is>
      </c>
      <c r="G487" t="inlineStr">
        <is>
          <t>ÖSTHAMMAR</t>
        </is>
      </c>
      <c r="I487" t="n">
        <v>5.8</v>
      </c>
      <c r="J487" t="n">
        <v>0</v>
      </c>
      <c r="K487" t="n">
        <v>0</v>
      </c>
      <c r="L487" t="n">
        <v>0</v>
      </c>
      <c r="M487" t="n">
        <v>0</v>
      </c>
      <c r="N487" t="n">
        <v>0</v>
      </c>
      <c r="O487" t="n">
        <v>0</v>
      </c>
      <c r="P487" t="n">
        <v>0</v>
      </c>
      <c r="Q487" t="n">
        <v>0</v>
      </c>
      <c r="R487" t="n">
        <v>0</v>
      </c>
      <c r="S487" t="n">
        <v>0</v>
      </c>
      <c r="T487" t="n">
        <v>0</v>
      </c>
      <c r="U487" s="2" t="inlineStr"/>
    </row>
    <row r="488" ht="15" customHeight="1">
      <c r="A488" t="inlineStr">
        <is>
          <t>A 15006-2026</t>
        </is>
      </c>
      <c r="B488" t="inlineStr">
        <is>
          <t>avverkningsanmälan</t>
        </is>
      </c>
      <c r="C488" t="inlineStr">
        <is>
          <t>Föryngringsavverkning</t>
        </is>
      </c>
      <c r="D488" s="1" t="n">
        <v>46104</v>
      </c>
      <c r="E488" s="1" t="n">
        <v>46216</v>
      </c>
      <c r="F488" t="inlineStr">
        <is>
          <t>UPPSALA LÄN</t>
        </is>
      </c>
      <c r="G488" t="inlineStr">
        <is>
          <t>ÖSTHAMMAR</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15475-2026</t>
        </is>
      </c>
      <c r="B489" t="inlineStr">
        <is>
          <t>avverkningsanmälan</t>
        </is>
      </c>
      <c r="C489" t="inlineStr">
        <is>
          <t>Föryngringsavverkning</t>
        </is>
      </c>
      <c r="D489" s="1" t="n">
        <v>46106</v>
      </c>
      <c r="E489" s="1" t="n">
        <v>46216</v>
      </c>
      <c r="F489" t="inlineStr">
        <is>
          <t>UPPSALA LÄN</t>
        </is>
      </c>
      <c r="G489" t="inlineStr">
        <is>
          <t>ÖSTHAMMAR</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15478-2026</t>
        </is>
      </c>
      <c r="B490" t="inlineStr">
        <is>
          <t>avverkningsanmälan</t>
        </is>
      </c>
      <c r="C490" t="inlineStr">
        <is>
          <t>Föryngringsavverkning</t>
        </is>
      </c>
      <c r="D490" s="1" t="n">
        <v>46106</v>
      </c>
      <c r="E490" s="1" t="n">
        <v>46216</v>
      </c>
      <c r="F490" t="inlineStr">
        <is>
          <t>UPPSALA LÄN</t>
        </is>
      </c>
      <c r="G490" t="inlineStr">
        <is>
          <t>ÖSTHAMMAR</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45550-2023</t>
        </is>
      </c>
      <c r="B491" t="inlineStr">
        <is>
          <t>avverkningsanmälan</t>
        </is>
      </c>
      <c r="C491" t="inlineStr">
        <is>
          <t>Föryngringsavverkning</t>
        </is>
      </c>
      <c r="D491" s="1" t="n">
        <v>45194</v>
      </c>
      <c r="E491" s="1" t="n">
        <v>46216</v>
      </c>
      <c r="F491" t="inlineStr">
        <is>
          <t>UPPSALA LÄN</t>
        </is>
      </c>
      <c r="G491" t="inlineStr">
        <is>
          <t>ÖSTHAMMAR</t>
        </is>
      </c>
      <c r="H491" t="inlineStr">
        <is>
          <t>Bergvik skog öst AB</t>
        </is>
      </c>
      <c r="I491" t="n">
        <v>0.4</v>
      </c>
      <c r="J491" t="n">
        <v>0</v>
      </c>
      <c r="K491" t="n">
        <v>0</v>
      </c>
      <c r="L491" t="n">
        <v>0</v>
      </c>
      <c r="M491" t="n">
        <v>0</v>
      </c>
      <c r="N491" t="n">
        <v>0</v>
      </c>
      <c r="O491" t="n">
        <v>0</v>
      </c>
      <c r="P491" t="n">
        <v>0</v>
      </c>
      <c r="Q491" t="n">
        <v>0</v>
      </c>
      <c r="R491" t="n">
        <v>0</v>
      </c>
      <c r="S491" t="n">
        <v>0</v>
      </c>
      <c r="T491" t="n">
        <v>0</v>
      </c>
      <c r="U491" s="2" t="inlineStr"/>
    </row>
    <row r="492" ht="15" customHeight="1">
      <c r="A492" t="inlineStr">
        <is>
          <t>A 15445-2022</t>
        </is>
      </c>
      <c r="B492" t="inlineStr">
        <is>
          <t>avverkningsanmälan</t>
        </is>
      </c>
      <c r="C492" t="inlineStr">
        <is>
          <t>Föryngringsavverkning</t>
        </is>
      </c>
      <c r="D492" s="1" t="n">
        <v>44660</v>
      </c>
      <c r="E492" s="1" t="n">
        <v>46216</v>
      </c>
      <c r="F492" t="inlineStr">
        <is>
          <t>UPPSALA LÄN</t>
        </is>
      </c>
      <c r="G492" t="inlineStr">
        <is>
          <t>ÖSTHAMMAR</t>
        </is>
      </c>
      <c r="H492" t="inlineStr">
        <is>
          <t>Bergvik skog öst AB</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15452-2026</t>
        </is>
      </c>
      <c r="B493" t="inlineStr">
        <is>
          <t>avverkningsanmälan</t>
        </is>
      </c>
      <c r="C493" t="inlineStr">
        <is>
          <t>Föryngringsavverkning</t>
        </is>
      </c>
      <c r="D493" s="1" t="n">
        <v>46106</v>
      </c>
      <c r="E493" s="1" t="n">
        <v>46216</v>
      </c>
      <c r="F493" t="inlineStr">
        <is>
          <t>UPPSALA LÄN</t>
        </is>
      </c>
      <c r="G493" t="inlineStr">
        <is>
          <t>ÖSTHAMMAR</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16038-2026</t>
        </is>
      </c>
      <c r="B494" t="inlineStr">
        <is>
          <t>avverkningsanmälan</t>
        </is>
      </c>
      <c r="C494" t="inlineStr">
        <is>
          <t>Föryngringsavverkning</t>
        </is>
      </c>
      <c r="D494" s="1" t="n">
        <v>46108</v>
      </c>
      <c r="E494" s="1" t="n">
        <v>46216</v>
      </c>
      <c r="F494" t="inlineStr">
        <is>
          <t>UPPSALA LÄN</t>
        </is>
      </c>
      <c r="G494" t="inlineStr">
        <is>
          <t>ÖSTHAMMAR</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15744-2026</t>
        </is>
      </c>
      <c r="B495" t="inlineStr">
        <is>
          <t>avverkningsanmälan</t>
        </is>
      </c>
      <c r="C495" t="inlineStr">
        <is>
          <t>Föryngringsavverkning</t>
        </is>
      </c>
      <c r="D495" s="1" t="n">
        <v>46107</v>
      </c>
      <c r="E495" s="1" t="n">
        <v>46216</v>
      </c>
      <c r="F495" t="inlineStr">
        <is>
          <t>UPPSALA LÄN</t>
        </is>
      </c>
      <c r="G495" t="inlineStr">
        <is>
          <t>ÖSTHAMMAR</t>
        </is>
      </c>
      <c r="H495" t="inlineStr">
        <is>
          <t>Bergvik skog öst AB</t>
        </is>
      </c>
      <c r="I495" t="n">
        <v>7.8</v>
      </c>
      <c r="J495" t="n">
        <v>0</v>
      </c>
      <c r="K495" t="n">
        <v>0</v>
      </c>
      <c r="L495" t="n">
        <v>0</v>
      </c>
      <c r="M495" t="n">
        <v>0</v>
      </c>
      <c r="N495" t="n">
        <v>0</v>
      </c>
      <c r="O495" t="n">
        <v>0</v>
      </c>
      <c r="P495" t="n">
        <v>0</v>
      </c>
      <c r="Q495" t="n">
        <v>0</v>
      </c>
      <c r="R495" t="n">
        <v>0</v>
      </c>
      <c r="S495" t="n">
        <v>0</v>
      </c>
      <c r="T495" t="n">
        <v>0</v>
      </c>
      <c r="U495" s="2" t="inlineStr"/>
    </row>
    <row r="496" ht="15" customHeight="1">
      <c r="A496" t="inlineStr">
        <is>
          <t>A 15748-2026</t>
        </is>
      </c>
      <c r="B496" t="inlineStr">
        <is>
          <t>avverkningsanmälan</t>
        </is>
      </c>
      <c r="C496" t="inlineStr">
        <is>
          <t>Föryngringsavverkning</t>
        </is>
      </c>
      <c r="D496" s="1" t="n">
        <v>46107</v>
      </c>
      <c r="E496" s="1" t="n">
        <v>46216</v>
      </c>
      <c r="F496" t="inlineStr">
        <is>
          <t>UPPSALA LÄN</t>
        </is>
      </c>
      <c r="G496" t="inlineStr">
        <is>
          <t>ÖSTHAMMAR</t>
        </is>
      </c>
      <c r="H496" t="inlineStr">
        <is>
          <t>Bergvik skog öst AB</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16042-2026</t>
        </is>
      </c>
      <c r="B497" t="inlineStr">
        <is>
          <t>avverkningsanmälan</t>
        </is>
      </c>
      <c r="C497" t="inlineStr">
        <is>
          <t>Föryngringsavverkning</t>
        </is>
      </c>
      <c r="D497" s="1" t="n">
        <v>46108</v>
      </c>
      <c r="E497" s="1" t="n">
        <v>46216</v>
      </c>
      <c r="F497" t="inlineStr">
        <is>
          <t>UPPSALA LÄN</t>
        </is>
      </c>
      <c r="G497" t="inlineStr">
        <is>
          <t>ÖSTHAMMAR</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16522-2026</t>
        </is>
      </c>
      <c r="B498" t="inlineStr">
        <is>
          <t>avverkningsanmälan</t>
        </is>
      </c>
      <c r="C498" t="inlineStr">
        <is>
          <t>Föryngringsavverkning</t>
        </is>
      </c>
      <c r="D498" s="1" t="n">
        <v>46112</v>
      </c>
      <c r="E498" s="1" t="n">
        <v>46216</v>
      </c>
      <c r="F498" t="inlineStr">
        <is>
          <t>UPPSALA LÄN</t>
        </is>
      </c>
      <c r="G498" t="inlineStr">
        <is>
          <t>ÖSTHAMMAR</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16494-2026</t>
        </is>
      </c>
      <c r="B499" t="inlineStr">
        <is>
          <t>avverkningsanmälan</t>
        </is>
      </c>
      <c r="C499" t="inlineStr">
        <is>
          <t>Föryngringsavverkning</t>
        </is>
      </c>
      <c r="D499" s="1" t="n">
        <v>46112</v>
      </c>
      <c r="E499" s="1" t="n">
        <v>46216</v>
      </c>
      <c r="F499" t="inlineStr">
        <is>
          <t>UPPSALA LÄN</t>
        </is>
      </c>
      <c r="G499" t="inlineStr">
        <is>
          <t>ÖSTHAMMAR</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16359-2026</t>
        </is>
      </c>
      <c r="B500" t="inlineStr">
        <is>
          <t>avverkningsanmälan</t>
        </is>
      </c>
      <c r="C500" t="inlineStr">
        <is>
          <t>Föryngringsavverkning</t>
        </is>
      </c>
      <c r="D500" s="1" t="n">
        <v>46111</v>
      </c>
      <c r="E500" s="1" t="n">
        <v>46216</v>
      </c>
      <c r="F500" t="inlineStr">
        <is>
          <t>UPPSALA LÄN</t>
        </is>
      </c>
      <c r="G500" t="inlineStr">
        <is>
          <t>ÖSTHAMMAR</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16498-2026</t>
        </is>
      </c>
      <c r="B501" t="inlineStr">
        <is>
          <t>avverkningsanmälan</t>
        </is>
      </c>
      <c r="C501" t="inlineStr">
        <is>
          <t>Föryngringsavverkning</t>
        </is>
      </c>
      <c r="D501" s="1" t="n">
        <v>46112</v>
      </c>
      <c r="E501" s="1" t="n">
        <v>46216</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16640-2026</t>
        </is>
      </c>
      <c r="B502" t="inlineStr">
        <is>
          <t>avverkningsanmälan</t>
        </is>
      </c>
      <c r="C502" t="inlineStr">
        <is>
          <t>Föryngringsavverkning</t>
        </is>
      </c>
      <c r="D502" s="1" t="n">
        <v>46112</v>
      </c>
      <c r="E502" s="1" t="n">
        <v>46216</v>
      </c>
      <c r="F502" t="inlineStr">
        <is>
          <t>UPPSALA LÄN</t>
        </is>
      </c>
      <c r="G502" t="inlineStr">
        <is>
          <t>ÖSTHAMMAR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16796-2026</t>
        </is>
      </c>
      <c r="B503" t="inlineStr">
        <is>
          <t>avverkningsanmälan</t>
        </is>
      </c>
      <c r="C503" t="inlineStr">
        <is>
          <t>Föryngringsavverkning</t>
        </is>
      </c>
      <c r="D503" s="1" t="n">
        <v>46113</v>
      </c>
      <c r="E503" s="1" t="n">
        <v>46216</v>
      </c>
      <c r="F503" t="inlineStr">
        <is>
          <t>UPPSALA LÄN</t>
        </is>
      </c>
      <c r="G503" t="inlineStr">
        <is>
          <t>ÖSTHAMMAR</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16788-2026</t>
        </is>
      </c>
      <c r="B504" t="inlineStr">
        <is>
          <t>avverkningsanmälan</t>
        </is>
      </c>
      <c r="C504" t="inlineStr">
        <is>
          <t>Föryngringsavverkning</t>
        </is>
      </c>
      <c r="D504" s="1" t="n">
        <v>46113</v>
      </c>
      <c r="E504" s="1" t="n">
        <v>46216</v>
      </c>
      <c r="F504" t="inlineStr">
        <is>
          <t>UPPSALA LÄN</t>
        </is>
      </c>
      <c r="G504" t="inlineStr">
        <is>
          <t>ÖSTHAMMAR</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17198-2026</t>
        </is>
      </c>
      <c r="B505" t="inlineStr">
        <is>
          <t>avverkningsanmälan</t>
        </is>
      </c>
      <c r="C505" t="inlineStr">
        <is>
          <t>Föryngringsavverkning</t>
        </is>
      </c>
      <c r="D505" s="1" t="n">
        <v>46118</v>
      </c>
      <c r="E505" s="1" t="n">
        <v>46216</v>
      </c>
      <c r="F505" t="inlineStr">
        <is>
          <t>UPPSALA LÄN</t>
        </is>
      </c>
      <c r="G505" t="inlineStr">
        <is>
          <t>ÖSTHAMMAR</t>
        </is>
      </c>
      <c r="H505" t="inlineStr">
        <is>
          <t>Bergvik skog öst AB</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32778-2023</t>
        </is>
      </c>
      <c r="B506" t="inlineStr">
        <is>
          <t>avverkningsanmälan</t>
        </is>
      </c>
      <c r="C506" t="inlineStr">
        <is>
          <t>Föryngringsavverkning</t>
        </is>
      </c>
      <c r="D506" s="1" t="n">
        <v>45123</v>
      </c>
      <c r="E506" s="1" t="n">
        <v>46216</v>
      </c>
      <c r="F506" t="inlineStr">
        <is>
          <t>UPPSALA LÄN</t>
        </is>
      </c>
      <c r="G506" t="inlineStr">
        <is>
          <t>ÖSTHAMMAR</t>
        </is>
      </c>
      <c r="H506" t="inlineStr">
        <is>
          <t>Bergvik skog öst AB</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17767-2026</t>
        </is>
      </c>
      <c r="B507" t="inlineStr">
        <is>
          <t>avverkningsanmälan</t>
        </is>
      </c>
      <c r="C507" t="inlineStr">
        <is>
          <t>Föryngringsavverkning</t>
        </is>
      </c>
      <c r="D507" s="1" t="n">
        <v>46122</v>
      </c>
      <c r="E507" s="1" t="n">
        <v>46216</v>
      </c>
      <c r="F507" t="inlineStr">
        <is>
          <t>UPPSALA LÄN</t>
        </is>
      </c>
      <c r="G507" t="inlineStr">
        <is>
          <t>ÖSTHAMMAR</t>
        </is>
      </c>
      <c r="H507" t="inlineStr">
        <is>
          <t>Bergvik skog öst AB</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17760-2026</t>
        </is>
      </c>
      <c r="B508" t="inlineStr">
        <is>
          <t>avverkningsanmälan</t>
        </is>
      </c>
      <c r="C508" t="inlineStr">
        <is>
          <t>Föryngringsavverkning</t>
        </is>
      </c>
      <c r="D508" s="1" t="n">
        <v>46122</v>
      </c>
      <c r="E508" s="1" t="n">
        <v>46216</v>
      </c>
      <c r="F508" t="inlineStr">
        <is>
          <t>UPPSALA LÄN</t>
        </is>
      </c>
      <c r="G508" t="inlineStr">
        <is>
          <t>ÖSTHAMMAR</t>
        </is>
      </c>
      <c r="H508" t="inlineStr">
        <is>
          <t>Bergvik skog öst AB</t>
        </is>
      </c>
      <c r="I508" t="n">
        <v>3.6</v>
      </c>
      <c r="J508" t="n">
        <v>0</v>
      </c>
      <c r="K508" t="n">
        <v>0</v>
      </c>
      <c r="L508" t="n">
        <v>0</v>
      </c>
      <c r="M508" t="n">
        <v>0</v>
      </c>
      <c r="N508" t="n">
        <v>0</v>
      </c>
      <c r="O508" t="n">
        <v>0</v>
      </c>
      <c r="P508" t="n">
        <v>0</v>
      </c>
      <c r="Q508" t="n">
        <v>0</v>
      </c>
      <c r="R508" t="n">
        <v>0</v>
      </c>
      <c r="S508" t="n">
        <v>0</v>
      </c>
      <c r="T508" t="n">
        <v>0</v>
      </c>
      <c r="U508" s="2" t="inlineStr"/>
    </row>
    <row r="509" ht="15" customHeight="1">
      <c r="A509" t="inlineStr">
        <is>
          <t>A 24367-2022</t>
        </is>
      </c>
      <c r="B509" t="inlineStr">
        <is>
          <t>avverkningsanmälan</t>
        </is>
      </c>
      <c r="C509" t="inlineStr">
        <is>
          <t>Föryngringsavverkning</t>
        </is>
      </c>
      <c r="D509" s="1" t="n">
        <v>44726</v>
      </c>
      <c r="E509" s="1" t="n">
        <v>46216</v>
      </c>
      <c r="F509" t="inlineStr">
        <is>
          <t>UPPSALA LÄN</t>
        </is>
      </c>
      <c r="G509" t="inlineStr">
        <is>
          <t>ÖSTHAMMAR</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5933-2022</t>
        </is>
      </c>
      <c r="B510" t="inlineStr">
        <is>
          <t>avverkningsanmälan</t>
        </is>
      </c>
      <c r="C510" t="inlineStr">
        <is>
          <t>Föryngringsavverkning</t>
        </is>
      </c>
      <c r="D510" s="1" t="n">
        <v>44598</v>
      </c>
      <c r="E510" s="1" t="n">
        <v>46216</v>
      </c>
      <c r="F510" t="inlineStr">
        <is>
          <t>UPPSALA LÄN</t>
        </is>
      </c>
      <c r="G510" t="inlineStr">
        <is>
          <t>ÖSTHAMMAR</t>
        </is>
      </c>
      <c r="H510" t="inlineStr">
        <is>
          <t>Bergvik skog öst AB</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17764-2026</t>
        </is>
      </c>
      <c r="B511" t="inlineStr">
        <is>
          <t>avverkningsanmälan</t>
        </is>
      </c>
      <c r="C511" t="inlineStr">
        <is>
          <t>Föryngringsavverkning</t>
        </is>
      </c>
      <c r="D511" s="1" t="n">
        <v>46122</v>
      </c>
      <c r="E511" s="1" t="n">
        <v>46216</v>
      </c>
      <c r="F511" t="inlineStr">
        <is>
          <t>UPPSALA LÄN</t>
        </is>
      </c>
      <c r="G511" t="inlineStr">
        <is>
          <t>ÖSTHAMMAR</t>
        </is>
      </c>
      <c r="H511" t="inlineStr">
        <is>
          <t>Bergvik skog öst AB</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17926-2026</t>
        </is>
      </c>
      <c r="B512" t="inlineStr">
        <is>
          <t>avverkningsanmälan</t>
        </is>
      </c>
      <c r="C512" t="inlineStr">
        <is>
          <t>Föryngringsavverkning</t>
        </is>
      </c>
      <c r="D512" s="1" t="n">
        <v>46122</v>
      </c>
      <c r="E512" s="1" t="n">
        <v>46216</v>
      </c>
      <c r="F512" t="inlineStr">
        <is>
          <t>UPPSALA LÄN</t>
        </is>
      </c>
      <c r="G512" t="inlineStr">
        <is>
          <t>ÖSTHAMMAR</t>
        </is>
      </c>
      <c r="H512" t="inlineStr">
        <is>
          <t>Bergvik skog öst AB</t>
        </is>
      </c>
      <c r="I512" t="n">
        <v>2.3</v>
      </c>
      <c r="J512" t="n">
        <v>0</v>
      </c>
      <c r="K512" t="n">
        <v>0</v>
      </c>
      <c r="L512" t="n">
        <v>0</v>
      </c>
      <c r="M512" t="n">
        <v>0</v>
      </c>
      <c r="N512" t="n">
        <v>0</v>
      </c>
      <c r="O512" t="n">
        <v>0</v>
      </c>
      <c r="P512" t="n">
        <v>0</v>
      </c>
      <c r="Q512" t="n">
        <v>0</v>
      </c>
      <c r="R512" t="n">
        <v>0</v>
      </c>
      <c r="S512" t="n">
        <v>0</v>
      </c>
      <c r="T512" t="n">
        <v>0</v>
      </c>
      <c r="U512" s="2" t="inlineStr"/>
    </row>
    <row r="513" ht="15" customHeight="1">
      <c r="A513" t="inlineStr">
        <is>
          <t>A 64774-2023</t>
        </is>
      </c>
      <c r="B513" t="inlineStr">
        <is>
          <t>avverkningsanmälan</t>
        </is>
      </c>
      <c r="C513" t="inlineStr">
        <is>
          <t>Avverkning för annat ändamål</t>
        </is>
      </c>
      <c r="D513" s="1" t="n">
        <v>45282</v>
      </c>
      <c r="E513" s="1" t="n">
        <v>46216</v>
      </c>
      <c r="F513" t="inlineStr">
        <is>
          <t>UPPSALA LÄN</t>
        </is>
      </c>
      <c r="G513" t="inlineStr">
        <is>
          <t>ÖSTHAMMAR</t>
        </is>
      </c>
      <c r="H513" t="inlineStr">
        <is>
          <t>Övriga Aktiebolag</t>
        </is>
      </c>
      <c r="I513" t="n">
        <v>3.7</v>
      </c>
      <c r="J513" t="n">
        <v>0</v>
      </c>
      <c r="K513" t="n">
        <v>0</v>
      </c>
      <c r="L513" t="n">
        <v>0</v>
      </c>
      <c r="M513" t="n">
        <v>0</v>
      </c>
      <c r="N513" t="n">
        <v>0</v>
      </c>
      <c r="O513" t="n">
        <v>0</v>
      </c>
      <c r="P513" t="n">
        <v>0</v>
      </c>
      <c r="Q513" t="n">
        <v>0</v>
      </c>
      <c r="R513" t="n">
        <v>0</v>
      </c>
      <c r="S513" t="n">
        <v>0</v>
      </c>
      <c r="T513" t="n">
        <v>0</v>
      </c>
      <c r="U513" s="2" t="inlineStr"/>
    </row>
    <row r="514" ht="15" customHeight="1">
      <c r="A514" t="inlineStr">
        <is>
          <t>A 47614-2025</t>
        </is>
      </c>
      <c r="B514" t="inlineStr">
        <is>
          <t>avverkningsanmälan</t>
        </is>
      </c>
      <c r="C514" t="inlineStr">
        <is>
          <t>Föryngringsavverkning</t>
        </is>
      </c>
      <c r="D514" s="1" t="n">
        <v>45931</v>
      </c>
      <c r="E514" s="1" t="n">
        <v>46216</v>
      </c>
      <c r="F514" t="inlineStr">
        <is>
          <t>UPPSALA LÄN</t>
        </is>
      </c>
      <c r="G514" t="inlineStr">
        <is>
          <t>ÖSTHAMMAR</t>
        </is>
      </c>
      <c r="I514" t="n">
        <v>22.8</v>
      </c>
      <c r="J514" t="n">
        <v>0</v>
      </c>
      <c r="K514" t="n">
        <v>0</v>
      </c>
      <c r="L514" t="n">
        <v>0</v>
      </c>
      <c r="M514" t="n">
        <v>0</v>
      </c>
      <c r="N514" t="n">
        <v>0</v>
      </c>
      <c r="O514" t="n">
        <v>0</v>
      </c>
      <c r="P514" t="n">
        <v>0</v>
      </c>
      <c r="Q514" t="n">
        <v>0</v>
      </c>
      <c r="R514" t="n">
        <v>0</v>
      </c>
      <c r="S514" t="n">
        <v>0</v>
      </c>
      <c r="T514" t="n">
        <v>0</v>
      </c>
      <c r="U514" s="2" t="inlineStr"/>
    </row>
    <row r="515" ht="15" customHeight="1">
      <c r="A515" t="inlineStr">
        <is>
          <t>A 29873-2023</t>
        </is>
      </c>
      <c r="B515" t="inlineStr">
        <is>
          <t>avverkningsanmälan</t>
        </is>
      </c>
      <c r="C515" t="inlineStr">
        <is>
          <t>Föryngringsavverkning</t>
        </is>
      </c>
      <c r="D515" s="1" t="n">
        <v>45107</v>
      </c>
      <c r="E515" s="1" t="n">
        <v>46216</v>
      </c>
      <c r="F515" t="inlineStr">
        <is>
          <t>UPPSALA LÄN</t>
        </is>
      </c>
      <c r="G515" t="inlineStr">
        <is>
          <t>ÖSTHAMMAR</t>
        </is>
      </c>
      <c r="H515" t="inlineStr">
        <is>
          <t>Naturvårdsverket</t>
        </is>
      </c>
      <c r="I515" t="n">
        <v>7.8</v>
      </c>
      <c r="J515" t="n">
        <v>0</v>
      </c>
      <c r="K515" t="n">
        <v>0</v>
      </c>
      <c r="L515" t="n">
        <v>0</v>
      </c>
      <c r="M515" t="n">
        <v>0</v>
      </c>
      <c r="N515" t="n">
        <v>0</v>
      </c>
      <c r="O515" t="n">
        <v>0</v>
      </c>
      <c r="P515" t="n">
        <v>0</v>
      </c>
      <c r="Q515" t="n">
        <v>0</v>
      </c>
      <c r="R515" t="n">
        <v>0</v>
      </c>
      <c r="S515" t="n">
        <v>0</v>
      </c>
      <c r="T515" t="n">
        <v>0</v>
      </c>
      <c r="U515" s="2" t="inlineStr"/>
    </row>
    <row r="516" ht="15" customHeight="1">
      <c r="A516" t="inlineStr">
        <is>
          <t>A 61062-2023</t>
        </is>
      </c>
      <c r="B516" t="inlineStr">
        <is>
          <t>avverkningsanmälan</t>
        </is>
      </c>
      <c r="C516" t="inlineStr">
        <is>
          <t>Föryngringsavverkning</t>
        </is>
      </c>
      <c r="D516" s="1" t="n">
        <v>45259</v>
      </c>
      <c r="E516" s="1" t="n">
        <v>46216</v>
      </c>
      <c r="F516" t="inlineStr">
        <is>
          <t>UPPSALA LÄN</t>
        </is>
      </c>
      <c r="G516" t="inlineStr">
        <is>
          <t>ÖSTHAMMAR</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18758-2026</t>
        </is>
      </c>
      <c r="B517" t="inlineStr">
        <is>
          <t>avverkningsanmälan</t>
        </is>
      </c>
      <c r="C517" t="inlineStr">
        <is>
          <t>Föryngringsavverkning</t>
        </is>
      </c>
      <c r="D517" s="1" t="n">
        <v>46128</v>
      </c>
      <c r="E517" s="1" t="n">
        <v>46216</v>
      </c>
      <c r="F517" t="inlineStr">
        <is>
          <t>UPPSALA LÄN</t>
        </is>
      </c>
      <c r="G517" t="inlineStr">
        <is>
          <t>ÖSTHAMMAR</t>
        </is>
      </c>
      <c r="H517" t="inlineStr">
        <is>
          <t>Bergvik skog öst AB</t>
        </is>
      </c>
      <c r="I517" t="n">
        <v>2.4</v>
      </c>
      <c r="J517" t="n">
        <v>0</v>
      </c>
      <c r="K517" t="n">
        <v>0</v>
      </c>
      <c r="L517" t="n">
        <v>0</v>
      </c>
      <c r="M517" t="n">
        <v>0</v>
      </c>
      <c r="N517" t="n">
        <v>0</v>
      </c>
      <c r="O517" t="n">
        <v>0</v>
      </c>
      <c r="P517" t="n">
        <v>0</v>
      </c>
      <c r="Q517" t="n">
        <v>0</v>
      </c>
      <c r="R517" t="n">
        <v>0</v>
      </c>
      <c r="S517" t="n">
        <v>0</v>
      </c>
      <c r="T517" t="n">
        <v>0</v>
      </c>
      <c r="U517" s="2" t="inlineStr"/>
    </row>
    <row r="518" ht="15" customHeight="1">
      <c r="A518" t="inlineStr">
        <is>
          <t>A 55100-2024</t>
        </is>
      </c>
      <c r="B518" t="inlineStr">
        <is>
          <t>avverkningsanmälan</t>
        </is>
      </c>
      <c r="C518" t="inlineStr">
        <is>
          <t>Föryngringsavverkning</t>
        </is>
      </c>
      <c r="D518" s="1" t="n">
        <v>45621</v>
      </c>
      <c r="E518" s="1" t="n">
        <v>46216</v>
      </c>
      <c r="F518" t="inlineStr">
        <is>
          <t>UPPSALA LÄN</t>
        </is>
      </c>
      <c r="G518" t="inlineStr">
        <is>
          <t>ÖSTHAMMAR</t>
        </is>
      </c>
      <c r="H518" t="inlineStr">
        <is>
          <t>Sveaskog</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18761-2026</t>
        </is>
      </c>
      <c r="B519" t="inlineStr">
        <is>
          <t>avverkningsanmälan</t>
        </is>
      </c>
      <c r="C519" t="inlineStr">
        <is>
          <t>Föryngringsavverkning</t>
        </is>
      </c>
      <c r="D519" s="1" t="n">
        <v>46128</v>
      </c>
      <c r="E519" s="1" t="n">
        <v>46216</v>
      </c>
      <c r="F519" t="inlineStr">
        <is>
          <t>UPPSALA LÄN</t>
        </is>
      </c>
      <c r="G519" t="inlineStr">
        <is>
          <t>ÖSTHAMMAR</t>
        </is>
      </c>
      <c r="H519" t="inlineStr">
        <is>
          <t>Bergvik skog öst AB</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18760-2026</t>
        </is>
      </c>
      <c r="B520" t="inlineStr">
        <is>
          <t>avverkningsanmälan</t>
        </is>
      </c>
      <c r="C520" t="inlineStr">
        <is>
          <t>Föryngringsavverkning</t>
        </is>
      </c>
      <c r="D520" s="1" t="n">
        <v>46128</v>
      </c>
      <c r="E520" s="1" t="n">
        <v>46216</v>
      </c>
      <c r="F520" t="inlineStr">
        <is>
          <t>UPPSALA LÄN</t>
        </is>
      </c>
      <c r="G520" t="inlineStr">
        <is>
          <t>ÖSTHAMMAR</t>
        </is>
      </c>
      <c r="H520" t="inlineStr">
        <is>
          <t>Bergvik skog öst AB</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31669-2022</t>
        </is>
      </c>
      <c r="B521" t="inlineStr">
        <is>
          <t>avverkningsanmälan</t>
        </is>
      </c>
      <c r="C521" t="inlineStr">
        <is>
          <t>Föryngringsavverkning</t>
        </is>
      </c>
      <c r="D521" s="1" t="n">
        <v>44775</v>
      </c>
      <c r="E521" s="1" t="n">
        <v>46216</v>
      </c>
      <c r="F521" t="inlineStr">
        <is>
          <t>UPPSALA LÄN</t>
        </is>
      </c>
      <c r="G521" t="inlineStr">
        <is>
          <t>ÖSTHAMMAR</t>
        </is>
      </c>
      <c r="I521" t="n">
        <v>6</v>
      </c>
      <c r="J521" t="n">
        <v>0</v>
      </c>
      <c r="K521" t="n">
        <v>0</v>
      </c>
      <c r="L521" t="n">
        <v>0</v>
      </c>
      <c r="M521" t="n">
        <v>0</v>
      </c>
      <c r="N521" t="n">
        <v>0</v>
      </c>
      <c r="O521" t="n">
        <v>0</v>
      </c>
      <c r="P521" t="n">
        <v>0</v>
      </c>
      <c r="Q521" t="n">
        <v>0</v>
      </c>
      <c r="R521" t="n">
        <v>0</v>
      </c>
      <c r="S521" t="n">
        <v>0</v>
      </c>
      <c r="T521" t="n">
        <v>0</v>
      </c>
      <c r="U521" s="2" t="inlineStr"/>
    </row>
    <row r="522" ht="15" customHeight="1">
      <c r="A522" t="inlineStr">
        <is>
          <t>A 67151-2021</t>
        </is>
      </c>
      <c r="B522" t="inlineStr">
        <is>
          <t>avverkningsanmälan</t>
        </is>
      </c>
      <c r="C522" t="inlineStr">
        <is>
          <t>Föryngringsavverkning</t>
        </is>
      </c>
      <c r="D522" s="1" t="n">
        <v>44523</v>
      </c>
      <c r="E522" s="1" t="n">
        <v>46216</v>
      </c>
      <c r="F522" t="inlineStr">
        <is>
          <t>UPPSALA LÄN</t>
        </is>
      </c>
      <c r="G522" t="inlineStr">
        <is>
          <t>ÖSTHAMMAR</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9542-2023</t>
        </is>
      </c>
      <c r="B523" t="inlineStr">
        <is>
          <t>avverkningsanmälan</t>
        </is>
      </c>
      <c r="C523" t="inlineStr">
        <is>
          <t>Föryngringsavverkning</t>
        </is>
      </c>
      <c r="D523" s="1" t="n">
        <v>44981</v>
      </c>
      <c r="E523" s="1" t="n">
        <v>46216</v>
      </c>
      <c r="F523" t="inlineStr">
        <is>
          <t>UPPSALA LÄN</t>
        </is>
      </c>
      <c r="G523" t="inlineStr">
        <is>
          <t>ÖSTHAMMAR</t>
        </is>
      </c>
      <c r="H523" t="inlineStr">
        <is>
          <t>Bergvik skog öst AB</t>
        </is>
      </c>
      <c r="I523" t="n">
        <v>0.4</v>
      </c>
      <c r="J523" t="n">
        <v>0</v>
      </c>
      <c r="K523" t="n">
        <v>0</v>
      </c>
      <c r="L523" t="n">
        <v>0</v>
      </c>
      <c r="M523" t="n">
        <v>0</v>
      </c>
      <c r="N523" t="n">
        <v>0</v>
      </c>
      <c r="O523" t="n">
        <v>0</v>
      </c>
      <c r="P523" t="n">
        <v>0</v>
      </c>
      <c r="Q523" t="n">
        <v>0</v>
      </c>
      <c r="R523" t="n">
        <v>0</v>
      </c>
      <c r="S523" t="n">
        <v>0</v>
      </c>
      <c r="T523" t="n">
        <v>0</v>
      </c>
      <c r="U523" s="2" t="inlineStr"/>
    </row>
    <row r="524" ht="15" customHeight="1">
      <c r="A524" t="inlineStr">
        <is>
          <t>A 36343-2022</t>
        </is>
      </c>
      <c r="B524" t="inlineStr">
        <is>
          <t>avverkningsanmälan</t>
        </is>
      </c>
      <c r="C524" t="inlineStr">
        <is>
          <t>Föryngringsavverkning</t>
        </is>
      </c>
      <c r="D524" s="1" t="n">
        <v>44803</v>
      </c>
      <c r="E524" s="1" t="n">
        <v>46216</v>
      </c>
      <c r="F524" t="inlineStr">
        <is>
          <t>UPPSALA LÄN</t>
        </is>
      </c>
      <c r="G524" t="inlineStr">
        <is>
          <t>ÖSTHAMMAR</t>
        </is>
      </c>
      <c r="H524" t="inlineStr">
        <is>
          <t>Bergvik skog öst AB</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16933-2022</t>
        </is>
      </c>
      <c r="B525" t="inlineStr">
        <is>
          <t>avverkningsanmälan</t>
        </is>
      </c>
      <c r="C525" t="inlineStr">
        <is>
          <t>Föryngringsavverkning</t>
        </is>
      </c>
      <c r="D525" s="1" t="n">
        <v>44676</v>
      </c>
      <c r="E525" s="1" t="n">
        <v>46216</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14269-2025</t>
        </is>
      </c>
      <c r="B526" t="inlineStr">
        <is>
          <t>avverkningsanmälan</t>
        </is>
      </c>
      <c r="C526" t="inlineStr">
        <is>
          <t>Föryngringsavverkning</t>
        </is>
      </c>
      <c r="D526" s="1" t="n">
        <v>45740</v>
      </c>
      <c r="E526" s="1" t="n">
        <v>46216</v>
      </c>
      <c r="F526" t="inlineStr">
        <is>
          <t>UPPSALA LÄN</t>
        </is>
      </c>
      <c r="G526" t="inlineStr">
        <is>
          <t>ÖSTHAMMAR</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5855-2022</t>
        </is>
      </c>
      <c r="B527" t="inlineStr">
        <is>
          <t>avverkningsanmälan</t>
        </is>
      </c>
      <c r="C527" t="inlineStr">
        <is>
          <t>Föryngringsavverkning</t>
        </is>
      </c>
      <c r="D527" s="1" t="n">
        <v>44596</v>
      </c>
      <c r="E527" s="1" t="n">
        <v>46216</v>
      </c>
      <c r="F527" t="inlineStr">
        <is>
          <t>UPPSALA LÄN</t>
        </is>
      </c>
      <c r="G527" t="inlineStr">
        <is>
          <t>ÖSTHAMMAR</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19258-2026</t>
        </is>
      </c>
      <c r="B528" t="inlineStr">
        <is>
          <t>avverkningsanmälan</t>
        </is>
      </c>
      <c r="C528" t="inlineStr">
        <is>
          <t>Föryngringsavverkning</t>
        </is>
      </c>
      <c r="D528" s="1" t="n">
        <v>46132</v>
      </c>
      <c r="E528" s="1" t="n">
        <v>46216</v>
      </c>
      <c r="F528" t="inlineStr">
        <is>
          <t>UPPSALA LÄN</t>
        </is>
      </c>
      <c r="G528" t="inlineStr">
        <is>
          <t>ÖSTHAMMAR</t>
        </is>
      </c>
      <c r="H528" t="inlineStr">
        <is>
          <t>Naturvårdsverket</t>
        </is>
      </c>
      <c r="I528" t="n">
        <v>18.6</v>
      </c>
      <c r="J528" t="n">
        <v>0</v>
      </c>
      <c r="K528" t="n">
        <v>0</v>
      </c>
      <c r="L528" t="n">
        <v>0</v>
      </c>
      <c r="M528" t="n">
        <v>0</v>
      </c>
      <c r="N528" t="n">
        <v>0</v>
      </c>
      <c r="O528" t="n">
        <v>0</v>
      </c>
      <c r="P528" t="n">
        <v>0</v>
      </c>
      <c r="Q528" t="n">
        <v>0</v>
      </c>
      <c r="R528" t="n">
        <v>0</v>
      </c>
      <c r="S528" t="n">
        <v>0</v>
      </c>
      <c r="T528" t="n">
        <v>0</v>
      </c>
      <c r="U528" s="2" t="inlineStr"/>
    </row>
    <row r="529" ht="15" customHeight="1">
      <c r="A529" t="inlineStr">
        <is>
          <t>A 24493-2023</t>
        </is>
      </c>
      <c r="B529" t="inlineStr">
        <is>
          <t>avverkningsanmälan</t>
        </is>
      </c>
      <c r="C529" t="inlineStr">
        <is>
          <t>Föryngringsavverkning</t>
        </is>
      </c>
      <c r="D529" s="1" t="n">
        <v>45082</v>
      </c>
      <c r="E529" s="1" t="n">
        <v>46216</v>
      </c>
      <c r="F529" t="inlineStr">
        <is>
          <t>UPPSALA LÄN</t>
        </is>
      </c>
      <c r="G529" t="inlineStr">
        <is>
          <t>ÖSTHAMMAR</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19771-2026</t>
        </is>
      </c>
      <c r="B530" t="inlineStr">
        <is>
          <t>avverkningsanmälan</t>
        </is>
      </c>
      <c r="C530" t="inlineStr">
        <is>
          <t>Föryngringsavverkning</t>
        </is>
      </c>
      <c r="D530" s="1" t="n">
        <v>46135</v>
      </c>
      <c r="E530" s="1" t="n">
        <v>46216</v>
      </c>
      <c r="F530" t="inlineStr">
        <is>
          <t>UPPSALA LÄN</t>
        </is>
      </c>
      <c r="G530" t="inlineStr">
        <is>
          <t>ÖSTHAMMAR</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7560-2023</t>
        </is>
      </c>
      <c r="B531" t="inlineStr">
        <is>
          <t>avverkningsanmälan</t>
        </is>
      </c>
      <c r="C531" t="inlineStr">
        <is>
          <t>Föryngringsavverkning</t>
        </is>
      </c>
      <c r="D531" s="1" t="n">
        <v>44972</v>
      </c>
      <c r="E531" s="1" t="n">
        <v>46216</v>
      </c>
      <c r="F531" t="inlineStr">
        <is>
          <t>UPPSALA LÄN</t>
        </is>
      </c>
      <c r="G531" t="inlineStr">
        <is>
          <t>ÖSTHAMMAR</t>
        </is>
      </c>
      <c r="H531" t="inlineStr">
        <is>
          <t>Bergvik skog öst AB</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25398-2026</t>
        </is>
      </c>
      <c r="B532" t="inlineStr">
        <is>
          <t>avverkningsanmälan</t>
        </is>
      </c>
      <c r="C532" t="inlineStr">
        <is>
          <t>Föryngringsavverkning</t>
        </is>
      </c>
      <c r="D532" s="1" t="n">
        <v>46176</v>
      </c>
      <c r="E532" s="1" t="n">
        <v>46216</v>
      </c>
      <c r="F532" t="inlineStr">
        <is>
          <t>UPPSALA LÄN</t>
        </is>
      </c>
      <c r="G532" t="inlineStr">
        <is>
          <t>ÖSTHAMMAR</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19040-2023</t>
        </is>
      </c>
      <c r="B533" t="inlineStr">
        <is>
          <t>avverkningsanmälan</t>
        </is>
      </c>
      <c r="C533" t="inlineStr">
        <is>
          <t>Föryngringsavverkning</t>
        </is>
      </c>
      <c r="D533" s="1" t="n">
        <v>45047</v>
      </c>
      <c r="E533" s="1" t="n">
        <v>46216</v>
      </c>
      <c r="F533" t="inlineStr">
        <is>
          <t>UPPSALA LÄN</t>
        </is>
      </c>
      <c r="G533" t="inlineStr">
        <is>
          <t>ÖSTHAMMAR</t>
        </is>
      </c>
      <c r="H533" t="inlineStr">
        <is>
          <t>Bergvik skog öst AB</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25377-2026</t>
        </is>
      </c>
      <c r="B534" t="inlineStr">
        <is>
          <t>avverkningsanmälan</t>
        </is>
      </c>
      <c r="C534" t="inlineStr">
        <is>
          <t>Föryngringsavverkning</t>
        </is>
      </c>
      <c r="D534" s="1" t="n">
        <v>46176</v>
      </c>
      <c r="E534" s="1" t="n">
        <v>46216</v>
      </c>
      <c r="F534" t="inlineStr">
        <is>
          <t>UPPSALA LÄN</t>
        </is>
      </c>
      <c r="G534" t="inlineStr">
        <is>
          <t>ÖSTHAMMAR</t>
        </is>
      </c>
      <c r="I534" t="n">
        <v>14.3</v>
      </c>
      <c r="J534" t="n">
        <v>0</v>
      </c>
      <c r="K534" t="n">
        <v>0</v>
      </c>
      <c r="L534" t="n">
        <v>0</v>
      </c>
      <c r="M534" t="n">
        <v>0</v>
      </c>
      <c r="N534" t="n">
        <v>0</v>
      </c>
      <c r="O534" t="n">
        <v>0</v>
      </c>
      <c r="P534" t="n">
        <v>0</v>
      </c>
      <c r="Q534" t="n">
        <v>0</v>
      </c>
      <c r="R534" t="n">
        <v>0</v>
      </c>
      <c r="S534" t="n">
        <v>0</v>
      </c>
      <c r="T534" t="n">
        <v>0</v>
      </c>
      <c r="U534" s="2" t="inlineStr"/>
    </row>
    <row r="535" ht="15" customHeight="1">
      <c r="A535" t="inlineStr">
        <is>
          <t>A 25394-2026</t>
        </is>
      </c>
      <c r="B535" t="inlineStr">
        <is>
          <t>avverkningsanmälan</t>
        </is>
      </c>
      <c r="C535" t="inlineStr">
        <is>
          <t>Föryngringsavverkning</t>
        </is>
      </c>
      <c r="D535" s="1" t="n">
        <v>46176</v>
      </c>
      <c r="E535" s="1" t="n">
        <v>46216</v>
      </c>
      <c r="F535" t="inlineStr">
        <is>
          <t>UPPSALA LÄN</t>
        </is>
      </c>
      <c r="G535" t="inlineStr">
        <is>
          <t>ÖSTHAMMAR</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4004-2023</t>
        </is>
      </c>
      <c r="B536" t="inlineStr">
        <is>
          <t>avverkningsanmälan</t>
        </is>
      </c>
      <c r="C536" t="inlineStr">
        <is>
          <t>Föryngringsavverkning</t>
        </is>
      </c>
      <c r="D536" s="1" t="n">
        <v>44952</v>
      </c>
      <c r="E536" s="1" t="n">
        <v>46216</v>
      </c>
      <c r="F536" t="inlineStr">
        <is>
          <t>UPPSALA LÄN</t>
        </is>
      </c>
      <c r="G536" t="inlineStr">
        <is>
          <t>ÖSTHAMMAR</t>
        </is>
      </c>
      <c r="I536" t="n">
        <v>4.1</v>
      </c>
      <c r="J536" t="n">
        <v>0</v>
      </c>
      <c r="K536" t="n">
        <v>0</v>
      </c>
      <c r="L536" t="n">
        <v>0</v>
      </c>
      <c r="M536" t="n">
        <v>0</v>
      </c>
      <c r="N536" t="n">
        <v>0</v>
      </c>
      <c r="O536" t="n">
        <v>0</v>
      </c>
      <c r="P536" t="n">
        <v>0</v>
      </c>
      <c r="Q536" t="n">
        <v>0</v>
      </c>
      <c r="R536" t="n">
        <v>0</v>
      </c>
      <c r="S536" t="n">
        <v>0</v>
      </c>
      <c r="T536" t="n">
        <v>0</v>
      </c>
      <c r="U536" s="2" t="inlineStr"/>
    </row>
    <row r="537" ht="15" customHeight="1">
      <c r="A537" t="inlineStr">
        <is>
          <t>A 25366-2026</t>
        </is>
      </c>
      <c r="B537" t="inlineStr">
        <is>
          <t>avverkningsanmälan</t>
        </is>
      </c>
      <c r="C537" t="inlineStr">
        <is>
          <t>Föryngringsavverkning</t>
        </is>
      </c>
      <c r="D537" s="1" t="n">
        <v>46176</v>
      </c>
      <c r="E537" s="1" t="n">
        <v>46216</v>
      </c>
      <c r="F537" t="inlineStr">
        <is>
          <t>UPPSALA LÄN</t>
        </is>
      </c>
      <c r="G537" t="inlineStr">
        <is>
          <t>ÖSTHAMMAR</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25399-2026</t>
        </is>
      </c>
      <c r="B538" t="inlineStr">
        <is>
          <t>avverkningsanmälan</t>
        </is>
      </c>
      <c r="C538" t="inlineStr">
        <is>
          <t>Föryngringsavverkning</t>
        </is>
      </c>
      <c r="D538" s="1" t="n">
        <v>46176</v>
      </c>
      <c r="E538" s="1" t="n">
        <v>46216</v>
      </c>
      <c r="F538" t="inlineStr">
        <is>
          <t>UPPSALA LÄN</t>
        </is>
      </c>
      <c r="G538" t="inlineStr">
        <is>
          <t>ÖSTHAMMAR</t>
        </is>
      </c>
      <c r="I538" t="n">
        <v>5.6</v>
      </c>
      <c r="J538" t="n">
        <v>0</v>
      </c>
      <c r="K538" t="n">
        <v>0</v>
      </c>
      <c r="L538" t="n">
        <v>0</v>
      </c>
      <c r="M538" t="n">
        <v>0</v>
      </c>
      <c r="N538" t="n">
        <v>0</v>
      </c>
      <c r="O538" t="n">
        <v>0</v>
      </c>
      <c r="P538" t="n">
        <v>0</v>
      </c>
      <c r="Q538" t="n">
        <v>0</v>
      </c>
      <c r="R538" t="n">
        <v>0</v>
      </c>
      <c r="S538" t="n">
        <v>0</v>
      </c>
      <c r="T538" t="n">
        <v>0</v>
      </c>
      <c r="U538" s="2" t="inlineStr"/>
    </row>
    <row r="539" ht="15" customHeight="1">
      <c r="A539" t="inlineStr">
        <is>
          <t>A 19631-2026</t>
        </is>
      </c>
      <c r="B539" t="inlineStr">
        <is>
          <t>avverkningsanmälan</t>
        </is>
      </c>
      <c r="C539" t="inlineStr">
        <is>
          <t>Föryngringsavverkning</t>
        </is>
      </c>
      <c r="D539" s="1" t="n">
        <v>46134</v>
      </c>
      <c r="E539" s="1" t="n">
        <v>46216</v>
      </c>
      <c r="F539" t="inlineStr">
        <is>
          <t>UPPSALA LÄN</t>
        </is>
      </c>
      <c r="G539" t="inlineStr">
        <is>
          <t>ÖSTHAMMAR</t>
        </is>
      </c>
      <c r="H539" t="inlineStr">
        <is>
          <t>Övriga Aktiebolag</t>
        </is>
      </c>
      <c r="I539" t="n">
        <v>4.2</v>
      </c>
      <c r="J539" t="n">
        <v>0</v>
      </c>
      <c r="K539" t="n">
        <v>0</v>
      </c>
      <c r="L539" t="n">
        <v>0</v>
      </c>
      <c r="M539" t="n">
        <v>0</v>
      </c>
      <c r="N539" t="n">
        <v>0</v>
      </c>
      <c r="O539" t="n">
        <v>0</v>
      </c>
      <c r="P539" t="n">
        <v>0</v>
      </c>
      <c r="Q539" t="n">
        <v>0</v>
      </c>
      <c r="R539" t="n">
        <v>0</v>
      </c>
      <c r="S539" t="n">
        <v>0</v>
      </c>
      <c r="T539" t="n">
        <v>0</v>
      </c>
      <c r="U539" s="2" t="inlineStr"/>
    </row>
    <row r="540" ht="15" customHeight="1">
      <c r="A540" t="inlineStr">
        <is>
          <t>A 31549-2022</t>
        </is>
      </c>
      <c r="B540" t="inlineStr">
        <is>
          <t>avverkningsanmälan</t>
        </is>
      </c>
      <c r="C540" t="inlineStr">
        <is>
          <t>Föryngringsavverkning</t>
        </is>
      </c>
      <c r="D540" s="1" t="n">
        <v>44775</v>
      </c>
      <c r="E540" s="1" t="n">
        <v>46216</v>
      </c>
      <c r="F540" t="inlineStr">
        <is>
          <t>UPPSALA LÄN</t>
        </is>
      </c>
      <c r="G540" t="inlineStr">
        <is>
          <t>ÖSTHAMMAR</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19485-2026</t>
        </is>
      </c>
      <c r="B541" t="inlineStr">
        <is>
          <t>avverkningsanmälan</t>
        </is>
      </c>
      <c r="C541" t="inlineStr">
        <is>
          <t>Föryngringsavverkning</t>
        </is>
      </c>
      <c r="D541" s="1" t="n">
        <v>46134</v>
      </c>
      <c r="E541" s="1" t="n">
        <v>46216</v>
      </c>
      <c r="F541" t="inlineStr">
        <is>
          <t>UPPSALA LÄN</t>
        </is>
      </c>
      <c r="G541" t="inlineStr">
        <is>
          <t>ÖSTHAMMAR</t>
        </is>
      </c>
      <c r="H541" t="inlineStr">
        <is>
          <t>Övriga Aktiebolag</t>
        </is>
      </c>
      <c r="I541" t="n">
        <v>12.1</v>
      </c>
      <c r="J541" t="n">
        <v>0</v>
      </c>
      <c r="K541" t="n">
        <v>0</v>
      </c>
      <c r="L541" t="n">
        <v>0</v>
      </c>
      <c r="M541" t="n">
        <v>0</v>
      </c>
      <c r="N541" t="n">
        <v>0</v>
      </c>
      <c r="O541" t="n">
        <v>0</v>
      </c>
      <c r="P541" t="n">
        <v>0</v>
      </c>
      <c r="Q541" t="n">
        <v>0</v>
      </c>
      <c r="R541" t="n">
        <v>0</v>
      </c>
      <c r="S541" t="n">
        <v>0</v>
      </c>
      <c r="T541" t="n">
        <v>0</v>
      </c>
      <c r="U541" s="2" t="inlineStr"/>
    </row>
    <row r="542" ht="15" customHeight="1">
      <c r="A542" t="inlineStr">
        <is>
          <t>A 25396-2026</t>
        </is>
      </c>
      <c r="B542" t="inlineStr">
        <is>
          <t>avverkningsanmälan</t>
        </is>
      </c>
      <c r="C542" t="inlineStr">
        <is>
          <t>Föryngringsavverkning</t>
        </is>
      </c>
      <c r="D542" s="1" t="n">
        <v>46176</v>
      </c>
      <c r="E542" s="1" t="n">
        <v>46216</v>
      </c>
      <c r="F542" t="inlineStr">
        <is>
          <t>UPPSALA LÄN</t>
        </is>
      </c>
      <c r="G542" t="inlineStr">
        <is>
          <t>ÖSTHAMMAR</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25381-2026</t>
        </is>
      </c>
      <c r="B543" t="inlineStr">
        <is>
          <t>avverkningsanmälan</t>
        </is>
      </c>
      <c r="C543" t="inlineStr">
        <is>
          <t>Föryngringsavverkning</t>
        </is>
      </c>
      <c r="D543" s="1" t="n">
        <v>46176</v>
      </c>
      <c r="E543" s="1" t="n">
        <v>46216</v>
      </c>
      <c r="F543" t="inlineStr">
        <is>
          <t>UPPSALA LÄN</t>
        </is>
      </c>
      <c r="G543" t="inlineStr">
        <is>
          <t>ÖSTHAMMAR</t>
        </is>
      </c>
      <c r="I543" t="n">
        <v>2.2</v>
      </c>
      <c r="J543" t="n">
        <v>0</v>
      </c>
      <c r="K543" t="n">
        <v>0</v>
      </c>
      <c r="L543" t="n">
        <v>0</v>
      </c>
      <c r="M543" t="n">
        <v>0</v>
      </c>
      <c r="N543" t="n">
        <v>0</v>
      </c>
      <c r="O543" t="n">
        <v>0</v>
      </c>
      <c r="P543" t="n">
        <v>0</v>
      </c>
      <c r="Q543" t="n">
        <v>0</v>
      </c>
      <c r="R543" t="n">
        <v>0</v>
      </c>
      <c r="S543" t="n">
        <v>0</v>
      </c>
      <c r="T543" t="n">
        <v>0</v>
      </c>
      <c r="U543" s="2" t="inlineStr"/>
    </row>
    <row r="544" ht="15" customHeight="1">
      <c r="A544" t="inlineStr">
        <is>
          <t>A 24174-2025</t>
        </is>
      </c>
      <c r="B544" t="inlineStr">
        <is>
          <t>avverkningsanmälan</t>
        </is>
      </c>
      <c r="C544" t="inlineStr">
        <is>
          <t>Föryngringsavverkning</t>
        </is>
      </c>
      <c r="D544" s="1" t="n">
        <v>45796</v>
      </c>
      <c r="E544" s="1" t="n">
        <v>46216</v>
      </c>
      <c r="F544" t="inlineStr">
        <is>
          <t>UPPSALA LÄN</t>
        </is>
      </c>
      <c r="G544" t="inlineStr">
        <is>
          <t>ÖSTHAMMAR</t>
        </is>
      </c>
      <c r="I544" t="n">
        <v>4.9</v>
      </c>
      <c r="J544" t="n">
        <v>0</v>
      </c>
      <c r="K544" t="n">
        <v>0</v>
      </c>
      <c r="L544" t="n">
        <v>0</v>
      </c>
      <c r="M544" t="n">
        <v>0</v>
      </c>
      <c r="N544" t="n">
        <v>0</v>
      </c>
      <c r="O544" t="n">
        <v>0</v>
      </c>
      <c r="P544" t="n">
        <v>0</v>
      </c>
      <c r="Q544" t="n">
        <v>0</v>
      </c>
      <c r="R544" t="n">
        <v>0</v>
      </c>
      <c r="S544" t="n">
        <v>0</v>
      </c>
      <c r="T544" t="n">
        <v>0</v>
      </c>
      <c r="U544" s="2" t="inlineStr"/>
    </row>
    <row r="545" ht="15" customHeight="1">
      <c r="A545" t="inlineStr">
        <is>
          <t>A 28442-2025</t>
        </is>
      </c>
      <c r="B545" t="inlineStr">
        <is>
          <t>avverkningsanmälan</t>
        </is>
      </c>
      <c r="C545" t="inlineStr">
        <is>
          <t>Föryngringsavverkning</t>
        </is>
      </c>
      <c r="D545" s="1" t="n">
        <v>45819</v>
      </c>
      <c r="E545" s="1" t="n">
        <v>46216</v>
      </c>
      <c r="F545" t="inlineStr">
        <is>
          <t>UPPSALA LÄN</t>
        </is>
      </c>
      <c r="G545" t="inlineStr">
        <is>
          <t>ÖSTHAMMAR</t>
        </is>
      </c>
      <c r="H545" t="inlineStr">
        <is>
          <t>Övriga Aktiebolag</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26159-2026</t>
        </is>
      </c>
      <c r="B546" t="inlineStr">
        <is>
          <t>avverkningsanmälan</t>
        </is>
      </c>
      <c r="C546" t="inlineStr">
        <is>
          <t>Föryngringsavverkning</t>
        </is>
      </c>
      <c r="D546" s="1" t="n">
        <v>46181</v>
      </c>
      <c r="E546" s="1" t="n">
        <v>46216</v>
      </c>
      <c r="F546" t="inlineStr">
        <is>
          <t>UPPSALA LÄN</t>
        </is>
      </c>
      <c r="G546" t="inlineStr">
        <is>
          <t>ÖSTHAMMAR</t>
        </is>
      </c>
      <c r="H546" t="inlineStr">
        <is>
          <t>Bergvik skog öst AB</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26160-2026</t>
        </is>
      </c>
      <c r="B547" t="inlineStr">
        <is>
          <t>avverkningsanmälan</t>
        </is>
      </c>
      <c r="C547" t="inlineStr">
        <is>
          <t>Föryngringsavverkning</t>
        </is>
      </c>
      <c r="D547" s="1" t="n">
        <v>46181</v>
      </c>
      <c r="E547" s="1" t="n">
        <v>46216</v>
      </c>
      <c r="F547" t="inlineStr">
        <is>
          <t>UPPSALA LÄN</t>
        </is>
      </c>
      <c r="G547" t="inlineStr">
        <is>
          <t>ÖSTHAMMAR</t>
        </is>
      </c>
      <c r="H547" t="inlineStr">
        <is>
          <t>Bergvik skog öst AB</t>
        </is>
      </c>
      <c r="I547" t="n">
        <v>0.3</v>
      </c>
      <c r="J547" t="n">
        <v>0</v>
      </c>
      <c r="K547" t="n">
        <v>0</v>
      </c>
      <c r="L547" t="n">
        <v>0</v>
      </c>
      <c r="M547" t="n">
        <v>0</v>
      </c>
      <c r="N547" t="n">
        <v>0</v>
      </c>
      <c r="O547" t="n">
        <v>0</v>
      </c>
      <c r="P547" t="n">
        <v>0</v>
      </c>
      <c r="Q547" t="n">
        <v>0</v>
      </c>
      <c r="R547" t="n">
        <v>0</v>
      </c>
      <c r="S547" t="n">
        <v>0</v>
      </c>
      <c r="T547" t="n">
        <v>0</v>
      </c>
      <c r="U547" s="2" t="inlineStr"/>
    </row>
    <row r="548" ht="15" customHeight="1">
      <c r="A548" t="inlineStr">
        <is>
          <t>A 21133-2025</t>
        </is>
      </c>
      <c r="B548" t="inlineStr">
        <is>
          <t>avverkningsanmälan</t>
        </is>
      </c>
      <c r="C548" t="inlineStr">
        <is>
          <t>Föryngringsavverkning</t>
        </is>
      </c>
      <c r="D548" s="1" t="n">
        <v>45778</v>
      </c>
      <c r="E548" s="1" t="n">
        <v>46216</v>
      </c>
      <c r="F548" t="inlineStr">
        <is>
          <t>UPPSALA LÄN</t>
        </is>
      </c>
      <c r="G548" t="inlineStr">
        <is>
          <t>ÖSTHAMMAR</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36857-2023</t>
        </is>
      </c>
      <c r="B549" t="inlineStr">
        <is>
          <t>avverkningsanmälan</t>
        </is>
      </c>
      <c r="C549" t="inlineStr">
        <is>
          <t>Föryngringsavverkning</t>
        </is>
      </c>
      <c r="D549" s="1" t="n">
        <v>45154</v>
      </c>
      <c r="E549" s="1" t="n">
        <v>46216</v>
      </c>
      <c r="F549" t="inlineStr">
        <is>
          <t>UPPSALA LÄN</t>
        </is>
      </c>
      <c r="G549" t="inlineStr">
        <is>
          <t>ÖSTHAMMAR</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1800-2023</t>
        </is>
      </c>
      <c r="B550" t="inlineStr">
        <is>
          <t>avverkningsanmälan</t>
        </is>
      </c>
      <c r="C550" t="inlineStr">
        <is>
          <t>Föryngringsavverkning</t>
        </is>
      </c>
      <c r="D550" s="1" t="n">
        <v>44938</v>
      </c>
      <c r="E550" s="1" t="n">
        <v>46216</v>
      </c>
      <c r="F550" t="inlineStr">
        <is>
          <t>UPPSALA LÄN</t>
        </is>
      </c>
      <c r="G550" t="inlineStr">
        <is>
          <t>ÖSTHAMMAR</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31485-2023</t>
        </is>
      </c>
      <c r="B551" t="inlineStr">
        <is>
          <t>avverkningsanmälan</t>
        </is>
      </c>
      <c r="C551" t="inlineStr">
        <is>
          <t>Föryngringsavverkning</t>
        </is>
      </c>
      <c r="D551" s="1" t="n">
        <v>45114</v>
      </c>
      <c r="E551" s="1" t="n">
        <v>46216</v>
      </c>
      <c r="F551" t="inlineStr">
        <is>
          <t>UPPSALA LÄN</t>
        </is>
      </c>
      <c r="G551" t="inlineStr">
        <is>
          <t>ÖSTHAMMAR</t>
        </is>
      </c>
      <c r="H551" t="inlineStr">
        <is>
          <t>Bergvik skog öst AB</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31956-2025</t>
        </is>
      </c>
      <c r="B552" t="inlineStr">
        <is>
          <t>avverkningsanmälan</t>
        </is>
      </c>
      <c r="C552" t="inlineStr">
        <is>
          <t>Föryngringsavverkning</t>
        </is>
      </c>
      <c r="D552" s="1" t="n">
        <v>45835</v>
      </c>
      <c r="E552" s="1" t="n">
        <v>46216</v>
      </c>
      <c r="F552" t="inlineStr">
        <is>
          <t>UPPSALA LÄN</t>
        </is>
      </c>
      <c r="G552" t="inlineStr">
        <is>
          <t>ÖSTHAMMAR</t>
        </is>
      </c>
      <c r="H552" t="inlineStr">
        <is>
          <t>Övriga Aktiebolag</t>
        </is>
      </c>
      <c r="I552" t="n">
        <v>4.2</v>
      </c>
      <c r="J552" t="n">
        <v>0</v>
      </c>
      <c r="K552" t="n">
        <v>0</v>
      </c>
      <c r="L552" t="n">
        <v>0</v>
      </c>
      <c r="M552" t="n">
        <v>0</v>
      </c>
      <c r="N552" t="n">
        <v>0</v>
      </c>
      <c r="O552" t="n">
        <v>0</v>
      </c>
      <c r="P552" t="n">
        <v>0</v>
      </c>
      <c r="Q552" t="n">
        <v>0</v>
      </c>
      <c r="R552" t="n">
        <v>0</v>
      </c>
      <c r="S552" t="n">
        <v>0</v>
      </c>
      <c r="T552" t="n">
        <v>0</v>
      </c>
      <c r="U552" s="2" t="inlineStr"/>
    </row>
    <row r="553" ht="15" customHeight="1">
      <c r="A553" t="inlineStr">
        <is>
          <t>A 27352-2025</t>
        </is>
      </c>
      <c r="B553" t="inlineStr">
        <is>
          <t>avverkningsanmälan</t>
        </is>
      </c>
      <c r="C553" t="inlineStr">
        <is>
          <t>Föryngringsavverkning</t>
        </is>
      </c>
      <c r="D553" s="1" t="n">
        <v>45812</v>
      </c>
      <c r="E553" s="1" t="n">
        <v>46216</v>
      </c>
      <c r="F553" t="inlineStr">
        <is>
          <t>UPPSALA LÄN</t>
        </is>
      </c>
      <c r="G553" t="inlineStr">
        <is>
          <t>ÖSTHAMMAR</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19901-2026</t>
        </is>
      </c>
      <c r="B554" t="inlineStr">
        <is>
          <t>avverkningsanmälan</t>
        </is>
      </c>
      <c r="C554" t="inlineStr">
        <is>
          <t>Föryngringsavverkning</t>
        </is>
      </c>
      <c r="D554" s="1" t="n">
        <v>46136</v>
      </c>
      <c r="E554" s="1" t="n">
        <v>46216</v>
      </c>
      <c r="F554" t="inlineStr">
        <is>
          <t>UPPSALA LÄN</t>
        </is>
      </c>
      <c r="G554" t="inlineStr">
        <is>
          <t>ÖSTHAMMAR</t>
        </is>
      </c>
      <c r="H554" t="inlineStr">
        <is>
          <t>Övriga Aktiebolag</t>
        </is>
      </c>
      <c r="I554" t="n">
        <v>8.800000000000001</v>
      </c>
      <c r="J554" t="n">
        <v>0</v>
      </c>
      <c r="K554" t="n">
        <v>0</v>
      </c>
      <c r="L554" t="n">
        <v>0</v>
      </c>
      <c r="M554" t="n">
        <v>0</v>
      </c>
      <c r="N554" t="n">
        <v>0</v>
      </c>
      <c r="O554" t="n">
        <v>0</v>
      </c>
      <c r="P554" t="n">
        <v>0</v>
      </c>
      <c r="Q554" t="n">
        <v>0</v>
      </c>
      <c r="R554" t="n">
        <v>0</v>
      </c>
      <c r="S554" t="n">
        <v>0</v>
      </c>
      <c r="T554" t="n">
        <v>0</v>
      </c>
      <c r="U554" s="2" t="inlineStr"/>
    </row>
    <row r="555" ht="15" customHeight="1">
      <c r="A555" t="inlineStr">
        <is>
          <t>A 25897-2023</t>
        </is>
      </c>
      <c r="B555" t="inlineStr">
        <is>
          <t>avverkningsanmälan</t>
        </is>
      </c>
      <c r="C555" t="inlineStr">
        <is>
          <t>Föryngringsavverkning</t>
        </is>
      </c>
      <c r="D555" s="1" t="n">
        <v>45090</v>
      </c>
      <c r="E555" s="1" t="n">
        <v>46216</v>
      </c>
      <c r="F555" t="inlineStr">
        <is>
          <t>UPPSALA LÄN</t>
        </is>
      </c>
      <c r="G555" t="inlineStr">
        <is>
          <t>ÖSTHAMMAR</t>
        </is>
      </c>
      <c r="H555" t="inlineStr">
        <is>
          <t>Bergvik skog öst AB</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20393-2026</t>
        </is>
      </c>
      <c r="B556" t="inlineStr">
        <is>
          <t>avverkningsanmälan</t>
        </is>
      </c>
      <c r="C556" t="inlineStr">
        <is>
          <t>Föryngringsavverkning</t>
        </is>
      </c>
      <c r="D556" s="1" t="n">
        <v>46139</v>
      </c>
      <c r="E556" s="1" t="n">
        <v>46216</v>
      </c>
      <c r="F556" t="inlineStr">
        <is>
          <t>UPPSALA LÄN</t>
        </is>
      </c>
      <c r="G556" t="inlineStr">
        <is>
          <t>ÖSTHAMMAR</t>
        </is>
      </c>
      <c r="I556" t="n">
        <v>4.5</v>
      </c>
      <c r="J556" t="n">
        <v>0</v>
      </c>
      <c r="K556" t="n">
        <v>0</v>
      </c>
      <c r="L556" t="n">
        <v>0</v>
      </c>
      <c r="M556" t="n">
        <v>0</v>
      </c>
      <c r="N556" t="n">
        <v>0</v>
      </c>
      <c r="O556" t="n">
        <v>0</v>
      </c>
      <c r="P556" t="n">
        <v>0</v>
      </c>
      <c r="Q556" t="n">
        <v>0</v>
      </c>
      <c r="R556" t="n">
        <v>0</v>
      </c>
      <c r="S556" t="n">
        <v>0</v>
      </c>
      <c r="T556" t="n">
        <v>0</v>
      </c>
      <c r="U556" s="2" t="inlineStr"/>
    </row>
    <row r="557" ht="15" customHeight="1">
      <c r="A557" t="inlineStr">
        <is>
          <t>A 26162-2026</t>
        </is>
      </c>
      <c r="B557" t="inlineStr">
        <is>
          <t>avverkningsanmälan</t>
        </is>
      </c>
      <c r="C557" t="inlineStr">
        <is>
          <t>Föryngringsavverkning</t>
        </is>
      </c>
      <c r="D557" s="1" t="n">
        <v>46181</v>
      </c>
      <c r="E557" s="1" t="n">
        <v>46216</v>
      </c>
      <c r="F557" t="inlineStr">
        <is>
          <t>UPPSALA LÄN</t>
        </is>
      </c>
      <c r="G557" t="inlineStr">
        <is>
          <t>ÖSTHAMMAR</t>
        </is>
      </c>
      <c r="H557" t="inlineStr">
        <is>
          <t>Bergvik skog öst AB</t>
        </is>
      </c>
      <c r="I557" t="n">
        <v>8.300000000000001</v>
      </c>
      <c r="J557" t="n">
        <v>0</v>
      </c>
      <c r="K557" t="n">
        <v>0</v>
      </c>
      <c r="L557" t="n">
        <v>0</v>
      </c>
      <c r="M557" t="n">
        <v>0</v>
      </c>
      <c r="N557" t="n">
        <v>0</v>
      </c>
      <c r="O557" t="n">
        <v>0</v>
      </c>
      <c r="P557" t="n">
        <v>0</v>
      </c>
      <c r="Q557" t="n">
        <v>0</v>
      </c>
      <c r="R557" t="n">
        <v>0</v>
      </c>
      <c r="S557" t="n">
        <v>0</v>
      </c>
      <c r="T557" t="n">
        <v>0</v>
      </c>
      <c r="U557" s="2" t="inlineStr"/>
    </row>
    <row r="558" ht="15" customHeight="1">
      <c r="A558" t="inlineStr">
        <is>
          <t>A 6120-2024</t>
        </is>
      </c>
      <c r="B558" t="inlineStr">
        <is>
          <t>avverkningsanmälan</t>
        </is>
      </c>
      <c r="C558" t="inlineStr">
        <is>
          <t>Föryngringsavverkning</t>
        </is>
      </c>
      <c r="D558" s="1" t="n">
        <v>45337</v>
      </c>
      <c r="E558" s="1" t="n">
        <v>46216</v>
      </c>
      <c r="F558" t="inlineStr">
        <is>
          <t>UPPSALA LÄN</t>
        </is>
      </c>
      <c r="G558" t="inlineStr">
        <is>
          <t>ÖSTHAMMAR</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20394-2026</t>
        </is>
      </c>
      <c r="B559" t="inlineStr">
        <is>
          <t>avverkningsanmälan</t>
        </is>
      </c>
      <c r="C559" t="inlineStr">
        <is>
          <t>Föryngringsavverkning</t>
        </is>
      </c>
      <c r="D559" s="1" t="n">
        <v>46139</v>
      </c>
      <c r="E559" s="1" t="n">
        <v>46216</v>
      </c>
      <c r="F559" t="inlineStr">
        <is>
          <t>UPPSALA LÄN</t>
        </is>
      </c>
      <c r="G559" t="inlineStr">
        <is>
          <t>ÖSTHAMMAR</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56658-2025</t>
        </is>
      </c>
      <c r="B560" t="inlineStr">
        <is>
          <t>avverkningsanmälan</t>
        </is>
      </c>
      <c r="C560" t="inlineStr">
        <is>
          <t>Föryngringsavverkning</t>
        </is>
      </c>
      <c r="D560" s="1" t="n">
        <v>45975</v>
      </c>
      <c r="E560" s="1" t="n">
        <v>46216</v>
      </c>
      <c r="F560" t="inlineStr">
        <is>
          <t>UPPSALA LÄN</t>
        </is>
      </c>
      <c r="G560" t="inlineStr">
        <is>
          <t>ÖSTHAMMAR</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67848-2021</t>
        </is>
      </c>
      <c r="B561" t="inlineStr">
        <is>
          <t>avverkningsanmälan</t>
        </is>
      </c>
      <c r="C561" t="inlineStr">
        <is>
          <t>Föryngringsavverkning</t>
        </is>
      </c>
      <c r="D561" s="1" t="n">
        <v>44525</v>
      </c>
      <c r="E561" s="1" t="n">
        <v>46216</v>
      </c>
      <c r="F561" t="inlineStr">
        <is>
          <t>UPPSALA LÄN</t>
        </is>
      </c>
      <c r="G561" t="inlineStr">
        <is>
          <t>ÖSTHAMMAR</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2352-2026</t>
        </is>
      </c>
      <c r="B562" t="inlineStr">
        <is>
          <t>avverkningsanmälan</t>
        </is>
      </c>
      <c r="C562" t="inlineStr">
        <is>
          <t>Föryngringsavverkning</t>
        </is>
      </c>
      <c r="D562" s="1" t="n">
        <v>46034</v>
      </c>
      <c r="E562" s="1" t="n">
        <v>46216</v>
      </c>
      <c r="F562" t="inlineStr">
        <is>
          <t>UPPSALA LÄN</t>
        </is>
      </c>
      <c r="G562" t="inlineStr">
        <is>
          <t>ÖSTHAMMAR</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64811-2021</t>
        </is>
      </c>
      <c r="B563" t="inlineStr">
        <is>
          <t>avverkningsanmälan</t>
        </is>
      </c>
      <c r="C563" t="inlineStr">
        <is>
          <t>Föryngringsavverkning</t>
        </is>
      </c>
      <c r="D563" s="1" t="n">
        <v>44512</v>
      </c>
      <c r="E563" s="1" t="n">
        <v>46216</v>
      </c>
      <c r="F563" t="inlineStr">
        <is>
          <t>UPPSALA LÄN</t>
        </is>
      </c>
      <c r="G563" t="inlineStr">
        <is>
          <t>ÖSTHAMMAR</t>
        </is>
      </c>
      <c r="I563" t="n">
        <v>4.2</v>
      </c>
      <c r="J563" t="n">
        <v>0</v>
      </c>
      <c r="K563" t="n">
        <v>0</v>
      </c>
      <c r="L563" t="n">
        <v>0</v>
      </c>
      <c r="M563" t="n">
        <v>0</v>
      </c>
      <c r="N563" t="n">
        <v>0</v>
      </c>
      <c r="O563" t="n">
        <v>0</v>
      </c>
      <c r="P563" t="n">
        <v>0</v>
      </c>
      <c r="Q563" t="n">
        <v>0</v>
      </c>
      <c r="R563" t="n">
        <v>0</v>
      </c>
      <c r="S563" t="n">
        <v>0</v>
      </c>
      <c r="T563" t="n">
        <v>0</v>
      </c>
      <c r="U563" s="2" t="inlineStr"/>
    </row>
    <row r="564" ht="15" customHeight="1">
      <c r="A564" t="inlineStr">
        <is>
          <t>A 56382-2022</t>
        </is>
      </c>
      <c r="B564" t="inlineStr">
        <is>
          <t>avverkningsanmälan</t>
        </is>
      </c>
      <c r="C564" t="inlineStr">
        <is>
          <t>Föryngringsavverkning</t>
        </is>
      </c>
      <c r="D564" s="1" t="n">
        <v>44890</v>
      </c>
      <c r="E564" s="1" t="n">
        <v>46216</v>
      </c>
      <c r="F564" t="inlineStr">
        <is>
          <t>UPPSALA LÄN</t>
        </is>
      </c>
      <c r="G564" t="inlineStr">
        <is>
          <t>ÖSTHAMMAR</t>
        </is>
      </c>
      <c r="H564" t="inlineStr">
        <is>
          <t>Allmännings- och besparingsskogar</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2358-2026</t>
        </is>
      </c>
      <c r="B565" t="inlineStr">
        <is>
          <t>avverkningsanmälan</t>
        </is>
      </c>
      <c r="C565" t="inlineStr">
        <is>
          <t>Föryngringsavverkning</t>
        </is>
      </c>
      <c r="D565" s="1" t="n">
        <v>46034</v>
      </c>
      <c r="E565" s="1" t="n">
        <v>46216</v>
      </c>
      <c r="F565" t="inlineStr">
        <is>
          <t>UPPSALA LÄN</t>
        </is>
      </c>
      <c r="G565" t="inlineStr">
        <is>
          <t>ÖSTHAMMAR</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57043-2022</t>
        </is>
      </c>
      <c r="B566" t="inlineStr">
        <is>
          <t>avverkningsanmälan</t>
        </is>
      </c>
      <c r="C566" t="inlineStr">
        <is>
          <t>Föryngringsavverkning</t>
        </is>
      </c>
      <c r="D566" s="1" t="n">
        <v>44895</v>
      </c>
      <c r="E566" s="1" t="n">
        <v>46216</v>
      </c>
      <c r="F566" t="inlineStr">
        <is>
          <t>UPPSALA LÄN</t>
        </is>
      </c>
      <c r="G566" t="inlineStr">
        <is>
          <t>ÖSTHAMMAR</t>
        </is>
      </c>
      <c r="H566" t="inlineStr">
        <is>
          <t>Bergvik skog öst AB</t>
        </is>
      </c>
      <c r="I566" t="n">
        <v>5.7</v>
      </c>
      <c r="J566" t="n">
        <v>0</v>
      </c>
      <c r="K566" t="n">
        <v>0</v>
      </c>
      <c r="L566" t="n">
        <v>0</v>
      </c>
      <c r="M566" t="n">
        <v>0</v>
      </c>
      <c r="N566" t="n">
        <v>0</v>
      </c>
      <c r="O566" t="n">
        <v>0</v>
      </c>
      <c r="P566" t="n">
        <v>0</v>
      </c>
      <c r="Q566" t="n">
        <v>0</v>
      </c>
      <c r="R566" t="n">
        <v>0</v>
      </c>
      <c r="S566" t="n">
        <v>0</v>
      </c>
      <c r="T566" t="n">
        <v>0</v>
      </c>
      <c r="U566" s="2" t="inlineStr"/>
    </row>
    <row r="567" ht="15" customHeight="1">
      <c r="A567" t="inlineStr">
        <is>
          <t>A 59880-2022</t>
        </is>
      </c>
      <c r="B567" t="inlineStr">
        <is>
          <t>avverkningsanmälan</t>
        </is>
      </c>
      <c r="C567" t="inlineStr">
        <is>
          <t>Föryngringsavverkning</t>
        </is>
      </c>
      <c r="D567" s="1" t="n">
        <v>44908</v>
      </c>
      <c r="E567" s="1" t="n">
        <v>46216</v>
      </c>
      <c r="F567" t="inlineStr">
        <is>
          <t>UPPSALA LÄN</t>
        </is>
      </c>
      <c r="G567" t="inlineStr">
        <is>
          <t>ÖSTHAMMAR</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26161-2026</t>
        </is>
      </c>
      <c r="B568" t="inlineStr">
        <is>
          <t>avverkningsanmälan</t>
        </is>
      </c>
      <c r="C568" t="inlineStr">
        <is>
          <t>Föryngringsavverkning</t>
        </is>
      </c>
      <c r="D568" s="1" t="n">
        <v>46181</v>
      </c>
      <c r="E568" s="1" t="n">
        <v>46216</v>
      </c>
      <c r="F568" t="inlineStr">
        <is>
          <t>UPPSALA LÄN</t>
        </is>
      </c>
      <c r="G568" t="inlineStr">
        <is>
          <t>ÖSTHAMMAR</t>
        </is>
      </c>
      <c r="H568" t="inlineStr">
        <is>
          <t>Bergvik skog öst AB</t>
        </is>
      </c>
      <c r="I568" t="n">
        <v>9.1</v>
      </c>
      <c r="J568" t="n">
        <v>0</v>
      </c>
      <c r="K568" t="n">
        <v>0</v>
      </c>
      <c r="L568" t="n">
        <v>0</v>
      </c>
      <c r="M568" t="n">
        <v>0</v>
      </c>
      <c r="N568" t="n">
        <v>0</v>
      </c>
      <c r="O568" t="n">
        <v>0</v>
      </c>
      <c r="P568" t="n">
        <v>0</v>
      </c>
      <c r="Q568" t="n">
        <v>0</v>
      </c>
      <c r="R568" t="n">
        <v>0</v>
      </c>
      <c r="S568" t="n">
        <v>0</v>
      </c>
      <c r="T568" t="n">
        <v>0</v>
      </c>
      <c r="U568" s="2" t="inlineStr"/>
    </row>
    <row r="569" ht="15" customHeight="1">
      <c r="A569" t="inlineStr">
        <is>
          <t>A 25843-2026</t>
        </is>
      </c>
      <c r="B569" t="inlineStr">
        <is>
          <t>avverkningsanmälan</t>
        </is>
      </c>
      <c r="C569" t="inlineStr">
        <is>
          <t>Föryngringsavverkning</t>
        </is>
      </c>
      <c r="D569" s="1" t="n">
        <v>46178</v>
      </c>
      <c r="E569" s="1" t="n">
        <v>46216</v>
      </c>
      <c r="F569" t="inlineStr">
        <is>
          <t>UPPSALA LÄN</t>
        </is>
      </c>
      <c r="G569" t="inlineStr">
        <is>
          <t>ÖSTHAMMAR</t>
        </is>
      </c>
      <c r="H569" t="inlineStr">
        <is>
          <t>Bergvik skog öst AB</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20058-2026</t>
        </is>
      </c>
      <c r="B570" t="inlineStr">
        <is>
          <t>avverkningsanmälan</t>
        </is>
      </c>
      <c r="C570" t="inlineStr">
        <is>
          <t>Föryngringsavverkning</t>
        </is>
      </c>
      <c r="D570" s="1" t="n">
        <v>46136</v>
      </c>
      <c r="E570" s="1" t="n">
        <v>46216</v>
      </c>
      <c r="F570" t="inlineStr">
        <is>
          <t>UPPSALA LÄN</t>
        </is>
      </c>
      <c r="G570" t="inlineStr">
        <is>
          <t>ÖSTHAMMAR</t>
        </is>
      </c>
      <c r="I570" t="n">
        <v>3.4</v>
      </c>
      <c r="J570" t="n">
        <v>0</v>
      </c>
      <c r="K570" t="n">
        <v>0</v>
      </c>
      <c r="L570" t="n">
        <v>0</v>
      </c>
      <c r="M570" t="n">
        <v>0</v>
      </c>
      <c r="N570" t="n">
        <v>0</v>
      </c>
      <c r="O570" t="n">
        <v>0</v>
      </c>
      <c r="P570" t="n">
        <v>0</v>
      </c>
      <c r="Q570" t="n">
        <v>0</v>
      </c>
      <c r="R570" t="n">
        <v>0</v>
      </c>
      <c r="S570" t="n">
        <v>0</v>
      </c>
      <c r="T570" t="n">
        <v>0</v>
      </c>
      <c r="U570" s="2" t="inlineStr"/>
    </row>
    <row r="571" ht="15" customHeight="1">
      <c r="A571" t="inlineStr">
        <is>
          <t>A 7944-2023</t>
        </is>
      </c>
      <c r="B571" t="inlineStr">
        <is>
          <t>avverkningsanmälan</t>
        </is>
      </c>
      <c r="C571" t="inlineStr">
        <is>
          <t>Föryngringsavverkning</t>
        </is>
      </c>
      <c r="D571" s="1" t="n">
        <v>44973</v>
      </c>
      <c r="E571" s="1" t="n">
        <v>46216</v>
      </c>
      <c r="F571" t="inlineStr">
        <is>
          <t>UPPSALA LÄN</t>
        </is>
      </c>
      <c r="G571" t="inlineStr">
        <is>
          <t>ÖSTHAMMAR</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52659-2021</t>
        </is>
      </c>
      <c r="B572" t="inlineStr">
        <is>
          <t>avverkningsanmälan</t>
        </is>
      </c>
      <c r="C572" t="inlineStr">
        <is>
          <t>Föryngringsavverkning</t>
        </is>
      </c>
      <c r="D572" s="1" t="n">
        <v>44466</v>
      </c>
      <c r="E572" s="1" t="n">
        <v>46216</v>
      </c>
      <c r="F572" t="inlineStr">
        <is>
          <t>UPPSALA LÄN</t>
        </is>
      </c>
      <c r="G572" t="inlineStr">
        <is>
          <t>ÖSTHAMMAR</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7216-2025</t>
        </is>
      </c>
      <c r="B573" t="inlineStr">
        <is>
          <t>avverkningsanmälan</t>
        </is>
      </c>
      <c r="C573" t="inlineStr">
        <is>
          <t>Föryngringsavverkning</t>
        </is>
      </c>
      <c r="D573" s="1" t="n">
        <v>45702</v>
      </c>
      <c r="E573" s="1" t="n">
        <v>46216</v>
      </c>
      <c r="F573" t="inlineStr">
        <is>
          <t>UPPSALA LÄN</t>
        </is>
      </c>
      <c r="G573" t="inlineStr">
        <is>
          <t>ÖSTHAMMAR</t>
        </is>
      </c>
      <c r="H573" t="inlineStr">
        <is>
          <t>Övriga Aktiebolag</t>
        </is>
      </c>
      <c r="I573" t="n">
        <v>12.5</v>
      </c>
      <c r="J573" t="n">
        <v>0</v>
      </c>
      <c r="K573" t="n">
        <v>0</v>
      </c>
      <c r="L573" t="n">
        <v>0</v>
      </c>
      <c r="M573" t="n">
        <v>0</v>
      </c>
      <c r="N573" t="n">
        <v>0</v>
      </c>
      <c r="O573" t="n">
        <v>0</v>
      </c>
      <c r="P573" t="n">
        <v>0</v>
      </c>
      <c r="Q573" t="n">
        <v>0</v>
      </c>
      <c r="R573" t="n">
        <v>0</v>
      </c>
      <c r="S573" t="n">
        <v>0</v>
      </c>
      <c r="T573" t="n">
        <v>0</v>
      </c>
      <c r="U573" s="2" t="inlineStr"/>
    </row>
    <row r="574" ht="15" customHeight="1">
      <c r="A574" t="inlineStr">
        <is>
          <t>A 26319-2025</t>
        </is>
      </c>
      <c r="B574" t="inlineStr">
        <is>
          <t>avverkningsanmälan</t>
        </is>
      </c>
      <c r="C574" t="inlineStr">
        <is>
          <t>Föryngringsavverkning</t>
        </is>
      </c>
      <c r="D574" s="1" t="n">
        <v>45805</v>
      </c>
      <c r="E574" s="1" t="n">
        <v>46216</v>
      </c>
      <c r="F574" t="inlineStr">
        <is>
          <t>UPPSALA LÄN</t>
        </is>
      </c>
      <c r="G574" t="inlineStr">
        <is>
          <t>ÖSTHAMMAR</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73965-2021</t>
        </is>
      </c>
      <c r="B575" t="inlineStr">
        <is>
          <t>avverkningsanmälan</t>
        </is>
      </c>
      <c r="C575" t="inlineStr">
        <is>
          <t>Föryngringsavverkning</t>
        </is>
      </c>
      <c r="D575" s="1" t="n">
        <v>44553</v>
      </c>
      <c r="E575" s="1" t="n">
        <v>46216</v>
      </c>
      <c r="F575" t="inlineStr">
        <is>
          <t>UPPSALA LÄN</t>
        </is>
      </c>
      <c r="G575" t="inlineStr">
        <is>
          <t>ÖSTHAMMAR</t>
        </is>
      </c>
      <c r="H575" t="inlineStr">
        <is>
          <t>Bergvik skog öst AB</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3418-2025</t>
        </is>
      </c>
      <c r="B576" t="inlineStr">
        <is>
          <t>avverkningsanmälan</t>
        </is>
      </c>
      <c r="C576" t="inlineStr">
        <is>
          <t>Föryngringsavverkning</t>
        </is>
      </c>
      <c r="D576" s="1" t="n">
        <v>45680</v>
      </c>
      <c r="E576" s="1" t="n">
        <v>46216</v>
      </c>
      <c r="F576" t="inlineStr">
        <is>
          <t>UPPSALA LÄN</t>
        </is>
      </c>
      <c r="G576" t="inlineStr">
        <is>
          <t>ÖSTHAMMAR</t>
        </is>
      </c>
      <c r="H576" t="inlineStr">
        <is>
          <t>Bergvik skog väst AB</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52661-2022</t>
        </is>
      </c>
      <c r="B577" t="inlineStr">
        <is>
          <t>avverkningsanmälan</t>
        </is>
      </c>
      <c r="C577" t="inlineStr">
        <is>
          <t>Föryngringsavverkning</t>
        </is>
      </c>
      <c r="D577" s="1" t="n">
        <v>44874</v>
      </c>
      <c r="E577" s="1" t="n">
        <v>46216</v>
      </c>
      <c r="F577" t="inlineStr">
        <is>
          <t>UPPSALA LÄN</t>
        </is>
      </c>
      <c r="G577" t="inlineStr">
        <is>
          <t>ÖSTHAMMAR</t>
        </is>
      </c>
      <c r="H577" t="inlineStr">
        <is>
          <t>Bergvik skog öst AB</t>
        </is>
      </c>
      <c r="I577" t="n">
        <v>0.2</v>
      </c>
      <c r="J577" t="n">
        <v>0</v>
      </c>
      <c r="K577" t="n">
        <v>0</v>
      </c>
      <c r="L577" t="n">
        <v>0</v>
      </c>
      <c r="M577" t="n">
        <v>0</v>
      </c>
      <c r="N577" t="n">
        <v>0</v>
      </c>
      <c r="O577" t="n">
        <v>0</v>
      </c>
      <c r="P577" t="n">
        <v>0</v>
      </c>
      <c r="Q577" t="n">
        <v>0</v>
      </c>
      <c r="R577" t="n">
        <v>0</v>
      </c>
      <c r="S577" t="n">
        <v>0</v>
      </c>
      <c r="T577" t="n">
        <v>0</v>
      </c>
      <c r="U577" s="2" t="inlineStr"/>
    </row>
    <row r="578" ht="15" customHeight="1">
      <c r="A578" t="inlineStr">
        <is>
          <t>A 17938-2025</t>
        </is>
      </c>
      <c r="B578" t="inlineStr">
        <is>
          <t>avverkningsanmälan</t>
        </is>
      </c>
      <c r="C578" t="inlineStr">
        <is>
          <t>Föryngringsavverkning</t>
        </is>
      </c>
      <c r="D578" s="1" t="n">
        <v>45760</v>
      </c>
      <c r="E578" s="1" t="n">
        <v>46216</v>
      </c>
      <c r="F578" t="inlineStr">
        <is>
          <t>UPPSALA LÄN</t>
        </is>
      </c>
      <c r="G578" t="inlineStr">
        <is>
          <t>ÖSTHAMMAR</t>
        </is>
      </c>
      <c r="H578" t="inlineStr">
        <is>
          <t>Bergvik skog öst AB</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64885-2021</t>
        </is>
      </c>
      <c r="B579" t="inlineStr">
        <is>
          <t>avverkningsanmälan</t>
        </is>
      </c>
      <c r="C579" t="inlineStr">
        <is>
          <t>Föryngringsavverkning</t>
        </is>
      </c>
      <c r="D579" s="1" t="n">
        <v>44512</v>
      </c>
      <c r="E579" s="1" t="n">
        <v>46216</v>
      </c>
      <c r="F579" t="inlineStr">
        <is>
          <t>UPPSALA LÄN</t>
        </is>
      </c>
      <c r="G579" t="inlineStr">
        <is>
          <t>ÖSTHAMMAR</t>
        </is>
      </c>
      <c r="I579" t="n">
        <v>2.1</v>
      </c>
      <c r="J579" t="n">
        <v>0</v>
      </c>
      <c r="K579" t="n">
        <v>0</v>
      </c>
      <c r="L579" t="n">
        <v>0</v>
      </c>
      <c r="M579" t="n">
        <v>0</v>
      </c>
      <c r="N579" t="n">
        <v>0</v>
      </c>
      <c r="O579" t="n">
        <v>0</v>
      </c>
      <c r="P579" t="n">
        <v>0</v>
      </c>
      <c r="Q579" t="n">
        <v>0</v>
      </c>
      <c r="R579" t="n">
        <v>0</v>
      </c>
      <c r="S579" t="n">
        <v>0</v>
      </c>
      <c r="T579" t="n">
        <v>0</v>
      </c>
      <c r="U579" s="2" t="inlineStr"/>
    </row>
    <row r="580" ht="15" customHeight="1">
      <c r="A580" t="inlineStr">
        <is>
          <t>A 65028-2021</t>
        </is>
      </c>
      <c r="B580" t="inlineStr">
        <is>
          <t>avverkningsanmälan</t>
        </is>
      </c>
      <c r="C580" t="inlineStr">
        <is>
          <t>Avverkning för att bevara och utveckla /försöksver</t>
        </is>
      </c>
      <c r="D580" s="1" t="n">
        <v>44515</v>
      </c>
      <c r="E580" s="1" t="n">
        <v>46216</v>
      </c>
      <c r="F580" t="inlineStr">
        <is>
          <t>UPPSALA LÄN</t>
        </is>
      </c>
      <c r="G580" t="inlineStr">
        <is>
          <t>ÖSTHAMMAR</t>
        </is>
      </c>
      <c r="H580" t="inlineStr">
        <is>
          <t>Sveaskog</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40547-2023</t>
        </is>
      </c>
      <c r="B581" t="inlineStr">
        <is>
          <t>avverkningsanmälan</t>
        </is>
      </c>
      <c r="C581" t="inlineStr">
        <is>
          <t>Föryngringsavverkning</t>
        </is>
      </c>
      <c r="D581" s="1" t="n">
        <v>45170</v>
      </c>
      <c r="E581" s="1" t="n">
        <v>46216</v>
      </c>
      <c r="F581" t="inlineStr">
        <is>
          <t>UPPSALA LÄN</t>
        </is>
      </c>
      <c r="G581" t="inlineStr">
        <is>
          <t>ÖSTHAMMAR</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12654-2025</t>
        </is>
      </c>
      <c r="B582" t="inlineStr">
        <is>
          <t>avverkningsanmälan</t>
        </is>
      </c>
      <c r="C582" t="inlineStr">
        <is>
          <t>Föryngringsavverkning</t>
        </is>
      </c>
      <c r="D582" s="1" t="n">
        <v>45733</v>
      </c>
      <c r="E582" s="1" t="n">
        <v>46216</v>
      </c>
      <c r="F582" t="inlineStr">
        <is>
          <t>UPPSALA LÄN</t>
        </is>
      </c>
      <c r="G582" t="inlineStr">
        <is>
          <t>ÖSTHAMMAR</t>
        </is>
      </c>
      <c r="I582" t="n">
        <v>9.9</v>
      </c>
      <c r="J582" t="n">
        <v>0</v>
      </c>
      <c r="K582" t="n">
        <v>0</v>
      </c>
      <c r="L582" t="n">
        <v>0</v>
      </c>
      <c r="M582" t="n">
        <v>0</v>
      </c>
      <c r="N582" t="n">
        <v>0</v>
      </c>
      <c r="O582" t="n">
        <v>0</v>
      </c>
      <c r="P582" t="n">
        <v>0</v>
      </c>
      <c r="Q582" t="n">
        <v>0</v>
      </c>
      <c r="R582" t="n">
        <v>0</v>
      </c>
      <c r="S582" t="n">
        <v>0</v>
      </c>
      <c r="T582" t="n">
        <v>0</v>
      </c>
      <c r="U582" s="2" t="inlineStr"/>
    </row>
    <row r="583" ht="15" customHeight="1">
      <c r="A583" t="inlineStr">
        <is>
          <t>A 33271-2025</t>
        </is>
      </c>
      <c r="B583" t="inlineStr">
        <is>
          <t>avverkningsanmälan</t>
        </is>
      </c>
      <c r="C583" t="inlineStr">
        <is>
          <t>Föryngringsavverkning</t>
        </is>
      </c>
      <c r="D583" s="1" t="n">
        <v>45840</v>
      </c>
      <c r="E583" s="1" t="n">
        <v>46216</v>
      </c>
      <c r="F583" t="inlineStr">
        <is>
          <t>UPPSALA LÄN</t>
        </is>
      </c>
      <c r="G583" t="inlineStr">
        <is>
          <t>ÖSTHAMMAR</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14505-2023</t>
        </is>
      </c>
      <c r="B584" t="inlineStr">
        <is>
          <t>avverkningsanmälan</t>
        </is>
      </c>
      <c r="C584" t="inlineStr">
        <is>
          <t>Föryngringsavverkning</t>
        </is>
      </c>
      <c r="D584" s="1" t="n">
        <v>45012</v>
      </c>
      <c r="E584" s="1" t="n">
        <v>46216</v>
      </c>
      <c r="F584" t="inlineStr">
        <is>
          <t>UPPSALA LÄN</t>
        </is>
      </c>
      <c r="G584" t="inlineStr">
        <is>
          <t>ÖSTHAMMAR</t>
        </is>
      </c>
      <c r="H584" t="inlineStr">
        <is>
          <t>Bergvik skog öst AB</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47341-2023</t>
        </is>
      </c>
      <c r="B585" t="inlineStr">
        <is>
          <t>avverkningsanmälan</t>
        </is>
      </c>
      <c r="C585" t="inlineStr">
        <is>
          <t>Föryngringsavverkning</t>
        </is>
      </c>
      <c r="D585" s="1" t="n">
        <v>45202</v>
      </c>
      <c r="E585" s="1" t="n">
        <v>46216</v>
      </c>
      <c r="F585" t="inlineStr">
        <is>
          <t>UPPSALA LÄN</t>
        </is>
      </c>
      <c r="G585" t="inlineStr">
        <is>
          <t>ÖSTHAMMAR</t>
        </is>
      </c>
      <c r="I585" t="n">
        <v>4.9</v>
      </c>
      <c r="J585" t="n">
        <v>0</v>
      </c>
      <c r="K585" t="n">
        <v>0</v>
      </c>
      <c r="L585" t="n">
        <v>0</v>
      </c>
      <c r="M585" t="n">
        <v>0</v>
      </c>
      <c r="N585" t="n">
        <v>0</v>
      </c>
      <c r="O585" t="n">
        <v>0</v>
      </c>
      <c r="P585" t="n">
        <v>0</v>
      </c>
      <c r="Q585" t="n">
        <v>0</v>
      </c>
      <c r="R585" t="n">
        <v>0</v>
      </c>
      <c r="S585" t="n">
        <v>0</v>
      </c>
      <c r="T585" t="n">
        <v>0</v>
      </c>
      <c r="U585" s="2" t="inlineStr"/>
    </row>
    <row r="586" ht="15" customHeight="1">
      <c r="A586" t="inlineStr">
        <is>
          <t>A 3732-2022</t>
        </is>
      </c>
      <c r="B586" t="inlineStr">
        <is>
          <t>avverkningsanmälan</t>
        </is>
      </c>
      <c r="C586" t="inlineStr">
        <is>
          <t>Föryngringsavverkning</t>
        </is>
      </c>
      <c r="D586" s="1" t="n">
        <v>44586</v>
      </c>
      <c r="E586" s="1" t="n">
        <v>46216</v>
      </c>
      <c r="F586" t="inlineStr">
        <is>
          <t>UPPSALA LÄN</t>
        </is>
      </c>
      <c r="G586" t="inlineStr">
        <is>
          <t>ÖSTHAMMAR</t>
        </is>
      </c>
      <c r="H586" t="inlineStr">
        <is>
          <t>Bergvik skog öst AB</t>
        </is>
      </c>
      <c r="I586" t="n">
        <v>3.6</v>
      </c>
      <c r="J586" t="n">
        <v>0</v>
      </c>
      <c r="K586" t="n">
        <v>0</v>
      </c>
      <c r="L586" t="n">
        <v>0</v>
      </c>
      <c r="M586" t="n">
        <v>0</v>
      </c>
      <c r="N586" t="n">
        <v>0</v>
      </c>
      <c r="O586" t="n">
        <v>0</v>
      </c>
      <c r="P586" t="n">
        <v>0</v>
      </c>
      <c r="Q586" t="n">
        <v>0</v>
      </c>
      <c r="R586" t="n">
        <v>0</v>
      </c>
      <c r="S586" t="n">
        <v>0</v>
      </c>
      <c r="T586" t="n">
        <v>0</v>
      </c>
      <c r="U586" s="2" t="inlineStr"/>
    </row>
    <row r="587" ht="15" customHeight="1">
      <c r="A587" t="inlineStr">
        <is>
          <t>A 25269-2024</t>
        </is>
      </c>
      <c r="B587" t="inlineStr">
        <is>
          <t>avverkningsanmälan</t>
        </is>
      </c>
      <c r="C587" t="inlineStr">
        <is>
          <t>Föryngringsavverkning</t>
        </is>
      </c>
      <c r="D587" s="1" t="n">
        <v>45462</v>
      </c>
      <c r="E587" s="1" t="n">
        <v>46216</v>
      </c>
      <c r="F587" t="inlineStr">
        <is>
          <t>UPPSALA LÄN</t>
        </is>
      </c>
      <c r="G587" t="inlineStr">
        <is>
          <t>ÖSTHAMMAR</t>
        </is>
      </c>
      <c r="H587" t="inlineStr">
        <is>
          <t>Bergvik skog öst AB</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20796-2026</t>
        </is>
      </c>
      <c r="B588" t="inlineStr">
        <is>
          <t>avverkningsanmälan</t>
        </is>
      </c>
      <c r="C588" t="inlineStr">
        <is>
          <t>Föryngringsavverkning</t>
        </is>
      </c>
      <c r="D588" s="1" t="n">
        <v>46141</v>
      </c>
      <c r="E588" s="1" t="n">
        <v>46216</v>
      </c>
      <c r="F588" t="inlineStr">
        <is>
          <t>UPPSALA LÄN</t>
        </is>
      </c>
      <c r="G588" t="inlineStr">
        <is>
          <t>ÖSTHAMMAR</t>
        </is>
      </c>
      <c r="H588" t="inlineStr">
        <is>
          <t>Bergvik skog öst AB</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13352-2023</t>
        </is>
      </c>
      <c r="B589" t="inlineStr">
        <is>
          <t>avverkningsanmälan</t>
        </is>
      </c>
      <c r="C589" t="inlineStr">
        <is>
          <t>Föryngringsavverkning</t>
        </is>
      </c>
      <c r="D589" s="1" t="n">
        <v>45005</v>
      </c>
      <c r="E589" s="1" t="n">
        <v>46216</v>
      </c>
      <c r="F589" t="inlineStr">
        <is>
          <t>UPPSALA LÄN</t>
        </is>
      </c>
      <c r="G589" t="inlineStr">
        <is>
          <t>ÖSTHAMMAR</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22804-2022</t>
        </is>
      </c>
      <c r="B590" t="inlineStr">
        <is>
          <t>avverkningsanmälan</t>
        </is>
      </c>
      <c r="C590" t="inlineStr">
        <is>
          <t>Föryngringsavverkning</t>
        </is>
      </c>
      <c r="D590" s="1" t="n">
        <v>44715</v>
      </c>
      <c r="E590" s="1" t="n">
        <v>46216</v>
      </c>
      <c r="F590" t="inlineStr">
        <is>
          <t>UPPSALA LÄN</t>
        </is>
      </c>
      <c r="G590" t="inlineStr">
        <is>
          <t>ÖSTHAMMAR</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45795-2023</t>
        </is>
      </c>
      <c r="B591" t="inlineStr">
        <is>
          <t>avverkningsanmälan</t>
        </is>
      </c>
      <c r="C591" t="inlineStr">
        <is>
          <t>Avverkning för annat ändamål</t>
        </is>
      </c>
      <c r="D591" s="1" t="n">
        <v>45195</v>
      </c>
      <c r="E591" s="1" t="n">
        <v>46216</v>
      </c>
      <c r="F591" t="inlineStr">
        <is>
          <t>UPPSALA LÄN</t>
        </is>
      </c>
      <c r="G591" t="inlineStr">
        <is>
          <t>ÖSTHAMMAR</t>
        </is>
      </c>
      <c r="I591" t="n">
        <v>4</v>
      </c>
      <c r="J591" t="n">
        <v>0</v>
      </c>
      <c r="K591" t="n">
        <v>0</v>
      </c>
      <c r="L591" t="n">
        <v>0</v>
      </c>
      <c r="M591" t="n">
        <v>0</v>
      </c>
      <c r="N591" t="n">
        <v>0</v>
      </c>
      <c r="O591" t="n">
        <v>0</v>
      </c>
      <c r="P591" t="n">
        <v>0</v>
      </c>
      <c r="Q591" t="n">
        <v>0</v>
      </c>
      <c r="R591" t="n">
        <v>0</v>
      </c>
      <c r="S591" t="n">
        <v>0</v>
      </c>
      <c r="T591" t="n">
        <v>0</v>
      </c>
      <c r="U591" s="2" t="inlineStr"/>
    </row>
    <row r="592" ht="15" customHeight="1">
      <c r="A592" t="inlineStr">
        <is>
          <t>A 26305-2026</t>
        </is>
      </c>
      <c r="B592" t="inlineStr">
        <is>
          <t>avverkningsanmälan</t>
        </is>
      </c>
      <c r="C592" t="inlineStr">
        <is>
          <t>Föryngringsavverkning</t>
        </is>
      </c>
      <c r="D592" s="1" t="n">
        <v>46182</v>
      </c>
      <c r="E592" s="1" t="n">
        <v>46216</v>
      </c>
      <c r="F592" t="inlineStr">
        <is>
          <t>UPPSALA LÄN</t>
        </is>
      </c>
      <c r="G592" t="inlineStr">
        <is>
          <t>ÖSTHAMMAR</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14989-2026</t>
        </is>
      </c>
      <c r="B593" t="inlineStr">
        <is>
          <t>avverkningsanmälan</t>
        </is>
      </c>
      <c r="C593" t="inlineStr">
        <is>
          <t>Föryngringsavverkning</t>
        </is>
      </c>
      <c r="D593" s="1" t="n">
        <v>46104</v>
      </c>
      <c r="E593" s="1" t="n">
        <v>46216</v>
      </c>
      <c r="F593" t="inlineStr">
        <is>
          <t>UPPSALA LÄN</t>
        </is>
      </c>
      <c r="G593" t="inlineStr">
        <is>
          <t>ÖSTHAMMAR</t>
        </is>
      </c>
      <c r="H593" t="inlineStr">
        <is>
          <t>Övriga Aktiebolag</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26581-2026</t>
        </is>
      </c>
      <c r="B594" t="inlineStr">
        <is>
          <t>avverkningsanmälan</t>
        </is>
      </c>
      <c r="C594" t="inlineStr">
        <is>
          <t>Föryngringsavverkning</t>
        </is>
      </c>
      <c r="D594" s="1" t="n">
        <v>46183</v>
      </c>
      <c r="E594" s="1" t="n">
        <v>46216</v>
      </c>
      <c r="F594" t="inlineStr">
        <is>
          <t>UPPSALA LÄN</t>
        </is>
      </c>
      <c r="G594" t="inlineStr">
        <is>
          <t>ÖSTHAMMAR</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7997-2022</t>
        </is>
      </c>
      <c r="B595" t="inlineStr">
        <is>
          <t>avverkningsanmälan</t>
        </is>
      </c>
      <c r="C595" t="inlineStr">
        <is>
          <t>Föryngringsavverkning</t>
        </is>
      </c>
      <c r="D595" s="1" t="n">
        <v>44609</v>
      </c>
      <c r="E595" s="1" t="n">
        <v>46216</v>
      </c>
      <c r="F595" t="inlineStr">
        <is>
          <t>UPPSALA LÄN</t>
        </is>
      </c>
      <c r="G595" t="inlineStr">
        <is>
          <t>ÖSTHAMMAR</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25983-2026</t>
        </is>
      </c>
      <c r="B596" t="inlineStr">
        <is>
          <t>avverkningsanmälan</t>
        </is>
      </c>
      <c r="C596" t="inlineStr">
        <is>
          <t>Avverkning för annat ändamål</t>
        </is>
      </c>
      <c r="D596" s="1" t="n">
        <v>46181</v>
      </c>
      <c r="E596" s="1" t="n">
        <v>46216</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20776-2026</t>
        </is>
      </c>
      <c r="B597" t="inlineStr">
        <is>
          <t>avverkningsanmälan</t>
        </is>
      </c>
      <c r="C597" t="inlineStr">
        <is>
          <t>Föryngringsavverkning</t>
        </is>
      </c>
      <c r="D597" s="1" t="n">
        <v>46141</v>
      </c>
      <c r="E597" s="1" t="n">
        <v>46216</v>
      </c>
      <c r="F597" t="inlineStr">
        <is>
          <t>UPPSALA LÄN</t>
        </is>
      </c>
      <c r="G597" t="inlineStr">
        <is>
          <t>ÖSTHAMMAR</t>
        </is>
      </c>
      <c r="H597" t="inlineStr">
        <is>
          <t>Övriga Aktiebolag</t>
        </is>
      </c>
      <c r="I597" t="n">
        <v>3</v>
      </c>
      <c r="J597" t="n">
        <v>0</v>
      </c>
      <c r="K597" t="n">
        <v>0</v>
      </c>
      <c r="L597" t="n">
        <v>0</v>
      </c>
      <c r="M597" t="n">
        <v>0</v>
      </c>
      <c r="N597" t="n">
        <v>0</v>
      </c>
      <c r="O597" t="n">
        <v>0</v>
      </c>
      <c r="P597" t="n">
        <v>0</v>
      </c>
      <c r="Q597" t="n">
        <v>0</v>
      </c>
      <c r="R597" t="n">
        <v>0</v>
      </c>
      <c r="S597" t="n">
        <v>0</v>
      </c>
      <c r="T597" t="n">
        <v>0</v>
      </c>
      <c r="U597" s="2" t="inlineStr"/>
    </row>
    <row r="598" ht="15" customHeight="1">
      <c r="A598" t="inlineStr">
        <is>
          <t>A 67199-2021</t>
        </is>
      </c>
      <c r="B598" t="inlineStr">
        <is>
          <t>avverkningsanmälan</t>
        </is>
      </c>
      <c r="C598" t="inlineStr">
        <is>
          <t>Föryngringsavverkning</t>
        </is>
      </c>
      <c r="D598" s="1" t="n">
        <v>44523</v>
      </c>
      <c r="E598" s="1" t="n">
        <v>46216</v>
      </c>
      <c r="F598" t="inlineStr">
        <is>
          <t>UPPSALA LÄN</t>
        </is>
      </c>
      <c r="G598" t="inlineStr">
        <is>
          <t>ÖSTHAMMAR</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15449-2022</t>
        </is>
      </c>
      <c r="B599" t="inlineStr">
        <is>
          <t>avverkningsanmälan</t>
        </is>
      </c>
      <c r="C599" t="inlineStr">
        <is>
          <t>Föryngringsavverkning</t>
        </is>
      </c>
      <c r="D599" s="1" t="n">
        <v>44660</v>
      </c>
      <c r="E599" s="1" t="n">
        <v>46216</v>
      </c>
      <c r="F599" t="inlineStr">
        <is>
          <t>UPPSALA LÄN</t>
        </is>
      </c>
      <c r="G599" t="inlineStr">
        <is>
          <t>ÖSTHAMMAR</t>
        </is>
      </c>
      <c r="H599" t="inlineStr">
        <is>
          <t>Bergvik skog öst AB</t>
        </is>
      </c>
      <c r="I599" t="n">
        <v>2</v>
      </c>
      <c r="J599" t="n">
        <v>0</v>
      </c>
      <c r="K599" t="n">
        <v>0</v>
      </c>
      <c r="L599" t="n">
        <v>0</v>
      </c>
      <c r="M599" t="n">
        <v>0</v>
      </c>
      <c r="N599" t="n">
        <v>0</v>
      </c>
      <c r="O599" t="n">
        <v>0</v>
      </c>
      <c r="P599" t="n">
        <v>0</v>
      </c>
      <c r="Q599" t="n">
        <v>0</v>
      </c>
      <c r="R599" t="n">
        <v>0</v>
      </c>
      <c r="S599" t="n">
        <v>0</v>
      </c>
      <c r="T599" t="n">
        <v>0</v>
      </c>
      <c r="U599" s="2" t="inlineStr"/>
    </row>
    <row r="600" ht="15" customHeight="1">
      <c r="A600" t="inlineStr">
        <is>
          <t>A 26524-2026</t>
        </is>
      </c>
      <c r="B600" t="inlineStr">
        <is>
          <t>avverkningsanmälan</t>
        </is>
      </c>
      <c r="C600" t="inlineStr">
        <is>
          <t>Föryngringsavverkning</t>
        </is>
      </c>
      <c r="D600" s="1" t="n">
        <v>46183</v>
      </c>
      <c r="E600" s="1" t="n">
        <v>46216</v>
      </c>
      <c r="F600" t="inlineStr">
        <is>
          <t>UPPSALA LÄN</t>
        </is>
      </c>
      <c r="G600" t="inlineStr">
        <is>
          <t>ÖSTHAMMAR</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20779-2026</t>
        </is>
      </c>
      <c r="B601" t="inlineStr">
        <is>
          <t>avverkningsanmälan</t>
        </is>
      </c>
      <c r="C601" t="inlineStr">
        <is>
          <t>Föryngringsavverkning</t>
        </is>
      </c>
      <c r="D601" s="1" t="n">
        <v>46141</v>
      </c>
      <c r="E601" s="1" t="n">
        <v>46216</v>
      </c>
      <c r="F601" t="inlineStr">
        <is>
          <t>UPPSALA LÄN</t>
        </is>
      </c>
      <c r="G601" t="inlineStr">
        <is>
          <t>ÖSTHAMMAR</t>
        </is>
      </c>
      <c r="H601" t="inlineStr">
        <is>
          <t>Övriga Aktiebolag</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20786-2026</t>
        </is>
      </c>
      <c r="B602" t="inlineStr">
        <is>
          <t>avverkningsanmälan</t>
        </is>
      </c>
      <c r="C602" t="inlineStr">
        <is>
          <t>Föryngringsavverkning</t>
        </is>
      </c>
      <c r="D602" s="1" t="n">
        <v>46141</v>
      </c>
      <c r="E602" s="1" t="n">
        <v>46216</v>
      </c>
      <c r="F602" t="inlineStr">
        <is>
          <t>UPPSALA LÄN</t>
        </is>
      </c>
      <c r="G602" t="inlineStr">
        <is>
          <t>ÖSTHAMMAR</t>
        </is>
      </c>
      <c r="H602" t="inlineStr">
        <is>
          <t>Bergvik skog öst AB</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18183-2022</t>
        </is>
      </c>
      <c r="B603" t="inlineStr">
        <is>
          <t>avverkningsanmälan</t>
        </is>
      </c>
      <c r="C603" t="inlineStr">
        <is>
          <t>Föryngringsavverkning</t>
        </is>
      </c>
      <c r="D603" s="1" t="n">
        <v>44684</v>
      </c>
      <c r="E603" s="1" t="n">
        <v>46216</v>
      </c>
      <c r="F603" t="inlineStr">
        <is>
          <t>UPPSALA LÄN</t>
        </is>
      </c>
      <c r="G603" t="inlineStr">
        <is>
          <t>ÖSTHAMMAR</t>
        </is>
      </c>
      <c r="I603" t="n">
        <v>0.2</v>
      </c>
      <c r="J603" t="n">
        <v>0</v>
      </c>
      <c r="K603" t="n">
        <v>0</v>
      </c>
      <c r="L603" t="n">
        <v>0</v>
      </c>
      <c r="M603" t="n">
        <v>0</v>
      </c>
      <c r="N603" t="n">
        <v>0</v>
      </c>
      <c r="O603" t="n">
        <v>0</v>
      </c>
      <c r="P603" t="n">
        <v>0</v>
      </c>
      <c r="Q603" t="n">
        <v>0</v>
      </c>
      <c r="R603" t="n">
        <v>0</v>
      </c>
      <c r="S603" t="n">
        <v>0</v>
      </c>
      <c r="T603" t="n">
        <v>0</v>
      </c>
      <c r="U603" s="2" t="inlineStr"/>
    </row>
    <row r="604" ht="15" customHeight="1">
      <c r="A604" t="inlineStr">
        <is>
          <t>A 14878-2026</t>
        </is>
      </c>
      <c r="B604" t="inlineStr">
        <is>
          <t>avverkningsanmälan</t>
        </is>
      </c>
      <c r="C604" t="inlineStr">
        <is>
          <t>Föryngringsavverkning</t>
        </is>
      </c>
      <c r="D604" s="1" t="n">
        <v>46104</v>
      </c>
      <c r="E604" s="1" t="n">
        <v>46216</v>
      </c>
      <c r="F604" t="inlineStr">
        <is>
          <t>UPPSALA LÄN</t>
        </is>
      </c>
      <c r="G604" t="inlineStr">
        <is>
          <t>ÖSTHAMMAR</t>
        </is>
      </c>
      <c r="H604" t="inlineStr">
        <is>
          <t>Övriga Aktiebolag</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6892-2022</t>
        </is>
      </c>
      <c r="B605" t="inlineStr">
        <is>
          <t>avverkningsanmälan</t>
        </is>
      </c>
      <c r="C605" t="inlineStr">
        <is>
          <t>Föryngringsavverkning</t>
        </is>
      </c>
      <c r="D605" s="1" t="n">
        <v>44602</v>
      </c>
      <c r="E605" s="1" t="n">
        <v>46216</v>
      </c>
      <c r="F605" t="inlineStr">
        <is>
          <t>UPPSALA LÄN</t>
        </is>
      </c>
      <c r="G605" t="inlineStr">
        <is>
          <t>ÖSTHAMMAR</t>
        </is>
      </c>
      <c r="H605" t="inlineStr">
        <is>
          <t>Bergvik skog öst AB</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62295-2022</t>
        </is>
      </c>
      <c r="B606" t="inlineStr">
        <is>
          <t>avverkningsanmälan</t>
        </is>
      </c>
      <c r="C606" t="inlineStr">
        <is>
          <t>Föryngringsavverkning</t>
        </is>
      </c>
      <c r="D606" s="1" t="n">
        <v>44916</v>
      </c>
      <c r="E606" s="1" t="n">
        <v>46216</v>
      </c>
      <c r="F606" t="inlineStr">
        <is>
          <t>UPPSALA LÄN</t>
        </is>
      </c>
      <c r="G606" t="inlineStr">
        <is>
          <t>ÖSTHAMMAR</t>
        </is>
      </c>
      <c r="I606" t="n">
        <v>3.3</v>
      </c>
      <c r="J606" t="n">
        <v>0</v>
      </c>
      <c r="K606" t="n">
        <v>0</v>
      </c>
      <c r="L606" t="n">
        <v>0</v>
      </c>
      <c r="M606" t="n">
        <v>0</v>
      </c>
      <c r="N606" t="n">
        <v>0</v>
      </c>
      <c r="O606" t="n">
        <v>0</v>
      </c>
      <c r="P606" t="n">
        <v>0</v>
      </c>
      <c r="Q606" t="n">
        <v>0</v>
      </c>
      <c r="R606" t="n">
        <v>0</v>
      </c>
      <c r="S606" t="n">
        <v>0</v>
      </c>
      <c r="T606" t="n">
        <v>0</v>
      </c>
      <c r="U606" s="2" t="inlineStr"/>
    </row>
    <row r="607" ht="15" customHeight="1">
      <c r="A607" t="inlineStr">
        <is>
          <t>A 8830-2023</t>
        </is>
      </c>
      <c r="B607" t="inlineStr">
        <is>
          <t>avverkningsanmälan</t>
        </is>
      </c>
      <c r="C607" t="inlineStr">
        <is>
          <t>Föryngringsavverkning</t>
        </is>
      </c>
      <c r="D607" s="1" t="n">
        <v>44978</v>
      </c>
      <c r="E607" s="1" t="n">
        <v>46216</v>
      </c>
      <c r="F607" t="inlineStr">
        <is>
          <t>UPPSALA LÄN</t>
        </is>
      </c>
      <c r="G607" t="inlineStr">
        <is>
          <t>ÖSTHAMMAR</t>
        </is>
      </c>
      <c r="H607" t="inlineStr">
        <is>
          <t>Bergvik skog öst AB</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A 26557-2022</t>
        </is>
      </c>
      <c r="B608" t="inlineStr">
        <is>
          <t>avverkningsanmälan</t>
        </is>
      </c>
      <c r="C608" t="inlineStr">
        <is>
          <t>Föryngringsavverkning</t>
        </is>
      </c>
      <c r="D608" s="1" t="n">
        <v>44739</v>
      </c>
      <c r="E608" s="1" t="n">
        <v>46216</v>
      </c>
      <c r="F608" t="inlineStr">
        <is>
          <t>UPPSALA LÄN</t>
        </is>
      </c>
      <c r="G608" t="inlineStr">
        <is>
          <t>ÖSTHAMMAR</t>
        </is>
      </c>
      <c r="H608" t="inlineStr">
        <is>
          <t>Övriga statliga verk och myndigheter</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18091-2023</t>
        </is>
      </c>
      <c r="B609" t="inlineStr">
        <is>
          <t>avverkningsanmälan</t>
        </is>
      </c>
      <c r="C609" t="inlineStr">
        <is>
          <t>Föryngringsavverkning</t>
        </is>
      </c>
      <c r="D609" s="1" t="n">
        <v>45040</v>
      </c>
      <c r="E609" s="1" t="n">
        <v>46216</v>
      </c>
      <c r="F609" t="inlineStr">
        <is>
          <t>UPPSALA LÄN</t>
        </is>
      </c>
      <c r="G609" t="inlineStr">
        <is>
          <t>ÖSTHAMMAR</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47522-2023</t>
        </is>
      </c>
      <c r="B610" t="inlineStr">
        <is>
          <t>avverkningsanmälan</t>
        </is>
      </c>
      <c r="C610" t="inlineStr">
        <is>
          <t>Föryngringsavverkning</t>
        </is>
      </c>
      <c r="D610" s="1" t="n">
        <v>45203</v>
      </c>
      <c r="E610" s="1" t="n">
        <v>46216</v>
      </c>
      <c r="F610" t="inlineStr">
        <is>
          <t>UPPSALA LÄN</t>
        </is>
      </c>
      <c r="G610" t="inlineStr">
        <is>
          <t>ÖSTHAMMAR</t>
        </is>
      </c>
      <c r="H610" t="inlineStr">
        <is>
          <t>Bergvik skog öst AB</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54366-2023</t>
        </is>
      </c>
      <c r="B611" t="inlineStr">
        <is>
          <t>avverkningsanmälan</t>
        </is>
      </c>
      <c r="C611" t="inlineStr">
        <is>
          <t>Föryngringsavverkning</t>
        </is>
      </c>
      <c r="D611" s="1" t="n">
        <v>45233</v>
      </c>
      <c r="E611" s="1" t="n">
        <v>46216</v>
      </c>
      <c r="F611" t="inlineStr">
        <is>
          <t>UPPSALA LÄN</t>
        </is>
      </c>
      <c r="G611" t="inlineStr">
        <is>
          <t>ÖSTHAMMAR</t>
        </is>
      </c>
      <c r="H611" t="inlineStr">
        <is>
          <t>Bergvik skog öst AB</t>
        </is>
      </c>
      <c r="I611" t="n">
        <v>2.9</v>
      </c>
      <c r="J611" t="n">
        <v>0</v>
      </c>
      <c r="K611" t="n">
        <v>0</v>
      </c>
      <c r="L611" t="n">
        <v>0</v>
      </c>
      <c r="M611" t="n">
        <v>0</v>
      </c>
      <c r="N611" t="n">
        <v>0</v>
      </c>
      <c r="O611" t="n">
        <v>0</v>
      </c>
      <c r="P611" t="n">
        <v>0</v>
      </c>
      <c r="Q611" t="n">
        <v>0</v>
      </c>
      <c r="R611" t="n">
        <v>0</v>
      </c>
      <c r="S611" t="n">
        <v>0</v>
      </c>
      <c r="T611" t="n">
        <v>0</v>
      </c>
      <c r="U611" s="2" t="inlineStr"/>
    </row>
    <row r="612" ht="15" customHeight="1">
      <c r="A612" t="inlineStr">
        <is>
          <t>A 52694-2023</t>
        </is>
      </c>
      <c r="B612" t="inlineStr">
        <is>
          <t>avverkningsanmälan</t>
        </is>
      </c>
      <c r="C612" t="inlineStr">
        <is>
          <t>Föryngringsavverkning</t>
        </is>
      </c>
      <c r="D612" s="1" t="n">
        <v>45225</v>
      </c>
      <c r="E612" s="1" t="n">
        <v>46216</v>
      </c>
      <c r="F612" t="inlineStr">
        <is>
          <t>UPPSALA LÄN</t>
        </is>
      </c>
      <c r="G612" t="inlineStr">
        <is>
          <t>ÖSTHAMMAR</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26778-2026</t>
        </is>
      </c>
      <c r="B613" t="inlineStr">
        <is>
          <t>avverkningsanmälan</t>
        </is>
      </c>
      <c r="C613" t="inlineStr">
        <is>
          <t>Föryngringsavverkning</t>
        </is>
      </c>
      <c r="D613" s="1" t="n">
        <v>46184</v>
      </c>
      <c r="E613" s="1" t="n">
        <v>46216</v>
      </c>
      <c r="F613" t="inlineStr">
        <is>
          <t>UPPSALA LÄN</t>
        </is>
      </c>
      <c r="G613" t="inlineStr">
        <is>
          <t>ÖSTHAMMAR</t>
        </is>
      </c>
      <c r="I613" t="n">
        <v>12.5</v>
      </c>
      <c r="J613" t="n">
        <v>0</v>
      </c>
      <c r="K613" t="n">
        <v>0</v>
      </c>
      <c r="L613" t="n">
        <v>0</v>
      </c>
      <c r="M613" t="n">
        <v>0</v>
      </c>
      <c r="N613" t="n">
        <v>0</v>
      </c>
      <c r="O613" t="n">
        <v>0</v>
      </c>
      <c r="P613" t="n">
        <v>0</v>
      </c>
      <c r="Q613" t="n">
        <v>0</v>
      </c>
      <c r="R613" t="n">
        <v>0</v>
      </c>
      <c r="S613" t="n">
        <v>0</v>
      </c>
      <c r="T613" t="n">
        <v>0</v>
      </c>
      <c r="U613" s="2" t="inlineStr"/>
    </row>
    <row r="614" ht="15" customHeight="1">
      <c r="A614" t="inlineStr">
        <is>
          <t>A 25856-2026</t>
        </is>
      </c>
      <c r="B614" t="inlineStr">
        <is>
          <t>avverkningsanmälan</t>
        </is>
      </c>
      <c r="C614" t="inlineStr">
        <is>
          <t>Föryngringsavverkning</t>
        </is>
      </c>
      <c r="D614" s="1" t="n">
        <v>46178</v>
      </c>
      <c r="E614" s="1" t="n">
        <v>46216</v>
      </c>
      <c r="F614" t="inlineStr">
        <is>
          <t>UPPSALA LÄN</t>
        </is>
      </c>
      <c r="G614" t="inlineStr">
        <is>
          <t>ÖSTHAMMAR</t>
        </is>
      </c>
      <c r="H614" t="inlineStr">
        <is>
          <t>Bergvik skog öst AB</t>
        </is>
      </c>
      <c r="I614" t="n">
        <v>6.7</v>
      </c>
      <c r="J614" t="n">
        <v>0</v>
      </c>
      <c r="K614" t="n">
        <v>0</v>
      </c>
      <c r="L614" t="n">
        <v>0</v>
      </c>
      <c r="M614" t="n">
        <v>0</v>
      </c>
      <c r="N614" t="n">
        <v>0</v>
      </c>
      <c r="O614" t="n">
        <v>0</v>
      </c>
      <c r="P614" t="n">
        <v>0</v>
      </c>
      <c r="Q614" t="n">
        <v>0</v>
      </c>
      <c r="R614" t="n">
        <v>0</v>
      </c>
      <c r="S614" t="n">
        <v>0</v>
      </c>
      <c r="T614" t="n">
        <v>0</v>
      </c>
      <c r="U614" s="2" t="inlineStr"/>
    </row>
    <row r="615" ht="15" customHeight="1">
      <c r="A615" t="inlineStr">
        <is>
          <t>A 25833-2026</t>
        </is>
      </c>
      <c r="B615" t="inlineStr">
        <is>
          <t>avverkningsanmälan</t>
        </is>
      </c>
      <c r="C615" t="inlineStr">
        <is>
          <t>Föryngringsavverkning</t>
        </is>
      </c>
      <c r="D615" s="1" t="n">
        <v>46178</v>
      </c>
      <c r="E615" s="1" t="n">
        <v>46216</v>
      </c>
      <c r="F615" t="inlineStr">
        <is>
          <t>UPPSALA LÄN</t>
        </is>
      </c>
      <c r="G615" t="inlineStr">
        <is>
          <t>ÖSTHAMMAR</t>
        </is>
      </c>
      <c r="H615" t="inlineStr">
        <is>
          <t>Bergvik skog öst AB</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25846-2026</t>
        </is>
      </c>
      <c r="B616" t="inlineStr">
        <is>
          <t>avverkningsanmälan</t>
        </is>
      </c>
      <c r="C616" t="inlineStr">
        <is>
          <t>Föryngringsavverkning</t>
        </is>
      </c>
      <c r="D616" s="1" t="n">
        <v>46178</v>
      </c>
      <c r="E616" s="1" t="n">
        <v>46216</v>
      </c>
      <c r="F616" t="inlineStr">
        <is>
          <t>UPPSALA LÄN</t>
        </is>
      </c>
      <c r="G616" t="inlineStr">
        <is>
          <t>ÖSTHAMMAR</t>
        </is>
      </c>
      <c r="H616" t="inlineStr">
        <is>
          <t>Bergvik skog öst AB</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36873-2022</t>
        </is>
      </c>
      <c r="B617" t="inlineStr">
        <is>
          <t>avverkningsanmälan</t>
        </is>
      </c>
      <c r="C617" t="inlineStr">
        <is>
          <t>Föryngringsavverkning</t>
        </is>
      </c>
      <c r="D617" s="1" t="n">
        <v>44805</v>
      </c>
      <c r="E617" s="1" t="n">
        <v>46216</v>
      </c>
      <c r="F617" t="inlineStr">
        <is>
          <t>UPPSALA LÄN</t>
        </is>
      </c>
      <c r="G617" t="inlineStr">
        <is>
          <t>ÖSTHAMMAR</t>
        </is>
      </c>
      <c r="I617" t="n">
        <v>2.5</v>
      </c>
      <c r="J617" t="n">
        <v>0</v>
      </c>
      <c r="K617" t="n">
        <v>0</v>
      </c>
      <c r="L617" t="n">
        <v>0</v>
      </c>
      <c r="M617" t="n">
        <v>0</v>
      </c>
      <c r="N617" t="n">
        <v>0</v>
      </c>
      <c r="O617" t="n">
        <v>0</v>
      </c>
      <c r="P617" t="n">
        <v>0</v>
      </c>
      <c r="Q617" t="n">
        <v>0</v>
      </c>
      <c r="R617" t="n">
        <v>0</v>
      </c>
      <c r="S617" t="n">
        <v>0</v>
      </c>
      <c r="T617" t="n">
        <v>0</v>
      </c>
      <c r="U617" s="2" t="inlineStr"/>
    </row>
    <row r="618" ht="15" customHeight="1">
      <c r="A618" t="inlineStr">
        <is>
          <t>A 61817-2021</t>
        </is>
      </c>
      <c r="B618" t="inlineStr">
        <is>
          <t>avverkningsanmälan</t>
        </is>
      </c>
      <c r="C618" t="inlineStr">
        <is>
          <t>Föryngringsavverkning</t>
        </is>
      </c>
      <c r="D618" s="1" t="n">
        <v>44501</v>
      </c>
      <c r="E618" s="1" t="n">
        <v>46216</v>
      </c>
      <c r="F618" t="inlineStr">
        <is>
          <t>UPPSALA LÄN</t>
        </is>
      </c>
      <c r="G618" t="inlineStr">
        <is>
          <t>ÖSTHAMMAR</t>
        </is>
      </c>
      <c r="H618" t="inlineStr">
        <is>
          <t>Bergvik skog öst AB</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21448-2026</t>
        </is>
      </c>
      <c r="B619" t="inlineStr">
        <is>
          <t>avverkningsanmälan</t>
        </is>
      </c>
      <c r="C619" t="inlineStr">
        <is>
          <t>Föryngringsavverkning</t>
        </is>
      </c>
      <c r="D619" s="1" t="n">
        <v>46146</v>
      </c>
      <c r="E619" s="1" t="n">
        <v>46216</v>
      </c>
      <c r="F619" t="inlineStr">
        <is>
          <t>UPPSALA LÄN</t>
        </is>
      </c>
      <c r="G619" t="inlineStr">
        <is>
          <t>ÖSTHAMMAR</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21389-2026</t>
        </is>
      </c>
      <c r="B620" t="inlineStr">
        <is>
          <t>avverkningsanmälan</t>
        </is>
      </c>
      <c r="C620" t="inlineStr">
        <is>
          <t>Föryngringsavverkning</t>
        </is>
      </c>
      <c r="D620" s="1" t="n">
        <v>46147</v>
      </c>
      <c r="E620" s="1" t="n">
        <v>46216</v>
      </c>
      <c r="F620" t="inlineStr">
        <is>
          <t>UPPSALA LÄN</t>
        </is>
      </c>
      <c r="G620" t="inlineStr">
        <is>
          <t>ÖSTHAMMAR</t>
        </is>
      </c>
      <c r="I620" t="n">
        <v>3</v>
      </c>
      <c r="J620" t="n">
        <v>0</v>
      </c>
      <c r="K620" t="n">
        <v>0</v>
      </c>
      <c r="L620" t="n">
        <v>0</v>
      </c>
      <c r="M620" t="n">
        <v>0</v>
      </c>
      <c r="N620" t="n">
        <v>0</v>
      </c>
      <c r="O620" t="n">
        <v>0</v>
      </c>
      <c r="P620" t="n">
        <v>0</v>
      </c>
      <c r="Q620" t="n">
        <v>0</v>
      </c>
      <c r="R620" t="n">
        <v>0</v>
      </c>
      <c r="S620" t="n">
        <v>0</v>
      </c>
      <c r="T620" t="n">
        <v>0</v>
      </c>
      <c r="U620" s="2" t="inlineStr"/>
    </row>
    <row r="621" ht="15" customHeight="1">
      <c r="A621" t="inlineStr">
        <is>
          <t>A 54437-2024</t>
        </is>
      </c>
      <c r="B621" t="inlineStr">
        <is>
          <t>avverkningsanmälan</t>
        </is>
      </c>
      <c r="C621" t="inlineStr">
        <is>
          <t>Föryngringsavverkning</t>
        </is>
      </c>
      <c r="D621" s="1" t="n">
        <v>45617</v>
      </c>
      <c r="E621" s="1" t="n">
        <v>46216</v>
      </c>
      <c r="F621" t="inlineStr">
        <is>
          <t>UPPSALA LÄN</t>
        </is>
      </c>
      <c r="G621" t="inlineStr">
        <is>
          <t>ÖSTHAMMAR</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28152-2024</t>
        </is>
      </c>
      <c r="B622" t="inlineStr">
        <is>
          <t>avverkningsanmälan</t>
        </is>
      </c>
      <c r="C622" t="inlineStr">
        <is>
          <t>Föryngringsavverkning</t>
        </is>
      </c>
      <c r="D622" s="1" t="n">
        <v>45476</v>
      </c>
      <c r="E622" s="1" t="n">
        <v>46216</v>
      </c>
      <c r="F622" t="inlineStr">
        <is>
          <t>UPPSALA LÄN</t>
        </is>
      </c>
      <c r="G622" t="inlineStr">
        <is>
          <t>ÖSTHAMMAR</t>
        </is>
      </c>
      <c r="H622" t="inlineStr">
        <is>
          <t>Bergvik skog öst AB</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21360-2026</t>
        </is>
      </c>
      <c r="B623" t="inlineStr">
        <is>
          <t>avverkningsanmälan</t>
        </is>
      </c>
      <c r="C623" t="inlineStr">
        <is>
          <t>Föryngringsavverkning</t>
        </is>
      </c>
      <c r="D623" s="1" t="n">
        <v>46147</v>
      </c>
      <c r="E623" s="1" t="n">
        <v>46216</v>
      </c>
      <c r="F623" t="inlineStr">
        <is>
          <t>UPPSALA LÄN</t>
        </is>
      </c>
      <c r="G623" t="inlineStr">
        <is>
          <t>ÖSTHAMMAR</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41478-2024</t>
        </is>
      </c>
      <c r="B624" t="inlineStr">
        <is>
          <t>avverkningsanmälan</t>
        </is>
      </c>
      <c r="C624" t="inlineStr">
        <is>
          <t>Föryngringsavverkning</t>
        </is>
      </c>
      <c r="D624" s="1" t="n">
        <v>45560</v>
      </c>
      <c r="E624" s="1" t="n">
        <v>46216</v>
      </c>
      <c r="F624" t="inlineStr">
        <is>
          <t>UPPSALA LÄN</t>
        </is>
      </c>
      <c r="G624" t="inlineStr">
        <is>
          <t>ÖSTHAMMAR</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16141-2022</t>
        </is>
      </c>
      <c r="B625" t="inlineStr">
        <is>
          <t>avverkningsanmälan</t>
        </is>
      </c>
      <c r="C625" t="inlineStr">
        <is>
          <t>Föryngringsavverkning</t>
        </is>
      </c>
      <c r="D625" s="1" t="n">
        <v>44665</v>
      </c>
      <c r="E625" s="1" t="n">
        <v>46216</v>
      </c>
      <c r="F625" t="inlineStr">
        <is>
          <t>UPPSALA LÄN</t>
        </is>
      </c>
      <c r="G625" t="inlineStr">
        <is>
          <t>ÖSTHAMMAR</t>
        </is>
      </c>
      <c r="H625" t="inlineStr">
        <is>
          <t>Bergvik skog öst AB</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34922-2023</t>
        </is>
      </c>
      <c r="B626" t="inlineStr">
        <is>
          <t>avverkningsanmälan</t>
        </is>
      </c>
      <c r="C626" t="inlineStr">
        <is>
          <t>Föryngringsavverkning</t>
        </is>
      </c>
      <c r="D626" s="1" t="n">
        <v>45142</v>
      </c>
      <c r="E626" s="1" t="n">
        <v>46216</v>
      </c>
      <c r="F626" t="inlineStr">
        <is>
          <t>UPPSALA LÄN</t>
        </is>
      </c>
      <c r="G626" t="inlineStr">
        <is>
          <t>ÖSTHAMMAR</t>
        </is>
      </c>
      <c r="H626" t="inlineStr">
        <is>
          <t>Bergvik skog öst AB</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23495-2023</t>
        </is>
      </c>
      <c r="B627" t="inlineStr">
        <is>
          <t>avverkningsanmälan</t>
        </is>
      </c>
      <c r="C627" t="inlineStr">
        <is>
          <t>Föryngringsavverkning</t>
        </is>
      </c>
      <c r="D627" s="1" t="n">
        <v>45076</v>
      </c>
      <c r="E627" s="1" t="n">
        <v>46216</v>
      </c>
      <c r="F627" t="inlineStr">
        <is>
          <t>UPPSALA LÄN</t>
        </is>
      </c>
      <c r="G627" t="inlineStr">
        <is>
          <t>ÖSTHAMMAR</t>
        </is>
      </c>
      <c r="H627" t="inlineStr">
        <is>
          <t>Sveaskog</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22798-2023</t>
        </is>
      </c>
      <c r="B628" t="inlineStr">
        <is>
          <t>avverkningsanmälan</t>
        </is>
      </c>
      <c r="C628" t="inlineStr">
        <is>
          <t>Avverkning för annat ändamål</t>
        </is>
      </c>
      <c r="D628" s="1" t="n">
        <v>45072</v>
      </c>
      <c r="E628" s="1" t="n">
        <v>46216</v>
      </c>
      <c r="F628" t="inlineStr">
        <is>
          <t>UPPSALA LÄN</t>
        </is>
      </c>
      <c r="G628" t="inlineStr">
        <is>
          <t>ÖSTHAMMAR</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4561-2022</t>
        </is>
      </c>
      <c r="B629" t="inlineStr">
        <is>
          <t>avverkningsanmälan</t>
        </is>
      </c>
      <c r="C629" t="inlineStr">
        <is>
          <t>Föryngringsavverkning</t>
        </is>
      </c>
      <c r="D629" s="1" t="n">
        <v>44591</v>
      </c>
      <c r="E629" s="1" t="n">
        <v>46216</v>
      </c>
      <c r="F629" t="inlineStr">
        <is>
          <t>UPPSALA LÄN</t>
        </is>
      </c>
      <c r="G629" t="inlineStr">
        <is>
          <t>ÖSTHAMMAR</t>
        </is>
      </c>
      <c r="H629" t="inlineStr">
        <is>
          <t>Bergvik skog öst AB</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27958-2026</t>
        </is>
      </c>
      <c r="B630" t="inlineStr">
        <is>
          <t>avverkningsanmälan</t>
        </is>
      </c>
      <c r="C630" t="inlineStr">
        <is>
          <t>Föryngringsavverkning</t>
        </is>
      </c>
      <c r="D630" s="1" t="n">
        <v>46194</v>
      </c>
      <c r="E630" s="1" t="n">
        <v>46216</v>
      </c>
      <c r="F630" t="inlineStr">
        <is>
          <t>UPPSALA LÄN</t>
        </is>
      </c>
      <c r="G630" t="inlineStr">
        <is>
          <t>ÖSTHAMMAR</t>
        </is>
      </c>
      <c r="H630" t="inlineStr">
        <is>
          <t>Bergvik skog öst AB</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23741-2024</t>
        </is>
      </c>
      <c r="B631" t="inlineStr">
        <is>
          <t>avverkningsanmälan</t>
        </is>
      </c>
      <c r="C631" t="inlineStr">
        <is>
          <t>Föryngringsavverkning</t>
        </is>
      </c>
      <c r="D631" s="1" t="n">
        <v>45455</v>
      </c>
      <c r="E631" s="1" t="n">
        <v>46216</v>
      </c>
      <c r="F631" t="inlineStr">
        <is>
          <t>UPPSALA LÄN</t>
        </is>
      </c>
      <c r="G631" t="inlineStr">
        <is>
          <t>ÖSTHAMMAR</t>
        </is>
      </c>
      <c r="H631" t="inlineStr">
        <is>
          <t>Bergvik skog öst AB</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21765-2026</t>
        </is>
      </c>
      <c r="B632" t="inlineStr">
        <is>
          <t>avverkningsanmälan</t>
        </is>
      </c>
      <c r="C632" t="inlineStr">
        <is>
          <t>Föryngringsavverkning</t>
        </is>
      </c>
      <c r="D632" s="1" t="n">
        <v>46150</v>
      </c>
      <c r="E632" s="1" t="n">
        <v>46216</v>
      </c>
      <c r="F632" t="inlineStr">
        <is>
          <t>UPPSALA LÄN</t>
        </is>
      </c>
      <c r="G632" t="inlineStr">
        <is>
          <t>ÖSTHAMMAR</t>
        </is>
      </c>
      <c r="H632" t="inlineStr">
        <is>
          <t>Övriga Aktiebolag</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26612-2023</t>
        </is>
      </c>
      <c r="B633" t="inlineStr">
        <is>
          <t>avverkningsanmälan</t>
        </is>
      </c>
      <c r="C633" t="inlineStr">
        <is>
          <t>Föryngringsavverkning</t>
        </is>
      </c>
      <c r="D633" s="1" t="n">
        <v>45089</v>
      </c>
      <c r="E633" s="1" t="n">
        <v>46216</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s="2" t="inlineStr"/>
    </row>
    <row r="634" ht="15" customHeight="1">
      <c r="A634" t="inlineStr">
        <is>
          <t>A 28021-2026</t>
        </is>
      </c>
      <c r="B634" t="inlineStr">
        <is>
          <t>avverkningsanmälan</t>
        </is>
      </c>
      <c r="C634" t="inlineStr">
        <is>
          <t>Föryngringsavverkning</t>
        </is>
      </c>
      <c r="D634" s="1" t="n">
        <v>46195</v>
      </c>
      <c r="E634" s="1" t="n">
        <v>46216</v>
      </c>
      <c r="F634" t="inlineStr">
        <is>
          <t>UPPSALA LÄN</t>
        </is>
      </c>
      <c r="G634" t="inlineStr">
        <is>
          <t>ÖSTHAMMAR</t>
        </is>
      </c>
      <c r="H634" t="inlineStr">
        <is>
          <t>Bergvik skog öst AB</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22059-2026</t>
        </is>
      </c>
      <c r="B635" t="inlineStr">
        <is>
          <t>avverkningsanmälan</t>
        </is>
      </c>
      <c r="C635" t="inlineStr">
        <is>
          <t>Föryngringsavverkning</t>
        </is>
      </c>
      <c r="D635" s="1" t="n">
        <v>46153</v>
      </c>
      <c r="E635" s="1" t="n">
        <v>46216</v>
      </c>
      <c r="F635" t="inlineStr">
        <is>
          <t>UPPSALA LÄN</t>
        </is>
      </c>
      <c r="G635" t="inlineStr">
        <is>
          <t>ÖSTHAMMAR</t>
        </is>
      </c>
      <c r="I635" t="n">
        <v>7.5</v>
      </c>
      <c r="J635" t="n">
        <v>0</v>
      </c>
      <c r="K635" t="n">
        <v>0</v>
      </c>
      <c r="L635" t="n">
        <v>0</v>
      </c>
      <c r="M635" t="n">
        <v>0</v>
      </c>
      <c r="N635" t="n">
        <v>0</v>
      </c>
      <c r="O635" t="n">
        <v>0</v>
      </c>
      <c r="P635" t="n">
        <v>0</v>
      </c>
      <c r="Q635" t="n">
        <v>0</v>
      </c>
      <c r="R635" t="n">
        <v>0</v>
      </c>
      <c r="S635" t="n">
        <v>0</v>
      </c>
      <c r="T635" t="n">
        <v>0</v>
      </c>
      <c r="U635" s="2" t="inlineStr"/>
    </row>
    <row r="636" ht="15" customHeight="1">
      <c r="A636" t="inlineStr">
        <is>
          <t>A 28385-2026</t>
        </is>
      </c>
      <c r="B636" t="inlineStr">
        <is>
          <t>avverkningsanmälan</t>
        </is>
      </c>
      <c r="C636" t="inlineStr">
        <is>
          <t>Föryngringsavverkning</t>
        </is>
      </c>
      <c r="D636" s="1" t="n">
        <v>46196</v>
      </c>
      <c r="E636" s="1" t="n">
        <v>46216</v>
      </c>
      <c r="F636" t="inlineStr">
        <is>
          <t>UPPSALA LÄN</t>
        </is>
      </c>
      <c r="G636" t="inlineStr">
        <is>
          <t>ÖSTHAMMAR</t>
        </is>
      </c>
      <c r="H636" t="inlineStr">
        <is>
          <t>Bergvik skog öst AB</t>
        </is>
      </c>
      <c r="I636" t="n">
        <v>18.6</v>
      </c>
      <c r="J636" t="n">
        <v>0</v>
      </c>
      <c r="K636" t="n">
        <v>0</v>
      </c>
      <c r="L636" t="n">
        <v>0</v>
      </c>
      <c r="M636" t="n">
        <v>0</v>
      </c>
      <c r="N636" t="n">
        <v>0</v>
      </c>
      <c r="O636" t="n">
        <v>0</v>
      </c>
      <c r="P636" t="n">
        <v>0</v>
      </c>
      <c r="Q636" t="n">
        <v>0</v>
      </c>
      <c r="R636" t="n">
        <v>0</v>
      </c>
      <c r="S636" t="n">
        <v>0</v>
      </c>
      <c r="T636" t="n">
        <v>0</v>
      </c>
      <c r="U636" s="2" t="inlineStr"/>
    </row>
    <row r="637" ht="15" customHeight="1">
      <c r="A637" t="inlineStr">
        <is>
          <t>A 60079-2022</t>
        </is>
      </c>
      <c r="B637" t="inlineStr">
        <is>
          <t>avverkningsanmälan</t>
        </is>
      </c>
      <c r="C637" t="inlineStr">
        <is>
          <t>Föryngringsavverkning</t>
        </is>
      </c>
      <c r="D637" s="1" t="n">
        <v>44909</v>
      </c>
      <c r="E637" s="1" t="n">
        <v>46216</v>
      </c>
      <c r="F637" t="inlineStr">
        <is>
          <t>UPPSALA LÄN</t>
        </is>
      </c>
      <c r="G637" t="inlineStr">
        <is>
          <t>ÖSTHAMMAR</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22640-2026</t>
        </is>
      </c>
      <c r="B638" t="inlineStr">
        <is>
          <t>avverkningsanmälan</t>
        </is>
      </c>
      <c r="C638" t="inlineStr">
        <is>
          <t>Föryngringsavverkning</t>
        </is>
      </c>
      <c r="D638" s="1" t="n">
        <v>46155</v>
      </c>
      <c r="E638" s="1" t="n">
        <v>46216</v>
      </c>
      <c r="F638" t="inlineStr">
        <is>
          <t>UPPSALA LÄN</t>
        </is>
      </c>
      <c r="G638" t="inlineStr">
        <is>
          <t>ÖSTHAMMAR</t>
        </is>
      </c>
      <c r="H638" t="inlineStr">
        <is>
          <t>Bergvik skog öst AB</t>
        </is>
      </c>
      <c r="I638" t="n">
        <v>19.4</v>
      </c>
      <c r="J638" t="n">
        <v>0</v>
      </c>
      <c r="K638" t="n">
        <v>0</v>
      </c>
      <c r="L638" t="n">
        <v>0</v>
      </c>
      <c r="M638" t="n">
        <v>0</v>
      </c>
      <c r="N638" t="n">
        <v>0</v>
      </c>
      <c r="O638" t="n">
        <v>0</v>
      </c>
      <c r="P638" t="n">
        <v>0</v>
      </c>
      <c r="Q638" t="n">
        <v>0</v>
      </c>
      <c r="R638" t="n">
        <v>0</v>
      </c>
      <c r="S638" t="n">
        <v>0</v>
      </c>
      <c r="T638" t="n">
        <v>0</v>
      </c>
      <c r="U638" s="2" t="inlineStr"/>
    </row>
    <row r="639" ht="15" customHeight="1">
      <c r="A639" t="inlineStr">
        <is>
          <t>A 22641-2026</t>
        </is>
      </c>
      <c r="B639" t="inlineStr">
        <is>
          <t>avverkningsanmälan</t>
        </is>
      </c>
      <c r="C639" t="inlineStr">
        <is>
          <t>Föryngringsavverkning</t>
        </is>
      </c>
      <c r="D639" s="1" t="n">
        <v>46155</v>
      </c>
      <c r="E639" s="1" t="n">
        <v>46216</v>
      </c>
      <c r="F639" t="inlineStr">
        <is>
          <t>UPPSALA LÄN</t>
        </is>
      </c>
      <c r="G639" t="inlineStr">
        <is>
          <t>ÖSTHAMMAR</t>
        </is>
      </c>
      <c r="I639" t="n">
        <v>6.3</v>
      </c>
      <c r="J639" t="n">
        <v>0</v>
      </c>
      <c r="K639" t="n">
        <v>0</v>
      </c>
      <c r="L639" t="n">
        <v>0</v>
      </c>
      <c r="M639" t="n">
        <v>0</v>
      </c>
      <c r="N639" t="n">
        <v>0</v>
      </c>
      <c r="O639" t="n">
        <v>0</v>
      </c>
      <c r="P639" t="n">
        <v>0</v>
      </c>
      <c r="Q639" t="n">
        <v>0</v>
      </c>
      <c r="R639" t="n">
        <v>0</v>
      </c>
      <c r="S639" t="n">
        <v>0</v>
      </c>
      <c r="T639" t="n">
        <v>0</v>
      </c>
      <c r="U639" s="2" t="inlineStr"/>
    </row>
    <row r="640" ht="15" customHeight="1">
      <c r="A640" t="inlineStr">
        <is>
          <t>A 40637-2022</t>
        </is>
      </c>
      <c r="B640" t="inlineStr">
        <is>
          <t>avverkningsanmälan</t>
        </is>
      </c>
      <c r="C640" t="inlineStr">
        <is>
          <t>Avverkning för annat ändamål</t>
        </is>
      </c>
      <c r="D640" s="1" t="n">
        <v>44824</v>
      </c>
      <c r="E640" s="1" t="n">
        <v>46216</v>
      </c>
      <c r="F640" t="inlineStr">
        <is>
          <t>UPPSALA LÄN</t>
        </is>
      </c>
      <c r="G640" t="inlineStr">
        <is>
          <t>ÖSTHAMMAR</t>
        </is>
      </c>
      <c r="H640" t="inlineStr">
        <is>
          <t>Övriga Aktiebolag</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22567-2026</t>
        </is>
      </c>
      <c r="B641" t="inlineStr">
        <is>
          <t>avverkningsanmälan</t>
        </is>
      </c>
      <c r="C641" t="inlineStr">
        <is>
          <t>Föryngringsavverkning</t>
        </is>
      </c>
      <c r="D641" s="1" t="n">
        <v>46155</v>
      </c>
      <c r="E641" s="1" t="n">
        <v>46216</v>
      </c>
      <c r="F641" t="inlineStr">
        <is>
          <t>UPPSALA LÄN</t>
        </is>
      </c>
      <c r="G641" t="inlineStr">
        <is>
          <t>ÖSTHAMMAR</t>
        </is>
      </c>
      <c r="H641" t="inlineStr">
        <is>
          <t>Bergvik skog öst AB</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56260-2022</t>
        </is>
      </c>
      <c r="B642" t="inlineStr">
        <is>
          <t>avverkningsanmälan</t>
        </is>
      </c>
      <c r="C642" t="inlineStr">
        <is>
          <t>Avverkning för annat ändamål</t>
        </is>
      </c>
      <c r="D642" s="1" t="n">
        <v>44890</v>
      </c>
      <c r="E642" s="1" t="n">
        <v>46216</v>
      </c>
      <c r="F642" t="inlineStr">
        <is>
          <t>UPPSALA LÄN</t>
        </is>
      </c>
      <c r="G642" t="inlineStr">
        <is>
          <t>ÖSTHAMMAR</t>
        </is>
      </c>
      <c r="H642" t="inlineStr">
        <is>
          <t>Bergvik skog öst AB</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22241-2026</t>
        </is>
      </c>
      <c r="B643" t="inlineStr">
        <is>
          <t>avverkningsanmälan</t>
        </is>
      </c>
      <c r="C643" t="inlineStr">
        <is>
          <t>Föryngringsavverkning</t>
        </is>
      </c>
      <c r="D643" s="1" t="n">
        <v>46154</v>
      </c>
      <c r="E643" s="1" t="n">
        <v>46216</v>
      </c>
      <c r="F643" t="inlineStr">
        <is>
          <t>UPPSALA LÄN</t>
        </is>
      </c>
      <c r="G643" t="inlineStr">
        <is>
          <t>ÖSTHAMMAR</t>
        </is>
      </c>
      <c r="H643" t="inlineStr">
        <is>
          <t>Övriga Aktiebolag</t>
        </is>
      </c>
      <c r="I643" t="n">
        <v>14.6</v>
      </c>
      <c r="J643" t="n">
        <v>0</v>
      </c>
      <c r="K643" t="n">
        <v>0</v>
      </c>
      <c r="L643" t="n">
        <v>0</v>
      </c>
      <c r="M643" t="n">
        <v>0</v>
      </c>
      <c r="N643" t="n">
        <v>0</v>
      </c>
      <c r="O643" t="n">
        <v>0</v>
      </c>
      <c r="P643" t="n">
        <v>0</v>
      </c>
      <c r="Q643" t="n">
        <v>0</v>
      </c>
      <c r="R643" t="n">
        <v>0</v>
      </c>
      <c r="S643" t="n">
        <v>0</v>
      </c>
      <c r="T643" t="n">
        <v>0</v>
      </c>
      <c r="U643" s="2" t="inlineStr"/>
    </row>
    <row r="644" ht="15" customHeight="1">
      <c r="A644" t="inlineStr">
        <is>
          <t>A 62394-2022</t>
        </is>
      </c>
      <c r="B644" t="inlineStr">
        <is>
          <t>avverkningsanmälan</t>
        </is>
      </c>
      <c r="C644" t="inlineStr">
        <is>
          <t>Föryngringsavverkning</t>
        </is>
      </c>
      <c r="D644" s="1" t="n">
        <v>44923</v>
      </c>
      <c r="E644" s="1" t="n">
        <v>46216</v>
      </c>
      <c r="F644" t="inlineStr">
        <is>
          <t>UPPSALA LÄN</t>
        </is>
      </c>
      <c r="G644" t="inlineStr">
        <is>
          <t>ÖSTHAMMAR</t>
        </is>
      </c>
      <c r="H644" t="inlineStr">
        <is>
          <t>Bergvik skog öst AB</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22642-2026</t>
        </is>
      </c>
      <c r="B645" t="inlineStr">
        <is>
          <t>avverkningsanmälan</t>
        </is>
      </c>
      <c r="C645" t="inlineStr">
        <is>
          <t>Föryngringsavverkning</t>
        </is>
      </c>
      <c r="D645" s="1" t="n">
        <v>46155</v>
      </c>
      <c r="E645" s="1" t="n">
        <v>46216</v>
      </c>
      <c r="F645" t="inlineStr">
        <is>
          <t>UPPSALA LÄN</t>
        </is>
      </c>
      <c r="G645" t="inlineStr">
        <is>
          <t>ÖSTHAMMAR</t>
        </is>
      </c>
      <c r="H645" t="inlineStr">
        <is>
          <t>Bergvik skog öst AB</t>
        </is>
      </c>
      <c r="I645" t="n">
        <v>10</v>
      </c>
      <c r="J645" t="n">
        <v>0</v>
      </c>
      <c r="K645" t="n">
        <v>0</v>
      </c>
      <c r="L645" t="n">
        <v>0</v>
      </c>
      <c r="M645" t="n">
        <v>0</v>
      </c>
      <c r="N645" t="n">
        <v>0</v>
      </c>
      <c r="O645" t="n">
        <v>0</v>
      </c>
      <c r="P645" t="n">
        <v>0</v>
      </c>
      <c r="Q645" t="n">
        <v>0</v>
      </c>
      <c r="R645" t="n">
        <v>0</v>
      </c>
      <c r="S645" t="n">
        <v>0</v>
      </c>
      <c r="T645" t="n">
        <v>0</v>
      </c>
      <c r="U645" s="2" t="inlineStr"/>
    </row>
    <row r="646" ht="15" customHeight="1">
      <c r="A646" t="inlineStr">
        <is>
          <t>A 8616-2023</t>
        </is>
      </c>
      <c r="B646" t="inlineStr">
        <is>
          <t>avverkningsanmälan</t>
        </is>
      </c>
      <c r="C646" t="inlineStr">
        <is>
          <t>Föryngringsavverkning</t>
        </is>
      </c>
      <c r="D646" s="1" t="n">
        <v>44977</v>
      </c>
      <c r="E646" s="1" t="n">
        <v>46216</v>
      </c>
      <c r="F646" t="inlineStr">
        <is>
          <t>UPPSALA LÄN</t>
        </is>
      </c>
      <c r="G646" t="inlineStr">
        <is>
          <t>ÖSTHAMMAR</t>
        </is>
      </c>
      <c r="H646" t="inlineStr">
        <is>
          <t>Bergvik skog öst AB</t>
        </is>
      </c>
      <c r="I646" t="n">
        <v>0.2</v>
      </c>
      <c r="J646" t="n">
        <v>0</v>
      </c>
      <c r="K646" t="n">
        <v>0</v>
      </c>
      <c r="L646" t="n">
        <v>0</v>
      </c>
      <c r="M646" t="n">
        <v>0</v>
      </c>
      <c r="N646" t="n">
        <v>0</v>
      </c>
      <c r="O646" t="n">
        <v>0</v>
      </c>
      <c r="P646" t="n">
        <v>0</v>
      </c>
      <c r="Q646" t="n">
        <v>0</v>
      </c>
      <c r="R646" t="n">
        <v>0</v>
      </c>
      <c r="S646" t="n">
        <v>0</v>
      </c>
      <c r="T646" t="n">
        <v>0</v>
      </c>
      <c r="U646" s="2" t="inlineStr"/>
    </row>
    <row r="647" ht="15" customHeight="1">
      <c r="A647" t="inlineStr">
        <is>
          <t>A 41538-2021</t>
        </is>
      </c>
      <c r="B647" t="inlineStr">
        <is>
          <t>avverkningsanmälan</t>
        </is>
      </c>
      <c r="C647" t="inlineStr">
        <is>
          <t>Föryngringsavverkning</t>
        </is>
      </c>
      <c r="D647" s="1" t="n">
        <v>44425</v>
      </c>
      <c r="E647" s="1" t="n">
        <v>46216</v>
      </c>
      <c r="F647" t="inlineStr">
        <is>
          <t>UPPSALA LÄN</t>
        </is>
      </c>
      <c r="G647" t="inlineStr">
        <is>
          <t>ÖSTHAMMAR</t>
        </is>
      </c>
      <c r="H647" t="inlineStr">
        <is>
          <t>Bergvik skog öst AB</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34742-2022</t>
        </is>
      </c>
      <c r="B648" t="inlineStr">
        <is>
          <t>avverkningsanmälan</t>
        </is>
      </c>
      <c r="C648" t="inlineStr">
        <is>
          <t>Föryngringsavverkning</t>
        </is>
      </c>
      <c r="D648" s="1" t="n">
        <v>44795</v>
      </c>
      <c r="E648" s="1" t="n">
        <v>46216</v>
      </c>
      <c r="F648" t="inlineStr">
        <is>
          <t>UPPSALA LÄN</t>
        </is>
      </c>
      <c r="G648" t="inlineStr">
        <is>
          <t>ÖSTHAMMAR</t>
        </is>
      </c>
      <c r="H648" t="inlineStr">
        <is>
          <t>Bergvik skog öst AB</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28949-2026</t>
        </is>
      </c>
      <c r="B649" t="inlineStr">
        <is>
          <t>avverkningsanmälan</t>
        </is>
      </c>
      <c r="C649" t="inlineStr">
        <is>
          <t>Föryngringsavverkning</t>
        </is>
      </c>
      <c r="D649" s="1" t="n">
        <v>46199</v>
      </c>
      <c r="E649" s="1" t="n">
        <v>46216</v>
      </c>
      <c r="F649" t="inlineStr">
        <is>
          <t>UPPSALA LÄN</t>
        </is>
      </c>
      <c r="G649" t="inlineStr">
        <is>
          <t>ÖSTHAMMAR</t>
        </is>
      </c>
      <c r="H649" t="inlineStr">
        <is>
          <t>Naturvårdsverket</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28938-2026</t>
        </is>
      </c>
      <c r="B650" t="inlineStr">
        <is>
          <t>avverkningsanmälan</t>
        </is>
      </c>
      <c r="C650" t="inlineStr">
        <is>
          <t>Föryngringsavverkning</t>
        </is>
      </c>
      <c r="D650" s="1" t="n">
        <v>46199</v>
      </c>
      <c r="E650" s="1" t="n">
        <v>46216</v>
      </c>
      <c r="F650" t="inlineStr">
        <is>
          <t>UPPSALA LÄN</t>
        </is>
      </c>
      <c r="G650" t="inlineStr">
        <is>
          <t>ÖSTHAMMAR</t>
        </is>
      </c>
      <c r="H650" t="inlineStr">
        <is>
          <t>Övriga Aktiebolag</t>
        </is>
      </c>
      <c r="I650" t="n">
        <v>3.6</v>
      </c>
      <c r="J650" t="n">
        <v>0</v>
      </c>
      <c r="K650" t="n">
        <v>0</v>
      </c>
      <c r="L650" t="n">
        <v>0</v>
      </c>
      <c r="M650" t="n">
        <v>0</v>
      </c>
      <c r="N650" t="n">
        <v>0</v>
      </c>
      <c r="O650" t="n">
        <v>0</v>
      </c>
      <c r="P650" t="n">
        <v>0</v>
      </c>
      <c r="Q650" t="n">
        <v>0</v>
      </c>
      <c r="R650" t="n">
        <v>0</v>
      </c>
      <c r="S650" t="n">
        <v>0</v>
      </c>
      <c r="T650" t="n">
        <v>0</v>
      </c>
      <c r="U650" s="2" t="inlineStr"/>
    </row>
    <row r="651" ht="15" customHeight="1">
      <c r="A651" t="inlineStr">
        <is>
          <t>A 55090-2024</t>
        </is>
      </c>
      <c r="B651" t="inlineStr">
        <is>
          <t>avverkningsanmälan</t>
        </is>
      </c>
      <c r="C651" t="inlineStr">
        <is>
          <t>Föryngringsavverkning</t>
        </is>
      </c>
      <c r="D651" s="1" t="n">
        <v>45621</v>
      </c>
      <c r="E651" s="1" t="n">
        <v>46216</v>
      </c>
      <c r="F651" t="inlineStr">
        <is>
          <t>UPPSALA LÄN</t>
        </is>
      </c>
      <c r="G651" t="inlineStr">
        <is>
          <t>ÖSTHAMMAR</t>
        </is>
      </c>
      <c r="H651" t="inlineStr">
        <is>
          <t>Sveaskog</t>
        </is>
      </c>
      <c r="I651" t="n">
        <v>4.4</v>
      </c>
      <c r="J651" t="n">
        <v>0</v>
      </c>
      <c r="K651" t="n">
        <v>0</v>
      </c>
      <c r="L651" t="n">
        <v>0</v>
      </c>
      <c r="M651" t="n">
        <v>0</v>
      </c>
      <c r="N651" t="n">
        <v>0</v>
      </c>
      <c r="O651" t="n">
        <v>0</v>
      </c>
      <c r="P651" t="n">
        <v>0</v>
      </c>
      <c r="Q651" t="n">
        <v>0</v>
      </c>
      <c r="R651" t="n">
        <v>0</v>
      </c>
      <c r="S651" t="n">
        <v>0</v>
      </c>
      <c r="T651" t="n">
        <v>0</v>
      </c>
      <c r="U651" s="2" t="inlineStr"/>
    </row>
    <row r="652" ht="15" customHeight="1">
      <c r="A652" t="inlineStr">
        <is>
          <t>A 55093-2024</t>
        </is>
      </c>
      <c r="B652" t="inlineStr">
        <is>
          <t>avverkningsanmälan</t>
        </is>
      </c>
      <c r="C652" t="inlineStr">
        <is>
          <t>Föryngringsavverkning</t>
        </is>
      </c>
      <c r="D652" s="1" t="n">
        <v>45621</v>
      </c>
      <c r="E652" s="1" t="n">
        <v>46216</v>
      </c>
      <c r="F652" t="inlineStr">
        <is>
          <t>UPPSALA LÄN</t>
        </is>
      </c>
      <c r="G652" t="inlineStr">
        <is>
          <t>ÖSTHAMMAR</t>
        </is>
      </c>
      <c r="H652" t="inlineStr">
        <is>
          <t>Sveaskog</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22709-2026</t>
        </is>
      </c>
      <c r="B653" t="inlineStr">
        <is>
          <t>avverkningsanmälan</t>
        </is>
      </c>
      <c r="C653" t="inlineStr">
        <is>
          <t>Föryngringsavverkning</t>
        </is>
      </c>
      <c r="D653" s="1" t="n">
        <v>46156</v>
      </c>
      <c r="E653" s="1" t="n">
        <v>46216</v>
      </c>
      <c r="F653" t="inlineStr">
        <is>
          <t>UPPSALA LÄN</t>
        </is>
      </c>
      <c r="G653" t="inlineStr">
        <is>
          <t>ÖSTHAMMAR</t>
        </is>
      </c>
      <c r="H653" t="inlineStr">
        <is>
          <t>Övriga Aktiebolag</t>
        </is>
      </c>
      <c r="I653" t="n">
        <v>15.5</v>
      </c>
      <c r="J653" t="n">
        <v>0</v>
      </c>
      <c r="K653" t="n">
        <v>0</v>
      </c>
      <c r="L653" t="n">
        <v>0</v>
      </c>
      <c r="M653" t="n">
        <v>0</v>
      </c>
      <c r="N653" t="n">
        <v>0</v>
      </c>
      <c r="O653" t="n">
        <v>0</v>
      </c>
      <c r="P653" t="n">
        <v>0</v>
      </c>
      <c r="Q653" t="n">
        <v>0</v>
      </c>
      <c r="R653" t="n">
        <v>0</v>
      </c>
      <c r="S653" t="n">
        <v>0</v>
      </c>
      <c r="T653" t="n">
        <v>0</v>
      </c>
      <c r="U653" s="2" t="inlineStr"/>
    </row>
    <row r="654" ht="15" customHeight="1">
      <c r="A654" t="inlineStr">
        <is>
          <t>A 55097-2024</t>
        </is>
      </c>
      <c r="B654" t="inlineStr">
        <is>
          <t>avverkningsanmälan</t>
        </is>
      </c>
      <c r="C654" t="inlineStr">
        <is>
          <t>Föryngringsavverkning</t>
        </is>
      </c>
      <c r="D654" s="1" t="n">
        <v>45621</v>
      </c>
      <c r="E654" s="1" t="n">
        <v>46216</v>
      </c>
      <c r="F654" t="inlineStr">
        <is>
          <t>UPPSALA LÄN</t>
        </is>
      </c>
      <c r="G654" t="inlineStr">
        <is>
          <t>ÖSTHAMMAR</t>
        </is>
      </c>
      <c r="H654" t="inlineStr">
        <is>
          <t>Sveaskog</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28973-2026</t>
        </is>
      </c>
      <c r="B655" t="inlineStr">
        <is>
          <t>avverkningsanmälan</t>
        </is>
      </c>
      <c r="C655" t="inlineStr">
        <is>
          <t>Föryngringsavverkning</t>
        </is>
      </c>
      <c r="D655" s="1" t="n">
        <v>46199</v>
      </c>
      <c r="E655" s="1" t="n">
        <v>46216</v>
      </c>
      <c r="F655" t="inlineStr">
        <is>
          <t>UPPSALA LÄN</t>
        </is>
      </c>
      <c r="G655" t="inlineStr">
        <is>
          <t>ÖSTHAMMAR</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29101-2026</t>
        </is>
      </c>
      <c r="B656" t="inlineStr">
        <is>
          <t>avverkningsanmälan</t>
        </is>
      </c>
      <c r="C656" t="inlineStr">
        <is>
          <t>Föryngringsavverkning</t>
        </is>
      </c>
      <c r="D656" s="1" t="n">
        <v>46200</v>
      </c>
      <c r="E656" s="1" t="n">
        <v>46216</v>
      </c>
      <c r="F656" t="inlineStr">
        <is>
          <t>UPPSALA LÄN</t>
        </is>
      </c>
      <c r="G656" t="inlineStr">
        <is>
          <t>ÖSTHAMMAR</t>
        </is>
      </c>
      <c r="H656" t="inlineStr">
        <is>
          <t>Bergvik skog öst AB</t>
        </is>
      </c>
      <c r="I656" t="n">
        <v>0.3</v>
      </c>
      <c r="J656" t="n">
        <v>0</v>
      </c>
      <c r="K656" t="n">
        <v>0</v>
      </c>
      <c r="L656" t="n">
        <v>0</v>
      </c>
      <c r="M656" t="n">
        <v>0</v>
      </c>
      <c r="N656" t="n">
        <v>0</v>
      </c>
      <c r="O656" t="n">
        <v>0</v>
      </c>
      <c r="P656" t="n">
        <v>0</v>
      </c>
      <c r="Q656" t="n">
        <v>0</v>
      </c>
      <c r="R656" t="n">
        <v>0</v>
      </c>
      <c r="S656" t="n">
        <v>0</v>
      </c>
      <c r="T656" t="n">
        <v>0</v>
      </c>
      <c r="U656" s="2" t="inlineStr"/>
    </row>
    <row r="657" ht="15" customHeight="1">
      <c r="A657" t="inlineStr">
        <is>
          <t>A 3327-2023</t>
        </is>
      </c>
      <c r="B657" t="inlineStr">
        <is>
          <t>avverkningsanmälan</t>
        </is>
      </c>
      <c r="C657" t="inlineStr">
        <is>
          <t>Föryngringsavverkning</t>
        </is>
      </c>
      <c r="D657" s="1" t="n">
        <v>44949</v>
      </c>
      <c r="E657" s="1" t="n">
        <v>46216</v>
      </c>
      <c r="F657" t="inlineStr">
        <is>
          <t>UPPSALA LÄN</t>
        </is>
      </c>
      <c r="G657" t="inlineStr">
        <is>
          <t>ÖSTHAMMAR</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41821-2023</t>
        </is>
      </c>
      <c r="B658" t="inlineStr">
        <is>
          <t>avverkningsanmälan</t>
        </is>
      </c>
      <c r="C658" t="inlineStr">
        <is>
          <t>Föryngringsavverkning</t>
        </is>
      </c>
      <c r="D658" s="1" t="n">
        <v>45176</v>
      </c>
      <c r="E658" s="1" t="n">
        <v>46216</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14272-2025</t>
        </is>
      </c>
      <c r="B659" t="inlineStr">
        <is>
          <t>avverkningsanmälan</t>
        </is>
      </c>
      <c r="C659" t="inlineStr">
        <is>
          <t>Föryngringsavverkning</t>
        </is>
      </c>
      <c r="D659" s="1" t="n">
        <v>45740</v>
      </c>
      <c r="E659" s="1" t="n">
        <v>46216</v>
      </c>
      <c r="F659" t="inlineStr">
        <is>
          <t>UPPSALA LÄN</t>
        </is>
      </c>
      <c r="G659" t="inlineStr">
        <is>
          <t>ÖSTHAMMAR</t>
        </is>
      </c>
      <c r="I659" t="n">
        <v>5.7</v>
      </c>
      <c r="J659" t="n">
        <v>0</v>
      </c>
      <c r="K659" t="n">
        <v>0</v>
      </c>
      <c r="L659" t="n">
        <v>0</v>
      </c>
      <c r="M659" t="n">
        <v>0</v>
      </c>
      <c r="N659" t="n">
        <v>0</v>
      </c>
      <c r="O659" t="n">
        <v>0</v>
      </c>
      <c r="P659" t="n">
        <v>0</v>
      </c>
      <c r="Q659" t="n">
        <v>0</v>
      </c>
      <c r="R659" t="n">
        <v>0</v>
      </c>
      <c r="S659" t="n">
        <v>0</v>
      </c>
      <c r="T659" t="n">
        <v>0</v>
      </c>
      <c r="U659" s="2" t="inlineStr"/>
    </row>
    <row r="660" ht="15" customHeight="1">
      <c r="A660" t="inlineStr">
        <is>
          <t>A 12215-2023</t>
        </is>
      </c>
      <c r="B660" t="inlineStr">
        <is>
          <t>avverkningsanmälan</t>
        </is>
      </c>
      <c r="C660" t="inlineStr">
        <is>
          <t>Föryngringsavverkning</t>
        </is>
      </c>
      <c r="D660" s="1" t="n">
        <v>44998</v>
      </c>
      <c r="E660" s="1" t="n">
        <v>46216</v>
      </c>
      <c r="F660" t="inlineStr">
        <is>
          <t>UPPSALA LÄN</t>
        </is>
      </c>
      <c r="G660" t="inlineStr">
        <is>
          <t>ÖSTHAMMAR</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66779-2021</t>
        </is>
      </c>
      <c r="B661" t="inlineStr">
        <is>
          <t>avverkningsanmälan</t>
        </is>
      </c>
      <c r="C661" t="inlineStr">
        <is>
          <t>Föryngringsavverkning</t>
        </is>
      </c>
      <c r="D661" s="1" t="n">
        <v>44522</v>
      </c>
      <c r="E661" s="1" t="n">
        <v>46216</v>
      </c>
      <c r="F661" t="inlineStr">
        <is>
          <t>UPPSALA LÄN</t>
        </is>
      </c>
      <c r="G661" t="inlineStr">
        <is>
          <t>ÖSTHAMMAR</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29106-2026</t>
        </is>
      </c>
      <c r="B662" t="inlineStr">
        <is>
          <t>avverkningsanmälan</t>
        </is>
      </c>
      <c r="C662" t="inlineStr">
        <is>
          <t>Föryngringsavverkning</t>
        </is>
      </c>
      <c r="D662" s="1" t="n">
        <v>46200</v>
      </c>
      <c r="E662" s="1" t="n">
        <v>46216</v>
      </c>
      <c r="F662" t="inlineStr">
        <is>
          <t>UPPSALA LÄN</t>
        </is>
      </c>
      <c r="G662" t="inlineStr">
        <is>
          <t>ÖSTHAMMAR</t>
        </is>
      </c>
      <c r="H662" t="inlineStr">
        <is>
          <t>Bergvik skog öst AB</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29100-2026</t>
        </is>
      </c>
      <c r="B663" t="inlineStr">
        <is>
          <t>avverkningsanmälan</t>
        </is>
      </c>
      <c r="C663" t="inlineStr">
        <is>
          <t>Föryngringsavverkning</t>
        </is>
      </c>
      <c r="D663" s="1" t="n">
        <v>46200</v>
      </c>
      <c r="E663" s="1" t="n">
        <v>46216</v>
      </c>
      <c r="F663" t="inlineStr">
        <is>
          <t>UPPSALA LÄN</t>
        </is>
      </c>
      <c r="G663" t="inlineStr">
        <is>
          <t>ÖSTHAMMAR</t>
        </is>
      </c>
      <c r="H663" t="inlineStr">
        <is>
          <t>Bergvik skog öst AB</t>
        </is>
      </c>
      <c r="I663" t="n">
        <v>7</v>
      </c>
      <c r="J663" t="n">
        <v>0</v>
      </c>
      <c r="K663" t="n">
        <v>0</v>
      </c>
      <c r="L663" t="n">
        <v>0</v>
      </c>
      <c r="M663" t="n">
        <v>0</v>
      </c>
      <c r="N663" t="n">
        <v>0</v>
      </c>
      <c r="O663" t="n">
        <v>0</v>
      </c>
      <c r="P663" t="n">
        <v>0</v>
      </c>
      <c r="Q663" t="n">
        <v>0</v>
      </c>
      <c r="R663" t="n">
        <v>0</v>
      </c>
      <c r="S663" t="n">
        <v>0</v>
      </c>
      <c r="T663" t="n">
        <v>0</v>
      </c>
      <c r="U663" s="2" t="inlineStr"/>
    </row>
    <row r="664" ht="15" customHeight="1">
      <c r="A664" t="inlineStr">
        <is>
          <t>A 23415-2026</t>
        </is>
      </c>
      <c r="B664" t="inlineStr">
        <is>
          <t>avverkningsanmälan</t>
        </is>
      </c>
      <c r="C664" t="inlineStr">
        <is>
          <t>Föryngringsavverkning</t>
        </is>
      </c>
      <c r="D664" s="1" t="n">
        <v>46163</v>
      </c>
      <c r="E664" s="1" t="n">
        <v>46216</v>
      </c>
      <c r="F664" t="inlineStr">
        <is>
          <t>UPPSALA LÄN</t>
        </is>
      </c>
      <c r="G664" t="inlineStr">
        <is>
          <t>ÖSTHAMMAR</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23416-2026</t>
        </is>
      </c>
      <c r="B665" t="inlineStr">
        <is>
          <t>avverkningsanmälan</t>
        </is>
      </c>
      <c r="C665" t="inlineStr">
        <is>
          <t>Föryngringsavverkning</t>
        </is>
      </c>
      <c r="D665" s="1" t="n">
        <v>46163</v>
      </c>
      <c r="E665" s="1" t="n">
        <v>46216</v>
      </c>
      <c r="F665" t="inlineStr">
        <is>
          <t>UPPSALA LÄN</t>
        </is>
      </c>
      <c r="G665" t="inlineStr">
        <is>
          <t>ÖSTHAMMAR</t>
        </is>
      </c>
      <c r="I665" t="n">
        <v>7</v>
      </c>
      <c r="J665" t="n">
        <v>0</v>
      </c>
      <c r="K665" t="n">
        <v>0</v>
      </c>
      <c r="L665" t="n">
        <v>0</v>
      </c>
      <c r="M665" t="n">
        <v>0</v>
      </c>
      <c r="N665" t="n">
        <v>0</v>
      </c>
      <c r="O665" t="n">
        <v>0</v>
      </c>
      <c r="P665" t="n">
        <v>0</v>
      </c>
      <c r="Q665" t="n">
        <v>0</v>
      </c>
      <c r="R665" t="n">
        <v>0</v>
      </c>
      <c r="S665" t="n">
        <v>0</v>
      </c>
      <c r="T665" t="n">
        <v>0</v>
      </c>
      <c r="U665" s="2" t="inlineStr"/>
    </row>
    <row r="666" ht="15" customHeight="1">
      <c r="A666" t="inlineStr">
        <is>
          <t>A 70495-2021</t>
        </is>
      </c>
      <c r="B666" t="inlineStr">
        <is>
          <t>avverkningsanmälan</t>
        </is>
      </c>
      <c r="C666" t="inlineStr">
        <is>
          <t>Föryngringsavverkning</t>
        </is>
      </c>
      <c r="D666" s="1" t="n">
        <v>44536</v>
      </c>
      <c r="E666" s="1" t="n">
        <v>46216</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31896-2025</t>
        </is>
      </c>
      <c r="B667" t="inlineStr">
        <is>
          <t>avverkningsanmälan</t>
        </is>
      </c>
      <c r="C667" t="inlineStr">
        <is>
          <t>Föryngringsavverkning</t>
        </is>
      </c>
      <c r="D667" s="1" t="n">
        <v>45834</v>
      </c>
      <c r="E667" s="1" t="n">
        <v>46216</v>
      </c>
      <c r="F667" t="inlineStr">
        <is>
          <t>UPPSALA LÄN</t>
        </is>
      </c>
      <c r="G667" t="inlineStr">
        <is>
          <t>ÖSTHAMMAR</t>
        </is>
      </c>
      <c r="I667" t="n">
        <v>4.1</v>
      </c>
      <c r="J667" t="n">
        <v>0</v>
      </c>
      <c r="K667" t="n">
        <v>0</v>
      </c>
      <c r="L667" t="n">
        <v>0</v>
      </c>
      <c r="M667" t="n">
        <v>0</v>
      </c>
      <c r="N667" t="n">
        <v>0</v>
      </c>
      <c r="O667" t="n">
        <v>0</v>
      </c>
      <c r="P667" t="n">
        <v>0</v>
      </c>
      <c r="Q667" t="n">
        <v>0</v>
      </c>
      <c r="R667" t="n">
        <v>0</v>
      </c>
      <c r="S667" t="n">
        <v>0</v>
      </c>
      <c r="T667" t="n">
        <v>0</v>
      </c>
      <c r="U667" s="2" t="inlineStr"/>
    </row>
    <row r="668" ht="15" customHeight="1">
      <c r="A668" t="inlineStr">
        <is>
          <t>A 3638-2022</t>
        </is>
      </c>
      <c r="B668" t="inlineStr">
        <is>
          <t>avverkningsanmälan</t>
        </is>
      </c>
      <c r="C668" t="inlineStr">
        <is>
          <t>Föryngringsavverkning</t>
        </is>
      </c>
      <c r="D668" s="1" t="n">
        <v>44578</v>
      </c>
      <c r="E668" s="1" t="n">
        <v>46216</v>
      </c>
      <c r="F668" t="inlineStr">
        <is>
          <t>UPPSALA LÄN</t>
        </is>
      </c>
      <c r="G668" t="inlineStr">
        <is>
          <t>ÖSTHAMMAR</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23363-2023</t>
        </is>
      </c>
      <c r="B669" t="inlineStr">
        <is>
          <t>avverkningsanmälan</t>
        </is>
      </c>
      <c r="C669" t="inlineStr">
        <is>
          <t>Föryngringsavverkning</t>
        </is>
      </c>
      <c r="D669" s="1" t="n">
        <v>45076</v>
      </c>
      <c r="E669" s="1" t="n">
        <v>46216</v>
      </c>
      <c r="F669" t="inlineStr">
        <is>
          <t>UPPSALA LÄN</t>
        </is>
      </c>
      <c r="G669" t="inlineStr">
        <is>
          <t>ÖSTHAMMAR</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27308-2023</t>
        </is>
      </c>
      <c r="B670" t="inlineStr">
        <is>
          <t>avverkningsanmälan</t>
        </is>
      </c>
      <c r="C670" t="inlineStr">
        <is>
          <t>Föryngringsavverkning</t>
        </is>
      </c>
      <c r="D670" s="1" t="n">
        <v>45096</v>
      </c>
      <c r="E670" s="1" t="n">
        <v>46216</v>
      </c>
      <c r="F670" t="inlineStr">
        <is>
          <t>UPPSALA LÄN</t>
        </is>
      </c>
      <c r="G670" t="inlineStr">
        <is>
          <t>ÖSTHAMMAR</t>
        </is>
      </c>
      <c r="H670" t="inlineStr">
        <is>
          <t>Bergvik skog öst AB</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49897-2023</t>
        </is>
      </c>
      <c r="B671" t="inlineStr">
        <is>
          <t>avverkningsanmälan</t>
        </is>
      </c>
      <c r="C671" t="inlineStr">
        <is>
          <t>Avverkning för att bevara och utveckla /försöksver</t>
        </is>
      </c>
      <c r="D671" s="1" t="n">
        <v>45213</v>
      </c>
      <c r="E671" s="1" t="n">
        <v>46216</v>
      </c>
      <c r="F671" t="inlineStr">
        <is>
          <t>UPPSALA LÄN</t>
        </is>
      </c>
      <c r="G671" t="inlineStr">
        <is>
          <t>ÖSTHAMMAR</t>
        </is>
      </c>
      <c r="I671" t="n">
        <v>9.199999999999999</v>
      </c>
      <c r="J671" t="n">
        <v>0</v>
      </c>
      <c r="K671" t="n">
        <v>0</v>
      </c>
      <c r="L671" t="n">
        <v>0</v>
      </c>
      <c r="M671" t="n">
        <v>0</v>
      </c>
      <c r="N671" t="n">
        <v>0</v>
      </c>
      <c r="O671" t="n">
        <v>0</v>
      </c>
      <c r="P671" t="n">
        <v>0</v>
      </c>
      <c r="Q671" t="n">
        <v>0</v>
      </c>
      <c r="R671" t="n">
        <v>0</v>
      </c>
      <c r="S671" t="n">
        <v>0</v>
      </c>
      <c r="T671" t="n">
        <v>0</v>
      </c>
      <c r="U671" s="2" t="inlineStr"/>
    </row>
    <row r="672" ht="15" customHeight="1">
      <c r="A672" t="inlineStr">
        <is>
          <t>A 23619-2026</t>
        </is>
      </c>
      <c r="B672" t="inlineStr">
        <is>
          <t>avverkningsanmälan</t>
        </is>
      </c>
      <c r="C672" t="inlineStr">
        <is>
          <t>Föryngringsavverkning</t>
        </is>
      </c>
      <c r="D672" s="1" t="n">
        <v>46163</v>
      </c>
      <c r="E672" s="1" t="n">
        <v>46216</v>
      </c>
      <c r="F672" t="inlineStr">
        <is>
          <t>UPPSALA LÄN</t>
        </is>
      </c>
      <c r="G672" t="inlineStr">
        <is>
          <t>ÖSTHAMMAR</t>
        </is>
      </c>
      <c r="H672" t="inlineStr">
        <is>
          <t>Bergvik skog öst AB</t>
        </is>
      </c>
      <c r="I672" t="n">
        <v>8.6</v>
      </c>
      <c r="J672" t="n">
        <v>0</v>
      </c>
      <c r="K672" t="n">
        <v>0</v>
      </c>
      <c r="L672" t="n">
        <v>0</v>
      </c>
      <c r="M672" t="n">
        <v>0</v>
      </c>
      <c r="N672" t="n">
        <v>0</v>
      </c>
      <c r="O672" t="n">
        <v>0</v>
      </c>
      <c r="P672" t="n">
        <v>0</v>
      </c>
      <c r="Q672" t="n">
        <v>0</v>
      </c>
      <c r="R672" t="n">
        <v>0</v>
      </c>
      <c r="S672" t="n">
        <v>0</v>
      </c>
      <c r="T672" t="n">
        <v>0</v>
      </c>
      <c r="U672" s="2" t="inlineStr"/>
    </row>
    <row r="673" ht="15" customHeight="1">
      <c r="A673" t="inlineStr">
        <is>
          <t>A 37812-2022</t>
        </is>
      </c>
      <c r="B673" t="inlineStr">
        <is>
          <t>avverkningsanmälan</t>
        </is>
      </c>
      <c r="C673" t="inlineStr">
        <is>
          <t>Föryngringsavverkning</t>
        </is>
      </c>
      <c r="D673" s="1" t="n">
        <v>44810</v>
      </c>
      <c r="E673" s="1" t="n">
        <v>46216</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23414-2026</t>
        </is>
      </c>
      <c r="B674" t="inlineStr">
        <is>
          <t>avverkningsanmälan</t>
        </is>
      </c>
      <c r="C674" t="inlineStr">
        <is>
          <t>Föryngringsavverkning</t>
        </is>
      </c>
      <c r="D674" s="1" t="n">
        <v>46163</v>
      </c>
      <c r="E674" s="1" t="n">
        <v>46216</v>
      </c>
      <c r="F674" t="inlineStr">
        <is>
          <t>UPPSALA LÄN</t>
        </is>
      </c>
      <c r="G674" t="inlineStr">
        <is>
          <t>ÖSTHAMMAR</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23795-2026</t>
        </is>
      </c>
      <c r="B675" t="inlineStr">
        <is>
          <t>avverkningsanmälan</t>
        </is>
      </c>
      <c r="C675" t="inlineStr">
        <is>
          <t>Föryngringsavverkning</t>
        </is>
      </c>
      <c r="D675" s="1" t="n">
        <v>46164</v>
      </c>
      <c r="E675" s="1" t="n">
        <v>46216</v>
      </c>
      <c r="F675" t="inlineStr">
        <is>
          <t>UPPSALA LÄN</t>
        </is>
      </c>
      <c r="G675" t="inlineStr">
        <is>
          <t>ÖSTHAMMAR</t>
        </is>
      </c>
      <c r="H675" t="inlineStr">
        <is>
          <t>Bergvik skog öst AB</t>
        </is>
      </c>
      <c r="I675" t="n">
        <v>8.199999999999999</v>
      </c>
      <c r="J675" t="n">
        <v>0</v>
      </c>
      <c r="K675" t="n">
        <v>0</v>
      </c>
      <c r="L675" t="n">
        <v>0</v>
      </c>
      <c r="M675" t="n">
        <v>0</v>
      </c>
      <c r="N675" t="n">
        <v>0</v>
      </c>
      <c r="O675" t="n">
        <v>0</v>
      </c>
      <c r="P675" t="n">
        <v>0</v>
      </c>
      <c r="Q675" t="n">
        <v>0</v>
      </c>
      <c r="R675" t="n">
        <v>0</v>
      </c>
      <c r="S675" t="n">
        <v>0</v>
      </c>
      <c r="T675" t="n">
        <v>0</v>
      </c>
      <c r="U675" s="2" t="inlineStr"/>
    </row>
    <row r="676" ht="15" customHeight="1">
      <c r="A676" t="inlineStr">
        <is>
          <t>A 60555-2023</t>
        </is>
      </c>
      <c r="B676" t="inlineStr">
        <is>
          <t>avverkningsanmälan</t>
        </is>
      </c>
      <c r="C676" t="inlineStr">
        <is>
          <t>Föryngringsavverkning</t>
        </is>
      </c>
      <c r="D676" s="1" t="n">
        <v>45259</v>
      </c>
      <c r="E676" s="1" t="n">
        <v>46216</v>
      </c>
      <c r="F676" t="inlineStr">
        <is>
          <t>UPPSALA LÄN</t>
        </is>
      </c>
      <c r="G676" t="inlineStr">
        <is>
          <t>ÖSTHAMMAR</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30421-2026</t>
        </is>
      </c>
      <c r="B677" t="inlineStr">
        <is>
          <t>avverkningsanmälan</t>
        </is>
      </c>
      <c r="C677" t="inlineStr">
        <is>
          <t>Föryngringsavverkning</t>
        </is>
      </c>
      <c r="D677" s="1" t="n">
        <v>46209</v>
      </c>
      <c r="E677" s="1" t="n">
        <v>46216</v>
      </c>
      <c r="F677" t="inlineStr">
        <is>
          <t>UPPSALA LÄN</t>
        </is>
      </c>
      <c r="G677" t="inlineStr">
        <is>
          <t>ÖSTHAMMAR</t>
        </is>
      </c>
      <c r="H677" t="inlineStr">
        <is>
          <t>Bergvik skog öst AB</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A 30427-2026</t>
        </is>
      </c>
      <c r="B678" t="inlineStr">
        <is>
          <t>avverkningsanmälan</t>
        </is>
      </c>
      <c r="C678" t="inlineStr">
        <is>
          <t>Föryngringsavverkning</t>
        </is>
      </c>
      <c r="D678" s="1" t="n">
        <v>46209</v>
      </c>
      <c r="E678" s="1" t="n">
        <v>46216</v>
      </c>
      <c r="F678" t="inlineStr">
        <is>
          <t>UPPSALA LÄN</t>
        </is>
      </c>
      <c r="G678" t="inlineStr">
        <is>
          <t>ÖSTHAMMAR</t>
        </is>
      </c>
      <c r="H678" t="inlineStr">
        <is>
          <t>Bergvik skog öst AB</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30429-2026</t>
        </is>
      </c>
      <c r="B679" t="inlineStr">
        <is>
          <t>avverkningsanmälan</t>
        </is>
      </c>
      <c r="C679" t="inlineStr">
        <is>
          <t>Föryngringsavverkning</t>
        </is>
      </c>
      <c r="D679" s="1" t="n">
        <v>46209</v>
      </c>
      <c r="E679" s="1" t="n">
        <v>46216</v>
      </c>
      <c r="F679" t="inlineStr">
        <is>
          <t>UPPSALA LÄN</t>
        </is>
      </c>
      <c r="G679" t="inlineStr">
        <is>
          <t>ÖSTHAMMAR</t>
        </is>
      </c>
      <c r="H679" t="inlineStr">
        <is>
          <t>Bergvik skog öst AB</t>
        </is>
      </c>
      <c r="I679" t="n">
        <v>0.3</v>
      </c>
      <c r="J679" t="n">
        <v>0</v>
      </c>
      <c r="K679" t="n">
        <v>0</v>
      </c>
      <c r="L679" t="n">
        <v>0</v>
      </c>
      <c r="M679" t="n">
        <v>0</v>
      </c>
      <c r="N679" t="n">
        <v>0</v>
      </c>
      <c r="O679" t="n">
        <v>0</v>
      </c>
      <c r="P679" t="n">
        <v>0</v>
      </c>
      <c r="Q679" t="n">
        <v>0</v>
      </c>
      <c r="R679" t="n">
        <v>0</v>
      </c>
      <c r="S679" t="n">
        <v>0</v>
      </c>
      <c r="T679" t="n">
        <v>0</v>
      </c>
      <c r="U679" s="2" t="inlineStr"/>
    </row>
    <row r="680" ht="15" customHeight="1">
      <c r="A680" t="inlineStr">
        <is>
          <t>A 30338-2026</t>
        </is>
      </c>
      <c r="B680" t="inlineStr">
        <is>
          <t>avverkningsanmälan</t>
        </is>
      </c>
      <c r="C680" t="inlineStr">
        <is>
          <t>Föryngringsavverkning</t>
        </is>
      </c>
      <c r="D680" s="1" t="n">
        <v>46209</v>
      </c>
      <c r="E680" s="1" t="n">
        <v>46216</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30242-2026</t>
        </is>
      </c>
      <c r="B681" t="inlineStr">
        <is>
          <t>avverkningsanmälan</t>
        </is>
      </c>
      <c r="C681" t="inlineStr">
        <is>
          <t>Föryngringsavverkning</t>
        </is>
      </c>
      <c r="D681" s="1" t="n">
        <v>46206</v>
      </c>
      <c r="E681" s="1" t="n">
        <v>46216</v>
      </c>
      <c r="F681" t="inlineStr">
        <is>
          <t>UPPSALA LÄN</t>
        </is>
      </c>
      <c r="G681" t="inlineStr">
        <is>
          <t>ÖSTHAMMAR</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44815-2022</t>
        </is>
      </c>
      <c r="B682" t="inlineStr">
        <is>
          <t>avverkningsanmälan</t>
        </is>
      </c>
      <c r="C682" t="inlineStr">
        <is>
          <t>Föryngringsavverkning</t>
        </is>
      </c>
      <c r="D682" s="1" t="n">
        <v>44841</v>
      </c>
      <c r="E682" s="1" t="n">
        <v>46216</v>
      </c>
      <c r="F682" t="inlineStr">
        <is>
          <t>UPPSALA LÄN</t>
        </is>
      </c>
      <c r="G682" t="inlineStr">
        <is>
          <t>ÖSTHAMMAR</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30424-2026</t>
        </is>
      </c>
      <c r="B683" t="inlineStr">
        <is>
          <t>avverkningsanmälan</t>
        </is>
      </c>
      <c r="C683" t="inlineStr">
        <is>
          <t>Föryngringsavverkning</t>
        </is>
      </c>
      <c r="D683" s="1" t="n">
        <v>46209</v>
      </c>
      <c r="E683" s="1" t="n">
        <v>46216</v>
      </c>
      <c r="F683" t="inlineStr">
        <is>
          <t>UPPSALA LÄN</t>
        </is>
      </c>
      <c r="G683" t="inlineStr">
        <is>
          <t>ÖSTHAMMAR</t>
        </is>
      </c>
      <c r="H683" t="inlineStr">
        <is>
          <t>Bergvik skog öst AB</t>
        </is>
      </c>
      <c r="I683" t="n">
        <v>2.5</v>
      </c>
      <c r="J683" t="n">
        <v>0</v>
      </c>
      <c r="K683" t="n">
        <v>0</v>
      </c>
      <c r="L683" t="n">
        <v>0</v>
      </c>
      <c r="M683" t="n">
        <v>0</v>
      </c>
      <c r="N683" t="n">
        <v>0</v>
      </c>
      <c r="O683" t="n">
        <v>0</v>
      </c>
      <c r="P683" t="n">
        <v>0</v>
      </c>
      <c r="Q683" t="n">
        <v>0</v>
      </c>
      <c r="R683" t="n">
        <v>0</v>
      </c>
      <c r="S683" t="n">
        <v>0</v>
      </c>
      <c r="T683" t="n">
        <v>0</v>
      </c>
      <c r="U683" s="2" t="inlineStr"/>
    </row>
    <row r="684" ht="15" customHeight="1">
      <c r="A684" t="inlineStr">
        <is>
          <t>A 73483-2021</t>
        </is>
      </c>
      <c r="B684" t="inlineStr">
        <is>
          <t>avverkningsanmälan</t>
        </is>
      </c>
      <c r="C684" t="inlineStr">
        <is>
          <t>Föryngringsavverkning</t>
        </is>
      </c>
      <c r="D684" s="1" t="n">
        <v>44550</v>
      </c>
      <c r="E684" s="1" t="n">
        <v>46216</v>
      </c>
      <c r="F684" t="inlineStr">
        <is>
          <t>UPPSALA LÄN</t>
        </is>
      </c>
      <c r="G684" t="inlineStr">
        <is>
          <t>ÖSTHAMMAR</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30420-2026</t>
        </is>
      </c>
      <c r="B685" t="inlineStr">
        <is>
          <t>avverkningsanmälan</t>
        </is>
      </c>
      <c r="C685" t="inlineStr">
        <is>
          <t>Föryngringsavverkning</t>
        </is>
      </c>
      <c r="D685" s="1" t="n">
        <v>46209</v>
      </c>
      <c r="E685" s="1" t="n">
        <v>46216</v>
      </c>
      <c r="F685" t="inlineStr">
        <is>
          <t>UPPSALA LÄN</t>
        </is>
      </c>
      <c r="G685" t="inlineStr">
        <is>
          <t>ÖSTHAMMAR</t>
        </is>
      </c>
      <c r="H685" t="inlineStr">
        <is>
          <t>Bergvik skog öst AB</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30189-2026</t>
        </is>
      </c>
      <c r="B686" t="inlineStr">
        <is>
          <t>avverkningsanmälan</t>
        </is>
      </c>
      <c r="C686" t="inlineStr">
        <is>
          <t>Föryngringsavverkning</t>
        </is>
      </c>
      <c r="D686" s="1" t="n">
        <v>46206</v>
      </c>
      <c r="E686" s="1" t="n">
        <v>46216</v>
      </c>
      <c r="F686" t="inlineStr">
        <is>
          <t>UPPSALA LÄN</t>
        </is>
      </c>
      <c r="G686" t="inlineStr">
        <is>
          <t>ÖSTHAMMAR</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6121-2024</t>
        </is>
      </c>
      <c r="B687" t="inlineStr">
        <is>
          <t>avverkningsanmälan</t>
        </is>
      </c>
      <c r="C687" t="inlineStr">
        <is>
          <t>Föryngringsavverkning</t>
        </is>
      </c>
      <c r="D687" s="1" t="n">
        <v>45337</v>
      </c>
      <c r="E687" s="1" t="n">
        <v>46216</v>
      </c>
      <c r="F687" t="inlineStr">
        <is>
          <t>UPPSALA LÄN</t>
        </is>
      </c>
      <c r="G687" t="inlineStr">
        <is>
          <t>ÖSTHAMMAR</t>
        </is>
      </c>
      <c r="I687" t="n">
        <v>0.4</v>
      </c>
      <c r="J687" t="n">
        <v>0</v>
      </c>
      <c r="K687" t="n">
        <v>0</v>
      </c>
      <c r="L687" t="n">
        <v>0</v>
      </c>
      <c r="M687" t="n">
        <v>0</v>
      </c>
      <c r="N687" t="n">
        <v>0</v>
      </c>
      <c r="O687" t="n">
        <v>0</v>
      </c>
      <c r="P687" t="n">
        <v>0</v>
      </c>
      <c r="Q687" t="n">
        <v>0</v>
      </c>
      <c r="R687" t="n">
        <v>0</v>
      </c>
      <c r="S687" t="n">
        <v>0</v>
      </c>
      <c r="T687" t="n">
        <v>0</v>
      </c>
      <c r="U687" s="2" t="inlineStr"/>
    </row>
    <row r="688" ht="15" customHeight="1">
      <c r="A688" t="inlineStr">
        <is>
          <t>A 62391-2022</t>
        </is>
      </c>
      <c r="B688" t="inlineStr">
        <is>
          <t>avverkningsanmälan</t>
        </is>
      </c>
      <c r="C688" t="inlineStr">
        <is>
          <t>Föryngringsavverkning</t>
        </is>
      </c>
      <c r="D688" s="1" t="n">
        <v>44923</v>
      </c>
      <c r="E688" s="1" t="n">
        <v>46216</v>
      </c>
      <c r="F688" t="inlineStr">
        <is>
          <t>UPPSALA LÄN</t>
        </is>
      </c>
      <c r="G688" t="inlineStr">
        <is>
          <t>ÖSTHAMMAR</t>
        </is>
      </c>
      <c r="H688" t="inlineStr">
        <is>
          <t>Bergvik skog öst AB</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54314-2023</t>
        </is>
      </c>
      <c r="B689" t="inlineStr">
        <is>
          <t>avverkningsanmälan</t>
        </is>
      </c>
      <c r="C689" t="inlineStr">
        <is>
          <t>Föryngringsavverkning</t>
        </is>
      </c>
      <c r="D689" s="1" t="n">
        <v>45225</v>
      </c>
      <c r="E689" s="1" t="n">
        <v>46216</v>
      </c>
      <c r="F689" t="inlineStr">
        <is>
          <t>UPPSALA LÄN</t>
        </is>
      </c>
      <c r="G689" t="inlineStr">
        <is>
          <t>ÖSTHAMMAR</t>
        </is>
      </c>
      <c r="I689" t="n">
        <v>5.1</v>
      </c>
      <c r="J689" t="n">
        <v>0</v>
      </c>
      <c r="K689" t="n">
        <v>0</v>
      </c>
      <c r="L689" t="n">
        <v>0</v>
      </c>
      <c r="M689" t="n">
        <v>0</v>
      </c>
      <c r="N689" t="n">
        <v>0</v>
      </c>
      <c r="O689" t="n">
        <v>0</v>
      </c>
      <c r="P689" t="n">
        <v>0</v>
      </c>
      <c r="Q689" t="n">
        <v>0</v>
      </c>
      <c r="R689" t="n">
        <v>0</v>
      </c>
      <c r="S689" t="n">
        <v>0</v>
      </c>
      <c r="T689" t="n">
        <v>0</v>
      </c>
      <c r="U689" s="2" t="inlineStr"/>
    </row>
    <row r="690" ht="15" customHeight="1">
      <c r="A690" t="inlineStr">
        <is>
          <t>A 30207-2026</t>
        </is>
      </c>
      <c r="B690" t="inlineStr">
        <is>
          <t>avverkningsanmälan</t>
        </is>
      </c>
      <c r="C690" t="inlineStr">
        <is>
          <t>Föryngringsavverkning</t>
        </is>
      </c>
      <c r="D690" s="1" t="n">
        <v>46206</v>
      </c>
      <c r="E690" s="1" t="n">
        <v>46216</v>
      </c>
      <c r="F690" t="inlineStr">
        <is>
          <t>UPPSALA LÄN</t>
        </is>
      </c>
      <c r="G690" t="inlineStr">
        <is>
          <t>ÖSTHAMMAR</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4233-2023</t>
        </is>
      </c>
      <c r="B691" t="inlineStr">
        <is>
          <t>avverkningsanmälan</t>
        </is>
      </c>
      <c r="C691" t="inlineStr">
        <is>
          <t>Föryngringsavverkning</t>
        </is>
      </c>
      <c r="D691" s="1" t="n">
        <v>44953</v>
      </c>
      <c r="E691" s="1" t="n">
        <v>46216</v>
      </c>
      <c r="F691" t="inlineStr">
        <is>
          <t>UPPSALA LÄN</t>
        </is>
      </c>
      <c r="G691" t="inlineStr">
        <is>
          <t>ÖSTHAMMAR</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30728-2026</t>
        </is>
      </c>
      <c r="B692" t="inlineStr">
        <is>
          <t>avverkningsanmälan</t>
        </is>
      </c>
      <c r="C692" t="inlineStr">
        <is>
          <t>Föryngringsavverkning</t>
        </is>
      </c>
      <c r="D692" s="1" t="n">
        <v>46211</v>
      </c>
      <c r="E692" s="1" t="n">
        <v>46216</v>
      </c>
      <c r="F692" t="inlineStr">
        <is>
          <t>UPPSALA LÄN</t>
        </is>
      </c>
      <c r="G692" t="inlineStr">
        <is>
          <t>ÖSTHAMMAR</t>
        </is>
      </c>
      <c r="H692" t="inlineStr">
        <is>
          <t>Övriga Aktiebolag</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73592-2021</t>
        </is>
      </c>
      <c r="B693" t="inlineStr">
        <is>
          <t>avverkningsanmälan</t>
        </is>
      </c>
      <c r="C693" t="inlineStr">
        <is>
          <t>Föryngringsavverkning</t>
        </is>
      </c>
      <c r="D693" s="1" t="n">
        <v>44552</v>
      </c>
      <c r="E693" s="1" t="n">
        <v>46216</v>
      </c>
      <c r="F693" t="inlineStr">
        <is>
          <t>UPPSALA LÄN</t>
        </is>
      </c>
      <c r="G693" t="inlineStr">
        <is>
          <t>ÖSTHAMMAR</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25938-2024</t>
        </is>
      </c>
      <c r="B694" t="inlineStr">
        <is>
          <t>avverkningsanmälan</t>
        </is>
      </c>
      <c r="C694" t="inlineStr">
        <is>
          <t>Föryngringsavverkning</t>
        </is>
      </c>
      <c r="D694" s="1" t="n">
        <v>45467</v>
      </c>
      <c r="E694" s="1" t="n">
        <v>46216</v>
      </c>
      <c r="F694" t="inlineStr">
        <is>
          <t>UPPSALA LÄN</t>
        </is>
      </c>
      <c r="G694" t="inlineStr">
        <is>
          <t>ÖSTHAMMAR</t>
        </is>
      </c>
      <c r="H694" t="inlineStr">
        <is>
          <t>Bergvik skog öst AB</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30680-2026</t>
        </is>
      </c>
      <c r="B695" t="inlineStr">
        <is>
          <t>avverkningsanmälan</t>
        </is>
      </c>
      <c r="C695" t="inlineStr">
        <is>
          <t>Föryngringsavverkning</t>
        </is>
      </c>
      <c r="D695" s="1" t="n">
        <v>46211</v>
      </c>
      <c r="E695" s="1" t="n">
        <v>46216</v>
      </c>
      <c r="F695" t="inlineStr">
        <is>
          <t>UPPSALA LÄN</t>
        </is>
      </c>
      <c r="G695" t="inlineStr">
        <is>
          <t>ÖSTHAMMAR</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35539-2023</t>
        </is>
      </c>
      <c r="B696" t="inlineStr">
        <is>
          <t>avverkningsanmälan</t>
        </is>
      </c>
      <c r="C696" t="inlineStr">
        <is>
          <t>Föryngringsavverkning</t>
        </is>
      </c>
      <c r="D696" s="1" t="n">
        <v>45147</v>
      </c>
      <c r="E696" s="1" t="n">
        <v>46216</v>
      </c>
      <c r="F696" t="inlineStr">
        <is>
          <t>UPPSALA LÄN</t>
        </is>
      </c>
      <c r="G696" t="inlineStr">
        <is>
          <t>ÖSTHAMMAR</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32744-2022</t>
        </is>
      </c>
      <c r="B697" t="inlineStr">
        <is>
          <t>avverkningsanmälan</t>
        </is>
      </c>
      <c r="C697" t="inlineStr">
        <is>
          <t>Föryngringsavverkning</t>
        </is>
      </c>
      <c r="D697" s="1" t="n">
        <v>44783</v>
      </c>
      <c r="E697" s="1" t="n">
        <v>46216</v>
      </c>
      <c r="F697" t="inlineStr">
        <is>
          <t>UPPSALA LÄN</t>
        </is>
      </c>
      <c r="G697" t="inlineStr">
        <is>
          <t>ÖSTHAMMAR</t>
        </is>
      </c>
      <c r="H697" t="inlineStr">
        <is>
          <t>Bergvik skog öst AB</t>
        </is>
      </c>
      <c r="I697" t="n">
        <v>3</v>
      </c>
      <c r="J697" t="n">
        <v>0</v>
      </c>
      <c r="K697" t="n">
        <v>0</v>
      </c>
      <c r="L697" t="n">
        <v>0</v>
      </c>
      <c r="M697" t="n">
        <v>0</v>
      </c>
      <c r="N697" t="n">
        <v>0</v>
      </c>
      <c r="O697" t="n">
        <v>0</v>
      </c>
      <c r="P697" t="n">
        <v>0</v>
      </c>
      <c r="Q697" t="n">
        <v>0</v>
      </c>
      <c r="R697" t="n">
        <v>0</v>
      </c>
      <c r="S697" t="n">
        <v>0</v>
      </c>
      <c r="T697" t="n">
        <v>0</v>
      </c>
      <c r="U697" s="2" t="inlineStr"/>
    </row>
    <row r="698" ht="15" customHeight="1">
      <c r="A698" t="inlineStr">
        <is>
          <t>A 30702-2026</t>
        </is>
      </c>
      <c r="B698" t="inlineStr">
        <is>
          <t>avverkningsanmälan</t>
        </is>
      </c>
      <c r="C698" t="inlineStr">
        <is>
          <t>Föryngringsavverkning</t>
        </is>
      </c>
      <c r="D698" s="1" t="n">
        <v>46211</v>
      </c>
      <c r="E698" s="1" t="n">
        <v>46216</v>
      </c>
      <c r="F698" t="inlineStr">
        <is>
          <t>UPPSALA LÄN</t>
        </is>
      </c>
      <c r="G698" t="inlineStr">
        <is>
          <t>ÖSTHAMMAR</t>
        </is>
      </c>
      <c r="H698" t="inlineStr">
        <is>
          <t>Bergvik skog öst AB</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8006-2023</t>
        </is>
      </c>
      <c r="B699" t="inlineStr">
        <is>
          <t>avverkningsanmälan</t>
        </is>
      </c>
      <c r="C699" t="inlineStr">
        <is>
          <t>Föryngringsavverkning</t>
        </is>
      </c>
      <c r="D699" s="1" t="n">
        <v>44973</v>
      </c>
      <c r="E699" s="1" t="n">
        <v>46216</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7543-2023</t>
        </is>
      </c>
      <c r="B700" t="inlineStr">
        <is>
          <t>avverkningsanmälan</t>
        </is>
      </c>
      <c r="C700" t="inlineStr">
        <is>
          <t>Föryngringsavverkning</t>
        </is>
      </c>
      <c r="D700" s="1" t="n">
        <v>44972</v>
      </c>
      <c r="E700" s="1" t="n">
        <v>46216</v>
      </c>
      <c r="F700" t="inlineStr">
        <is>
          <t>UPPSALA LÄN</t>
        </is>
      </c>
      <c r="G700" t="inlineStr">
        <is>
          <t>ÖSTHAMMAR</t>
        </is>
      </c>
      <c r="H700" t="inlineStr">
        <is>
          <t>Bergvik skog öst AB</t>
        </is>
      </c>
      <c r="I700" t="n">
        <v>13.3</v>
      </c>
      <c r="J700" t="n">
        <v>0</v>
      </c>
      <c r="K700" t="n">
        <v>0</v>
      </c>
      <c r="L700" t="n">
        <v>0</v>
      </c>
      <c r="M700" t="n">
        <v>0</v>
      </c>
      <c r="N700" t="n">
        <v>0</v>
      </c>
      <c r="O700" t="n">
        <v>0</v>
      </c>
      <c r="P700" t="n">
        <v>0</v>
      </c>
      <c r="Q700" t="n">
        <v>0</v>
      </c>
      <c r="R700" t="n">
        <v>0</v>
      </c>
      <c r="S700" t="n">
        <v>0</v>
      </c>
      <c r="T700" t="n">
        <v>0</v>
      </c>
      <c r="U700" s="2" t="inlineStr"/>
    </row>
    <row r="701" ht="15" customHeight="1">
      <c r="A701" t="inlineStr">
        <is>
          <t>A 4676-2025</t>
        </is>
      </c>
      <c r="B701" t="inlineStr">
        <is>
          <t>avverkningsanmälan</t>
        </is>
      </c>
      <c r="C701" t="inlineStr">
        <is>
          <t>Föryngringsavverkning</t>
        </is>
      </c>
      <c r="D701" s="1" t="n">
        <v>45687</v>
      </c>
      <c r="E701" s="1" t="n">
        <v>46216</v>
      </c>
      <c r="F701" t="inlineStr">
        <is>
          <t>UPPSALA LÄN</t>
        </is>
      </c>
      <c r="G701" t="inlineStr">
        <is>
          <t>ÖSTHAMMAR</t>
        </is>
      </c>
      <c r="I701" t="n">
        <v>3.7</v>
      </c>
      <c r="J701" t="n">
        <v>0</v>
      </c>
      <c r="K701" t="n">
        <v>0</v>
      </c>
      <c r="L701" t="n">
        <v>0</v>
      </c>
      <c r="M701" t="n">
        <v>0</v>
      </c>
      <c r="N701" t="n">
        <v>0</v>
      </c>
      <c r="O701" t="n">
        <v>0</v>
      </c>
      <c r="P701" t="n">
        <v>0</v>
      </c>
      <c r="Q701" t="n">
        <v>0</v>
      </c>
      <c r="R701" t="n">
        <v>0</v>
      </c>
      <c r="S701" t="n">
        <v>0</v>
      </c>
      <c r="T701" t="n">
        <v>0</v>
      </c>
      <c r="U701" s="2" t="inlineStr"/>
    </row>
    <row r="702" ht="15" customHeight="1">
      <c r="A702" t="inlineStr">
        <is>
          <t>A 24259-2022</t>
        </is>
      </c>
      <c r="B702" t="inlineStr">
        <is>
          <t>avverkningsanmälan</t>
        </is>
      </c>
      <c r="C702" t="inlineStr">
        <is>
          <t>Föryngringsavverkning</t>
        </is>
      </c>
      <c r="D702" s="1" t="n">
        <v>44725</v>
      </c>
      <c r="E702" s="1" t="n">
        <v>46216</v>
      </c>
      <c r="F702" t="inlineStr">
        <is>
          <t>UPPSALA LÄN</t>
        </is>
      </c>
      <c r="G702" t="inlineStr">
        <is>
          <t>ÖSTHAMMAR</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18113-2023</t>
        </is>
      </c>
      <c r="B703" t="inlineStr">
        <is>
          <t>avverkningsanmälan</t>
        </is>
      </c>
      <c r="C703" t="inlineStr">
        <is>
          <t>Föryngringsavverkning</t>
        </is>
      </c>
      <c r="D703" s="1" t="n">
        <v>45040</v>
      </c>
      <c r="E703" s="1" t="n">
        <v>46216</v>
      </c>
      <c r="F703" t="inlineStr">
        <is>
          <t>UPPSALA LÄN</t>
        </is>
      </c>
      <c r="G703" t="inlineStr">
        <is>
          <t>ÖSTHAMMAR</t>
        </is>
      </c>
      <c r="I703" t="n">
        <v>2.1</v>
      </c>
      <c r="J703" t="n">
        <v>0</v>
      </c>
      <c r="K703" t="n">
        <v>0</v>
      </c>
      <c r="L703" t="n">
        <v>0</v>
      </c>
      <c r="M703" t="n">
        <v>0</v>
      </c>
      <c r="N703" t="n">
        <v>0</v>
      </c>
      <c r="O703" t="n">
        <v>0</v>
      </c>
      <c r="P703" t="n">
        <v>0</v>
      </c>
      <c r="Q703" t="n">
        <v>0</v>
      </c>
      <c r="R703" t="n">
        <v>0</v>
      </c>
      <c r="S703" t="n">
        <v>0</v>
      </c>
      <c r="T703" t="n">
        <v>0</v>
      </c>
      <c r="U703" s="2" t="inlineStr"/>
    </row>
    <row r="704" ht="15" customHeight="1">
      <c r="A704" t="inlineStr">
        <is>
          <t>A 61216-2022</t>
        </is>
      </c>
      <c r="B704" t="inlineStr">
        <is>
          <t>avverkningsanmälan</t>
        </is>
      </c>
      <c r="C704" t="inlineStr">
        <is>
          <t>Föryngringsavverkning</t>
        </is>
      </c>
      <c r="D704" s="1" t="n">
        <v>44915</v>
      </c>
      <c r="E704" s="1" t="n">
        <v>46216</v>
      </c>
      <c r="F704" t="inlineStr">
        <is>
          <t>UPPSALA LÄN</t>
        </is>
      </c>
      <c r="G704" t="inlineStr">
        <is>
          <t>ÖSTHAMMAR</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27660-2023</t>
        </is>
      </c>
      <c r="B705" t="inlineStr">
        <is>
          <t>avverkningsanmälan</t>
        </is>
      </c>
      <c r="C705" t="inlineStr">
        <is>
          <t>Föryngringsavverkning</t>
        </is>
      </c>
      <c r="D705" s="1" t="n">
        <v>45097</v>
      </c>
      <c r="E705" s="1" t="n">
        <v>46216</v>
      </c>
      <c r="F705" t="inlineStr">
        <is>
          <t>UPPSALA LÄN</t>
        </is>
      </c>
      <c r="G705" t="inlineStr">
        <is>
          <t>ÖSTHAMMAR</t>
        </is>
      </c>
      <c r="I705" t="n">
        <v>2.8</v>
      </c>
      <c r="J705" t="n">
        <v>0</v>
      </c>
      <c r="K705" t="n">
        <v>0</v>
      </c>
      <c r="L705" t="n">
        <v>0</v>
      </c>
      <c r="M705" t="n">
        <v>0</v>
      </c>
      <c r="N705" t="n">
        <v>0</v>
      </c>
      <c r="O705" t="n">
        <v>0</v>
      </c>
      <c r="P705" t="n">
        <v>0</v>
      </c>
      <c r="Q705" t="n">
        <v>0</v>
      </c>
      <c r="R705" t="n">
        <v>0</v>
      </c>
      <c r="S705" t="n">
        <v>0</v>
      </c>
      <c r="T705" t="n">
        <v>0</v>
      </c>
      <c r="U705" s="2" t="inlineStr"/>
    </row>
    <row r="706" ht="15" customHeight="1">
      <c r="A706" t="inlineStr">
        <is>
          <t>A 69411-2021</t>
        </is>
      </c>
      <c r="B706" t="inlineStr">
        <is>
          <t>avverkningsanmälan</t>
        </is>
      </c>
      <c r="C706" t="inlineStr">
        <is>
          <t>Föryngringsavverkning</t>
        </is>
      </c>
      <c r="D706" s="1" t="n">
        <v>44531</v>
      </c>
      <c r="E706" s="1" t="n">
        <v>46216</v>
      </c>
      <c r="F706" t="inlineStr">
        <is>
          <t>UPPSALA LÄN</t>
        </is>
      </c>
      <c r="G706" t="inlineStr">
        <is>
          <t>ÖSTHAMMAR</t>
        </is>
      </c>
      <c r="H706" t="inlineStr">
        <is>
          <t>Bergvik skog öst AB</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26303-2024</t>
        </is>
      </c>
      <c r="B707" t="inlineStr">
        <is>
          <t>avverkningsanmälan</t>
        </is>
      </c>
      <c r="C707" t="inlineStr">
        <is>
          <t>Föryngringsavverkning</t>
        </is>
      </c>
      <c r="D707" s="1" t="n">
        <v>45468</v>
      </c>
      <c r="E707" s="1" t="n">
        <v>46216</v>
      </c>
      <c r="F707" t="inlineStr">
        <is>
          <t>UPPSALA LÄN</t>
        </is>
      </c>
      <c r="G707" t="inlineStr">
        <is>
          <t>ÖSTHAMMAR</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60577-2021</t>
        </is>
      </c>
      <c r="B708" t="inlineStr">
        <is>
          <t>avverkningsanmälan</t>
        </is>
      </c>
      <c r="C708" t="inlineStr">
        <is>
          <t>Föryngringsavverkning</t>
        </is>
      </c>
      <c r="D708" s="1" t="n">
        <v>44496</v>
      </c>
      <c r="E708" s="1" t="n">
        <v>46216</v>
      </c>
      <c r="F708" t="inlineStr">
        <is>
          <t>UPPSALA LÄN</t>
        </is>
      </c>
      <c r="G708" t="inlineStr">
        <is>
          <t>ÖSTHAMMAR</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1791-2023</t>
        </is>
      </c>
      <c r="B709" t="inlineStr">
        <is>
          <t>avverkningsanmälan</t>
        </is>
      </c>
      <c r="C709" t="inlineStr">
        <is>
          <t>Föryngringsavverkning</t>
        </is>
      </c>
      <c r="D709" s="1" t="n">
        <v>44938</v>
      </c>
      <c r="E709" s="1" t="n">
        <v>46216</v>
      </c>
      <c r="F709" t="inlineStr">
        <is>
          <t>UPPSALA LÄN</t>
        </is>
      </c>
      <c r="G709" t="inlineStr">
        <is>
          <t>ÖSTHAMMAR</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49796-2024</t>
        </is>
      </c>
      <c r="B710" t="inlineStr">
        <is>
          <t>avverkningsanmälan</t>
        </is>
      </c>
      <c r="C710" t="inlineStr">
        <is>
          <t>Föryngringsavverkning</t>
        </is>
      </c>
      <c r="D710" s="1" t="n">
        <v>45597</v>
      </c>
      <c r="E710" s="1" t="n">
        <v>46216</v>
      </c>
      <c r="F710" t="inlineStr">
        <is>
          <t>UPPSALA LÄN</t>
        </is>
      </c>
      <c r="G710" t="inlineStr">
        <is>
          <t>ÖSTHAMMAR</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42262-2024</t>
        </is>
      </c>
      <c r="B711" t="inlineStr">
        <is>
          <t>avverkningsanmälan</t>
        </is>
      </c>
      <c r="C711" t="inlineStr">
        <is>
          <t>Föryngringsavverkning</t>
        </is>
      </c>
      <c r="D711" s="1" t="n">
        <v>45562</v>
      </c>
      <c r="E711" s="1" t="n">
        <v>46216</v>
      </c>
      <c r="F711" t="inlineStr">
        <is>
          <t>UPPSALA LÄN</t>
        </is>
      </c>
      <c r="G711" t="inlineStr">
        <is>
          <t>ÖSTHAMMAR</t>
        </is>
      </c>
      <c r="H711" t="inlineStr">
        <is>
          <t>Bergvik skog öst AB</t>
        </is>
      </c>
      <c r="I711" t="n">
        <v>1.7</v>
      </c>
      <c r="J711" t="n">
        <v>0</v>
      </c>
      <c r="K711" t="n">
        <v>0</v>
      </c>
      <c r="L711" t="n">
        <v>0</v>
      </c>
      <c r="M711" t="n">
        <v>0</v>
      </c>
      <c r="N711" t="n">
        <v>0</v>
      </c>
      <c r="O711" t="n">
        <v>0</v>
      </c>
      <c r="P711" t="n">
        <v>0</v>
      </c>
      <c r="Q711" t="n">
        <v>0</v>
      </c>
      <c r="R711" t="n">
        <v>0</v>
      </c>
      <c r="S711" t="n">
        <v>0</v>
      </c>
      <c r="T711" t="n">
        <v>0</v>
      </c>
      <c r="U711" s="2" t="inlineStr"/>
    </row>
    <row r="712" ht="15" customHeight="1">
      <c r="A712" t="inlineStr">
        <is>
          <t>A 36954-2024</t>
        </is>
      </c>
      <c r="B712" t="inlineStr">
        <is>
          <t>avverkningsanmälan</t>
        </is>
      </c>
      <c r="C712" t="inlineStr">
        <is>
          <t>Föryngringsavverkning</t>
        </is>
      </c>
      <c r="D712" s="1" t="n">
        <v>45538</v>
      </c>
      <c r="E712" s="1" t="n">
        <v>46216</v>
      </c>
      <c r="F712" t="inlineStr">
        <is>
          <t>UPPSALA LÄN</t>
        </is>
      </c>
      <c r="G712" t="inlineStr">
        <is>
          <t>ÖSTHAMMAR</t>
        </is>
      </c>
      <c r="H712" t="inlineStr">
        <is>
          <t>Bergvik skog öst AB</t>
        </is>
      </c>
      <c r="I712" t="n">
        <v>5.1</v>
      </c>
      <c r="J712" t="n">
        <v>0</v>
      </c>
      <c r="K712" t="n">
        <v>0</v>
      </c>
      <c r="L712" t="n">
        <v>0</v>
      </c>
      <c r="M712" t="n">
        <v>0</v>
      </c>
      <c r="N712" t="n">
        <v>0</v>
      </c>
      <c r="O712" t="n">
        <v>0</v>
      </c>
      <c r="P712" t="n">
        <v>0</v>
      </c>
      <c r="Q712" t="n">
        <v>0</v>
      </c>
      <c r="R712" t="n">
        <v>0</v>
      </c>
      <c r="S712" t="n">
        <v>0</v>
      </c>
      <c r="T712" t="n">
        <v>0</v>
      </c>
      <c r="U712" s="2" t="inlineStr"/>
    </row>
    <row r="713" ht="15" customHeight="1">
      <c r="A713" t="inlineStr">
        <is>
          <t>A 33685-2024</t>
        </is>
      </c>
      <c r="B713" t="inlineStr">
        <is>
          <t>avverkningsanmälan</t>
        </is>
      </c>
      <c r="C713" t="inlineStr">
        <is>
          <t>Föryngringsavverkning</t>
        </is>
      </c>
      <c r="D713" s="1" t="n">
        <v>45520</v>
      </c>
      <c r="E713" s="1" t="n">
        <v>46216</v>
      </c>
      <c r="F713" t="inlineStr">
        <is>
          <t>UPPSALA LÄN</t>
        </is>
      </c>
      <c r="G713" t="inlineStr">
        <is>
          <t>ÖSTHAMMAR</t>
        </is>
      </c>
      <c r="H713" t="inlineStr">
        <is>
          <t>Bergvik skog öst AB</t>
        </is>
      </c>
      <c r="I713" t="n">
        <v>3.8</v>
      </c>
      <c r="J713" t="n">
        <v>0</v>
      </c>
      <c r="K713" t="n">
        <v>0</v>
      </c>
      <c r="L713" t="n">
        <v>0</v>
      </c>
      <c r="M713" t="n">
        <v>0</v>
      </c>
      <c r="N713" t="n">
        <v>0</v>
      </c>
      <c r="O713" t="n">
        <v>0</v>
      </c>
      <c r="P713" t="n">
        <v>0</v>
      </c>
      <c r="Q713" t="n">
        <v>0</v>
      </c>
      <c r="R713" t="n">
        <v>0</v>
      </c>
      <c r="S713" t="n">
        <v>0</v>
      </c>
      <c r="T713" t="n">
        <v>0</v>
      </c>
      <c r="U713" s="2" t="inlineStr"/>
    </row>
    <row r="714" ht="15" customHeight="1">
      <c r="A714" t="inlineStr">
        <is>
          <t>A 43655-2024</t>
        </is>
      </c>
      <c r="B714" t="inlineStr">
        <is>
          <t>avverkningsanmälan</t>
        </is>
      </c>
      <c r="C714" t="inlineStr">
        <is>
          <t>Föryngringsavverkning</t>
        </is>
      </c>
      <c r="D714" s="1" t="n">
        <v>45569</v>
      </c>
      <c r="E714" s="1" t="n">
        <v>46216</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14595-2023</t>
        </is>
      </c>
      <c r="B715" t="inlineStr">
        <is>
          <t>avverkningsanmälan</t>
        </is>
      </c>
      <c r="C715" t="inlineStr">
        <is>
          <t>Föryngringsavverkning</t>
        </is>
      </c>
      <c r="D715" s="1" t="n">
        <v>45013</v>
      </c>
      <c r="E715" s="1" t="n">
        <v>46216</v>
      </c>
      <c r="F715" t="inlineStr">
        <is>
          <t>UPPSALA LÄN</t>
        </is>
      </c>
      <c r="G715" t="inlineStr">
        <is>
          <t>ÖSTHAMMAR</t>
        </is>
      </c>
      <c r="I715" t="n">
        <v>5</v>
      </c>
      <c r="J715" t="n">
        <v>0</v>
      </c>
      <c r="K715" t="n">
        <v>0</v>
      </c>
      <c r="L715" t="n">
        <v>0</v>
      </c>
      <c r="M715" t="n">
        <v>0</v>
      </c>
      <c r="N715" t="n">
        <v>0</v>
      </c>
      <c r="O715" t="n">
        <v>0</v>
      </c>
      <c r="P715" t="n">
        <v>0</v>
      </c>
      <c r="Q715" t="n">
        <v>0</v>
      </c>
      <c r="R715" t="n">
        <v>0</v>
      </c>
      <c r="S715" t="n">
        <v>0</v>
      </c>
      <c r="T715" t="n">
        <v>0</v>
      </c>
      <c r="U715" s="2" t="inlineStr"/>
    </row>
    <row r="716" ht="15" customHeight="1">
      <c r="A716" t="inlineStr">
        <is>
          <t>A 38575-2024</t>
        </is>
      </c>
      <c r="B716" t="inlineStr">
        <is>
          <t>avverkningsanmälan</t>
        </is>
      </c>
      <c r="C716" t="inlineStr">
        <is>
          <t>Föryngringsavverkning</t>
        </is>
      </c>
      <c r="D716" s="1" t="n">
        <v>45546</v>
      </c>
      <c r="E716" s="1" t="n">
        <v>46216</v>
      </c>
      <c r="F716" t="inlineStr">
        <is>
          <t>UPPSALA LÄN</t>
        </is>
      </c>
      <c r="G716" t="inlineStr">
        <is>
          <t>ÖSTHAMMAR</t>
        </is>
      </c>
      <c r="H716" t="inlineStr">
        <is>
          <t>Bergvik skog öst AB</t>
        </is>
      </c>
      <c r="I716" t="n">
        <v>5.1</v>
      </c>
      <c r="J716" t="n">
        <v>0</v>
      </c>
      <c r="K716" t="n">
        <v>0</v>
      </c>
      <c r="L716" t="n">
        <v>0</v>
      </c>
      <c r="M716" t="n">
        <v>0</v>
      </c>
      <c r="N716" t="n">
        <v>0</v>
      </c>
      <c r="O716" t="n">
        <v>0</v>
      </c>
      <c r="P716" t="n">
        <v>0</v>
      </c>
      <c r="Q716" t="n">
        <v>0</v>
      </c>
      <c r="R716" t="n">
        <v>0</v>
      </c>
      <c r="S716" t="n">
        <v>0</v>
      </c>
      <c r="T716" t="n">
        <v>0</v>
      </c>
      <c r="U716" s="2" t="inlineStr"/>
    </row>
    <row r="717" ht="15" customHeight="1">
      <c r="A717" t="inlineStr">
        <is>
          <t>A 43685-2024</t>
        </is>
      </c>
      <c r="B717" t="inlineStr">
        <is>
          <t>avverkningsanmälan</t>
        </is>
      </c>
      <c r="C717" t="inlineStr">
        <is>
          <t>Föryngringsavverkning</t>
        </is>
      </c>
      <c r="D717" s="1" t="n">
        <v>45569</v>
      </c>
      <c r="E717" s="1" t="n">
        <v>46216</v>
      </c>
      <c r="F717" t="inlineStr">
        <is>
          <t>UPPSALA LÄN</t>
        </is>
      </c>
      <c r="G717" t="inlineStr">
        <is>
          <t>ÖSTHAMMAR</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44796-2024</t>
        </is>
      </c>
      <c r="B718" t="inlineStr">
        <is>
          <t>avverkningsanmälan</t>
        </is>
      </c>
      <c r="C718" t="inlineStr">
        <is>
          <t>Avverkning för annat ändamål</t>
        </is>
      </c>
      <c r="D718" s="1" t="n">
        <v>45574</v>
      </c>
      <c r="E718" s="1" t="n">
        <v>46216</v>
      </c>
      <c r="F718" t="inlineStr">
        <is>
          <t>UPPSALA LÄN</t>
        </is>
      </c>
      <c r="G718" t="inlineStr">
        <is>
          <t>ÖSTHAMMAR</t>
        </is>
      </c>
      <c r="I718" t="n">
        <v>4.7</v>
      </c>
      <c r="J718" t="n">
        <v>0</v>
      </c>
      <c r="K718" t="n">
        <v>0</v>
      </c>
      <c r="L718" t="n">
        <v>0</v>
      </c>
      <c r="M718" t="n">
        <v>0</v>
      </c>
      <c r="N718" t="n">
        <v>0</v>
      </c>
      <c r="O718" t="n">
        <v>0</v>
      </c>
      <c r="P718" t="n">
        <v>0</v>
      </c>
      <c r="Q718" t="n">
        <v>0</v>
      </c>
      <c r="R718" t="n">
        <v>0</v>
      </c>
      <c r="S718" t="n">
        <v>0</v>
      </c>
      <c r="T718" t="n">
        <v>0</v>
      </c>
      <c r="U718" s="2" t="inlineStr"/>
    </row>
    <row r="719" ht="15" customHeight="1">
      <c r="A719" t="inlineStr">
        <is>
          <t>A 44027-2024</t>
        </is>
      </c>
      <c r="B719" t="inlineStr">
        <is>
          <t>avverkningsanmälan</t>
        </is>
      </c>
      <c r="C719" t="inlineStr">
        <is>
          <t>Föryngringsavverkning</t>
        </is>
      </c>
      <c r="D719" s="1" t="n">
        <v>45572</v>
      </c>
      <c r="E719" s="1" t="n">
        <v>46216</v>
      </c>
      <c r="F719" t="inlineStr">
        <is>
          <t>UPPSALA LÄN</t>
        </is>
      </c>
      <c r="G719" t="inlineStr">
        <is>
          <t>ÖSTHAMMAR</t>
        </is>
      </c>
      <c r="I719" t="n">
        <v>6</v>
      </c>
      <c r="J719" t="n">
        <v>0</v>
      </c>
      <c r="K719" t="n">
        <v>0</v>
      </c>
      <c r="L719" t="n">
        <v>0</v>
      </c>
      <c r="M719" t="n">
        <v>0</v>
      </c>
      <c r="N719" t="n">
        <v>0</v>
      </c>
      <c r="O719" t="n">
        <v>0</v>
      </c>
      <c r="P719" t="n">
        <v>0</v>
      </c>
      <c r="Q719" t="n">
        <v>0</v>
      </c>
      <c r="R719" t="n">
        <v>0</v>
      </c>
      <c r="S719" t="n">
        <v>0</v>
      </c>
      <c r="T719" t="n">
        <v>0</v>
      </c>
      <c r="U719" s="2" t="inlineStr"/>
    </row>
    <row r="720" ht="15" customHeight="1">
      <c r="A720" t="inlineStr">
        <is>
          <t>A 5931-2022</t>
        </is>
      </c>
      <c r="B720" t="inlineStr">
        <is>
          <t>avverkningsanmälan</t>
        </is>
      </c>
      <c r="C720" t="inlineStr">
        <is>
          <t>Föryngringsavverkning</t>
        </is>
      </c>
      <c r="D720" s="1" t="n">
        <v>44598</v>
      </c>
      <c r="E720" s="1" t="n">
        <v>46216</v>
      </c>
      <c r="F720" t="inlineStr">
        <is>
          <t>UPPSALA LÄN</t>
        </is>
      </c>
      <c r="G720" t="inlineStr">
        <is>
          <t>ÖSTHAMMAR</t>
        </is>
      </c>
      <c r="H720" t="inlineStr">
        <is>
          <t>Bergvik skog öst AB</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43683-2024</t>
        </is>
      </c>
      <c r="B721" t="inlineStr">
        <is>
          <t>avverkningsanmälan</t>
        </is>
      </c>
      <c r="C721" t="inlineStr">
        <is>
          <t>Föryngringsavverkning</t>
        </is>
      </c>
      <c r="D721" s="1" t="n">
        <v>45569</v>
      </c>
      <c r="E721" s="1" t="n">
        <v>46216</v>
      </c>
      <c r="F721" t="inlineStr">
        <is>
          <t>UPPSALA LÄN</t>
        </is>
      </c>
      <c r="G721" t="inlineStr">
        <is>
          <t>ÖSTHAMMAR</t>
        </is>
      </c>
      <c r="I721" t="n">
        <v>4.7</v>
      </c>
      <c r="J721" t="n">
        <v>0</v>
      </c>
      <c r="K721" t="n">
        <v>0</v>
      </c>
      <c r="L721" t="n">
        <v>0</v>
      </c>
      <c r="M721" t="n">
        <v>0</v>
      </c>
      <c r="N721" t="n">
        <v>0</v>
      </c>
      <c r="O721" t="n">
        <v>0</v>
      </c>
      <c r="P721" t="n">
        <v>0</v>
      </c>
      <c r="Q721" t="n">
        <v>0</v>
      </c>
      <c r="R721" t="n">
        <v>0</v>
      </c>
      <c r="S721" t="n">
        <v>0</v>
      </c>
      <c r="T721" t="n">
        <v>0</v>
      </c>
      <c r="U721" s="2" t="inlineStr"/>
    </row>
    <row r="722" ht="15" customHeight="1">
      <c r="A722" t="inlineStr">
        <is>
          <t>A 43993-2024</t>
        </is>
      </c>
      <c r="B722" t="inlineStr">
        <is>
          <t>avverkningsanmälan</t>
        </is>
      </c>
      <c r="C722" t="inlineStr">
        <is>
          <t>Föryngringsavverkning</t>
        </is>
      </c>
      <c r="D722" s="1" t="n">
        <v>45572</v>
      </c>
      <c r="E722" s="1" t="n">
        <v>46216</v>
      </c>
      <c r="F722" t="inlineStr">
        <is>
          <t>UPPSALA LÄN</t>
        </is>
      </c>
      <c r="G722" t="inlineStr">
        <is>
          <t>ÖSTHAMMAR</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59291-2023</t>
        </is>
      </c>
      <c r="B723" t="inlineStr">
        <is>
          <t>avverkningsanmälan</t>
        </is>
      </c>
      <c r="C723" t="inlineStr">
        <is>
          <t>Föryngringsavverkning</t>
        </is>
      </c>
      <c r="D723" s="1" t="n">
        <v>45253</v>
      </c>
      <c r="E723" s="1" t="n">
        <v>46216</v>
      </c>
      <c r="F723" t="inlineStr">
        <is>
          <t>UPPSALA LÄN</t>
        </is>
      </c>
      <c r="G723" t="inlineStr">
        <is>
          <t>ÖSTHAMMAR</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1584-2025</t>
        </is>
      </c>
      <c r="B724" t="inlineStr">
        <is>
          <t>avverkningsanmälan</t>
        </is>
      </c>
      <c r="C724" t="inlineStr">
        <is>
          <t>Föryngringsavverkning</t>
        </is>
      </c>
      <c r="D724" s="1" t="n">
        <v>45670</v>
      </c>
      <c r="E724" s="1" t="n">
        <v>46216</v>
      </c>
      <c r="F724" t="inlineStr">
        <is>
          <t>UPPSALA LÄN</t>
        </is>
      </c>
      <c r="G724" t="inlineStr">
        <is>
          <t>ÖSTHAMMAR</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30972-2024</t>
        </is>
      </c>
      <c r="B725" t="inlineStr">
        <is>
          <t>avverkningsanmälan</t>
        </is>
      </c>
      <c r="C725" t="inlineStr">
        <is>
          <t>Föryngringsavverkning</t>
        </is>
      </c>
      <c r="D725" s="1" t="n">
        <v>45499</v>
      </c>
      <c r="E725" s="1" t="n">
        <v>46216</v>
      </c>
      <c r="F725" t="inlineStr">
        <is>
          <t>UPPSALA LÄN</t>
        </is>
      </c>
      <c r="G725" t="inlineStr">
        <is>
          <t>ÖSTHAMMAR</t>
        </is>
      </c>
      <c r="H725" t="inlineStr">
        <is>
          <t>Bergvik skog öst AB</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24160-2024</t>
        </is>
      </c>
      <c r="B726" t="inlineStr">
        <is>
          <t>avverkningsanmälan</t>
        </is>
      </c>
      <c r="C726" t="inlineStr">
        <is>
          <t>Föryngringsavverkning</t>
        </is>
      </c>
      <c r="D726" s="1" t="n">
        <v>45456</v>
      </c>
      <c r="E726" s="1" t="n">
        <v>46216</v>
      </c>
      <c r="F726" t="inlineStr">
        <is>
          <t>UPPSALA LÄN</t>
        </is>
      </c>
      <c r="G726" t="inlineStr">
        <is>
          <t>ÖSTHAMMAR</t>
        </is>
      </c>
      <c r="H726" t="inlineStr">
        <is>
          <t>Bergvik skog öst AB</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24415-2025</t>
        </is>
      </c>
      <c r="B727" t="inlineStr">
        <is>
          <t>avverkningsanmälan</t>
        </is>
      </c>
      <c r="C727" t="inlineStr">
        <is>
          <t>Föryngringsavverkning</t>
        </is>
      </c>
      <c r="D727" s="1" t="n">
        <v>45797</v>
      </c>
      <c r="E727" s="1" t="n">
        <v>46216</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S 457-2023</t>
        </is>
      </c>
      <c r="B728" t="inlineStr">
        <is>
          <t>samrådsanmälan</t>
        </is>
      </c>
      <c r="C728" t="inlineStr">
        <is>
          <t>Annan skogsbruksåtgärd</t>
        </is>
      </c>
      <c r="D728" s="1" t="n">
        <v>44964</v>
      </c>
      <c r="E728" s="1" t="n">
        <v>46216</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S 1925-2023</t>
        </is>
      </c>
      <c r="B729" t="inlineStr">
        <is>
          <t>samrådsanmälan</t>
        </is>
      </c>
      <c r="C729" t="inlineStr">
        <is>
          <t>Annan skogsbruksåtgärd</t>
        </is>
      </c>
      <c r="D729" s="1" t="n">
        <v>45078</v>
      </c>
      <c r="E729" s="1" t="n">
        <v>46216</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S 1620-2024</t>
        </is>
      </c>
      <c r="B730" t="inlineStr">
        <is>
          <t>samrådsanmälan</t>
        </is>
      </c>
      <c r="C730" t="inlineStr">
        <is>
          <t>Annan skogsbruksåtgärd</t>
        </is>
      </c>
      <c r="D730" s="1" t="n">
        <v>45428</v>
      </c>
      <c r="E730" s="1" t="n">
        <v>46216</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s="2" t="inlineStr"/>
    </row>
    <row r="731" ht="15" customHeight="1">
      <c r="A731" t="inlineStr">
        <is>
          <t>S 1619-2024</t>
        </is>
      </c>
      <c r="B731" t="inlineStr">
        <is>
          <t>samrådsanmälan</t>
        </is>
      </c>
      <c r="C731" t="inlineStr">
        <is>
          <t>Annan skogsbruksåtgärd</t>
        </is>
      </c>
      <c r="D731" s="1" t="n">
        <v>45428</v>
      </c>
      <c r="E731" s="1" t="n">
        <v>46216</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s="2" t="inlineStr"/>
    </row>
    <row r="732" ht="15" customHeight="1">
      <c r="A732" t="inlineStr">
        <is>
          <t>S 3374-2022</t>
        </is>
      </c>
      <c r="B732" t="inlineStr">
        <is>
          <t>samrådsanmälan</t>
        </is>
      </c>
      <c r="C732" t="inlineStr">
        <is>
          <t>Skogsbilväg</t>
        </is>
      </c>
      <c r="D732" s="1" t="n">
        <v>44729</v>
      </c>
      <c r="E732" s="1" t="n">
        <v>46216</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S 1090-2024</t>
        </is>
      </c>
      <c r="B733" t="inlineStr">
        <is>
          <t>samrådsanmälan</t>
        </is>
      </c>
      <c r="C733" t="inlineStr">
        <is>
          <t>Annan skogsbruksåtgärd</t>
        </is>
      </c>
      <c r="D733" s="1" t="n">
        <v>45390</v>
      </c>
      <c r="E733" s="1" t="n">
        <v>46216</v>
      </c>
      <c r="F733" t="inlineStr">
        <is>
          <t>UPPSALA LÄN</t>
        </is>
      </c>
      <c r="G733" t="inlineStr">
        <is>
          <t>ÖSTHAMMAR</t>
        </is>
      </c>
      <c r="H733" t="inlineStr">
        <is>
          <t>Bergvik skog öst AB</t>
        </is>
      </c>
      <c r="I733" t="n">
        <v>2.2</v>
      </c>
      <c r="J733" t="n">
        <v>0</v>
      </c>
      <c r="K733" t="n">
        <v>0</v>
      </c>
      <c r="L733" t="n">
        <v>0</v>
      </c>
      <c r="M733" t="n">
        <v>0</v>
      </c>
      <c r="N733" t="n">
        <v>0</v>
      </c>
      <c r="O733" t="n">
        <v>0</v>
      </c>
      <c r="P733" t="n">
        <v>0</v>
      </c>
      <c r="Q733" t="n">
        <v>0</v>
      </c>
      <c r="R733" t="n">
        <v>0</v>
      </c>
      <c r="S733" t="n">
        <v>0</v>
      </c>
      <c r="T733" t="n">
        <v>0</v>
      </c>
      <c r="U733" s="2" t="inlineStr"/>
    </row>
    <row r="734" ht="15" customHeight="1">
      <c r="A734" t="inlineStr">
        <is>
          <t>S 2054-2022</t>
        </is>
      </c>
      <c r="B734" t="inlineStr">
        <is>
          <t>samrådsanmälan</t>
        </is>
      </c>
      <c r="C734" t="inlineStr">
        <is>
          <t>Annan skogsbruksåtgärd</t>
        </is>
      </c>
      <c r="D734" s="1" t="n">
        <v>44672</v>
      </c>
      <c r="E734" s="1" t="n">
        <v>46216</v>
      </c>
      <c r="F734" t="inlineStr">
        <is>
          <t>UPPSALA LÄN</t>
        </is>
      </c>
      <c r="G734" t="inlineStr">
        <is>
          <t>ÖSTHAMMAR</t>
        </is>
      </c>
      <c r="I734" t="n">
        <v>4.4</v>
      </c>
      <c r="J734" t="n">
        <v>0</v>
      </c>
      <c r="K734" t="n">
        <v>0</v>
      </c>
      <c r="L734" t="n">
        <v>0</v>
      </c>
      <c r="M734" t="n">
        <v>0</v>
      </c>
      <c r="N734" t="n">
        <v>0</v>
      </c>
      <c r="O734" t="n">
        <v>0</v>
      </c>
      <c r="P734" t="n">
        <v>0</v>
      </c>
      <c r="Q734" t="n">
        <v>0</v>
      </c>
      <c r="R734" t="n">
        <v>0</v>
      </c>
      <c r="S734" t="n">
        <v>0</v>
      </c>
      <c r="T734" t="n">
        <v>0</v>
      </c>
      <c r="U734" s="2" t="inlineStr"/>
    </row>
    <row r="735" ht="15" customHeight="1">
      <c r="A735" t="inlineStr">
        <is>
          <t>S 3110-2023</t>
        </is>
      </c>
      <c r="B735" t="inlineStr">
        <is>
          <t>samrådsanmälan</t>
        </is>
      </c>
      <c r="C735" t="inlineStr">
        <is>
          <t>Annan skogsbruksåtgärd</t>
        </is>
      </c>
      <c r="D735" s="1" t="n">
        <v>45182</v>
      </c>
      <c r="E735" s="1" t="n">
        <v>46216</v>
      </c>
      <c r="F735" t="inlineStr">
        <is>
          <t>UPPSALA LÄN</t>
        </is>
      </c>
      <c r="G735" t="inlineStr">
        <is>
          <t>ÖSTHAMMAR</t>
        </is>
      </c>
      <c r="H735" t="inlineStr">
        <is>
          <t>Bergvik skog öst AB</t>
        </is>
      </c>
      <c r="I735" t="n">
        <v>3.8</v>
      </c>
      <c r="J735" t="n">
        <v>0</v>
      </c>
      <c r="K735" t="n">
        <v>0</v>
      </c>
      <c r="L735" t="n">
        <v>0</v>
      </c>
      <c r="M735" t="n">
        <v>0</v>
      </c>
      <c r="N735" t="n">
        <v>0</v>
      </c>
      <c r="O735" t="n">
        <v>0</v>
      </c>
      <c r="P735" t="n">
        <v>0</v>
      </c>
      <c r="Q735" t="n">
        <v>0</v>
      </c>
      <c r="R735" t="n">
        <v>0</v>
      </c>
      <c r="S735" t="n">
        <v>0</v>
      </c>
      <c r="T735" t="n">
        <v>0</v>
      </c>
      <c r="U735" s="2" t="inlineStr"/>
    </row>
    <row r="736" ht="15" customHeight="1">
      <c r="A736" t="inlineStr">
        <is>
          <t>S 2611-2025</t>
        </is>
      </c>
      <c r="B736" t="inlineStr">
        <is>
          <t>samrådsanmälan</t>
        </is>
      </c>
      <c r="C736" t="inlineStr">
        <is>
          <t>Annan skogsbruksåtgärd</t>
        </is>
      </c>
      <c r="D736" s="1" t="n">
        <v>45916</v>
      </c>
      <c r="E736" s="1" t="n">
        <v>46216</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S 2995-2025</t>
        </is>
      </c>
      <c r="B737" t="inlineStr">
        <is>
          <t>samrådsanmälan</t>
        </is>
      </c>
      <c r="C737" t="inlineStr">
        <is>
          <t>Annan skogsbruksåtgärd</t>
        </is>
      </c>
      <c r="D737" s="1" t="n">
        <v>45957</v>
      </c>
      <c r="E737" s="1" t="n">
        <v>46216</v>
      </c>
      <c r="F737" t="inlineStr">
        <is>
          <t>UPPSALA LÄN</t>
        </is>
      </c>
      <c r="G737" t="inlineStr">
        <is>
          <t>ÖSTHAMMAR</t>
        </is>
      </c>
      <c r="I737" t="n">
        <v>5.1</v>
      </c>
      <c r="J737" t="n">
        <v>0</v>
      </c>
      <c r="K737" t="n">
        <v>0</v>
      </c>
      <c r="L737" t="n">
        <v>0</v>
      </c>
      <c r="M737" t="n">
        <v>0</v>
      </c>
      <c r="N737" t="n">
        <v>0</v>
      </c>
      <c r="O737" t="n">
        <v>0</v>
      </c>
      <c r="P737" t="n">
        <v>0</v>
      </c>
      <c r="Q737" t="n">
        <v>0</v>
      </c>
      <c r="R737" t="n">
        <v>0</v>
      </c>
      <c r="S737" t="n">
        <v>0</v>
      </c>
      <c r="T737" t="n">
        <v>0</v>
      </c>
      <c r="U737" s="2" t="inlineStr"/>
    </row>
    <row r="738" ht="15" customHeight="1">
      <c r="A738" t="inlineStr">
        <is>
          <t>S 84-2026</t>
        </is>
      </c>
      <c r="B738" t="inlineStr">
        <is>
          <t>samrådsanmälan</t>
        </is>
      </c>
      <c r="C738" t="inlineStr">
        <is>
          <t>Annan skogsbruksåtgärd</t>
        </is>
      </c>
      <c r="D738" s="1" t="n">
        <v>46034</v>
      </c>
      <c r="E738" s="1" t="n">
        <v>46216</v>
      </c>
      <c r="F738" t="inlineStr">
        <is>
          <t>UPPSALA LÄN</t>
        </is>
      </c>
      <c r="G738" t="inlineStr">
        <is>
          <t>ÖSTHAMMAR</t>
        </is>
      </c>
      <c r="H738" t="inlineStr">
        <is>
          <t>Bergvik skog öst AB</t>
        </is>
      </c>
      <c r="I738" t="n">
        <v>4.8</v>
      </c>
      <c r="J738" t="n">
        <v>0</v>
      </c>
      <c r="K738" t="n">
        <v>0</v>
      </c>
      <c r="L738" t="n">
        <v>0</v>
      </c>
      <c r="M738" t="n">
        <v>0</v>
      </c>
      <c r="N738" t="n">
        <v>0</v>
      </c>
      <c r="O738" t="n">
        <v>0</v>
      </c>
      <c r="P738" t="n">
        <v>0</v>
      </c>
      <c r="Q738" t="n">
        <v>0</v>
      </c>
      <c r="R738" t="n">
        <v>0</v>
      </c>
      <c r="S738" t="n">
        <v>0</v>
      </c>
      <c r="T738" t="n">
        <v>0</v>
      </c>
      <c r="U738" s="2" t="inlineStr"/>
    </row>
    <row r="739">
      <c r="A739" t="inlineStr">
        <is>
          <t>S 750-2026</t>
        </is>
      </c>
      <c r="B739" t="inlineStr">
        <is>
          <t>samrådsanmälan</t>
        </is>
      </c>
      <c r="C739" t="inlineStr">
        <is>
          <t>Skogsgödsling</t>
        </is>
      </c>
      <c r="D739" s="1" t="n">
        <v>46089</v>
      </c>
      <c r="E739" s="1" t="n">
        <v>46216</v>
      </c>
      <c r="F739" t="inlineStr">
        <is>
          <t>UPPSALA LÄN</t>
        </is>
      </c>
      <c r="G739" t="inlineStr">
        <is>
          <t>ÖSTHAMMAR</t>
        </is>
      </c>
      <c r="H739" t="inlineStr">
        <is>
          <t>Bergvik skog öst AB</t>
        </is>
      </c>
      <c r="I739" t="n">
        <v>7.6</v>
      </c>
      <c r="J739" t="n">
        <v>0</v>
      </c>
      <c r="K739" t="n">
        <v>0</v>
      </c>
      <c r="L739" t="n">
        <v>0</v>
      </c>
      <c r="M739" t="n">
        <v>0</v>
      </c>
      <c r="N739" t="n">
        <v>0</v>
      </c>
      <c r="O739" t="n">
        <v>0</v>
      </c>
      <c r="P739" t="n">
        <v>0</v>
      </c>
      <c r="Q739" t="n">
        <v>0</v>
      </c>
      <c r="R739" t="n">
        <v>0</v>
      </c>
      <c r="S739" t="n">
        <v>0</v>
      </c>
      <c r="T739" t="n">
        <v>0</v>
      </c>
      <c r="U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2026-07-13T14:49:37Z</dcterms:created>
  <dcterms:modified xmlns:dcterms="http://purl.org/dc/terms/" xmlns:xsi="http://www.w3.org/2001/XMLSchema-instance" xsi:type="dcterms:W3CDTF">2026-07-13T14:49:38Z</dcterms:modified>
</cp:coreProperties>
</file>