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46110</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46110</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46110</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46110</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46110</v>
      </c>
      <c r="D7" t="inlineStr">
        <is>
          <t>UPPSALA LÄN</t>
        </is>
      </c>
      <c r="E7" t="inlineStr">
        <is>
          <t>ÖSTHAMMAR</t>
        </is>
      </c>
      <c r="G7" t="n">
        <v>15.8</v>
      </c>
      <c r="H7" t="n">
        <v>3</v>
      </c>
      <c r="I7" t="n">
        <v>9</v>
      </c>
      <c r="J7" t="n">
        <v>3</v>
      </c>
      <c r="K7" t="n">
        <v>1</v>
      </c>
      <c r="L7" t="n">
        <v>0</v>
      </c>
      <c r="M7" t="n">
        <v>0</v>
      </c>
      <c r="N7" t="n">
        <v>0</v>
      </c>
      <c r="O7" t="n">
        <v>4</v>
      </c>
      <c r="P7" t="n">
        <v>1</v>
      </c>
      <c r="Q7" t="n">
        <v>14</v>
      </c>
      <c r="R7" s="2" t="inlineStr">
        <is>
          <t>Rynkskinn
Garnlav
Spillkråka
Ullticka
Brandticka
Bronshjon
Dvärgtufs
Granbarkgnagare
Grön sköldmossa
Kattfotslav
Korallblylav
Skinnlav
Stubbspretmossa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46110</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46110</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46110</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46110</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46110</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46110</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46110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46110</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46110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46110</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46110</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46110</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63054-2025</t>
        </is>
      </c>
      <c r="B22" s="1" t="n">
        <v>46009</v>
      </c>
      <c r="C22" s="1" t="n">
        <v>46110</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46110</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16239-2025</t>
        </is>
      </c>
      <c r="B24" s="1" t="n">
        <v>45746</v>
      </c>
      <c r="C24" s="1" t="n">
        <v>46110</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49910-2022</t>
        </is>
      </c>
      <c r="B25" s="1" t="n">
        <v>44865</v>
      </c>
      <c r="C25" s="1" t="n">
        <v>46110</v>
      </c>
      <c r="D25" t="inlineStr">
        <is>
          <t>UPPSALA LÄN</t>
        </is>
      </c>
      <c r="E25" t="inlineStr">
        <is>
          <t>ÖSTHAMMAR</t>
        </is>
      </c>
      <c r="F25" t="inlineStr">
        <is>
          <t>Bergvik skog öst AB</t>
        </is>
      </c>
      <c r="G25" t="n">
        <v>5.7</v>
      </c>
      <c r="H25" t="n">
        <v>7</v>
      </c>
      <c r="I25" t="n">
        <v>2</v>
      </c>
      <c r="J25" t="n">
        <v>2</v>
      </c>
      <c r="K25" t="n">
        <v>0</v>
      </c>
      <c r="L25" t="n">
        <v>0</v>
      </c>
      <c r="M25" t="n">
        <v>0</v>
      </c>
      <c r="N25" t="n">
        <v>0</v>
      </c>
      <c r="O25" t="n">
        <v>2</v>
      </c>
      <c r="P25" t="n">
        <v>0</v>
      </c>
      <c r="Q25" t="n">
        <v>7</v>
      </c>
      <c r="R25" s="2" t="inlineStr">
        <is>
          <t>Svartvit flugsnappare
Sävsparv
Skogsknipprot
Tvåblad
Bivråk
Törnskata
Gullviva</t>
        </is>
      </c>
      <c r="S25">
        <f>HYPERLINK("https://klasma.github.io/Logging_0382/artfynd/A 49910-2022 artfynd.xlsx", "A 49910-2022")</f>
        <v/>
      </c>
      <c r="T25">
        <f>HYPERLINK("https://klasma.github.io/Logging_0382/kartor/A 49910-2022 karta.png", "A 49910-2022")</f>
        <v/>
      </c>
      <c r="V25">
        <f>HYPERLINK("https://klasma.github.io/Logging_0382/klagomål/A 49910-2022 FSC-klagomål.docx", "A 49910-2022")</f>
        <v/>
      </c>
      <c r="W25">
        <f>HYPERLINK("https://klasma.github.io/Logging_0382/klagomålsmail/A 49910-2022 FSC-klagomål mail.docx", "A 49910-2022")</f>
        <v/>
      </c>
      <c r="X25">
        <f>HYPERLINK("https://klasma.github.io/Logging_0382/tillsyn/A 49910-2022 tillsynsbegäran.docx", "A 49910-2022")</f>
        <v/>
      </c>
      <c r="Y25">
        <f>HYPERLINK("https://klasma.github.io/Logging_0382/tillsynsmail/A 49910-2022 tillsynsbegäran mail.docx", "A 49910-2022")</f>
        <v/>
      </c>
      <c r="Z25">
        <f>HYPERLINK("https://klasma.github.io/Logging_0382/fåglar/A 49910-2022 prioriterade fågelarter.docx", "A 49910-2022")</f>
        <v/>
      </c>
    </row>
    <row r="26" ht="15" customHeight="1">
      <c r="A26" t="inlineStr">
        <is>
          <t>A 16242-2025</t>
        </is>
      </c>
      <c r="B26" s="1" t="n">
        <v>45746</v>
      </c>
      <c r="C26" s="1" t="n">
        <v>46110</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221-2025</t>
        </is>
      </c>
      <c r="B27" s="1" t="n">
        <v>45660</v>
      </c>
      <c r="C27" s="1" t="n">
        <v>46110</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46110</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46110</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46110</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46110</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46110</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46110</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46110</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46110</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46110</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26056-2025</t>
        </is>
      </c>
      <c r="B37" s="1" t="n">
        <v>45804.79280092593</v>
      </c>
      <c r="C37" s="1" t="n">
        <v>46110</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1101-2026</t>
        </is>
      </c>
      <c r="B38" s="1" t="n">
        <v>46030.66722222222</v>
      </c>
      <c r="C38" s="1" t="n">
        <v>46110</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15556-2022</t>
        </is>
      </c>
      <c r="B39" s="1" t="n">
        <v>44662</v>
      </c>
      <c r="C39" s="1" t="n">
        <v>46110</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46110</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51154-2025</t>
        </is>
      </c>
      <c r="B41" s="1" t="n">
        <v>45947.57583333334</v>
      </c>
      <c r="C41" s="1" t="n">
        <v>46110</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43992-2022</t>
        </is>
      </c>
      <c r="B42" s="1" t="n">
        <v>44837</v>
      </c>
      <c r="C42" s="1" t="n">
        <v>46110</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46110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46110</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46110</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46110</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46110</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46110</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46110</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60889-2025</t>
        </is>
      </c>
      <c r="B50" s="1" t="n">
        <v>45999.56931712963</v>
      </c>
      <c r="C50" s="1" t="n">
        <v>46110</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54492-2024</t>
        </is>
      </c>
      <c r="B51" s="1" t="n">
        <v>45617</v>
      </c>
      <c r="C51" s="1" t="n">
        <v>46110</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26279-2024</t>
        </is>
      </c>
      <c r="B52" s="1" t="n">
        <v>45468</v>
      </c>
      <c r="C52" s="1" t="n">
        <v>46110</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25044-2025</t>
        </is>
      </c>
      <c r="B53" s="1" t="n">
        <v>45799.66607638889</v>
      </c>
      <c r="C53" s="1" t="n">
        <v>46110</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46110</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46204-2023</t>
        </is>
      </c>
      <c r="B55" s="1" t="n">
        <v>45190</v>
      </c>
      <c r="C55" s="1" t="n">
        <v>46110</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6567-2026</t>
        </is>
      </c>
      <c r="B56" s="1" t="n">
        <v>46056.44011574074</v>
      </c>
      <c r="C56" s="1" t="n">
        <v>46110</v>
      </c>
      <c r="D56" t="inlineStr">
        <is>
          <t>UPPSALA LÄN</t>
        </is>
      </c>
      <c r="E56" t="inlineStr">
        <is>
          <t>ÖSTHAMMAR</t>
        </is>
      </c>
      <c r="G56" t="n">
        <v>1.6</v>
      </c>
      <c r="H56" t="n">
        <v>0</v>
      </c>
      <c r="I56" t="n">
        <v>2</v>
      </c>
      <c r="J56" t="n">
        <v>0</v>
      </c>
      <c r="K56" t="n">
        <v>1</v>
      </c>
      <c r="L56" t="n">
        <v>0</v>
      </c>
      <c r="M56" t="n">
        <v>0</v>
      </c>
      <c r="N56" t="n">
        <v>0</v>
      </c>
      <c r="O56" t="n">
        <v>1</v>
      </c>
      <c r="P56" t="n">
        <v>1</v>
      </c>
      <c r="Q56" t="n">
        <v>3</v>
      </c>
      <c r="R56" s="2" t="inlineStr">
        <is>
          <t>Kopparspindling
Olivspindling
Rödgul trumpetsvamp</t>
        </is>
      </c>
      <c r="S56">
        <f>HYPERLINK("https://klasma.github.io/Logging_0382/artfynd/A 6567-2026 artfynd.xlsx", "A 6567-2026")</f>
        <v/>
      </c>
      <c r="T56">
        <f>HYPERLINK("https://klasma.github.io/Logging_0382/kartor/A 6567-2026 karta.png", "A 6567-2026")</f>
        <v/>
      </c>
      <c r="V56">
        <f>HYPERLINK("https://klasma.github.io/Logging_0382/klagomål/A 6567-2026 FSC-klagomål.docx", "A 6567-2026")</f>
        <v/>
      </c>
      <c r="W56">
        <f>HYPERLINK("https://klasma.github.io/Logging_0382/klagomålsmail/A 6567-2026 FSC-klagomål mail.docx", "A 6567-2026")</f>
        <v/>
      </c>
      <c r="X56">
        <f>HYPERLINK("https://klasma.github.io/Logging_0382/tillsyn/A 6567-2026 tillsynsbegäran.docx", "A 6567-2026")</f>
        <v/>
      </c>
      <c r="Y56">
        <f>HYPERLINK("https://klasma.github.io/Logging_0382/tillsynsmail/A 6567-2026 tillsynsbegäran mail.docx", "A 6567-2026")</f>
        <v/>
      </c>
    </row>
    <row r="57" ht="15" customHeight="1">
      <c r="A57" t="inlineStr">
        <is>
          <t>A 9715-2024</t>
        </is>
      </c>
      <c r="B57" s="1" t="n">
        <v>45362.53928240741</v>
      </c>
      <c r="C57" s="1" t="n">
        <v>46110</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55051-2021</t>
        </is>
      </c>
      <c r="B58" s="1" t="n">
        <v>44474</v>
      </c>
      <c r="C58" s="1" t="n">
        <v>46110</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33035-2021</t>
        </is>
      </c>
      <c r="B59" s="1" t="n">
        <v>44376</v>
      </c>
      <c r="C59" s="1" t="n">
        <v>46110</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26557-2022</t>
        </is>
      </c>
      <c r="B60" s="1" t="n">
        <v>44739</v>
      </c>
      <c r="C60" s="1" t="n">
        <v>46110</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9683-2023</t>
        </is>
      </c>
      <c r="B61" s="1" t="n">
        <v>44984.43856481482</v>
      </c>
      <c r="C61" s="1" t="n">
        <v>46110</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60078-2021</t>
        </is>
      </c>
      <c r="B62" s="1" t="n">
        <v>44495</v>
      </c>
      <c r="C62" s="1" t="n">
        <v>46110</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46110</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46110</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21422-2023</t>
        </is>
      </c>
      <c r="B65" s="1" t="n">
        <v>45063</v>
      </c>
      <c r="C65" s="1" t="n">
        <v>46110</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18539-2024</t>
        </is>
      </c>
      <c r="B66" s="1" t="n">
        <v>45425.63697916667</v>
      </c>
      <c r="C66" s="1" t="n">
        <v>46110</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60898-2025</t>
        </is>
      </c>
      <c r="B67" s="1" t="n">
        <v>45999.58256944444</v>
      </c>
      <c r="C67" s="1" t="n">
        <v>46110</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41303-2025</t>
        </is>
      </c>
      <c r="B68" s="1" t="n">
        <v>45898.69215277778</v>
      </c>
      <c r="C68" s="1" t="n">
        <v>46110</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61400-2025</t>
        </is>
      </c>
      <c r="B69" s="1" t="n">
        <v>46001.47858796296</v>
      </c>
      <c r="C69" s="1" t="n">
        <v>46110</v>
      </c>
      <c r="D69" t="inlineStr">
        <is>
          <t>UPPSALA LÄN</t>
        </is>
      </c>
      <c r="E69" t="inlineStr">
        <is>
          <t>ÖSTHAMMAR</t>
        </is>
      </c>
      <c r="F69" t="inlineStr">
        <is>
          <t>Naturvårdsverket</t>
        </is>
      </c>
      <c r="G69" t="n">
        <v>10.9</v>
      </c>
      <c r="H69" t="n">
        <v>0</v>
      </c>
      <c r="I69" t="n">
        <v>2</v>
      </c>
      <c r="J69" t="n">
        <v>0</v>
      </c>
      <c r="K69" t="n">
        <v>0</v>
      </c>
      <c r="L69" t="n">
        <v>0</v>
      </c>
      <c r="M69" t="n">
        <v>0</v>
      </c>
      <c r="N69" t="n">
        <v>0</v>
      </c>
      <c r="O69" t="n">
        <v>0</v>
      </c>
      <c r="P69" t="n">
        <v>0</v>
      </c>
      <c r="Q69" t="n">
        <v>2</v>
      </c>
      <c r="R69" s="2" t="inlineStr">
        <is>
          <t>Granbarkgnagare
Kattfotslav</t>
        </is>
      </c>
      <c r="S69">
        <f>HYPERLINK("https://klasma.github.io/Logging_0382/artfynd/A 61400-2025 artfynd.xlsx", "A 61400-2025")</f>
        <v/>
      </c>
      <c r="T69">
        <f>HYPERLINK("https://klasma.github.io/Logging_0382/kartor/A 61400-2025 karta.png", "A 61400-2025")</f>
        <v/>
      </c>
      <c r="V69">
        <f>HYPERLINK("https://klasma.github.io/Logging_0382/klagomål/A 61400-2025 FSC-klagomål.docx", "A 61400-2025")</f>
        <v/>
      </c>
      <c r="W69">
        <f>HYPERLINK("https://klasma.github.io/Logging_0382/klagomålsmail/A 61400-2025 FSC-klagomål mail.docx", "A 61400-2025")</f>
        <v/>
      </c>
      <c r="X69">
        <f>HYPERLINK("https://klasma.github.io/Logging_0382/tillsyn/A 61400-2025 tillsynsbegäran.docx", "A 61400-2025")</f>
        <v/>
      </c>
      <c r="Y69">
        <f>HYPERLINK("https://klasma.github.io/Logging_0382/tillsynsmail/A 61400-2025 tillsynsbegäran mail.docx", "A 61400-2025")</f>
        <v/>
      </c>
    </row>
    <row r="70" ht="15" customHeight="1">
      <c r="A70" t="inlineStr">
        <is>
          <t>A 2916-2025</t>
        </is>
      </c>
      <c r="B70" s="1" t="n">
        <v>45677</v>
      </c>
      <c r="C70" s="1" t="n">
        <v>46110</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33269-2025</t>
        </is>
      </c>
      <c r="B71" s="1" t="n">
        <v>45840.68208333333</v>
      </c>
      <c r="C71" s="1" t="n">
        <v>46110</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56669-2025</t>
        </is>
      </c>
      <c r="B72" s="1" t="n">
        <v>45975.69306712963</v>
      </c>
      <c r="C72" s="1" t="n">
        <v>46110</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9646-2024</t>
        </is>
      </c>
      <c r="B73" s="1" t="n">
        <v>45362.37055555556</v>
      </c>
      <c r="C73" s="1" t="n">
        <v>46110</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37768-2025</t>
        </is>
      </c>
      <c r="B74" s="1" t="n">
        <v>45880</v>
      </c>
      <c r="C74" s="1" t="n">
        <v>46110</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73981-2021</t>
        </is>
      </c>
      <c r="B75" s="1" t="n">
        <v>44555</v>
      </c>
      <c r="C75" s="1" t="n">
        <v>46110</v>
      </c>
      <c r="D75" t="inlineStr">
        <is>
          <t>UPPSALA LÄN</t>
        </is>
      </c>
      <c r="E75" t="inlineStr">
        <is>
          <t>ÖSTHAMMAR</t>
        </is>
      </c>
      <c r="G75" t="n">
        <v>2.4</v>
      </c>
      <c r="H75" t="n">
        <v>0</v>
      </c>
      <c r="I75" t="n">
        <v>1</v>
      </c>
      <c r="J75" t="n">
        <v>1</v>
      </c>
      <c r="K75" t="n">
        <v>0</v>
      </c>
      <c r="L75" t="n">
        <v>0</v>
      </c>
      <c r="M75" t="n">
        <v>0</v>
      </c>
      <c r="N75" t="n">
        <v>0</v>
      </c>
      <c r="O75" t="n">
        <v>1</v>
      </c>
      <c r="P75" t="n">
        <v>0</v>
      </c>
      <c r="Q75" t="n">
        <v>2</v>
      </c>
      <c r="R75" s="2" t="inlineStr">
        <is>
          <t>Skogsklocka
Vårärt</t>
        </is>
      </c>
      <c r="S75">
        <f>HYPERLINK("https://klasma.github.io/Logging_0382/artfynd/A 73981-2021 artfynd.xlsx", "A 73981-2021")</f>
        <v/>
      </c>
      <c r="T75">
        <f>HYPERLINK("https://klasma.github.io/Logging_0382/kartor/A 73981-2021 karta.png", "A 73981-2021")</f>
        <v/>
      </c>
      <c r="V75">
        <f>HYPERLINK("https://klasma.github.io/Logging_0382/klagomål/A 73981-2021 FSC-klagomål.docx", "A 73981-2021")</f>
        <v/>
      </c>
      <c r="W75">
        <f>HYPERLINK("https://klasma.github.io/Logging_0382/klagomålsmail/A 73981-2021 FSC-klagomål mail.docx", "A 73981-2021")</f>
        <v/>
      </c>
      <c r="X75">
        <f>HYPERLINK("https://klasma.github.io/Logging_0382/tillsyn/A 73981-2021 tillsynsbegäran.docx", "A 73981-2021")</f>
        <v/>
      </c>
      <c r="Y75">
        <f>HYPERLINK("https://klasma.github.io/Logging_0382/tillsynsmail/A 73981-2021 tillsynsbegäran mail.docx", "A 73981-2021")</f>
        <v/>
      </c>
    </row>
    <row r="76" ht="15" customHeight="1">
      <c r="A76" t="inlineStr">
        <is>
          <t>A 13287-2022</t>
        </is>
      </c>
      <c r="B76" s="1" t="n">
        <v>44644</v>
      </c>
      <c r="C76" s="1" t="n">
        <v>46110</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44729.44149305556</v>
      </c>
      <c r="C77" s="1" t="n">
        <v>46110</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26277-2024</t>
        </is>
      </c>
      <c r="B78" s="1" t="n">
        <v>45468</v>
      </c>
      <c r="C78" s="1" t="n">
        <v>46110</v>
      </c>
      <c r="D78" t="inlineStr">
        <is>
          <t>UPPSALA LÄN</t>
        </is>
      </c>
      <c r="E78" t="inlineStr">
        <is>
          <t>ÖSTHAMMAR</t>
        </is>
      </c>
      <c r="G78" t="n">
        <v>3.5</v>
      </c>
      <c r="H78" t="n">
        <v>1</v>
      </c>
      <c r="I78" t="n">
        <v>2</v>
      </c>
      <c r="J78" t="n">
        <v>0</v>
      </c>
      <c r="K78" t="n">
        <v>0</v>
      </c>
      <c r="L78" t="n">
        <v>0</v>
      </c>
      <c r="M78" t="n">
        <v>0</v>
      </c>
      <c r="N78" t="n">
        <v>0</v>
      </c>
      <c r="O78" t="n">
        <v>0</v>
      </c>
      <c r="P78" t="n">
        <v>0</v>
      </c>
      <c r="Q78" t="n">
        <v>2</v>
      </c>
      <c r="R78" s="2" t="inlineStr">
        <is>
          <t>Nästrot
Sårläka</t>
        </is>
      </c>
      <c r="S78">
        <f>HYPERLINK("https://klasma.github.io/Logging_0382/artfynd/A 26277-2024 artfynd.xlsx", "A 26277-2024")</f>
        <v/>
      </c>
      <c r="T78">
        <f>HYPERLINK("https://klasma.github.io/Logging_0382/kartor/A 26277-2024 karta.png", "A 26277-2024")</f>
        <v/>
      </c>
      <c r="V78">
        <f>HYPERLINK("https://klasma.github.io/Logging_0382/klagomål/A 26277-2024 FSC-klagomål.docx", "A 26277-2024")</f>
        <v/>
      </c>
      <c r="W78">
        <f>HYPERLINK("https://klasma.github.io/Logging_0382/klagomålsmail/A 26277-2024 FSC-klagomål mail.docx", "A 26277-2024")</f>
        <v/>
      </c>
      <c r="X78">
        <f>HYPERLINK("https://klasma.github.io/Logging_0382/tillsyn/A 26277-2024 tillsynsbegäran.docx", "A 26277-2024")</f>
        <v/>
      </c>
      <c r="Y78">
        <f>HYPERLINK("https://klasma.github.io/Logging_0382/tillsynsmail/A 26277-2024 tillsynsbegäran mail.docx", "A 26277-2024")</f>
        <v/>
      </c>
    </row>
    <row r="79" ht="15" customHeight="1">
      <c r="A79" t="inlineStr">
        <is>
          <t>A 67855-2021</t>
        </is>
      </c>
      <c r="B79" s="1" t="n">
        <v>44525</v>
      </c>
      <c r="C79" s="1" t="n">
        <v>46110</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21453-2023</t>
        </is>
      </c>
      <c r="B80" s="1" t="n">
        <v>45063</v>
      </c>
      <c r="C80" s="1" t="n">
        <v>46110</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20553-2025</t>
        </is>
      </c>
      <c r="B81" s="1" t="n">
        <v>45775.63983796296</v>
      </c>
      <c r="C81" s="1" t="n">
        <v>46110</v>
      </c>
      <c r="D81" t="inlineStr">
        <is>
          <t>UPPSALA LÄN</t>
        </is>
      </c>
      <c r="E81" t="inlineStr">
        <is>
          <t>ÖSTHAMMAR</t>
        </is>
      </c>
      <c r="G81" t="n">
        <v>0.4</v>
      </c>
      <c r="H81" t="n">
        <v>0</v>
      </c>
      <c r="I81" t="n">
        <v>2</v>
      </c>
      <c r="J81" t="n">
        <v>0</v>
      </c>
      <c r="K81" t="n">
        <v>0</v>
      </c>
      <c r="L81" t="n">
        <v>0</v>
      </c>
      <c r="M81" t="n">
        <v>0</v>
      </c>
      <c r="N81" t="n">
        <v>0</v>
      </c>
      <c r="O81" t="n">
        <v>0</v>
      </c>
      <c r="P81" t="n">
        <v>0</v>
      </c>
      <c r="Q81" t="n">
        <v>2</v>
      </c>
      <c r="R81" s="2" t="inlineStr">
        <is>
          <t>Jättesvampmal
Robust tickgnagare</t>
        </is>
      </c>
      <c r="S81">
        <f>HYPERLINK("https://klasma.github.io/Logging_0382/artfynd/A 20553-2025 artfynd.xlsx", "A 20553-2025")</f>
        <v/>
      </c>
      <c r="T81">
        <f>HYPERLINK("https://klasma.github.io/Logging_0382/kartor/A 20553-2025 karta.png", "A 20553-2025")</f>
        <v/>
      </c>
      <c r="V81">
        <f>HYPERLINK("https://klasma.github.io/Logging_0382/klagomål/A 20553-2025 FSC-klagomål.docx", "A 20553-2025")</f>
        <v/>
      </c>
      <c r="W81">
        <f>HYPERLINK("https://klasma.github.io/Logging_0382/klagomålsmail/A 20553-2025 FSC-klagomål mail.docx", "A 20553-2025")</f>
        <v/>
      </c>
      <c r="X81">
        <f>HYPERLINK("https://klasma.github.io/Logging_0382/tillsyn/A 20553-2025 tillsynsbegäran.docx", "A 20553-2025")</f>
        <v/>
      </c>
      <c r="Y81">
        <f>HYPERLINK("https://klasma.github.io/Logging_0382/tillsynsmail/A 20553-2025 tillsynsbegäran mail.docx", "A 20553-2025")</f>
        <v/>
      </c>
    </row>
    <row r="82" ht="15" customHeight="1">
      <c r="A82" t="inlineStr">
        <is>
          <t>A 30943-2024</t>
        </is>
      </c>
      <c r="B82" s="1" t="n">
        <v>45499</v>
      </c>
      <c r="C82" s="1" t="n">
        <v>46110</v>
      </c>
      <c r="D82" t="inlineStr">
        <is>
          <t>UPPSALA LÄN</t>
        </is>
      </c>
      <c r="E82" t="inlineStr">
        <is>
          <t>ÖSTHAMMAR</t>
        </is>
      </c>
      <c r="G82" t="n">
        <v>4.5</v>
      </c>
      <c r="H82" t="n">
        <v>0</v>
      </c>
      <c r="I82" t="n">
        <v>2</v>
      </c>
      <c r="J82" t="n">
        <v>0</v>
      </c>
      <c r="K82" t="n">
        <v>0</v>
      </c>
      <c r="L82" t="n">
        <v>0</v>
      </c>
      <c r="M82" t="n">
        <v>0</v>
      </c>
      <c r="N82" t="n">
        <v>0</v>
      </c>
      <c r="O82" t="n">
        <v>0</v>
      </c>
      <c r="P82" t="n">
        <v>0</v>
      </c>
      <c r="Q82" t="n">
        <v>2</v>
      </c>
      <c r="R82" s="2" t="inlineStr">
        <is>
          <t>Tibast
Underviol</t>
        </is>
      </c>
      <c r="S82">
        <f>HYPERLINK("https://klasma.github.io/Logging_0382/artfynd/A 30943-2024 artfynd.xlsx", "A 30943-2024")</f>
        <v/>
      </c>
      <c r="T82">
        <f>HYPERLINK("https://klasma.github.io/Logging_0382/kartor/A 30943-2024 karta.png", "A 30943-2024")</f>
        <v/>
      </c>
      <c r="V82">
        <f>HYPERLINK("https://klasma.github.io/Logging_0382/klagomål/A 30943-2024 FSC-klagomål.docx", "A 30943-2024")</f>
        <v/>
      </c>
      <c r="W82">
        <f>HYPERLINK("https://klasma.github.io/Logging_0382/klagomålsmail/A 30943-2024 FSC-klagomål mail.docx", "A 30943-2024")</f>
        <v/>
      </c>
      <c r="X82">
        <f>HYPERLINK("https://klasma.github.io/Logging_0382/tillsyn/A 30943-2024 tillsynsbegäran.docx", "A 30943-2024")</f>
        <v/>
      </c>
      <c r="Y82">
        <f>HYPERLINK("https://klasma.github.io/Logging_0382/tillsynsmail/A 30943-2024 tillsynsbegäran mail.docx", "A 30943-2024")</f>
        <v/>
      </c>
    </row>
    <row r="83" ht="15" customHeight="1">
      <c r="A83" t="inlineStr">
        <is>
          <t>A 38442-2022</t>
        </is>
      </c>
      <c r="B83" s="1" t="n">
        <v>44813</v>
      </c>
      <c r="C83" s="1" t="n">
        <v>46110</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46110</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46110</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46110</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14203-2024</t>
        </is>
      </c>
      <c r="B87" s="1" t="n">
        <v>45393</v>
      </c>
      <c r="C87" s="1" t="n">
        <v>46110</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63615-2021</t>
        </is>
      </c>
      <c r="B88" s="1" t="n">
        <v>44509</v>
      </c>
      <c r="C88" s="1" t="n">
        <v>46110</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11017-2023</t>
        </is>
      </c>
      <c r="B89" s="1" t="n">
        <v>44991</v>
      </c>
      <c r="C89" s="1" t="n">
        <v>46110</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41220-2025</t>
        </is>
      </c>
      <c r="B90" s="1" t="n">
        <v>45898.58630787037</v>
      </c>
      <c r="C90" s="1" t="n">
        <v>46110</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52818-2022</t>
        </is>
      </c>
      <c r="B91" s="1" t="n">
        <v>44875</v>
      </c>
      <c r="C91" s="1" t="n">
        <v>46110</v>
      </c>
      <c r="D91" t="inlineStr">
        <is>
          <t>UPPSALA LÄN</t>
        </is>
      </c>
      <c r="E91" t="inlineStr">
        <is>
          <t>ÖSTHAMMAR</t>
        </is>
      </c>
      <c r="G91" t="n">
        <v>0.9</v>
      </c>
      <c r="H91" t="n">
        <v>1</v>
      </c>
      <c r="I91" t="n">
        <v>1</v>
      </c>
      <c r="J91" t="n">
        <v>0</v>
      </c>
      <c r="K91" t="n">
        <v>0</v>
      </c>
      <c r="L91" t="n">
        <v>0</v>
      </c>
      <c r="M91" t="n">
        <v>0</v>
      </c>
      <c r="N91" t="n">
        <v>0</v>
      </c>
      <c r="O91" t="n">
        <v>0</v>
      </c>
      <c r="P91" t="n">
        <v>0</v>
      </c>
      <c r="Q91" t="n">
        <v>1</v>
      </c>
      <c r="R91" s="2" t="inlineStr">
        <is>
          <t>Guckusko</t>
        </is>
      </c>
      <c r="S91">
        <f>HYPERLINK("https://klasma.github.io/Logging_0382/artfynd/A 52818-2022 artfynd.xlsx", "A 52818-2022")</f>
        <v/>
      </c>
      <c r="T91">
        <f>HYPERLINK("https://klasma.github.io/Logging_0382/kartor/A 52818-2022 karta.png", "A 52818-2022")</f>
        <v/>
      </c>
      <c r="V91">
        <f>HYPERLINK("https://klasma.github.io/Logging_0382/klagomål/A 52818-2022 FSC-klagomål.docx", "A 52818-2022")</f>
        <v/>
      </c>
      <c r="W91">
        <f>HYPERLINK("https://klasma.github.io/Logging_0382/klagomålsmail/A 52818-2022 FSC-klagomål mail.docx", "A 52818-2022")</f>
        <v/>
      </c>
      <c r="X91">
        <f>HYPERLINK("https://klasma.github.io/Logging_0382/tillsyn/A 52818-2022 tillsynsbegäran.docx", "A 52818-2022")</f>
        <v/>
      </c>
      <c r="Y91">
        <f>HYPERLINK("https://klasma.github.io/Logging_0382/tillsynsmail/A 52818-2022 tillsynsbegäran mail.docx", "A 52818-2022")</f>
        <v/>
      </c>
    </row>
    <row r="92" ht="15" customHeight="1">
      <c r="A92" t="inlineStr">
        <is>
          <t>A 61410-2025</t>
        </is>
      </c>
      <c r="B92" s="1" t="n">
        <v>46001.51974537037</v>
      </c>
      <c r="C92" s="1" t="n">
        <v>46110</v>
      </c>
      <c r="D92" t="inlineStr">
        <is>
          <t>UPPSALA LÄN</t>
        </is>
      </c>
      <c r="E92" t="inlineStr">
        <is>
          <t>ÖSTHAMMAR</t>
        </is>
      </c>
      <c r="G92" t="n">
        <v>3.5</v>
      </c>
      <c r="H92" t="n">
        <v>0</v>
      </c>
      <c r="I92" t="n">
        <v>1</v>
      </c>
      <c r="J92" t="n">
        <v>0</v>
      </c>
      <c r="K92" t="n">
        <v>0</v>
      </c>
      <c r="L92" t="n">
        <v>0</v>
      </c>
      <c r="M92" t="n">
        <v>0</v>
      </c>
      <c r="N92" t="n">
        <v>0</v>
      </c>
      <c r="O92" t="n">
        <v>0</v>
      </c>
      <c r="P92" t="n">
        <v>0</v>
      </c>
      <c r="Q92" t="n">
        <v>1</v>
      </c>
      <c r="R92" s="2" t="inlineStr">
        <is>
          <t>Trådticka</t>
        </is>
      </c>
      <c r="S92">
        <f>HYPERLINK("https://klasma.github.io/Logging_0382/artfynd/A 61410-2025 artfynd.xlsx", "A 61410-2025")</f>
        <v/>
      </c>
      <c r="T92">
        <f>HYPERLINK("https://klasma.github.io/Logging_0382/kartor/A 61410-2025 karta.png", "A 61410-2025")</f>
        <v/>
      </c>
      <c r="V92">
        <f>HYPERLINK("https://klasma.github.io/Logging_0382/klagomål/A 61410-2025 FSC-klagomål.docx", "A 61410-2025")</f>
        <v/>
      </c>
      <c r="W92">
        <f>HYPERLINK("https://klasma.github.io/Logging_0382/klagomålsmail/A 61410-2025 FSC-klagomål mail.docx", "A 61410-2025")</f>
        <v/>
      </c>
      <c r="X92">
        <f>HYPERLINK("https://klasma.github.io/Logging_0382/tillsyn/A 61410-2025 tillsynsbegäran.docx", "A 61410-2025")</f>
        <v/>
      </c>
      <c r="Y92">
        <f>HYPERLINK("https://klasma.github.io/Logging_0382/tillsynsmail/A 61410-2025 tillsynsbegäran mail.docx", "A 61410-2025")</f>
        <v/>
      </c>
    </row>
    <row r="93" ht="15" customHeight="1">
      <c r="A93" t="inlineStr">
        <is>
          <t>A 70495-2021</t>
        </is>
      </c>
      <c r="B93" s="1" t="n">
        <v>44536</v>
      </c>
      <c r="C93" s="1" t="n">
        <v>46110</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61574-2025</t>
        </is>
      </c>
      <c r="B94" s="1" t="n">
        <v>46002</v>
      </c>
      <c r="C94" s="1" t="n">
        <v>46110</v>
      </c>
      <c r="D94" t="inlineStr">
        <is>
          <t>UPPSALA LÄN</t>
        </is>
      </c>
      <c r="E94" t="inlineStr">
        <is>
          <t>ÖSTHAMMAR</t>
        </is>
      </c>
      <c r="F94" t="inlineStr">
        <is>
          <t>Övriga Aktiebolag</t>
        </is>
      </c>
      <c r="G94" t="n">
        <v>16.6</v>
      </c>
      <c r="H94" t="n">
        <v>1</v>
      </c>
      <c r="I94" t="n">
        <v>0</v>
      </c>
      <c r="J94" t="n">
        <v>0</v>
      </c>
      <c r="K94" t="n">
        <v>1</v>
      </c>
      <c r="L94" t="n">
        <v>0</v>
      </c>
      <c r="M94" t="n">
        <v>0</v>
      </c>
      <c r="N94" t="n">
        <v>0</v>
      </c>
      <c r="O94" t="n">
        <v>1</v>
      </c>
      <c r="P94" t="n">
        <v>1</v>
      </c>
      <c r="Q94" t="n">
        <v>1</v>
      </c>
      <c r="R94" s="2" t="inlineStr">
        <is>
          <t>Hällebräcka</t>
        </is>
      </c>
      <c r="S94">
        <f>HYPERLINK("https://klasma.github.io/Logging_0382/artfynd/A 61574-2025 artfynd.xlsx", "A 61574-2025")</f>
        <v/>
      </c>
      <c r="T94">
        <f>HYPERLINK("https://klasma.github.io/Logging_0382/kartor/A 61574-2025 karta.png", "A 61574-2025")</f>
        <v/>
      </c>
      <c r="V94">
        <f>HYPERLINK("https://klasma.github.io/Logging_0382/klagomål/A 61574-2025 FSC-klagomål.docx", "A 61574-2025")</f>
        <v/>
      </c>
      <c r="W94">
        <f>HYPERLINK("https://klasma.github.io/Logging_0382/klagomålsmail/A 61574-2025 FSC-klagomål mail.docx", "A 61574-2025")</f>
        <v/>
      </c>
      <c r="X94">
        <f>HYPERLINK("https://klasma.github.io/Logging_0382/tillsyn/A 61574-2025 tillsynsbegäran.docx", "A 61574-2025")</f>
        <v/>
      </c>
      <c r="Y94">
        <f>HYPERLINK("https://klasma.github.io/Logging_0382/tillsynsmail/A 61574-2025 tillsynsbegäran mail.docx", "A 61574-2025")</f>
        <v/>
      </c>
    </row>
    <row r="95" ht="15" customHeight="1">
      <c r="A95" t="inlineStr">
        <is>
          <t>A 10034-2023</t>
        </is>
      </c>
      <c r="B95" s="1" t="n">
        <v>44985</v>
      </c>
      <c r="C95" s="1" t="n">
        <v>46110</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46629-2024</t>
        </is>
      </c>
      <c r="B96" s="1" t="n">
        <v>45583.33221064815</v>
      </c>
      <c r="C96" s="1" t="n">
        <v>46110</v>
      </c>
      <c r="D96" t="inlineStr">
        <is>
          <t>UPPSALA LÄN</t>
        </is>
      </c>
      <c r="E96" t="inlineStr">
        <is>
          <t>ÖSTHAMMAR</t>
        </is>
      </c>
      <c r="F96" t="inlineStr">
        <is>
          <t>Bergvik skog öst AB</t>
        </is>
      </c>
      <c r="G96" t="n">
        <v>0.7</v>
      </c>
      <c r="H96" t="n">
        <v>0</v>
      </c>
      <c r="I96" t="n">
        <v>0</v>
      </c>
      <c r="J96" t="n">
        <v>1</v>
      </c>
      <c r="K96" t="n">
        <v>0</v>
      </c>
      <c r="L96" t="n">
        <v>0</v>
      </c>
      <c r="M96" t="n">
        <v>0</v>
      </c>
      <c r="N96" t="n">
        <v>0</v>
      </c>
      <c r="O96" t="n">
        <v>1</v>
      </c>
      <c r="P96" t="n">
        <v>0</v>
      </c>
      <c r="Q96" t="n">
        <v>1</v>
      </c>
      <c r="R96" s="2" t="inlineStr">
        <is>
          <t>Slåtterfibbla</t>
        </is>
      </c>
      <c r="S96">
        <f>HYPERLINK("https://klasma.github.io/Logging_0382/artfynd/A 46629-2024 artfynd.xlsx", "A 46629-2024")</f>
        <v/>
      </c>
      <c r="T96">
        <f>HYPERLINK("https://klasma.github.io/Logging_0382/kartor/A 46629-2024 karta.png", "A 46629-2024")</f>
        <v/>
      </c>
      <c r="V96">
        <f>HYPERLINK("https://klasma.github.io/Logging_0382/klagomål/A 46629-2024 FSC-klagomål.docx", "A 46629-2024")</f>
        <v/>
      </c>
      <c r="W96">
        <f>HYPERLINK("https://klasma.github.io/Logging_0382/klagomålsmail/A 46629-2024 FSC-klagomål mail.docx", "A 46629-2024")</f>
        <v/>
      </c>
      <c r="X96">
        <f>HYPERLINK("https://klasma.github.io/Logging_0382/tillsyn/A 46629-2024 tillsynsbegäran.docx", "A 46629-2024")</f>
        <v/>
      </c>
      <c r="Y96">
        <f>HYPERLINK("https://klasma.github.io/Logging_0382/tillsynsmail/A 46629-2024 tillsynsbegäran mail.docx", "A 46629-2024")</f>
        <v/>
      </c>
    </row>
    <row r="97" ht="15" customHeight="1">
      <c r="A97" t="inlineStr">
        <is>
          <t>A 25179-2023</t>
        </is>
      </c>
      <c r="B97" s="1" t="n">
        <v>45078</v>
      </c>
      <c r="C97" s="1" t="n">
        <v>46110</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22209-2022</t>
        </is>
      </c>
      <c r="B98" s="1" t="n">
        <v>44712</v>
      </c>
      <c r="C98" s="1" t="n">
        <v>46110</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30605-2025</t>
        </is>
      </c>
      <c r="B99" s="1" t="n">
        <v>45831.45510416666</v>
      </c>
      <c r="C99" s="1" t="n">
        <v>46110</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52879-2025</t>
        </is>
      </c>
      <c r="B100" s="1" t="n">
        <v>45957.544375</v>
      </c>
      <c r="C100" s="1" t="n">
        <v>46110</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4714-2026</t>
        </is>
      </c>
      <c r="B101" s="1" t="n">
        <v>46048.46175925926</v>
      </c>
      <c r="C101" s="1" t="n">
        <v>46110</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6507-2026</t>
        </is>
      </c>
      <c r="B102" s="1" t="n">
        <v>46056.38474537037</v>
      </c>
      <c r="C102" s="1" t="n">
        <v>46110</v>
      </c>
      <c r="D102" t="inlineStr">
        <is>
          <t>UPPSALA LÄN</t>
        </is>
      </c>
      <c r="E102" t="inlineStr">
        <is>
          <t>ÖSTHAMMAR</t>
        </is>
      </c>
      <c r="F102" t="inlineStr">
        <is>
          <t>Bergvik skog öst AB</t>
        </is>
      </c>
      <c r="G102" t="n">
        <v>1.5</v>
      </c>
      <c r="H102" t="n">
        <v>0</v>
      </c>
      <c r="I102" t="n">
        <v>1</v>
      </c>
      <c r="J102" t="n">
        <v>0</v>
      </c>
      <c r="K102" t="n">
        <v>0</v>
      </c>
      <c r="L102" t="n">
        <v>0</v>
      </c>
      <c r="M102" t="n">
        <v>0</v>
      </c>
      <c r="N102" t="n">
        <v>0</v>
      </c>
      <c r="O102" t="n">
        <v>0</v>
      </c>
      <c r="P102" t="n">
        <v>0</v>
      </c>
      <c r="Q102" t="n">
        <v>1</v>
      </c>
      <c r="R102" s="2" t="inlineStr">
        <is>
          <t>Tibast</t>
        </is>
      </c>
      <c r="S102">
        <f>HYPERLINK("https://klasma.github.io/Logging_0382/artfynd/A 6507-2026 artfynd.xlsx", "A 6507-2026")</f>
        <v/>
      </c>
      <c r="T102">
        <f>HYPERLINK("https://klasma.github.io/Logging_0382/kartor/A 6507-2026 karta.png", "A 6507-2026")</f>
        <v/>
      </c>
      <c r="V102">
        <f>HYPERLINK("https://klasma.github.io/Logging_0382/klagomål/A 6507-2026 FSC-klagomål.docx", "A 6507-2026")</f>
        <v/>
      </c>
      <c r="W102">
        <f>HYPERLINK("https://klasma.github.io/Logging_0382/klagomålsmail/A 6507-2026 FSC-klagomål mail.docx", "A 6507-2026")</f>
        <v/>
      </c>
      <c r="X102">
        <f>HYPERLINK("https://klasma.github.io/Logging_0382/tillsyn/A 6507-2026 tillsynsbegäran.docx", "A 6507-2026")</f>
        <v/>
      </c>
      <c r="Y102">
        <f>HYPERLINK("https://klasma.github.io/Logging_0382/tillsynsmail/A 6507-2026 tillsynsbegäran mail.docx", "A 6507-2026")</f>
        <v/>
      </c>
    </row>
    <row r="103" ht="15" customHeight="1">
      <c r="A103" t="inlineStr">
        <is>
          <t>A 22287-2023</t>
        </is>
      </c>
      <c r="B103" s="1" t="n">
        <v>45070</v>
      </c>
      <c r="C103" s="1" t="n">
        <v>46110</v>
      </c>
      <c r="D103" t="inlineStr">
        <is>
          <t>UPPSALA LÄN</t>
        </is>
      </c>
      <c r="E103" t="inlineStr">
        <is>
          <t>ÖSTHAMMAR</t>
        </is>
      </c>
      <c r="G103" t="n">
        <v>6.3</v>
      </c>
      <c r="H103" t="n">
        <v>1</v>
      </c>
      <c r="I103" t="n">
        <v>1</v>
      </c>
      <c r="J103" t="n">
        <v>0</v>
      </c>
      <c r="K103" t="n">
        <v>0</v>
      </c>
      <c r="L103" t="n">
        <v>0</v>
      </c>
      <c r="M103" t="n">
        <v>0</v>
      </c>
      <c r="N103" t="n">
        <v>0</v>
      </c>
      <c r="O103" t="n">
        <v>0</v>
      </c>
      <c r="P103" t="n">
        <v>0</v>
      </c>
      <c r="Q103" t="n">
        <v>1</v>
      </c>
      <c r="R103" s="2" t="inlineStr">
        <is>
          <t>Guckusko</t>
        </is>
      </c>
      <c r="S103">
        <f>HYPERLINK("https://klasma.github.io/Logging_0382/artfynd/A 22287-2023 artfynd.xlsx", "A 22287-2023")</f>
        <v/>
      </c>
      <c r="T103">
        <f>HYPERLINK("https://klasma.github.io/Logging_0382/kartor/A 22287-2023 karta.png", "A 22287-2023")</f>
        <v/>
      </c>
      <c r="V103">
        <f>HYPERLINK("https://klasma.github.io/Logging_0382/klagomål/A 22287-2023 FSC-klagomål.docx", "A 22287-2023")</f>
        <v/>
      </c>
      <c r="W103">
        <f>HYPERLINK("https://klasma.github.io/Logging_0382/klagomålsmail/A 22287-2023 FSC-klagomål mail.docx", "A 22287-2023")</f>
        <v/>
      </c>
      <c r="X103">
        <f>HYPERLINK("https://klasma.github.io/Logging_0382/tillsyn/A 22287-2023 tillsynsbegäran.docx", "A 22287-2023")</f>
        <v/>
      </c>
      <c r="Y103">
        <f>HYPERLINK("https://klasma.github.io/Logging_0382/tillsynsmail/A 22287-2023 tillsynsbegäran mail.docx", "A 22287-2023")</f>
        <v/>
      </c>
    </row>
    <row r="104" ht="15" customHeight="1">
      <c r="A104" t="inlineStr">
        <is>
          <t>A 7470-2022</t>
        </is>
      </c>
      <c r="B104" s="1" t="n">
        <v>44607</v>
      </c>
      <c r="C104" s="1" t="n">
        <v>46110</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15248-2026</t>
        </is>
      </c>
      <c r="B105" s="1" t="n">
        <v>46105.57002314815</v>
      </c>
      <c r="C105" s="1" t="n">
        <v>46110</v>
      </c>
      <c r="D105" t="inlineStr">
        <is>
          <t>UPPSALA LÄN</t>
        </is>
      </c>
      <c r="E105" t="inlineStr">
        <is>
          <t>ÖSTHAMMAR</t>
        </is>
      </c>
      <c r="F105" t="inlineStr">
        <is>
          <t>Övriga Aktiebolag</t>
        </is>
      </c>
      <c r="G105" t="n">
        <v>3.1</v>
      </c>
      <c r="H105" t="n">
        <v>1</v>
      </c>
      <c r="I105" t="n">
        <v>0</v>
      </c>
      <c r="J105" t="n">
        <v>0</v>
      </c>
      <c r="K105" t="n">
        <v>1</v>
      </c>
      <c r="L105" t="n">
        <v>0</v>
      </c>
      <c r="M105" t="n">
        <v>0</v>
      </c>
      <c r="N105" t="n">
        <v>0</v>
      </c>
      <c r="O105" t="n">
        <v>1</v>
      </c>
      <c r="P105" t="n">
        <v>1</v>
      </c>
      <c r="Q105" t="n">
        <v>1</v>
      </c>
      <c r="R105" s="2" t="inlineStr">
        <is>
          <t>Hällebräcka</t>
        </is>
      </c>
      <c r="S105">
        <f>HYPERLINK("https://klasma.github.io/Logging_0382/artfynd/A 15248-2026 artfynd.xlsx", "A 15248-2026")</f>
        <v/>
      </c>
      <c r="T105">
        <f>HYPERLINK("https://klasma.github.io/Logging_0382/kartor/A 15248-2026 karta.png", "A 15248-2026")</f>
        <v/>
      </c>
      <c r="V105">
        <f>HYPERLINK("https://klasma.github.io/Logging_0382/klagomål/A 15248-2026 FSC-klagomål.docx", "A 15248-2026")</f>
        <v/>
      </c>
      <c r="W105">
        <f>HYPERLINK("https://klasma.github.io/Logging_0382/klagomålsmail/A 15248-2026 FSC-klagomål mail.docx", "A 15248-2026")</f>
        <v/>
      </c>
      <c r="X105">
        <f>HYPERLINK("https://klasma.github.io/Logging_0382/tillsyn/A 15248-2026 tillsynsbegäran.docx", "A 15248-2026")</f>
        <v/>
      </c>
      <c r="Y105">
        <f>HYPERLINK("https://klasma.github.io/Logging_0382/tillsynsmail/A 15248-2026 tillsynsbegäran mail.docx", "A 15248-2026")</f>
        <v/>
      </c>
    </row>
    <row r="106" ht="15" customHeight="1">
      <c r="A106" t="inlineStr">
        <is>
          <t>A 33800-2024</t>
        </is>
      </c>
      <c r="B106" s="1" t="n">
        <v>45520</v>
      </c>
      <c r="C106" s="1" t="n">
        <v>46110</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15258-2026</t>
        </is>
      </c>
      <c r="B107" s="1" t="n">
        <v>46105.58886574074</v>
      </c>
      <c r="C107" s="1" t="n">
        <v>46110</v>
      </c>
      <c r="D107" t="inlineStr">
        <is>
          <t>UPPSALA LÄN</t>
        </is>
      </c>
      <c r="E107" t="inlineStr">
        <is>
          <t>ÖSTHAMMAR</t>
        </is>
      </c>
      <c r="F107" t="inlineStr">
        <is>
          <t>Övriga Aktiebolag</t>
        </is>
      </c>
      <c r="G107" t="n">
        <v>3.4</v>
      </c>
      <c r="H107" t="n">
        <v>0</v>
      </c>
      <c r="I107" t="n">
        <v>0</v>
      </c>
      <c r="J107" t="n">
        <v>1</v>
      </c>
      <c r="K107" t="n">
        <v>0</v>
      </c>
      <c r="L107" t="n">
        <v>0</v>
      </c>
      <c r="M107" t="n">
        <v>0</v>
      </c>
      <c r="N107" t="n">
        <v>0</v>
      </c>
      <c r="O107" t="n">
        <v>1</v>
      </c>
      <c r="P107" t="n">
        <v>0</v>
      </c>
      <c r="Q107" t="n">
        <v>1</v>
      </c>
      <c r="R107" s="2" t="inlineStr">
        <is>
          <t>Slåtterfibbla</t>
        </is>
      </c>
      <c r="S107">
        <f>HYPERLINK("https://klasma.github.io/Logging_0382/artfynd/A 15258-2026 artfynd.xlsx", "A 15258-2026")</f>
        <v/>
      </c>
      <c r="T107">
        <f>HYPERLINK("https://klasma.github.io/Logging_0382/kartor/A 15258-2026 karta.png", "A 15258-2026")</f>
        <v/>
      </c>
      <c r="V107">
        <f>HYPERLINK("https://klasma.github.io/Logging_0382/klagomål/A 15258-2026 FSC-klagomål.docx", "A 15258-2026")</f>
        <v/>
      </c>
      <c r="W107">
        <f>HYPERLINK("https://klasma.github.io/Logging_0382/klagomålsmail/A 15258-2026 FSC-klagomål mail.docx", "A 15258-2026")</f>
        <v/>
      </c>
      <c r="X107">
        <f>HYPERLINK("https://klasma.github.io/Logging_0382/tillsyn/A 15258-2026 tillsynsbegäran.docx", "A 15258-2026")</f>
        <v/>
      </c>
      <c r="Y107">
        <f>HYPERLINK("https://klasma.github.io/Logging_0382/tillsynsmail/A 15258-2026 tillsynsbegäran mail.docx", "A 15258-2026")</f>
        <v/>
      </c>
    </row>
    <row r="108" ht="15" customHeight="1">
      <c r="A108" t="inlineStr">
        <is>
          <t>A 49839-2021</t>
        </is>
      </c>
      <c r="B108" s="1" t="n">
        <v>44455</v>
      </c>
      <c r="C108" s="1" t="n">
        <v>46110</v>
      </c>
      <c r="D108" t="inlineStr">
        <is>
          <t>UPPSALA LÄN</t>
        </is>
      </c>
      <c r="E108" t="inlineStr">
        <is>
          <t>ÖSTHAMMAR</t>
        </is>
      </c>
      <c r="G108" t="n">
        <v>3.6</v>
      </c>
      <c r="H108" t="n">
        <v>0</v>
      </c>
      <c r="I108" t="n">
        <v>0</v>
      </c>
      <c r="J108" t="n">
        <v>0</v>
      </c>
      <c r="K108" t="n">
        <v>1</v>
      </c>
      <c r="L108" t="n">
        <v>0</v>
      </c>
      <c r="M108" t="n">
        <v>0</v>
      </c>
      <c r="N108" t="n">
        <v>0</v>
      </c>
      <c r="O108" t="n">
        <v>1</v>
      </c>
      <c r="P108" t="n">
        <v>1</v>
      </c>
      <c r="Q108" t="n">
        <v>1</v>
      </c>
      <c r="R108" s="2" t="inlineStr">
        <is>
          <t>Violgubbe</t>
        </is>
      </c>
      <c r="S108">
        <f>HYPERLINK("https://klasma.github.io/Logging_0382/artfynd/A 49839-2021 artfynd.xlsx", "A 49839-2021")</f>
        <v/>
      </c>
      <c r="T108">
        <f>HYPERLINK("https://klasma.github.io/Logging_0382/kartor/A 49839-2021 karta.png", "A 49839-2021")</f>
        <v/>
      </c>
      <c r="V108">
        <f>HYPERLINK("https://klasma.github.io/Logging_0382/klagomål/A 49839-2021 FSC-klagomål.docx", "A 49839-2021")</f>
        <v/>
      </c>
      <c r="W108">
        <f>HYPERLINK("https://klasma.github.io/Logging_0382/klagomålsmail/A 49839-2021 FSC-klagomål mail.docx", "A 49839-2021")</f>
        <v/>
      </c>
      <c r="X108">
        <f>HYPERLINK("https://klasma.github.io/Logging_0382/tillsyn/A 49839-2021 tillsynsbegäran.docx", "A 49839-2021")</f>
        <v/>
      </c>
      <c r="Y108">
        <f>HYPERLINK("https://klasma.github.io/Logging_0382/tillsynsmail/A 49839-2021 tillsynsbegäran mail.docx", "A 49839-2021")</f>
        <v/>
      </c>
    </row>
    <row r="109" ht="15" customHeight="1">
      <c r="A109" t="inlineStr">
        <is>
          <t>A 22375-2024</t>
        </is>
      </c>
      <c r="B109" s="1" t="n">
        <v>45446</v>
      </c>
      <c r="C109" s="1" t="n">
        <v>46110</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37296-2023</t>
        </is>
      </c>
      <c r="B110" s="1" t="n">
        <v>45156</v>
      </c>
      <c r="C110" s="1" t="n">
        <v>46110</v>
      </c>
      <c r="D110" t="inlineStr">
        <is>
          <t>UPPSALA LÄN</t>
        </is>
      </c>
      <c r="E110" t="inlineStr">
        <is>
          <t>ÖSTHAMMAR</t>
        </is>
      </c>
      <c r="G110" t="n">
        <v>4.7</v>
      </c>
      <c r="H110" t="n">
        <v>1</v>
      </c>
      <c r="I110" t="n">
        <v>0</v>
      </c>
      <c r="J110" t="n">
        <v>0</v>
      </c>
      <c r="K110" t="n">
        <v>1</v>
      </c>
      <c r="L110" t="n">
        <v>0</v>
      </c>
      <c r="M110" t="n">
        <v>0</v>
      </c>
      <c r="N110" t="n">
        <v>0</v>
      </c>
      <c r="O110" t="n">
        <v>1</v>
      </c>
      <c r="P110" t="n">
        <v>1</v>
      </c>
      <c r="Q110" t="n">
        <v>1</v>
      </c>
      <c r="R110" s="2" t="inlineStr">
        <is>
          <t>Backsippa</t>
        </is>
      </c>
      <c r="S110">
        <f>HYPERLINK("https://klasma.github.io/Logging_0382/artfynd/A 37296-2023 artfynd.xlsx", "A 37296-2023")</f>
        <v/>
      </c>
      <c r="T110">
        <f>HYPERLINK("https://klasma.github.io/Logging_0382/kartor/A 37296-2023 karta.png", "A 37296-2023")</f>
        <v/>
      </c>
      <c r="V110">
        <f>HYPERLINK("https://klasma.github.io/Logging_0382/klagomål/A 37296-2023 FSC-klagomål.docx", "A 37296-2023")</f>
        <v/>
      </c>
      <c r="W110">
        <f>HYPERLINK("https://klasma.github.io/Logging_0382/klagomålsmail/A 37296-2023 FSC-klagomål mail.docx", "A 37296-2023")</f>
        <v/>
      </c>
      <c r="X110">
        <f>HYPERLINK("https://klasma.github.io/Logging_0382/tillsyn/A 37296-2023 tillsynsbegäran.docx", "A 37296-2023")</f>
        <v/>
      </c>
      <c r="Y110">
        <f>HYPERLINK("https://klasma.github.io/Logging_0382/tillsynsmail/A 37296-2023 tillsynsbegäran mail.docx", "A 37296-2023")</f>
        <v/>
      </c>
    </row>
    <row r="111" ht="15" customHeight="1">
      <c r="A111" t="inlineStr">
        <is>
          <t>A 65989-2021</t>
        </is>
      </c>
      <c r="B111" s="1" t="n">
        <v>44517</v>
      </c>
      <c r="C111" s="1" t="n">
        <v>46110</v>
      </c>
      <c r="D111" t="inlineStr">
        <is>
          <t>UPPSALA LÄN</t>
        </is>
      </c>
      <c r="E111" t="inlineStr">
        <is>
          <t>ÖSTHAMMAR</t>
        </is>
      </c>
      <c r="G111" t="n">
        <v>6.9</v>
      </c>
      <c r="H111" t="n">
        <v>1</v>
      </c>
      <c r="I111" t="n">
        <v>1</v>
      </c>
      <c r="J111" t="n">
        <v>0</v>
      </c>
      <c r="K111" t="n">
        <v>0</v>
      </c>
      <c r="L111" t="n">
        <v>0</v>
      </c>
      <c r="M111" t="n">
        <v>0</v>
      </c>
      <c r="N111" t="n">
        <v>0</v>
      </c>
      <c r="O111" t="n">
        <v>0</v>
      </c>
      <c r="P111" t="n">
        <v>0</v>
      </c>
      <c r="Q111" t="n">
        <v>1</v>
      </c>
      <c r="R111" s="2" t="inlineStr">
        <is>
          <t>Skogsknipprot</t>
        </is>
      </c>
      <c r="S111">
        <f>HYPERLINK("https://klasma.github.io/Logging_0382/artfynd/A 65989-2021 artfynd.xlsx", "A 65989-2021")</f>
        <v/>
      </c>
      <c r="T111">
        <f>HYPERLINK("https://klasma.github.io/Logging_0382/kartor/A 65989-2021 karta.png", "A 65989-2021")</f>
        <v/>
      </c>
      <c r="V111">
        <f>HYPERLINK("https://klasma.github.io/Logging_0382/klagomål/A 65989-2021 FSC-klagomål.docx", "A 65989-2021")</f>
        <v/>
      </c>
      <c r="W111">
        <f>HYPERLINK("https://klasma.github.io/Logging_0382/klagomålsmail/A 65989-2021 FSC-klagomål mail.docx", "A 65989-2021")</f>
        <v/>
      </c>
      <c r="X111">
        <f>HYPERLINK("https://klasma.github.io/Logging_0382/tillsyn/A 65989-2021 tillsynsbegäran.docx", "A 65989-2021")</f>
        <v/>
      </c>
      <c r="Y111">
        <f>HYPERLINK("https://klasma.github.io/Logging_0382/tillsynsmail/A 65989-2021 tillsynsbegäran mail.docx", "A 65989-2021")</f>
        <v/>
      </c>
    </row>
    <row r="112" ht="15" customHeight="1">
      <c r="A112" t="inlineStr">
        <is>
          <t>A 7446-2022</t>
        </is>
      </c>
      <c r="B112" s="1" t="n">
        <v>44606</v>
      </c>
      <c r="C112" s="1" t="n">
        <v>46110</v>
      </c>
      <c r="D112" t="inlineStr">
        <is>
          <t>UPPSALA LÄN</t>
        </is>
      </c>
      <c r="E112" t="inlineStr">
        <is>
          <t>ÖSTHAMMAR</t>
        </is>
      </c>
      <c r="G112" t="n">
        <v>5</v>
      </c>
      <c r="H112" t="n">
        <v>1</v>
      </c>
      <c r="I112" t="n">
        <v>0</v>
      </c>
      <c r="J112" t="n">
        <v>0</v>
      </c>
      <c r="K112" t="n">
        <v>0</v>
      </c>
      <c r="L112" t="n">
        <v>0</v>
      </c>
      <c r="M112" t="n">
        <v>0</v>
      </c>
      <c r="N112" t="n">
        <v>0</v>
      </c>
      <c r="O112" t="n">
        <v>0</v>
      </c>
      <c r="P112" t="n">
        <v>0</v>
      </c>
      <c r="Q112" t="n">
        <v>1</v>
      </c>
      <c r="R112" s="2" t="inlineStr">
        <is>
          <t>Mattlummer</t>
        </is>
      </c>
      <c r="S112">
        <f>HYPERLINK("https://klasma.github.io/Logging_0382/artfynd/A 7446-2022 artfynd.xlsx", "A 7446-2022")</f>
        <v/>
      </c>
      <c r="T112">
        <f>HYPERLINK("https://klasma.github.io/Logging_0382/kartor/A 7446-2022 karta.png", "A 7446-2022")</f>
        <v/>
      </c>
      <c r="V112">
        <f>HYPERLINK("https://klasma.github.io/Logging_0382/klagomål/A 7446-2022 FSC-klagomål.docx", "A 7446-2022")</f>
        <v/>
      </c>
      <c r="W112">
        <f>HYPERLINK("https://klasma.github.io/Logging_0382/klagomålsmail/A 7446-2022 FSC-klagomål mail.docx", "A 7446-2022")</f>
        <v/>
      </c>
      <c r="X112">
        <f>HYPERLINK("https://klasma.github.io/Logging_0382/tillsyn/A 7446-2022 tillsynsbegäran.docx", "A 7446-2022")</f>
        <v/>
      </c>
      <c r="Y112">
        <f>HYPERLINK("https://klasma.github.io/Logging_0382/tillsynsmail/A 7446-2022 tillsynsbegäran mail.docx", "A 7446-2022")</f>
        <v/>
      </c>
    </row>
    <row r="113" ht="15" customHeight="1">
      <c r="A113" t="inlineStr">
        <is>
          <t>A 1227-2022</t>
        </is>
      </c>
      <c r="B113" s="1" t="n">
        <v>44572.57641203704</v>
      </c>
      <c r="C113" s="1" t="n">
        <v>46110</v>
      </c>
      <c r="D113" t="inlineStr">
        <is>
          <t>UPPSALA LÄN</t>
        </is>
      </c>
      <c r="E113" t="inlineStr">
        <is>
          <t>ÖSTHAMMAR</t>
        </is>
      </c>
      <c r="G113" t="n">
        <v>1.7</v>
      </c>
      <c r="H113" t="n">
        <v>0</v>
      </c>
      <c r="I113" t="n">
        <v>1</v>
      </c>
      <c r="J113" t="n">
        <v>0</v>
      </c>
      <c r="K113" t="n">
        <v>0</v>
      </c>
      <c r="L113" t="n">
        <v>0</v>
      </c>
      <c r="M113" t="n">
        <v>0</v>
      </c>
      <c r="N113" t="n">
        <v>0</v>
      </c>
      <c r="O113" t="n">
        <v>0</v>
      </c>
      <c r="P113" t="n">
        <v>0</v>
      </c>
      <c r="Q113" t="n">
        <v>1</v>
      </c>
      <c r="R113" s="2" t="inlineStr">
        <is>
          <t>Guldkremla</t>
        </is>
      </c>
      <c r="S113">
        <f>HYPERLINK("https://klasma.github.io/Logging_0382/artfynd/A 1227-2022 artfynd.xlsx", "A 1227-2022")</f>
        <v/>
      </c>
      <c r="T113">
        <f>HYPERLINK("https://klasma.github.io/Logging_0382/kartor/A 1227-2022 karta.png", "A 1227-2022")</f>
        <v/>
      </c>
      <c r="V113">
        <f>HYPERLINK("https://klasma.github.io/Logging_0382/klagomål/A 1227-2022 FSC-klagomål.docx", "A 1227-2022")</f>
        <v/>
      </c>
      <c r="W113">
        <f>HYPERLINK("https://klasma.github.io/Logging_0382/klagomålsmail/A 1227-2022 FSC-klagomål mail.docx", "A 1227-2022")</f>
        <v/>
      </c>
      <c r="X113">
        <f>HYPERLINK("https://klasma.github.io/Logging_0382/tillsyn/A 1227-2022 tillsynsbegäran.docx", "A 1227-2022")</f>
        <v/>
      </c>
      <c r="Y113">
        <f>HYPERLINK("https://klasma.github.io/Logging_0382/tillsynsmail/A 1227-2022 tillsynsbegäran mail.docx", "A 1227-2022")</f>
        <v/>
      </c>
    </row>
    <row r="114" ht="15" customHeight="1">
      <c r="A114" t="inlineStr">
        <is>
          <t>A 29679-2023</t>
        </is>
      </c>
      <c r="B114" s="1" t="n">
        <v>45107</v>
      </c>
      <c r="C114" s="1" t="n">
        <v>46110</v>
      </c>
      <c r="D114" t="inlineStr">
        <is>
          <t>UPPSALA LÄN</t>
        </is>
      </c>
      <c r="E114" t="inlineStr">
        <is>
          <t>ÖSTHAMMAR</t>
        </is>
      </c>
      <c r="F114" t="inlineStr">
        <is>
          <t>Övriga Aktiebolag</t>
        </is>
      </c>
      <c r="G114" t="n">
        <v>7.3</v>
      </c>
      <c r="H114" t="n">
        <v>0</v>
      </c>
      <c r="I114" t="n">
        <v>0</v>
      </c>
      <c r="J114" t="n">
        <v>1</v>
      </c>
      <c r="K114" t="n">
        <v>0</v>
      </c>
      <c r="L114" t="n">
        <v>0</v>
      </c>
      <c r="M114" t="n">
        <v>0</v>
      </c>
      <c r="N114" t="n">
        <v>0</v>
      </c>
      <c r="O114" t="n">
        <v>1</v>
      </c>
      <c r="P114" t="n">
        <v>0</v>
      </c>
      <c r="Q114" t="n">
        <v>1</v>
      </c>
      <c r="R114" s="2" t="inlineStr">
        <is>
          <t>Vintertagging</t>
        </is>
      </c>
      <c r="S114">
        <f>HYPERLINK("https://klasma.github.io/Logging_0382/artfynd/A 29679-2023 artfynd.xlsx", "A 29679-2023")</f>
        <v/>
      </c>
      <c r="T114">
        <f>HYPERLINK("https://klasma.github.io/Logging_0382/kartor/A 29679-2023 karta.png", "A 29679-2023")</f>
        <v/>
      </c>
      <c r="V114">
        <f>HYPERLINK("https://klasma.github.io/Logging_0382/klagomål/A 29679-2023 FSC-klagomål.docx", "A 29679-2023")</f>
        <v/>
      </c>
      <c r="W114">
        <f>HYPERLINK("https://klasma.github.io/Logging_0382/klagomålsmail/A 29679-2023 FSC-klagomål mail.docx", "A 29679-2023")</f>
        <v/>
      </c>
      <c r="X114">
        <f>HYPERLINK("https://klasma.github.io/Logging_0382/tillsyn/A 29679-2023 tillsynsbegäran.docx", "A 29679-2023")</f>
        <v/>
      </c>
      <c r="Y114">
        <f>HYPERLINK("https://klasma.github.io/Logging_0382/tillsynsmail/A 29679-2023 tillsynsbegäran mail.docx", "A 29679-2023")</f>
        <v/>
      </c>
    </row>
    <row r="115" ht="15" customHeight="1">
      <c r="A115" t="inlineStr">
        <is>
          <t>A 24797-2022</t>
        </is>
      </c>
      <c r="B115" s="1" t="n">
        <v>44728</v>
      </c>
      <c r="C115" s="1" t="n">
        <v>46110</v>
      </c>
      <c r="D115" t="inlineStr">
        <is>
          <t>UPPSALA LÄN</t>
        </is>
      </c>
      <c r="E115" t="inlineStr">
        <is>
          <t>ÖSTHAMMAR</t>
        </is>
      </c>
      <c r="F115" t="inlineStr">
        <is>
          <t>Sveaskog</t>
        </is>
      </c>
      <c r="G115" t="n">
        <v>1.7</v>
      </c>
      <c r="H115" t="n">
        <v>1</v>
      </c>
      <c r="I115" t="n">
        <v>0</v>
      </c>
      <c r="J115" t="n">
        <v>1</v>
      </c>
      <c r="K115" t="n">
        <v>0</v>
      </c>
      <c r="L115" t="n">
        <v>0</v>
      </c>
      <c r="M115" t="n">
        <v>0</v>
      </c>
      <c r="N115" t="n">
        <v>0</v>
      </c>
      <c r="O115" t="n">
        <v>1</v>
      </c>
      <c r="P115" t="n">
        <v>0</v>
      </c>
      <c r="Q115" t="n">
        <v>1</v>
      </c>
      <c r="R115" s="2" t="inlineStr">
        <is>
          <t>Gulsparv</t>
        </is>
      </c>
      <c r="S115">
        <f>HYPERLINK("https://klasma.github.io/Logging_0382/artfynd/A 24797-2022 artfynd.xlsx", "A 24797-2022")</f>
        <v/>
      </c>
      <c r="T115">
        <f>HYPERLINK("https://klasma.github.io/Logging_0382/kartor/A 24797-2022 karta.png", "A 24797-2022")</f>
        <v/>
      </c>
      <c r="V115">
        <f>HYPERLINK("https://klasma.github.io/Logging_0382/klagomål/A 24797-2022 FSC-klagomål.docx", "A 24797-2022")</f>
        <v/>
      </c>
      <c r="W115">
        <f>HYPERLINK("https://klasma.github.io/Logging_0382/klagomålsmail/A 24797-2022 FSC-klagomål mail.docx", "A 24797-2022")</f>
        <v/>
      </c>
      <c r="X115">
        <f>HYPERLINK("https://klasma.github.io/Logging_0382/tillsyn/A 24797-2022 tillsynsbegäran.docx", "A 24797-2022")</f>
        <v/>
      </c>
      <c r="Y115">
        <f>HYPERLINK("https://klasma.github.io/Logging_0382/tillsynsmail/A 24797-2022 tillsynsbegäran mail.docx", "A 24797-2022")</f>
        <v/>
      </c>
      <c r="Z115">
        <f>HYPERLINK("https://klasma.github.io/Logging_0382/fåglar/A 24797-2022 prioriterade fågelarter.docx", "A 24797-2022")</f>
        <v/>
      </c>
    </row>
    <row r="116" ht="15" customHeight="1">
      <c r="A116" t="inlineStr">
        <is>
          <t>A 34090-2023</t>
        </is>
      </c>
      <c r="B116" s="1" t="n">
        <v>45135</v>
      </c>
      <c r="C116" s="1" t="n">
        <v>46110</v>
      </c>
      <c r="D116" t="inlineStr">
        <is>
          <t>UPPSALA LÄN</t>
        </is>
      </c>
      <c r="E116" t="inlineStr">
        <is>
          <t>ÖSTHAMMAR</t>
        </is>
      </c>
      <c r="F116" t="inlineStr">
        <is>
          <t>Bergvik skog öst AB</t>
        </is>
      </c>
      <c r="G116" t="n">
        <v>5.7</v>
      </c>
      <c r="H116" t="n">
        <v>1</v>
      </c>
      <c r="I116" t="n">
        <v>0</v>
      </c>
      <c r="J116" t="n">
        <v>1</v>
      </c>
      <c r="K116" t="n">
        <v>0</v>
      </c>
      <c r="L116" t="n">
        <v>0</v>
      </c>
      <c r="M116" t="n">
        <v>0</v>
      </c>
      <c r="N116" t="n">
        <v>0</v>
      </c>
      <c r="O116" t="n">
        <v>1</v>
      </c>
      <c r="P116" t="n">
        <v>0</v>
      </c>
      <c r="Q116" t="n">
        <v>1</v>
      </c>
      <c r="R116" s="2" t="inlineStr">
        <is>
          <t>Spillkråka</t>
        </is>
      </c>
      <c r="S116">
        <f>HYPERLINK("https://klasma.github.io/Logging_0382/artfynd/A 34090-2023 artfynd.xlsx", "A 34090-2023")</f>
        <v/>
      </c>
      <c r="T116">
        <f>HYPERLINK("https://klasma.github.io/Logging_0382/kartor/A 34090-2023 karta.png", "A 34090-2023")</f>
        <v/>
      </c>
      <c r="V116">
        <f>HYPERLINK("https://klasma.github.io/Logging_0382/klagomål/A 34090-2023 FSC-klagomål.docx", "A 34090-2023")</f>
        <v/>
      </c>
      <c r="W116">
        <f>HYPERLINK("https://klasma.github.io/Logging_0382/klagomålsmail/A 34090-2023 FSC-klagomål mail.docx", "A 34090-2023")</f>
        <v/>
      </c>
      <c r="X116">
        <f>HYPERLINK("https://klasma.github.io/Logging_0382/tillsyn/A 34090-2023 tillsynsbegäran.docx", "A 34090-2023")</f>
        <v/>
      </c>
      <c r="Y116">
        <f>HYPERLINK("https://klasma.github.io/Logging_0382/tillsynsmail/A 34090-2023 tillsynsbegäran mail.docx", "A 34090-2023")</f>
        <v/>
      </c>
      <c r="Z116">
        <f>HYPERLINK("https://klasma.github.io/Logging_0382/fåglar/A 34090-2023 prioriterade fågelarter.docx", "A 34090-2023")</f>
        <v/>
      </c>
    </row>
    <row r="117" ht="15" customHeight="1">
      <c r="A117" t="inlineStr">
        <is>
          <t>A 14706-2023</t>
        </is>
      </c>
      <c r="B117" s="1" t="n">
        <v>45013</v>
      </c>
      <c r="C117" s="1" t="n">
        <v>46110</v>
      </c>
      <c r="D117" t="inlineStr">
        <is>
          <t>UPPSALA LÄN</t>
        </is>
      </c>
      <c r="E117" t="inlineStr">
        <is>
          <t>ÖSTHAMMAR</t>
        </is>
      </c>
      <c r="G117" t="n">
        <v>0.9</v>
      </c>
      <c r="H117" t="n">
        <v>0</v>
      </c>
      <c r="I117" t="n">
        <v>1</v>
      </c>
      <c r="J117" t="n">
        <v>0</v>
      </c>
      <c r="K117" t="n">
        <v>0</v>
      </c>
      <c r="L117" t="n">
        <v>0</v>
      </c>
      <c r="M117" t="n">
        <v>0</v>
      </c>
      <c r="N117" t="n">
        <v>0</v>
      </c>
      <c r="O117" t="n">
        <v>0</v>
      </c>
      <c r="P117" t="n">
        <v>0</v>
      </c>
      <c r="Q117" t="n">
        <v>1</v>
      </c>
      <c r="R117" s="2" t="inlineStr">
        <is>
          <t>Olivspindling</t>
        </is>
      </c>
      <c r="S117">
        <f>HYPERLINK("https://klasma.github.io/Logging_0382/artfynd/A 14706-2023 artfynd.xlsx", "A 14706-2023")</f>
        <v/>
      </c>
      <c r="T117">
        <f>HYPERLINK("https://klasma.github.io/Logging_0382/kartor/A 14706-2023 karta.png", "A 14706-2023")</f>
        <v/>
      </c>
      <c r="V117">
        <f>HYPERLINK("https://klasma.github.io/Logging_0382/klagomål/A 14706-2023 FSC-klagomål.docx", "A 14706-2023")</f>
        <v/>
      </c>
      <c r="W117">
        <f>HYPERLINK("https://klasma.github.io/Logging_0382/klagomålsmail/A 14706-2023 FSC-klagomål mail.docx", "A 14706-2023")</f>
        <v/>
      </c>
      <c r="X117">
        <f>HYPERLINK("https://klasma.github.io/Logging_0382/tillsyn/A 14706-2023 tillsynsbegäran.docx", "A 14706-2023")</f>
        <v/>
      </c>
      <c r="Y117">
        <f>HYPERLINK("https://klasma.github.io/Logging_0382/tillsynsmail/A 14706-2023 tillsynsbegäran mail.docx", "A 14706-2023")</f>
        <v/>
      </c>
    </row>
    <row r="118" ht="15" customHeight="1">
      <c r="A118" t="inlineStr">
        <is>
          <t>A 12753-2024</t>
        </is>
      </c>
      <c r="B118" s="1" t="n">
        <v>45384</v>
      </c>
      <c r="C118" s="1" t="n">
        <v>46110</v>
      </c>
      <c r="D118" t="inlineStr">
        <is>
          <t>UPPSALA LÄN</t>
        </is>
      </c>
      <c r="E118" t="inlineStr">
        <is>
          <t>ÖSTHAMMAR</t>
        </is>
      </c>
      <c r="G118" t="n">
        <v>1.7</v>
      </c>
      <c r="H118" t="n">
        <v>0</v>
      </c>
      <c r="I118" t="n">
        <v>0</v>
      </c>
      <c r="J118" t="n">
        <v>1</v>
      </c>
      <c r="K118" t="n">
        <v>0</v>
      </c>
      <c r="L118" t="n">
        <v>0</v>
      </c>
      <c r="M118" t="n">
        <v>0</v>
      </c>
      <c r="N118" t="n">
        <v>0</v>
      </c>
      <c r="O118" t="n">
        <v>1</v>
      </c>
      <c r="P118" t="n">
        <v>0</v>
      </c>
      <c r="Q118" t="n">
        <v>1</v>
      </c>
      <c r="R118" s="2" t="inlineStr">
        <is>
          <t>Flattoppad klubbsvamp</t>
        </is>
      </c>
      <c r="S118">
        <f>HYPERLINK("https://klasma.github.io/Logging_0382/artfynd/A 12753-2024 artfynd.xlsx", "A 12753-2024")</f>
        <v/>
      </c>
      <c r="T118">
        <f>HYPERLINK("https://klasma.github.io/Logging_0382/kartor/A 12753-2024 karta.png", "A 12753-2024")</f>
        <v/>
      </c>
      <c r="V118">
        <f>HYPERLINK("https://klasma.github.io/Logging_0382/klagomål/A 12753-2024 FSC-klagomål.docx", "A 12753-2024")</f>
        <v/>
      </c>
      <c r="W118">
        <f>HYPERLINK("https://klasma.github.io/Logging_0382/klagomålsmail/A 12753-2024 FSC-klagomål mail.docx", "A 12753-2024")</f>
        <v/>
      </c>
      <c r="X118">
        <f>HYPERLINK("https://klasma.github.io/Logging_0382/tillsyn/A 12753-2024 tillsynsbegäran.docx", "A 12753-2024")</f>
        <v/>
      </c>
      <c r="Y118">
        <f>HYPERLINK("https://klasma.github.io/Logging_0382/tillsynsmail/A 12753-2024 tillsynsbegäran mail.docx", "A 12753-2024")</f>
        <v/>
      </c>
    </row>
    <row r="119" ht="15" customHeight="1">
      <c r="A119" t="inlineStr">
        <is>
          <t>A 73983-2021</t>
        </is>
      </c>
      <c r="B119" s="1" t="n">
        <v>44555.80506944445</v>
      </c>
      <c r="C119" s="1" t="n">
        <v>46110</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46110</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46110</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46110</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46110</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46110</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46110</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46110</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46110</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46110</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46110</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46110</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46110</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46110</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46110</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46110</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46110</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2108-2022</t>
        </is>
      </c>
      <c r="B136" s="1" t="n">
        <v>44577.83829861111</v>
      </c>
      <c r="C136" s="1" t="n">
        <v>46110</v>
      </c>
      <c r="D136" t="inlineStr">
        <is>
          <t>UPPSALA LÄN</t>
        </is>
      </c>
      <c r="E136" t="inlineStr">
        <is>
          <t>ÖSTHAMMAR</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51412-2021</t>
        </is>
      </c>
      <c r="B137" s="1" t="n">
        <v>44461</v>
      </c>
      <c r="C137" s="1" t="n">
        <v>46110</v>
      </c>
      <c r="D137" t="inlineStr">
        <is>
          <t>UPPSALA LÄN</t>
        </is>
      </c>
      <c r="E137" t="inlineStr">
        <is>
          <t>ÖSTHAMMAR</t>
        </is>
      </c>
      <c r="G137" t="n">
        <v>1.7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46110</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31263-2021</t>
        </is>
      </c>
      <c r="B139" s="1" t="n">
        <v>44368</v>
      </c>
      <c r="C139" s="1" t="n">
        <v>46110</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46110</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46110</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46110</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46110</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46110</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46110</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46110</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46110</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46110</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46110</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46110</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46110</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46110</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46110</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46110</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46110</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46110</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5932-2022</t>
        </is>
      </c>
      <c r="B157" s="1" t="n">
        <v>44598.8281712963</v>
      </c>
      <c r="C157" s="1" t="n">
        <v>46110</v>
      </c>
      <c r="D157" t="inlineStr">
        <is>
          <t>UPPSALA LÄN</t>
        </is>
      </c>
      <c r="E157" t="inlineStr">
        <is>
          <t>ÖSTHAMMAR</t>
        </is>
      </c>
      <c r="F157" t="inlineStr">
        <is>
          <t>Bergvik skog öst AB</t>
        </is>
      </c>
      <c r="G157" t="n">
        <v>0.3</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46110</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46110</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46110</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46110</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46110</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46110</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46110</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46110</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46110</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46110</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46110</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46110</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46110</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46110</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46110</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46110</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46110</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46110</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46110</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46110</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46110</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46110</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46110</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46110</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46110</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46110</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46110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46110</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46110</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46110</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46110</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46110</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46110</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46110</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46110</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46110</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46110</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19214-2021</t>
        </is>
      </c>
      <c r="B195" s="1" t="n">
        <v>44309.28576388889</v>
      </c>
      <c r="C195" s="1" t="n">
        <v>46110</v>
      </c>
      <c r="D195" t="inlineStr">
        <is>
          <t>UPPSALA LÄN</t>
        </is>
      </c>
      <c r="E195" t="inlineStr">
        <is>
          <t>ÖSTHAMMAR</t>
        </is>
      </c>
      <c r="F195" t="inlineStr">
        <is>
          <t>Bergvik skog öst AB</t>
        </is>
      </c>
      <c r="G195" t="n">
        <v>6</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46110</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46110</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46110</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46110</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46110</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46110</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46110</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46110</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46110</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46110</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46110</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49097-2022</t>
        </is>
      </c>
      <c r="B207" s="1" t="n">
        <v>44860</v>
      </c>
      <c r="C207" s="1" t="n">
        <v>46110</v>
      </c>
      <c r="D207" t="inlineStr">
        <is>
          <t>UPPSALA LÄN</t>
        </is>
      </c>
      <c r="E207" t="inlineStr">
        <is>
          <t>ÖSTHAMMAR</t>
        </is>
      </c>
      <c r="G207" t="n">
        <v>6.9</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46110</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20326-2021</t>
        </is>
      </c>
      <c r="B209" s="1" t="n">
        <v>44308</v>
      </c>
      <c r="C209" s="1" t="n">
        <v>46110</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28421-2023</t>
        </is>
      </c>
      <c r="B210" s="1" t="n">
        <v>45102</v>
      </c>
      <c r="C210" s="1" t="n">
        <v>46110</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17867-2024</t>
        </is>
      </c>
      <c r="B211" s="1" t="n">
        <v>45419.44106481481</v>
      </c>
      <c r="C211" s="1" t="n">
        <v>46110</v>
      </c>
      <c r="D211" t="inlineStr">
        <is>
          <t>UPPSALA LÄN</t>
        </is>
      </c>
      <c r="E211" t="inlineStr">
        <is>
          <t>ÖSTHAMMAR</t>
        </is>
      </c>
      <c r="G211" t="n">
        <v>7.2</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46110</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22488-2025</t>
        </is>
      </c>
      <c r="B213" s="1" t="n">
        <v>45786.64865740741</v>
      </c>
      <c r="C213" s="1" t="n">
        <v>46110</v>
      </c>
      <c r="D213" t="inlineStr">
        <is>
          <t>UPPSALA LÄN</t>
        </is>
      </c>
      <c r="E213" t="inlineStr">
        <is>
          <t>ÖSTHAMMAR</t>
        </is>
      </c>
      <c r="F213" t="inlineStr">
        <is>
          <t>Bergvik skog öst AB</t>
        </is>
      </c>
      <c r="G213" t="n">
        <v>14.9</v>
      </c>
      <c r="H213" t="n">
        <v>0</v>
      </c>
      <c r="I213" t="n">
        <v>0</v>
      </c>
      <c r="J213" t="n">
        <v>0</v>
      </c>
      <c r="K213" t="n">
        <v>0</v>
      </c>
      <c r="L213" t="n">
        <v>0</v>
      </c>
      <c r="M213" t="n">
        <v>0</v>
      </c>
      <c r="N213" t="n">
        <v>0</v>
      </c>
      <c r="O213" t="n">
        <v>0</v>
      </c>
      <c r="P213" t="n">
        <v>0</v>
      </c>
      <c r="Q213" t="n">
        <v>0</v>
      </c>
      <c r="R213" s="2" t="inlineStr"/>
    </row>
    <row r="214" ht="15" customHeight="1">
      <c r="A214" t="inlineStr">
        <is>
          <t>A 36954-2024</t>
        </is>
      </c>
      <c r="B214" s="1" t="n">
        <v>45538.71109953704</v>
      </c>
      <c r="C214" s="1" t="n">
        <v>46110</v>
      </c>
      <c r="D214" t="inlineStr">
        <is>
          <t>UPPSALA LÄN</t>
        </is>
      </c>
      <c r="E214" t="inlineStr">
        <is>
          <t>ÖSTHAMMAR</t>
        </is>
      </c>
      <c r="F214" t="inlineStr">
        <is>
          <t>Bergvik skog öst AB</t>
        </is>
      </c>
      <c r="G214" t="n">
        <v>5.1</v>
      </c>
      <c r="H214" t="n">
        <v>0</v>
      </c>
      <c r="I214" t="n">
        <v>0</v>
      </c>
      <c r="J214" t="n">
        <v>0</v>
      </c>
      <c r="K214" t="n">
        <v>0</v>
      </c>
      <c r="L214" t="n">
        <v>0</v>
      </c>
      <c r="M214" t="n">
        <v>0</v>
      </c>
      <c r="N214" t="n">
        <v>0</v>
      </c>
      <c r="O214" t="n">
        <v>0</v>
      </c>
      <c r="P214" t="n">
        <v>0</v>
      </c>
      <c r="Q214" t="n">
        <v>0</v>
      </c>
      <c r="R214" s="2" t="inlineStr"/>
    </row>
    <row r="215" ht="15" customHeight="1">
      <c r="A215" t="inlineStr">
        <is>
          <t>A 22483-2025</t>
        </is>
      </c>
      <c r="B215" s="1" t="n">
        <v>45786.64141203704</v>
      </c>
      <c r="C215" s="1" t="n">
        <v>46110</v>
      </c>
      <c r="D215" t="inlineStr">
        <is>
          <t>UPPSALA LÄN</t>
        </is>
      </c>
      <c r="E215" t="inlineStr">
        <is>
          <t>ÖSTHAMMAR</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59291-2023</t>
        </is>
      </c>
      <c r="B216" s="1" t="n">
        <v>45253.57559027777</v>
      </c>
      <c r="C216" s="1" t="n">
        <v>46110</v>
      </c>
      <c r="D216" t="inlineStr">
        <is>
          <t>UPPSALA LÄN</t>
        </is>
      </c>
      <c r="E216" t="inlineStr">
        <is>
          <t>ÖSTHAMMAR</t>
        </is>
      </c>
      <c r="G216" t="n">
        <v>1.7</v>
      </c>
      <c r="H216" t="n">
        <v>0</v>
      </c>
      <c r="I216" t="n">
        <v>0</v>
      </c>
      <c r="J216" t="n">
        <v>0</v>
      </c>
      <c r="K216" t="n">
        <v>0</v>
      </c>
      <c r="L216" t="n">
        <v>0</v>
      </c>
      <c r="M216" t="n">
        <v>0</v>
      </c>
      <c r="N216" t="n">
        <v>0</v>
      </c>
      <c r="O216" t="n">
        <v>0</v>
      </c>
      <c r="P216" t="n">
        <v>0</v>
      </c>
      <c r="Q216" t="n">
        <v>0</v>
      </c>
      <c r="R216" s="2" t="inlineStr"/>
    </row>
    <row r="217" ht="15" customHeight="1">
      <c r="A217" t="inlineStr">
        <is>
          <t>A 43685-2024</t>
        </is>
      </c>
      <c r="B217" s="1" t="n">
        <v>45569</v>
      </c>
      <c r="C217" s="1" t="n">
        <v>46110</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38575-2024</t>
        </is>
      </c>
      <c r="B218" s="1" t="n">
        <v>45546.64221064815</v>
      </c>
      <c r="C218" s="1" t="n">
        <v>46110</v>
      </c>
      <c r="D218" t="inlineStr">
        <is>
          <t>UPPSALA LÄN</t>
        </is>
      </c>
      <c r="E218" t="inlineStr">
        <is>
          <t>ÖSTHAMMAR</t>
        </is>
      </c>
      <c r="F218" t="inlineStr">
        <is>
          <t>Bergvik skog öst AB</t>
        </is>
      </c>
      <c r="G218" t="n">
        <v>5.1</v>
      </c>
      <c r="H218" t="n">
        <v>0</v>
      </c>
      <c r="I218" t="n">
        <v>0</v>
      </c>
      <c r="J218" t="n">
        <v>0</v>
      </c>
      <c r="K218" t="n">
        <v>0</v>
      </c>
      <c r="L218" t="n">
        <v>0</v>
      </c>
      <c r="M218" t="n">
        <v>0</v>
      </c>
      <c r="N218" t="n">
        <v>0</v>
      </c>
      <c r="O218" t="n">
        <v>0</v>
      </c>
      <c r="P218" t="n">
        <v>0</v>
      </c>
      <c r="Q218" t="n">
        <v>0</v>
      </c>
      <c r="R218" s="2" t="inlineStr"/>
    </row>
    <row r="219" ht="15" customHeight="1">
      <c r="A219" t="inlineStr">
        <is>
          <t>A 43993-2024</t>
        </is>
      </c>
      <c r="B219" s="1" t="n">
        <v>45572.52690972222</v>
      </c>
      <c r="C219" s="1" t="n">
        <v>46110</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56757-2025</t>
        </is>
      </c>
      <c r="B220" s="1" t="n">
        <v>45978.37162037037</v>
      </c>
      <c r="C220" s="1" t="n">
        <v>46110</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56823-2025</t>
        </is>
      </c>
      <c r="B221" s="1" t="n">
        <v>45978.46484953703</v>
      </c>
      <c r="C221" s="1" t="n">
        <v>46110</v>
      </c>
      <c r="D221" t="inlineStr">
        <is>
          <t>UPPSALA LÄN</t>
        </is>
      </c>
      <c r="E221" t="inlineStr">
        <is>
          <t>ÖSTHAMMAR</t>
        </is>
      </c>
      <c r="G221" t="n">
        <v>0.1</v>
      </c>
      <c r="H221" t="n">
        <v>0</v>
      </c>
      <c r="I221" t="n">
        <v>0</v>
      </c>
      <c r="J221" t="n">
        <v>0</v>
      </c>
      <c r="K221" t="n">
        <v>0</v>
      </c>
      <c r="L221" t="n">
        <v>0</v>
      </c>
      <c r="M221" t="n">
        <v>0</v>
      </c>
      <c r="N221" t="n">
        <v>0</v>
      </c>
      <c r="O221" t="n">
        <v>0</v>
      </c>
      <c r="P221" t="n">
        <v>0</v>
      </c>
      <c r="Q221" t="n">
        <v>0</v>
      </c>
      <c r="R221" s="2" t="inlineStr"/>
    </row>
    <row r="222" ht="15" customHeight="1">
      <c r="A222" t="inlineStr">
        <is>
          <t>A 56754-2025</t>
        </is>
      </c>
      <c r="B222" s="1" t="n">
        <v>45978.36700231482</v>
      </c>
      <c r="C222" s="1" t="n">
        <v>46110</v>
      </c>
      <c r="D222" t="inlineStr">
        <is>
          <t>UPPSALA LÄN</t>
        </is>
      </c>
      <c r="E222" t="inlineStr">
        <is>
          <t>ÖSTHAMMAR</t>
        </is>
      </c>
      <c r="G222" t="n">
        <v>0.9</v>
      </c>
      <c r="H222" t="n">
        <v>0</v>
      </c>
      <c r="I222" t="n">
        <v>0</v>
      </c>
      <c r="J222" t="n">
        <v>0</v>
      </c>
      <c r="K222" t="n">
        <v>0</v>
      </c>
      <c r="L222" t="n">
        <v>0</v>
      </c>
      <c r="M222" t="n">
        <v>0</v>
      </c>
      <c r="N222" t="n">
        <v>0</v>
      </c>
      <c r="O222" t="n">
        <v>0</v>
      </c>
      <c r="P222" t="n">
        <v>0</v>
      </c>
      <c r="Q222" t="n">
        <v>0</v>
      </c>
      <c r="R222" s="2" t="inlineStr"/>
    </row>
    <row r="223" ht="15" customHeight="1">
      <c r="A223" t="inlineStr">
        <is>
          <t>A 22492-2025</t>
        </is>
      </c>
      <c r="B223" s="1" t="n">
        <v>45786.65072916666</v>
      </c>
      <c r="C223" s="1" t="n">
        <v>46110</v>
      </c>
      <c r="D223" t="inlineStr">
        <is>
          <t>UPPSALA LÄN</t>
        </is>
      </c>
      <c r="E223" t="inlineStr">
        <is>
          <t>ÖSTHAMMAR</t>
        </is>
      </c>
      <c r="F223" t="inlineStr">
        <is>
          <t>Bergvik skog öst AB</t>
        </is>
      </c>
      <c r="G223" t="n">
        <v>16.6</v>
      </c>
      <c r="H223" t="n">
        <v>0</v>
      </c>
      <c r="I223" t="n">
        <v>0</v>
      </c>
      <c r="J223" t="n">
        <v>0</v>
      </c>
      <c r="K223" t="n">
        <v>0</v>
      </c>
      <c r="L223" t="n">
        <v>0</v>
      </c>
      <c r="M223" t="n">
        <v>0</v>
      </c>
      <c r="N223" t="n">
        <v>0</v>
      </c>
      <c r="O223" t="n">
        <v>0</v>
      </c>
      <c r="P223" t="n">
        <v>0</v>
      </c>
      <c r="Q223" t="n">
        <v>0</v>
      </c>
      <c r="R223" s="2" t="inlineStr"/>
    </row>
    <row r="224" ht="15" customHeight="1">
      <c r="A224" t="inlineStr">
        <is>
          <t>A 56748-2025</t>
        </is>
      </c>
      <c r="B224" s="1" t="n">
        <v>45978.36412037037</v>
      </c>
      <c r="C224" s="1" t="n">
        <v>46110</v>
      </c>
      <c r="D224" t="inlineStr">
        <is>
          <t>UPPSALA LÄN</t>
        </is>
      </c>
      <c r="E224" t="inlineStr">
        <is>
          <t>ÖSTHAMMAR</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56653-2025</t>
        </is>
      </c>
      <c r="B225" s="1" t="n">
        <v>45975.64628472222</v>
      </c>
      <c r="C225" s="1" t="n">
        <v>46110</v>
      </c>
      <c r="D225" t="inlineStr">
        <is>
          <t>UPPSALA LÄN</t>
        </is>
      </c>
      <c r="E225" t="inlineStr">
        <is>
          <t>ÖSTHAMMAR</t>
        </is>
      </c>
      <c r="G225" t="n">
        <v>1.7</v>
      </c>
      <c r="H225" t="n">
        <v>0</v>
      </c>
      <c r="I225" t="n">
        <v>0</v>
      </c>
      <c r="J225" t="n">
        <v>0</v>
      </c>
      <c r="K225" t="n">
        <v>0</v>
      </c>
      <c r="L225" t="n">
        <v>0</v>
      </c>
      <c r="M225" t="n">
        <v>0</v>
      </c>
      <c r="N225" t="n">
        <v>0</v>
      </c>
      <c r="O225" t="n">
        <v>0</v>
      </c>
      <c r="P225" t="n">
        <v>0</v>
      </c>
      <c r="Q225" t="n">
        <v>0</v>
      </c>
      <c r="R225" s="2" t="inlineStr"/>
    </row>
    <row r="226" ht="15" customHeight="1">
      <c r="A226" t="inlineStr">
        <is>
          <t>A 56753-2025</t>
        </is>
      </c>
      <c r="B226" s="1" t="n">
        <v>45978.36677083333</v>
      </c>
      <c r="C226" s="1" t="n">
        <v>46110</v>
      </c>
      <c r="D226" t="inlineStr">
        <is>
          <t>UPPSALA LÄN</t>
        </is>
      </c>
      <c r="E226" t="inlineStr">
        <is>
          <t>ÖSTHAMMAR</t>
        </is>
      </c>
      <c r="F226" t="inlineStr">
        <is>
          <t>Sveaskog</t>
        </is>
      </c>
      <c r="G226" t="n">
        <v>8.6</v>
      </c>
      <c r="H226" t="n">
        <v>0</v>
      </c>
      <c r="I226" t="n">
        <v>0</v>
      </c>
      <c r="J226" t="n">
        <v>0</v>
      </c>
      <c r="K226" t="n">
        <v>0</v>
      </c>
      <c r="L226" t="n">
        <v>0</v>
      </c>
      <c r="M226" t="n">
        <v>0</v>
      </c>
      <c r="N226" t="n">
        <v>0</v>
      </c>
      <c r="O226" t="n">
        <v>0</v>
      </c>
      <c r="P226" t="n">
        <v>0</v>
      </c>
      <c r="Q226" t="n">
        <v>0</v>
      </c>
      <c r="R226" s="2" t="inlineStr"/>
    </row>
    <row r="227" ht="15" customHeight="1">
      <c r="A227" t="inlineStr">
        <is>
          <t>A 57248-2025</t>
        </is>
      </c>
      <c r="B227" s="1" t="n">
        <v>45979.635625</v>
      </c>
      <c r="C227" s="1" t="n">
        <v>46110</v>
      </c>
      <c r="D227" t="inlineStr">
        <is>
          <t>UPPSALA LÄN</t>
        </is>
      </c>
      <c r="E227" t="inlineStr">
        <is>
          <t>ÖSTHAMMAR</t>
        </is>
      </c>
      <c r="F227" t="inlineStr">
        <is>
          <t>Bergvik skog öst AB</t>
        </is>
      </c>
      <c r="G227" t="n">
        <v>2.8</v>
      </c>
      <c r="H227" t="n">
        <v>0</v>
      </c>
      <c r="I227" t="n">
        <v>0</v>
      </c>
      <c r="J227" t="n">
        <v>0</v>
      </c>
      <c r="K227" t="n">
        <v>0</v>
      </c>
      <c r="L227" t="n">
        <v>0</v>
      </c>
      <c r="M227" t="n">
        <v>0</v>
      </c>
      <c r="N227" t="n">
        <v>0</v>
      </c>
      <c r="O227" t="n">
        <v>0</v>
      </c>
      <c r="P227" t="n">
        <v>0</v>
      </c>
      <c r="Q227" t="n">
        <v>0</v>
      </c>
      <c r="R227" s="2" t="inlineStr"/>
    </row>
    <row r="228" ht="15" customHeight="1">
      <c r="A228" t="inlineStr">
        <is>
          <t>A 57-2023</t>
        </is>
      </c>
      <c r="B228" s="1" t="n">
        <v>44928.40917824074</v>
      </c>
      <c r="C228" s="1" t="n">
        <v>46110</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59-2023</t>
        </is>
      </c>
      <c r="B229" s="1" t="n">
        <v>44928.41822916667</v>
      </c>
      <c r="C229" s="1" t="n">
        <v>46110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5931-2022</t>
        </is>
      </c>
      <c r="B230" s="1" t="n">
        <v>44598.82700231481</v>
      </c>
      <c r="C230" s="1" t="n">
        <v>46110</v>
      </c>
      <c r="D230" t="inlineStr">
        <is>
          <t>UPPSALA LÄN</t>
        </is>
      </c>
      <c r="E230" t="inlineStr">
        <is>
          <t>ÖSTHAMMAR</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43655-2024</t>
        </is>
      </c>
      <c r="B231" s="1" t="n">
        <v>45569</v>
      </c>
      <c r="C231" s="1" t="n">
        <v>46110</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19947-2024</t>
        </is>
      </c>
      <c r="B232" s="1" t="n">
        <v>45433</v>
      </c>
      <c r="C232" s="1" t="n">
        <v>46110</v>
      </c>
      <c r="D232" t="inlineStr">
        <is>
          <t>UPPSALA LÄN</t>
        </is>
      </c>
      <c r="E232" t="inlineStr">
        <is>
          <t>ÖSTHAMMAR</t>
        </is>
      </c>
      <c r="G232" t="n">
        <v>0.3</v>
      </c>
      <c r="H232" t="n">
        <v>0</v>
      </c>
      <c r="I232" t="n">
        <v>0</v>
      </c>
      <c r="J232" t="n">
        <v>0</v>
      </c>
      <c r="K232" t="n">
        <v>0</v>
      </c>
      <c r="L232" t="n">
        <v>0</v>
      </c>
      <c r="M232" t="n">
        <v>0</v>
      </c>
      <c r="N232" t="n">
        <v>0</v>
      </c>
      <c r="O232" t="n">
        <v>0</v>
      </c>
      <c r="P232" t="n">
        <v>0</v>
      </c>
      <c r="Q232" t="n">
        <v>0</v>
      </c>
      <c r="R232" s="2" t="inlineStr"/>
    </row>
    <row r="233" ht="15" customHeight="1">
      <c r="A233" t="inlineStr">
        <is>
          <t>A 11385-2024</t>
        </is>
      </c>
      <c r="B233" s="1" t="n">
        <v>45372</v>
      </c>
      <c r="C233" s="1" t="n">
        <v>46110</v>
      </c>
      <c r="D233" t="inlineStr">
        <is>
          <t>UPPSALA LÄN</t>
        </is>
      </c>
      <c r="E233" t="inlineStr">
        <is>
          <t>ÖSTHAMMAR</t>
        </is>
      </c>
      <c r="G233" t="n">
        <v>1.1</v>
      </c>
      <c r="H233" t="n">
        <v>0</v>
      </c>
      <c r="I233" t="n">
        <v>0</v>
      </c>
      <c r="J233" t="n">
        <v>0</v>
      </c>
      <c r="K233" t="n">
        <v>0</v>
      </c>
      <c r="L233" t="n">
        <v>0</v>
      </c>
      <c r="M233" t="n">
        <v>0</v>
      </c>
      <c r="N233" t="n">
        <v>0</v>
      </c>
      <c r="O233" t="n">
        <v>0</v>
      </c>
      <c r="P233" t="n">
        <v>0</v>
      </c>
      <c r="Q233" t="n">
        <v>0</v>
      </c>
      <c r="R233" s="2" t="inlineStr"/>
    </row>
    <row r="234" ht="15" customHeight="1">
      <c r="A234" t="inlineStr">
        <is>
          <t>A 43683-2024</t>
        </is>
      </c>
      <c r="B234" s="1" t="n">
        <v>45569.57518518518</v>
      </c>
      <c r="C234" s="1" t="n">
        <v>46110</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14433-2024</t>
        </is>
      </c>
      <c r="B235" s="1" t="n">
        <v>45394.46115740741</v>
      </c>
      <c r="C235" s="1" t="n">
        <v>46110</v>
      </c>
      <c r="D235" t="inlineStr">
        <is>
          <t>UPPSALA LÄN</t>
        </is>
      </c>
      <c r="E235" t="inlineStr">
        <is>
          <t>ÖSTHAMMAR</t>
        </is>
      </c>
      <c r="G235" t="n">
        <v>1.2</v>
      </c>
      <c r="H235" t="n">
        <v>0</v>
      </c>
      <c r="I235" t="n">
        <v>0</v>
      </c>
      <c r="J235" t="n">
        <v>0</v>
      </c>
      <c r="K235" t="n">
        <v>0</v>
      </c>
      <c r="L235" t="n">
        <v>0</v>
      </c>
      <c r="M235" t="n">
        <v>0</v>
      </c>
      <c r="N235" t="n">
        <v>0</v>
      </c>
      <c r="O235" t="n">
        <v>0</v>
      </c>
      <c r="P235" t="n">
        <v>0</v>
      </c>
      <c r="Q235" t="n">
        <v>0</v>
      </c>
      <c r="R235" s="2" t="inlineStr"/>
    </row>
    <row r="236" ht="15" customHeight="1">
      <c r="A236" t="inlineStr">
        <is>
          <t>A 57257-2025</t>
        </is>
      </c>
      <c r="B236" s="1" t="n">
        <v>45979.65149305556</v>
      </c>
      <c r="C236" s="1" t="n">
        <v>46110</v>
      </c>
      <c r="D236" t="inlineStr">
        <is>
          <t>UPPSALA LÄN</t>
        </is>
      </c>
      <c r="E236" t="inlineStr">
        <is>
          <t>ÖSTHAMMAR</t>
        </is>
      </c>
      <c r="G236" t="n">
        <v>0.7</v>
      </c>
      <c r="H236" t="n">
        <v>0</v>
      </c>
      <c r="I236" t="n">
        <v>0</v>
      </c>
      <c r="J236" t="n">
        <v>0</v>
      </c>
      <c r="K236" t="n">
        <v>0</v>
      </c>
      <c r="L236" t="n">
        <v>0</v>
      </c>
      <c r="M236" t="n">
        <v>0</v>
      </c>
      <c r="N236" t="n">
        <v>0</v>
      </c>
      <c r="O236" t="n">
        <v>0</v>
      </c>
      <c r="P236" t="n">
        <v>0</v>
      </c>
      <c r="Q236" t="n">
        <v>0</v>
      </c>
      <c r="R236" s="2" t="inlineStr"/>
    </row>
    <row r="237" ht="15" customHeight="1">
      <c r="A237" t="inlineStr">
        <is>
          <t>A 57154-2025</t>
        </is>
      </c>
      <c r="B237" s="1" t="n">
        <v>45979.51086805556</v>
      </c>
      <c r="C237" s="1" t="n">
        <v>46110</v>
      </c>
      <c r="D237" t="inlineStr">
        <is>
          <t>UPPSALA LÄN</t>
        </is>
      </c>
      <c r="E237" t="inlineStr">
        <is>
          <t>ÖSTHAMMAR</t>
        </is>
      </c>
      <c r="G237" t="n">
        <v>1.9</v>
      </c>
      <c r="H237" t="n">
        <v>0</v>
      </c>
      <c r="I237" t="n">
        <v>0</v>
      </c>
      <c r="J237" t="n">
        <v>0</v>
      </c>
      <c r="K237" t="n">
        <v>0</v>
      </c>
      <c r="L237" t="n">
        <v>0</v>
      </c>
      <c r="M237" t="n">
        <v>0</v>
      </c>
      <c r="N237" t="n">
        <v>0</v>
      </c>
      <c r="O237" t="n">
        <v>0</v>
      </c>
      <c r="P237" t="n">
        <v>0</v>
      </c>
      <c r="Q237" t="n">
        <v>0</v>
      </c>
      <c r="R237" s="2" t="inlineStr"/>
    </row>
    <row r="238" ht="15" customHeight="1">
      <c r="A238" t="inlineStr">
        <is>
          <t>A 25252-2024</t>
        </is>
      </c>
      <c r="B238" s="1" t="n">
        <v>45462</v>
      </c>
      <c r="C238" s="1" t="n">
        <v>46110</v>
      </c>
      <c r="D238" t="inlineStr">
        <is>
          <t>UPPSALA LÄN</t>
        </is>
      </c>
      <c r="E238" t="inlineStr">
        <is>
          <t>ÖSTHAMMAR</t>
        </is>
      </c>
      <c r="G238" t="n">
        <v>4.3</v>
      </c>
      <c r="H238" t="n">
        <v>0</v>
      </c>
      <c r="I238" t="n">
        <v>0</v>
      </c>
      <c r="J238" t="n">
        <v>0</v>
      </c>
      <c r="K238" t="n">
        <v>0</v>
      </c>
      <c r="L238" t="n">
        <v>0</v>
      </c>
      <c r="M238" t="n">
        <v>0</v>
      </c>
      <c r="N238" t="n">
        <v>0</v>
      </c>
      <c r="O238" t="n">
        <v>0</v>
      </c>
      <c r="P238" t="n">
        <v>0</v>
      </c>
      <c r="Q238" t="n">
        <v>0</v>
      </c>
      <c r="R238" s="2" t="inlineStr"/>
    </row>
    <row r="239" ht="15" customHeight="1">
      <c r="A239" t="inlineStr">
        <is>
          <t>A 56382-2022</t>
        </is>
      </c>
      <c r="B239" s="1" t="n">
        <v>44890.75795138889</v>
      </c>
      <c r="C239" s="1" t="n">
        <v>46110</v>
      </c>
      <c r="D239" t="inlineStr">
        <is>
          <t>UPPSALA LÄN</t>
        </is>
      </c>
      <c r="E239" t="inlineStr">
        <is>
          <t>ÖSTHAMMAR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32483-2024</t>
        </is>
      </c>
      <c r="B240" s="1" t="n">
        <v>45513.36644675926</v>
      </c>
      <c r="C240" s="1" t="n">
        <v>46110</v>
      </c>
      <c r="D240" t="inlineStr">
        <is>
          <t>UPPSALA LÄN</t>
        </is>
      </c>
      <c r="E240" t="inlineStr">
        <is>
          <t>ÖSTHAMMAR</t>
        </is>
      </c>
      <c r="F240" t="inlineStr">
        <is>
          <t>Kyrkan</t>
        </is>
      </c>
      <c r="G240" t="n">
        <v>4.7</v>
      </c>
      <c r="H240" t="n">
        <v>0</v>
      </c>
      <c r="I240" t="n">
        <v>0</v>
      </c>
      <c r="J240" t="n">
        <v>0</v>
      </c>
      <c r="K240" t="n">
        <v>0</v>
      </c>
      <c r="L240" t="n">
        <v>0</v>
      </c>
      <c r="M240" t="n">
        <v>0</v>
      </c>
      <c r="N240" t="n">
        <v>0</v>
      </c>
      <c r="O240" t="n">
        <v>0</v>
      </c>
      <c r="P240" t="n">
        <v>0</v>
      </c>
      <c r="Q240" t="n">
        <v>0</v>
      </c>
      <c r="R240" s="2" t="inlineStr"/>
    </row>
    <row r="241" ht="15" customHeight="1">
      <c r="A241" t="inlineStr">
        <is>
          <t>A 5877-2023</t>
        </is>
      </c>
      <c r="B241" s="1" t="n">
        <v>44963.62001157407</v>
      </c>
      <c r="C241" s="1" t="n">
        <v>46110</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57908-2025</t>
        </is>
      </c>
      <c r="B242" s="1" t="n">
        <v>45981.78886574074</v>
      </c>
      <c r="C242" s="1" t="n">
        <v>46110</v>
      </c>
      <c r="D242" t="inlineStr">
        <is>
          <t>UPPSALA LÄN</t>
        </is>
      </c>
      <c r="E242" t="inlineStr">
        <is>
          <t>ÖSTHAMMAR</t>
        </is>
      </c>
      <c r="F242" t="inlineStr">
        <is>
          <t>Bergvik skog öst AB</t>
        </is>
      </c>
      <c r="G242" t="n">
        <v>2</v>
      </c>
      <c r="H242" t="n">
        <v>0</v>
      </c>
      <c r="I242" t="n">
        <v>0</v>
      </c>
      <c r="J242" t="n">
        <v>0</v>
      </c>
      <c r="K242" t="n">
        <v>0</v>
      </c>
      <c r="L242" t="n">
        <v>0</v>
      </c>
      <c r="M242" t="n">
        <v>0</v>
      </c>
      <c r="N242" t="n">
        <v>0</v>
      </c>
      <c r="O242" t="n">
        <v>0</v>
      </c>
      <c r="P242" t="n">
        <v>0</v>
      </c>
      <c r="Q242" t="n">
        <v>0</v>
      </c>
      <c r="R242" s="2" t="inlineStr"/>
    </row>
    <row r="243" ht="15" customHeight="1">
      <c r="A243" t="inlineStr">
        <is>
          <t>A 25938-2024</t>
        </is>
      </c>
      <c r="B243" s="1" t="n">
        <v>45467.63127314814</v>
      </c>
      <c r="C243" s="1" t="n">
        <v>46110</v>
      </c>
      <c r="D243" t="inlineStr">
        <is>
          <t>UPPSALA LÄN</t>
        </is>
      </c>
      <c r="E243" t="inlineStr">
        <is>
          <t>ÖSTHAMMAR</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33552-2024</t>
        </is>
      </c>
      <c r="B244" s="1" t="n">
        <v>45519</v>
      </c>
      <c r="C244" s="1" t="n">
        <v>46110</v>
      </c>
      <c r="D244" t="inlineStr">
        <is>
          <t>UPPSALA LÄN</t>
        </is>
      </c>
      <c r="E244" t="inlineStr">
        <is>
          <t>ÖSTHAMMAR</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33553-2024</t>
        </is>
      </c>
      <c r="B245" s="1" t="n">
        <v>45519</v>
      </c>
      <c r="C245" s="1" t="n">
        <v>46110</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57907-2025</t>
        </is>
      </c>
      <c r="B246" s="1" t="n">
        <v>45981.78840277778</v>
      </c>
      <c r="C246" s="1" t="n">
        <v>46110</v>
      </c>
      <c r="D246" t="inlineStr">
        <is>
          <t>UPPSALA LÄN</t>
        </is>
      </c>
      <c r="E246" t="inlineStr">
        <is>
          <t>ÖSTHAMMAR</t>
        </is>
      </c>
      <c r="F246" t="inlineStr">
        <is>
          <t>Bergvik skog öst AB</t>
        </is>
      </c>
      <c r="G246" t="n">
        <v>2.9</v>
      </c>
      <c r="H246" t="n">
        <v>0</v>
      </c>
      <c r="I246" t="n">
        <v>0</v>
      </c>
      <c r="J246" t="n">
        <v>0</v>
      </c>
      <c r="K246" t="n">
        <v>0</v>
      </c>
      <c r="L246" t="n">
        <v>0</v>
      </c>
      <c r="M246" t="n">
        <v>0</v>
      </c>
      <c r="N246" t="n">
        <v>0</v>
      </c>
      <c r="O246" t="n">
        <v>0</v>
      </c>
      <c r="P246" t="n">
        <v>0</v>
      </c>
      <c r="Q246" t="n">
        <v>0</v>
      </c>
      <c r="R246" s="2" t="inlineStr"/>
    </row>
    <row r="247" ht="15" customHeight="1">
      <c r="A247" t="inlineStr">
        <is>
          <t>A 14595-2023</t>
        </is>
      </c>
      <c r="B247" s="1" t="n">
        <v>45013.57858796296</v>
      </c>
      <c r="C247" s="1" t="n">
        <v>46110</v>
      </c>
      <c r="D247" t="inlineStr">
        <is>
          <t>UPPSALA LÄN</t>
        </is>
      </c>
      <c r="E247" t="inlineStr">
        <is>
          <t>ÖSTHAMMAR</t>
        </is>
      </c>
      <c r="G247" t="n">
        <v>5</v>
      </c>
      <c r="H247" t="n">
        <v>0</v>
      </c>
      <c r="I247" t="n">
        <v>0</v>
      </c>
      <c r="J247" t="n">
        <v>0</v>
      </c>
      <c r="K247" t="n">
        <v>0</v>
      </c>
      <c r="L247" t="n">
        <v>0</v>
      </c>
      <c r="M247" t="n">
        <v>0</v>
      </c>
      <c r="N247" t="n">
        <v>0</v>
      </c>
      <c r="O247" t="n">
        <v>0</v>
      </c>
      <c r="P247" t="n">
        <v>0</v>
      </c>
      <c r="Q247" t="n">
        <v>0</v>
      </c>
      <c r="R247" s="2" t="inlineStr"/>
    </row>
    <row r="248" ht="15" customHeight="1">
      <c r="A248" t="inlineStr">
        <is>
          <t>A 33685-2024</t>
        </is>
      </c>
      <c r="B248" s="1" t="n">
        <v>45520.51063657407</v>
      </c>
      <c r="C248" s="1" t="n">
        <v>46110</v>
      </c>
      <c r="D248" t="inlineStr">
        <is>
          <t>UPPSALA LÄN</t>
        </is>
      </c>
      <c r="E248" t="inlineStr">
        <is>
          <t>ÖSTHAMMAR</t>
        </is>
      </c>
      <c r="F248" t="inlineStr">
        <is>
          <t>Bergvik skog öst AB</t>
        </is>
      </c>
      <c r="G248" t="n">
        <v>3.8</v>
      </c>
      <c r="H248" t="n">
        <v>0</v>
      </c>
      <c r="I248" t="n">
        <v>0</v>
      </c>
      <c r="J248" t="n">
        <v>0</v>
      </c>
      <c r="K248" t="n">
        <v>0</v>
      </c>
      <c r="L248" t="n">
        <v>0</v>
      </c>
      <c r="M248" t="n">
        <v>0</v>
      </c>
      <c r="N248" t="n">
        <v>0</v>
      </c>
      <c r="O248" t="n">
        <v>0</v>
      </c>
      <c r="P248" t="n">
        <v>0</v>
      </c>
      <c r="Q248" t="n">
        <v>0</v>
      </c>
      <c r="R248" s="2" t="inlineStr"/>
    </row>
    <row r="249" ht="15" customHeight="1">
      <c r="A249" t="inlineStr">
        <is>
          <t>A 5429-2023</t>
        </is>
      </c>
      <c r="B249" s="1" t="n">
        <v>44959.83037037037</v>
      </c>
      <c r="C249" s="1" t="n">
        <v>46110</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59731-2023</t>
        </is>
      </c>
      <c r="B250" s="1" t="n">
        <v>45257</v>
      </c>
      <c r="C250" s="1" t="n">
        <v>46110</v>
      </c>
      <c r="D250" t="inlineStr">
        <is>
          <t>UPPSALA LÄN</t>
        </is>
      </c>
      <c r="E250" t="inlineStr">
        <is>
          <t>ÖSTHAMMAR</t>
        </is>
      </c>
      <c r="G250" t="n">
        <v>0.7</v>
      </c>
      <c r="H250" t="n">
        <v>0</v>
      </c>
      <c r="I250" t="n">
        <v>0</v>
      </c>
      <c r="J250" t="n">
        <v>0</v>
      </c>
      <c r="K250" t="n">
        <v>0</v>
      </c>
      <c r="L250" t="n">
        <v>0</v>
      </c>
      <c r="M250" t="n">
        <v>0</v>
      </c>
      <c r="N250" t="n">
        <v>0</v>
      </c>
      <c r="O250" t="n">
        <v>0</v>
      </c>
      <c r="P250" t="n">
        <v>0</v>
      </c>
      <c r="Q250" t="n">
        <v>0</v>
      </c>
      <c r="R250" s="2" t="inlineStr"/>
    </row>
    <row r="251" ht="15" customHeight="1">
      <c r="A251" t="inlineStr">
        <is>
          <t>A 58399-2025</t>
        </is>
      </c>
      <c r="B251" s="1" t="n">
        <v>45985.56244212963</v>
      </c>
      <c r="C251" s="1" t="n">
        <v>46110</v>
      </c>
      <c r="D251" t="inlineStr">
        <is>
          <t>UPPSALA LÄN</t>
        </is>
      </c>
      <c r="E251" t="inlineStr">
        <is>
          <t>ÖSTHAMMAR</t>
        </is>
      </c>
      <c r="G251" t="n">
        <v>2.6</v>
      </c>
      <c r="H251" t="n">
        <v>0</v>
      </c>
      <c r="I251" t="n">
        <v>0</v>
      </c>
      <c r="J251" t="n">
        <v>0</v>
      </c>
      <c r="K251" t="n">
        <v>0</v>
      </c>
      <c r="L251" t="n">
        <v>0</v>
      </c>
      <c r="M251" t="n">
        <v>0</v>
      </c>
      <c r="N251" t="n">
        <v>0</v>
      </c>
      <c r="O251" t="n">
        <v>0</v>
      </c>
      <c r="P251" t="n">
        <v>0</v>
      </c>
      <c r="Q251" t="n">
        <v>0</v>
      </c>
      <c r="R251" s="2" t="inlineStr"/>
    </row>
    <row r="252" ht="15" customHeight="1">
      <c r="A252" t="inlineStr">
        <is>
          <t>A 34607-2023</t>
        </is>
      </c>
      <c r="B252" s="1" t="n">
        <v>45138</v>
      </c>
      <c r="C252" s="1" t="n">
        <v>46110</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54666-2022</t>
        </is>
      </c>
      <c r="B253" s="1" t="n">
        <v>44883</v>
      </c>
      <c r="C253" s="1" t="n">
        <v>46110</v>
      </c>
      <c r="D253" t="inlineStr">
        <is>
          <t>UPPSALA LÄN</t>
        </is>
      </c>
      <c r="E253" t="inlineStr">
        <is>
          <t>ÖSTHAMMAR</t>
        </is>
      </c>
      <c r="G253" t="n">
        <v>14.3</v>
      </c>
      <c r="H253" t="n">
        <v>0</v>
      </c>
      <c r="I253" t="n">
        <v>0</v>
      </c>
      <c r="J253" t="n">
        <v>0</v>
      </c>
      <c r="K253" t="n">
        <v>0</v>
      </c>
      <c r="L253" t="n">
        <v>0</v>
      </c>
      <c r="M253" t="n">
        <v>0</v>
      </c>
      <c r="N253" t="n">
        <v>0</v>
      </c>
      <c r="O253" t="n">
        <v>0</v>
      </c>
      <c r="P253" t="n">
        <v>0</v>
      </c>
      <c r="Q253" t="n">
        <v>0</v>
      </c>
      <c r="R253" s="2" t="inlineStr"/>
    </row>
    <row r="254" ht="15" customHeight="1">
      <c r="A254" t="inlineStr">
        <is>
          <t>A 44027-2024</t>
        </is>
      </c>
      <c r="B254" s="1" t="n">
        <v>45572</v>
      </c>
      <c r="C254" s="1" t="n">
        <v>46110</v>
      </c>
      <c r="D254" t="inlineStr">
        <is>
          <t>UPPSALA LÄN</t>
        </is>
      </c>
      <c r="E254" t="inlineStr">
        <is>
          <t>ÖSTHAMMAR</t>
        </is>
      </c>
      <c r="G254" t="n">
        <v>6</v>
      </c>
      <c r="H254" t="n">
        <v>0</v>
      </c>
      <c r="I254" t="n">
        <v>0</v>
      </c>
      <c r="J254" t="n">
        <v>0</v>
      </c>
      <c r="K254" t="n">
        <v>0</v>
      </c>
      <c r="L254" t="n">
        <v>0</v>
      </c>
      <c r="M254" t="n">
        <v>0</v>
      </c>
      <c r="N254" t="n">
        <v>0</v>
      </c>
      <c r="O254" t="n">
        <v>0</v>
      </c>
      <c r="P254" t="n">
        <v>0</v>
      </c>
      <c r="Q254" t="n">
        <v>0</v>
      </c>
      <c r="R254" s="2" t="inlineStr"/>
    </row>
    <row r="255" ht="15" customHeight="1">
      <c r="A255" t="inlineStr">
        <is>
          <t>A 52659-2021</t>
        </is>
      </c>
      <c r="B255" s="1" t="n">
        <v>44466</v>
      </c>
      <c r="C255" s="1" t="n">
        <v>46110</v>
      </c>
      <c r="D255" t="inlineStr">
        <is>
          <t>UPPSALA LÄN</t>
        </is>
      </c>
      <c r="E255" t="inlineStr">
        <is>
          <t>ÖSTHAMMAR</t>
        </is>
      </c>
      <c r="G255" t="n">
        <v>13</v>
      </c>
      <c r="H255" t="n">
        <v>0</v>
      </c>
      <c r="I255" t="n">
        <v>0</v>
      </c>
      <c r="J255" t="n">
        <v>0</v>
      </c>
      <c r="K255" t="n">
        <v>0</v>
      </c>
      <c r="L255" t="n">
        <v>0</v>
      </c>
      <c r="M255" t="n">
        <v>0</v>
      </c>
      <c r="N255" t="n">
        <v>0</v>
      </c>
      <c r="O255" t="n">
        <v>0</v>
      </c>
      <c r="P255" t="n">
        <v>0</v>
      </c>
      <c r="Q255" t="n">
        <v>0</v>
      </c>
      <c r="R255" s="2" t="inlineStr"/>
    </row>
    <row r="256" ht="15" customHeight="1">
      <c r="A256" t="inlineStr">
        <is>
          <t>A 38886-2025</t>
        </is>
      </c>
      <c r="B256" s="1" t="n">
        <v>45887.58370370371</v>
      </c>
      <c r="C256" s="1" t="n">
        <v>46110</v>
      </c>
      <c r="D256" t="inlineStr">
        <is>
          <t>UPPSALA LÄN</t>
        </is>
      </c>
      <c r="E256" t="inlineStr">
        <is>
          <t>ÖSTHAMMAR</t>
        </is>
      </c>
      <c r="F256" t="inlineStr">
        <is>
          <t>Bergvik skog öst AB</t>
        </is>
      </c>
      <c r="G256" t="n">
        <v>4.7</v>
      </c>
      <c r="H256" t="n">
        <v>0</v>
      </c>
      <c r="I256" t="n">
        <v>0</v>
      </c>
      <c r="J256" t="n">
        <v>0</v>
      </c>
      <c r="K256" t="n">
        <v>0</v>
      </c>
      <c r="L256" t="n">
        <v>0</v>
      </c>
      <c r="M256" t="n">
        <v>0</v>
      </c>
      <c r="N256" t="n">
        <v>0</v>
      </c>
      <c r="O256" t="n">
        <v>0</v>
      </c>
      <c r="P256" t="n">
        <v>0</v>
      </c>
      <c r="Q256" t="n">
        <v>0</v>
      </c>
      <c r="R256" s="2" t="inlineStr"/>
    </row>
    <row r="257" ht="15" customHeight="1">
      <c r="A257" t="inlineStr">
        <is>
          <t>A 5344-2025</t>
        </is>
      </c>
      <c r="B257" s="1" t="n">
        <v>45692</v>
      </c>
      <c r="C257" s="1" t="n">
        <v>46110</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56969-2022</t>
        </is>
      </c>
      <c r="B258" s="1" t="n">
        <v>44894.68043981482</v>
      </c>
      <c r="C258" s="1" t="n">
        <v>46110</v>
      </c>
      <c r="D258" t="inlineStr">
        <is>
          <t>UPPSALA LÄN</t>
        </is>
      </c>
      <c r="E258" t="inlineStr">
        <is>
          <t>ÖSTHAMMAR</t>
        </is>
      </c>
      <c r="G258" t="n">
        <v>5.5</v>
      </c>
      <c r="H258" t="n">
        <v>0</v>
      </c>
      <c r="I258" t="n">
        <v>0</v>
      </c>
      <c r="J258" t="n">
        <v>0</v>
      </c>
      <c r="K258" t="n">
        <v>0</v>
      </c>
      <c r="L258" t="n">
        <v>0</v>
      </c>
      <c r="M258" t="n">
        <v>0</v>
      </c>
      <c r="N258" t="n">
        <v>0</v>
      </c>
      <c r="O258" t="n">
        <v>0</v>
      </c>
      <c r="P258" t="n">
        <v>0</v>
      </c>
      <c r="Q258" t="n">
        <v>0</v>
      </c>
      <c r="R258" s="2" t="inlineStr"/>
    </row>
    <row r="259" ht="15" customHeight="1">
      <c r="A259" t="inlineStr">
        <is>
          <t>A 7876-2023</t>
        </is>
      </c>
      <c r="B259" s="1" t="n">
        <v>44973.57263888889</v>
      </c>
      <c r="C259" s="1" t="n">
        <v>46110</v>
      </c>
      <c r="D259" t="inlineStr">
        <is>
          <t>UPPSALA LÄN</t>
        </is>
      </c>
      <c r="E259" t="inlineStr">
        <is>
          <t>ÖSTHAMMAR</t>
        </is>
      </c>
      <c r="G259" t="n">
        <v>0.9</v>
      </c>
      <c r="H259" t="n">
        <v>0</v>
      </c>
      <c r="I259" t="n">
        <v>0</v>
      </c>
      <c r="J259" t="n">
        <v>0</v>
      </c>
      <c r="K259" t="n">
        <v>0</v>
      </c>
      <c r="L259" t="n">
        <v>0</v>
      </c>
      <c r="M259" t="n">
        <v>0</v>
      </c>
      <c r="N259" t="n">
        <v>0</v>
      </c>
      <c r="O259" t="n">
        <v>0</v>
      </c>
      <c r="P259" t="n">
        <v>0</v>
      </c>
      <c r="Q259" t="n">
        <v>0</v>
      </c>
      <c r="R259" s="2" t="inlineStr"/>
    </row>
    <row r="260" ht="15" customHeight="1">
      <c r="A260" t="inlineStr">
        <is>
          <t>A 36904-2023</t>
        </is>
      </c>
      <c r="B260" s="1" t="n">
        <v>45154</v>
      </c>
      <c r="C260" s="1" t="n">
        <v>46110</v>
      </c>
      <c r="D260" t="inlineStr">
        <is>
          <t>UPPSALA LÄN</t>
        </is>
      </c>
      <c r="E260" t="inlineStr">
        <is>
          <t>ÖSTHAMMAR</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35539-2023</t>
        </is>
      </c>
      <c r="B261" s="1" t="n">
        <v>45147.37006944444</v>
      </c>
      <c r="C261" s="1" t="n">
        <v>46110</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38233-2024</t>
        </is>
      </c>
      <c r="B262" s="1" t="n">
        <v>45545</v>
      </c>
      <c r="C262" s="1" t="n">
        <v>46110</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56260-2022</t>
        </is>
      </c>
      <c r="B263" s="1" t="n">
        <v>44890</v>
      </c>
      <c r="C263" s="1" t="n">
        <v>46110</v>
      </c>
      <c r="D263" t="inlineStr">
        <is>
          <t>UPPSALA LÄN</t>
        </is>
      </c>
      <c r="E263" t="inlineStr">
        <is>
          <t>ÖSTHAMMAR</t>
        </is>
      </c>
      <c r="F263" t="inlineStr">
        <is>
          <t>Bergvik skog öst AB</t>
        </is>
      </c>
      <c r="G263" t="n">
        <v>0.5</v>
      </c>
      <c r="H263" t="n">
        <v>0</v>
      </c>
      <c r="I263" t="n">
        <v>0</v>
      </c>
      <c r="J263" t="n">
        <v>0</v>
      </c>
      <c r="K263" t="n">
        <v>0</v>
      </c>
      <c r="L263" t="n">
        <v>0</v>
      </c>
      <c r="M263" t="n">
        <v>0</v>
      </c>
      <c r="N263" t="n">
        <v>0</v>
      </c>
      <c r="O263" t="n">
        <v>0</v>
      </c>
      <c r="P263" t="n">
        <v>0</v>
      </c>
      <c r="Q263" t="n">
        <v>0</v>
      </c>
      <c r="R263" s="2" t="inlineStr"/>
    </row>
    <row r="264" ht="15" customHeight="1">
      <c r="A264" t="inlineStr">
        <is>
          <t>A 40044-2025</t>
        </is>
      </c>
      <c r="B264" s="1" t="n">
        <v>45894.40133101852</v>
      </c>
      <c r="C264" s="1" t="n">
        <v>46110</v>
      </c>
      <c r="D264" t="inlineStr">
        <is>
          <t>UPPSALA LÄN</t>
        </is>
      </c>
      <c r="E264" t="inlineStr">
        <is>
          <t>ÖSTHAMMAR</t>
        </is>
      </c>
      <c r="F264" t="inlineStr">
        <is>
          <t>Kyrkan</t>
        </is>
      </c>
      <c r="G264" t="n">
        <v>8.9</v>
      </c>
      <c r="H264" t="n">
        <v>0</v>
      </c>
      <c r="I264" t="n">
        <v>0</v>
      </c>
      <c r="J264" t="n">
        <v>0</v>
      </c>
      <c r="K264" t="n">
        <v>0</v>
      </c>
      <c r="L264" t="n">
        <v>0</v>
      </c>
      <c r="M264" t="n">
        <v>0</v>
      </c>
      <c r="N264" t="n">
        <v>0</v>
      </c>
      <c r="O264" t="n">
        <v>0</v>
      </c>
      <c r="P264" t="n">
        <v>0</v>
      </c>
      <c r="Q264" t="n">
        <v>0</v>
      </c>
      <c r="R264" s="2" t="inlineStr"/>
    </row>
    <row r="265" ht="15" customHeight="1">
      <c r="A265" t="inlineStr">
        <is>
          <t>A 40016-2025</t>
        </is>
      </c>
      <c r="B265" s="1" t="n">
        <v>45894.34747685185</v>
      </c>
      <c r="C265" s="1" t="n">
        <v>46110</v>
      </c>
      <c r="D265" t="inlineStr">
        <is>
          <t>UPPSALA LÄN</t>
        </is>
      </c>
      <c r="E265" t="inlineStr">
        <is>
          <t>ÖSTHAMMAR</t>
        </is>
      </c>
      <c r="F265" t="inlineStr">
        <is>
          <t>Kyrkan</t>
        </is>
      </c>
      <c r="G265" t="n">
        <v>6.6</v>
      </c>
      <c r="H265" t="n">
        <v>0</v>
      </c>
      <c r="I265" t="n">
        <v>0</v>
      </c>
      <c r="J265" t="n">
        <v>0</v>
      </c>
      <c r="K265" t="n">
        <v>0</v>
      </c>
      <c r="L265" t="n">
        <v>0</v>
      </c>
      <c r="M265" t="n">
        <v>0</v>
      </c>
      <c r="N265" t="n">
        <v>0</v>
      </c>
      <c r="O265" t="n">
        <v>0</v>
      </c>
      <c r="P265" t="n">
        <v>0</v>
      </c>
      <c r="Q265" t="n">
        <v>0</v>
      </c>
      <c r="R265" s="2" t="inlineStr"/>
    </row>
    <row r="266" ht="15" customHeight="1">
      <c r="A266" t="inlineStr">
        <is>
          <t>A 59743-2025</t>
        </is>
      </c>
      <c r="B266" s="1" t="n">
        <v>45992.57668981481</v>
      </c>
      <c r="C266" s="1" t="n">
        <v>46110</v>
      </c>
      <c r="D266" t="inlineStr">
        <is>
          <t>UPPSALA LÄN</t>
        </is>
      </c>
      <c r="E266" t="inlineStr">
        <is>
          <t>ÖSTHAMMAR</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59745-2025</t>
        </is>
      </c>
      <c r="B267" s="1" t="n">
        <v>45992.57708333333</v>
      </c>
      <c r="C267" s="1" t="n">
        <v>46110</v>
      </c>
      <c r="D267" t="inlineStr">
        <is>
          <t>UPPSALA LÄN</t>
        </is>
      </c>
      <c r="E267" t="inlineStr">
        <is>
          <t>ÖSTHAMMAR</t>
        </is>
      </c>
      <c r="F267" t="inlineStr">
        <is>
          <t>Bergvik skog öst AB</t>
        </is>
      </c>
      <c r="G267" t="n">
        <v>3.3</v>
      </c>
      <c r="H267" t="n">
        <v>0</v>
      </c>
      <c r="I267" t="n">
        <v>0</v>
      </c>
      <c r="J267" t="n">
        <v>0</v>
      </c>
      <c r="K267" t="n">
        <v>0</v>
      </c>
      <c r="L267" t="n">
        <v>0</v>
      </c>
      <c r="M267" t="n">
        <v>0</v>
      </c>
      <c r="N267" t="n">
        <v>0</v>
      </c>
      <c r="O267" t="n">
        <v>0</v>
      </c>
      <c r="P267" t="n">
        <v>0</v>
      </c>
      <c r="Q267" t="n">
        <v>0</v>
      </c>
      <c r="R267" s="2" t="inlineStr"/>
    </row>
    <row r="268" ht="15" customHeight="1">
      <c r="A268" t="inlineStr">
        <is>
          <t>A 29231-2024</t>
        </is>
      </c>
      <c r="B268" s="1" t="n">
        <v>45482</v>
      </c>
      <c r="C268" s="1" t="n">
        <v>46110</v>
      </c>
      <c r="D268" t="inlineStr">
        <is>
          <t>UPPSALA LÄN</t>
        </is>
      </c>
      <c r="E268" t="inlineStr">
        <is>
          <t>ÖSTHAMMAR</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59706-2025</t>
        </is>
      </c>
      <c r="B269" s="1" t="n">
        <v>45992.50333333333</v>
      </c>
      <c r="C269" s="1" t="n">
        <v>46110</v>
      </c>
      <c r="D269" t="inlineStr">
        <is>
          <t>UPPSALA LÄN</t>
        </is>
      </c>
      <c r="E269" t="inlineStr">
        <is>
          <t>ÖSTHAMMAR</t>
        </is>
      </c>
      <c r="F269" t="inlineStr">
        <is>
          <t>Bergvik skog öst AB</t>
        </is>
      </c>
      <c r="G269" t="n">
        <v>1.6</v>
      </c>
      <c r="H269" t="n">
        <v>0</v>
      </c>
      <c r="I269" t="n">
        <v>0</v>
      </c>
      <c r="J269" t="n">
        <v>0</v>
      </c>
      <c r="K269" t="n">
        <v>0</v>
      </c>
      <c r="L269" t="n">
        <v>0</v>
      </c>
      <c r="M269" t="n">
        <v>0</v>
      </c>
      <c r="N269" t="n">
        <v>0</v>
      </c>
      <c r="O269" t="n">
        <v>0</v>
      </c>
      <c r="P269" t="n">
        <v>0</v>
      </c>
      <c r="Q269" t="n">
        <v>0</v>
      </c>
      <c r="R269" s="2" t="inlineStr"/>
    </row>
    <row r="270" ht="15" customHeight="1">
      <c r="A270" t="inlineStr">
        <is>
          <t>A 30931-2021</t>
        </is>
      </c>
      <c r="B270" s="1" t="n">
        <v>44365</v>
      </c>
      <c r="C270" s="1" t="n">
        <v>46110</v>
      </c>
      <c r="D270" t="inlineStr">
        <is>
          <t>UPPSALA LÄN</t>
        </is>
      </c>
      <c r="E270" t="inlineStr">
        <is>
          <t>ÖSTHAMMAR</t>
        </is>
      </c>
      <c r="F270" t="inlineStr">
        <is>
          <t>Bergvik skog öst AB</t>
        </is>
      </c>
      <c r="G270" t="n">
        <v>2.3</v>
      </c>
      <c r="H270" t="n">
        <v>0</v>
      </c>
      <c r="I270" t="n">
        <v>0</v>
      </c>
      <c r="J270" t="n">
        <v>0</v>
      </c>
      <c r="K270" t="n">
        <v>0</v>
      </c>
      <c r="L270" t="n">
        <v>0</v>
      </c>
      <c r="M270" t="n">
        <v>0</v>
      </c>
      <c r="N270" t="n">
        <v>0</v>
      </c>
      <c r="O270" t="n">
        <v>0</v>
      </c>
      <c r="P270" t="n">
        <v>0</v>
      </c>
      <c r="Q270" t="n">
        <v>0</v>
      </c>
      <c r="R270" s="2" t="inlineStr"/>
    </row>
    <row r="271" ht="15" customHeight="1">
      <c r="A271" t="inlineStr">
        <is>
          <t>A 40416-2025</t>
        </is>
      </c>
      <c r="B271" s="1" t="n">
        <v>45895.57736111111</v>
      </c>
      <c r="C271" s="1" t="n">
        <v>46110</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40377-2025</t>
        </is>
      </c>
      <c r="B272" s="1" t="n">
        <v>45895.53020833333</v>
      </c>
      <c r="C272" s="1" t="n">
        <v>46110</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40462-2025</t>
        </is>
      </c>
      <c r="B273" s="1" t="n">
        <v>45895.65179398148</v>
      </c>
      <c r="C273" s="1" t="n">
        <v>46110</v>
      </c>
      <c r="D273" t="inlineStr">
        <is>
          <t>UPPSALA LÄN</t>
        </is>
      </c>
      <c r="E273" t="inlineStr">
        <is>
          <t>ÖSTHAMMAR</t>
        </is>
      </c>
      <c r="G273" t="n">
        <v>4.5</v>
      </c>
      <c r="H273" t="n">
        <v>0</v>
      </c>
      <c r="I273" t="n">
        <v>0</v>
      </c>
      <c r="J273" t="n">
        <v>0</v>
      </c>
      <c r="K273" t="n">
        <v>0</v>
      </c>
      <c r="L273" t="n">
        <v>0</v>
      </c>
      <c r="M273" t="n">
        <v>0</v>
      </c>
      <c r="N273" t="n">
        <v>0</v>
      </c>
      <c r="O273" t="n">
        <v>0</v>
      </c>
      <c r="P273" t="n">
        <v>0</v>
      </c>
      <c r="Q273" t="n">
        <v>0</v>
      </c>
      <c r="R273" s="2" t="inlineStr"/>
    </row>
    <row r="274" ht="15" customHeight="1">
      <c r="A274" t="inlineStr">
        <is>
          <t>A 40570-2025</t>
        </is>
      </c>
      <c r="B274" s="1" t="n">
        <v>45896.47878472223</v>
      </c>
      <c r="C274" s="1" t="n">
        <v>46110</v>
      </c>
      <c r="D274" t="inlineStr">
        <is>
          <t>UPPSALA LÄN</t>
        </is>
      </c>
      <c r="E274" t="inlineStr">
        <is>
          <t>ÖSTHAMMAR</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59708-2025</t>
        </is>
      </c>
      <c r="B275" s="1" t="n">
        <v>45992.50802083333</v>
      </c>
      <c r="C275" s="1" t="n">
        <v>46110</v>
      </c>
      <c r="D275" t="inlineStr">
        <is>
          <t>UPPSALA LÄN</t>
        </is>
      </c>
      <c r="E275" t="inlineStr">
        <is>
          <t>ÖSTHAMMAR</t>
        </is>
      </c>
      <c r="F275" t="inlineStr">
        <is>
          <t>Bergvik skog öst AB</t>
        </is>
      </c>
      <c r="G275" t="n">
        <v>3.2</v>
      </c>
      <c r="H275" t="n">
        <v>0</v>
      </c>
      <c r="I275" t="n">
        <v>0</v>
      </c>
      <c r="J275" t="n">
        <v>0</v>
      </c>
      <c r="K275" t="n">
        <v>0</v>
      </c>
      <c r="L275" t="n">
        <v>0</v>
      </c>
      <c r="M275" t="n">
        <v>0</v>
      </c>
      <c r="N275" t="n">
        <v>0</v>
      </c>
      <c r="O275" t="n">
        <v>0</v>
      </c>
      <c r="P275" t="n">
        <v>0</v>
      </c>
      <c r="Q275" t="n">
        <v>0</v>
      </c>
      <c r="R275" s="2" t="inlineStr"/>
    </row>
    <row r="276" ht="15" customHeight="1">
      <c r="A276" t="inlineStr">
        <is>
          <t>A 23305-2025</t>
        </is>
      </c>
      <c r="B276" s="1" t="n">
        <v>45791.60127314815</v>
      </c>
      <c r="C276" s="1" t="n">
        <v>46110</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24606-2024</t>
        </is>
      </c>
      <c r="B277" s="1" t="n">
        <v>45460</v>
      </c>
      <c r="C277" s="1" t="n">
        <v>46110</v>
      </c>
      <c r="D277" t="inlineStr">
        <is>
          <t>UPPSALA LÄN</t>
        </is>
      </c>
      <c r="E277" t="inlineStr">
        <is>
          <t>ÖSTHAMMAR</t>
        </is>
      </c>
      <c r="F277" t="inlineStr">
        <is>
          <t>Bergvik skog öst AB</t>
        </is>
      </c>
      <c r="G277" t="n">
        <v>2.9</v>
      </c>
      <c r="H277" t="n">
        <v>0</v>
      </c>
      <c r="I277" t="n">
        <v>0</v>
      </c>
      <c r="J277" t="n">
        <v>0</v>
      </c>
      <c r="K277" t="n">
        <v>0</v>
      </c>
      <c r="L277" t="n">
        <v>0</v>
      </c>
      <c r="M277" t="n">
        <v>0</v>
      </c>
      <c r="N277" t="n">
        <v>0</v>
      </c>
      <c r="O277" t="n">
        <v>0</v>
      </c>
      <c r="P277" t="n">
        <v>0</v>
      </c>
      <c r="Q277" t="n">
        <v>0</v>
      </c>
      <c r="R277" s="2" t="inlineStr"/>
    </row>
    <row r="278" ht="15" customHeight="1">
      <c r="A278" t="inlineStr">
        <is>
          <t>A 64811-2021</t>
        </is>
      </c>
      <c r="B278" s="1" t="n">
        <v>44512</v>
      </c>
      <c r="C278" s="1" t="n">
        <v>46110</v>
      </c>
      <c r="D278" t="inlineStr">
        <is>
          <t>UPPSALA LÄN</t>
        </is>
      </c>
      <c r="E278" t="inlineStr">
        <is>
          <t>ÖSTHAMMAR</t>
        </is>
      </c>
      <c r="G278" t="n">
        <v>4.2</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45895.53689814815</v>
      </c>
      <c r="C279" s="1" t="n">
        <v>46110</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40384-2025</t>
        </is>
      </c>
      <c r="B280" s="1" t="n">
        <v>45895.54085648148</v>
      </c>
      <c r="C280" s="1" t="n">
        <v>46110</v>
      </c>
      <c r="D280" t="inlineStr">
        <is>
          <t>UPPSALA LÄN</t>
        </is>
      </c>
      <c r="E280" t="inlineStr">
        <is>
          <t>ÖSTHAMMAR</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40460-2025</t>
        </is>
      </c>
      <c r="B281" s="1" t="n">
        <v>45895.65013888889</v>
      </c>
      <c r="C281" s="1" t="n">
        <v>46110</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8830-2023</t>
        </is>
      </c>
      <c r="B282" s="1" t="n">
        <v>44978</v>
      </c>
      <c r="C282" s="1" t="n">
        <v>46110</v>
      </c>
      <c r="D282" t="inlineStr">
        <is>
          <t>UPPSALA LÄN</t>
        </is>
      </c>
      <c r="E282" t="inlineStr">
        <is>
          <t>ÖSTHAMMAR</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46110</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23968-2025</t>
        </is>
      </c>
      <c r="B284" s="1" t="n">
        <v>45796</v>
      </c>
      <c r="C284" s="1" t="n">
        <v>46110</v>
      </c>
      <c r="D284" t="inlineStr">
        <is>
          <t>UPPSALA LÄN</t>
        </is>
      </c>
      <c r="E284" t="inlineStr">
        <is>
          <t>ÖSTHAMMAR</t>
        </is>
      </c>
      <c r="F284" t="inlineStr">
        <is>
          <t>Bergvik skog öst AB</t>
        </is>
      </c>
      <c r="G284" t="n">
        <v>7.5</v>
      </c>
      <c r="H284" t="n">
        <v>0</v>
      </c>
      <c r="I284" t="n">
        <v>0</v>
      </c>
      <c r="J284" t="n">
        <v>0</v>
      </c>
      <c r="K284" t="n">
        <v>0</v>
      </c>
      <c r="L284" t="n">
        <v>0</v>
      </c>
      <c r="M284" t="n">
        <v>0</v>
      </c>
      <c r="N284" t="n">
        <v>0</v>
      </c>
      <c r="O284" t="n">
        <v>0</v>
      </c>
      <c r="P284" t="n">
        <v>0</v>
      </c>
      <c r="Q284" t="n">
        <v>0</v>
      </c>
      <c r="R284" s="2" t="inlineStr"/>
    </row>
    <row r="285" ht="15" customHeight="1">
      <c r="A285" t="inlineStr">
        <is>
          <t>A 24160-2024</t>
        </is>
      </c>
      <c r="B285" s="1" t="n">
        <v>45456</v>
      </c>
      <c r="C285" s="1" t="n">
        <v>46110</v>
      </c>
      <c r="D285" t="inlineStr">
        <is>
          <t>UPPSALA LÄN</t>
        </is>
      </c>
      <c r="E285" t="inlineStr">
        <is>
          <t>ÖSTHAMMAR</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1584-2025</t>
        </is>
      </c>
      <c r="B286" s="1" t="n">
        <v>45670</v>
      </c>
      <c r="C286" s="1" t="n">
        <v>46110</v>
      </c>
      <c r="D286" t="inlineStr">
        <is>
          <t>UPPSALA LÄN</t>
        </is>
      </c>
      <c r="E286" t="inlineStr">
        <is>
          <t>ÖSTHAMMAR</t>
        </is>
      </c>
      <c r="G286" t="n">
        <v>0.7</v>
      </c>
      <c r="H286" t="n">
        <v>0</v>
      </c>
      <c r="I286" t="n">
        <v>0</v>
      </c>
      <c r="J286" t="n">
        <v>0</v>
      </c>
      <c r="K286" t="n">
        <v>0</v>
      </c>
      <c r="L286" t="n">
        <v>0</v>
      </c>
      <c r="M286" t="n">
        <v>0</v>
      </c>
      <c r="N286" t="n">
        <v>0</v>
      </c>
      <c r="O286" t="n">
        <v>0</v>
      </c>
      <c r="P286" t="n">
        <v>0</v>
      </c>
      <c r="Q286" t="n">
        <v>0</v>
      </c>
      <c r="R286" s="2" t="inlineStr"/>
    </row>
    <row r="287" ht="15" customHeight="1">
      <c r="A287" t="inlineStr">
        <is>
          <t>A 24174-2025</t>
        </is>
      </c>
      <c r="B287" s="1" t="n">
        <v>45796.69207175926</v>
      </c>
      <c r="C287" s="1" t="n">
        <v>46110</v>
      </c>
      <c r="D287" t="inlineStr">
        <is>
          <t>UPPSALA LÄN</t>
        </is>
      </c>
      <c r="E287" t="inlineStr">
        <is>
          <t>ÖSTHAMMAR</t>
        </is>
      </c>
      <c r="G287" t="n">
        <v>4.9</v>
      </c>
      <c r="H287" t="n">
        <v>0</v>
      </c>
      <c r="I287" t="n">
        <v>0</v>
      </c>
      <c r="J287" t="n">
        <v>0</v>
      </c>
      <c r="K287" t="n">
        <v>0</v>
      </c>
      <c r="L287" t="n">
        <v>0</v>
      </c>
      <c r="M287" t="n">
        <v>0</v>
      </c>
      <c r="N287" t="n">
        <v>0</v>
      </c>
      <c r="O287" t="n">
        <v>0</v>
      </c>
      <c r="P287" t="n">
        <v>0</v>
      </c>
      <c r="Q287" t="n">
        <v>0</v>
      </c>
      <c r="R287" s="2" t="inlineStr"/>
    </row>
    <row r="288" ht="15" customHeight="1">
      <c r="A288" t="inlineStr">
        <is>
          <t>A 30972-2024</t>
        </is>
      </c>
      <c r="B288" s="1" t="n">
        <v>45499.47106481482</v>
      </c>
      <c r="C288" s="1" t="n">
        <v>46110</v>
      </c>
      <c r="D288" t="inlineStr">
        <is>
          <t>UPPSALA LÄN</t>
        </is>
      </c>
      <c r="E288" t="inlineStr">
        <is>
          <t>ÖSTHAMMAR</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33550-2024</t>
        </is>
      </c>
      <c r="B289" s="1" t="n">
        <v>45519.81043981481</v>
      </c>
      <c r="C289" s="1" t="n">
        <v>46110</v>
      </c>
      <c r="D289" t="inlineStr">
        <is>
          <t>UPPSALA LÄN</t>
        </is>
      </c>
      <c r="E289" t="inlineStr">
        <is>
          <t>ÖSTHAMMAR</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62295-2022</t>
        </is>
      </c>
      <c r="B290" s="1" t="n">
        <v>44916</v>
      </c>
      <c r="C290" s="1" t="n">
        <v>46110</v>
      </c>
      <c r="D290" t="inlineStr">
        <is>
          <t>UPPSALA LÄN</t>
        </is>
      </c>
      <c r="E290" t="inlineStr">
        <is>
          <t>ÖSTHAMMAR</t>
        </is>
      </c>
      <c r="G290" t="n">
        <v>3.3</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44327.61518518518</v>
      </c>
      <c r="C291" s="1" t="n">
        <v>46110</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24415-2025</t>
        </is>
      </c>
      <c r="B292" s="1" t="n">
        <v>45797.67381944445</v>
      </c>
      <c r="C292" s="1" t="n">
        <v>46110</v>
      </c>
      <c r="D292" t="inlineStr">
        <is>
          <t>UPPSALA LÄN</t>
        </is>
      </c>
      <c r="E292" t="inlineStr">
        <is>
          <t>ÖSTHAMMAR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60603-2025</t>
        </is>
      </c>
      <c r="B293" s="1" t="n">
        <v>45996.3543287037</v>
      </c>
      <c r="C293" s="1" t="n">
        <v>46110</v>
      </c>
      <c r="D293" t="inlineStr">
        <is>
          <t>UPPSALA LÄN</t>
        </is>
      </c>
      <c r="E293" t="inlineStr">
        <is>
          <t>ÖSTHAMMAR</t>
        </is>
      </c>
      <c r="G293" t="n">
        <v>4.7</v>
      </c>
      <c r="H293" t="n">
        <v>0</v>
      </c>
      <c r="I293" t="n">
        <v>0</v>
      </c>
      <c r="J293" t="n">
        <v>0</v>
      </c>
      <c r="K293" t="n">
        <v>0</v>
      </c>
      <c r="L293" t="n">
        <v>0</v>
      </c>
      <c r="M293" t="n">
        <v>0</v>
      </c>
      <c r="N293" t="n">
        <v>0</v>
      </c>
      <c r="O293" t="n">
        <v>0</v>
      </c>
      <c r="P293" t="n">
        <v>0</v>
      </c>
      <c r="Q293" t="n">
        <v>0</v>
      </c>
      <c r="R293" s="2" t="inlineStr"/>
    </row>
    <row r="294" ht="15" customHeight="1">
      <c r="A294" t="inlineStr">
        <is>
          <t>A 57156-2025</t>
        </is>
      </c>
      <c r="B294" s="1" t="n">
        <v>45979.51591435185</v>
      </c>
      <c r="C294" s="1" t="n">
        <v>46110</v>
      </c>
      <c r="D294" t="inlineStr">
        <is>
          <t>UPPSALA LÄN</t>
        </is>
      </c>
      <c r="E294" t="inlineStr">
        <is>
          <t>ÖSTHAMMAR</t>
        </is>
      </c>
      <c r="G294" t="n">
        <v>1.8</v>
      </c>
      <c r="H294" t="n">
        <v>0</v>
      </c>
      <c r="I294" t="n">
        <v>0</v>
      </c>
      <c r="J294" t="n">
        <v>0</v>
      </c>
      <c r="K294" t="n">
        <v>0</v>
      </c>
      <c r="L294" t="n">
        <v>0</v>
      </c>
      <c r="M294" t="n">
        <v>0</v>
      </c>
      <c r="N294" t="n">
        <v>0</v>
      </c>
      <c r="O294" t="n">
        <v>0</v>
      </c>
      <c r="P294" t="n">
        <v>0</v>
      </c>
      <c r="Q294" t="n">
        <v>0</v>
      </c>
      <c r="R294" s="2" t="inlineStr"/>
    </row>
    <row r="295" ht="15" customHeight="1">
      <c r="A295" t="inlineStr">
        <is>
          <t>A 25049-2025</t>
        </is>
      </c>
      <c r="B295" s="1" t="n">
        <v>45799.66876157407</v>
      </c>
      <c r="C295" s="1" t="n">
        <v>46110</v>
      </c>
      <c r="D295" t="inlineStr">
        <is>
          <t>UPPSALA LÄN</t>
        </is>
      </c>
      <c r="E295" t="inlineStr">
        <is>
          <t>ÖSTHAMMAR</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32815-2024</t>
        </is>
      </c>
      <c r="B296" s="1" t="n">
        <v>45516.57682870371</v>
      </c>
      <c r="C296" s="1" t="n">
        <v>46110</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24944-2025</t>
        </is>
      </c>
      <c r="B297" s="1" t="n">
        <v>45799.56347222222</v>
      </c>
      <c r="C297" s="1" t="n">
        <v>46110</v>
      </c>
      <c r="D297" t="inlineStr">
        <is>
          <t>UPPSALA LÄN</t>
        </is>
      </c>
      <c r="E297" t="inlineStr">
        <is>
          <t>ÖSTHAMMAR</t>
        </is>
      </c>
      <c r="G297" t="n">
        <v>7.3</v>
      </c>
      <c r="H297" t="n">
        <v>0</v>
      </c>
      <c r="I297" t="n">
        <v>0</v>
      </c>
      <c r="J297" t="n">
        <v>0</v>
      </c>
      <c r="K297" t="n">
        <v>0</v>
      </c>
      <c r="L297" t="n">
        <v>0</v>
      </c>
      <c r="M297" t="n">
        <v>0</v>
      </c>
      <c r="N297" t="n">
        <v>0</v>
      </c>
      <c r="O297" t="n">
        <v>0</v>
      </c>
      <c r="P297" t="n">
        <v>0</v>
      </c>
      <c r="Q297" t="n">
        <v>0</v>
      </c>
      <c r="R297" s="2" t="inlineStr"/>
    </row>
    <row r="298" ht="15" customHeight="1">
      <c r="A298" t="inlineStr">
        <is>
          <t>A 32884-2024</t>
        </is>
      </c>
      <c r="B298" s="1" t="n">
        <v>45516.72097222223</v>
      </c>
      <c r="C298" s="1" t="n">
        <v>46110</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60910-2025</t>
        </is>
      </c>
      <c r="B299" s="1" t="n">
        <v>45999.59837962963</v>
      </c>
      <c r="C299" s="1" t="n">
        <v>46110</v>
      </c>
      <c r="D299" t="inlineStr">
        <is>
          <t>UPPSALA LÄN</t>
        </is>
      </c>
      <c r="E299" t="inlineStr">
        <is>
          <t>ÖSTHAMMAR</t>
        </is>
      </c>
      <c r="G299" t="n">
        <v>3.5</v>
      </c>
      <c r="H299" t="n">
        <v>0</v>
      </c>
      <c r="I299" t="n">
        <v>0</v>
      </c>
      <c r="J299" t="n">
        <v>0</v>
      </c>
      <c r="K299" t="n">
        <v>0</v>
      </c>
      <c r="L299" t="n">
        <v>0</v>
      </c>
      <c r="M299" t="n">
        <v>0</v>
      </c>
      <c r="N299" t="n">
        <v>0</v>
      </c>
      <c r="O299" t="n">
        <v>0</v>
      </c>
      <c r="P299" t="n">
        <v>0</v>
      </c>
      <c r="Q299" t="n">
        <v>0</v>
      </c>
      <c r="R299" s="2" t="inlineStr"/>
    </row>
    <row r="300" ht="15" customHeight="1">
      <c r="A300" t="inlineStr">
        <is>
          <t>A 60738-2025</t>
        </is>
      </c>
      <c r="B300" s="1" t="n">
        <v>45996.83506944445</v>
      </c>
      <c r="C300" s="1" t="n">
        <v>46110</v>
      </c>
      <c r="D300" t="inlineStr">
        <is>
          <t>UPPSALA LÄN</t>
        </is>
      </c>
      <c r="E300" t="inlineStr">
        <is>
          <t>ÖSTHAMMAR</t>
        </is>
      </c>
      <c r="G300" t="n">
        <v>1.8</v>
      </c>
      <c r="H300" t="n">
        <v>0</v>
      </c>
      <c r="I300" t="n">
        <v>0</v>
      </c>
      <c r="J300" t="n">
        <v>0</v>
      </c>
      <c r="K300" t="n">
        <v>0</v>
      </c>
      <c r="L300" t="n">
        <v>0</v>
      </c>
      <c r="M300" t="n">
        <v>0</v>
      </c>
      <c r="N300" t="n">
        <v>0</v>
      </c>
      <c r="O300" t="n">
        <v>0</v>
      </c>
      <c r="P300" t="n">
        <v>0</v>
      </c>
      <c r="Q300" t="n">
        <v>0</v>
      </c>
      <c r="R300" s="2" t="inlineStr"/>
    </row>
    <row r="301" ht="15" customHeight="1">
      <c r="A301" t="inlineStr">
        <is>
          <t>A 16089-2025</t>
        </is>
      </c>
      <c r="B301" s="1" t="n">
        <v>45749.84232638889</v>
      </c>
      <c r="C301" s="1" t="n">
        <v>46110</v>
      </c>
      <c r="D301" t="inlineStr">
        <is>
          <t>UPPSALA LÄN</t>
        </is>
      </c>
      <c r="E301" t="inlineStr">
        <is>
          <t>ÖSTHAMMAR</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34185-2024</t>
        </is>
      </c>
      <c r="B302" s="1" t="n">
        <v>45524</v>
      </c>
      <c r="C302" s="1" t="n">
        <v>46110</v>
      </c>
      <c r="D302" t="inlineStr">
        <is>
          <t>UPPSALA LÄN</t>
        </is>
      </c>
      <c r="E302" t="inlineStr">
        <is>
          <t>ÖSTHAMMAR</t>
        </is>
      </c>
      <c r="G302" t="n">
        <v>2.5</v>
      </c>
      <c r="H302" t="n">
        <v>0</v>
      </c>
      <c r="I302" t="n">
        <v>0</v>
      </c>
      <c r="J302" t="n">
        <v>0</v>
      </c>
      <c r="K302" t="n">
        <v>0</v>
      </c>
      <c r="L302" t="n">
        <v>0</v>
      </c>
      <c r="M302" t="n">
        <v>0</v>
      </c>
      <c r="N302" t="n">
        <v>0</v>
      </c>
      <c r="O302" t="n">
        <v>0</v>
      </c>
      <c r="P302" t="n">
        <v>0</v>
      </c>
      <c r="Q302" t="n">
        <v>0</v>
      </c>
      <c r="R302" s="2" t="inlineStr"/>
    </row>
    <row r="303" ht="15" customHeight="1">
      <c r="A303" t="inlineStr">
        <is>
          <t>A 14170-2025</t>
        </is>
      </c>
      <c r="B303" s="1" t="n">
        <v>45740.51895833333</v>
      </c>
      <c r="C303" s="1" t="n">
        <v>46110</v>
      </c>
      <c r="D303" t="inlineStr">
        <is>
          <t>UPPSALA LÄN</t>
        </is>
      </c>
      <c r="E303" t="inlineStr">
        <is>
          <t>ÖSTHAMMAR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61250-2025</t>
        </is>
      </c>
      <c r="B304" s="1" t="n">
        <v>46000.66645833333</v>
      </c>
      <c r="C304" s="1" t="n">
        <v>46110</v>
      </c>
      <c r="D304" t="inlineStr">
        <is>
          <t>UPPSALA LÄN</t>
        </is>
      </c>
      <c r="E304" t="inlineStr">
        <is>
          <t>ÖSTHAMMAR</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61261-2022</t>
        </is>
      </c>
      <c r="B305" s="1" t="n">
        <v>44915.59645833333</v>
      </c>
      <c r="C305" s="1" t="n">
        <v>46110</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4984-2024</t>
        </is>
      </c>
      <c r="B306" s="1" t="n">
        <v>45329</v>
      </c>
      <c r="C306" s="1" t="n">
        <v>46110</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46110</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74429-2021</t>
        </is>
      </c>
      <c r="B308" s="1" t="n">
        <v>44560.43136574074</v>
      </c>
      <c r="C308" s="1" t="n">
        <v>46110</v>
      </c>
      <c r="D308" t="inlineStr">
        <is>
          <t>UPPSALA LÄN</t>
        </is>
      </c>
      <c r="E308" t="inlineStr">
        <is>
          <t>ÖSTHAMMAR</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61143-2025</t>
        </is>
      </c>
      <c r="B309" s="1" t="n">
        <v>46000.53084490741</v>
      </c>
      <c r="C309" s="1" t="n">
        <v>46110</v>
      </c>
      <c r="D309" t="inlineStr">
        <is>
          <t>UPPSALA LÄN</t>
        </is>
      </c>
      <c r="E309" t="inlineStr">
        <is>
          <t>ÖSTHAMMAR</t>
        </is>
      </c>
      <c r="F309" t="inlineStr">
        <is>
          <t>Bergvik skog öst AB</t>
        </is>
      </c>
      <c r="G309" t="n">
        <v>3.3</v>
      </c>
      <c r="H309" t="n">
        <v>0</v>
      </c>
      <c r="I309" t="n">
        <v>0</v>
      </c>
      <c r="J309" t="n">
        <v>0</v>
      </c>
      <c r="K309" t="n">
        <v>0</v>
      </c>
      <c r="L309" t="n">
        <v>0</v>
      </c>
      <c r="M309" t="n">
        <v>0</v>
      </c>
      <c r="N309" t="n">
        <v>0</v>
      </c>
      <c r="O309" t="n">
        <v>0</v>
      </c>
      <c r="P309" t="n">
        <v>0</v>
      </c>
      <c r="Q309" t="n">
        <v>0</v>
      </c>
      <c r="R309" s="2" t="inlineStr"/>
    </row>
    <row r="310" ht="15" customHeight="1">
      <c r="A310" t="inlineStr">
        <is>
          <t>A 7543-2023</t>
        </is>
      </c>
      <c r="B310" s="1" t="n">
        <v>44972</v>
      </c>
      <c r="C310" s="1" t="n">
        <v>46110</v>
      </c>
      <c r="D310" t="inlineStr">
        <is>
          <t>UPPSALA LÄN</t>
        </is>
      </c>
      <c r="E310" t="inlineStr">
        <is>
          <t>ÖSTHAMMAR</t>
        </is>
      </c>
      <c r="F310" t="inlineStr">
        <is>
          <t>Bergvik skog öst AB</t>
        </is>
      </c>
      <c r="G310" t="n">
        <v>13.3</v>
      </c>
      <c r="H310" t="n">
        <v>0</v>
      </c>
      <c r="I310" t="n">
        <v>0</v>
      </c>
      <c r="J310" t="n">
        <v>0</v>
      </c>
      <c r="K310" t="n">
        <v>0</v>
      </c>
      <c r="L310" t="n">
        <v>0</v>
      </c>
      <c r="M310" t="n">
        <v>0</v>
      </c>
      <c r="N310" t="n">
        <v>0</v>
      </c>
      <c r="O310" t="n">
        <v>0</v>
      </c>
      <c r="P310" t="n">
        <v>0</v>
      </c>
      <c r="Q310" t="n">
        <v>0</v>
      </c>
      <c r="R310" s="2" t="inlineStr"/>
    </row>
    <row r="311" ht="15" customHeight="1">
      <c r="A311" t="inlineStr">
        <is>
          <t>A 8908-2025</t>
        </is>
      </c>
      <c r="B311" s="1" t="n">
        <v>45713.4196875</v>
      </c>
      <c r="C311" s="1" t="n">
        <v>46110</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61147-2025</t>
        </is>
      </c>
      <c r="B312" s="1" t="n">
        <v>46000.53493055556</v>
      </c>
      <c r="C312" s="1" t="n">
        <v>46110</v>
      </c>
      <c r="D312" t="inlineStr">
        <is>
          <t>UPPSALA LÄN</t>
        </is>
      </c>
      <c r="E312" t="inlineStr">
        <is>
          <t>ÖSTHAMMAR</t>
        </is>
      </c>
      <c r="F312" t="inlineStr">
        <is>
          <t>Bergvik skog öst AB</t>
        </is>
      </c>
      <c r="G312" t="n">
        <v>10.4</v>
      </c>
      <c r="H312" t="n">
        <v>0</v>
      </c>
      <c r="I312" t="n">
        <v>0</v>
      </c>
      <c r="J312" t="n">
        <v>0</v>
      </c>
      <c r="K312" t="n">
        <v>0</v>
      </c>
      <c r="L312" t="n">
        <v>0</v>
      </c>
      <c r="M312" t="n">
        <v>0</v>
      </c>
      <c r="N312" t="n">
        <v>0</v>
      </c>
      <c r="O312" t="n">
        <v>0</v>
      </c>
      <c r="P312" t="n">
        <v>0</v>
      </c>
      <c r="Q312" t="n">
        <v>0</v>
      </c>
      <c r="R312" s="2" t="inlineStr"/>
    </row>
    <row r="313" ht="15" customHeight="1">
      <c r="A313" t="inlineStr">
        <is>
          <t>A 61251-2025</t>
        </is>
      </c>
      <c r="B313" s="1" t="n">
        <v>46000.6669675926</v>
      </c>
      <c r="C313" s="1" t="n">
        <v>46110</v>
      </c>
      <c r="D313" t="inlineStr">
        <is>
          <t>UPPSALA LÄN</t>
        </is>
      </c>
      <c r="E313" t="inlineStr">
        <is>
          <t>ÖSTHAMMAR</t>
        </is>
      </c>
      <c r="F313" t="inlineStr">
        <is>
          <t>Bergvik skog öst AB</t>
        </is>
      </c>
      <c r="G313" t="n">
        <v>22.2</v>
      </c>
      <c r="H313" t="n">
        <v>0</v>
      </c>
      <c r="I313" t="n">
        <v>0</v>
      </c>
      <c r="J313" t="n">
        <v>0</v>
      </c>
      <c r="K313" t="n">
        <v>0</v>
      </c>
      <c r="L313" t="n">
        <v>0</v>
      </c>
      <c r="M313" t="n">
        <v>0</v>
      </c>
      <c r="N313" t="n">
        <v>0</v>
      </c>
      <c r="O313" t="n">
        <v>0</v>
      </c>
      <c r="P313" t="n">
        <v>0</v>
      </c>
      <c r="Q313" t="n">
        <v>0</v>
      </c>
      <c r="R313" s="2" t="inlineStr"/>
    </row>
    <row r="314" ht="15" customHeight="1">
      <c r="A314" t="inlineStr">
        <is>
          <t>A 20634-2024</t>
        </is>
      </c>
      <c r="B314" s="1" t="n">
        <v>45436</v>
      </c>
      <c r="C314" s="1" t="n">
        <v>46110</v>
      </c>
      <c r="D314" t="inlineStr">
        <is>
          <t>UPPSALA LÄN</t>
        </is>
      </c>
      <c r="E314" t="inlineStr">
        <is>
          <t>ÖSTHAMMAR</t>
        </is>
      </c>
      <c r="G314" t="n">
        <v>6.5</v>
      </c>
      <c r="H314" t="n">
        <v>0</v>
      </c>
      <c r="I314" t="n">
        <v>0</v>
      </c>
      <c r="J314" t="n">
        <v>0</v>
      </c>
      <c r="K314" t="n">
        <v>0</v>
      </c>
      <c r="L314" t="n">
        <v>0</v>
      </c>
      <c r="M314" t="n">
        <v>0</v>
      </c>
      <c r="N314" t="n">
        <v>0</v>
      </c>
      <c r="O314" t="n">
        <v>0</v>
      </c>
      <c r="P314" t="n">
        <v>0</v>
      </c>
      <c r="Q314" t="n">
        <v>0</v>
      </c>
      <c r="R314" s="2" t="inlineStr"/>
    </row>
    <row r="315" ht="15" customHeight="1">
      <c r="A315" t="inlineStr">
        <is>
          <t>A 41519-2025</t>
        </is>
      </c>
      <c r="B315" s="1" t="n">
        <v>45901.54751157408</v>
      </c>
      <c r="C315" s="1" t="n">
        <v>46110</v>
      </c>
      <c r="D315" t="inlineStr">
        <is>
          <t>UPPSALA LÄN</t>
        </is>
      </c>
      <c r="E315" t="inlineStr">
        <is>
          <t>ÖSTHAMMAR</t>
        </is>
      </c>
      <c r="F315" t="inlineStr">
        <is>
          <t>Övriga Aktiebolag</t>
        </is>
      </c>
      <c r="G315" t="n">
        <v>17.1</v>
      </c>
      <c r="H315" t="n">
        <v>0</v>
      </c>
      <c r="I315" t="n">
        <v>0</v>
      </c>
      <c r="J315" t="n">
        <v>0</v>
      </c>
      <c r="K315" t="n">
        <v>0</v>
      </c>
      <c r="L315" t="n">
        <v>0</v>
      </c>
      <c r="M315" t="n">
        <v>0</v>
      </c>
      <c r="N315" t="n">
        <v>0</v>
      </c>
      <c r="O315" t="n">
        <v>0</v>
      </c>
      <c r="P315" t="n">
        <v>0</v>
      </c>
      <c r="Q315" t="n">
        <v>0</v>
      </c>
      <c r="R315" s="2" t="inlineStr"/>
    </row>
    <row r="316" ht="15" customHeight="1">
      <c r="A316" t="inlineStr">
        <is>
          <t>A 12945-2025</t>
        </is>
      </c>
      <c r="B316" s="1" t="n">
        <v>45734.38159722222</v>
      </c>
      <c r="C316" s="1" t="n">
        <v>46110</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24408-2025</t>
        </is>
      </c>
      <c r="B317" s="1" t="n">
        <v>45797.65774305556</v>
      </c>
      <c r="C317" s="1" t="n">
        <v>46110</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52650-2022</t>
        </is>
      </c>
      <c r="B318" s="1" t="n">
        <v>44874</v>
      </c>
      <c r="C318" s="1" t="n">
        <v>46110</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52661-2022</t>
        </is>
      </c>
      <c r="B319" s="1" t="n">
        <v>44874</v>
      </c>
      <c r="C319" s="1" t="n">
        <v>46110</v>
      </c>
      <c r="D319" t="inlineStr">
        <is>
          <t>UPPSALA LÄN</t>
        </is>
      </c>
      <c r="E319" t="inlineStr">
        <is>
          <t>ÖSTHAMMAR</t>
        </is>
      </c>
      <c r="F319" t="inlineStr">
        <is>
          <t>Bergvik skog öst AB</t>
        </is>
      </c>
      <c r="G319" t="n">
        <v>0.2</v>
      </c>
      <c r="H319" t="n">
        <v>0</v>
      </c>
      <c r="I319" t="n">
        <v>0</v>
      </c>
      <c r="J319" t="n">
        <v>0</v>
      </c>
      <c r="K319" t="n">
        <v>0</v>
      </c>
      <c r="L319" t="n">
        <v>0</v>
      </c>
      <c r="M319" t="n">
        <v>0</v>
      </c>
      <c r="N319" t="n">
        <v>0</v>
      </c>
      <c r="O319" t="n">
        <v>0</v>
      </c>
      <c r="P319" t="n">
        <v>0</v>
      </c>
      <c r="Q319" t="n">
        <v>0</v>
      </c>
      <c r="R319" s="2" t="inlineStr"/>
    </row>
    <row r="320" ht="15" customHeight="1">
      <c r="A320" t="inlineStr">
        <is>
          <t>A 61838-2025</t>
        </is>
      </c>
      <c r="B320" s="1" t="n">
        <v>46003.35675925926</v>
      </c>
      <c r="C320" s="1" t="n">
        <v>46110</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3732-2022</t>
        </is>
      </c>
      <c r="B321" s="1" t="n">
        <v>44586.64851851852</v>
      </c>
      <c r="C321" s="1" t="n">
        <v>46110</v>
      </c>
      <c r="D321" t="inlineStr">
        <is>
          <t>UPPSALA LÄN</t>
        </is>
      </c>
      <c r="E321" t="inlineStr">
        <is>
          <t>ÖSTHAMMAR</t>
        </is>
      </c>
      <c r="F321" t="inlineStr">
        <is>
          <t>Bergvik skog öst AB</t>
        </is>
      </c>
      <c r="G321" t="n">
        <v>3.6</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46110</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46110</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38003-2024</t>
        </is>
      </c>
      <c r="B324" s="1" t="n">
        <v>45544</v>
      </c>
      <c r="C324" s="1" t="n">
        <v>46110</v>
      </c>
      <c r="D324" t="inlineStr">
        <is>
          <t>UPPSALA LÄN</t>
        </is>
      </c>
      <c r="E324" t="inlineStr">
        <is>
          <t>ÖSTHAMMAR</t>
        </is>
      </c>
      <c r="F324" t="inlineStr">
        <is>
          <t>Naturvårdsverket</t>
        </is>
      </c>
      <c r="G324" t="n">
        <v>4.2</v>
      </c>
      <c r="H324" t="n">
        <v>0</v>
      </c>
      <c r="I324" t="n">
        <v>0</v>
      </c>
      <c r="J324" t="n">
        <v>0</v>
      </c>
      <c r="K324" t="n">
        <v>0</v>
      </c>
      <c r="L324" t="n">
        <v>0</v>
      </c>
      <c r="M324" t="n">
        <v>0</v>
      </c>
      <c r="N324" t="n">
        <v>0</v>
      </c>
      <c r="O324" t="n">
        <v>0</v>
      </c>
      <c r="P324" t="n">
        <v>0</v>
      </c>
      <c r="Q324" t="n">
        <v>0</v>
      </c>
      <c r="R324" s="2" t="inlineStr"/>
    </row>
    <row r="325" ht="15" customHeight="1">
      <c r="A325" t="inlineStr">
        <is>
          <t>A 1575-2025</t>
        </is>
      </c>
      <c r="B325" s="1" t="n">
        <v>45670</v>
      </c>
      <c r="C325" s="1" t="n">
        <v>46110</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16141-2022</t>
        </is>
      </c>
      <c r="B326" s="1" t="n">
        <v>44665</v>
      </c>
      <c r="C326" s="1" t="n">
        <v>46110</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28152-2024</t>
        </is>
      </c>
      <c r="B327" s="1" t="n">
        <v>45476.77056712963</v>
      </c>
      <c r="C327" s="1" t="n">
        <v>46110</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28099-2025</t>
        </is>
      </c>
      <c r="B328" s="1" t="n">
        <v>45817.82967592592</v>
      </c>
      <c r="C328" s="1" t="n">
        <v>46110</v>
      </c>
      <c r="D328" t="inlineStr">
        <is>
          <t>UPPSALA LÄN</t>
        </is>
      </c>
      <c r="E328" t="inlineStr">
        <is>
          <t>ÖSTHAMMAR</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5076-2025</t>
        </is>
      </c>
      <c r="B329" s="1" t="n">
        <v>45691</v>
      </c>
      <c r="C329" s="1" t="n">
        <v>46110</v>
      </c>
      <c r="D329" t="inlineStr">
        <is>
          <t>UPPSALA LÄN</t>
        </is>
      </c>
      <c r="E329" t="inlineStr">
        <is>
          <t>ÖSTHAMMAR</t>
        </is>
      </c>
      <c r="G329" t="n">
        <v>5.8</v>
      </c>
      <c r="H329" t="n">
        <v>0</v>
      </c>
      <c r="I329" t="n">
        <v>0</v>
      </c>
      <c r="J329" t="n">
        <v>0</v>
      </c>
      <c r="K329" t="n">
        <v>0</v>
      </c>
      <c r="L329" t="n">
        <v>0</v>
      </c>
      <c r="M329" t="n">
        <v>0</v>
      </c>
      <c r="N329" t="n">
        <v>0</v>
      </c>
      <c r="O329" t="n">
        <v>0</v>
      </c>
      <c r="P329" t="n">
        <v>0</v>
      </c>
      <c r="Q329" t="n">
        <v>0</v>
      </c>
      <c r="R329" s="2" t="inlineStr"/>
    </row>
    <row r="330" ht="15" customHeight="1">
      <c r="A330" t="inlineStr">
        <is>
          <t>A 57453-2022</t>
        </is>
      </c>
      <c r="B330" s="1" t="n">
        <v>44896.56266203704</v>
      </c>
      <c r="C330" s="1" t="n">
        <v>46110</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57462-2022</t>
        </is>
      </c>
      <c r="B331" s="1" t="n">
        <v>44896.57527777777</v>
      </c>
      <c r="C331" s="1" t="n">
        <v>46110</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58297-2024</t>
        </is>
      </c>
      <c r="B332" s="1" t="n">
        <v>45632.59780092593</v>
      </c>
      <c r="C332" s="1" t="n">
        <v>46110</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2839-2025</t>
        </is>
      </c>
      <c r="B333" s="1" t="n">
        <v>45677</v>
      </c>
      <c r="C333" s="1" t="n">
        <v>46110</v>
      </c>
      <c r="D333" t="inlineStr">
        <is>
          <t>UPPSALA LÄN</t>
        </is>
      </c>
      <c r="E333" t="inlineStr">
        <is>
          <t>ÖSTHAMMAR</t>
        </is>
      </c>
      <c r="F333" t="inlineStr">
        <is>
          <t>Övriga Aktiebolag</t>
        </is>
      </c>
      <c r="G333" t="n">
        <v>4</v>
      </c>
      <c r="H333" t="n">
        <v>0</v>
      </c>
      <c r="I333" t="n">
        <v>0</v>
      </c>
      <c r="J333" t="n">
        <v>0</v>
      </c>
      <c r="K333" t="n">
        <v>0</v>
      </c>
      <c r="L333" t="n">
        <v>0</v>
      </c>
      <c r="M333" t="n">
        <v>0</v>
      </c>
      <c r="N333" t="n">
        <v>0</v>
      </c>
      <c r="O333" t="n">
        <v>0</v>
      </c>
      <c r="P333" t="n">
        <v>0</v>
      </c>
      <c r="Q333" t="n">
        <v>0</v>
      </c>
      <c r="R333" s="2" t="inlineStr"/>
    </row>
    <row r="334" ht="15" customHeight="1">
      <c r="A334" t="inlineStr">
        <is>
          <t>A 2947-2025</t>
        </is>
      </c>
      <c r="B334" s="1" t="n">
        <v>45678</v>
      </c>
      <c r="C334" s="1" t="n">
        <v>46110</v>
      </c>
      <c r="D334" t="inlineStr">
        <is>
          <t>UPPSALA LÄN</t>
        </is>
      </c>
      <c r="E334" t="inlineStr">
        <is>
          <t>ÖSTHAMMAR</t>
        </is>
      </c>
      <c r="G334" t="n">
        <v>3.6</v>
      </c>
      <c r="H334" t="n">
        <v>0</v>
      </c>
      <c r="I334" t="n">
        <v>0</v>
      </c>
      <c r="J334" t="n">
        <v>0</v>
      </c>
      <c r="K334" t="n">
        <v>0</v>
      </c>
      <c r="L334" t="n">
        <v>0</v>
      </c>
      <c r="M334" t="n">
        <v>0</v>
      </c>
      <c r="N334" t="n">
        <v>0</v>
      </c>
      <c r="O334" t="n">
        <v>0</v>
      </c>
      <c r="P334" t="n">
        <v>0</v>
      </c>
      <c r="Q334" t="n">
        <v>0</v>
      </c>
      <c r="R334" s="2" t="inlineStr"/>
    </row>
    <row r="335" ht="15" customHeight="1">
      <c r="A335" t="inlineStr">
        <is>
          <t>A 33927-2025</t>
        </is>
      </c>
      <c r="B335" s="1" t="n">
        <v>45842.62363425926</v>
      </c>
      <c r="C335" s="1" t="n">
        <v>46110</v>
      </c>
      <c r="D335" t="inlineStr">
        <is>
          <t>UPPSALA LÄN</t>
        </is>
      </c>
      <c r="E335" t="inlineStr">
        <is>
          <t>ÖSTHAMMAR</t>
        </is>
      </c>
      <c r="G335" t="n">
        <v>3.5</v>
      </c>
      <c r="H335" t="n">
        <v>0</v>
      </c>
      <c r="I335" t="n">
        <v>0</v>
      </c>
      <c r="J335" t="n">
        <v>0</v>
      </c>
      <c r="K335" t="n">
        <v>0</v>
      </c>
      <c r="L335" t="n">
        <v>0</v>
      </c>
      <c r="M335" t="n">
        <v>0</v>
      </c>
      <c r="N335" t="n">
        <v>0</v>
      </c>
      <c r="O335" t="n">
        <v>0</v>
      </c>
      <c r="P335" t="n">
        <v>0</v>
      </c>
      <c r="Q335" t="n">
        <v>0</v>
      </c>
      <c r="R335" s="2" t="inlineStr"/>
    </row>
    <row r="336" ht="15" customHeight="1">
      <c r="A336" t="inlineStr">
        <is>
          <t>A 43011-2025</t>
        </is>
      </c>
      <c r="B336" s="1" t="n">
        <v>45909.48989583334</v>
      </c>
      <c r="C336" s="1" t="n">
        <v>46110</v>
      </c>
      <c r="D336" t="inlineStr">
        <is>
          <t>UPPSALA LÄN</t>
        </is>
      </c>
      <c r="E336" t="inlineStr">
        <is>
          <t>ÖSTHAMMAR</t>
        </is>
      </c>
      <c r="F336" t="inlineStr">
        <is>
          <t>Övriga Aktiebolag</t>
        </is>
      </c>
      <c r="G336" t="n">
        <v>4.7</v>
      </c>
      <c r="H336" t="n">
        <v>0</v>
      </c>
      <c r="I336" t="n">
        <v>0</v>
      </c>
      <c r="J336" t="n">
        <v>0</v>
      </c>
      <c r="K336" t="n">
        <v>0</v>
      </c>
      <c r="L336" t="n">
        <v>0</v>
      </c>
      <c r="M336" t="n">
        <v>0</v>
      </c>
      <c r="N336" t="n">
        <v>0</v>
      </c>
      <c r="O336" t="n">
        <v>0</v>
      </c>
      <c r="P336" t="n">
        <v>0</v>
      </c>
      <c r="Q336" t="n">
        <v>0</v>
      </c>
      <c r="R336" s="2" t="inlineStr"/>
    </row>
    <row r="337" ht="15" customHeight="1">
      <c r="A337" t="inlineStr">
        <is>
          <t>A 62745-2025</t>
        </is>
      </c>
      <c r="B337" s="1" t="n">
        <v>46008.57596064815</v>
      </c>
      <c r="C337" s="1" t="n">
        <v>46110</v>
      </c>
      <c r="D337" t="inlineStr">
        <is>
          <t>UPPSALA LÄN</t>
        </is>
      </c>
      <c r="E337" t="inlineStr">
        <is>
          <t>ÖSTHAMMAR</t>
        </is>
      </c>
      <c r="G337" t="n">
        <v>2</v>
      </c>
      <c r="H337" t="n">
        <v>0</v>
      </c>
      <c r="I337" t="n">
        <v>0</v>
      </c>
      <c r="J337" t="n">
        <v>0</v>
      </c>
      <c r="K337" t="n">
        <v>0</v>
      </c>
      <c r="L337" t="n">
        <v>0</v>
      </c>
      <c r="M337" t="n">
        <v>0</v>
      </c>
      <c r="N337" t="n">
        <v>0</v>
      </c>
      <c r="O337" t="n">
        <v>0</v>
      </c>
      <c r="P337" t="n">
        <v>0</v>
      </c>
      <c r="Q337" t="n">
        <v>0</v>
      </c>
      <c r="R337" s="2" t="inlineStr"/>
    </row>
    <row r="338" ht="15" customHeight="1">
      <c r="A338" t="inlineStr">
        <is>
          <t>A 42940-2025</t>
        </is>
      </c>
      <c r="B338" s="1" t="n">
        <v>45909.33440972222</v>
      </c>
      <c r="C338" s="1" t="n">
        <v>46110</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26055-2025</t>
        </is>
      </c>
      <c r="B339" s="1" t="n">
        <v>45804.77559027778</v>
      </c>
      <c r="C339" s="1" t="n">
        <v>46110</v>
      </c>
      <c r="D339" t="inlineStr">
        <is>
          <t>UPPSALA LÄN</t>
        </is>
      </c>
      <c r="E339" t="inlineStr">
        <is>
          <t>ÖSTHAMMAR</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26330-2025</t>
        </is>
      </c>
      <c r="B340" s="1" t="n">
        <v>45805.68263888889</v>
      </c>
      <c r="C340" s="1" t="n">
        <v>46110</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26319-2025</t>
        </is>
      </c>
      <c r="B341" s="1" t="n">
        <v>45805.65960648148</v>
      </c>
      <c r="C341" s="1" t="n">
        <v>46110</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43622-2025</t>
        </is>
      </c>
      <c r="B342" s="1" t="n">
        <v>45911.68295138889</v>
      </c>
      <c r="C342" s="1" t="n">
        <v>46110</v>
      </c>
      <c r="D342" t="inlineStr">
        <is>
          <t>UPPSALA LÄN</t>
        </is>
      </c>
      <c r="E342" t="inlineStr">
        <is>
          <t>ÖSTHAMMAR</t>
        </is>
      </c>
      <c r="G342" t="n">
        <v>2.3</v>
      </c>
      <c r="H342" t="n">
        <v>0</v>
      </c>
      <c r="I342" t="n">
        <v>0</v>
      </c>
      <c r="J342" t="n">
        <v>0</v>
      </c>
      <c r="K342" t="n">
        <v>0</v>
      </c>
      <c r="L342" t="n">
        <v>0</v>
      </c>
      <c r="M342" t="n">
        <v>0</v>
      </c>
      <c r="N342" t="n">
        <v>0</v>
      </c>
      <c r="O342" t="n">
        <v>0</v>
      </c>
      <c r="P342" t="n">
        <v>0</v>
      </c>
      <c r="Q342" t="n">
        <v>0</v>
      </c>
      <c r="R342" s="2" t="inlineStr"/>
    </row>
    <row r="343" ht="15" customHeight="1">
      <c r="A343" t="inlineStr">
        <is>
          <t>A 43604-2025</t>
        </is>
      </c>
      <c r="B343" s="1" t="n">
        <v>45911.66671296296</v>
      </c>
      <c r="C343" s="1" t="n">
        <v>46110</v>
      </c>
      <c r="D343" t="inlineStr">
        <is>
          <t>UPPSALA LÄN</t>
        </is>
      </c>
      <c r="E343" t="inlineStr">
        <is>
          <t>ÖSTHAMMAR</t>
        </is>
      </c>
      <c r="G343" t="n">
        <v>8.5</v>
      </c>
      <c r="H343" t="n">
        <v>0</v>
      </c>
      <c r="I343" t="n">
        <v>0</v>
      </c>
      <c r="J343" t="n">
        <v>0</v>
      </c>
      <c r="K343" t="n">
        <v>0</v>
      </c>
      <c r="L343" t="n">
        <v>0</v>
      </c>
      <c r="M343" t="n">
        <v>0</v>
      </c>
      <c r="N343" t="n">
        <v>0</v>
      </c>
      <c r="O343" t="n">
        <v>0</v>
      </c>
      <c r="P343" t="n">
        <v>0</v>
      </c>
      <c r="Q343" t="n">
        <v>0</v>
      </c>
      <c r="R343" s="2" t="inlineStr"/>
    </row>
    <row r="344" ht="15" customHeight="1">
      <c r="A344" t="inlineStr">
        <is>
          <t>A 61817-2021</t>
        </is>
      </c>
      <c r="B344" s="1" t="n">
        <v>44501.76855324074</v>
      </c>
      <c r="C344" s="1" t="n">
        <v>46110</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73982-2021</t>
        </is>
      </c>
      <c r="B345" s="1" t="n">
        <v>44555.80339120371</v>
      </c>
      <c r="C345" s="1" t="n">
        <v>46110</v>
      </c>
      <c r="D345" t="inlineStr">
        <is>
          <t>UPPSALA LÄN</t>
        </is>
      </c>
      <c r="E345" t="inlineStr">
        <is>
          <t>ÖSTHAMMAR</t>
        </is>
      </c>
      <c r="G345" t="n">
        <v>0.9</v>
      </c>
      <c r="H345" t="n">
        <v>0</v>
      </c>
      <c r="I345" t="n">
        <v>0</v>
      </c>
      <c r="J345" t="n">
        <v>0</v>
      </c>
      <c r="K345" t="n">
        <v>0</v>
      </c>
      <c r="L345" t="n">
        <v>0</v>
      </c>
      <c r="M345" t="n">
        <v>0</v>
      </c>
      <c r="N345" t="n">
        <v>0</v>
      </c>
      <c r="O345" t="n">
        <v>0</v>
      </c>
      <c r="P345" t="n">
        <v>0</v>
      </c>
      <c r="Q345" t="n">
        <v>0</v>
      </c>
      <c r="R345" s="2" t="inlineStr"/>
    </row>
    <row r="346" ht="15" customHeight="1">
      <c r="A346" t="inlineStr">
        <is>
          <t>A 14859-2025</t>
        </is>
      </c>
      <c r="B346" s="1" t="n">
        <v>45743.42427083333</v>
      </c>
      <c r="C346" s="1" t="n">
        <v>46110</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14272-2025</t>
        </is>
      </c>
      <c r="B347" s="1" t="n">
        <v>45740.64327546296</v>
      </c>
      <c r="C347" s="1" t="n">
        <v>46110</v>
      </c>
      <c r="D347" t="inlineStr">
        <is>
          <t>UPPSALA LÄN</t>
        </is>
      </c>
      <c r="E347" t="inlineStr">
        <is>
          <t>ÖSTHAMMAR</t>
        </is>
      </c>
      <c r="G347" t="n">
        <v>5.7</v>
      </c>
      <c r="H347" t="n">
        <v>0</v>
      </c>
      <c r="I347" t="n">
        <v>0</v>
      </c>
      <c r="J347" t="n">
        <v>0</v>
      </c>
      <c r="K347" t="n">
        <v>0</v>
      </c>
      <c r="L347" t="n">
        <v>0</v>
      </c>
      <c r="M347" t="n">
        <v>0</v>
      </c>
      <c r="N347" t="n">
        <v>0</v>
      </c>
      <c r="O347" t="n">
        <v>0</v>
      </c>
      <c r="P347" t="n">
        <v>0</v>
      </c>
      <c r="Q347" t="n">
        <v>0</v>
      </c>
      <c r="R347" s="2" t="inlineStr"/>
    </row>
    <row r="348" ht="15" customHeight="1">
      <c r="A348" t="inlineStr">
        <is>
          <t>A 27660-2023</t>
        </is>
      </c>
      <c r="B348" s="1" t="n">
        <v>45097</v>
      </c>
      <c r="C348" s="1" t="n">
        <v>46110</v>
      </c>
      <c r="D348" t="inlineStr">
        <is>
          <t>UPPSALA LÄN</t>
        </is>
      </c>
      <c r="E348" t="inlineStr">
        <is>
          <t>ÖSTHAMMAR</t>
        </is>
      </c>
      <c r="G348" t="n">
        <v>2.8</v>
      </c>
      <c r="H348" t="n">
        <v>0</v>
      </c>
      <c r="I348" t="n">
        <v>0</v>
      </c>
      <c r="J348" t="n">
        <v>0</v>
      </c>
      <c r="K348" t="n">
        <v>0</v>
      </c>
      <c r="L348" t="n">
        <v>0</v>
      </c>
      <c r="M348" t="n">
        <v>0</v>
      </c>
      <c r="N348" t="n">
        <v>0</v>
      </c>
      <c r="O348" t="n">
        <v>0</v>
      </c>
      <c r="P348" t="n">
        <v>0</v>
      </c>
      <c r="Q348" t="n">
        <v>0</v>
      </c>
      <c r="R348" s="2" t="inlineStr"/>
    </row>
    <row r="349" ht="15" customHeight="1">
      <c r="A349" t="inlineStr">
        <is>
          <t>A 21478-2023</t>
        </is>
      </c>
      <c r="B349" s="1" t="n">
        <v>45063.47773148148</v>
      </c>
      <c r="C349" s="1" t="n">
        <v>46110</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62394-2022</t>
        </is>
      </c>
      <c r="B350" s="1" t="n">
        <v>44923.82017361111</v>
      </c>
      <c r="C350" s="1" t="n">
        <v>46110</v>
      </c>
      <c r="D350" t="inlineStr">
        <is>
          <t>UPPSALA LÄN</t>
        </is>
      </c>
      <c r="E350" t="inlineStr">
        <is>
          <t>ÖSTHAMMAR</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44491-2025</t>
        </is>
      </c>
      <c r="B351" s="1" t="n">
        <v>45916.66152777777</v>
      </c>
      <c r="C351" s="1" t="n">
        <v>46110</v>
      </c>
      <c r="D351" t="inlineStr">
        <is>
          <t>UPPSALA LÄN</t>
        </is>
      </c>
      <c r="E351" t="inlineStr">
        <is>
          <t>ÖSTHAMMAR</t>
        </is>
      </c>
      <c r="F351" t="inlineStr">
        <is>
          <t>Bergvik skog öst AB</t>
        </is>
      </c>
      <c r="G351" t="n">
        <v>4.3</v>
      </c>
      <c r="H351" t="n">
        <v>0</v>
      </c>
      <c r="I351" t="n">
        <v>0</v>
      </c>
      <c r="J351" t="n">
        <v>0</v>
      </c>
      <c r="K351" t="n">
        <v>0</v>
      </c>
      <c r="L351" t="n">
        <v>0</v>
      </c>
      <c r="M351" t="n">
        <v>0</v>
      </c>
      <c r="N351" t="n">
        <v>0</v>
      </c>
      <c r="O351" t="n">
        <v>0</v>
      </c>
      <c r="P351" t="n">
        <v>0</v>
      </c>
      <c r="Q351" t="n">
        <v>0</v>
      </c>
      <c r="R351" s="2" t="inlineStr"/>
    </row>
    <row r="352" ht="15" customHeight="1">
      <c r="A352" t="inlineStr">
        <is>
          <t>A 44917-2025</t>
        </is>
      </c>
      <c r="B352" s="1" t="n">
        <v>45918.54903935185</v>
      </c>
      <c r="C352" s="1" t="n">
        <v>46110</v>
      </c>
      <c r="D352" t="inlineStr">
        <is>
          <t>UPPSALA LÄN</t>
        </is>
      </c>
      <c r="E352" t="inlineStr">
        <is>
          <t>ÖSTHAMMAR</t>
        </is>
      </c>
      <c r="F352" t="inlineStr">
        <is>
          <t>Allmännings- och besparingsskogar</t>
        </is>
      </c>
      <c r="G352" t="n">
        <v>16</v>
      </c>
      <c r="H352" t="n">
        <v>0</v>
      </c>
      <c r="I352" t="n">
        <v>0</v>
      </c>
      <c r="J352" t="n">
        <v>0</v>
      </c>
      <c r="K352" t="n">
        <v>0</v>
      </c>
      <c r="L352" t="n">
        <v>0</v>
      </c>
      <c r="M352" t="n">
        <v>0</v>
      </c>
      <c r="N352" t="n">
        <v>0</v>
      </c>
      <c r="O352" t="n">
        <v>0</v>
      </c>
      <c r="P352" t="n">
        <v>0</v>
      </c>
      <c r="Q352" t="n">
        <v>0</v>
      </c>
      <c r="R352" s="2" t="inlineStr"/>
    </row>
    <row r="353" ht="15" customHeight="1">
      <c r="A353" t="inlineStr">
        <is>
          <t>A 6153-2022</t>
        </is>
      </c>
      <c r="B353" s="1" t="n">
        <v>44599</v>
      </c>
      <c r="C353" s="1" t="n">
        <v>46110</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45105-2025</t>
        </is>
      </c>
      <c r="B354" s="1" t="n">
        <v>45919.40252314815</v>
      </c>
      <c r="C354" s="1" t="n">
        <v>46110</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1800-2023</t>
        </is>
      </c>
      <c r="B355" s="1" t="n">
        <v>44938</v>
      </c>
      <c r="C355" s="1" t="n">
        <v>46110</v>
      </c>
      <c r="D355" t="inlineStr">
        <is>
          <t>UPPSALA LÄN</t>
        </is>
      </c>
      <c r="E355" t="inlineStr">
        <is>
          <t>ÖSTHAMMAR</t>
        </is>
      </c>
      <c r="G355" t="n">
        <v>1.4</v>
      </c>
      <c r="H355" t="n">
        <v>0</v>
      </c>
      <c r="I355" t="n">
        <v>0</v>
      </c>
      <c r="J355" t="n">
        <v>0</v>
      </c>
      <c r="K355" t="n">
        <v>0</v>
      </c>
      <c r="L355" t="n">
        <v>0</v>
      </c>
      <c r="M355" t="n">
        <v>0</v>
      </c>
      <c r="N355" t="n">
        <v>0</v>
      </c>
      <c r="O355" t="n">
        <v>0</v>
      </c>
      <c r="P355" t="n">
        <v>0</v>
      </c>
      <c r="Q355" t="n">
        <v>0</v>
      </c>
      <c r="R355" s="2" t="inlineStr"/>
    </row>
    <row r="356" ht="15" customHeight="1">
      <c r="A356" t="inlineStr">
        <is>
          <t>A 47341-2023</t>
        </is>
      </c>
      <c r="B356" s="1" t="n">
        <v>45202.55721064815</v>
      </c>
      <c r="C356" s="1" t="n">
        <v>46110</v>
      </c>
      <c r="D356" t="inlineStr">
        <is>
          <t>UPPSALA LÄN</t>
        </is>
      </c>
      <c r="E356" t="inlineStr">
        <is>
          <t>ÖSTHAMMAR</t>
        </is>
      </c>
      <c r="G356" t="n">
        <v>4.9</v>
      </c>
      <c r="H356" t="n">
        <v>0</v>
      </c>
      <c r="I356" t="n">
        <v>0</v>
      </c>
      <c r="J356" t="n">
        <v>0</v>
      </c>
      <c r="K356" t="n">
        <v>0</v>
      </c>
      <c r="L356" t="n">
        <v>0</v>
      </c>
      <c r="M356" t="n">
        <v>0</v>
      </c>
      <c r="N356" t="n">
        <v>0</v>
      </c>
      <c r="O356" t="n">
        <v>0</v>
      </c>
      <c r="P356" t="n">
        <v>0</v>
      </c>
      <c r="Q356" t="n">
        <v>0</v>
      </c>
      <c r="R356" s="2" t="inlineStr"/>
    </row>
    <row r="357" ht="15" customHeight="1">
      <c r="A357" t="inlineStr">
        <is>
          <t>A 45102-2025</t>
        </is>
      </c>
      <c r="B357" s="1" t="n">
        <v>45919.39731481481</v>
      </c>
      <c r="C357" s="1" t="n">
        <v>46110</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61216-2022</t>
        </is>
      </c>
      <c r="B358" s="1" t="n">
        <v>44915.55423611111</v>
      </c>
      <c r="C358" s="1" t="n">
        <v>46110</v>
      </c>
      <c r="D358" t="inlineStr">
        <is>
          <t>UPPSALA LÄN</t>
        </is>
      </c>
      <c r="E358" t="inlineStr">
        <is>
          <t>ÖSTHAMMAR</t>
        </is>
      </c>
      <c r="G358" t="n">
        <v>2.9</v>
      </c>
      <c r="H358" t="n">
        <v>0</v>
      </c>
      <c r="I358" t="n">
        <v>0</v>
      </c>
      <c r="J358" t="n">
        <v>0</v>
      </c>
      <c r="K358" t="n">
        <v>0</v>
      </c>
      <c r="L358" t="n">
        <v>0</v>
      </c>
      <c r="M358" t="n">
        <v>0</v>
      </c>
      <c r="N358" t="n">
        <v>0</v>
      </c>
      <c r="O358" t="n">
        <v>0</v>
      </c>
      <c r="P358" t="n">
        <v>0</v>
      </c>
      <c r="Q358" t="n">
        <v>0</v>
      </c>
      <c r="R358" s="2" t="inlineStr"/>
    </row>
    <row r="359" ht="15" customHeight="1">
      <c r="A359" t="inlineStr">
        <is>
          <t>A 70008-2021</t>
        </is>
      </c>
      <c r="B359" s="1" t="n">
        <v>44533.44887731481</v>
      </c>
      <c r="C359" s="1" t="n">
        <v>46110</v>
      </c>
      <c r="D359" t="inlineStr">
        <is>
          <t>UPPSALA LÄN</t>
        </is>
      </c>
      <c r="E359" t="inlineStr">
        <is>
          <t>ÖSTHAMMAR</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45720-2025</t>
        </is>
      </c>
      <c r="B360" s="1" t="n">
        <v>45923.44583333333</v>
      </c>
      <c r="C360" s="1" t="n">
        <v>46110</v>
      </c>
      <c r="D360" t="inlineStr">
        <is>
          <t>UPPSALA LÄN</t>
        </is>
      </c>
      <c r="E360" t="inlineStr">
        <is>
          <t>ÖSTHAMMAR</t>
        </is>
      </c>
      <c r="F360" t="inlineStr">
        <is>
          <t>Övriga Aktiebolag</t>
        </is>
      </c>
      <c r="G360" t="n">
        <v>2.8</v>
      </c>
      <c r="H360" t="n">
        <v>0</v>
      </c>
      <c r="I360" t="n">
        <v>0</v>
      </c>
      <c r="J360" t="n">
        <v>0</v>
      </c>
      <c r="K360" t="n">
        <v>0</v>
      </c>
      <c r="L360" t="n">
        <v>0</v>
      </c>
      <c r="M360" t="n">
        <v>0</v>
      </c>
      <c r="N360" t="n">
        <v>0</v>
      </c>
      <c r="O360" t="n">
        <v>0</v>
      </c>
      <c r="P360" t="n">
        <v>0</v>
      </c>
      <c r="Q360" t="n">
        <v>0</v>
      </c>
      <c r="R360" s="2" t="inlineStr"/>
    </row>
    <row r="361" ht="15" customHeight="1">
      <c r="A361" t="inlineStr">
        <is>
          <t>A 45721-2025</t>
        </is>
      </c>
      <c r="B361" s="1" t="n">
        <v>45923.44844907407</v>
      </c>
      <c r="C361" s="1" t="n">
        <v>46110</v>
      </c>
      <c r="D361" t="inlineStr">
        <is>
          <t>UPPSALA LÄN</t>
        </is>
      </c>
      <c r="E361" t="inlineStr">
        <is>
          <t>ÖSTHAMMAR</t>
        </is>
      </c>
      <c r="F361" t="inlineStr">
        <is>
          <t>Övriga Aktiebolag</t>
        </is>
      </c>
      <c r="G361" t="n">
        <v>0.9</v>
      </c>
      <c r="H361" t="n">
        <v>0</v>
      </c>
      <c r="I361" t="n">
        <v>0</v>
      </c>
      <c r="J361" t="n">
        <v>0</v>
      </c>
      <c r="K361" t="n">
        <v>0</v>
      </c>
      <c r="L361" t="n">
        <v>0</v>
      </c>
      <c r="M361" t="n">
        <v>0</v>
      </c>
      <c r="N361" t="n">
        <v>0</v>
      </c>
      <c r="O361" t="n">
        <v>0</v>
      </c>
      <c r="P361" t="n">
        <v>0</v>
      </c>
      <c r="Q361" t="n">
        <v>0</v>
      </c>
      <c r="R361" s="2" t="inlineStr"/>
    </row>
    <row r="362" ht="15" customHeight="1">
      <c r="A362" t="inlineStr">
        <is>
          <t>A 223-2026</t>
        </is>
      </c>
      <c r="B362" s="1" t="n">
        <v>46026.84339120371</v>
      </c>
      <c r="C362" s="1" t="n">
        <v>46110</v>
      </c>
      <c r="D362" t="inlineStr">
        <is>
          <t>UPPSALA LÄN</t>
        </is>
      </c>
      <c r="E362" t="inlineStr">
        <is>
          <t>ÖSTHAMMAR</t>
        </is>
      </c>
      <c r="G362" t="n">
        <v>39.2</v>
      </c>
      <c r="H362" t="n">
        <v>0</v>
      </c>
      <c r="I362" t="n">
        <v>0</v>
      </c>
      <c r="J362" t="n">
        <v>0</v>
      </c>
      <c r="K362" t="n">
        <v>0</v>
      </c>
      <c r="L362" t="n">
        <v>0</v>
      </c>
      <c r="M362" t="n">
        <v>0</v>
      </c>
      <c r="N362" t="n">
        <v>0</v>
      </c>
      <c r="O362" t="n">
        <v>0</v>
      </c>
      <c r="P362" t="n">
        <v>0</v>
      </c>
      <c r="Q362" t="n">
        <v>0</v>
      </c>
      <c r="R362" s="2" t="inlineStr"/>
    </row>
    <row r="363" ht="15" customHeight="1">
      <c r="A363" t="inlineStr">
        <is>
          <t>A 45993-2025</t>
        </is>
      </c>
      <c r="B363" s="1" t="n">
        <v>45924.39706018518</v>
      </c>
      <c r="C363" s="1" t="n">
        <v>46110</v>
      </c>
      <c r="D363" t="inlineStr">
        <is>
          <t>UPPSALA LÄN</t>
        </is>
      </c>
      <c r="E363" t="inlineStr">
        <is>
          <t>ÖSTHAMMAR</t>
        </is>
      </c>
      <c r="G363" t="n">
        <v>0.5</v>
      </c>
      <c r="H363" t="n">
        <v>0</v>
      </c>
      <c r="I363" t="n">
        <v>0</v>
      </c>
      <c r="J363" t="n">
        <v>0</v>
      </c>
      <c r="K363" t="n">
        <v>0</v>
      </c>
      <c r="L363" t="n">
        <v>0</v>
      </c>
      <c r="M363" t="n">
        <v>0</v>
      </c>
      <c r="N363" t="n">
        <v>0</v>
      </c>
      <c r="O363" t="n">
        <v>0</v>
      </c>
      <c r="P363" t="n">
        <v>0</v>
      </c>
      <c r="Q363" t="n">
        <v>0</v>
      </c>
      <c r="R363" s="2" t="inlineStr"/>
    </row>
    <row r="364" ht="15" customHeight="1">
      <c r="A364" t="inlineStr">
        <is>
          <t>A 46088-2025</t>
        </is>
      </c>
      <c r="B364" s="1" t="n">
        <v>45924.52010416667</v>
      </c>
      <c r="C364" s="1" t="n">
        <v>46110</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360-2026</t>
        </is>
      </c>
      <c r="B365" s="1" t="n">
        <v>46027.66442129629</v>
      </c>
      <c r="C365" s="1" t="n">
        <v>46110</v>
      </c>
      <c r="D365" t="inlineStr">
        <is>
          <t>UPPSALA LÄN</t>
        </is>
      </c>
      <c r="E365" t="inlineStr">
        <is>
          <t>ÖSTHAMMAR</t>
        </is>
      </c>
      <c r="F365" t="inlineStr">
        <is>
          <t>Bergvik skog öst AB</t>
        </is>
      </c>
      <c r="G365" t="n">
        <v>7.9</v>
      </c>
      <c r="H365" t="n">
        <v>0</v>
      </c>
      <c r="I365" t="n">
        <v>0</v>
      </c>
      <c r="J365" t="n">
        <v>0</v>
      </c>
      <c r="K365" t="n">
        <v>0</v>
      </c>
      <c r="L365" t="n">
        <v>0</v>
      </c>
      <c r="M365" t="n">
        <v>0</v>
      </c>
      <c r="N365" t="n">
        <v>0</v>
      </c>
      <c r="O365" t="n">
        <v>0</v>
      </c>
      <c r="P365" t="n">
        <v>0</v>
      </c>
      <c r="Q365" t="n">
        <v>0</v>
      </c>
      <c r="R365" s="2" t="inlineStr"/>
    </row>
    <row r="366" ht="15" customHeight="1">
      <c r="A366" t="inlineStr">
        <is>
          <t>A 46089-2025</t>
        </is>
      </c>
      <c r="B366" s="1" t="n">
        <v>45924.52100694444</v>
      </c>
      <c r="C366" s="1" t="n">
        <v>46110</v>
      </c>
      <c r="D366" t="inlineStr">
        <is>
          <t>UPPSALA LÄN</t>
        </is>
      </c>
      <c r="E366" t="inlineStr">
        <is>
          <t>ÖSTHAMMAR</t>
        </is>
      </c>
      <c r="F366" t="inlineStr">
        <is>
          <t>Bergvik skog öst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285-2026</t>
        </is>
      </c>
      <c r="B367" s="1" t="n">
        <v>46027.49130787037</v>
      </c>
      <c r="C367" s="1" t="n">
        <v>46110</v>
      </c>
      <c r="D367" t="inlineStr">
        <is>
          <t>UPPSALA LÄN</t>
        </is>
      </c>
      <c r="E367" t="inlineStr">
        <is>
          <t>ÖSTHAMMAR</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362-2026</t>
        </is>
      </c>
      <c r="B368" s="1" t="n">
        <v>46027.6659375</v>
      </c>
      <c r="C368" s="1" t="n">
        <v>46110</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2733-2023</t>
        </is>
      </c>
      <c r="B369" s="1" t="n">
        <v>44943</v>
      </c>
      <c r="C369" s="1" t="n">
        <v>46110</v>
      </c>
      <c r="D369" t="inlineStr">
        <is>
          <t>UPPSALA LÄN</t>
        </is>
      </c>
      <c r="E369" t="inlineStr">
        <is>
          <t>ÖSTHAMMAR</t>
        </is>
      </c>
      <c r="G369" t="n">
        <v>2.6</v>
      </c>
      <c r="H369" t="n">
        <v>0</v>
      </c>
      <c r="I369" t="n">
        <v>0</v>
      </c>
      <c r="J369" t="n">
        <v>0</v>
      </c>
      <c r="K369" t="n">
        <v>0</v>
      </c>
      <c r="L369" t="n">
        <v>0</v>
      </c>
      <c r="M369" t="n">
        <v>0</v>
      </c>
      <c r="N369" t="n">
        <v>0</v>
      </c>
      <c r="O369" t="n">
        <v>0</v>
      </c>
      <c r="P369" t="n">
        <v>0</v>
      </c>
      <c r="Q369" t="n">
        <v>0</v>
      </c>
      <c r="R369" s="2" t="inlineStr"/>
    </row>
    <row r="370" ht="15" customHeight="1">
      <c r="A370" t="inlineStr">
        <is>
          <t>A 45715-2025</t>
        </is>
      </c>
      <c r="B370" s="1" t="n">
        <v>45923.44094907407</v>
      </c>
      <c r="C370" s="1" t="n">
        <v>46110</v>
      </c>
      <c r="D370" t="inlineStr">
        <is>
          <t>UPPSALA LÄN</t>
        </is>
      </c>
      <c r="E370" t="inlineStr">
        <is>
          <t>ÖSTHAMMAR</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31896-2025</t>
        </is>
      </c>
      <c r="B371" s="1" t="n">
        <v>45834.67556712963</v>
      </c>
      <c r="C371" s="1" t="n">
        <v>46110</v>
      </c>
      <c r="D371" t="inlineStr">
        <is>
          <t>UPPSALA LÄN</t>
        </is>
      </c>
      <c r="E371" t="inlineStr">
        <is>
          <t>ÖSTHAMMAR</t>
        </is>
      </c>
      <c r="G371" t="n">
        <v>4.1</v>
      </c>
      <c r="H371" t="n">
        <v>0</v>
      </c>
      <c r="I371" t="n">
        <v>0</v>
      </c>
      <c r="J371" t="n">
        <v>0</v>
      </c>
      <c r="K371" t="n">
        <v>0</v>
      </c>
      <c r="L371" t="n">
        <v>0</v>
      </c>
      <c r="M371" t="n">
        <v>0</v>
      </c>
      <c r="N371" t="n">
        <v>0</v>
      </c>
      <c r="O371" t="n">
        <v>0</v>
      </c>
      <c r="P371" t="n">
        <v>0</v>
      </c>
      <c r="Q371" t="n">
        <v>0</v>
      </c>
      <c r="R371" s="2" t="inlineStr"/>
    </row>
    <row r="372" ht="15" customHeight="1">
      <c r="A372" t="inlineStr">
        <is>
          <t>A 9664-2026</t>
        </is>
      </c>
      <c r="B372" s="1" t="n">
        <v>46072.36732638889</v>
      </c>
      <c r="C372" s="1" t="n">
        <v>46110</v>
      </c>
      <c r="D372" t="inlineStr">
        <is>
          <t>UPPSALA LÄN</t>
        </is>
      </c>
      <c r="E372" t="inlineStr">
        <is>
          <t>ÖSTHAMMAR</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12812-2024</t>
        </is>
      </c>
      <c r="B373" s="1" t="n">
        <v>45384.65465277778</v>
      </c>
      <c r="C373" s="1" t="n">
        <v>46110</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26521-2025</t>
        </is>
      </c>
      <c r="B374" s="1" t="n">
        <v>45807.56275462963</v>
      </c>
      <c r="C374" s="1" t="n">
        <v>46110</v>
      </c>
      <c r="D374" t="inlineStr">
        <is>
          <t>UPPSALA LÄN</t>
        </is>
      </c>
      <c r="E374" t="inlineStr">
        <is>
          <t>ÖSTHAMMAR</t>
        </is>
      </c>
      <c r="G374" t="n">
        <v>1.1</v>
      </c>
      <c r="H374" t="n">
        <v>0</v>
      </c>
      <c r="I374" t="n">
        <v>0</v>
      </c>
      <c r="J374" t="n">
        <v>0</v>
      </c>
      <c r="K374" t="n">
        <v>0</v>
      </c>
      <c r="L374" t="n">
        <v>0</v>
      </c>
      <c r="M374" t="n">
        <v>0</v>
      </c>
      <c r="N374" t="n">
        <v>0</v>
      </c>
      <c r="O374" t="n">
        <v>0</v>
      </c>
      <c r="P374" t="n">
        <v>0</v>
      </c>
      <c r="Q374" t="n">
        <v>0</v>
      </c>
      <c r="R374" s="2" t="inlineStr"/>
    </row>
    <row r="375" ht="15" customHeight="1">
      <c r="A375" t="inlineStr">
        <is>
          <t>A 9666-2026</t>
        </is>
      </c>
      <c r="B375" s="1" t="n">
        <v>46072.36847222222</v>
      </c>
      <c r="C375" s="1" t="n">
        <v>46110</v>
      </c>
      <c r="D375" t="inlineStr">
        <is>
          <t>UPPSALA LÄN</t>
        </is>
      </c>
      <c r="E375" t="inlineStr">
        <is>
          <t>ÖSTHAMMAR</t>
        </is>
      </c>
      <c r="F375" t="inlineStr">
        <is>
          <t>Bergvik skog öst AB</t>
        </is>
      </c>
      <c r="G375" t="n">
        <v>12.8</v>
      </c>
      <c r="H375" t="n">
        <v>0</v>
      </c>
      <c r="I375" t="n">
        <v>0</v>
      </c>
      <c r="J375" t="n">
        <v>0</v>
      </c>
      <c r="K375" t="n">
        <v>0</v>
      </c>
      <c r="L375" t="n">
        <v>0</v>
      </c>
      <c r="M375" t="n">
        <v>0</v>
      </c>
      <c r="N375" t="n">
        <v>0</v>
      </c>
      <c r="O375" t="n">
        <v>0</v>
      </c>
      <c r="P375" t="n">
        <v>0</v>
      </c>
      <c r="Q375" t="n">
        <v>0</v>
      </c>
      <c r="R375" s="2" t="inlineStr"/>
    </row>
    <row r="376" ht="15" customHeight="1">
      <c r="A376" t="inlineStr">
        <is>
          <t>A 638-2026</t>
        </is>
      </c>
      <c r="B376" s="1" t="n">
        <v>46029.56026620371</v>
      </c>
      <c r="C376" s="1" t="n">
        <v>46110</v>
      </c>
      <c r="D376" t="inlineStr">
        <is>
          <t>UPPSALA LÄN</t>
        </is>
      </c>
      <c r="E376" t="inlineStr">
        <is>
          <t>ÖSTHAMMAR</t>
        </is>
      </c>
      <c r="F376" t="inlineStr">
        <is>
          <t>Bergvik skog öst AB</t>
        </is>
      </c>
      <c r="G376" t="n">
        <v>6.1</v>
      </c>
      <c r="H376" t="n">
        <v>0</v>
      </c>
      <c r="I376" t="n">
        <v>0</v>
      </c>
      <c r="J376" t="n">
        <v>0</v>
      </c>
      <c r="K376" t="n">
        <v>0</v>
      </c>
      <c r="L376" t="n">
        <v>0</v>
      </c>
      <c r="M376" t="n">
        <v>0</v>
      </c>
      <c r="N376" t="n">
        <v>0</v>
      </c>
      <c r="O376" t="n">
        <v>0</v>
      </c>
      <c r="P376" t="n">
        <v>0</v>
      </c>
      <c r="Q376" t="n">
        <v>0</v>
      </c>
      <c r="R376" s="2" t="inlineStr"/>
    </row>
    <row r="377" ht="15" customHeight="1">
      <c r="A377" t="inlineStr">
        <is>
          <t>A 653-2026</t>
        </is>
      </c>
      <c r="B377" s="1" t="n">
        <v>46029.57829861111</v>
      </c>
      <c r="C377" s="1" t="n">
        <v>46110</v>
      </c>
      <c r="D377" t="inlineStr">
        <is>
          <t>UPPSALA LÄN</t>
        </is>
      </c>
      <c r="E377" t="inlineStr">
        <is>
          <t>ÖSTHAMMAR</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31574-2022</t>
        </is>
      </c>
      <c r="B378" s="1" t="n">
        <v>44775</v>
      </c>
      <c r="C378" s="1" t="n">
        <v>46110</v>
      </c>
      <c r="D378" t="inlineStr">
        <is>
          <t>UPPSALA LÄN</t>
        </is>
      </c>
      <c r="E378" t="inlineStr">
        <is>
          <t>ÖSTHAMMAR</t>
        </is>
      </c>
      <c r="G378" t="n">
        <v>29.7</v>
      </c>
      <c r="H378" t="n">
        <v>0</v>
      </c>
      <c r="I378" t="n">
        <v>0</v>
      </c>
      <c r="J378" t="n">
        <v>0</v>
      </c>
      <c r="K378" t="n">
        <v>0</v>
      </c>
      <c r="L378" t="n">
        <v>0</v>
      </c>
      <c r="M378" t="n">
        <v>0</v>
      </c>
      <c r="N378" t="n">
        <v>0</v>
      </c>
      <c r="O378" t="n">
        <v>0</v>
      </c>
      <c r="P378" t="n">
        <v>0</v>
      </c>
      <c r="Q378" t="n">
        <v>0</v>
      </c>
      <c r="R378" s="2" t="inlineStr"/>
    </row>
    <row r="379" ht="15" customHeight="1">
      <c r="A379" t="inlineStr">
        <is>
          <t>A 26526-2025</t>
        </is>
      </c>
      <c r="B379" s="1" t="n">
        <v>45807.56612268519</v>
      </c>
      <c r="C379" s="1" t="n">
        <v>46110</v>
      </c>
      <c r="D379" t="inlineStr">
        <is>
          <t>UPPSALA LÄN</t>
        </is>
      </c>
      <c r="E379" t="inlineStr">
        <is>
          <t>ÖSTHAMMAR</t>
        </is>
      </c>
      <c r="G379" t="n">
        <v>0.7</v>
      </c>
      <c r="H379" t="n">
        <v>0</v>
      </c>
      <c r="I379" t="n">
        <v>0</v>
      </c>
      <c r="J379" t="n">
        <v>0</v>
      </c>
      <c r="K379" t="n">
        <v>0</v>
      </c>
      <c r="L379" t="n">
        <v>0</v>
      </c>
      <c r="M379" t="n">
        <v>0</v>
      </c>
      <c r="N379" t="n">
        <v>0</v>
      </c>
      <c r="O379" t="n">
        <v>0</v>
      </c>
      <c r="P379" t="n">
        <v>0</v>
      </c>
      <c r="Q379" t="n">
        <v>0</v>
      </c>
      <c r="R379" s="2" t="inlineStr"/>
    </row>
    <row r="380" ht="15" customHeight="1">
      <c r="A380" t="inlineStr">
        <is>
          <t>A 47336-2025</t>
        </is>
      </c>
      <c r="B380" s="1" t="n">
        <v>45930.56592592593</v>
      </c>
      <c r="C380" s="1" t="n">
        <v>46110</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47337-2025</t>
        </is>
      </c>
      <c r="B381" s="1" t="n">
        <v>45930.56607638889</v>
      </c>
      <c r="C381" s="1" t="n">
        <v>46110</v>
      </c>
      <c r="D381" t="inlineStr">
        <is>
          <t>UPPSALA LÄN</t>
        </is>
      </c>
      <c r="E381" t="inlineStr">
        <is>
          <t>ÖSTHAMMAR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47338-2025</t>
        </is>
      </c>
      <c r="B382" s="1" t="n">
        <v>45930.56626157407</v>
      </c>
      <c r="C382" s="1" t="n">
        <v>46110</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46826-2025</t>
        </is>
      </c>
      <c r="B383" s="1" t="n">
        <v>45927.00606481481</v>
      </c>
      <c r="C383" s="1" t="n">
        <v>46110</v>
      </c>
      <c r="D383" t="inlineStr">
        <is>
          <t>UPPSALA LÄN</t>
        </is>
      </c>
      <c r="E383" t="inlineStr">
        <is>
          <t>ÖSTHAMMAR</t>
        </is>
      </c>
      <c r="G383" t="n">
        <v>9</v>
      </c>
      <c r="H383" t="n">
        <v>0</v>
      </c>
      <c r="I383" t="n">
        <v>0</v>
      </c>
      <c r="J383" t="n">
        <v>0</v>
      </c>
      <c r="K383" t="n">
        <v>0</v>
      </c>
      <c r="L383" t="n">
        <v>0</v>
      </c>
      <c r="M383" t="n">
        <v>0</v>
      </c>
      <c r="N383" t="n">
        <v>0</v>
      </c>
      <c r="O383" t="n">
        <v>0</v>
      </c>
      <c r="P383" t="n">
        <v>0</v>
      </c>
      <c r="Q383" t="n">
        <v>0</v>
      </c>
      <c r="R383" s="2" t="inlineStr"/>
    </row>
    <row r="384" ht="15" customHeight="1">
      <c r="A384" t="inlineStr">
        <is>
          <t>A 24181-2022</t>
        </is>
      </c>
      <c r="B384" s="1" t="n">
        <v>44725</v>
      </c>
      <c r="C384" s="1" t="n">
        <v>46110</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1393-2026</t>
        </is>
      </c>
      <c r="B385" s="1" t="n">
        <v>46031.63748842593</v>
      </c>
      <c r="C385" s="1" t="n">
        <v>46110</v>
      </c>
      <c r="D385" t="inlineStr">
        <is>
          <t>UPPSALA LÄN</t>
        </is>
      </c>
      <c r="E385" t="inlineStr">
        <is>
          <t>ÖSTHAMMAR</t>
        </is>
      </c>
      <c r="F385" t="inlineStr">
        <is>
          <t>Bergvik skog öst AB</t>
        </is>
      </c>
      <c r="G385" t="n">
        <v>4</v>
      </c>
      <c r="H385" t="n">
        <v>0</v>
      </c>
      <c r="I385" t="n">
        <v>0</v>
      </c>
      <c r="J385" t="n">
        <v>0</v>
      </c>
      <c r="K385" t="n">
        <v>0</v>
      </c>
      <c r="L385" t="n">
        <v>0</v>
      </c>
      <c r="M385" t="n">
        <v>0</v>
      </c>
      <c r="N385" t="n">
        <v>0</v>
      </c>
      <c r="O385" t="n">
        <v>0</v>
      </c>
      <c r="P385" t="n">
        <v>0</v>
      </c>
      <c r="Q385" t="n">
        <v>0</v>
      </c>
      <c r="R385" s="2" t="inlineStr"/>
    </row>
    <row r="386" ht="15" customHeight="1">
      <c r="A386" t="inlineStr">
        <is>
          <t>A 47614-2025</t>
        </is>
      </c>
      <c r="B386" s="1" t="n">
        <v>45931.47211805556</v>
      </c>
      <c r="C386" s="1" t="n">
        <v>46110</v>
      </c>
      <c r="D386" t="inlineStr">
        <is>
          <t>UPPSALA LÄN</t>
        </is>
      </c>
      <c r="E386" t="inlineStr">
        <is>
          <t>ÖSTHAMMAR</t>
        </is>
      </c>
      <c r="G386" t="n">
        <v>22.8</v>
      </c>
      <c r="H386" t="n">
        <v>0</v>
      </c>
      <c r="I386" t="n">
        <v>0</v>
      </c>
      <c r="J386" t="n">
        <v>0</v>
      </c>
      <c r="K386" t="n">
        <v>0</v>
      </c>
      <c r="L386" t="n">
        <v>0</v>
      </c>
      <c r="M386" t="n">
        <v>0</v>
      </c>
      <c r="N386" t="n">
        <v>0</v>
      </c>
      <c r="O386" t="n">
        <v>0</v>
      </c>
      <c r="P386" t="n">
        <v>0</v>
      </c>
      <c r="Q386" t="n">
        <v>0</v>
      </c>
      <c r="R386" s="2" t="inlineStr"/>
    </row>
    <row r="387" ht="15" customHeight="1">
      <c r="A387" t="inlineStr">
        <is>
          <t>A 4096-2025</t>
        </is>
      </c>
      <c r="B387" s="1" t="n">
        <v>45684</v>
      </c>
      <c r="C387" s="1" t="n">
        <v>46110</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47615-2025</t>
        </is>
      </c>
      <c r="B388" s="1" t="n">
        <v>45931.47542824074</v>
      </c>
      <c r="C388" s="1" t="n">
        <v>46110</v>
      </c>
      <c r="D388" t="inlineStr">
        <is>
          <t>UPPSALA LÄN</t>
        </is>
      </c>
      <c r="E388" t="inlineStr">
        <is>
          <t>ÖSTHAMMAR</t>
        </is>
      </c>
      <c r="G388" t="n">
        <v>7</v>
      </c>
      <c r="H388" t="n">
        <v>0</v>
      </c>
      <c r="I388" t="n">
        <v>0</v>
      </c>
      <c r="J388" t="n">
        <v>0</v>
      </c>
      <c r="K388" t="n">
        <v>0</v>
      </c>
      <c r="L388" t="n">
        <v>0</v>
      </c>
      <c r="M388" t="n">
        <v>0</v>
      </c>
      <c r="N388" t="n">
        <v>0</v>
      </c>
      <c r="O388" t="n">
        <v>0</v>
      </c>
      <c r="P388" t="n">
        <v>0</v>
      </c>
      <c r="Q388" t="n">
        <v>0</v>
      </c>
      <c r="R388" s="2" t="inlineStr"/>
    </row>
    <row r="389" ht="15" customHeight="1">
      <c r="A389" t="inlineStr">
        <is>
          <t>A 27395-2025</t>
        </is>
      </c>
      <c r="B389" s="1" t="n">
        <v>45812.6850462963</v>
      </c>
      <c r="C389" s="1" t="n">
        <v>46110</v>
      </c>
      <c r="D389" t="inlineStr">
        <is>
          <t>UPPSALA LÄN</t>
        </is>
      </c>
      <c r="E389" t="inlineStr">
        <is>
          <t>ÖSTHAMMAR</t>
        </is>
      </c>
      <c r="F389" t="inlineStr">
        <is>
          <t>Bergvik skog öst AB</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22884-2024</t>
        </is>
      </c>
      <c r="B390" s="1" t="n">
        <v>45448</v>
      </c>
      <c r="C390" s="1" t="n">
        <v>46110</v>
      </c>
      <c r="D390" t="inlineStr">
        <is>
          <t>UPPSALA LÄN</t>
        </is>
      </c>
      <c r="E390" t="inlineStr">
        <is>
          <t>ÖSTHAMMAR</t>
        </is>
      </c>
      <c r="G390" t="n">
        <v>3.3</v>
      </c>
      <c r="H390" t="n">
        <v>0</v>
      </c>
      <c r="I390" t="n">
        <v>0</v>
      </c>
      <c r="J390" t="n">
        <v>0</v>
      </c>
      <c r="K390" t="n">
        <v>0</v>
      </c>
      <c r="L390" t="n">
        <v>0</v>
      </c>
      <c r="M390" t="n">
        <v>0</v>
      </c>
      <c r="N390" t="n">
        <v>0</v>
      </c>
      <c r="O390" t="n">
        <v>0</v>
      </c>
      <c r="P390" t="n">
        <v>0</v>
      </c>
      <c r="Q390" t="n">
        <v>0</v>
      </c>
      <c r="R390" s="2" t="inlineStr"/>
    </row>
    <row r="391" ht="15" customHeight="1">
      <c r="A391" t="inlineStr">
        <is>
          <t>A 27347-2025</t>
        </is>
      </c>
      <c r="B391" s="1" t="n">
        <v>45812.62390046296</v>
      </c>
      <c r="C391" s="1" t="n">
        <v>46110</v>
      </c>
      <c r="D391" t="inlineStr">
        <is>
          <t>UPPSALA LÄN</t>
        </is>
      </c>
      <c r="E391" t="inlineStr">
        <is>
          <t>ÖSTHAMMAR</t>
        </is>
      </c>
      <c r="G391" t="n">
        <v>0.4</v>
      </c>
      <c r="H391" t="n">
        <v>0</v>
      </c>
      <c r="I391" t="n">
        <v>0</v>
      </c>
      <c r="J391" t="n">
        <v>0</v>
      </c>
      <c r="K391" t="n">
        <v>0</v>
      </c>
      <c r="L391" t="n">
        <v>0</v>
      </c>
      <c r="M391" t="n">
        <v>0</v>
      </c>
      <c r="N391" t="n">
        <v>0</v>
      </c>
      <c r="O391" t="n">
        <v>0</v>
      </c>
      <c r="P391" t="n">
        <v>0</v>
      </c>
      <c r="Q391" t="n">
        <v>0</v>
      </c>
      <c r="R391" s="2" t="inlineStr"/>
    </row>
    <row r="392" ht="15" customHeight="1">
      <c r="A392" t="inlineStr">
        <is>
          <t>A 27383-2025</t>
        </is>
      </c>
      <c r="B392" s="1" t="n">
        <v>45812.66628472223</v>
      </c>
      <c r="C392" s="1" t="n">
        <v>46110</v>
      </c>
      <c r="D392" t="inlineStr">
        <is>
          <t>UPPSALA LÄN</t>
        </is>
      </c>
      <c r="E392" t="inlineStr">
        <is>
          <t>ÖSTHAMMAR</t>
        </is>
      </c>
      <c r="G392" t="n">
        <v>0.7</v>
      </c>
      <c r="H392" t="n">
        <v>0</v>
      </c>
      <c r="I392" t="n">
        <v>0</v>
      </c>
      <c r="J392" t="n">
        <v>0</v>
      </c>
      <c r="K392" t="n">
        <v>0</v>
      </c>
      <c r="L392" t="n">
        <v>0</v>
      </c>
      <c r="M392" t="n">
        <v>0</v>
      </c>
      <c r="N392" t="n">
        <v>0</v>
      </c>
      <c r="O392" t="n">
        <v>0</v>
      </c>
      <c r="P392" t="n">
        <v>0</v>
      </c>
      <c r="Q392" t="n">
        <v>0</v>
      </c>
      <c r="R392" s="2" t="inlineStr"/>
    </row>
    <row r="393" ht="15" customHeight="1">
      <c r="A393" t="inlineStr">
        <is>
          <t>A 27385-2025</t>
        </is>
      </c>
      <c r="B393" s="1" t="n">
        <v>45812.66829861111</v>
      </c>
      <c r="C393" s="1" t="n">
        <v>46110</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48977-2025</t>
        </is>
      </c>
      <c r="B394" s="1" t="n">
        <v>45936</v>
      </c>
      <c r="C394" s="1" t="n">
        <v>46110</v>
      </c>
      <c r="D394" t="inlineStr">
        <is>
          <t>UPPSALA LÄN</t>
        </is>
      </c>
      <c r="E394" t="inlineStr">
        <is>
          <t>ÖSTHAMMAR</t>
        </is>
      </c>
      <c r="G394" t="n">
        <v>21.1</v>
      </c>
      <c r="H394" t="n">
        <v>0</v>
      </c>
      <c r="I394" t="n">
        <v>0</v>
      </c>
      <c r="J394" t="n">
        <v>0</v>
      </c>
      <c r="K394" t="n">
        <v>0</v>
      </c>
      <c r="L394" t="n">
        <v>0</v>
      </c>
      <c r="M394" t="n">
        <v>0</v>
      </c>
      <c r="N394" t="n">
        <v>0</v>
      </c>
      <c r="O394" t="n">
        <v>0</v>
      </c>
      <c r="P394" t="n">
        <v>0</v>
      </c>
      <c r="Q394" t="n">
        <v>0</v>
      </c>
      <c r="R394" s="2" t="inlineStr"/>
    </row>
    <row r="395" ht="15" customHeight="1">
      <c r="A395" t="inlineStr">
        <is>
          <t>A 27352-2025</t>
        </is>
      </c>
      <c r="B395" s="1" t="n">
        <v>45812.62694444445</v>
      </c>
      <c r="C395" s="1" t="n">
        <v>46110</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2352-2026</t>
        </is>
      </c>
      <c r="B396" s="1" t="n">
        <v>46034</v>
      </c>
      <c r="C396" s="1" t="n">
        <v>46110</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2358-2026</t>
        </is>
      </c>
      <c r="B397" s="1" t="n">
        <v>46034</v>
      </c>
      <c r="C397" s="1" t="n">
        <v>46110</v>
      </c>
      <c r="D397" t="inlineStr">
        <is>
          <t>UPPSALA LÄN</t>
        </is>
      </c>
      <c r="E397" t="inlineStr">
        <is>
          <t>ÖSTHAMMAR</t>
        </is>
      </c>
      <c r="G397" t="n">
        <v>3.6</v>
      </c>
      <c r="H397" t="n">
        <v>0</v>
      </c>
      <c r="I397" t="n">
        <v>0</v>
      </c>
      <c r="J397" t="n">
        <v>0</v>
      </c>
      <c r="K397" t="n">
        <v>0</v>
      </c>
      <c r="L397" t="n">
        <v>0</v>
      </c>
      <c r="M397" t="n">
        <v>0</v>
      </c>
      <c r="N397" t="n">
        <v>0</v>
      </c>
      <c r="O397" t="n">
        <v>0</v>
      </c>
      <c r="P397" t="n">
        <v>0</v>
      </c>
      <c r="Q397" t="n">
        <v>0</v>
      </c>
      <c r="R397" s="2" t="inlineStr"/>
    </row>
    <row r="398" ht="15" customHeight="1">
      <c r="A398" t="inlineStr">
        <is>
          <t>A 1271-2026</t>
        </is>
      </c>
      <c r="B398" s="1" t="n">
        <v>46031.46616898148</v>
      </c>
      <c r="C398" s="1" t="n">
        <v>46110</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46110</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27131-2025</t>
        </is>
      </c>
      <c r="B400" s="1" t="n">
        <v>45811</v>
      </c>
      <c r="C400" s="1" t="n">
        <v>46110</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27392-2025</t>
        </is>
      </c>
      <c r="B401" s="1" t="n">
        <v>45812.68268518519</v>
      </c>
      <c r="C401" s="1" t="n">
        <v>46110</v>
      </c>
      <c r="D401" t="inlineStr">
        <is>
          <t>UPPSALA LÄN</t>
        </is>
      </c>
      <c r="E401" t="inlineStr">
        <is>
          <t>ÖSTHAMMAR</t>
        </is>
      </c>
      <c r="F401" t="inlineStr">
        <is>
          <t>Bergvik skog öst AB</t>
        </is>
      </c>
      <c r="G401" t="n">
        <v>2.1</v>
      </c>
      <c r="H401" t="n">
        <v>0</v>
      </c>
      <c r="I401" t="n">
        <v>0</v>
      </c>
      <c r="J401" t="n">
        <v>0</v>
      </c>
      <c r="K401" t="n">
        <v>0</v>
      </c>
      <c r="L401" t="n">
        <v>0</v>
      </c>
      <c r="M401" t="n">
        <v>0</v>
      </c>
      <c r="N401" t="n">
        <v>0</v>
      </c>
      <c r="O401" t="n">
        <v>0</v>
      </c>
      <c r="P401" t="n">
        <v>0</v>
      </c>
      <c r="Q401" t="n">
        <v>0</v>
      </c>
      <c r="R401" s="2" t="inlineStr"/>
    </row>
    <row r="402" ht="15" customHeight="1">
      <c r="A402" t="inlineStr">
        <is>
          <t>A 48854-2025</t>
        </is>
      </c>
      <c r="B402" s="1" t="n">
        <v>45937.43274305556</v>
      </c>
      <c r="C402" s="1" t="n">
        <v>46110</v>
      </c>
      <c r="D402" t="inlineStr">
        <is>
          <t>UPPSALA LÄN</t>
        </is>
      </c>
      <c r="E402" t="inlineStr">
        <is>
          <t>ÖSTHAMMAR</t>
        </is>
      </c>
      <c r="F402" t="inlineStr">
        <is>
          <t>Övriga Aktiebolag</t>
        </is>
      </c>
      <c r="G402" t="n">
        <v>18.9</v>
      </c>
      <c r="H402" t="n">
        <v>0</v>
      </c>
      <c r="I402" t="n">
        <v>0</v>
      </c>
      <c r="J402" t="n">
        <v>0</v>
      </c>
      <c r="K402" t="n">
        <v>0</v>
      </c>
      <c r="L402" t="n">
        <v>0</v>
      </c>
      <c r="M402" t="n">
        <v>0</v>
      </c>
      <c r="N402" t="n">
        <v>0</v>
      </c>
      <c r="O402" t="n">
        <v>0</v>
      </c>
      <c r="P402" t="n">
        <v>0</v>
      </c>
      <c r="Q402" t="n">
        <v>0</v>
      </c>
      <c r="R402" s="2" t="inlineStr"/>
    </row>
    <row r="403" ht="15" customHeight="1">
      <c r="A403" t="inlineStr">
        <is>
          <t>A 27058-2025</t>
        </is>
      </c>
      <c r="B403" s="1" t="n">
        <v>45811.63436342592</v>
      </c>
      <c r="C403" s="1" t="n">
        <v>46110</v>
      </c>
      <c r="D403" t="inlineStr">
        <is>
          <t>UPPSALA LÄN</t>
        </is>
      </c>
      <c r="E403" t="inlineStr">
        <is>
          <t>ÖSTHAMMAR</t>
        </is>
      </c>
      <c r="F403" t="inlineStr">
        <is>
          <t>Bergvik skog öst AB</t>
        </is>
      </c>
      <c r="G403" t="n">
        <v>5.7</v>
      </c>
      <c r="H403" t="n">
        <v>0</v>
      </c>
      <c r="I403" t="n">
        <v>0</v>
      </c>
      <c r="J403" t="n">
        <v>0</v>
      </c>
      <c r="K403" t="n">
        <v>0</v>
      </c>
      <c r="L403" t="n">
        <v>0</v>
      </c>
      <c r="M403" t="n">
        <v>0</v>
      </c>
      <c r="N403" t="n">
        <v>0</v>
      </c>
      <c r="O403" t="n">
        <v>0</v>
      </c>
      <c r="P403" t="n">
        <v>0</v>
      </c>
      <c r="Q403" t="n">
        <v>0</v>
      </c>
      <c r="R403" s="2" t="inlineStr"/>
    </row>
    <row r="404" ht="15" customHeight="1">
      <c r="A404" t="inlineStr">
        <is>
          <t>A 27350-2025</t>
        </is>
      </c>
      <c r="B404" s="1" t="n">
        <v>45812.62571759259</v>
      </c>
      <c r="C404" s="1" t="n">
        <v>46110</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27132-2025</t>
        </is>
      </c>
      <c r="B405" s="1" t="n">
        <v>45811</v>
      </c>
      <c r="C405" s="1" t="n">
        <v>46110</v>
      </c>
      <c r="D405" t="inlineStr">
        <is>
          <t>UPPSALA LÄN</t>
        </is>
      </c>
      <c r="E405" t="inlineStr">
        <is>
          <t>ÖSTHAMMAR</t>
        </is>
      </c>
      <c r="G405" t="n">
        <v>2.3</v>
      </c>
      <c r="H405" t="n">
        <v>0</v>
      </c>
      <c r="I405" t="n">
        <v>0</v>
      </c>
      <c r="J405" t="n">
        <v>0</v>
      </c>
      <c r="K405" t="n">
        <v>0</v>
      </c>
      <c r="L405" t="n">
        <v>0</v>
      </c>
      <c r="M405" t="n">
        <v>0</v>
      </c>
      <c r="N405" t="n">
        <v>0</v>
      </c>
      <c r="O405" t="n">
        <v>0</v>
      </c>
      <c r="P405" t="n">
        <v>0</v>
      </c>
      <c r="Q405" t="n">
        <v>0</v>
      </c>
      <c r="R405" s="2" t="inlineStr"/>
    </row>
    <row r="406" ht="15" customHeight="1">
      <c r="A406" t="inlineStr">
        <is>
          <t>A 8330-2025</t>
        </is>
      </c>
      <c r="B406" s="1" t="n">
        <v>45708</v>
      </c>
      <c r="C406" s="1" t="n">
        <v>46110</v>
      </c>
      <c r="D406" t="inlineStr">
        <is>
          <t>UPPSALA LÄN</t>
        </is>
      </c>
      <c r="E406" t="inlineStr">
        <is>
          <t>ÖSTHAMMAR</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1906-2026</t>
        </is>
      </c>
      <c r="B407" s="1" t="n">
        <v>46035.55158564815</v>
      </c>
      <c r="C407" s="1" t="n">
        <v>46110</v>
      </c>
      <c r="D407" t="inlineStr">
        <is>
          <t>UPPSALA LÄN</t>
        </is>
      </c>
      <c r="E407" t="inlineStr">
        <is>
          <t>ÖSTHAMMAR</t>
        </is>
      </c>
      <c r="F407" t="inlineStr">
        <is>
          <t>Bergvik skog öst AB</t>
        </is>
      </c>
      <c r="G407" t="n">
        <v>4.3</v>
      </c>
      <c r="H407" t="n">
        <v>0</v>
      </c>
      <c r="I407" t="n">
        <v>0</v>
      </c>
      <c r="J407" t="n">
        <v>0</v>
      </c>
      <c r="K407" t="n">
        <v>0</v>
      </c>
      <c r="L407" t="n">
        <v>0</v>
      </c>
      <c r="M407" t="n">
        <v>0</v>
      </c>
      <c r="N407" t="n">
        <v>0</v>
      </c>
      <c r="O407" t="n">
        <v>0</v>
      </c>
      <c r="P407" t="n">
        <v>0</v>
      </c>
      <c r="Q407" t="n">
        <v>0</v>
      </c>
      <c r="R407" s="2" t="inlineStr"/>
    </row>
    <row r="408" ht="15" customHeight="1">
      <c r="A408" t="inlineStr">
        <is>
          <t>A 27563-2025</t>
        </is>
      </c>
      <c r="B408" s="1" t="n">
        <v>45813.48471064815</v>
      </c>
      <c r="C408" s="1" t="n">
        <v>46110</v>
      </c>
      <c r="D408" t="inlineStr">
        <is>
          <t>UPPSALA LÄN</t>
        </is>
      </c>
      <c r="E408" t="inlineStr">
        <is>
          <t>ÖSTHAMMAR</t>
        </is>
      </c>
      <c r="F408" t="inlineStr">
        <is>
          <t>Bergvik skog öst AB</t>
        </is>
      </c>
      <c r="G408" t="n">
        <v>4</v>
      </c>
      <c r="H408" t="n">
        <v>0</v>
      </c>
      <c r="I408" t="n">
        <v>0</v>
      </c>
      <c r="J408" t="n">
        <v>0</v>
      </c>
      <c r="K408" t="n">
        <v>0</v>
      </c>
      <c r="L408" t="n">
        <v>0</v>
      </c>
      <c r="M408" t="n">
        <v>0</v>
      </c>
      <c r="N408" t="n">
        <v>0</v>
      </c>
      <c r="O408" t="n">
        <v>0</v>
      </c>
      <c r="P408" t="n">
        <v>0</v>
      </c>
      <c r="Q408" t="n">
        <v>0</v>
      </c>
      <c r="R408" s="2" t="inlineStr"/>
    </row>
    <row r="409" ht="15" customHeight="1">
      <c r="A409" t="inlineStr">
        <is>
          <t>A 8874-2025</t>
        </is>
      </c>
      <c r="B409" s="1" t="n">
        <v>45713</v>
      </c>
      <c r="C409" s="1" t="n">
        <v>46110</v>
      </c>
      <c r="D409" t="inlineStr">
        <is>
          <t>UPPSALA LÄN</t>
        </is>
      </c>
      <c r="E409" t="inlineStr">
        <is>
          <t>ÖSTHAMMAR</t>
        </is>
      </c>
      <c r="G409" t="n">
        <v>6.3</v>
      </c>
      <c r="H409" t="n">
        <v>0</v>
      </c>
      <c r="I409" t="n">
        <v>0</v>
      </c>
      <c r="J409" t="n">
        <v>0</v>
      </c>
      <c r="K409" t="n">
        <v>0</v>
      </c>
      <c r="L409" t="n">
        <v>0</v>
      </c>
      <c r="M409" t="n">
        <v>0</v>
      </c>
      <c r="N409" t="n">
        <v>0</v>
      </c>
      <c r="O409" t="n">
        <v>0</v>
      </c>
      <c r="P409" t="n">
        <v>0</v>
      </c>
      <c r="Q409" t="n">
        <v>0</v>
      </c>
      <c r="R409" s="2" t="inlineStr"/>
    </row>
    <row r="410" ht="15" customHeight="1">
      <c r="A410" t="inlineStr">
        <is>
          <t>A 48857-2025</t>
        </is>
      </c>
      <c r="B410" s="1" t="n">
        <v>45937.43621527778</v>
      </c>
      <c r="C410" s="1" t="n">
        <v>46110</v>
      </c>
      <c r="D410" t="inlineStr">
        <is>
          <t>UPPSALA LÄN</t>
        </is>
      </c>
      <c r="E410" t="inlineStr">
        <is>
          <t>ÖSTHAMMAR</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27920-2025</t>
        </is>
      </c>
      <c r="B411" s="1" t="n">
        <v>45817.48454861111</v>
      </c>
      <c r="C411" s="1" t="n">
        <v>46110</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25418-2022</t>
        </is>
      </c>
      <c r="B412" s="1" t="n">
        <v>44732.464375</v>
      </c>
      <c r="C412" s="1" t="n">
        <v>46110</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26328-2025</t>
        </is>
      </c>
      <c r="B413" s="1" t="n">
        <v>45805.67305555556</v>
      </c>
      <c r="C413" s="1" t="n">
        <v>46110</v>
      </c>
      <c r="D413" t="inlineStr">
        <is>
          <t>UPPSALA LÄN</t>
        </is>
      </c>
      <c r="E413" t="inlineStr">
        <is>
          <t>ÖSTHAMMAR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27812-2025</t>
        </is>
      </c>
      <c r="B414" s="1" t="n">
        <v>45817.32150462963</v>
      </c>
      <c r="C414" s="1" t="n">
        <v>46110</v>
      </c>
      <c r="D414" t="inlineStr">
        <is>
          <t>UPPSALA LÄN</t>
        </is>
      </c>
      <c r="E414" t="inlineStr">
        <is>
          <t>ÖSTHAMMAR</t>
        </is>
      </c>
      <c r="F414" t="inlineStr">
        <is>
          <t>Bergvik skog öst AB</t>
        </is>
      </c>
      <c r="G414" t="n">
        <v>1.8</v>
      </c>
      <c r="H414" t="n">
        <v>0</v>
      </c>
      <c r="I414" t="n">
        <v>0</v>
      </c>
      <c r="J414" t="n">
        <v>0</v>
      </c>
      <c r="K414" t="n">
        <v>0</v>
      </c>
      <c r="L414" t="n">
        <v>0</v>
      </c>
      <c r="M414" t="n">
        <v>0</v>
      </c>
      <c r="N414" t="n">
        <v>0</v>
      </c>
      <c r="O414" t="n">
        <v>0</v>
      </c>
      <c r="P414" t="n">
        <v>0</v>
      </c>
      <c r="Q414" t="n">
        <v>0</v>
      </c>
      <c r="R414" s="2" t="inlineStr"/>
    </row>
    <row r="415" ht="15" customHeight="1">
      <c r="A415" t="inlineStr">
        <is>
          <t>A 27919-2025</t>
        </is>
      </c>
      <c r="B415" s="1" t="n">
        <v>45817.48384259259</v>
      </c>
      <c r="C415" s="1" t="n">
        <v>46110</v>
      </c>
      <c r="D415" t="inlineStr">
        <is>
          <t>UPPSALA LÄN</t>
        </is>
      </c>
      <c r="E415" t="inlineStr">
        <is>
          <t>ÖSTHAMMAR</t>
        </is>
      </c>
      <c r="F415" t="inlineStr">
        <is>
          <t>Bergvik skog öst AB</t>
        </is>
      </c>
      <c r="G415" t="n">
        <v>3.5</v>
      </c>
      <c r="H415" t="n">
        <v>0</v>
      </c>
      <c r="I415" t="n">
        <v>0</v>
      </c>
      <c r="J415" t="n">
        <v>0</v>
      </c>
      <c r="K415" t="n">
        <v>0</v>
      </c>
      <c r="L415" t="n">
        <v>0</v>
      </c>
      <c r="M415" t="n">
        <v>0</v>
      </c>
      <c r="N415" t="n">
        <v>0</v>
      </c>
      <c r="O415" t="n">
        <v>0</v>
      </c>
      <c r="P415" t="n">
        <v>0</v>
      </c>
      <c r="Q415" t="n">
        <v>0</v>
      </c>
      <c r="R415" s="2" t="inlineStr"/>
    </row>
    <row r="416" ht="15" customHeight="1">
      <c r="A416" t="inlineStr">
        <is>
          <t>A 27853-2025</t>
        </is>
      </c>
      <c r="B416" s="1" t="n">
        <v>45817.40178240741</v>
      </c>
      <c r="C416" s="1" t="n">
        <v>46110</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27509-2025</t>
        </is>
      </c>
      <c r="B417" s="1" t="n">
        <v>45813.4278125</v>
      </c>
      <c r="C417" s="1" t="n">
        <v>46110</v>
      </c>
      <c r="D417" t="inlineStr">
        <is>
          <t>UPPSALA LÄN</t>
        </is>
      </c>
      <c r="E417" t="inlineStr">
        <is>
          <t>ÖSTHAMMAR</t>
        </is>
      </c>
      <c r="F417" t="inlineStr">
        <is>
          <t>Bergvik skog öst AB</t>
        </is>
      </c>
      <c r="G417" t="n">
        <v>3.3</v>
      </c>
      <c r="H417" t="n">
        <v>0</v>
      </c>
      <c r="I417" t="n">
        <v>0</v>
      </c>
      <c r="J417" t="n">
        <v>0</v>
      </c>
      <c r="K417" t="n">
        <v>0</v>
      </c>
      <c r="L417" t="n">
        <v>0</v>
      </c>
      <c r="M417" t="n">
        <v>0</v>
      </c>
      <c r="N417" t="n">
        <v>0</v>
      </c>
      <c r="O417" t="n">
        <v>0</v>
      </c>
      <c r="P417" t="n">
        <v>0</v>
      </c>
      <c r="Q417" t="n">
        <v>0</v>
      </c>
      <c r="R417" s="2" t="inlineStr"/>
    </row>
    <row r="418" ht="15" customHeight="1">
      <c r="A418" t="inlineStr">
        <is>
          <t>A 62391-2022</t>
        </is>
      </c>
      <c r="B418" s="1" t="n">
        <v>44923.7849537037</v>
      </c>
      <c r="C418" s="1" t="n">
        <v>46110</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28745-2025</t>
        </is>
      </c>
      <c r="B419" s="1" t="n">
        <v>45820.39076388889</v>
      </c>
      <c r="C419" s="1" t="n">
        <v>46110</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28748-2025</t>
        </is>
      </c>
      <c r="B420" s="1" t="n">
        <v>45820.39540509259</v>
      </c>
      <c r="C420" s="1" t="n">
        <v>46110</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28442-2025</t>
        </is>
      </c>
      <c r="B421" s="1" t="n">
        <v>45819</v>
      </c>
      <c r="C421" s="1" t="n">
        <v>46110</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23728-2025</t>
        </is>
      </c>
      <c r="B422" s="1" t="n">
        <v>45793.41719907407</v>
      </c>
      <c r="C422" s="1" t="n">
        <v>46110</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31485-2023</t>
        </is>
      </c>
      <c r="B423" s="1" t="n">
        <v>45114</v>
      </c>
      <c r="C423" s="1" t="n">
        <v>46110</v>
      </c>
      <c r="D423" t="inlineStr">
        <is>
          <t>UPPSALA LÄN</t>
        </is>
      </c>
      <c r="E423" t="inlineStr">
        <is>
          <t>ÖSTHAMMAR</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28739-2025</t>
        </is>
      </c>
      <c r="B424" s="1" t="n">
        <v>45820</v>
      </c>
      <c r="C424" s="1" t="n">
        <v>46110</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27486-2025</t>
        </is>
      </c>
      <c r="B425" s="1" t="n">
        <v>45813.38521990741</v>
      </c>
      <c r="C425" s="1" t="n">
        <v>46110</v>
      </c>
      <c r="D425" t="inlineStr">
        <is>
          <t>UPPSALA LÄN</t>
        </is>
      </c>
      <c r="E425" t="inlineStr">
        <is>
          <t>ÖSTHAMMAR</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29029-2025</t>
        </is>
      </c>
      <c r="B426" s="1" t="n">
        <v>45821.43973379629</v>
      </c>
      <c r="C426" s="1" t="n">
        <v>46110</v>
      </c>
      <c r="D426" t="inlineStr">
        <is>
          <t>UPPSALA LÄN</t>
        </is>
      </c>
      <c r="E426" t="inlineStr">
        <is>
          <t>ÖSTHAMMAR</t>
        </is>
      </c>
      <c r="F426" t="inlineStr">
        <is>
          <t>Bergvik skog öst AB</t>
        </is>
      </c>
      <c r="G426" t="n">
        <v>4.2</v>
      </c>
      <c r="H426" t="n">
        <v>0</v>
      </c>
      <c r="I426" t="n">
        <v>0</v>
      </c>
      <c r="J426" t="n">
        <v>0</v>
      </c>
      <c r="K426" t="n">
        <v>0</v>
      </c>
      <c r="L426" t="n">
        <v>0</v>
      </c>
      <c r="M426" t="n">
        <v>0</v>
      </c>
      <c r="N426" t="n">
        <v>0</v>
      </c>
      <c r="O426" t="n">
        <v>0</v>
      </c>
      <c r="P426" t="n">
        <v>0</v>
      </c>
      <c r="Q426" t="n">
        <v>0</v>
      </c>
      <c r="R426" s="2" t="inlineStr"/>
    </row>
    <row r="427" ht="15" customHeight="1">
      <c r="A427" t="inlineStr">
        <is>
          <t>A 29028-2025</t>
        </is>
      </c>
      <c r="B427" s="1" t="n">
        <v>45821.4384375</v>
      </c>
      <c r="C427" s="1" t="n">
        <v>46110</v>
      </c>
      <c r="D427" t="inlineStr">
        <is>
          <t>UPPSALA LÄN</t>
        </is>
      </c>
      <c r="E427" t="inlineStr">
        <is>
          <t>ÖSTHAMMAR</t>
        </is>
      </c>
      <c r="F427" t="inlineStr">
        <is>
          <t>Bergvik skog öst AB</t>
        </is>
      </c>
      <c r="G427" t="n">
        <v>1.7</v>
      </c>
      <c r="H427" t="n">
        <v>0</v>
      </c>
      <c r="I427" t="n">
        <v>0</v>
      </c>
      <c r="J427" t="n">
        <v>0</v>
      </c>
      <c r="K427" t="n">
        <v>0</v>
      </c>
      <c r="L427" t="n">
        <v>0</v>
      </c>
      <c r="M427" t="n">
        <v>0</v>
      </c>
      <c r="N427" t="n">
        <v>0</v>
      </c>
      <c r="O427" t="n">
        <v>0</v>
      </c>
      <c r="P427" t="n">
        <v>0</v>
      </c>
      <c r="Q427" t="n">
        <v>0</v>
      </c>
      <c r="R427" s="2" t="inlineStr"/>
    </row>
    <row r="428" ht="15" customHeight="1">
      <c r="A428" t="inlineStr">
        <is>
          <t>A 29031-2025</t>
        </is>
      </c>
      <c r="B428" s="1" t="n">
        <v>45821.44159722222</v>
      </c>
      <c r="C428" s="1" t="n">
        <v>46110</v>
      </c>
      <c r="D428" t="inlineStr">
        <is>
          <t>UPPSALA LÄN</t>
        </is>
      </c>
      <c r="E428" t="inlineStr">
        <is>
          <t>ÖSTHAMMAR</t>
        </is>
      </c>
      <c r="F428" t="inlineStr">
        <is>
          <t>Bergvik skog öst AB</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27490-2025</t>
        </is>
      </c>
      <c r="B429" s="1" t="n">
        <v>45813.39273148148</v>
      </c>
      <c r="C429" s="1" t="n">
        <v>46110</v>
      </c>
      <c r="D429" t="inlineStr">
        <is>
          <t>UPPSALA LÄN</t>
        </is>
      </c>
      <c r="E429" t="inlineStr">
        <is>
          <t>ÖSTHAMMAR</t>
        </is>
      </c>
      <c r="F429" t="inlineStr">
        <is>
          <t>Bergvik skog öst AB</t>
        </is>
      </c>
      <c r="G429" t="n">
        <v>6.1</v>
      </c>
      <c r="H429" t="n">
        <v>0</v>
      </c>
      <c r="I429" t="n">
        <v>0</v>
      </c>
      <c r="J429" t="n">
        <v>0</v>
      </c>
      <c r="K429" t="n">
        <v>0</v>
      </c>
      <c r="L429" t="n">
        <v>0</v>
      </c>
      <c r="M429" t="n">
        <v>0</v>
      </c>
      <c r="N429" t="n">
        <v>0</v>
      </c>
      <c r="O429" t="n">
        <v>0</v>
      </c>
      <c r="P429" t="n">
        <v>0</v>
      </c>
      <c r="Q429" t="n">
        <v>0</v>
      </c>
      <c r="R429" s="2" t="inlineStr"/>
    </row>
    <row r="430" ht="15" customHeight="1">
      <c r="A430" t="inlineStr">
        <is>
          <t>A 27494-2025</t>
        </is>
      </c>
      <c r="B430" s="1" t="n">
        <v>45813.39756944445</v>
      </c>
      <c r="C430" s="1" t="n">
        <v>46110</v>
      </c>
      <c r="D430" t="inlineStr">
        <is>
          <t>UPPSALA LÄN</t>
        </is>
      </c>
      <c r="E430" t="inlineStr">
        <is>
          <t>ÖSTHAMMAR</t>
        </is>
      </c>
      <c r="F430" t="inlineStr">
        <is>
          <t>Bergvik skog öst AB</t>
        </is>
      </c>
      <c r="G430" t="n">
        <v>23.4</v>
      </c>
      <c r="H430" t="n">
        <v>0</v>
      </c>
      <c r="I430" t="n">
        <v>0</v>
      </c>
      <c r="J430" t="n">
        <v>0</v>
      </c>
      <c r="K430" t="n">
        <v>0</v>
      </c>
      <c r="L430" t="n">
        <v>0</v>
      </c>
      <c r="M430" t="n">
        <v>0</v>
      </c>
      <c r="N430" t="n">
        <v>0</v>
      </c>
      <c r="O430" t="n">
        <v>0</v>
      </c>
      <c r="P430" t="n">
        <v>0</v>
      </c>
      <c r="Q430" t="n">
        <v>0</v>
      </c>
      <c r="R430" s="2" t="inlineStr"/>
    </row>
    <row r="431" ht="15" customHeight="1">
      <c r="A431" t="inlineStr">
        <is>
          <t>A 29384-2025</t>
        </is>
      </c>
      <c r="B431" s="1" t="n">
        <v>45824</v>
      </c>
      <c r="C431" s="1" t="n">
        <v>46110</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29024-2025</t>
        </is>
      </c>
      <c r="B432" s="1" t="n">
        <v>45821.43233796296</v>
      </c>
      <c r="C432" s="1" t="n">
        <v>46110</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29775-2025</t>
        </is>
      </c>
      <c r="B433" s="1" t="n">
        <v>45825.63803240741</v>
      </c>
      <c r="C433" s="1" t="n">
        <v>46110</v>
      </c>
      <c r="D433" t="inlineStr">
        <is>
          <t>UPPSALA LÄN</t>
        </is>
      </c>
      <c r="E433" t="inlineStr">
        <is>
          <t>ÖSTHAMMAR</t>
        </is>
      </c>
      <c r="G433" t="n">
        <v>0.9</v>
      </c>
      <c r="H433" t="n">
        <v>0</v>
      </c>
      <c r="I433" t="n">
        <v>0</v>
      </c>
      <c r="J433" t="n">
        <v>0</v>
      </c>
      <c r="K433" t="n">
        <v>0</v>
      </c>
      <c r="L433" t="n">
        <v>0</v>
      </c>
      <c r="M433" t="n">
        <v>0</v>
      </c>
      <c r="N433" t="n">
        <v>0</v>
      </c>
      <c r="O433" t="n">
        <v>0</v>
      </c>
      <c r="P433" t="n">
        <v>0</v>
      </c>
      <c r="Q433" t="n">
        <v>0</v>
      </c>
      <c r="R433" s="2" t="inlineStr"/>
    </row>
    <row r="434" ht="15" customHeight="1">
      <c r="A434" t="inlineStr">
        <is>
          <t>A 49773-2025</t>
        </is>
      </c>
      <c r="B434" s="1" t="n">
        <v>45940.37303240741</v>
      </c>
      <c r="C434" s="1" t="n">
        <v>46110</v>
      </c>
      <c r="D434" t="inlineStr">
        <is>
          <t>UPPSALA LÄN</t>
        </is>
      </c>
      <c r="E434" t="inlineStr">
        <is>
          <t>ÖSTHAMMAR</t>
        </is>
      </c>
      <c r="G434" t="n">
        <v>3.5</v>
      </c>
      <c r="H434" t="n">
        <v>0</v>
      </c>
      <c r="I434" t="n">
        <v>0</v>
      </c>
      <c r="J434" t="n">
        <v>0</v>
      </c>
      <c r="K434" t="n">
        <v>0</v>
      </c>
      <c r="L434" t="n">
        <v>0</v>
      </c>
      <c r="M434" t="n">
        <v>0</v>
      </c>
      <c r="N434" t="n">
        <v>0</v>
      </c>
      <c r="O434" t="n">
        <v>0</v>
      </c>
      <c r="P434" t="n">
        <v>0</v>
      </c>
      <c r="Q434" t="n">
        <v>0</v>
      </c>
      <c r="R434" s="2" t="inlineStr"/>
    </row>
    <row r="435" ht="15" customHeight="1">
      <c r="A435" t="inlineStr">
        <is>
          <t>A 56759-2024</t>
        </is>
      </c>
      <c r="B435" s="1" t="n">
        <v>45628.39877314815</v>
      </c>
      <c r="C435" s="1" t="n">
        <v>46110</v>
      </c>
      <c r="D435" t="inlineStr">
        <is>
          <t>UPPSALA LÄN</t>
        </is>
      </c>
      <c r="E435" t="inlineStr">
        <is>
          <t>ÖSTHAMMAR</t>
        </is>
      </c>
      <c r="G435" t="n">
        <v>4.7</v>
      </c>
      <c r="H435" t="n">
        <v>0</v>
      </c>
      <c r="I435" t="n">
        <v>0</v>
      </c>
      <c r="J435" t="n">
        <v>0</v>
      </c>
      <c r="K435" t="n">
        <v>0</v>
      </c>
      <c r="L435" t="n">
        <v>0</v>
      </c>
      <c r="M435" t="n">
        <v>0</v>
      </c>
      <c r="N435" t="n">
        <v>0</v>
      </c>
      <c r="O435" t="n">
        <v>0</v>
      </c>
      <c r="P435" t="n">
        <v>0</v>
      </c>
      <c r="Q435" t="n">
        <v>0</v>
      </c>
      <c r="R435" s="2" t="inlineStr"/>
    </row>
    <row r="436" ht="15" customHeight="1">
      <c r="A436" t="inlineStr">
        <is>
          <t>A 32744-2022</t>
        </is>
      </c>
      <c r="B436" s="1" t="n">
        <v>44783.70378472222</v>
      </c>
      <c r="C436" s="1" t="n">
        <v>46110</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47020-2025</t>
        </is>
      </c>
      <c r="B437" s="1" t="n">
        <v>45929.5775</v>
      </c>
      <c r="C437" s="1" t="n">
        <v>46110</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49620-2025</t>
        </is>
      </c>
      <c r="B438" s="1" t="n">
        <v>45939.58928240741</v>
      </c>
      <c r="C438" s="1" t="n">
        <v>46110</v>
      </c>
      <c r="D438" t="inlineStr">
        <is>
          <t>UPPSALA LÄN</t>
        </is>
      </c>
      <c r="E438" t="inlineStr">
        <is>
          <t>ÖSTHAMMAR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2615-2026</t>
        </is>
      </c>
      <c r="B439" s="1" t="n">
        <v>46037.58893518519</v>
      </c>
      <c r="C439" s="1" t="n">
        <v>46110</v>
      </c>
      <c r="D439" t="inlineStr">
        <is>
          <t>UPPSALA LÄN</t>
        </is>
      </c>
      <c r="E439" t="inlineStr">
        <is>
          <t>ÖSTHAMMAR</t>
        </is>
      </c>
      <c r="G439" t="n">
        <v>3.2</v>
      </c>
      <c r="H439" t="n">
        <v>0</v>
      </c>
      <c r="I439" t="n">
        <v>0</v>
      </c>
      <c r="J439" t="n">
        <v>0</v>
      </c>
      <c r="K439" t="n">
        <v>0</v>
      </c>
      <c r="L439" t="n">
        <v>0</v>
      </c>
      <c r="M439" t="n">
        <v>0</v>
      </c>
      <c r="N439" t="n">
        <v>0</v>
      </c>
      <c r="O439" t="n">
        <v>0</v>
      </c>
      <c r="P439" t="n">
        <v>0</v>
      </c>
      <c r="Q439" t="n">
        <v>0</v>
      </c>
      <c r="R439" s="2" t="inlineStr"/>
    </row>
    <row r="440" ht="15" customHeight="1">
      <c r="A440" t="inlineStr">
        <is>
          <t>A 2620-2026</t>
        </is>
      </c>
      <c r="B440" s="1" t="n">
        <v>46037.59137731481</v>
      </c>
      <c r="C440" s="1" t="n">
        <v>46110</v>
      </c>
      <c r="D440" t="inlineStr">
        <is>
          <t>UPPSALA LÄN</t>
        </is>
      </c>
      <c r="E440" t="inlineStr">
        <is>
          <t>ÖSTHAMMAR</t>
        </is>
      </c>
      <c r="G440" t="n">
        <v>4.4</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44591.51854166666</v>
      </c>
      <c r="C441" s="1" t="n">
        <v>46110</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51379-2025</t>
        </is>
      </c>
      <c r="B442" s="1" t="n">
        <v>45950.45677083333</v>
      </c>
      <c r="C442" s="1" t="n">
        <v>46110</v>
      </c>
      <c r="D442" t="inlineStr">
        <is>
          <t>UPPSALA LÄN</t>
        </is>
      </c>
      <c r="E442" t="inlineStr">
        <is>
          <t>ÖSTHAMMAR</t>
        </is>
      </c>
      <c r="G442" t="n">
        <v>2.1</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46110</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11036-2023</t>
        </is>
      </c>
      <c r="B444" s="1" t="n">
        <v>44991.9321412037</v>
      </c>
      <c r="C444" s="1" t="n">
        <v>46110</v>
      </c>
      <c r="D444" t="inlineStr">
        <is>
          <t>UPPSALA LÄN</t>
        </is>
      </c>
      <c r="E444" t="inlineStr">
        <is>
          <t>ÖSTHAMMAR</t>
        </is>
      </c>
      <c r="F444" t="inlineStr">
        <is>
          <t>Bergvik skog öst AB</t>
        </is>
      </c>
      <c r="G444" t="n">
        <v>3</v>
      </c>
      <c r="H444" t="n">
        <v>0</v>
      </c>
      <c r="I444" t="n">
        <v>0</v>
      </c>
      <c r="J444" t="n">
        <v>0</v>
      </c>
      <c r="K444" t="n">
        <v>0</v>
      </c>
      <c r="L444" t="n">
        <v>0</v>
      </c>
      <c r="M444" t="n">
        <v>0</v>
      </c>
      <c r="N444" t="n">
        <v>0</v>
      </c>
      <c r="O444" t="n">
        <v>0</v>
      </c>
      <c r="P444" t="n">
        <v>0</v>
      </c>
      <c r="Q444" t="n">
        <v>0</v>
      </c>
      <c r="R444" s="2" t="inlineStr"/>
    </row>
    <row r="445" ht="15" customHeight="1">
      <c r="A445" t="inlineStr">
        <is>
          <t>A 3055-2026</t>
        </is>
      </c>
      <c r="B445" s="1" t="n">
        <v>46039.39636574074</v>
      </c>
      <c r="C445" s="1" t="n">
        <v>46110</v>
      </c>
      <c r="D445" t="inlineStr">
        <is>
          <t>UPPSALA LÄN</t>
        </is>
      </c>
      <c r="E445" t="inlineStr">
        <is>
          <t>ÖSTHAMMAR</t>
        </is>
      </c>
      <c r="F445" t="inlineStr">
        <is>
          <t>Bergvik skog öst AB</t>
        </is>
      </c>
      <c r="G445" t="n">
        <v>3.5</v>
      </c>
      <c r="H445" t="n">
        <v>0</v>
      </c>
      <c r="I445" t="n">
        <v>0</v>
      </c>
      <c r="J445" t="n">
        <v>0</v>
      </c>
      <c r="K445" t="n">
        <v>0</v>
      </c>
      <c r="L445" t="n">
        <v>0</v>
      </c>
      <c r="M445" t="n">
        <v>0</v>
      </c>
      <c r="N445" t="n">
        <v>0</v>
      </c>
      <c r="O445" t="n">
        <v>0</v>
      </c>
      <c r="P445" t="n">
        <v>0</v>
      </c>
      <c r="Q445" t="n">
        <v>0</v>
      </c>
      <c r="R445" s="2" t="inlineStr"/>
    </row>
    <row r="446" ht="15" customHeight="1">
      <c r="A446" t="inlineStr">
        <is>
          <t>A 23363-2023</t>
        </is>
      </c>
      <c r="B446" s="1" t="n">
        <v>45076</v>
      </c>
      <c r="C446" s="1" t="n">
        <v>46110</v>
      </c>
      <c r="D446" t="inlineStr">
        <is>
          <t>UPPSALA LÄN</t>
        </is>
      </c>
      <c r="E446" t="inlineStr">
        <is>
          <t>ÖSTHAMMAR</t>
        </is>
      </c>
      <c r="G446" t="n">
        <v>3</v>
      </c>
      <c r="H446" t="n">
        <v>0</v>
      </c>
      <c r="I446" t="n">
        <v>0</v>
      </c>
      <c r="J446" t="n">
        <v>0</v>
      </c>
      <c r="K446" t="n">
        <v>0</v>
      </c>
      <c r="L446" t="n">
        <v>0</v>
      </c>
      <c r="M446" t="n">
        <v>0</v>
      </c>
      <c r="N446" t="n">
        <v>0</v>
      </c>
      <c r="O446" t="n">
        <v>0</v>
      </c>
      <c r="P446" t="n">
        <v>0</v>
      </c>
      <c r="Q446" t="n">
        <v>0</v>
      </c>
      <c r="R446" s="2" t="inlineStr"/>
    </row>
    <row r="447" ht="15" customHeight="1">
      <c r="A447" t="inlineStr">
        <is>
          <t>A 51266-2025</t>
        </is>
      </c>
      <c r="B447" s="1" t="n">
        <v>45949.71568287037</v>
      </c>
      <c r="C447" s="1" t="n">
        <v>46110</v>
      </c>
      <c r="D447" t="inlineStr">
        <is>
          <t>UPPSALA LÄN</t>
        </is>
      </c>
      <c r="E447" t="inlineStr">
        <is>
          <t>ÖSTHAMMAR</t>
        </is>
      </c>
      <c r="F447" t="inlineStr">
        <is>
          <t>Bergvik skog öst AB</t>
        </is>
      </c>
      <c r="G447" t="n">
        <v>4.7</v>
      </c>
      <c r="H447" t="n">
        <v>0</v>
      </c>
      <c r="I447" t="n">
        <v>0</v>
      </c>
      <c r="J447" t="n">
        <v>0</v>
      </c>
      <c r="K447" t="n">
        <v>0</v>
      </c>
      <c r="L447" t="n">
        <v>0</v>
      </c>
      <c r="M447" t="n">
        <v>0</v>
      </c>
      <c r="N447" t="n">
        <v>0</v>
      </c>
      <c r="O447" t="n">
        <v>0</v>
      </c>
      <c r="P447" t="n">
        <v>0</v>
      </c>
      <c r="Q447" t="n">
        <v>0</v>
      </c>
      <c r="R447" s="2" t="inlineStr"/>
    </row>
    <row r="448" ht="15" customHeight="1">
      <c r="A448" t="inlineStr">
        <is>
          <t>A 3418-2025</t>
        </is>
      </c>
      <c r="B448" s="1" t="n">
        <v>45680</v>
      </c>
      <c r="C448" s="1" t="n">
        <v>46110</v>
      </c>
      <c r="D448" t="inlineStr">
        <is>
          <t>UPPSALA LÄN</t>
        </is>
      </c>
      <c r="E448" t="inlineStr">
        <is>
          <t>ÖSTHAMMAR</t>
        </is>
      </c>
      <c r="F448" t="inlineStr">
        <is>
          <t>Bergvik skog väst AB</t>
        </is>
      </c>
      <c r="G448" t="n">
        <v>0.4</v>
      </c>
      <c r="H448" t="n">
        <v>0</v>
      </c>
      <c r="I448" t="n">
        <v>0</v>
      </c>
      <c r="J448" t="n">
        <v>0</v>
      </c>
      <c r="K448" t="n">
        <v>0</v>
      </c>
      <c r="L448" t="n">
        <v>0</v>
      </c>
      <c r="M448" t="n">
        <v>0</v>
      </c>
      <c r="N448" t="n">
        <v>0</v>
      </c>
      <c r="O448" t="n">
        <v>0</v>
      </c>
      <c r="P448" t="n">
        <v>0</v>
      </c>
      <c r="Q448" t="n">
        <v>0</v>
      </c>
      <c r="R448" s="2" t="inlineStr"/>
    </row>
    <row r="449" ht="15" customHeight="1">
      <c r="A449" t="inlineStr">
        <is>
          <t>A 3420-2025</t>
        </is>
      </c>
      <c r="B449" s="1" t="n">
        <v>45680</v>
      </c>
      <c r="C449" s="1" t="n">
        <v>46110</v>
      </c>
      <c r="D449" t="inlineStr">
        <is>
          <t>UPPSALA LÄN</t>
        </is>
      </c>
      <c r="E449" t="inlineStr">
        <is>
          <t>ÖSTHAMMAR</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30244-2025</t>
        </is>
      </c>
      <c r="B450" s="1" t="n">
        <v>45827.40902777778</v>
      </c>
      <c r="C450" s="1" t="n">
        <v>46110</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51156-2025</t>
        </is>
      </c>
      <c r="B451" s="1" t="n">
        <v>45947.57833333333</v>
      </c>
      <c r="C451" s="1" t="n">
        <v>46110</v>
      </c>
      <c r="D451" t="inlineStr">
        <is>
          <t>UPPSALA LÄN</t>
        </is>
      </c>
      <c r="E451" t="inlineStr">
        <is>
          <t>ÖSTHAMMAR</t>
        </is>
      </c>
      <c r="F451" t="inlineStr">
        <is>
          <t>Allmännings- och besparingsskogar</t>
        </is>
      </c>
      <c r="G451" t="n">
        <v>2.8</v>
      </c>
      <c r="H451" t="n">
        <v>0</v>
      </c>
      <c r="I451" t="n">
        <v>0</v>
      </c>
      <c r="J451" t="n">
        <v>0</v>
      </c>
      <c r="K451" t="n">
        <v>0</v>
      </c>
      <c r="L451" t="n">
        <v>0</v>
      </c>
      <c r="M451" t="n">
        <v>0</v>
      </c>
      <c r="N451" t="n">
        <v>0</v>
      </c>
      <c r="O451" t="n">
        <v>0</v>
      </c>
      <c r="P451" t="n">
        <v>0</v>
      </c>
      <c r="Q451" t="n">
        <v>0</v>
      </c>
      <c r="R451" s="2" t="inlineStr"/>
    </row>
    <row r="452" ht="15" customHeight="1">
      <c r="A452" t="inlineStr">
        <is>
          <t>A 14505-2023</t>
        </is>
      </c>
      <c r="B452" s="1" t="n">
        <v>45012.7975</v>
      </c>
      <c r="C452" s="1" t="n">
        <v>46110</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51255-2025</t>
        </is>
      </c>
      <c r="B453" s="1" t="n">
        <v>45949.00917824074</v>
      </c>
      <c r="C453" s="1" t="n">
        <v>46110</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60577-2021</t>
        </is>
      </c>
      <c r="B454" s="1" t="n">
        <v>44496.57019675926</v>
      </c>
      <c r="C454" s="1" t="n">
        <v>46110</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30504-2025</t>
        </is>
      </c>
      <c r="B455" s="1" t="n">
        <v>45830.8558912037</v>
      </c>
      <c r="C455" s="1" t="n">
        <v>46110</v>
      </c>
      <c r="D455" t="inlineStr">
        <is>
          <t>UPPSALA LÄN</t>
        </is>
      </c>
      <c r="E455" t="inlineStr">
        <is>
          <t>ÖSTHAMMAR</t>
        </is>
      </c>
      <c r="G455" t="n">
        <v>0.6</v>
      </c>
      <c r="H455" t="n">
        <v>0</v>
      </c>
      <c r="I455" t="n">
        <v>0</v>
      </c>
      <c r="J455" t="n">
        <v>0</v>
      </c>
      <c r="K455" t="n">
        <v>0</v>
      </c>
      <c r="L455" t="n">
        <v>0</v>
      </c>
      <c r="M455" t="n">
        <v>0</v>
      </c>
      <c r="N455" t="n">
        <v>0</v>
      </c>
      <c r="O455" t="n">
        <v>0</v>
      </c>
      <c r="P455" t="n">
        <v>0</v>
      </c>
      <c r="Q455" t="n">
        <v>0</v>
      </c>
      <c r="R455" s="2" t="inlineStr"/>
    </row>
    <row r="456" ht="15" customHeight="1">
      <c r="A456" t="inlineStr">
        <is>
          <t>A 51265-2025</t>
        </is>
      </c>
      <c r="B456" s="1" t="n">
        <v>45949.70971064815</v>
      </c>
      <c r="C456" s="1" t="n">
        <v>46110</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51254-2025</t>
        </is>
      </c>
      <c r="B457" s="1" t="n">
        <v>45948.99313657408</v>
      </c>
      <c r="C457" s="1" t="n">
        <v>46110</v>
      </c>
      <c r="D457" t="inlineStr">
        <is>
          <t>UPPSALA LÄN</t>
        </is>
      </c>
      <c r="E457" t="inlineStr">
        <is>
          <t>ÖSTHAMMAR</t>
        </is>
      </c>
      <c r="G457" t="n">
        <v>8.9</v>
      </c>
      <c r="H457" t="n">
        <v>0</v>
      </c>
      <c r="I457" t="n">
        <v>0</v>
      </c>
      <c r="J457" t="n">
        <v>0</v>
      </c>
      <c r="K457" t="n">
        <v>0</v>
      </c>
      <c r="L457" t="n">
        <v>0</v>
      </c>
      <c r="M457" t="n">
        <v>0</v>
      </c>
      <c r="N457" t="n">
        <v>0</v>
      </c>
      <c r="O457" t="n">
        <v>0</v>
      </c>
      <c r="P457" t="n">
        <v>0</v>
      </c>
      <c r="Q457" t="n">
        <v>0</v>
      </c>
      <c r="R457" s="2" t="inlineStr"/>
    </row>
    <row r="458" ht="15" customHeight="1">
      <c r="A458" t="inlineStr">
        <is>
          <t>A 3095-2026</t>
        </is>
      </c>
      <c r="B458" s="1" t="n">
        <v>46040.90493055555</v>
      </c>
      <c r="C458" s="1" t="n">
        <v>46110</v>
      </c>
      <c r="D458" t="inlineStr">
        <is>
          <t>UPPSALA LÄN</t>
        </is>
      </c>
      <c r="E458" t="inlineStr">
        <is>
          <t>ÖSTHAMMAR</t>
        </is>
      </c>
      <c r="G458" t="n">
        <v>1.7</v>
      </c>
      <c r="H458" t="n">
        <v>0</v>
      </c>
      <c r="I458" t="n">
        <v>0</v>
      </c>
      <c r="J458" t="n">
        <v>0</v>
      </c>
      <c r="K458" t="n">
        <v>0</v>
      </c>
      <c r="L458" t="n">
        <v>0</v>
      </c>
      <c r="M458" t="n">
        <v>0</v>
      </c>
      <c r="N458" t="n">
        <v>0</v>
      </c>
      <c r="O458" t="n">
        <v>0</v>
      </c>
      <c r="P458" t="n">
        <v>0</v>
      </c>
      <c r="Q458" t="n">
        <v>0</v>
      </c>
      <c r="R458" s="2" t="inlineStr"/>
    </row>
    <row r="459" ht="15" customHeight="1">
      <c r="A459" t="inlineStr">
        <is>
          <t>A 30503-2025</t>
        </is>
      </c>
      <c r="B459" s="1" t="n">
        <v>45830.8500462963</v>
      </c>
      <c r="C459" s="1" t="n">
        <v>46110</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46110</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62695-2023</t>
        </is>
      </c>
      <c r="B461" s="1" t="n">
        <v>45271</v>
      </c>
      <c r="C461" s="1" t="n">
        <v>46110</v>
      </c>
      <c r="D461" t="inlineStr">
        <is>
          <t>UPPSALA LÄN</t>
        </is>
      </c>
      <c r="E461" t="inlineStr">
        <is>
          <t>ÖSTHAMMAR</t>
        </is>
      </c>
      <c r="G461" t="n">
        <v>5.3</v>
      </c>
      <c r="H461" t="n">
        <v>0</v>
      </c>
      <c r="I461" t="n">
        <v>0</v>
      </c>
      <c r="J461" t="n">
        <v>0</v>
      </c>
      <c r="K461" t="n">
        <v>0</v>
      </c>
      <c r="L461" t="n">
        <v>0</v>
      </c>
      <c r="M461" t="n">
        <v>0</v>
      </c>
      <c r="N461" t="n">
        <v>0</v>
      </c>
      <c r="O461" t="n">
        <v>0</v>
      </c>
      <c r="P461" t="n">
        <v>0</v>
      </c>
      <c r="Q461" t="n">
        <v>0</v>
      </c>
      <c r="R461" s="2" t="inlineStr"/>
    </row>
    <row r="462" ht="15" customHeight="1">
      <c r="A462" t="inlineStr">
        <is>
          <t>A 30610-2025</t>
        </is>
      </c>
      <c r="B462" s="1" t="n">
        <v>45831.45965277778</v>
      </c>
      <c r="C462" s="1" t="n">
        <v>46110</v>
      </c>
      <c r="D462" t="inlineStr">
        <is>
          <t>UPPSALA LÄN</t>
        </is>
      </c>
      <c r="E462" t="inlineStr">
        <is>
          <t>ÖSTHAMMAR</t>
        </is>
      </c>
      <c r="G462" t="n">
        <v>0.2</v>
      </c>
      <c r="H462" t="n">
        <v>0</v>
      </c>
      <c r="I462" t="n">
        <v>0</v>
      </c>
      <c r="J462" t="n">
        <v>0</v>
      </c>
      <c r="K462" t="n">
        <v>0</v>
      </c>
      <c r="L462" t="n">
        <v>0</v>
      </c>
      <c r="M462" t="n">
        <v>0</v>
      </c>
      <c r="N462" t="n">
        <v>0</v>
      </c>
      <c r="O462" t="n">
        <v>0</v>
      </c>
      <c r="P462" t="n">
        <v>0</v>
      </c>
      <c r="Q462" t="n">
        <v>0</v>
      </c>
      <c r="R462" s="2" t="inlineStr"/>
    </row>
    <row r="463" ht="15" customHeight="1">
      <c r="A463" t="inlineStr">
        <is>
          <t>A 31579-2025</t>
        </is>
      </c>
      <c r="B463" s="1" t="n">
        <v>45833.68211805556</v>
      </c>
      <c r="C463" s="1" t="n">
        <v>46110</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31360-2025</t>
        </is>
      </c>
      <c r="B464" s="1" t="n">
        <v>45833.43527777777</v>
      </c>
      <c r="C464" s="1" t="n">
        <v>46110</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42213-2025</t>
        </is>
      </c>
      <c r="B465" s="1" t="n">
        <v>45904.50652777778</v>
      </c>
      <c r="C465" s="1" t="n">
        <v>46110</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52332-2025</t>
        </is>
      </c>
      <c r="B466" s="1" t="n">
        <v>45953.67853009259</v>
      </c>
      <c r="C466" s="1" t="n">
        <v>46110</v>
      </c>
      <c r="D466" t="inlineStr">
        <is>
          <t>UPPSALA LÄN</t>
        </is>
      </c>
      <c r="E466" t="inlineStr">
        <is>
          <t>ÖSTHAMMAR</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54437-2024</t>
        </is>
      </c>
      <c r="B467" s="1" t="n">
        <v>45617</v>
      </c>
      <c r="C467" s="1" t="n">
        <v>46110</v>
      </c>
      <c r="D467" t="inlineStr">
        <is>
          <t>UPPSALA LÄN</t>
        </is>
      </c>
      <c r="E467" t="inlineStr">
        <is>
          <t>ÖSTHAMMAR</t>
        </is>
      </c>
      <c r="G467" t="n">
        <v>2.1</v>
      </c>
      <c r="H467" t="n">
        <v>0</v>
      </c>
      <c r="I467" t="n">
        <v>0</v>
      </c>
      <c r="J467" t="n">
        <v>0</v>
      </c>
      <c r="K467" t="n">
        <v>0</v>
      </c>
      <c r="L467" t="n">
        <v>0</v>
      </c>
      <c r="M467" t="n">
        <v>0</v>
      </c>
      <c r="N467" t="n">
        <v>0</v>
      </c>
      <c r="O467" t="n">
        <v>0</v>
      </c>
      <c r="P467" t="n">
        <v>0</v>
      </c>
      <c r="Q467" t="n">
        <v>0</v>
      </c>
      <c r="R467" s="2" t="inlineStr"/>
    </row>
    <row r="468" ht="15" customHeight="1">
      <c r="A468" t="inlineStr">
        <is>
          <t>A 31249-2025</t>
        </is>
      </c>
      <c r="B468" s="1" t="n">
        <v>45832.89476851852</v>
      </c>
      <c r="C468" s="1" t="n">
        <v>46110</v>
      </c>
      <c r="D468" t="inlineStr">
        <is>
          <t>UPPSALA LÄN</t>
        </is>
      </c>
      <c r="E468" t="inlineStr">
        <is>
          <t>ÖSTHAMMAR</t>
        </is>
      </c>
      <c r="G468" t="n">
        <v>0.6</v>
      </c>
      <c r="H468" t="n">
        <v>0</v>
      </c>
      <c r="I468" t="n">
        <v>0</v>
      </c>
      <c r="J468" t="n">
        <v>0</v>
      </c>
      <c r="K468" t="n">
        <v>0</v>
      </c>
      <c r="L468" t="n">
        <v>0</v>
      </c>
      <c r="M468" t="n">
        <v>0</v>
      </c>
      <c r="N468" t="n">
        <v>0</v>
      </c>
      <c r="O468" t="n">
        <v>0</v>
      </c>
      <c r="P468" t="n">
        <v>0</v>
      </c>
      <c r="Q468" t="n">
        <v>0</v>
      </c>
      <c r="R468" s="2" t="inlineStr"/>
    </row>
    <row r="469" ht="15" customHeight="1">
      <c r="A469" t="inlineStr">
        <is>
          <t>A 3926-2026</t>
        </is>
      </c>
      <c r="B469" s="1" t="n">
        <v>46043.781875</v>
      </c>
      <c r="C469" s="1" t="n">
        <v>46110</v>
      </c>
      <c r="D469" t="inlineStr">
        <is>
          <t>UPPSALA LÄN</t>
        </is>
      </c>
      <c r="E469" t="inlineStr">
        <is>
          <t>ÖSTHAMMAR</t>
        </is>
      </c>
      <c r="G469" t="n">
        <v>3.3</v>
      </c>
      <c r="H469" t="n">
        <v>0</v>
      </c>
      <c r="I469" t="n">
        <v>0</v>
      </c>
      <c r="J469" t="n">
        <v>0</v>
      </c>
      <c r="K469" t="n">
        <v>0</v>
      </c>
      <c r="L469" t="n">
        <v>0</v>
      </c>
      <c r="M469" t="n">
        <v>0</v>
      </c>
      <c r="N469" t="n">
        <v>0</v>
      </c>
      <c r="O469" t="n">
        <v>0</v>
      </c>
      <c r="P469" t="n">
        <v>0</v>
      </c>
      <c r="Q469" t="n">
        <v>0</v>
      </c>
      <c r="R469" s="2" t="inlineStr"/>
    </row>
    <row r="470" ht="15" customHeight="1">
      <c r="A470" t="inlineStr">
        <is>
          <t>A 3959-2026</t>
        </is>
      </c>
      <c r="B470" s="1" t="n">
        <v>46044.33802083333</v>
      </c>
      <c r="C470" s="1" t="n">
        <v>46110</v>
      </c>
      <c r="D470" t="inlineStr">
        <is>
          <t>UPPSALA LÄN</t>
        </is>
      </c>
      <c r="E470" t="inlineStr">
        <is>
          <t>ÖSTHAMMAR</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12151-2026</t>
        </is>
      </c>
      <c r="B471" s="1" t="n">
        <v>46086.5972800926</v>
      </c>
      <c r="C471" s="1" t="n">
        <v>46110</v>
      </c>
      <c r="D471" t="inlineStr">
        <is>
          <t>UPPSALA LÄN</t>
        </is>
      </c>
      <c r="E471" t="inlineStr">
        <is>
          <t>ÖSTHAMMAR</t>
        </is>
      </c>
      <c r="F471" t="inlineStr">
        <is>
          <t>Bergvik skog öst AB</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12172-2026</t>
        </is>
      </c>
      <c r="B472" s="1" t="n">
        <v>46086.6590625</v>
      </c>
      <c r="C472" s="1" t="n">
        <v>46110</v>
      </c>
      <c r="D472" t="inlineStr">
        <is>
          <t>UPPSALA LÄN</t>
        </is>
      </c>
      <c r="E472" t="inlineStr">
        <is>
          <t>ÖSTHAMMAR</t>
        </is>
      </c>
      <c r="F472" t="inlineStr">
        <is>
          <t>Bergvik skog öst AB</t>
        </is>
      </c>
      <c r="G472" t="n">
        <v>5.4</v>
      </c>
      <c r="H472" t="n">
        <v>0</v>
      </c>
      <c r="I472" t="n">
        <v>0</v>
      </c>
      <c r="J472" t="n">
        <v>0</v>
      </c>
      <c r="K472" t="n">
        <v>0</v>
      </c>
      <c r="L472" t="n">
        <v>0</v>
      </c>
      <c r="M472" t="n">
        <v>0</v>
      </c>
      <c r="N472" t="n">
        <v>0</v>
      </c>
      <c r="O472" t="n">
        <v>0</v>
      </c>
      <c r="P472" t="n">
        <v>0</v>
      </c>
      <c r="Q472" t="n">
        <v>0</v>
      </c>
      <c r="R472" s="2" t="inlineStr"/>
    </row>
    <row r="473" ht="15" customHeight="1">
      <c r="A473" t="inlineStr">
        <is>
          <t>A 23742-2024</t>
        </is>
      </c>
      <c r="B473" s="1" t="n">
        <v>45455</v>
      </c>
      <c r="C473" s="1" t="n">
        <v>46110</v>
      </c>
      <c r="D473" t="inlineStr">
        <is>
          <t>UPPSALA LÄN</t>
        </is>
      </c>
      <c r="E473" t="inlineStr">
        <is>
          <t>ÖSTHAMMAR</t>
        </is>
      </c>
      <c r="F473" t="inlineStr">
        <is>
          <t>Bergvik skog öst AB</t>
        </is>
      </c>
      <c r="G473" t="n">
        <v>2.2</v>
      </c>
      <c r="H473" t="n">
        <v>0</v>
      </c>
      <c r="I473" t="n">
        <v>0</v>
      </c>
      <c r="J473" t="n">
        <v>0</v>
      </c>
      <c r="K473" t="n">
        <v>0</v>
      </c>
      <c r="L473" t="n">
        <v>0</v>
      </c>
      <c r="M473" t="n">
        <v>0</v>
      </c>
      <c r="N473" t="n">
        <v>0</v>
      </c>
      <c r="O473" t="n">
        <v>0</v>
      </c>
      <c r="P473" t="n">
        <v>0</v>
      </c>
      <c r="Q473" t="n">
        <v>0</v>
      </c>
      <c r="R473" s="2" t="inlineStr"/>
    </row>
    <row r="474" ht="15" customHeight="1">
      <c r="A474" t="inlineStr">
        <is>
          <t>A 31977-2025</t>
        </is>
      </c>
      <c r="B474" s="1" t="n">
        <v>45835.3554050926</v>
      </c>
      <c r="C474" s="1" t="n">
        <v>46110</v>
      </c>
      <c r="D474" t="inlineStr">
        <is>
          <t>UPPSALA LÄN</t>
        </is>
      </c>
      <c r="E474" t="inlineStr">
        <is>
          <t>ÖSTHAMMAR</t>
        </is>
      </c>
      <c r="F474" t="inlineStr">
        <is>
          <t>Övriga Aktiebolag</t>
        </is>
      </c>
      <c r="G474" t="n">
        <v>35.3</v>
      </c>
      <c r="H474" t="n">
        <v>0</v>
      </c>
      <c r="I474" t="n">
        <v>0</v>
      </c>
      <c r="J474" t="n">
        <v>0</v>
      </c>
      <c r="K474" t="n">
        <v>0</v>
      </c>
      <c r="L474" t="n">
        <v>0</v>
      </c>
      <c r="M474" t="n">
        <v>0</v>
      </c>
      <c r="N474" t="n">
        <v>0</v>
      </c>
      <c r="O474" t="n">
        <v>0</v>
      </c>
      <c r="P474" t="n">
        <v>0</v>
      </c>
      <c r="Q474" t="n">
        <v>0</v>
      </c>
      <c r="R474" s="2" t="inlineStr"/>
    </row>
    <row r="475" ht="15" customHeight="1">
      <c r="A475" t="inlineStr">
        <is>
          <t>A 31956-2025</t>
        </is>
      </c>
      <c r="B475" s="1" t="n">
        <v>45835.34184027778</v>
      </c>
      <c r="C475" s="1" t="n">
        <v>46110</v>
      </c>
      <c r="D475" t="inlineStr">
        <is>
          <t>UPPSALA LÄN</t>
        </is>
      </c>
      <c r="E475" t="inlineStr">
        <is>
          <t>ÖSTHAMMAR</t>
        </is>
      </c>
      <c r="F475" t="inlineStr">
        <is>
          <t>Övriga Aktiebolag</t>
        </is>
      </c>
      <c r="G475" t="n">
        <v>4.2</v>
      </c>
      <c r="H475" t="n">
        <v>0</v>
      </c>
      <c r="I475" t="n">
        <v>0</v>
      </c>
      <c r="J475" t="n">
        <v>0</v>
      </c>
      <c r="K475" t="n">
        <v>0</v>
      </c>
      <c r="L475" t="n">
        <v>0</v>
      </c>
      <c r="M475" t="n">
        <v>0</v>
      </c>
      <c r="N475" t="n">
        <v>0</v>
      </c>
      <c r="O475" t="n">
        <v>0</v>
      </c>
      <c r="P475" t="n">
        <v>0</v>
      </c>
      <c r="Q475" t="n">
        <v>0</v>
      </c>
      <c r="R475" s="2" t="inlineStr"/>
    </row>
    <row r="476" ht="15" customHeight="1">
      <c r="A476" t="inlineStr">
        <is>
          <t>A 12150-2026</t>
        </is>
      </c>
      <c r="B476" s="1" t="n">
        <v>46086.59512731482</v>
      </c>
      <c r="C476" s="1" t="n">
        <v>46110</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29282-2021</t>
        </is>
      </c>
      <c r="B477" s="1" t="n">
        <v>44361</v>
      </c>
      <c r="C477" s="1" t="n">
        <v>46110</v>
      </c>
      <c r="D477" t="inlineStr">
        <is>
          <t>UPPSALA LÄN</t>
        </is>
      </c>
      <c r="E477" t="inlineStr">
        <is>
          <t>ÖSTHAMMAR</t>
        </is>
      </c>
      <c r="G477" t="n">
        <v>2.4</v>
      </c>
      <c r="H477" t="n">
        <v>0</v>
      </c>
      <c r="I477" t="n">
        <v>0</v>
      </c>
      <c r="J477" t="n">
        <v>0</v>
      </c>
      <c r="K477" t="n">
        <v>0</v>
      </c>
      <c r="L477" t="n">
        <v>0</v>
      </c>
      <c r="M477" t="n">
        <v>0</v>
      </c>
      <c r="N477" t="n">
        <v>0</v>
      </c>
      <c r="O477" t="n">
        <v>0</v>
      </c>
      <c r="P477" t="n">
        <v>0</v>
      </c>
      <c r="Q477" t="n">
        <v>0</v>
      </c>
      <c r="R477" s="2" t="inlineStr"/>
    </row>
    <row r="478" ht="15" customHeight="1">
      <c r="A478" t="inlineStr">
        <is>
          <t>A 3642-2026</t>
        </is>
      </c>
      <c r="B478" s="1" t="n">
        <v>46043.35760416667</v>
      </c>
      <c r="C478" s="1" t="n">
        <v>46110</v>
      </c>
      <c r="D478" t="inlineStr">
        <is>
          <t>UPPSALA LÄN</t>
        </is>
      </c>
      <c r="E478" t="inlineStr">
        <is>
          <t>ÖSTHAMMAR</t>
        </is>
      </c>
      <c r="G478" t="n">
        <v>3</v>
      </c>
      <c r="H478" t="n">
        <v>0</v>
      </c>
      <c r="I478" t="n">
        <v>0</v>
      </c>
      <c r="J478" t="n">
        <v>0</v>
      </c>
      <c r="K478" t="n">
        <v>0</v>
      </c>
      <c r="L478" t="n">
        <v>0</v>
      </c>
      <c r="M478" t="n">
        <v>0</v>
      </c>
      <c r="N478" t="n">
        <v>0</v>
      </c>
      <c r="O478" t="n">
        <v>0</v>
      </c>
      <c r="P478" t="n">
        <v>0</v>
      </c>
      <c r="Q478" t="n">
        <v>0</v>
      </c>
      <c r="R478" s="2" t="inlineStr"/>
    </row>
    <row r="479" ht="15" customHeight="1">
      <c r="A479" t="inlineStr">
        <is>
          <t>A 3668-2026</t>
        </is>
      </c>
      <c r="B479" s="1" t="n">
        <v>46043.41212962963</v>
      </c>
      <c r="C479" s="1" t="n">
        <v>46110</v>
      </c>
      <c r="D479" t="inlineStr">
        <is>
          <t>UPPSALA LÄN</t>
        </is>
      </c>
      <c r="E479" t="inlineStr">
        <is>
          <t>ÖSTHAMMAR</t>
        </is>
      </c>
      <c r="G479" t="n">
        <v>1.7</v>
      </c>
      <c r="H479" t="n">
        <v>0</v>
      </c>
      <c r="I479" t="n">
        <v>0</v>
      </c>
      <c r="J479" t="n">
        <v>0</v>
      </c>
      <c r="K479" t="n">
        <v>0</v>
      </c>
      <c r="L479" t="n">
        <v>0</v>
      </c>
      <c r="M479" t="n">
        <v>0</v>
      </c>
      <c r="N479" t="n">
        <v>0</v>
      </c>
      <c r="O479" t="n">
        <v>0</v>
      </c>
      <c r="P479" t="n">
        <v>0</v>
      </c>
      <c r="Q479" t="n">
        <v>0</v>
      </c>
      <c r="R479" s="2" t="inlineStr"/>
    </row>
    <row r="480" ht="15" customHeight="1">
      <c r="A480" t="inlineStr">
        <is>
          <t>A 6039-2025</t>
        </is>
      </c>
      <c r="B480" s="1" t="n">
        <v>45695</v>
      </c>
      <c r="C480" s="1" t="n">
        <v>46110</v>
      </c>
      <c r="D480" t="inlineStr">
        <is>
          <t>UPPSALA LÄN</t>
        </is>
      </c>
      <c r="E480" t="inlineStr">
        <is>
          <t>ÖSTHAMMAR</t>
        </is>
      </c>
      <c r="G480" t="n">
        <v>2.3</v>
      </c>
      <c r="H480" t="n">
        <v>0</v>
      </c>
      <c r="I480" t="n">
        <v>0</v>
      </c>
      <c r="J480" t="n">
        <v>0</v>
      </c>
      <c r="K480" t="n">
        <v>0</v>
      </c>
      <c r="L480" t="n">
        <v>0</v>
      </c>
      <c r="M480" t="n">
        <v>0</v>
      </c>
      <c r="N480" t="n">
        <v>0</v>
      </c>
      <c r="O480" t="n">
        <v>0</v>
      </c>
      <c r="P480" t="n">
        <v>0</v>
      </c>
      <c r="Q480" t="n">
        <v>0</v>
      </c>
      <c r="R480" s="2" t="inlineStr"/>
    </row>
    <row r="481" ht="15" customHeight="1">
      <c r="A481" t="inlineStr">
        <is>
          <t>A 12263-2026</t>
        </is>
      </c>
      <c r="B481" s="1" t="n">
        <v>46087.49299768519</v>
      </c>
      <c r="C481" s="1" t="n">
        <v>46110</v>
      </c>
      <c r="D481" t="inlineStr">
        <is>
          <t>UPPSALA LÄN</t>
        </is>
      </c>
      <c r="E481" t="inlineStr">
        <is>
          <t>ÖSTHAMMAR</t>
        </is>
      </c>
      <c r="F481" t="inlineStr">
        <is>
          <t>Övriga Aktiebolag</t>
        </is>
      </c>
      <c r="G481" t="n">
        <v>2.8</v>
      </c>
      <c r="H481" t="n">
        <v>0</v>
      </c>
      <c r="I481" t="n">
        <v>0</v>
      </c>
      <c r="J481" t="n">
        <v>0</v>
      </c>
      <c r="K481" t="n">
        <v>0</v>
      </c>
      <c r="L481" t="n">
        <v>0</v>
      </c>
      <c r="M481" t="n">
        <v>0</v>
      </c>
      <c r="N481" t="n">
        <v>0</v>
      </c>
      <c r="O481" t="n">
        <v>0</v>
      </c>
      <c r="P481" t="n">
        <v>0</v>
      </c>
      <c r="Q481" t="n">
        <v>0</v>
      </c>
      <c r="R481" s="2" t="inlineStr"/>
    </row>
    <row r="482" ht="15" customHeight="1">
      <c r="A482" t="inlineStr">
        <is>
          <t>A 4570-2026</t>
        </is>
      </c>
      <c r="B482" s="1" t="n">
        <v>46048.00856481482</v>
      </c>
      <c r="C482" s="1" t="n">
        <v>46110</v>
      </c>
      <c r="D482" t="inlineStr">
        <is>
          <t>UPPSALA LÄN</t>
        </is>
      </c>
      <c r="E482" t="inlineStr">
        <is>
          <t>ÖSTHAMMAR</t>
        </is>
      </c>
      <c r="F482" t="inlineStr">
        <is>
          <t>Allmännings- och besparingsskogar</t>
        </is>
      </c>
      <c r="G482" t="n">
        <v>7.1</v>
      </c>
      <c r="H482" t="n">
        <v>0</v>
      </c>
      <c r="I482" t="n">
        <v>0</v>
      </c>
      <c r="J482" t="n">
        <v>0</v>
      </c>
      <c r="K482" t="n">
        <v>0</v>
      </c>
      <c r="L482" t="n">
        <v>0</v>
      </c>
      <c r="M482" t="n">
        <v>0</v>
      </c>
      <c r="N482" t="n">
        <v>0</v>
      </c>
      <c r="O482" t="n">
        <v>0</v>
      </c>
      <c r="P482" t="n">
        <v>0</v>
      </c>
      <c r="Q482" t="n">
        <v>0</v>
      </c>
      <c r="R482" s="2" t="inlineStr"/>
    </row>
    <row r="483" ht="15" customHeight="1">
      <c r="A483" t="inlineStr">
        <is>
          <t>A 8769-2025</t>
        </is>
      </c>
      <c r="B483" s="1" t="n">
        <v>45712.59412037037</v>
      </c>
      <c r="C483" s="1" t="n">
        <v>46110</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12387-2026</t>
        </is>
      </c>
      <c r="B484" s="1" t="n">
        <v>46090</v>
      </c>
      <c r="C484" s="1" t="n">
        <v>46110</v>
      </c>
      <c r="D484" t="inlineStr">
        <is>
          <t>UPPSALA LÄN</t>
        </is>
      </c>
      <c r="E484" t="inlineStr">
        <is>
          <t>ÖSTHAMMAR</t>
        </is>
      </c>
      <c r="G484" t="n">
        <v>1.2</v>
      </c>
      <c r="H484" t="n">
        <v>0</v>
      </c>
      <c r="I484" t="n">
        <v>0</v>
      </c>
      <c r="J484" t="n">
        <v>0</v>
      </c>
      <c r="K484" t="n">
        <v>0</v>
      </c>
      <c r="L484" t="n">
        <v>0</v>
      </c>
      <c r="M484" t="n">
        <v>0</v>
      </c>
      <c r="N484" t="n">
        <v>0</v>
      </c>
      <c r="O484" t="n">
        <v>0</v>
      </c>
      <c r="P484" t="n">
        <v>0</v>
      </c>
      <c r="Q484" t="n">
        <v>0</v>
      </c>
      <c r="R484" s="2" t="inlineStr"/>
    </row>
    <row r="485" ht="15" customHeight="1">
      <c r="A485" t="inlineStr">
        <is>
          <t>A 33048-2025</t>
        </is>
      </c>
      <c r="B485" s="1" t="n">
        <v>45840.41451388889</v>
      </c>
      <c r="C485" s="1" t="n">
        <v>46110</v>
      </c>
      <c r="D485" t="inlineStr">
        <is>
          <t>UPPSALA LÄN</t>
        </is>
      </c>
      <c r="E485" t="inlineStr">
        <is>
          <t>ÖSTHAMMAR</t>
        </is>
      </c>
      <c r="G485" t="n">
        <v>1.8</v>
      </c>
      <c r="H485" t="n">
        <v>0</v>
      </c>
      <c r="I485" t="n">
        <v>0</v>
      </c>
      <c r="J485" t="n">
        <v>0</v>
      </c>
      <c r="K485" t="n">
        <v>0</v>
      </c>
      <c r="L485" t="n">
        <v>0</v>
      </c>
      <c r="M485" t="n">
        <v>0</v>
      </c>
      <c r="N485" t="n">
        <v>0</v>
      </c>
      <c r="O485" t="n">
        <v>0</v>
      </c>
      <c r="P485" t="n">
        <v>0</v>
      </c>
      <c r="Q485" t="n">
        <v>0</v>
      </c>
      <c r="R485" s="2" t="inlineStr"/>
    </row>
    <row r="486" ht="15" customHeight="1">
      <c r="A486" t="inlineStr">
        <is>
          <t>A 20326-2021</t>
        </is>
      </c>
      <c r="B486" s="1" t="n">
        <v>44308</v>
      </c>
      <c r="C486" s="1" t="n">
        <v>46110</v>
      </c>
      <c r="D486" t="inlineStr">
        <is>
          <t>UPPSALA LÄN</t>
        </is>
      </c>
      <c r="E486" t="inlineStr">
        <is>
          <t>ÖSTHAMMAR</t>
        </is>
      </c>
      <c r="G486" t="n">
        <v>7</v>
      </c>
      <c r="H486" t="n">
        <v>0</v>
      </c>
      <c r="I486" t="n">
        <v>0</v>
      </c>
      <c r="J486" t="n">
        <v>0</v>
      </c>
      <c r="K486" t="n">
        <v>0</v>
      </c>
      <c r="L486" t="n">
        <v>0</v>
      </c>
      <c r="M486" t="n">
        <v>0</v>
      </c>
      <c r="N486" t="n">
        <v>0</v>
      </c>
      <c r="O486" t="n">
        <v>0</v>
      </c>
      <c r="P486" t="n">
        <v>0</v>
      </c>
      <c r="Q486" t="n">
        <v>0</v>
      </c>
      <c r="R486" s="2" t="inlineStr"/>
    </row>
    <row r="487" ht="15" customHeight="1">
      <c r="A487" t="inlineStr">
        <is>
          <t>A 55086-2024</t>
        </is>
      </c>
      <c r="B487" s="1" t="n">
        <v>45621.43098379629</v>
      </c>
      <c r="C487" s="1" t="n">
        <v>46110</v>
      </c>
      <c r="D487" t="inlineStr">
        <is>
          <t>UPPSALA LÄN</t>
        </is>
      </c>
      <c r="E487" t="inlineStr">
        <is>
          <t>ÖSTHAMMAR</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55090-2024</t>
        </is>
      </c>
      <c r="B488" s="1" t="n">
        <v>45621.4350462963</v>
      </c>
      <c r="C488" s="1" t="n">
        <v>46110</v>
      </c>
      <c r="D488" t="inlineStr">
        <is>
          <t>UPPSALA LÄN</t>
        </is>
      </c>
      <c r="E488" t="inlineStr">
        <is>
          <t>ÖSTHAMMAR</t>
        </is>
      </c>
      <c r="F488" t="inlineStr">
        <is>
          <t>Sveaskog</t>
        </is>
      </c>
      <c r="G488" t="n">
        <v>4.4</v>
      </c>
      <c r="H488" t="n">
        <v>0</v>
      </c>
      <c r="I488" t="n">
        <v>0</v>
      </c>
      <c r="J488" t="n">
        <v>0</v>
      </c>
      <c r="K488" t="n">
        <v>0</v>
      </c>
      <c r="L488" t="n">
        <v>0</v>
      </c>
      <c r="M488" t="n">
        <v>0</v>
      </c>
      <c r="N488" t="n">
        <v>0</v>
      </c>
      <c r="O488" t="n">
        <v>0</v>
      </c>
      <c r="P488" t="n">
        <v>0</v>
      </c>
      <c r="Q488" t="n">
        <v>0</v>
      </c>
      <c r="R488" s="2" t="inlineStr"/>
    </row>
    <row r="489" ht="15" customHeight="1">
      <c r="A489" t="inlineStr">
        <is>
          <t>A 55093-2024</t>
        </is>
      </c>
      <c r="B489" s="1" t="n">
        <v>45621.43712962963</v>
      </c>
      <c r="C489" s="1" t="n">
        <v>46110</v>
      </c>
      <c r="D489" t="inlineStr">
        <is>
          <t>UPPSALA LÄN</t>
        </is>
      </c>
      <c r="E489" t="inlineStr">
        <is>
          <t>ÖSTHAMMAR</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27476-2025</t>
        </is>
      </c>
      <c r="B490" s="1" t="n">
        <v>45813.37517361111</v>
      </c>
      <c r="C490" s="1" t="n">
        <v>46110</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28432-2023</t>
        </is>
      </c>
      <c r="B491" s="1" t="n">
        <v>45102.59896990741</v>
      </c>
      <c r="C491" s="1" t="n">
        <v>46110</v>
      </c>
      <c r="D491" t="inlineStr">
        <is>
          <t>UPPSALA LÄN</t>
        </is>
      </c>
      <c r="E491" t="inlineStr">
        <is>
          <t>ÖSTHAMMAR</t>
        </is>
      </c>
      <c r="F491" t="inlineStr">
        <is>
          <t>Bergvik skog öst AB</t>
        </is>
      </c>
      <c r="G491" t="n">
        <v>3.9</v>
      </c>
      <c r="H491" t="n">
        <v>0</v>
      </c>
      <c r="I491" t="n">
        <v>0</v>
      </c>
      <c r="J491" t="n">
        <v>0</v>
      </c>
      <c r="K491" t="n">
        <v>0</v>
      </c>
      <c r="L491" t="n">
        <v>0</v>
      </c>
      <c r="M491" t="n">
        <v>0</v>
      </c>
      <c r="N491" t="n">
        <v>0</v>
      </c>
      <c r="O491" t="n">
        <v>0</v>
      </c>
      <c r="P491" t="n">
        <v>0</v>
      </c>
      <c r="Q491" t="n">
        <v>0</v>
      </c>
      <c r="R491" s="2" t="inlineStr"/>
    </row>
    <row r="492" ht="15" customHeight="1">
      <c r="A492" t="inlineStr">
        <is>
          <t>A 12261-2026</t>
        </is>
      </c>
      <c r="B492" s="1" t="n">
        <v>46087.48739583333</v>
      </c>
      <c r="C492" s="1" t="n">
        <v>46110</v>
      </c>
      <c r="D492" t="inlineStr">
        <is>
          <t>UPPSALA LÄN</t>
        </is>
      </c>
      <c r="E492" t="inlineStr">
        <is>
          <t>ÖSTHAMMAR</t>
        </is>
      </c>
      <c r="F492" t="inlineStr">
        <is>
          <t>Övriga Aktiebolag</t>
        </is>
      </c>
      <c r="G492" t="n">
        <v>1.6</v>
      </c>
      <c r="H492" t="n">
        <v>0</v>
      </c>
      <c r="I492" t="n">
        <v>0</v>
      </c>
      <c r="J492" t="n">
        <v>0</v>
      </c>
      <c r="K492" t="n">
        <v>0</v>
      </c>
      <c r="L492" t="n">
        <v>0</v>
      </c>
      <c r="M492" t="n">
        <v>0</v>
      </c>
      <c r="N492" t="n">
        <v>0</v>
      </c>
      <c r="O492" t="n">
        <v>0</v>
      </c>
      <c r="P492" t="n">
        <v>0</v>
      </c>
      <c r="Q492" t="n">
        <v>0</v>
      </c>
      <c r="R492" s="2" t="inlineStr"/>
    </row>
    <row r="493" ht="15" customHeight="1">
      <c r="A493" t="inlineStr">
        <is>
          <t>A 12262-2026</t>
        </is>
      </c>
      <c r="B493" s="1" t="n">
        <v>46087.4896875</v>
      </c>
      <c r="C493" s="1" t="n">
        <v>46110</v>
      </c>
      <c r="D493" t="inlineStr">
        <is>
          <t>UPPSALA LÄN</t>
        </is>
      </c>
      <c r="E493" t="inlineStr">
        <is>
          <t>ÖSTHAMMAR</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53735-2025</t>
        </is>
      </c>
      <c r="B494" s="1" t="n">
        <v>45960.64431712963</v>
      </c>
      <c r="C494" s="1" t="n">
        <v>46110</v>
      </c>
      <c r="D494" t="inlineStr">
        <is>
          <t>UPPSALA LÄN</t>
        </is>
      </c>
      <c r="E494" t="inlineStr">
        <is>
          <t>ÖSTHAMMAR</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53737-2025</t>
        </is>
      </c>
      <c r="B495" s="1" t="n">
        <v>45960.64520833334</v>
      </c>
      <c r="C495" s="1" t="n">
        <v>46110</v>
      </c>
      <c r="D495" t="inlineStr">
        <is>
          <t>UPPSALA LÄN</t>
        </is>
      </c>
      <c r="E495" t="inlineStr">
        <is>
          <t>ÖSTHAMMAR</t>
        </is>
      </c>
      <c r="F495" t="inlineStr">
        <is>
          <t>Bergvik skog öst AB</t>
        </is>
      </c>
      <c r="G495" t="n">
        <v>3</v>
      </c>
      <c r="H495" t="n">
        <v>0</v>
      </c>
      <c r="I495" t="n">
        <v>0</v>
      </c>
      <c r="J495" t="n">
        <v>0</v>
      </c>
      <c r="K495" t="n">
        <v>0</v>
      </c>
      <c r="L495" t="n">
        <v>0</v>
      </c>
      <c r="M495" t="n">
        <v>0</v>
      </c>
      <c r="N495" t="n">
        <v>0</v>
      </c>
      <c r="O495" t="n">
        <v>0</v>
      </c>
      <c r="P495" t="n">
        <v>0</v>
      </c>
      <c r="Q495" t="n">
        <v>0</v>
      </c>
      <c r="R495" s="2" t="inlineStr"/>
    </row>
    <row r="496" ht="15" customHeight="1">
      <c r="A496" t="inlineStr">
        <is>
          <t>A 43915-2023</t>
        </is>
      </c>
      <c r="B496" s="1" t="n">
        <v>45187.71274305556</v>
      </c>
      <c r="C496" s="1" t="n">
        <v>46110</v>
      </c>
      <c r="D496" t="inlineStr">
        <is>
          <t>UPPSALA LÄN</t>
        </is>
      </c>
      <c r="E496" t="inlineStr">
        <is>
          <t>ÖSTHAMMAR</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53567-2025</t>
        </is>
      </c>
      <c r="B497" s="1" t="n">
        <v>45960</v>
      </c>
      <c r="C497" s="1" t="n">
        <v>46110</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13352-2023</t>
        </is>
      </c>
      <c r="B498" s="1" t="n">
        <v>45005</v>
      </c>
      <c r="C498" s="1" t="n">
        <v>46110</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53961-2025</t>
        </is>
      </c>
      <c r="B499" s="1" t="n">
        <v>45961</v>
      </c>
      <c r="C499" s="1" t="n">
        <v>46110</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53557-2025</t>
        </is>
      </c>
      <c r="B500" s="1" t="n">
        <v>45960</v>
      </c>
      <c r="C500" s="1" t="n">
        <v>46110</v>
      </c>
      <c r="D500" t="inlineStr">
        <is>
          <t>UPPSALA LÄN</t>
        </is>
      </c>
      <c r="E500" t="inlineStr">
        <is>
          <t>ÖSTHAMMAR</t>
        </is>
      </c>
      <c r="G500" t="n">
        <v>1.9</v>
      </c>
      <c r="H500" t="n">
        <v>0</v>
      </c>
      <c r="I500" t="n">
        <v>0</v>
      </c>
      <c r="J500" t="n">
        <v>0</v>
      </c>
      <c r="K500" t="n">
        <v>0</v>
      </c>
      <c r="L500" t="n">
        <v>0</v>
      </c>
      <c r="M500" t="n">
        <v>0</v>
      </c>
      <c r="N500" t="n">
        <v>0</v>
      </c>
      <c r="O500" t="n">
        <v>0</v>
      </c>
      <c r="P500" t="n">
        <v>0</v>
      </c>
      <c r="Q500" t="n">
        <v>0</v>
      </c>
      <c r="R500" s="2" t="inlineStr"/>
    </row>
    <row r="501" ht="15" customHeight="1">
      <c r="A501" t="inlineStr">
        <is>
          <t>A 12913-2026</t>
        </is>
      </c>
      <c r="B501" s="1" t="n">
        <v>46092.58787037037</v>
      </c>
      <c r="C501" s="1" t="n">
        <v>46110</v>
      </c>
      <c r="D501" t="inlineStr">
        <is>
          <t>UPPSALA LÄN</t>
        </is>
      </c>
      <c r="E501" t="inlineStr">
        <is>
          <t>ÖSTHAMMAR</t>
        </is>
      </c>
      <c r="F501" t="inlineStr">
        <is>
          <t>Övriga Aktiebolag</t>
        </is>
      </c>
      <c r="G501" t="n">
        <v>9</v>
      </c>
      <c r="H501" t="n">
        <v>0</v>
      </c>
      <c r="I501" t="n">
        <v>0</v>
      </c>
      <c r="J501" t="n">
        <v>0</v>
      </c>
      <c r="K501" t="n">
        <v>0</v>
      </c>
      <c r="L501" t="n">
        <v>0</v>
      </c>
      <c r="M501" t="n">
        <v>0</v>
      </c>
      <c r="N501" t="n">
        <v>0</v>
      </c>
      <c r="O501" t="n">
        <v>0</v>
      </c>
      <c r="P501" t="n">
        <v>0</v>
      </c>
      <c r="Q501" t="n">
        <v>0</v>
      </c>
      <c r="R501" s="2" t="inlineStr"/>
    </row>
    <row r="502" ht="15" customHeight="1">
      <c r="A502" t="inlineStr">
        <is>
          <t>A 53656-2025</t>
        </is>
      </c>
      <c r="B502" s="1" t="n">
        <v>45960</v>
      </c>
      <c r="C502" s="1" t="n">
        <v>46110</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36343-2022</t>
        </is>
      </c>
      <c r="B503" s="1" t="n">
        <v>44803.78524305556</v>
      </c>
      <c r="C503" s="1" t="n">
        <v>46110</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33271-2025</t>
        </is>
      </c>
      <c r="B504" s="1" t="n">
        <v>45840.68381944444</v>
      </c>
      <c r="C504" s="1" t="n">
        <v>46110</v>
      </c>
      <c r="D504" t="inlineStr">
        <is>
          <t>UPPSALA LÄN</t>
        </is>
      </c>
      <c r="E504" t="inlineStr">
        <is>
          <t>ÖSTHAMMAR</t>
        </is>
      </c>
      <c r="G504" t="n">
        <v>1.3</v>
      </c>
      <c r="H504" t="n">
        <v>0</v>
      </c>
      <c r="I504" t="n">
        <v>0</v>
      </c>
      <c r="J504" t="n">
        <v>0</v>
      </c>
      <c r="K504" t="n">
        <v>0</v>
      </c>
      <c r="L504" t="n">
        <v>0</v>
      </c>
      <c r="M504" t="n">
        <v>0</v>
      </c>
      <c r="N504" t="n">
        <v>0</v>
      </c>
      <c r="O504" t="n">
        <v>0</v>
      </c>
      <c r="P504" t="n">
        <v>0</v>
      </c>
      <c r="Q504" t="n">
        <v>0</v>
      </c>
      <c r="R504" s="2" t="inlineStr"/>
    </row>
    <row r="505" ht="15" customHeight="1">
      <c r="A505" t="inlineStr">
        <is>
          <t>A 18731-2022</t>
        </is>
      </c>
      <c r="B505" s="1" t="n">
        <v>44687.78673611111</v>
      </c>
      <c r="C505" s="1" t="n">
        <v>46110</v>
      </c>
      <c r="D505" t="inlineStr">
        <is>
          <t>UPPSALA LÄN</t>
        </is>
      </c>
      <c r="E505" t="inlineStr">
        <is>
          <t>ÖSTHAMMAR</t>
        </is>
      </c>
      <c r="G505" t="n">
        <v>4.9</v>
      </c>
      <c r="H505" t="n">
        <v>0</v>
      </c>
      <c r="I505" t="n">
        <v>0</v>
      </c>
      <c r="J505" t="n">
        <v>0</v>
      </c>
      <c r="K505" t="n">
        <v>0</v>
      </c>
      <c r="L505" t="n">
        <v>0</v>
      </c>
      <c r="M505" t="n">
        <v>0</v>
      </c>
      <c r="N505" t="n">
        <v>0</v>
      </c>
      <c r="O505" t="n">
        <v>0</v>
      </c>
      <c r="P505" t="n">
        <v>0</v>
      </c>
      <c r="Q505" t="n">
        <v>0</v>
      </c>
      <c r="R505" s="2" t="inlineStr"/>
    </row>
    <row r="506" ht="15" customHeight="1">
      <c r="A506" t="inlineStr">
        <is>
          <t>A 5469-2026</t>
        </is>
      </c>
      <c r="B506" s="1" t="n">
        <v>46050</v>
      </c>
      <c r="C506" s="1" t="n">
        <v>46110</v>
      </c>
      <c r="D506" t="inlineStr">
        <is>
          <t>UPPSALA LÄN</t>
        </is>
      </c>
      <c r="E506" t="inlineStr">
        <is>
          <t>ÖSTHAMMAR</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23495-2023</t>
        </is>
      </c>
      <c r="B507" s="1" t="n">
        <v>45076.71652777777</v>
      </c>
      <c r="C507" s="1" t="n">
        <v>46110</v>
      </c>
      <c r="D507" t="inlineStr">
        <is>
          <t>UPPSALA LÄN</t>
        </is>
      </c>
      <c r="E507" t="inlineStr">
        <is>
          <t>ÖSTHAMMAR</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54592-2025</t>
        </is>
      </c>
      <c r="B508" s="1" t="n">
        <v>45965.74545138889</v>
      </c>
      <c r="C508" s="1" t="n">
        <v>46110</v>
      </c>
      <c r="D508" t="inlineStr">
        <is>
          <t>UPPSALA LÄN</t>
        </is>
      </c>
      <c r="E508" t="inlineStr">
        <is>
          <t>ÖSTHAMMAR</t>
        </is>
      </c>
      <c r="F508" t="inlineStr">
        <is>
          <t>Bergvik skog öst AB</t>
        </is>
      </c>
      <c r="G508" t="n">
        <v>5</v>
      </c>
      <c r="H508" t="n">
        <v>0</v>
      </c>
      <c r="I508" t="n">
        <v>0</v>
      </c>
      <c r="J508" t="n">
        <v>0</v>
      </c>
      <c r="K508" t="n">
        <v>0</v>
      </c>
      <c r="L508" t="n">
        <v>0</v>
      </c>
      <c r="M508" t="n">
        <v>0</v>
      </c>
      <c r="N508" t="n">
        <v>0</v>
      </c>
      <c r="O508" t="n">
        <v>0</v>
      </c>
      <c r="P508" t="n">
        <v>0</v>
      </c>
      <c r="Q508" t="n">
        <v>0</v>
      </c>
      <c r="R508" s="2" t="inlineStr"/>
    </row>
    <row r="509" ht="15" customHeight="1">
      <c r="A509" t="inlineStr">
        <is>
          <t>A 1063-2025</t>
        </is>
      </c>
      <c r="B509" s="1" t="n">
        <v>45666</v>
      </c>
      <c r="C509" s="1" t="n">
        <v>46110</v>
      </c>
      <c r="D509" t="inlineStr">
        <is>
          <t>UPPSALA LÄN</t>
        </is>
      </c>
      <c r="E509" t="inlineStr">
        <is>
          <t>ÖSTHAMMAR</t>
        </is>
      </c>
      <c r="G509" t="n">
        <v>1.5</v>
      </c>
      <c r="H509" t="n">
        <v>0</v>
      </c>
      <c r="I509" t="n">
        <v>0</v>
      </c>
      <c r="J509" t="n">
        <v>0</v>
      </c>
      <c r="K509" t="n">
        <v>0</v>
      </c>
      <c r="L509" t="n">
        <v>0</v>
      </c>
      <c r="M509" t="n">
        <v>0</v>
      </c>
      <c r="N509" t="n">
        <v>0</v>
      </c>
      <c r="O509" t="n">
        <v>0</v>
      </c>
      <c r="P509" t="n">
        <v>0</v>
      </c>
      <c r="Q509" t="n">
        <v>0</v>
      </c>
      <c r="R509" s="2" t="inlineStr"/>
    </row>
    <row r="510" ht="15" customHeight="1">
      <c r="A510" t="inlineStr">
        <is>
          <t>A 10495-2025</t>
        </is>
      </c>
      <c r="B510" s="1" t="n">
        <v>45721</v>
      </c>
      <c r="C510" s="1" t="n">
        <v>46110</v>
      </c>
      <c r="D510" t="inlineStr">
        <is>
          <t>UPPSALA LÄN</t>
        </is>
      </c>
      <c r="E510" t="inlineStr">
        <is>
          <t>ÖSTHAMMAR</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54242-2025</t>
        </is>
      </c>
      <c r="B511" s="1" t="n">
        <v>45964.63251157408</v>
      </c>
      <c r="C511" s="1" t="n">
        <v>46110</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54647-2025</t>
        </is>
      </c>
      <c r="B512" s="1" t="n">
        <v>45966.37258101852</v>
      </c>
      <c r="C512" s="1" t="n">
        <v>46110</v>
      </c>
      <c r="D512" t="inlineStr">
        <is>
          <t>UPPSALA LÄN</t>
        </is>
      </c>
      <c r="E512" t="inlineStr">
        <is>
          <t>ÖSTHAMMAR</t>
        </is>
      </c>
      <c r="G512" t="n">
        <v>4.3</v>
      </c>
      <c r="H512" t="n">
        <v>0</v>
      </c>
      <c r="I512" t="n">
        <v>0</v>
      </c>
      <c r="J512" t="n">
        <v>0</v>
      </c>
      <c r="K512" t="n">
        <v>0</v>
      </c>
      <c r="L512" t="n">
        <v>0</v>
      </c>
      <c r="M512" t="n">
        <v>0</v>
      </c>
      <c r="N512" t="n">
        <v>0</v>
      </c>
      <c r="O512" t="n">
        <v>0</v>
      </c>
      <c r="P512" t="n">
        <v>0</v>
      </c>
      <c r="Q512" t="n">
        <v>0</v>
      </c>
      <c r="R512" s="2" t="inlineStr"/>
    </row>
    <row r="513" ht="15" customHeight="1">
      <c r="A513" t="inlineStr">
        <is>
          <t>A 54649-2025</t>
        </is>
      </c>
      <c r="B513" s="1" t="n">
        <v>45966.37548611111</v>
      </c>
      <c r="C513" s="1" t="n">
        <v>46110</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4356-2025</t>
        </is>
      </c>
      <c r="B514" s="1" t="n">
        <v>45686</v>
      </c>
      <c r="C514" s="1" t="n">
        <v>46110</v>
      </c>
      <c r="D514" t="inlineStr">
        <is>
          <t>UPPSALA LÄN</t>
        </is>
      </c>
      <c r="E514" t="inlineStr">
        <is>
          <t>ÖSTHAMMAR</t>
        </is>
      </c>
      <c r="F514" t="inlineStr">
        <is>
          <t>Övriga Aktiebolag</t>
        </is>
      </c>
      <c r="G514" t="n">
        <v>24.6</v>
      </c>
      <c r="H514" t="n">
        <v>0</v>
      </c>
      <c r="I514" t="n">
        <v>0</v>
      </c>
      <c r="J514" t="n">
        <v>0</v>
      </c>
      <c r="K514" t="n">
        <v>0</v>
      </c>
      <c r="L514" t="n">
        <v>0</v>
      </c>
      <c r="M514" t="n">
        <v>0</v>
      </c>
      <c r="N514" t="n">
        <v>0</v>
      </c>
      <c r="O514" t="n">
        <v>0</v>
      </c>
      <c r="P514" t="n">
        <v>0</v>
      </c>
      <c r="Q514" t="n">
        <v>0</v>
      </c>
      <c r="R514" s="2" t="inlineStr"/>
    </row>
    <row r="515" ht="15" customHeight="1">
      <c r="A515" t="inlineStr">
        <is>
          <t>A 32718-2025</t>
        </is>
      </c>
      <c r="B515" s="1" t="n">
        <v>45839.37740740741</v>
      </c>
      <c r="C515" s="1" t="n">
        <v>46110</v>
      </c>
      <c r="D515" t="inlineStr">
        <is>
          <t>UPPSALA LÄN</t>
        </is>
      </c>
      <c r="E515" t="inlineStr">
        <is>
          <t>ÖSTHAMMAR</t>
        </is>
      </c>
      <c r="G515" t="n">
        <v>10.4</v>
      </c>
      <c r="H515" t="n">
        <v>0</v>
      </c>
      <c r="I515" t="n">
        <v>0</v>
      </c>
      <c r="J515" t="n">
        <v>0</v>
      </c>
      <c r="K515" t="n">
        <v>0</v>
      </c>
      <c r="L515" t="n">
        <v>0</v>
      </c>
      <c r="M515" t="n">
        <v>0</v>
      </c>
      <c r="N515" t="n">
        <v>0</v>
      </c>
      <c r="O515" t="n">
        <v>0</v>
      </c>
      <c r="P515" t="n">
        <v>0</v>
      </c>
      <c r="Q515" t="n">
        <v>0</v>
      </c>
      <c r="R515" s="2" t="inlineStr"/>
    </row>
    <row r="516" ht="15" customHeight="1">
      <c r="A516" t="inlineStr">
        <is>
          <t>A 17085-2025</t>
        </is>
      </c>
      <c r="B516" s="1" t="n">
        <v>45755.64612268518</v>
      </c>
      <c r="C516" s="1" t="n">
        <v>46110</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55163-2025</t>
        </is>
      </c>
      <c r="B517" s="1" t="n">
        <v>45968.48032407407</v>
      </c>
      <c r="C517" s="1" t="n">
        <v>46110</v>
      </c>
      <c r="D517" t="inlineStr">
        <is>
          <t>UPPSALA LÄN</t>
        </is>
      </c>
      <c r="E517" t="inlineStr">
        <is>
          <t>ÖSTHAMMAR</t>
        </is>
      </c>
      <c r="G517" t="n">
        <v>1.8</v>
      </c>
      <c r="H517" t="n">
        <v>0</v>
      </c>
      <c r="I517" t="n">
        <v>0</v>
      </c>
      <c r="J517" t="n">
        <v>0</v>
      </c>
      <c r="K517" t="n">
        <v>0</v>
      </c>
      <c r="L517" t="n">
        <v>0</v>
      </c>
      <c r="M517" t="n">
        <v>0</v>
      </c>
      <c r="N517" t="n">
        <v>0</v>
      </c>
      <c r="O517" t="n">
        <v>0</v>
      </c>
      <c r="P517" t="n">
        <v>0</v>
      </c>
      <c r="Q517" t="n">
        <v>0</v>
      </c>
      <c r="R517" s="2" t="inlineStr"/>
    </row>
    <row r="518" ht="15" customHeight="1">
      <c r="A518" t="inlineStr">
        <is>
          <t>A 33529-2025</t>
        </is>
      </c>
      <c r="B518" s="1" t="n">
        <v>45841.55199074074</v>
      </c>
      <c r="C518" s="1" t="n">
        <v>46110</v>
      </c>
      <c r="D518" t="inlineStr">
        <is>
          <t>UPPSALA LÄN</t>
        </is>
      </c>
      <c r="E518" t="inlineStr">
        <is>
          <t>ÖSTHAMMAR</t>
        </is>
      </c>
      <c r="F518" t="inlineStr">
        <is>
          <t>Bergvik skog öst AB</t>
        </is>
      </c>
      <c r="G518" t="n">
        <v>11.8</v>
      </c>
      <c r="H518" t="n">
        <v>0</v>
      </c>
      <c r="I518" t="n">
        <v>0</v>
      </c>
      <c r="J518" t="n">
        <v>0</v>
      </c>
      <c r="K518" t="n">
        <v>0</v>
      </c>
      <c r="L518" t="n">
        <v>0</v>
      </c>
      <c r="M518" t="n">
        <v>0</v>
      </c>
      <c r="N518" t="n">
        <v>0</v>
      </c>
      <c r="O518" t="n">
        <v>0</v>
      </c>
      <c r="P518" t="n">
        <v>0</v>
      </c>
      <c r="Q518" t="n">
        <v>0</v>
      </c>
      <c r="R518" s="2" t="inlineStr"/>
    </row>
    <row r="519" ht="15" customHeight="1">
      <c r="A519" t="inlineStr">
        <is>
          <t>A 55298-2025</t>
        </is>
      </c>
      <c r="B519" s="1" t="n">
        <v>45969.76908564815</v>
      </c>
      <c r="C519" s="1" t="n">
        <v>46110</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32244-2021</t>
        </is>
      </c>
      <c r="B520" s="1" t="n">
        <v>44371.45335648148</v>
      </c>
      <c r="C520" s="1" t="n">
        <v>46110</v>
      </c>
      <c r="D520" t="inlineStr">
        <is>
          <t>UPPSALA LÄN</t>
        </is>
      </c>
      <c r="E520" t="inlineStr">
        <is>
          <t>ÖSTHAMMAR</t>
        </is>
      </c>
      <c r="F520" t="inlineStr">
        <is>
          <t>Bergvik skog öst AB</t>
        </is>
      </c>
      <c r="G520" t="n">
        <v>2.6</v>
      </c>
      <c r="H520" t="n">
        <v>0</v>
      </c>
      <c r="I520" t="n">
        <v>0</v>
      </c>
      <c r="J520" t="n">
        <v>0</v>
      </c>
      <c r="K520" t="n">
        <v>0</v>
      </c>
      <c r="L520" t="n">
        <v>0</v>
      </c>
      <c r="M520" t="n">
        <v>0</v>
      </c>
      <c r="N520" t="n">
        <v>0</v>
      </c>
      <c r="O520" t="n">
        <v>0</v>
      </c>
      <c r="P520" t="n">
        <v>0</v>
      </c>
      <c r="Q520" t="n">
        <v>0</v>
      </c>
      <c r="R520" s="2" t="inlineStr"/>
    </row>
    <row r="521" ht="15" customHeight="1">
      <c r="A521" t="inlineStr">
        <is>
          <t>A 33056-2021</t>
        </is>
      </c>
      <c r="B521" s="1" t="n">
        <v>44376.52438657408</v>
      </c>
      <c r="C521" s="1" t="n">
        <v>46110</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55798-2025</t>
        </is>
      </c>
      <c r="B522" s="1" t="n">
        <v>45972.66209490741</v>
      </c>
      <c r="C522" s="1" t="n">
        <v>46110</v>
      </c>
      <c r="D522" t="inlineStr">
        <is>
          <t>UPPSALA LÄN</t>
        </is>
      </c>
      <c r="E522" t="inlineStr">
        <is>
          <t>ÖSTHAMMAR</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4292-2025</t>
        </is>
      </c>
      <c r="B523" s="1" t="n">
        <v>45685.66459490741</v>
      </c>
      <c r="C523" s="1" t="n">
        <v>46110</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8592-2022</t>
        </is>
      </c>
      <c r="B524" s="1" t="n">
        <v>44613</v>
      </c>
      <c r="C524" s="1" t="n">
        <v>46110</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56582-2025</t>
        </is>
      </c>
      <c r="B525" s="1" t="n">
        <v>45975.54730324074</v>
      </c>
      <c r="C525" s="1" t="n">
        <v>46110</v>
      </c>
      <c r="D525" t="inlineStr">
        <is>
          <t>UPPSALA LÄN</t>
        </is>
      </c>
      <c r="E525" t="inlineStr">
        <is>
          <t>ÖSTHAMMAR</t>
        </is>
      </c>
      <c r="G525" t="n">
        <v>4.1</v>
      </c>
      <c r="H525" t="n">
        <v>0</v>
      </c>
      <c r="I525" t="n">
        <v>0</v>
      </c>
      <c r="J525" t="n">
        <v>0</v>
      </c>
      <c r="K525" t="n">
        <v>0</v>
      </c>
      <c r="L525" t="n">
        <v>0</v>
      </c>
      <c r="M525" t="n">
        <v>0</v>
      </c>
      <c r="N525" t="n">
        <v>0</v>
      </c>
      <c r="O525" t="n">
        <v>0</v>
      </c>
      <c r="P525" t="n">
        <v>0</v>
      </c>
      <c r="Q525" t="n">
        <v>0</v>
      </c>
      <c r="R525" s="2" t="inlineStr"/>
    </row>
    <row r="526" ht="15" customHeight="1">
      <c r="A526" t="inlineStr">
        <is>
          <t>A 56682-2025</t>
        </is>
      </c>
      <c r="B526" s="1" t="n">
        <v>45975</v>
      </c>
      <c r="C526" s="1" t="n">
        <v>46110</v>
      </c>
      <c r="D526" t="inlineStr">
        <is>
          <t>UPPSALA LÄN</t>
        </is>
      </c>
      <c r="E526" t="inlineStr">
        <is>
          <t>ÖSTHAMMAR</t>
        </is>
      </c>
      <c r="G526" t="n">
        <v>3.9</v>
      </c>
      <c r="H526" t="n">
        <v>0</v>
      </c>
      <c r="I526" t="n">
        <v>0</v>
      </c>
      <c r="J526" t="n">
        <v>0</v>
      </c>
      <c r="K526" t="n">
        <v>0</v>
      </c>
      <c r="L526" t="n">
        <v>0</v>
      </c>
      <c r="M526" t="n">
        <v>0</v>
      </c>
      <c r="N526" t="n">
        <v>0</v>
      </c>
      <c r="O526" t="n">
        <v>0</v>
      </c>
      <c r="P526" t="n">
        <v>0</v>
      </c>
      <c r="Q526" t="n">
        <v>0</v>
      </c>
      <c r="R526" s="2" t="inlineStr"/>
    </row>
    <row r="527" ht="15" customHeight="1">
      <c r="A527" t="inlineStr">
        <is>
          <t>A 33973-2025</t>
        </is>
      </c>
      <c r="B527" s="1" t="n">
        <v>45842.98429398148</v>
      </c>
      <c r="C527" s="1" t="n">
        <v>46110</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46110</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56658-2025</t>
        </is>
      </c>
      <c r="B529" s="1" t="n">
        <v>45975.65431712963</v>
      </c>
      <c r="C529" s="1" t="n">
        <v>46110</v>
      </c>
      <c r="D529" t="inlineStr">
        <is>
          <t>UPPSALA LÄN</t>
        </is>
      </c>
      <c r="E529" t="inlineStr">
        <is>
          <t>ÖSTHAMMAR</t>
        </is>
      </c>
      <c r="G529" t="n">
        <v>1.3</v>
      </c>
      <c r="H529" t="n">
        <v>0</v>
      </c>
      <c r="I529" t="n">
        <v>0</v>
      </c>
      <c r="J529" t="n">
        <v>0</v>
      </c>
      <c r="K529" t="n">
        <v>0</v>
      </c>
      <c r="L529" t="n">
        <v>0</v>
      </c>
      <c r="M529" t="n">
        <v>0</v>
      </c>
      <c r="N529" t="n">
        <v>0</v>
      </c>
      <c r="O529" t="n">
        <v>0</v>
      </c>
      <c r="P529" t="n">
        <v>0</v>
      </c>
      <c r="Q529" t="n">
        <v>0</v>
      </c>
      <c r="R529" s="2" t="inlineStr"/>
    </row>
    <row r="530" ht="15" customHeight="1">
      <c r="A530" t="inlineStr">
        <is>
          <t>A 56745-2025</t>
        </is>
      </c>
      <c r="B530" s="1" t="n">
        <v>45978.36157407407</v>
      </c>
      <c r="C530" s="1" t="n">
        <v>46110</v>
      </c>
      <c r="D530" t="inlineStr">
        <is>
          <t>UPPSALA LÄN</t>
        </is>
      </c>
      <c r="E530" t="inlineStr">
        <is>
          <t>ÖSTHAMMAR</t>
        </is>
      </c>
      <c r="G530" t="n">
        <v>2.6</v>
      </c>
      <c r="H530" t="n">
        <v>0</v>
      </c>
      <c r="I530" t="n">
        <v>0</v>
      </c>
      <c r="J530" t="n">
        <v>0</v>
      </c>
      <c r="K530" t="n">
        <v>0</v>
      </c>
      <c r="L530" t="n">
        <v>0</v>
      </c>
      <c r="M530" t="n">
        <v>0</v>
      </c>
      <c r="N530" t="n">
        <v>0</v>
      </c>
      <c r="O530" t="n">
        <v>0</v>
      </c>
      <c r="P530" t="n">
        <v>0</v>
      </c>
      <c r="Q530" t="n">
        <v>0</v>
      </c>
      <c r="R530" s="2" t="inlineStr"/>
    </row>
    <row r="531" ht="15" customHeight="1">
      <c r="A531" t="inlineStr">
        <is>
          <t>A 56942-2025</t>
        </is>
      </c>
      <c r="B531" s="1" t="n">
        <v>45978.62611111111</v>
      </c>
      <c r="C531" s="1" t="n">
        <v>46110</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33972-2025</t>
        </is>
      </c>
      <c r="B532" s="1" t="n">
        <v>45842.97236111111</v>
      </c>
      <c r="C532" s="1" t="n">
        <v>46110</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13472-2026</t>
        </is>
      </c>
      <c r="B533" s="1" t="n">
        <v>46094</v>
      </c>
      <c r="C533" s="1" t="n">
        <v>46110</v>
      </c>
      <c r="D533" t="inlineStr">
        <is>
          <t>UPPSALA LÄN</t>
        </is>
      </c>
      <c r="E533" t="inlineStr">
        <is>
          <t>ÖSTHAMMAR</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26395-2025</t>
        </is>
      </c>
      <c r="B534" s="1" t="n">
        <v>45807</v>
      </c>
      <c r="C534" s="1" t="n">
        <v>46110</v>
      </c>
      <c r="D534" t="inlineStr">
        <is>
          <t>UPPSALA LÄN</t>
        </is>
      </c>
      <c r="E534" t="inlineStr">
        <is>
          <t>ÖSTHAMMAR</t>
        </is>
      </c>
      <c r="G534" t="n">
        <v>7</v>
      </c>
      <c r="H534" t="n">
        <v>0</v>
      </c>
      <c r="I534" t="n">
        <v>0</v>
      </c>
      <c r="J534" t="n">
        <v>0</v>
      </c>
      <c r="K534" t="n">
        <v>0</v>
      </c>
      <c r="L534" t="n">
        <v>0</v>
      </c>
      <c r="M534" t="n">
        <v>0</v>
      </c>
      <c r="N534" t="n">
        <v>0</v>
      </c>
      <c r="O534" t="n">
        <v>0</v>
      </c>
      <c r="P534" t="n">
        <v>0</v>
      </c>
      <c r="Q534" t="n">
        <v>0</v>
      </c>
      <c r="R534" s="2" t="inlineStr"/>
    </row>
    <row r="535" ht="15" customHeight="1">
      <c r="A535" t="inlineStr">
        <is>
          <t>A 14030-2026</t>
        </is>
      </c>
      <c r="B535" s="1" t="n">
        <v>46098.77094907407</v>
      </c>
      <c r="C535" s="1" t="n">
        <v>46110</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6522-2026</t>
        </is>
      </c>
      <c r="B536" s="1" t="n">
        <v>46056.4025</v>
      </c>
      <c r="C536" s="1" t="n">
        <v>46110</v>
      </c>
      <c r="D536" t="inlineStr">
        <is>
          <t>UPPSALA LÄN</t>
        </is>
      </c>
      <c r="E536" t="inlineStr">
        <is>
          <t>ÖSTHAMMAR</t>
        </is>
      </c>
      <c r="F536" t="inlineStr">
        <is>
          <t>Bergvik skog öst AB</t>
        </is>
      </c>
      <c r="G536" t="n">
        <v>4.2</v>
      </c>
      <c r="H536" t="n">
        <v>0</v>
      </c>
      <c r="I536" t="n">
        <v>0</v>
      </c>
      <c r="J536" t="n">
        <v>0</v>
      </c>
      <c r="K536" t="n">
        <v>0</v>
      </c>
      <c r="L536" t="n">
        <v>0</v>
      </c>
      <c r="M536" t="n">
        <v>0</v>
      </c>
      <c r="N536" t="n">
        <v>0</v>
      </c>
      <c r="O536" t="n">
        <v>0</v>
      </c>
      <c r="P536" t="n">
        <v>0</v>
      </c>
      <c r="Q536" t="n">
        <v>0</v>
      </c>
      <c r="R536" s="2" t="inlineStr"/>
    </row>
    <row r="537" ht="15" customHeight="1">
      <c r="A537" t="inlineStr">
        <is>
          <t>A 6517-2026</t>
        </is>
      </c>
      <c r="B537" s="1" t="n">
        <v>46056.39921296296</v>
      </c>
      <c r="C537" s="1" t="n">
        <v>46110</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6635-2026</t>
        </is>
      </c>
      <c r="B538" s="1" t="n">
        <v>46056.52885416667</v>
      </c>
      <c r="C538" s="1" t="n">
        <v>46110</v>
      </c>
      <c r="D538" t="inlineStr">
        <is>
          <t>UPPSALA LÄN</t>
        </is>
      </c>
      <c r="E538" t="inlineStr">
        <is>
          <t>ÖSTHAMMAR</t>
        </is>
      </c>
      <c r="F538" t="inlineStr">
        <is>
          <t>Bergvik skog öst AB</t>
        </is>
      </c>
      <c r="G538" t="n">
        <v>4.3</v>
      </c>
      <c r="H538" t="n">
        <v>0</v>
      </c>
      <c r="I538" t="n">
        <v>0</v>
      </c>
      <c r="J538" t="n">
        <v>0</v>
      </c>
      <c r="K538" t="n">
        <v>0</v>
      </c>
      <c r="L538" t="n">
        <v>0</v>
      </c>
      <c r="M538" t="n">
        <v>0</v>
      </c>
      <c r="N538" t="n">
        <v>0</v>
      </c>
      <c r="O538" t="n">
        <v>0</v>
      </c>
      <c r="P538" t="n">
        <v>0</v>
      </c>
      <c r="Q538" t="n">
        <v>0</v>
      </c>
      <c r="R538" s="2" t="inlineStr"/>
    </row>
    <row r="539" ht="15" customHeight="1">
      <c r="A539" t="inlineStr">
        <is>
          <t>A 3119-2025</t>
        </is>
      </c>
      <c r="B539" s="1" t="n">
        <v>45678</v>
      </c>
      <c r="C539" s="1" t="n">
        <v>46110</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14007-2026</t>
        </is>
      </c>
      <c r="B540" s="1" t="n">
        <v>46098.65329861111</v>
      </c>
      <c r="C540" s="1" t="n">
        <v>46110</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6511-2026</t>
        </is>
      </c>
      <c r="B541" s="1" t="n">
        <v>46056.38925925926</v>
      </c>
      <c r="C541" s="1" t="n">
        <v>46110</v>
      </c>
      <c r="D541" t="inlineStr">
        <is>
          <t>UPPSALA LÄN</t>
        </is>
      </c>
      <c r="E541" t="inlineStr">
        <is>
          <t>ÖSTHAMMAR</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17646-2025</t>
        </is>
      </c>
      <c r="B542" s="1" t="n">
        <v>45758.32872685185</v>
      </c>
      <c r="C542" s="1" t="n">
        <v>46110</v>
      </c>
      <c r="D542" t="inlineStr">
        <is>
          <t>UPPSALA LÄN</t>
        </is>
      </c>
      <c r="E542" t="inlineStr">
        <is>
          <t>ÖSTHAMMAR</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17648-2025</t>
        </is>
      </c>
      <c r="B543" s="1" t="n">
        <v>45758.33064814815</v>
      </c>
      <c r="C543" s="1" t="n">
        <v>46110</v>
      </c>
      <c r="D543" t="inlineStr">
        <is>
          <t>UPPSALA LÄN</t>
        </is>
      </c>
      <c r="E543" t="inlineStr">
        <is>
          <t>ÖSTHAMMAR</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14031-2026</t>
        </is>
      </c>
      <c r="B544" s="1" t="n">
        <v>46098.77274305555</v>
      </c>
      <c r="C544" s="1" t="n">
        <v>46110</v>
      </c>
      <c r="D544" t="inlineStr">
        <is>
          <t>UPPSALA LÄN</t>
        </is>
      </c>
      <c r="E544" t="inlineStr">
        <is>
          <t>ÖSTHAMMAR</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14006-2026</t>
        </is>
      </c>
      <c r="B545" s="1" t="n">
        <v>46098.65136574074</v>
      </c>
      <c r="C545" s="1" t="n">
        <v>46110</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6712-2026</t>
        </is>
      </c>
      <c r="B546" s="1" t="n">
        <v>46056.65564814815</v>
      </c>
      <c r="C546" s="1" t="n">
        <v>46110</v>
      </c>
      <c r="D546" t="inlineStr">
        <is>
          <t>UPPSALA LÄN</t>
        </is>
      </c>
      <c r="E546" t="inlineStr">
        <is>
          <t>ÖSTHAMMAR</t>
        </is>
      </c>
      <c r="F546" t="inlineStr">
        <is>
          <t>Bergvik skog öst AB</t>
        </is>
      </c>
      <c r="G546" t="n">
        <v>5</v>
      </c>
      <c r="H546" t="n">
        <v>0</v>
      </c>
      <c r="I546" t="n">
        <v>0</v>
      </c>
      <c r="J546" t="n">
        <v>0</v>
      </c>
      <c r="K546" t="n">
        <v>0</v>
      </c>
      <c r="L546" t="n">
        <v>0</v>
      </c>
      <c r="M546" t="n">
        <v>0</v>
      </c>
      <c r="N546" t="n">
        <v>0</v>
      </c>
      <c r="O546" t="n">
        <v>0</v>
      </c>
      <c r="P546" t="n">
        <v>0</v>
      </c>
      <c r="Q546" t="n">
        <v>0</v>
      </c>
      <c r="R546" s="2" t="inlineStr"/>
    </row>
    <row r="547" ht="15" customHeight="1">
      <c r="A547" t="inlineStr">
        <is>
          <t>A 10117-2025</t>
        </is>
      </c>
      <c r="B547" s="1" t="n">
        <v>45719.59866898148</v>
      </c>
      <c r="C547" s="1" t="n">
        <v>46110</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60047-2021</t>
        </is>
      </c>
      <c r="B548" s="1" t="n">
        <v>44495</v>
      </c>
      <c r="C548" s="1" t="n">
        <v>46110</v>
      </c>
      <c r="D548" t="inlineStr">
        <is>
          <t>UPPSALA LÄN</t>
        </is>
      </c>
      <c r="E548" t="inlineStr">
        <is>
          <t>ÖSTHAMMAR</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13703-2026</t>
        </is>
      </c>
      <c r="B549" s="1" t="n">
        <v>46097.56766203704</v>
      </c>
      <c r="C549" s="1" t="n">
        <v>46110</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18401-2025</t>
        </is>
      </c>
      <c r="B550" s="1" t="n">
        <v>45762.5966087963</v>
      </c>
      <c r="C550" s="1" t="n">
        <v>46110</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6238-2026</t>
        </is>
      </c>
      <c r="B551" s="1" t="n">
        <v>46055.45547453704</v>
      </c>
      <c r="C551" s="1" t="n">
        <v>46110</v>
      </c>
      <c r="D551" t="inlineStr">
        <is>
          <t>UPPSALA LÄN</t>
        </is>
      </c>
      <c r="E551" t="inlineStr">
        <is>
          <t>ÖSTHAMMAR</t>
        </is>
      </c>
      <c r="F551" t="inlineStr">
        <is>
          <t>Övriga Aktiebolag</t>
        </is>
      </c>
      <c r="G551" t="n">
        <v>26.7</v>
      </c>
      <c r="H551" t="n">
        <v>0</v>
      </c>
      <c r="I551" t="n">
        <v>0</v>
      </c>
      <c r="J551" t="n">
        <v>0</v>
      </c>
      <c r="K551" t="n">
        <v>0</v>
      </c>
      <c r="L551" t="n">
        <v>0</v>
      </c>
      <c r="M551" t="n">
        <v>0</v>
      </c>
      <c r="N551" t="n">
        <v>0</v>
      </c>
      <c r="O551" t="n">
        <v>0</v>
      </c>
      <c r="P551" t="n">
        <v>0</v>
      </c>
      <c r="Q551" t="n">
        <v>0</v>
      </c>
      <c r="R551" s="2" t="inlineStr"/>
    </row>
    <row r="552" ht="15" customHeight="1">
      <c r="A552" t="inlineStr">
        <is>
          <t>A 30086-2023</t>
        </is>
      </c>
      <c r="B552" s="1" t="n">
        <v>45110.43907407407</v>
      </c>
      <c r="C552" s="1" t="n">
        <v>46110</v>
      </c>
      <c r="D552" t="inlineStr">
        <is>
          <t>UPPSALA LÄN</t>
        </is>
      </c>
      <c r="E552" t="inlineStr">
        <is>
          <t>ÖSTHAMMAR</t>
        </is>
      </c>
      <c r="G552" t="n">
        <v>3.5</v>
      </c>
      <c r="H552" t="n">
        <v>0</v>
      </c>
      <c r="I552" t="n">
        <v>0</v>
      </c>
      <c r="J552" t="n">
        <v>0</v>
      </c>
      <c r="K552" t="n">
        <v>0</v>
      </c>
      <c r="L552" t="n">
        <v>0</v>
      </c>
      <c r="M552" t="n">
        <v>0</v>
      </c>
      <c r="N552" t="n">
        <v>0</v>
      </c>
      <c r="O552" t="n">
        <v>0</v>
      </c>
      <c r="P552" t="n">
        <v>0</v>
      </c>
      <c r="Q552" t="n">
        <v>0</v>
      </c>
      <c r="R552" s="2" t="inlineStr"/>
    </row>
    <row r="553" ht="15" customHeight="1">
      <c r="A553" t="inlineStr">
        <is>
          <t>A 7241-2026</t>
        </is>
      </c>
      <c r="B553" s="1" t="n">
        <v>46058.58392361111</v>
      </c>
      <c r="C553" s="1" t="n">
        <v>46110</v>
      </c>
      <c r="D553" t="inlineStr">
        <is>
          <t>UPPSALA LÄN</t>
        </is>
      </c>
      <c r="E553" t="inlineStr">
        <is>
          <t>ÖSTHAMMAR</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7262-2026</t>
        </is>
      </c>
      <c r="B554" s="1" t="n">
        <v>46058.6049537037</v>
      </c>
      <c r="C554" s="1" t="n">
        <v>46110</v>
      </c>
      <c r="D554" t="inlineStr">
        <is>
          <t>UPPSALA LÄN</t>
        </is>
      </c>
      <c r="E554" t="inlineStr">
        <is>
          <t>ÖSTHAMMAR</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25859-2024</t>
        </is>
      </c>
      <c r="B555" s="1" t="n">
        <v>45467</v>
      </c>
      <c r="C555" s="1" t="n">
        <v>46110</v>
      </c>
      <c r="D555" t="inlineStr">
        <is>
          <t>UPPSALA LÄN</t>
        </is>
      </c>
      <c r="E555" t="inlineStr">
        <is>
          <t>ÖSTHAMMAR</t>
        </is>
      </c>
      <c r="G555" t="n">
        <v>7.9</v>
      </c>
      <c r="H555" t="n">
        <v>0</v>
      </c>
      <c r="I555" t="n">
        <v>0</v>
      </c>
      <c r="J555" t="n">
        <v>0</v>
      </c>
      <c r="K555" t="n">
        <v>0</v>
      </c>
      <c r="L555" t="n">
        <v>0</v>
      </c>
      <c r="M555" t="n">
        <v>0</v>
      </c>
      <c r="N555" t="n">
        <v>0</v>
      </c>
      <c r="O555" t="n">
        <v>0</v>
      </c>
      <c r="P555" t="n">
        <v>0</v>
      </c>
      <c r="Q555" t="n">
        <v>0</v>
      </c>
      <c r="R555" s="2" t="inlineStr"/>
    </row>
    <row r="556" ht="15" customHeight="1">
      <c r="A556" t="inlineStr">
        <is>
          <t>A 19640-2025</t>
        </is>
      </c>
      <c r="B556" s="1" t="n">
        <v>45770.65739583333</v>
      </c>
      <c r="C556" s="1" t="n">
        <v>46110</v>
      </c>
      <c r="D556" t="inlineStr">
        <is>
          <t>UPPSALA LÄN</t>
        </is>
      </c>
      <c r="E556" t="inlineStr">
        <is>
          <t>ÖSTHAMMAR</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14378-2026</t>
        </is>
      </c>
      <c r="B557" s="1" t="n">
        <v>46100.37180555556</v>
      </c>
      <c r="C557" s="1" t="n">
        <v>46110</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11008-2023</t>
        </is>
      </c>
      <c r="B558" s="1" t="n">
        <v>44991</v>
      </c>
      <c r="C558" s="1" t="n">
        <v>46110</v>
      </c>
      <c r="D558" t="inlineStr">
        <is>
          <t>UPPSALA LÄN</t>
        </is>
      </c>
      <c r="E558" t="inlineStr">
        <is>
          <t>ÖSTHAMMAR</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6884-2026</t>
        </is>
      </c>
      <c r="B559" s="1" t="n">
        <v>46057.46614583334</v>
      </c>
      <c r="C559" s="1" t="n">
        <v>46110</v>
      </c>
      <c r="D559" t="inlineStr">
        <is>
          <t>UPPSALA LÄN</t>
        </is>
      </c>
      <c r="E559" t="inlineStr">
        <is>
          <t>ÖSTHAMMAR</t>
        </is>
      </c>
      <c r="G559" t="n">
        <v>4.1</v>
      </c>
      <c r="H559" t="n">
        <v>0</v>
      </c>
      <c r="I559" t="n">
        <v>0</v>
      </c>
      <c r="J559" t="n">
        <v>0</v>
      </c>
      <c r="K559" t="n">
        <v>0</v>
      </c>
      <c r="L559" t="n">
        <v>0</v>
      </c>
      <c r="M559" t="n">
        <v>0</v>
      </c>
      <c r="N559" t="n">
        <v>0</v>
      </c>
      <c r="O559" t="n">
        <v>0</v>
      </c>
      <c r="P559" t="n">
        <v>0</v>
      </c>
      <c r="Q559" t="n">
        <v>0</v>
      </c>
      <c r="R559" s="2" t="inlineStr"/>
    </row>
    <row r="560" ht="15" customHeight="1">
      <c r="A560" t="inlineStr">
        <is>
          <t>A 6762-2026</t>
        </is>
      </c>
      <c r="B560" s="1" t="n">
        <v>46056.85776620371</v>
      </c>
      <c r="C560" s="1" t="n">
        <v>46110</v>
      </c>
      <c r="D560" t="inlineStr">
        <is>
          <t>UPPSALA LÄN</t>
        </is>
      </c>
      <c r="E560" t="inlineStr">
        <is>
          <t>ÖSTHAMMAR</t>
        </is>
      </c>
      <c r="G560" t="n">
        <v>1.6</v>
      </c>
      <c r="H560" t="n">
        <v>0</v>
      </c>
      <c r="I560" t="n">
        <v>0</v>
      </c>
      <c r="J560" t="n">
        <v>0</v>
      </c>
      <c r="K560" t="n">
        <v>0</v>
      </c>
      <c r="L560" t="n">
        <v>0</v>
      </c>
      <c r="M560" t="n">
        <v>0</v>
      </c>
      <c r="N560" t="n">
        <v>0</v>
      </c>
      <c r="O560" t="n">
        <v>0</v>
      </c>
      <c r="P560" t="n">
        <v>0</v>
      </c>
      <c r="Q560" t="n">
        <v>0</v>
      </c>
      <c r="R560" s="2" t="inlineStr"/>
    </row>
    <row r="561" ht="15" customHeight="1">
      <c r="A561" t="inlineStr">
        <is>
          <t>A 13771-2023</t>
        </is>
      </c>
      <c r="B561" s="1" t="n">
        <v>45007</v>
      </c>
      <c r="C561" s="1" t="n">
        <v>46110</v>
      </c>
      <c r="D561" t="inlineStr">
        <is>
          <t>UPPSALA LÄN</t>
        </is>
      </c>
      <c r="E561" t="inlineStr">
        <is>
          <t>ÖSTHAMMAR</t>
        </is>
      </c>
      <c r="G561" t="n">
        <v>2.7</v>
      </c>
      <c r="H561" t="n">
        <v>0</v>
      </c>
      <c r="I561" t="n">
        <v>0</v>
      </c>
      <c r="J561" t="n">
        <v>0</v>
      </c>
      <c r="K561" t="n">
        <v>0</v>
      </c>
      <c r="L561" t="n">
        <v>0</v>
      </c>
      <c r="M561" t="n">
        <v>0</v>
      </c>
      <c r="N561" t="n">
        <v>0</v>
      </c>
      <c r="O561" t="n">
        <v>0</v>
      </c>
      <c r="P561" t="n">
        <v>0</v>
      </c>
      <c r="Q561" t="n">
        <v>0</v>
      </c>
      <c r="R561" s="2" t="inlineStr"/>
    </row>
    <row r="562" ht="15" customHeight="1">
      <c r="A562" t="inlineStr">
        <is>
          <t>A 7855-2026</t>
        </is>
      </c>
      <c r="B562" s="1" t="n">
        <v>46062.67241898148</v>
      </c>
      <c r="C562" s="1" t="n">
        <v>46110</v>
      </c>
      <c r="D562" t="inlineStr">
        <is>
          <t>UPPSALA LÄN</t>
        </is>
      </c>
      <c r="E562" t="inlineStr">
        <is>
          <t>ÖSTHAMMAR</t>
        </is>
      </c>
      <c r="G562" t="n">
        <v>3.8</v>
      </c>
      <c r="H562" t="n">
        <v>0</v>
      </c>
      <c r="I562" t="n">
        <v>0</v>
      </c>
      <c r="J562" t="n">
        <v>0</v>
      </c>
      <c r="K562" t="n">
        <v>0</v>
      </c>
      <c r="L562" t="n">
        <v>0</v>
      </c>
      <c r="M562" t="n">
        <v>0</v>
      </c>
      <c r="N562" t="n">
        <v>0</v>
      </c>
      <c r="O562" t="n">
        <v>0</v>
      </c>
      <c r="P562" t="n">
        <v>0</v>
      </c>
      <c r="Q562" t="n">
        <v>0</v>
      </c>
      <c r="R562" s="2" t="inlineStr"/>
    </row>
    <row r="563" ht="15" customHeight="1">
      <c r="A563" t="inlineStr">
        <is>
          <t>A 17929-2025</t>
        </is>
      </c>
      <c r="B563" s="1" t="n">
        <v>45759.56462962963</v>
      </c>
      <c r="C563" s="1" t="n">
        <v>46110</v>
      </c>
      <c r="D563" t="inlineStr">
        <is>
          <t>UPPSALA LÄN</t>
        </is>
      </c>
      <c r="E563" t="inlineStr">
        <is>
          <t>ÖSTHAMMAR</t>
        </is>
      </c>
      <c r="G563" t="n">
        <v>3.4</v>
      </c>
      <c r="H563" t="n">
        <v>0</v>
      </c>
      <c r="I563" t="n">
        <v>0</v>
      </c>
      <c r="J563" t="n">
        <v>0</v>
      </c>
      <c r="K563" t="n">
        <v>0</v>
      </c>
      <c r="L563" t="n">
        <v>0</v>
      </c>
      <c r="M563" t="n">
        <v>0</v>
      </c>
      <c r="N563" t="n">
        <v>0</v>
      </c>
      <c r="O563" t="n">
        <v>0</v>
      </c>
      <c r="P563" t="n">
        <v>0</v>
      </c>
      <c r="Q563" t="n">
        <v>0</v>
      </c>
      <c r="R563" s="2" t="inlineStr"/>
    </row>
    <row r="564" ht="15" customHeight="1">
      <c r="A564" t="inlineStr">
        <is>
          <t>A 14989-2026</t>
        </is>
      </c>
      <c r="B564" s="1" t="n">
        <v>46104.58371527777</v>
      </c>
      <c r="C564" s="1" t="n">
        <v>46110</v>
      </c>
      <c r="D564" t="inlineStr">
        <is>
          <t>UPPSALA LÄN</t>
        </is>
      </c>
      <c r="E564" t="inlineStr">
        <is>
          <t>ÖSTHAMMAR</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36092-2025</t>
        </is>
      </c>
      <c r="B565" s="1" t="n">
        <v>45866.48244212963</v>
      </c>
      <c r="C565" s="1" t="n">
        <v>46110</v>
      </c>
      <c r="D565" t="inlineStr">
        <is>
          <t>UPPSALA LÄN</t>
        </is>
      </c>
      <c r="E565" t="inlineStr">
        <is>
          <t>ÖSTHAMMAR</t>
        </is>
      </c>
      <c r="G565" t="n">
        <v>1.2</v>
      </c>
      <c r="H565" t="n">
        <v>0</v>
      </c>
      <c r="I565" t="n">
        <v>0</v>
      </c>
      <c r="J565" t="n">
        <v>0</v>
      </c>
      <c r="K565" t="n">
        <v>0</v>
      </c>
      <c r="L565" t="n">
        <v>0</v>
      </c>
      <c r="M565" t="n">
        <v>0</v>
      </c>
      <c r="N565" t="n">
        <v>0</v>
      </c>
      <c r="O565" t="n">
        <v>0</v>
      </c>
      <c r="P565" t="n">
        <v>0</v>
      </c>
      <c r="Q565" t="n">
        <v>0</v>
      </c>
      <c r="R565" s="2" t="inlineStr"/>
    </row>
    <row r="566" ht="15" customHeight="1">
      <c r="A566" t="inlineStr">
        <is>
          <t>A 14618-2026</t>
        </is>
      </c>
      <c r="B566" s="1" t="n">
        <v>46101.38355324074</v>
      </c>
      <c r="C566" s="1" t="n">
        <v>46110</v>
      </c>
      <c r="D566" t="inlineStr">
        <is>
          <t>UPPSALA LÄN</t>
        </is>
      </c>
      <c r="E566" t="inlineStr">
        <is>
          <t>ÖSTHAMMAR</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58324-2023</t>
        </is>
      </c>
      <c r="B567" s="1" t="n">
        <v>45250.58635416667</v>
      </c>
      <c r="C567" s="1" t="n">
        <v>46110</v>
      </c>
      <c r="D567" t="inlineStr">
        <is>
          <t>UPPSALA LÄN</t>
        </is>
      </c>
      <c r="E567" t="inlineStr">
        <is>
          <t>ÖSTHAMMAR</t>
        </is>
      </c>
      <c r="G567" t="n">
        <v>5.1</v>
      </c>
      <c r="H567" t="n">
        <v>0</v>
      </c>
      <c r="I567" t="n">
        <v>0</v>
      </c>
      <c r="J567" t="n">
        <v>0</v>
      </c>
      <c r="K567" t="n">
        <v>0</v>
      </c>
      <c r="L567" t="n">
        <v>0</v>
      </c>
      <c r="M567" t="n">
        <v>0</v>
      </c>
      <c r="N567" t="n">
        <v>0</v>
      </c>
      <c r="O567" t="n">
        <v>0</v>
      </c>
      <c r="P567" t="n">
        <v>0</v>
      </c>
      <c r="Q567" t="n">
        <v>0</v>
      </c>
      <c r="R567" s="2" t="inlineStr"/>
    </row>
    <row r="568" ht="15" customHeight="1">
      <c r="A568" t="inlineStr">
        <is>
          <t>A 14878-2026</t>
        </is>
      </c>
      <c r="B568" s="1" t="n">
        <v>46104.44351851852</v>
      </c>
      <c r="C568" s="1" t="n">
        <v>46110</v>
      </c>
      <c r="D568" t="inlineStr">
        <is>
          <t>UPPSALA LÄN</t>
        </is>
      </c>
      <c r="E568" t="inlineStr">
        <is>
          <t>ÖSTHAMMAR</t>
        </is>
      </c>
      <c r="F568" t="inlineStr">
        <is>
          <t>Övriga Aktiebolag</t>
        </is>
      </c>
      <c r="G568" t="n">
        <v>1.3</v>
      </c>
      <c r="H568" t="n">
        <v>0</v>
      </c>
      <c r="I568" t="n">
        <v>0</v>
      </c>
      <c r="J568" t="n">
        <v>0</v>
      </c>
      <c r="K568" t="n">
        <v>0</v>
      </c>
      <c r="L568" t="n">
        <v>0</v>
      </c>
      <c r="M568" t="n">
        <v>0</v>
      </c>
      <c r="N568" t="n">
        <v>0</v>
      </c>
      <c r="O568" t="n">
        <v>0</v>
      </c>
      <c r="P568" t="n">
        <v>0</v>
      </c>
      <c r="Q568" t="n">
        <v>0</v>
      </c>
      <c r="R568" s="2" t="inlineStr"/>
    </row>
    <row r="569" ht="15" customHeight="1">
      <c r="A569" t="inlineStr">
        <is>
          <t>A 15006-2026</t>
        </is>
      </c>
      <c r="B569" s="1" t="n">
        <v>46104.6130324074</v>
      </c>
      <c r="C569" s="1" t="n">
        <v>46110</v>
      </c>
      <c r="D569" t="inlineStr">
        <is>
          <t>UPPSALA LÄN</t>
        </is>
      </c>
      <c r="E569" t="inlineStr">
        <is>
          <t>ÖSTHAMMAR</t>
        </is>
      </c>
      <c r="G569" t="n">
        <v>2.1</v>
      </c>
      <c r="H569" t="n">
        <v>0</v>
      </c>
      <c r="I569" t="n">
        <v>0</v>
      </c>
      <c r="J569" t="n">
        <v>0</v>
      </c>
      <c r="K569" t="n">
        <v>0</v>
      </c>
      <c r="L569" t="n">
        <v>0</v>
      </c>
      <c r="M569" t="n">
        <v>0</v>
      </c>
      <c r="N569" t="n">
        <v>0</v>
      </c>
      <c r="O569" t="n">
        <v>0</v>
      </c>
      <c r="P569" t="n">
        <v>0</v>
      </c>
      <c r="Q569" t="n">
        <v>0</v>
      </c>
      <c r="R569" s="2" t="inlineStr"/>
    </row>
    <row r="570" ht="15" customHeight="1">
      <c r="A570" t="inlineStr">
        <is>
          <t>A 14986-2026</t>
        </is>
      </c>
      <c r="B570" s="1" t="n">
        <v>46104.5802662037</v>
      </c>
      <c r="C570" s="1" t="n">
        <v>46110</v>
      </c>
      <c r="D570" t="inlineStr">
        <is>
          <t>UPPSALA LÄN</t>
        </is>
      </c>
      <c r="E570" t="inlineStr">
        <is>
          <t>ÖSTHAMMAR</t>
        </is>
      </c>
      <c r="F570" t="inlineStr">
        <is>
          <t>Övriga Aktiebolag</t>
        </is>
      </c>
      <c r="G570" t="n">
        <v>4.4</v>
      </c>
      <c r="H570" t="n">
        <v>0</v>
      </c>
      <c r="I570" t="n">
        <v>0</v>
      </c>
      <c r="J570" t="n">
        <v>0</v>
      </c>
      <c r="K570" t="n">
        <v>0</v>
      </c>
      <c r="L570" t="n">
        <v>0</v>
      </c>
      <c r="M570" t="n">
        <v>0</v>
      </c>
      <c r="N570" t="n">
        <v>0</v>
      </c>
      <c r="O570" t="n">
        <v>0</v>
      </c>
      <c r="P570" t="n">
        <v>0</v>
      </c>
      <c r="Q570" t="n">
        <v>0</v>
      </c>
      <c r="R570" s="2" t="inlineStr"/>
    </row>
    <row r="571" ht="15" customHeight="1">
      <c r="A571" t="inlineStr">
        <is>
          <t>A 69411-2021</t>
        </is>
      </c>
      <c r="B571" s="1" t="n">
        <v>44531.61038194445</v>
      </c>
      <c r="C571" s="1" t="n">
        <v>46110</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36451-2025</t>
        </is>
      </c>
      <c r="B572" s="1" t="n">
        <v>45869.4290625</v>
      </c>
      <c r="C572" s="1" t="n">
        <v>46110</v>
      </c>
      <c r="D572" t="inlineStr">
        <is>
          <t>UPPSALA LÄN</t>
        </is>
      </c>
      <c r="E572" t="inlineStr">
        <is>
          <t>ÖSTHAMMAR</t>
        </is>
      </c>
      <c r="G572" t="n">
        <v>0.8</v>
      </c>
      <c r="H572" t="n">
        <v>0</v>
      </c>
      <c r="I572" t="n">
        <v>0</v>
      </c>
      <c r="J572" t="n">
        <v>0</v>
      </c>
      <c r="K572" t="n">
        <v>0</v>
      </c>
      <c r="L572" t="n">
        <v>0</v>
      </c>
      <c r="M572" t="n">
        <v>0</v>
      </c>
      <c r="N572" t="n">
        <v>0</v>
      </c>
      <c r="O572" t="n">
        <v>0</v>
      </c>
      <c r="P572" t="n">
        <v>0</v>
      </c>
      <c r="Q572" t="n">
        <v>0</v>
      </c>
      <c r="R572" s="2" t="inlineStr"/>
    </row>
    <row r="573" ht="15" customHeight="1">
      <c r="A573" t="inlineStr">
        <is>
          <t>A 49831-2023</t>
        </is>
      </c>
      <c r="B573" s="1" t="n">
        <v>45212.71241898148</v>
      </c>
      <c r="C573" s="1" t="n">
        <v>46110</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49899-2023</t>
        </is>
      </c>
      <c r="B574" s="1" t="n">
        <v>45213</v>
      </c>
      <c r="C574" s="1" t="n">
        <v>46110</v>
      </c>
      <c r="D574" t="inlineStr">
        <is>
          <t>UPPSALA LÄN</t>
        </is>
      </c>
      <c r="E574" t="inlineStr">
        <is>
          <t>ÖSTHAMMAR</t>
        </is>
      </c>
      <c r="G574" t="n">
        <v>6.2</v>
      </c>
      <c r="H574" t="n">
        <v>0</v>
      </c>
      <c r="I574" t="n">
        <v>0</v>
      </c>
      <c r="J574" t="n">
        <v>0</v>
      </c>
      <c r="K574" t="n">
        <v>0</v>
      </c>
      <c r="L574" t="n">
        <v>0</v>
      </c>
      <c r="M574" t="n">
        <v>0</v>
      </c>
      <c r="N574" t="n">
        <v>0</v>
      </c>
      <c r="O574" t="n">
        <v>0</v>
      </c>
      <c r="P574" t="n">
        <v>0</v>
      </c>
      <c r="Q574" t="n">
        <v>0</v>
      </c>
      <c r="R574" s="2" t="inlineStr"/>
    </row>
    <row r="575" ht="15" customHeight="1">
      <c r="A575" t="inlineStr">
        <is>
          <t>A 17939-2025</t>
        </is>
      </c>
      <c r="B575" s="1" t="n">
        <v>45760.55671296296</v>
      </c>
      <c r="C575" s="1" t="n">
        <v>46110</v>
      </c>
      <c r="D575" t="inlineStr">
        <is>
          <t>UPPSALA LÄN</t>
        </is>
      </c>
      <c r="E575" t="inlineStr">
        <is>
          <t>ÖSTHAMMAR</t>
        </is>
      </c>
      <c r="F575" t="inlineStr">
        <is>
          <t>Bergvik skog öst AB</t>
        </is>
      </c>
      <c r="G575" t="n">
        <v>5.4</v>
      </c>
      <c r="H575" t="n">
        <v>0</v>
      </c>
      <c r="I575" t="n">
        <v>0</v>
      </c>
      <c r="J575" t="n">
        <v>0</v>
      </c>
      <c r="K575" t="n">
        <v>0</v>
      </c>
      <c r="L575" t="n">
        <v>0</v>
      </c>
      <c r="M575" t="n">
        <v>0</v>
      </c>
      <c r="N575" t="n">
        <v>0</v>
      </c>
      <c r="O575" t="n">
        <v>0</v>
      </c>
      <c r="P575" t="n">
        <v>0</v>
      </c>
      <c r="Q575" t="n">
        <v>0</v>
      </c>
      <c r="R575" s="2" t="inlineStr"/>
    </row>
    <row r="576" ht="15" customHeight="1">
      <c r="A576" t="inlineStr">
        <is>
          <t>A 17940-2025</t>
        </is>
      </c>
      <c r="B576" s="1" t="n">
        <v>45760.55842592593</v>
      </c>
      <c r="C576" s="1" t="n">
        <v>46110</v>
      </c>
      <c r="D576" t="inlineStr">
        <is>
          <t>UPPSALA LÄN</t>
        </is>
      </c>
      <c r="E576" t="inlineStr">
        <is>
          <t>ÖSTHAMMAR</t>
        </is>
      </c>
      <c r="F576" t="inlineStr">
        <is>
          <t>Bergvik skog öst AB</t>
        </is>
      </c>
      <c r="G576" t="n">
        <v>5.6</v>
      </c>
      <c r="H576" t="n">
        <v>0</v>
      </c>
      <c r="I576" t="n">
        <v>0</v>
      </c>
      <c r="J576" t="n">
        <v>0</v>
      </c>
      <c r="K576" t="n">
        <v>0</v>
      </c>
      <c r="L576" t="n">
        <v>0</v>
      </c>
      <c r="M576" t="n">
        <v>0</v>
      </c>
      <c r="N576" t="n">
        <v>0</v>
      </c>
      <c r="O576" t="n">
        <v>0</v>
      </c>
      <c r="P576" t="n">
        <v>0</v>
      </c>
      <c r="Q576" t="n">
        <v>0</v>
      </c>
      <c r="R576" s="2" t="inlineStr"/>
    </row>
    <row r="577" ht="15" customHeight="1">
      <c r="A577" t="inlineStr">
        <is>
          <t>A 8291-2026</t>
        </is>
      </c>
      <c r="B577" s="1" t="n">
        <v>46064.56945601852</v>
      </c>
      <c r="C577" s="1" t="n">
        <v>46110</v>
      </c>
      <c r="D577" t="inlineStr">
        <is>
          <t>UPPSALA LÄN</t>
        </is>
      </c>
      <c r="E577" t="inlineStr">
        <is>
          <t>ÖSTHAMMAR</t>
        </is>
      </c>
      <c r="G577" t="n">
        <v>4.5</v>
      </c>
      <c r="H577" t="n">
        <v>0</v>
      </c>
      <c r="I577" t="n">
        <v>0</v>
      </c>
      <c r="J577" t="n">
        <v>0</v>
      </c>
      <c r="K577" t="n">
        <v>0</v>
      </c>
      <c r="L577" t="n">
        <v>0</v>
      </c>
      <c r="M577" t="n">
        <v>0</v>
      </c>
      <c r="N577" t="n">
        <v>0</v>
      </c>
      <c r="O577" t="n">
        <v>0</v>
      </c>
      <c r="P577" t="n">
        <v>0</v>
      </c>
      <c r="Q577" t="n">
        <v>0</v>
      </c>
      <c r="R577" s="2" t="inlineStr"/>
    </row>
    <row r="578" ht="15" customHeight="1">
      <c r="A578" t="inlineStr">
        <is>
          <t>A 15475-2026</t>
        </is>
      </c>
      <c r="B578" s="1" t="n">
        <v>46106.43859953704</v>
      </c>
      <c r="C578" s="1" t="n">
        <v>46110</v>
      </c>
      <c r="D578" t="inlineStr">
        <is>
          <t>UPPSALA LÄN</t>
        </is>
      </c>
      <c r="E578" t="inlineStr">
        <is>
          <t>ÖSTHAMMAR</t>
        </is>
      </c>
      <c r="G578" t="n">
        <v>2.4</v>
      </c>
      <c r="H578" t="n">
        <v>0</v>
      </c>
      <c r="I578" t="n">
        <v>0</v>
      </c>
      <c r="J578" t="n">
        <v>0</v>
      </c>
      <c r="K578" t="n">
        <v>0</v>
      </c>
      <c r="L578" t="n">
        <v>0</v>
      </c>
      <c r="M578" t="n">
        <v>0</v>
      </c>
      <c r="N578" t="n">
        <v>0</v>
      </c>
      <c r="O578" t="n">
        <v>0</v>
      </c>
      <c r="P578" t="n">
        <v>0</v>
      </c>
      <c r="Q578" t="n">
        <v>0</v>
      </c>
      <c r="R578" s="2" t="inlineStr"/>
    </row>
    <row r="579" ht="15" customHeight="1">
      <c r="A579" t="inlineStr">
        <is>
          <t>A 8269-2026</t>
        </is>
      </c>
      <c r="B579" s="1" t="n">
        <v>46064.54721064815</v>
      </c>
      <c r="C579" s="1" t="n">
        <v>46110</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8086-2026</t>
        </is>
      </c>
      <c r="B580" s="1" t="n">
        <v>46063.70094907407</v>
      </c>
      <c r="C580" s="1" t="n">
        <v>46110</v>
      </c>
      <c r="D580" t="inlineStr">
        <is>
          <t>UPPSALA LÄN</t>
        </is>
      </c>
      <c r="E580" t="inlineStr">
        <is>
          <t>ÖSTHAMMAR</t>
        </is>
      </c>
      <c r="G580" t="n">
        <v>3.8</v>
      </c>
      <c r="H580" t="n">
        <v>0</v>
      </c>
      <c r="I580" t="n">
        <v>0</v>
      </c>
      <c r="J580" t="n">
        <v>0</v>
      </c>
      <c r="K580" t="n">
        <v>0</v>
      </c>
      <c r="L580" t="n">
        <v>0</v>
      </c>
      <c r="M580" t="n">
        <v>0</v>
      </c>
      <c r="N580" t="n">
        <v>0</v>
      </c>
      <c r="O580" t="n">
        <v>0</v>
      </c>
      <c r="P580" t="n">
        <v>0</v>
      </c>
      <c r="Q580" t="n">
        <v>0</v>
      </c>
      <c r="R580" s="2" t="inlineStr"/>
    </row>
    <row r="581" ht="15" customHeight="1">
      <c r="A581" t="inlineStr">
        <is>
          <t>A 5855-2022</t>
        </is>
      </c>
      <c r="B581" s="1" t="n">
        <v>44596.63290509259</v>
      </c>
      <c r="C581" s="1" t="n">
        <v>46110</v>
      </c>
      <c r="D581" t="inlineStr">
        <is>
          <t>UPPSALA LÄN</t>
        </is>
      </c>
      <c r="E581" t="inlineStr">
        <is>
          <t>ÖSTHAMMAR</t>
        </is>
      </c>
      <c r="G581" t="n">
        <v>0.9</v>
      </c>
      <c r="H581" t="n">
        <v>0</v>
      </c>
      <c r="I581" t="n">
        <v>0</v>
      </c>
      <c r="J581" t="n">
        <v>0</v>
      </c>
      <c r="K581" t="n">
        <v>0</v>
      </c>
      <c r="L581" t="n">
        <v>0</v>
      </c>
      <c r="M581" t="n">
        <v>0</v>
      </c>
      <c r="N581" t="n">
        <v>0</v>
      </c>
      <c r="O581" t="n">
        <v>0</v>
      </c>
      <c r="P581" t="n">
        <v>0</v>
      </c>
      <c r="Q581" t="n">
        <v>0</v>
      </c>
      <c r="R581" s="2" t="inlineStr"/>
    </row>
    <row r="582" ht="15" customHeight="1">
      <c r="A582" t="inlineStr">
        <is>
          <t>A 15640-2026</t>
        </is>
      </c>
      <c r="B582" s="1" t="n">
        <v>46106.63700231481</v>
      </c>
      <c r="C582" s="1" t="n">
        <v>46110</v>
      </c>
      <c r="D582" t="inlineStr">
        <is>
          <t>UPPSALA LÄN</t>
        </is>
      </c>
      <c r="E582" t="inlineStr">
        <is>
          <t>ÖSTHAMMAR</t>
        </is>
      </c>
      <c r="F582" t="inlineStr">
        <is>
          <t>Övriga Aktiebolag</t>
        </is>
      </c>
      <c r="G582" t="n">
        <v>7.7</v>
      </c>
      <c r="H582" t="n">
        <v>0</v>
      </c>
      <c r="I582" t="n">
        <v>0</v>
      </c>
      <c r="J582" t="n">
        <v>0</v>
      </c>
      <c r="K582" t="n">
        <v>0</v>
      </c>
      <c r="L582" t="n">
        <v>0</v>
      </c>
      <c r="M582" t="n">
        <v>0</v>
      </c>
      <c r="N582" t="n">
        <v>0</v>
      </c>
      <c r="O582" t="n">
        <v>0</v>
      </c>
      <c r="P582" t="n">
        <v>0</v>
      </c>
      <c r="Q582" t="n">
        <v>0</v>
      </c>
      <c r="R582" s="2" t="inlineStr"/>
    </row>
    <row r="583" ht="15" customHeight="1">
      <c r="A583" t="inlineStr">
        <is>
          <t>A 36646-2025</t>
        </is>
      </c>
      <c r="B583" s="1" t="n">
        <v>45872</v>
      </c>
      <c r="C583" s="1" t="n">
        <v>46110</v>
      </c>
      <c r="D583" t="inlineStr">
        <is>
          <t>UPPSALA LÄN</t>
        </is>
      </c>
      <c r="E583" t="inlineStr">
        <is>
          <t>ÖSTHAMMAR</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54366-2023</t>
        </is>
      </c>
      <c r="B584" s="1" t="n">
        <v>45233</v>
      </c>
      <c r="C584" s="1" t="n">
        <v>46110</v>
      </c>
      <c r="D584" t="inlineStr">
        <is>
          <t>UPPSALA LÄN</t>
        </is>
      </c>
      <c r="E584" t="inlineStr">
        <is>
          <t>ÖSTHAMMAR</t>
        </is>
      </c>
      <c r="F584" t="inlineStr">
        <is>
          <t>Bergvik skog öst AB</t>
        </is>
      </c>
      <c r="G584" t="n">
        <v>2.9</v>
      </c>
      <c r="H584" t="n">
        <v>0</v>
      </c>
      <c r="I584" t="n">
        <v>0</v>
      </c>
      <c r="J584" t="n">
        <v>0</v>
      </c>
      <c r="K584" t="n">
        <v>0</v>
      </c>
      <c r="L584" t="n">
        <v>0</v>
      </c>
      <c r="M584" t="n">
        <v>0</v>
      </c>
      <c r="N584" t="n">
        <v>0</v>
      </c>
      <c r="O584" t="n">
        <v>0</v>
      </c>
      <c r="P584" t="n">
        <v>0</v>
      </c>
      <c r="Q584" t="n">
        <v>0</v>
      </c>
      <c r="R584" s="2" t="inlineStr"/>
    </row>
    <row r="585" ht="15" customHeight="1">
      <c r="A585" t="inlineStr">
        <is>
          <t>A 8014-2026</t>
        </is>
      </c>
      <c r="B585" s="1" t="n">
        <v>46063.54009259259</v>
      </c>
      <c r="C585" s="1" t="n">
        <v>46110</v>
      </c>
      <c r="D585" t="inlineStr">
        <is>
          <t>UPPSALA LÄN</t>
        </is>
      </c>
      <c r="E585" t="inlineStr">
        <is>
          <t>ÖSTHAMMAR</t>
        </is>
      </c>
      <c r="G585" t="n">
        <v>15.2</v>
      </c>
      <c r="H585" t="n">
        <v>0</v>
      </c>
      <c r="I585" t="n">
        <v>0</v>
      </c>
      <c r="J585" t="n">
        <v>0</v>
      </c>
      <c r="K585" t="n">
        <v>0</v>
      </c>
      <c r="L585" t="n">
        <v>0</v>
      </c>
      <c r="M585" t="n">
        <v>0</v>
      </c>
      <c r="N585" t="n">
        <v>0</v>
      </c>
      <c r="O585" t="n">
        <v>0</v>
      </c>
      <c r="P585" t="n">
        <v>0</v>
      </c>
      <c r="Q585" t="n">
        <v>0</v>
      </c>
      <c r="R585" s="2" t="inlineStr"/>
    </row>
    <row r="586" ht="15" customHeight="1">
      <c r="A586" t="inlineStr">
        <is>
          <t>A 13701-2026</t>
        </is>
      </c>
      <c r="B586" s="1" t="n">
        <v>46097</v>
      </c>
      <c r="C586" s="1" t="n">
        <v>46110</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17643-2025</t>
        </is>
      </c>
      <c r="B587" s="1" t="n">
        <v>45758.32454861111</v>
      </c>
      <c r="C587" s="1" t="n">
        <v>46110</v>
      </c>
      <c r="D587" t="inlineStr">
        <is>
          <t>UPPSALA LÄN</t>
        </is>
      </c>
      <c r="E587" t="inlineStr">
        <is>
          <t>ÖSTHAMMAR</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13248-2025</t>
        </is>
      </c>
      <c r="B588" s="1" t="n">
        <v>45735</v>
      </c>
      <c r="C588" s="1" t="n">
        <v>46110</v>
      </c>
      <c r="D588" t="inlineStr">
        <is>
          <t>UPPSALA LÄN</t>
        </is>
      </c>
      <c r="E588" t="inlineStr">
        <is>
          <t>ÖSTHAMMAR</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8030-2026</t>
        </is>
      </c>
      <c r="B589" s="1" t="n">
        <v>46063.57956018519</v>
      </c>
      <c r="C589" s="1" t="n">
        <v>46110</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36643-2025</t>
        </is>
      </c>
      <c r="B590" s="1" t="n">
        <v>45872.47782407407</v>
      </c>
      <c r="C590" s="1" t="n">
        <v>46110</v>
      </c>
      <c r="D590" t="inlineStr">
        <is>
          <t>UPPSALA LÄN</t>
        </is>
      </c>
      <c r="E590" t="inlineStr">
        <is>
          <t>ÖSTHAMMAR</t>
        </is>
      </c>
      <c r="F590" t="inlineStr">
        <is>
          <t>Bergvik skog öst AB</t>
        </is>
      </c>
      <c r="G590" t="n">
        <v>15.1</v>
      </c>
      <c r="H590" t="n">
        <v>0</v>
      </c>
      <c r="I590" t="n">
        <v>0</v>
      </c>
      <c r="J590" t="n">
        <v>0</v>
      </c>
      <c r="K590" t="n">
        <v>0</v>
      </c>
      <c r="L590" t="n">
        <v>0</v>
      </c>
      <c r="M590" t="n">
        <v>0</v>
      </c>
      <c r="N590" t="n">
        <v>0</v>
      </c>
      <c r="O590" t="n">
        <v>0</v>
      </c>
      <c r="P590" t="n">
        <v>0</v>
      </c>
      <c r="Q590" t="n">
        <v>0</v>
      </c>
      <c r="R590" s="2" t="inlineStr"/>
    </row>
    <row r="591" ht="15" customHeight="1">
      <c r="A591" t="inlineStr">
        <is>
          <t>A 15478-2026</t>
        </is>
      </c>
      <c r="B591" s="1" t="n">
        <v>46106.44582175926</v>
      </c>
      <c r="C591" s="1" t="n">
        <v>46110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51364-2021</t>
        </is>
      </c>
      <c r="B592" s="1" t="n">
        <v>44461</v>
      </c>
      <c r="C592" s="1" t="n">
        <v>46110</v>
      </c>
      <c r="D592" t="inlineStr">
        <is>
          <t>UPPSALA LÄN</t>
        </is>
      </c>
      <c r="E592" t="inlineStr">
        <is>
          <t>ÖSTHAMMAR</t>
        </is>
      </c>
      <c r="G592" t="n">
        <v>2.4</v>
      </c>
      <c r="H592" t="n">
        <v>0</v>
      </c>
      <c r="I592" t="n">
        <v>0</v>
      </c>
      <c r="J592" t="n">
        <v>0</v>
      </c>
      <c r="K592" t="n">
        <v>0</v>
      </c>
      <c r="L592" t="n">
        <v>0</v>
      </c>
      <c r="M592" t="n">
        <v>0</v>
      </c>
      <c r="N592" t="n">
        <v>0</v>
      </c>
      <c r="O592" t="n">
        <v>0</v>
      </c>
      <c r="P592" t="n">
        <v>0</v>
      </c>
      <c r="Q592" t="n">
        <v>0</v>
      </c>
      <c r="R592" s="2" t="inlineStr"/>
    </row>
    <row r="593" ht="15" customHeight="1">
      <c r="A593" t="inlineStr">
        <is>
          <t>A 61062-2023</t>
        </is>
      </c>
      <c r="B593" s="1" t="n">
        <v>45259</v>
      </c>
      <c r="C593" s="1" t="n">
        <v>46110</v>
      </c>
      <c r="D593" t="inlineStr">
        <is>
          <t>UPPSALA LÄN</t>
        </is>
      </c>
      <c r="E593" t="inlineStr">
        <is>
          <t>ÖSTHAMMAR</t>
        </is>
      </c>
      <c r="G593" t="n">
        <v>5.3</v>
      </c>
      <c r="H593" t="n">
        <v>0</v>
      </c>
      <c r="I593" t="n">
        <v>0</v>
      </c>
      <c r="J593" t="n">
        <v>0</v>
      </c>
      <c r="K593" t="n">
        <v>0</v>
      </c>
      <c r="L593" t="n">
        <v>0</v>
      </c>
      <c r="M593" t="n">
        <v>0</v>
      </c>
      <c r="N593" t="n">
        <v>0</v>
      </c>
      <c r="O593" t="n">
        <v>0</v>
      </c>
      <c r="P593" t="n">
        <v>0</v>
      </c>
      <c r="Q593" t="n">
        <v>0</v>
      </c>
      <c r="R593" s="2" t="inlineStr"/>
    </row>
    <row r="594" ht="15" customHeight="1">
      <c r="A594" t="inlineStr">
        <is>
          <t>A 36645-2025</t>
        </is>
      </c>
      <c r="B594" s="1" t="n">
        <v>45872</v>
      </c>
      <c r="C594" s="1" t="n">
        <v>46110</v>
      </c>
      <c r="D594" t="inlineStr">
        <is>
          <t>UPPSALA LÄN</t>
        </is>
      </c>
      <c r="E594" t="inlineStr">
        <is>
          <t>ÖSTHAMMAR</t>
        </is>
      </c>
      <c r="F594" t="inlineStr">
        <is>
          <t>Bergvik skog öst AB</t>
        </is>
      </c>
      <c r="G594" t="n">
        <v>1.8</v>
      </c>
      <c r="H594" t="n">
        <v>0</v>
      </c>
      <c r="I594" t="n">
        <v>0</v>
      </c>
      <c r="J594" t="n">
        <v>0</v>
      </c>
      <c r="K594" t="n">
        <v>0</v>
      </c>
      <c r="L594" t="n">
        <v>0</v>
      </c>
      <c r="M594" t="n">
        <v>0</v>
      </c>
      <c r="N594" t="n">
        <v>0</v>
      </c>
      <c r="O594" t="n">
        <v>0</v>
      </c>
      <c r="P594" t="n">
        <v>0</v>
      </c>
      <c r="Q594" t="n">
        <v>0</v>
      </c>
      <c r="R594" s="2" t="inlineStr"/>
    </row>
    <row r="595" ht="15" customHeight="1">
      <c r="A595" t="inlineStr">
        <is>
          <t>A 15748-2026</t>
        </is>
      </c>
      <c r="B595" s="1" t="n">
        <v>46107.4227662037</v>
      </c>
      <c r="C595" s="1" t="n">
        <v>46110</v>
      </c>
      <c r="D595" t="inlineStr">
        <is>
          <t>UPPSALA LÄN</t>
        </is>
      </c>
      <c r="E595" t="inlineStr">
        <is>
          <t>ÖSTHAMMAR</t>
        </is>
      </c>
      <c r="F595" t="inlineStr">
        <is>
          <t>Bergvik skog öst AB</t>
        </is>
      </c>
      <c r="G595" t="n">
        <v>0.8</v>
      </c>
      <c r="H595" t="n">
        <v>0</v>
      </c>
      <c r="I595" t="n">
        <v>0</v>
      </c>
      <c r="J595" t="n">
        <v>0</v>
      </c>
      <c r="K595" t="n">
        <v>0</v>
      </c>
      <c r="L595" t="n">
        <v>0</v>
      </c>
      <c r="M595" t="n">
        <v>0</v>
      </c>
      <c r="N595" t="n">
        <v>0</v>
      </c>
      <c r="O595" t="n">
        <v>0</v>
      </c>
      <c r="P595" t="n">
        <v>0</v>
      </c>
      <c r="Q595" t="n">
        <v>0</v>
      </c>
      <c r="R595" s="2" t="inlineStr"/>
    </row>
    <row r="596" ht="15" customHeight="1">
      <c r="A596" t="inlineStr">
        <is>
          <t>A 36644-2025</t>
        </is>
      </c>
      <c r="B596" s="1" t="n">
        <v>45872.48738425926</v>
      </c>
      <c r="C596" s="1" t="n">
        <v>46110</v>
      </c>
      <c r="D596" t="inlineStr">
        <is>
          <t>UPPSALA LÄN</t>
        </is>
      </c>
      <c r="E596" t="inlineStr">
        <is>
          <t>ÖSTHAMMAR</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15744-2026</t>
        </is>
      </c>
      <c r="B597" s="1" t="n">
        <v>46107.4175462963</v>
      </c>
      <c r="C597" s="1" t="n">
        <v>46110</v>
      </c>
      <c r="D597" t="inlineStr">
        <is>
          <t>UPPSALA LÄN</t>
        </is>
      </c>
      <c r="E597" t="inlineStr">
        <is>
          <t>ÖSTHAMMAR</t>
        </is>
      </c>
      <c r="F597" t="inlineStr">
        <is>
          <t>Bergvik skog öst AB</t>
        </is>
      </c>
      <c r="G597" t="n">
        <v>7.8</v>
      </c>
      <c r="H597" t="n">
        <v>0</v>
      </c>
      <c r="I597" t="n">
        <v>0</v>
      </c>
      <c r="J597" t="n">
        <v>0</v>
      </c>
      <c r="K597" t="n">
        <v>0</v>
      </c>
      <c r="L597" t="n">
        <v>0</v>
      </c>
      <c r="M597" t="n">
        <v>0</v>
      </c>
      <c r="N597" t="n">
        <v>0</v>
      </c>
      <c r="O597" t="n">
        <v>0</v>
      </c>
      <c r="P597" t="n">
        <v>0</v>
      </c>
      <c r="Q597" t="n">
        <v>0</v>
      </c>
      <c r="R597" s="2" t="inlineStr"/>
    </row>
    <row r="598" ht="15" customHeight="1">
      <c r="A598" t="inlineStr">
        <is>
          <t>A 8789-2026</t>
        </is>
      </c>
      <c r="B598" s="1" t="n">
        <v>46066.58792824074</v>
      </c>
      <c r="C598" s="1" t="n">
        <v>46110</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61443-2024</t>
        </is>
      </c>
      <c r="B599" s="1" t="n">
        <v>45646.47936342593</v>
      </c>
      <c r="C599" s="1" t="n">
        <v>46110</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15452-2026</t>
        </is>
      </c>
      <c r="B600" s="1" t="n">
        <v>46106.4181712963</v>
      </c>
      <c r="C600" s="1" t="n">
        <v>46110</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26612-2023</t>
        </is>
      </c>
      <c r="B601" s="1" t="n">
        <v>45089</v>
      </c>
      <c r="C601" s="1" t="n">
        <v>46110</v>
      </c>
      <c r="D601" t="inlineStr">
        <is>
          <t>UPPSALA LÄN</t>
        </is>
      </c>
      <c r="E601" t="inlineStr">
        <is>
          <t>ÖSTHAMMAR</t>
        </is>
      </c>
      <c r="G601" t="n">
        <v>2.1</v>
      </c>
      <c r="H601" t="n">
        <v>0</v>
      </c>
      <c r="I601" t="n">
        <v>0</v>
      </c>
      <c r="J601" t="n">
        <v>0</v>
      </c>
      <c r="K601" t="n">
        <v>0</v>
      </c>
      <c r="L601" t="n">
        <v>0</v>
      </c>
      <c r="M601" t="n">
        <v>0</v>
      </c>
      <c r="N601" t="n">
        <v>0</v>
      </c>
      <c r="O601" t="n">
        <v>0</v>
      </c>
      <c r="P601" t="n">
        <v>0</v>
      </c>
      <c r="Q601" t="n">
        <v>0</v>
      </c>
      <c r="R601" s="2" t="inlineStr"/>
    </row>
    <row r="602" ht="15" customHeight="1">
      <c r="A602" t="inlineStr">
        <is>
          <t>A 14269-2025</t>
        </is>
      </c>
      <c r="B602" s="1" t="n">
        <v>45740.64078703704</v>
      </c>
      <c r="C602" s="1" t="n">
        <v>46110</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18088-2025</t>
        </is>
      </c>
      <c r="B603" s="1" t="n">
        <v>45761.53104166667</v>
      </c>
      <c r="C603" s="1" t="n">
        <v>46110</v>
      </c>
      <c r="D603" t="inlineStr">
        <is>
          <t>UPPSALA LÄN</t>
        </is>
      </c>
      <c r="E603" t="inlineStr">
        <is>
          <t>ÖSTHAMMAR</t>
        </is>
      </c>
      <c r="F603" t="inlineStr">
        <is>
          <t>Bergvik skog öst AB</t>
        </is>
      </c>
      <c r="G603" t="n">
        <v>1.9</v>
      </c>
      <c r="H603" t="n">
        <v>0</v>
      </c>
      <c r="I603" t="n">
        <v>0</v>
      </c>
      <c r="J603" t="n">
        <v>0</v>
      </c>
      <c r="K603" t="n">
        <v>0</v>
      </c>
      <c r="L603" t="n">
        <v>0</v>
      </c>
      <c r="M603" t="n">
        <v>0</v>
      </c>
      <c r="N603" t="n">
        <v>0</v>
      </c>
      <c r="O603" t="n">
        <v>0</v>
      </c>
      <c r="P603" t="n">
        <v>0</v>
      </c>
      <c r="Q603" t="n">
        <v>0</v>
      </c>
      <c r="R603" s="2" t="inlineStr"/>
    </row>
    <row r="604" ht="15" customHeight="1">
      <c r="A604" t="inlineStr">
        <is>
          <t>A 18095-2025</t>
        </is>
      </c>
      <c r="B604" s="1" t="n">
        <v>45761.54925925926</v>
      </c>
      <c r="C604" s="1" t="n">
        <v>46110</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8525-2026</t>
        </is>
      </c>
      <c r="B605" s="1" t="n">
        <v>46065.58760416666</v>
      </c>
      <c r="C605" s="1" t="n">
        <v>46110</v>
      </c>
      <c r="D605" t="inlineStr">
        <is>
          <t>UPPSALA LÄN</t>
        </is>
      </c>
      <c r="E605" t="inlineStr">
        <is>
          <t>ÖSTHAMMAR</t>
        </is>
      </c>
      <c r="F605" t="inlineStr">
        <is>
          <t>Övriga Aktiebolag</t>
        </is>
      </c>
      <c r="G605" t="n">
        <v>4.8</v>
      </c>
      <c r="H605" t="n">
        <v>0</v>
      </c>
      <c r="I605" t="n">
        <v>0</v>
      </c>
      <c r="J605" t="n">
        <v>0</v>
      </c>
      <c r="K605" t="n">
        <v>0</v>
      </c>
      <c r="L605" t="n">
        <v>0</v>
      </c>
      <c r="M605" t="n">
        <v>0</v>
      </c>
      <c r="N605" t="n">
        <v>0</v>
      </c>
      <c r="O605" t="n">
        <v>0</v>
      </c>
      <c r="P605" t="n">
        <v>0</v>
      </c>
      <c r="Q605" t="n">
        <v>0</v>
      </c>
      <c r="R605" s="2" t="inlineStr"/>
    </row>
    <row r="606" ht="15" customHeight="1">
      <c r="A606" t="inlineStr">
        <is>
          <t>A 8530-2026</t>
        </is>
      </c>
      <c r="B606" s="1" t="n">
        <v>46065.60075231481</v>
      </c>
      <c r="C606" s="1" t="n">
        <v>46110</v>
      </c>
      <c r="D606" t="inlineStr">
        <is>
          <t>UPPSALA LÄN</t>
        </is>
      </c>
      <c r="E606" t="inlineStr">
        <is>
          <t>ÖSTHAMMAR</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16531-2025</t>
        </is>
      </c>
      <c r="B607" s="1" t="n">
        <v>45751</v>
      </c>
      <c r="C607" s="1" t="n">
        <v>46110</v>
      </c>
      <c r="D607" t="inlineStr">
        <is>
          <t>UPPSALA LÄN</t>
        </is>
      </c>
      <c r="E607" t="inlineStr">
        <is>
          <t>ÖSTHAMMAR</t>
        </is>
      </c>
      <c r="G607" t="n">
        <v>3.3</v>
      </c>
      <c r="H607" t="n">
        <v>0</v>
      </c>
      <c r="I607" t="n">
        <v>0</v>
      </c>
      <c r="J607" t="n">
        <v>0</v>
      </c>
      <c r="K607" t="n">
        <v>0</v>
      </c>
      <c r="L607" t="n">
        <v>0</v>
      </c>
      <c r="M607" t="n">
        <v>0</v>
      </c>
      <c r="N607" t="n">
        <v>0</v>
      </c>
      <c r="O607" t="n">
        <v>0</v>
      </c>
      <c r="P607" t="n">
        <v>0</v>
      </c>
      <c r="Q607" t="n">
        <v>0</v>
      </c>
      <c r="R607" s="2" t="inlineStr"/>
    </row>
    <row r="608" ht="15" customHeight="1">
      <c r="A608" t="inlineStr">
        <is>
          <t>A 16038-2026</t>
        </is>
      </c>
      <c r="B608" s="1" t="n">
        <v>46108</v>
      </c>
      <c r="C608" s="1" t="n">
        <v>46110</v>
      </c>
      <c r="D608" t="inlineStr">
        <is>
          <t>UPPSALA LÄN</t>
        </is>
      </c>
      <c r="E608" t="inlineStr">
        <is>
          <t>ÖSTHAMMAR</t>
        </is>
      </c>
      <c r="G608" t="n">
        <v>2.2</v>
      </c>
      <c r="H608" t="n">
        <v>0</v>
      </c>
      <c r="I608" t="n">
        <v>0</v>
      </c>
      <c r="J608" t="n">
        <v>0</v>
      </c>
      <c r="K608" t="n">
        <v>0</v>
      </c>
      <c r="L608" t="n">
        <v>0</v>
      </c>
      <c r="M608" t="n">
        <v>0</v>
      </c>
      <c r="N608" t="n">
        <v>0</v>
      </c>
      <c r="O608" t="n">
        <v>0</v>
      </c>
      <c r="P608" t="n">
        <v>0</v>
      </c>
      <c r="Q608" t="n">
        <v>0</v>
      </c>
      <c r="R608" s="2" t="inlineStr"/>
    </row>
    <row r="609" ht="15" customHeight="1">
      <c r="A609" t="inlineStr">
        <is>
          <t>A 25897-2023</t>
        </is>
      </c>
      <c r="B609" s="1" t="n">
        <v>45090.63300925926</v>
      </c>
      <c r="C609" s="1" t="n">
        <v>46110</v>
      </c>
      <c r="D609" t="inlineStr">
        <is>
          <t>UPPSALA LÄN</t>
        </is>
      </c>
      <c r="E609" t="inlineStr">
        <is>
          <t>ÖSTHAMMAR</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20046-2023</t>
        </is>
      </c>
      <c r="B610" s="1" t="n">
        <v>45054</v>
      </c>
      <c r="C610" s="1" t="n">
        <v>46110</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41478-2024</t>
        </is>
      </c>
      <c r="B611" s="1" t="n">
        <v>45560.44158564815</v>
      </c>
      <c r="C611" s="1" t="n">
        <v>46110</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3638-2022</t>
        </is>
      </c>
      <c r="B612" s="1" t="n">
        <v>44578</v>
      </c>
      <c r="C612" s="1" t="n">
        <v>46110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37656-2025</t>
        </is>
      </c>
      <c r="B613" s="1" t="n">
        <v>45880</v>
      </c>
      <c r="C613" s="1" t="n">
        <v>46110</v>
      </c>
      <c r="D613" t="inlineStr">
        <is>
          <t>UPPSALA LÄN</t>
        </is>
      </c>
      <c r="E613" t="inlineStr">
        <is>
          <t>ÖSTHAMMAR</t>
        </is>
      </c>
      <c r="G613" t="n">
        <v>4.3</v>
      </c>
      <c r="H613" t="n">
        <v>0</v>
      </c>
      <c r="I613" t="n">
        <v>0</v>
      </c>
      <c r="J613" t="n">
        <v>0</v>
      </c>
      <c r="K613" t="n">
        <v>0</v>
      </c>
      <c r="L613" t="n">
        <v>0</v>
      </c>
      <c r="M613" t="n">
        <v>0</v>
      </c>
      <c r="N613" t="n">
        <v>0</v>
      </c>
      <c r="O613" t="n">
        <v>0</v>
      </c>
      <c r="P613" t="n">
        <v>0</v>
      </c>
      <c r="Q613" t="n">
        <v>0</v>
      </c>
      <c r="R613" s="2" t="inlineStr"/>
    </row>
    <row r="614" ht="15" customHeight="1">
      <c r="A614" t="inlineStr">
        <is>
          <t>A 37764-2025</t>
        </is>
      </c>
      <c r="B614" s="1" t="n">
        <v>45880.70917824074</v>
      </c>
      <c r="C614" s="1" t="n">
        <v>46110</v>
      </c>
      <c r="D614" t="inlineStr">
        <is>
          <t>UPPSALA LÄN</t>
        </is>
      </c>
      <c r="E614" t="inlineStr">
        <is>
          <t>ÖSTHAMMAR</t>
        </is>
      </c>
      <c r="G614" t="n">
        <v>4.6</v>
      </c>
      <c r="H614" t="n">
        <v>0</v>
      </c>
      <c r="I614" t="n">
        <v>0</v>
      </c>
      <c r="J614" t="n">
        <v>0</v>
      </c>
      <c r="K614" t="n">
        <v>0</v>
      </c>
      <c r="L614" t="n">
        <v>0</v>
      </c>
      <c r="M614" t="n">
        <v>0</v>
      </c>
      <c r="N614" t="n">
        <v>0</v>
      </c>
      <c r="O614" t="n">
        <v>0</v>
      </c>
      <c r="P614" t="n">
        <v>0</v>
      </c>
      <c r="Q614" t="n">
        <v>0</v>
      </c>
      <c r="R614" s="2" t="inlineStr"/>
    </row>
    <row r="615" ht="15" customHeight="1">
      <c r="A615" t="inlineStr">
        <is>
          <t>A 5189-2025</t>
        </is>
      </c>
      <c r="B615" s="1" t="n">
        <v>45691</v>
      </c>
      <c r="C615" s="1" t="n">
        <v>46110</v>
      </c>
      <c r="D615" t="inlineStr">
        <is>
          <t>UPPSALA LÄN</t>
        </is>
      </c>
      <c r="E615" t="inlineStr">
        <is>
          <t>ÖSTHAMMAR</t>
        </is>
      </c>
      <c r="F615" t="inlineStr">
        <is>
          <t>Bergvik skog öst AB</t>
        </is>
      </c>
      <c r="G615" t="n">
        <v>24.4</v>
      </c>
      <c r="H615" t="n">
        <v>0</v>
      </c>
      <c r="I615" t="n">
        <v>0</v>
      </c>
      <c r="J615" t="n">
        <v>0</v>
      </c>
      <c r="K615" t="n">
        <v>0</v>
      </c>
      <c r="L615" t="n">
        <v>0</v>
      </c>
      <c r="M615" t="n">
        <v>0</v>
      </c>
      <c r="N615" t="n">
        <v>0</v>
      </c>
      <c r="O615" t="n">
        <v>0</v>
      </c>
      <c r="P615" t="n">
        <v>0</v>
      </c>
      <c r="Q615" t="n">
        <v>0</v>
      </c>
      <c r="R615" s="2" t="inlineStr"/>
    </row>
    <row r="616" ht="15" customHeight="1">
      <c r="A616" t="inlineStr">
        <is>
          <t>A 7118-2023</t>
        </is>
      </c>
      <c r="B616" s="1" t="n">
        <v>44970.39591435185</v>
      </c>
      <c r="C616" s="1" t="n">
        <v>46110</v>
      </c>
      <c r="D616" t="inlineStr">
        <is>
          <t>UPPSALA LÄN</t>
        </is>
      </c>
      <c r="E616" t="inlineStr">
        <is>
          <t>ÖSTHAMMAR</t>
        </is>
      </c>
      <c r="G616" t="n">
        <v>2.1</v>
      </c>
      <c r="H616" t="n">
        <v>0</v>
      </c>
      <c r="I616" t="n">
        <v>0</v>
      </c>
      <c r="J616" t="n">
        <v>0</v>
      </c>
      <c r="K616" t="n">
        <v>0</v>
      </c>
      <c r="L616" t="n">
        <v>0</v>
      </c>
      <c r="M616" t="n">
        <v>0</v>
      </c>
      <c r="N616" t="n">
        <v>0</v>
      </c>
      <c r="O616" t="n">
        <v>0</v>
      </c>
      <c r="P616" t="n">
        <v>0</v>
      </c>
      <c r="Q616" t="n">
        <v>0</v>
      </c>
      <c r="R616" s="2" t="inlineStr"/>
    </row>
    <row r="617" ht="15" customHeight="1">
      <c r="A617" t="inlineStr">
        <is>
          <t>A 17969-2023</t>
        </is>
      </c>
      <c r="B617" s="1" t="n">
        <v>45040.47081018519</v>
      </c>
      <c r="C617" s="1" t="n">
        <v>46110</v>
      </c>
      <c r="D617" t="inlineStr">
        <is>
          <t>UPPSALA LÄN</t>
        </is>
      </c>
      <c r="E617" t="inlineStr">
        <is>
          <t>ÖSTHAMMAR</t>
        </is>
      </c>
      <c r="G617" t="n">
        <v>5.4</v>
      </c>
      <c r="H617" t="n">
        <v>0</v>
      </c>
      <c r="I617" t="n">
        <v>0</v>
      </c>
      <c r="J617" t="n">
        <v>0</v>
      </c>
      <c r="K617" t="n">
        <v>0</v>
      </c>
      <c r="L617" t="n">
        <v>0</v>
      </c>
      <c r="M617" t="n">
        <v>0</v>
      </c>
      <c r="N617" t="n">
        <v>0</v>
      </c>
      <c r="O617" t="n">
        <v>0</v>
      </c>
      <c r="P617" t="n">
        <v>0</v>
      </c>
      <c r="Q617" t="n">
        <v>0</v>
      </c>
      <c r="R617" s="2" t="inlineStr"/>
    </row>
    <row r="618" ht="15" customHeight="1">
      <c r="A618" t="inlineStr">
        <is>
          <t>A 37770-2025</t>
        </is>
      </c>
      <c r="B618" s="1" t="n">
        <v>45880.7505787037</v>
      </c>
      <c r="C618" s="1" t="n">
        <v>46110</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46110</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12528-2024</t>
        </is>
      </c>
      <c r="B620" s="1" t="n">
        <v>45379.61878472222</v>
      </c>
      <c r="C620" s="1" t="n">
        <v>46110</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44953.48179398148</v>
      </c>
      <c r="C621" s="1" t="n">
        <v>46110</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18091-2023</t>
        </is>
      </c>
      <c r="B622" s="1" t="n">
        <v>45040</v>
      </c>
      <c r="C622" s="1" t="n">
        <v>46110</v>
      </c>
      <c r="D622" t="inlineStr">
        <is>
          <t>UPPSALA LÄN</t>
        </is>
      </c>
      <c r="E622" t="inlineStr">
        <is>
          <t>ÖSTHAMMAR</t>
        </is>
      </c>
      <c r="G622" t="n">
        <v>2.4</v>
      </c>
      <c r="H622" t="n">
        <v>0</v>
      </c>
      <c r="I622" t="n">
        <v>0</v>
      </c>
      <c r="J622" t="n">
        <v>0</v>
      </c>
      <c r="K622" t="n">
        <v>0</v>
      </c>
      <c r="L622" t="n">
        <v>0</v>
      </c>
      <c r="M622" t="n">
        <v>0</v>
      </c>
      <c r="N622" t="n">
        <v>0</v>
      </c>
      <c r="O622" t="n">
        <v>0</v>
      </c>
      <c r="P622" t="n">
        <v>0</v>
      </c>
      <c r="Q622" t="n">
        <v>0</v>
      </c>
      <c r="R622" s="2" t="inlineStr"/>
    </row>
    <row r="623" ht="15" customHeight="1">
      <c r="A623" t="inlineStr">
        <is>
          <t>A 66779-2021</t>
        </is>
      </c>
      <c r="B623" s="1" t="n">
        <v>44522.31700231481</v>
      </c>
      <c r="C623" s="1" t="n">
        <v>46110</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23197-2023</t>
        </is>
      </c>
      <c r="B624" s="1" t="n">
        <v>45075</v>
      </c>
      <c r="C624" s="1" t="n">
        <v>46110</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60079-2022</t>
        </is>
      </c>
      <c r="B625" s="1" t="n">
        <v>44909</v>
      </c>
      <c r="C625" s="1" t="n">
        <v>46110</v>
      </c>
      <c r="D625" t="inlineStr">
        <is>
          <t>UPPSALA LÄN</t>
        </is>
      </c>
      <c r="E625" t="inlineStr">
        <is>
          <t>ÖSTHAMMAR</t>
        </is>
      </c>
      <c r="G625" t="n">
        <v>9.6</v>
      </c>
      <c r="H625" t="n">
        <v>0</v>
      </c>
      <c r="I625" t="n">
        <v>0</v>
      </c>
      <c r="J625" t="n">
        <v>0</v>
      </c>
      <c r="K625" t="n">
        <v>0</v>
      </c>
      <c r="L625" t="n">
        <v>0</v>
      </c>
      <c r="M625" t="n">
        <v>0</v>
      </c>
      <c r="N625" t="n">
        <v>0</v>
      </c>
      <c r="O625" t="n">
        <v>0</v>
      </c>
      <c r="P625" t="n">
        <v>0</v>
      </c>
      <c r="Q625" t="n">
        <v>0</v>
      </c>
      <c r="R625" s="2" t="inlineStr"/>
    </row>
    <row r="626" ht="15" customHeight="1">
      <c r="A626" t="inlineStr">
        <is>
          <t>A 9267-2024</t>
        </is>
      </c>
      <c r="B626" s="1" t="n">
        <v>45358</v>
      </c>
      <c r="C626" s="1" t="n">
        <v>46110</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33758-2024</t>
        </is>
      </c>
      <c r="B627" s="1" t="n">
        <v>45520.56896990741</v>
      </c>
      <c r="C627" s="1" t="n">
        <v>46110</v>
      </c>
      <c r="D627" t="inlineStr">
        <is>
          <t>UPPSALA LÄN</t>
        </is>
      </c>
      <c r="E627" t="inlineStr">
        <is>
          <t>ÖSTHAMMAR</t>
        </is>
      </c>
      <c r="G627" t="n">
        <v>6.5</v>
      </c>
      <c r="H627" t="n">
        <v>0</v>
      </c>
      <c r="I627" t="n">
        <v>0</v>
      </c>
      <c r="J627" t="n">
        <v>0</v>
      </c>
      <c r="K627" t="n">
        <v>0</v>
      </c>
      <c r="L627" t="n">
        <v>0</v>
      </c>
      <c r="M627" t="n">
        <v>0</v>
      </c>
      <c r="N627" t="n">
        <v>0</v>
      </c>
      <c r="O627" t="n">
        <v>0</v>
      </c>
      <c r="P627" t="n">
        <v>0</v>
      </c>
      <c r="Q627" t="n">
        <v>0</v>
      </c>
      <c r="R627" s="2" t="inlineStr"/>
    </row>
    <row r="628" ht="15" customHeight="1">
      <c r="A628" t="inlineStr">
        <is>
          <t>A 35316-2024</t>
        </is>
      </c>
      <c r="B628" s="1" t="n">
        <v>45530.68873842592</v>
      </c>
      <c r="C628" s="1" t="n">
        <v>46110</v>
      </c>
      <c r="D628" t="inlineStr">
        <is>
          <t>UPPSALA LÄN</t>
        </is>
      </c>
      <c r="E628" t="inlineStr">
        <is>
          <t>ÖSTHAMMAR</t>
        </is>
      </c>
      <c r="F628" t="inlineStr">
        <is>
          <t>Bergvik skog öst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38571-2023</t>
        </is>
      </c>
      <c r="B629" s="1" t="n">
        <v>45162.6177662037</v>
      </c>
      <c r="C629" s="1" t="n">
        <v>46110</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7560-2023</t>
        </is>
      </c>
      <c r="B630" s="1" t="n">
        <v>44972.34811342593</v>
      </c>
      <c r="C630" s="1" t="n">
        <v>46110</v>
      </c>
      <c r="D630" t="inlineStr">
        <is>
          <t>UPPSALA LÄN</t>
        </is>
      </c>
      <c r="E630" t="inlineStr">
        <is>
          <t>ÖSTHAMMAR</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44184-2024</t>
        </is>
      </c>
      <c r="B631" s="1" t="n">
        <v>45572</v>
      </c>
      <c r="C631" s="1" t="n">
        <v>46110</v>
      </c>
      <c r="D631" t="inlineStr">
        <is>
          <t>UPPSALA LÄN</t>
        </is>
      </c>
      <c r="E631" t="inlineStr">
        <is>
          <t>ÖSTHAMMAR</t>
        </is>
      </c>
      <c r="G631" t="n">
        <v>0.6</v>
      </c>
      <c r="H631" t="n">
        <v>0</v>
      </c>
      <c r="I631" t="n">
        <v>0</v>
      </c>
      <c r="J631" t="n">
        <v>0</v>
      </c>
      <c r="K631" t="n">
        <v>0</v>
      </c>
      <c r="L631" t="n">
        <v>0</v>
      </c>
      <c r="M631" t="n">
        <v>0</v>
      </c>
      <c r="N631" t="n">
        <v>0</v>
      </c>
      <c r="O631" t="n">
        <v>0</v>
      </c>
      <c r="P631" t="n">
        <v>0</v>
      </c>
      <c r="Q631" t="n">
        <v>0</v>
      </c>
      <c r="R631" s="2" t="inlineStr"/>
    </row>
    <row r="632" ht="15" customHeight="1">
      <c r="A632" t="inlineStr">
        <is>
          <t>A 48083-2024</t>
        </is>
      </c>
      <c r="B632" s="1" t="n">
        <v>45589.58766203704</v>
      </c>
      <c r="C632" s="1" t="n">
        <v>46110</v>
      </c>
      <c r="D632" t="inlineStr">
        <is>
          <t>UPPSALA LÄN</t>
        </is>
      </c>
      <c r="E632" t="inlineStr">
        <is>
          <t>ÖSTHAMMAR</t>
        </is>
      </c>
      <c r="G632" t="n">
        <v>3</v>
      </c>
      <c r="H632" t="n">
        <v>0</v>
      </c>
      <c r="I632" t="n">
        <v>0</v>
      </c>
      <c r="J632" t="n">
        <v>0</v>
      </c>
      <c r="K632" t="n">
        <v>0</v>
      </c>
      <c r="L632" t="n">
        <v>0</v>
      </c>
      <c r="M632" t="n">
        <v>0</v>
      </c>
      <c r="N632" t="n">
        <v>0</v>
      </c>
      <c r="O632" t="n">
        <v>0</v>
      </c>
      <c r="P632" t="n">
        <v>0</v>
      </c>
      <c r="Q632" t="n">
        <v>0</v>
      </c>
      <c r="R632" s="2" t="inlineStr"/>
    </row>
    <row r="633" ht="15" customHeight="1">
      <c r="A633" t="inlineStr">
        <is>
          <t>A 74436-2021</t>
        </is>
      </c>
      <c r="B633" s="1" t="n">
        <v>44560.4502199074</v>
      </c>
      <c r="C633" s="1" t="n">
        <v>46110</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32778-2023</t>
        </is>
      </c>
      <c r="B634" s="1" t="n">
        <v>45123.88789351852</v>
      </c>
      <c r="C634" s="1" t="n">
        <v>46110</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33680-2024</t>
        </is>
      </c>
      <c r="B635" s="1" t="n">
        <v>45520.50712962963</v>
      </c>
      <c r="C635" s="1" t="n">
        <v>46110</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7944-2023</t>
        </is>
      </c>
      <c r="B636" s="1" t="n">
        <v>44973.66458333333</v>
      </c>
      <c r="C636" s="1" t="n">
        <v>46110</v>
      </c>
      <c r="D636" t="inlineStr">
        <is>
          <t>UPPSALA LÄN</t>
        </is>
      </c>
      <c r="E636" t="inlineStr">
        <is>
          <t>ÖSTHAMMAR</t>
        </is>
      </c>
      <c r="G636" t="n">
        <v>4.6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46110</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1567-2025</t>
        </is>
      </c>
      <c r="B638" s="1" t="n">
        <v>45670</v>
      </c>
      <c r="C638" s="1" t="n">
        <v>46110</v>
      </c>
      <c r="D638" t="inlineStr">
        <is>
          <t>UPPSALA LÄN</t>
        </is>
      </c>
      <c r="E638" t="inlineStr">
        <is>
          <t>ÖSTHAMMAR</t>
        </is>
      </c>
      <c r="G638" t="n">
        <v>2.8</v>
      </c>
      <c r="H638" t="n">
        <v>0</v>
      </c>
      <c r="I638" t="n">
        <v>0</v>
      </c>
      <c r="J638" t="n">
        <v>0</v>
      </c>
      <c r="K638" t="n">
        <v>0</v>
      </c>
      <c r="L638" t="n">
        <v>0</v>
      </c>
      <c r="M638" t="n">
        <v>0</v>
      </c>
      <c r="N638" t="n">
        <v>0</v>
      </c>
      <c r="O638" t="n">
        <v>0</v>
      </c>
      <c r="P638" t="n">
        <v>0</v>
      </c>
      <c r="Q638" t="n">
        <v>0</v>
      </c>
      <c r="R638" s="2" t="inlineStr"/>
    </row>
    <row r="639" ht="15" customHeight="1">
      <c r="A639" t="inlineStr">
        <is>
          <t>A 73965-2021</t>
        </is>
      </c>
      <c r="B639" s="1" t="n">
        <v>44553.80824074074</v>
      </c>
      <c r="C639" s="1" t="n">
        <v>46110</v>
      </c>
      <c r="D639" t="inlineStr">
        <is>
          <t>UPPSALA LÄN</t>
        </is>
      </c>
      <c r="E639" t="inlineStr">
        <is>
          <t>ÖSTHAMMAR</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73592-2021</t>
        </is>
      </c>
      <c r="B640" s="1" t="n">
        <v>44552.36974537037</v>
      </c>
      <c r="C640" s="1" t="n">
        <v>46110</v>
      </c>
      <c r="D640" t="inlineStr">
        <is>
          <t>UPPSALA LÄN</t>
        </is>
      </c>
      <c r="E640" t="inlineStr">
        <is>
          <t>ÖSTHAMMAR</t>
        </is>
      </c>
      <c r="G640" t="n">
        <v>1.7</v>
      </c>
      <c r="H640" t="n">
        <v>0</v>
      </c>
      <c r="I640" t="n">
        <v>0</v>
      </c>
      <c r="J640" t="n">
        <v>0</v>
      </c>
      <c r="K640" t="n">
        <v>0</v>
      </c>
      <c r="L640" t="n">
        <v>0</v>
      </c>
      <c r="M640" t="n">
        <v>0</v>
      </c>
      <c r="N640" t="n">
        <v>0</v>
      </c>
      <c r="O640" t="n">
        <v>0</v>
      </c>
      <c r="P640" t="n">
        <v>0</v>
      </c>
      <c r="Q640" t="n">
        <v>0</v>
      </c>
      <c r="R640" s="2" t="inlineStr"/>
    </row>
    <row r="641" ht="15" customHeight="1">
      <c r="A641" t="inlineStr">
        <is>
          <t>A 31479-2023</t>
        </is>
      </c>
      <c r="B641" s="1" t="n">
        <v>45114.79793981482</v>
      </c>
      <c r="C641" s="1" t="n">
        <v>46110</v>
      </c>
      <c r="D641" t="inlineStr">
        <is>
          <t>UPPSALA LÄN</t>
        </is>
      </c>
      <c r="E641" t="inlineStr">
        <is>
          <t>ÖSTHAMMAR</t>
        </is>
      </c>
      <c r="F641" t="inlineStr">
        <is>
          <t>Bergvik skog öst AB</t>
        </is>
      </c>
      <c r="G641" t="n">
        <v>1.9</v>
      </c>
      <c r="H641" t="n">
        <v>0</v>
      </c>
      <c r="I641" t="n">
        <v>0</v>
      </c>
      <c r="J641" t="n">
        <v>0</v>
      </c>
      <c r="K641" t="n">
        <v>0</v>
      </c>
      <c r="L641" t="n">
        <v>0</v>
      </c>
      <c r="M641" t="n">
        <v>0</v>
      </c>
      <c r="N641" t="n">
        <v>0</v>
      </c>
      <c r="O641" t="n">
        <v>0</v>
      </c>
      <c r="P641" t="n">
        <v>0</v>
      </c>
      <c r="Q641" t="n">
        <v>0</v>
      </c>
      <c r="R641" s="2" t="inlineStr"/>
    </row>
    <row r="642" ht="15" customHeight="1">
      <c r="A642" t="inlineStr">
        <is>
          <t>A 24128-2023</t>
        </is>
      </c>
      <c r="B642" s="1" t="n">
        <v>45079.50289351852</v>
      </c>
      <c r="C642" s="1" t="n">
        <v>46110</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35918-2023</t>
        </is>
      </c>
      <c r="B643" s="1" t="n">
        <v>45148.64976851852</v>
      </c>
      <c r="C643" s="1" t="n">
        <v>46110</v>
      </c>
      <c r="D643" t="inlineStr">
        <is>
          <t>UPPSALA LÄN</t>
        </is>
      </c>
      <c r="E643" t="inlineStr">
        <is>
          <t>ÖSTHAMMAR</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4004-2023</t>
        </is>
      </c>
      <c r="B644" s="1" t="n">
        <v>44952</v>
      </c>
      <c r="C644" s="1" t="n">
        <v>46110</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1527-2025</t>
        </is>
      </c>
      <c r="B645" s="1" t="n">
        <v>45670</v>
      </c>
      <c r="C645" s="1" t="n">
        <v>46110</v>
      </c>
      <c r="D645" t="inlineStr">
        <is>
          <t>UPPSALA LÄN</t>
        </is>
      </c>
      <c r="E645" t="inlineStr">
        <is>
          <t>ÖSTHAMMAR</t>
        </is>
      </c>
      <c r="F645" t="inlineStr">
        <is>
          <t>Bergvik skog öst AB</t>
        </is>
      </c>
      <c r="G645" t="n">
        <v>7.7</v>
      </c>
      <c r="H645" t="n">
        <v>0</v>
      </c>
      <c r="I645" t="n">
        <v>0</v>
      </c>
      <c r="J645" t="n">
        <v>0</v>
      </c>
      <c r="K645" t="n">
        <v>0</v>
      </c>
      <c r="L645" t="n">
        <v>0</v>
      </c>
      <c r="M645" t="n">
        <v>0</v>
      </c>
      <c r="N645" t="n">
        <v>0</v>
      </c>
      <c r="O645" t="n">
        <v>0</v>
      </c>
      <c r="P645" t="n">
        <v>0</v>
      </c>
      <c r="Q645" t="n">
        <v>0</v>
      </c>
      <c r="R645" s="2" t="inlineStr"/>
    </row>
    <row r="646" ht="15" customHeight="1">
      <c r="A646" t="inlineStr">
        <is>
          <t>A 35474-2023</t>
        </is>
      </c>
      <c r="B646" s="1" t="n">
        <v>45146.68921296296</v>
      </c>
      <c r="C646" s="1" t="n">
        <v>46110</v>
      </c>
      <c r="D646" t="inlineStr">
        <is>
          <t>UPPSALA LÄN</t>
        </is>
      </c>
      <c r="E646" t="inlineStr">
        <is>
          <t>ÖSTHAMMAR</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26303-2024</t>
        </is>
      </c>
      <c r="B647" s="1" t="n">
        <v>45468</v>
      </c>
      <c r="C647" s="1" t="n">
        <v>46110</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44152-2024</t>
        </is>
      </c>
      <c r="B648" s="1" t="n">
        <v>45572</v>
      </c>
      <c r="C648" s="1" t="n">
        <v>46110</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4561-2022</t>
        </is>
      </c>
      <c r="B649" s="1" t="n">
        <v>44591.59170138889</v>
      </c>
      <c r="C649" s="1" t="n">
        <v>46110</v>
      </c>
      <c r="D649" t="inlineStr">
        <is>
          <t>UPPSALA LÄN</t>
        </is>
      </c>
      <c r="E649" t="inlineStr">
        <is>
          <t>ÖSTHAMMAR</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17651-2025</t>
        </is>
      </c>
      <c r="B650" s="1" t="n">
        <v>45758.33304398148</v>
      </c>
      <c r="C650" s="1" t="n">
        <v>46110</v>
      </c>
      <c r="D650" t="inlineStr">
        <is>
          <t>UPPSALA LÄN</t>
        </is>
      </c>
      <c r="E650" t="inlineStr">
        <is>
          <t>ÖSTHAMMAR</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10290-2025</t>
        </is>
      </c>
      <c r="B651" s="1" t="n">
        <v>45720.41847222222</v>
      </c>
      <c r="C651" s="1" t="n">
        <v>46110</v>
      </c>
      <c r="D651" t="inlineStr">
        <is>
          <t>UPPSALA LÄN</t>
        </is>
      </c>
      <c r="E651" t="inlineStr">
        <is>
          <t>ÖSTHAMMAR</t>
        </is>
      </c>
      <c r="G651" t="n">
        <v>8.6</v>
      </c>
      <c r="H651" t="n">
        <v>0</v>
      </c>
      <c r="I651" t="n">
        <v>0</v>
      </c>
      <c r="J651" t="n">
        <v>0</v>
      </c>
      <c r="K651" t="n">
        <v>0</v>
      </c>
      <c r="L651" t="n">
        <v>0</v>
      </c>
      <c r="M651" t="n">
        <v>0</v>
      </c>
      <c r="N651" t="n">
        <v>0</v>
      </c>
      <c r="O651" t="n">
        <v>0</v>
      </c>
      <c r="P651" t="n">
        <v>0</v>
      </c>
      <c r="Q651" t="n">
        <v>0</v>
      </c>
      <c r="R651" s="2" t="inlineStr"/>
    </row>
    <row r="652" ht="15" customHeight="1">
      <c r="A652" t="inlineStr">
        <is>
          <t>A 45102-2024</t>
        </is>
      </c>
      <c r="B652" s="1" t="n">
        <v>45575.58836805556</v>
      </c>
      <c r="C652" s="1" t="n">
        <v>46110</v>
      </c>
      <c r="D652" t="inlineStr">
        <is>
          <t>UPPSALA LÄN</t>
        </is>
      </c>
      <c r="E652" t="inlineStr">
        <is>
          <t>ÖSTHAMMAR</t>
        </is>
      </c>
      <c r="G652" t="n">
        <v>8.6</v>
      </c>
      <c r="H652" t="n">
        <v>0</v>
      </c>
      <c r="I652" t="n">
        <v>0</v>
      </c>
      <c r="J652" t="n">
        <v>0</v>
      </c>
      <c r="K652" t="n">
        <v>0</v>
      </c>
      <c r="L652" t="n">
        <v>0</v>
      </c>
      <c r="M652" t="n">
        <v>0</v>
      </c>
      <c r="N652" t="n">
        <v>0</v>
      </c>
      <c r="O652" t="n">
        <v>0</v>
      </c>
      <c r="P652" t="n">
        <v>0</v>
      </c>
      <c r="Q652" t="n">
        <v>0</v>
      </c>
      <c r="R652" s="2" t="inlineStr"/>
    </row>
    <row r="653" ht="15" customHeight="1">
      <c r="A653" t="inlineStr">
        <is>
          <t>A 45307-2023</t>
        </is>
      </c>
      <c r="B653" s="1" t="n">
        <v>45191</v>
      </c>
      <c r="C653" s="1" t="n">
        <v>46110</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6661-2024</t>
        </is>
      </c>
      <c r="B654" s="1" t="n">
        <v>45341.70582175926</v>
      </c>
      <c r="C654" s="1" t="n">
        <v>46110</v>
      </c>
      <c r="D654" t="inlineStr">
        <is>
          <t>UPPSALA LÄN</t>
        </is>
      </c>
      <c r="E654" t="inlineStr">
        <is>
          <t>ÖSTHAMMAR</t>
        </is>
      </c>
      <c r="G654" t="n">
        <v>0.2</v>
      </c>
      <c r="H654" t="n">
        <v>0</v>
      </c>
      <c r="I654" t="n">
        <v>0</v>
      </c>
      <c r="J654" t="n">
        <v>0</v>
      </c>
      <c r="K654" t="n">
        <v>0</v>
      </c>
      <c r="L654" t="n">
        <v>0</v>
      </c>
      <c r="M654" t="n">
        <v>0</v>
      </c>
      <c r="N654" t="n">
        <v>0</v>
      </c>
      <c r="O654" t="n">
        <v>0</v>
      </c>
      <c r="P654" t="n">
        <v>0</v>
      </c>
      <c r="Q654" t="n">
        <v>0</v>
      </c>
      <c r="R654" s="2" t="inlineStr"/>
    </row>
    <row r="655" ht="15" customHeight="1">
      <c r="A655" t="inlineStr">
        <is>
          <t>A 4101-2022</t>
        </is>
      </c>
      <c r="B655" s="1" t="n">
        <v>44588</v>
      </c>
      <c r="C655" s="1" t="n">
        <v>46110</v>
      </c>
      <c r="D655" t="inlineStr">
        <is>
          <t>UPPSALA LÄN</t>
        </is>
      </c>
      <c r="E655" t="inlineStr">
        <is>
          <t>ÖSTHAMMAR</t>
        </is>
      </c>
      <c r="G655" t="n">
        <v>4.4</v>
      </c>
      <c r="H655" t="n">
        <v>0</v>
      </c>
      <c r="I655" t="n">
        <v>0</v>
      </c>
      <c r="J655" t="n">
        <v>0</v>
      </c>
      <c r="K655" t="n">
        <v>0</v>
      </c>
      <c r="L655" t="n">
        <v>0</v>
      </c>
      <c r="M655" t="n">
        <v>0</v>
      </c>
      <c r="N655" t="n">
        <v>0</v>
      </c>
      <c r="O655" t="n">
        <v>0</v>
      </c>
      <c r="P655" t="n">
        <v>0</v>
      </c>
      <c r="Q655" t="n">
        <v>0</v>
      </c>
      <c r="R655" s="2" t="inlineStr"/>
    </row>
    <row r="656" ht="15" customHeight="1">
      <c r="A656" t="inlineStr">
        <is>
          <t>A 52478-2024</t>
        </is>
      </c>
      <c r="B656" s="1" t="n">
        <v>45609.55065972222</v>
      </c>
      <c r="C656" s="1" t="n">
        <v>46110</v>
      </c>
      <c r="D656" t="inlineStr">
        <is>
          <t>UPPSALA LÄN</t>
        </is>
      </c>
      <c r="E656" t="inlineStr">
        <is>
          <t>ÖSTHAMMAR</t>
        </is>
      </c>
      <c r="G656" t="n">
        <v>0.7</v>
      </c>
      <c r="H656" t="n">
        <v>0</v>
      </c>
      <c r="I656" t="n">
        <v>0</v>
      </c>
      <c r="J656" t="n">
        <v>0</v>
      </c>
      <c r="K656" t="n">
        <v>0</v>
      </c>
      <c r="L656" t="n">
        <v>0</v>
      </c>
      <c r="M656" t="n">
        <v>0</v>
      </c>
      <c r="N656" t="n">
        <v>0</v>
      </c>
      <c r="O656" t="n">
        <v>0</v>
      </c>
      <c r="P656" t="n">
        <v>0</v>
      </c>
      <c r="Q656" t="n">
        <v>0</v>
      </c>
      <c r="R656" s="2" t="inlineStr"/>
    </row>
    <row r="657" ht="15" customHeight="1">
      <c r="A657" t="inlineStr">
        <is>
          <t>A 5933-2022</t>
        </is>
      </c>
      <c r="B657" s="1" t="n">
        <v>44598.82957175926</v>
      </c>
      <c r="C657" s="1" t="n">
        <v>46110</v>
      </c>
      <c r="D657" t="inlineStr">
        <is>
          <t>UPPSALA LÄN</t>
        </is>
      </c>
      <c r="E657" t="inlineStr">
        <is>
          <t>ÖSTHAMMAR</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29873-2023</t>
        </is>
      </c>
      <c r="B658" s="1" t="n">
        <v>45107</v>
      </c>
      <c r="C658" s="1" t="n">
        <v>46110</v>
      </c>
      <c r="D658" t="inlineStr">
        <is>
          <t>UPPSALA LÄN</t>
        </is>
      </c>
      <c r="E658" t="inlineStr">
        <is>
          <t>ÖSTHAMMAR</t>
        </is>
      </c>
      <c r="F658" t="inlineStr">
        <is>
          <t>Naturvårdsverket</t>
        </is>
      </c>
      <c r="G658" t="n">
        <v>7.8</v>
      </c>
      <c r="H658" t="n">
        <v>0</v>
      </c>
      <c r="I658" t="n">
        <v>0</v>
      </c>
      <c r="J658" t="n">
        <v>0</v>
      </c>
      <c r="K658" t="n">
        <v>0</v>
      </c>
      <c r="L658" t="n">
        <v>0</v>
      </c>
      <c r="M658" t="n">
        <v>0</v>
      </c>
      <c r="N658" t="n">
        <v>0</v>
      </c>
      <c r="O658" t="n">
        <v>0</v>
      </c>
      <c r="P658" t="n">
        <v>0</v>
      </c>
      <c r="Q658" t="n">
        <v>0</v>
      </c>
      <c r="R658" s="2" t="inlineStr"/>
    </row>
    <row r="659" ht="15" customHeight="1">
      <c r="A659" t="inlineStr">
        <is>
          <t>A 13279-2022</t>
        </is>
      </c>
      <c r="B659" s="1" t="n">
        <v>44644</v>
      </c>
      <c r="C659" s="1" t="n">
        <v>46110</v>
      </c>
      <c r="D659" t="inlineStr">
        <is>
          <t>UPPSALA LÄN</t>
        </is>
      </c>
      <c r="E659" t="inlineStr">
        <is>
          <t>ÖSTHAMMAR</t>
        </is>
      </c>
      <c r="G659" t="n">
        <v>1.4</v>
      </c>
      <c r="H659" t="n">
        <v>0</v>
      </c>
      <c r="I659" t="n">
        <v>0</v>
      </c>
      <c r="J659" t="n">
        <v>0</v>
      </c>
      <c r="K659" t="n">
        <v>0</v>
      </c>
      <c r="L659" t="n">
        <v>0</v>
      </c>
      <c r="M659" t="n">
        <v>0</v>
      </c>
      <c r="N659" t="n">
        <v>0</v>
      </c>
      <c r="O659" t="n">
        <v>0</v>
      </c>
      <c r="P659" t="n">
        <v>0</v>
      </c>
      <c r="Q659" t="n">
        <v>0</v>
      </c>
      <c r="R659" s="2" t="inlineStr"/>
    </row>
    <row r="660" ht="15" customHeight="1">
      <c r="A660" t="inlineStr">
        <is>
          <t>A 6892-2022</t>
        </is>
      </c>
      <c r="B660" s="1" t="n">
        <v>44602</v>
      </c>
      <c r="C660" s="1" t="n">
        <v>46110</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13044-2022</t>
        </is>
      </c>
      <c r="B661" s="1" t="n">
        <v>44643</v>
      </c>
      <c r="C661" s="1" t="n">
        <v>46110</v>
      </c>
      <c r="D661" t="inlineStr">
        <is>
          <t>UPPSALA LÄN</t>
        </is>
      </c>
      <c r="E661" t="inlineStr">
        <is>
          <t>ÖSTHAMMAR</t>
        </is>
      </c>
      <c r="G661" t="n">
        <v>2.5</v>
      </c>
      <c r="H661" t="n">
        <v>0</v>
      </c>
      <c r="I661" t="n">
        <v>0</v>
      </c>
      <c r="J661" t="n">
        <v>0</v>
      </c>
      <c r="K661" t="n">
        <v>0</v>
      </c>
      <c r="L661" t="n">
        <v>0</v>
      </c>
      <c r="M661" t="n">
        <v>0</v>
      </c>
      <c r="N661" t="n">
        <v>0</v>
      </c>
      <c r="O661" t="n">
        <v>0</v>
      </c>
      <c r="P661" t="n">
        <v>0</v>
      </c>
      <c r="Q661" t="n">
        <v>0</v>
      </c>
      <c r="R661" s="2" t="inlineStr"/>
    </row>
    <row r="662" ht="15" customHeight="1">
      <c r="A662" t="inlineStr">
        <is>
          <t>A 8763-2025</t>
        </is>
      </c>
      <c r="B662" s="1" t="n">
        <v>45712.57872685185</v>
      </c>
      <c r="C662" s="1" t="n">
        <v>46110</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8623-2025</t>
        </is>
      </c>
      <c r="B663" s="1" t="n">
        <v>45711.51902777778</v>
      </c>
      <c r="C663" s="1" t="n">
        <v>46110</v>
      </c>
      <c r="D663" t="inlineStr">
        <is>
          <t>UPPSALA LÄN</t>
        </is>
      </c>
      <c r="E663" t="inlineStr">
        <is>
          <t>ÖSTHAMMAR</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8626-2025</t>
        </is>
      </c>
      <c r="B664" s="1" t="n">
        <v>45711.53565972222</v>
      </c>
      <c r="C664" s="1" t="n">
        <v>46110</v>
      </c>
      <c r="D664" t="inlineStr">
        <is>
          <t>UPPSALA LÄN</t>
        </is>
      </c>
      <c r="E664" t="inlineStr">
        <is>
          <t>ÖSTHAMMAR</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52694-2023</t>
        </is>
      </c>
      <c r="B665" s="1" t="n">
        <v>45225.76836805556</v>
      </c>
      <c r="C665" s="1" t="n">
        <v>46110</v>
      </c>
      <c r="D665" t="inlineStr">
        <is>
          <t>UPPSALA LÄN</t>
        </is>
      </c>
      <c r="E665" t="inlineStr">
        <is>
          <t>ÖSTHAMMAR</t>
        </is>
      </c>
      <c r="G665" t="n">
        <v>0.8</v>
      </c>
      <c r="H665" t="n">
        <v>0</v>
      </c>
      <c r="I665" t="n">
        <v>0</v>
      </c>
      <c r="J665" t="n">
        <v>0</v>
      </c>
      <c r="K665" t="n">
        <v>0</v>
      </c>
      <c r="L665" t="n">
        <v>0</v>
      </c>
      <c r="M665" t="n">
        <v>0</v>
      </c>
      <c r="N665" t="n">
        <v>0</v>
      </c>
      <c r="O665" t="n">
        <v>0</v>
      </c>
      <c r="P665" t="n">
        <v>0</v>
      </c>
      <c r="Q665" t="n">
        <v>0</v>
      </c>
      <c r="R665" s="2" t="inlineStr"/>
    </row>
    <row r="666" ht="15" customHeight="1">
      <c r="A666" t="inlineStr">
        <is>
          <t>A 5303-2025</t>
        </is>
      </c>
      <c r="B666" s="1" t="n">
        <v>45692</v>
      </c>
      <c r="C666" s="1" t="n">
        <v>46110</v>
      </c>
      <c r="D666" t="inlineStr">
        <is>
          <t>UPPSALA LÄN</t>
        </is>
      </c>
      <c r="E666" t="inlineStr">
        <is>
          <t>ÖSTHAMMAR</t>
        </is>
      </c>
      <c r="G666" t="n">
        <v>5</v>
      </c>
      <c r="H666" t="n">
        <v>0</v>
      </c>
      <c r="I666" t="n">
        <v>0</v>
      </c>
      <c r="J666" t="n">
        <v>0</v>
      </c>
      <c r="K666" t="n">
        <v>0</v>
      </c>
      <c r="L666" t="n">
        <v>0</v>
      </c>
      <c r="M666" t="n">
        <v>0</v>
      </c>
      <c r="N666" t="n">
        <v>0</v>
      </c>
      <c r="O666" t="n">
        <v>0</v>
      </c>
      <c r="P666" t="n">
        <v>0</v>
      </c>
      <c r="Q666" t="n">
        <v>0</v>
      </c>
      <c r="R666" s="2" t="inlineStr"/>
    </row>
    <row r="667" ht="15" customHeight="1">
      <c r="A667" t="inlineStr">
        <is>
          <t>A 24493-2023</t>
        </is>
      </c>
      <c r="B667" s="1" t="n">
        <v>45082.62603009259</v>
      </c>
      <c r="C667" s="1" t="n">
        <v>46110</v>
      </c>
      <c r="D667" t="inlineStr">
        <is>
          <t>UPPSALA LÄN</t>
        </is>
      </c>
      <c r="E667" t="inlineStr">
        <is>
          <t>ÖSTHAMMAR</t>
        </is>
      </c>
      <c r="G667" t="n">
        <v>1.9</v>
      </c>
      <c r="H667" t="n">
        <v>0</v>
      </c>
      <c r="I667" t="n">
        <v>0</v>
      </c>
      <c r="J667" t="n">
        <v>0</v>
      </c>
      <c r="K667" t="n">
        <v>0</v>
      </c>
      <c r="L667" t="n">
        <v>0</v>
      </c>
      <c r="M667" t="n">
        <v>0</v>
      </c>
      <c r="N667" t="n">
        <v>0</v>
      </c>
      <c r="O667" t="n">
        <v>0</v>
      </c>
      <c r="P667" t="n">
        <v>0</v>
      </c>
      <c r="Q667" t="n">
        <v>0</v>
      </c>
      <c r="R667" s="2" t="inlineStr"/>
    </row>
    <row r="668" ht="15" customHeight="1">
      <c r="A668" t="inlineStr">
        <is>
          <t>A 34742-2022</t>
        </is>
      </c>
      <c r="B668" s="1" t="n">
        <v>44795.61990740741</v>
      </c>
      <c r="C668" s="1" t="n">
        <v>46110</v>
      </c>
      <c r="D668" t="inlineStr">
        <is>
          <t>UPPSALA LÄN</t>
        </is>
      </c>
      <c r="E668" t="inlineStr">
        <is>
          <t>ÖSTHAMMAR</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13622-2025</t>
        </is>
      </c>
      <c r="B669" s="1" t="n">
        <v>45736</v>
      </c>
      <c r="C669" s="1" t="n">
        <v>46110</v>
      </c>
      <c r="D669" t="inlineStr">
        <is>
          <t>UPPSALA LÄN</t>
        </is>
      </c>
      <c r="E669" t="inlineStr">
        <is>
          <t>ÖSTHAMMAR</t>
        </is>
      </c>
      <c r="G669" t="n">
        <v>2.6</v>
      </c>
      <c r="H669" t="n">
        <v>0</v>
      </c>
      <c r="I669" t="n">
        <v>0</v>
      </c>
      <c r="J669" t="n">
        <v>0</v>
      </c>
      <c r="K669" t="n">
        <v>0</v>
      </c>
      <c r="L669" t="n">
        <v>0</v>
      </c>
      <c r="M669" t="n">
        <v>0</v>
      </c>
      <c r="N669" t="n">
        <v>0</v>
      </c>
      <c r="O669" t="n">
        <v>0</v>
      </c>
      <c r="P669" t="n">
        <v>0</v>
      </c>
      <c r="Q669" t="n">
        <v>0</v>
      </c>
      <c r="R669" s="2" t="inlineStr"/>
    </row>
    <row r="670" ht="15" customHeight="1">
      <c r="A670" t="inlineStr">
        <is>
          <t>A 46399-2023</t>
        </is>
      </c>
      <c r="B670" s="1" t="n">
        <v>45197.49262731482</v>
      </c>
      <c r="C670" s="1" t="n">
        <v>46110</v>
      </c>
      <c r="D670" t="inlineStr">
        <is>
          <t>UPPSALA LÄN</t>
        </is>
      </c>
      <c r="E670" t="inlineStr">
        <is>
          <t>ÖSTHAMMAR</t>
        </is>
      </c>
      <c r="G670" t="n">
        <v>5.8</v>
      </c>
      <c r="H670" t="n">
        <v>0</v>
      </c>
      <c r="I670" t="n">
        <v>0</v>
      </c>
      <c r="J670" t="n">
        <v>0</v>
      </c>
      <c r="K670" t="n">
        <v>0</v>
      </c>
      <c r="L670" t="n">
        <v>0</v>
      </c>
      <c r="M670" t="n">
        <v>0</v>
      </c>
      <c r="N670" t="n">
        <v>0</v>
      </c>
      <c r="O670" t="n">
        <v>0</v>
      </c>
      <c r="P670" t="n">
        <v>0</v>
      </c>
      <c r="Q670" t="n">
        <v>0</v>
      </c>
      <c r="R670" s="2" t="inlineStr"/>
    </row>
    <row r="671" ht="15" customHeight="1">
      <c r="A671" t="inlineStr">
        <is>
          <t>A 13358-2024</t>
        </is>
      </c>
      <c r="B671" s="1" t="n">
        <v>45387.3503125</v>
      </c>
      <c r="C671" s="1" t="n">
        <v>46110</v>
      </c>
      <c r="D671" t="inlineStr">
        <is>
          <t>UPPSALA LÄN</t>
        </is>
      </c>
      <c r="E671" t="inlineStr">
        <is>
          <t>ÖSTHAMMAR</t>
        </is>
      </c>
      <c r="G671" t="n">
        <v>2.2</v>
      </c>
      <c r="H671" t="n">
        <v>0</v>
      </c>
      <c r="I671" t="n">
        <v>0</v>
      </c>
      <c r="J671" t="n">
        <v>0</v>
      </c>
      <c r="K671" t="n">
        <v>0</v>
      </c>
      <c r="L671" t="n">
        <v>0</v>
      </c>
      <c r="M671" t="n">
        <v>0</v>
      </c>
      <c r="N671" t="n">
        <v>0</v>
      </c>
      <c r="O671" t="n">
        <v>0</v>
      </c>
      <c r="P671" t="n">
        <v>0</v>
      </c>
      <c r="Q671" t="n">
        <v>0</v>
      </c>
      <c r="R671" s="2" t="inlineStr"/>
    </row>
    <row r="672" ht="15" customHeight="1">
      <c r="A672" t="inlineStr">
        <is>
          <t>A 55079-2024</t>
        </is>
      </c>
      <c r="B672" s="1" t="n">
        <v>45621.42747685185</v>
      </c>
      <c r="C672" s="1" t="n">
        <v>46110</v>
      </c>
      <c r="D672" t="inlineStr">
        <is>
          <t>UPPSALA LÄN</t>
        </is>
      </c>
      <c r="E672" t="inlineStr">
        <is>
          <t>ÖSTHAMMAR</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36873-2022</t>
        </is>
      </c>
      <c r="B673" s="1" t="n">
        <v>44805.63708333333</v>
      </c>
      <c r="C673" s="1" t="n">
        <v>46110</v>
      </c>
      <c r="D673" t="inlineStr">
        <is>
          <t>UPPSALA LÄN</t>
        </is>
      </c>
      <c r="E673" t="inlineStr">
        <is>
          <t>ÖSTHAMMAR</t>
        </is>
      </c>
      <c r="G673" t="n">
        <v>2.5</v>
      </c>
      <c r="H673" t="n">
        <v>0</v>
      </c>
      <c r="I673" t="n">
        <v>0</v>
      </c>
      <c r="J673" t="n">
        <v>0</v>
      </c>
      <c r="K673" t="n">
        <v>0</v>
      </c>
      <c r="L673" t="n">
        <v>0</v>
      </c>
      <c r="M673" t="n">
        <v>0</v>
      </c>
      <c r="N673" t="n">
        <v>0</v>
      </c>
      <c r="O673" t="n">
        <v>0</v>
      </c>
      <c r="P673" t="n">
        <v>0</v>
      </c>
      <c r="Q673" t="n">
        <v>0</v>
      </c>
      <c r="R673" s="2" t="inlineStr"/>
    </row>
    <row r="674" ht="15" customHeight="1">
      <c r="A674" t="inlineStr">
        <is>
          <t>A 53733-2023</t>
        </is>
      </c>
      <c r="B674" s="1" t="n">
        <v>45230.76862268519</v>
      </c>
      <c r="C674" s="1" t="n">
        <v>46110</v>
      </c>
      <c r="D674" t="inlineStr">
        <is>
          <t>UPPSALA LÄN</t>
        </is>
      </c>
      <c r="E674" t="inlineStr">
        <is>
          <t>ÖSTHAMMAR</t>
        </is>
      </c>
      <c r="G674" t="n">
        <v>1.1</v>
      </c>
      <c r="H674" t="n">
        <v>0</v>
      </c>
      <c r="I674" t="n">
        <v>0</v>
      </c>
      <c r="J674" t="n">
        <v>0</v>
      </c>
      <c r="K674" t="n">
        <v>0</v>
      </c>
      <c r="L674" t="n">
        <v>0</v>
      </c>
      <c r="M674" t="n">
        <v>0</v>
      </c>
      <c r="N674" t="n">
        <v>0</v>
      </c>
      <c r="O674" t="n">
        <v>0</v>
      </c>
      <c r="P674" t="n">
        <v>0</v>
      </c>
      <c r="Q674" t="n">
        <v>0</v>
      </c>
      <c r="R674" s="2" t="inlineStr"/>
    </row>
    <row r="675" ht="15" customHeight="1">
      <c r="A675" t="inlineStr">
        <is>
          <t>A 53735-2023</t>
        </is>
      </c>
      <c r="B675" s="1" t="n">
        <v>45230.77258101852</v>
      </c>
      <c r="C675" s="1" t="n">
        <v>46110</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21522-2022</t>
        </is>
      </c>
      <c r="B676" s="1" t="n">
        <v>44706</v>
      </c>
      <c r="C676" s="1" t="n">
        <v>46110</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14187-2022</t>
        </is>
      </c>
      <c r="B677" s="1" t="n">
        <v>44651.5625</v>
      </c>
      <c r="C677" s="1" t="n">
        <v>46110</v>
      </c>
      <c r="D677" t="inlineStr">
        <is>
          <t>UPPSALA LÄN</t>
        </is>
      </c>
      <c r="E677" t="inlineStr">
        <is>
          <t>ÖSTHAMMAR</t>
        </is>
      </c>
      <c r="F677" t="inlineStr">
        <is>
          <t>Övriga Aktiebolag</t>
        </is>
      </c>
      <c r="G677" t="n">
        <v>14.1</v>
      </c>
      <c r="H677" t="n">
        <v>0</v>
      </c>
      <c r="I677" t="n">
        <v>0</v>
      </c>
      <c r="J677" t="n">
        <v>0</v>
      </c>
      <c r="K677" t="n">
        <v>0</v>
      </c>
      <c r="L677" t="n">
        <v>0</v>
      </c>
      <c r="M677" t="n">
        <v>0</v>
      </c>
      <c r="N677" t="n">
        <v>0</v>
      </c>
      <c r="O677" t="n">
        <v>0</v>
      </c>
      <c r="P677" t="n">
        <v>0</v>
      </c>
      <c r="Q677" t="n">
        <v>0</v>
      </c>
      <c r="R677" s="2" t="inlineStr"/>
    </row>
    <row r="678" ht="15" customHeight="1">
      <c r="A678" t="inlineStr">
        <is>
          <t>A 7997-2022</t>
        </is>
      </c>
      <c r="B678" s="1" t="n">
        <v>44609</v>
      </c>
      <c r="C678" s="1" t="n">
        <v>46110</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4676-2025</t>
        </is>
      </c>
      <c r="B679" s="1" t="n">
        <v>45687.8313425926</v>
      </c>
      <c r="C679" s="1" t="n">
        <v>46110</v>
      </c>
      <c r="D679" t="inlineStr">
        <is>
          <t>UPPSALA LÄN</t>
        </is>
      </c>
      <c r="E679" t="inlineStr">
        <is>
          <t>ÖSTHAMMAR</t>
        </is>
      </c>
      <c r="G679" t="n">
        <v>3.7</v>
      </c>
      <c r="H679" t="n">
        <v>0</v>
      </c>
      <c r="I679" t="n">
        <v>0</v>
      </c>
      <c r="J679" t="n">
        <v>0</v>
      </c>
      <c r="K679" t="n">
        <v>0</v>
      </c>
      <c r="L679" t="n">
        <v>0</v>
      </c>
      <c r="M679" t="n">
        <v>0</v>
      </c>
      <c r="N679" t="n">
        <v>0</v>
      </c>
      <c r="O679" t="n">
        <v>0</v>
      </c>
      <c r="P679" t="n">
        <v>0</v>
      </c>
      <c r="Q679" t="n">
        <v>0</v>
      </c>
      <c r="R679" s="2" t="inlineStr"/>
    </row>
    <row r="680" ht="15" customHeight="1">
      <c r="A680" t="inlineStr">
        <is>
          <t>A 55837-2023</t>
        </is>
      </c>
      <c r="B680" s="1" t="n">
        <v>45239</v>
      </c>
      <c r="C680" s="1" t="n">
        <v>46110</v>
      </c>
      <c r="D680" t="inlineStr">
        <is>
          <t>UPPSALA LÄN</t>
        </is>
      </c>
      <c r="E680" t="inlineStr">
        <is>
          <t>ÖSTHAMMAR</t>
        </is>
      </c>
      <c r="G680" t="n">
        <v>0.5</v>
      </c>
      <c r="H680" t="n">
        <v>0</v>
      </c>
      <c r="I680" t="n">
        <v>0</v>
      </c>
      <c r="J680" t="n">
        <v>0</v>
      </c>
      <c r="K680" t="n">
        <v>0</v>
      </c>
      <c r="L680" t="n">
        <v>0</v>
      </c>
      <c r="M680" t="n">
        <v>0</v>
      </c>
      <c r="N680" t="n">
        <v>0</v>
      </c>
      <c r="O680" t="n">
        <v>0</v>
      </c>
      <c r="P680" t="n">
        <v>0</v>
      </c>
      <c r="Q680" t="n">
        <v>0</v>
      </c>
      <c r="R680" s="2" t="inlineStr"/>
    </row>
    <row r="681" ht="15" customHeight="1">
      <c r="A681" t="inlineStr">
        <is>
          <t>A 13093-2022</t>
        </is>
      </c>
      <c r="B681" s="1" t="n">
        <v>44643.93269675926</v>
      </c>
      <c r="C681" s="1" t="n">
        <v>46110</v>
      </c>
      <c r="D681" t="inlineStr">
        <is>
          <t>UPPSALA LÄN</t>
        </is>
      </c>
      <c r="E681" t="inlineStr">
        <is>
          <t>ÖSTHAMMAR</t>
        </is>
      </c>
      <c r="F681" t="inlineStr">
        <is>
          <t>Bergvik skog öst AB</t>
        </is>
      </c>
      <c r="G681" t="n">
        <v>3.2</v>
      </c>
      <c r="H681" t="n">
        <v>0</v>
      </c>
      <c r="I681" t="n">
        <v>0</v>
      </c>
      <c r="J681" t="n">
        <v>0</v>
      </c>
      <c r="K681" t="n">
        <v>0</v>
      </c>
      <c r="L681" t="n">
        <v>0</v>
      </c>
      <c r="M681" t="n">
        <v>0</v>
      </c>
      <c r="N681" t="n">
        <v>0</v>
      </c>
      <c r="O681" t="n">
        <v>0</v>
      </c>
      <c r="P681" t="n">
        <v>0</v>
      </c>
      <c r="Q681" t="n">
        <v>0</v>
      </c>
      <c r="R681" s="2" t="inlineStr"/>
    </row>
    <row r="682" ht="15" customHeight="1">
      <c r="A682" t="inlineStr">
        <is>
          <t>A 45795-2023</t>
        </is>
      </c>
      <c r="B682" s="1" t="n">
        <v>45195</v>
      </c>
      <c r="C682" s="1" t="n">
        <v>46110</v>
      </c>
      <c r="D682" t="inlineStr">
        <is>
          <t>UPPSALA LÄN</t>
        </is>
      </c>
      <c r="E682" t="inlineStr">
        <is>
          <t>ÖSTHAMMAR</t>
        </is>
      </c>
      <c r="G682" t="n">
        <v>4</v>
      </c>
      <c r="H682" t="n">
        <v>0</v>
      </c>
      <c r="I682" t="n">
        <v>0</v>
      </c>
      <c r="J682" t="n">
        <v>0</v>
      </c>
      <c r="K682" t="n">
        <v>0</v>
      </c>
      <c r="L682" t="n">
        <v>0</v>
      </c>
      <c r="M682" t="n">
        <v>0</v>
      </c>
      <c r="N682" t="n">
        <v>0</v>
      </c>
      <c r="O682" t="n">
        <v>0</v>
      </c>
      <c r="P682" t="n">
        <v>0</v>
      </c>
      <c r="Q682" t="n">
        <v>0</v>
      </c>
      <c r="R682" s="2" t="inlineStr"/>
    </row>
    <row r="683" ht="15" customHeight="1">
      <c r="A683" t="inlineStr">
        <is>
          <t>A 38600-2023</t>
        </is>
      </c>
      <c r="B683" s="1" t="n">
        <v>45162</v>
      </c>
      <c r="C683" s="1" t="n">
        <v>46110</v>
      </c>
      <c r="D683" t="inlineStr">
        <is>
          <t>UPPSALA LÄN</t>
        </is>
      </c>
      <c r="E683" t="inlineStr">
        <is>
          <t>ÖSTHAMMAR</t>
        </is>
      </c>
      <c r="F683" t="inlineStr">
        <is>
          <t>Bergvik skog väst AB</t>
        </is>
      </c>
      <c r="G683" t="n">
        <v>0.1</v>
      </c>
      <c r="H683" t="n">
        <v>0</v>
      </c>
      <c r="I683" t="n">
        <v>0</v>
      </c>
      <c r="J683" t="n">
        <v>0</v>
      </c>
      <c r="K683" t="n">
        <v>0</v>
      </c>
      <c r="L683" t="n">
        <v>0</v>
      </c>
      <c r="M683" t="n">
        <v>0</v>
      </c>
      <c r="N683" t="n">
        <v>0</v>
      </c>
      <c r="O683" t="n">
        <v>0</v>
      </c>
      <c r="P683" t="n">
        <v>0</v>
      </c>
      <c r="Q683" t="n">
        <v>0</v>
      </c>
      <c r="R683" s="2" t="inlineStr"/>
    </row>
    <row r="684" ht="15" customHeight="1">
      <c r="A684" t="inlineStr">
        <is>
          <t>A 8624-2025</t>
        </is>
      </c>
      <c r="B684" s="1" t="n">
        <v>45711.52333333333</v>
      </c>
      <c r="C684" s="1" t="n">
        <v>46110</v>
      </c>
      <c r="D684" t="inlineStr">
        <is>
          <t>UPPSALA LÄN</t>
        </is>
      </c>
      <c r="E684" t="inlineStr">
        <is>
          <t>ÖSTHAMMAR</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17644-2025</t>
        </is>
      </c>
      <c r="B685" s="1" t="n">
        <v>45758.32645833334</v>
      </c>
      <c r="C685" s="1" t="n">
        <v>46110</v>
      </c>
      <c r="D685" t="inlineStr">
        <is>
          <t>UPPSALA LÄN</t>
        </is>
      </c>
      <c r="E685" t="inlineStr">
        <is>
          <t>ÖSTHAMMAR</t>
        </is>
      </c>
      <c r="F685" t="inlineStr">
        <is>
          <t>Bergvik skog väst AB</t>
        </is>
      </c>
      <c r="G685" t="n">
        <v>6.1</v>
      </c>
      <c r="H685" t="n">
        <v>0</v>
      </c>
      <c r="I685" t="n">
        <v>0</v>
      </c>
      <c r="J685" t="n">
        <v>0</v>
      </c>
      <c r="K685" t="n">
        <v>0</v>
      </c>
      <c r="L685" t="n">
        <v>0</v>
      </c>
      <c r="M685" t="n">
        <v>0</v>
      </c>
      <c r="N685" t="n">
        <v>0</v>
      </c>
      <c r="O685" t="n">
        <v>0</v>
      </c>
      <c r="P685" t="n">
        <v>0</v>
      </c>
      <c r="Q685" t="n">
        <v>0</v>
      </c>
      <c r="R685" s="2" t="inlineStr"/>
    </row>
    <row r="686" ht="15" customHeight="1">
      <c r="A686" t="inlineStr">
        <is>
          <t>A 20385-2025</t>
        </is>
      </c>
      <c r="B686" s="1" t="n">
        <v>45775.44483796296</v>
      </c>
      <c r="C686" s="1" t="n">
        <v>46110</v>
      </c>
      <c r="D686" t="inlineStr">
        <is>
          <t>UPPSALA LÄN</t>
        </is>
      </c>
      <c r="E686" t="inlineStr">
        <is>
          <t>ÖSTHAMMAR</t>
        </is>
      </c>
      <c r="G686" t="n">
        <v>1.9</v>
      </c>
      <c r="H686" t="n">
        <v>0</v>
      </c>
      <c r="I686" t="n">
        <v>0</v>
      </c>
      <c r="J686" t="n">
        <v>0</v>
      </c>
      <c r="K686" t="n">
        <v>0</v>
      </c>
      <c r="L686" t="n">
        <v>0</v>
      </c>
      <c r="M686" t="n">
        <v>0</v>
      </c>
      <c r="N686" t="n">
        <v>0</v>
      </c>
      <c r="O686" t="n">
        <v>0</v>
      </c>
      <c r="P686" t="n">
        <v>0</v>
      </c>
      <c r="Q686" t="n">
        <v>0</v>
      </c>
      <c r="R686" s="2" t="inlineStr"/>
    </row>
    <row r="687" ht="15" customHeight="1">
      <c r="A687" t="inlineStr">
        <is>
          <t>A 18183-2022</t>
        </is>
      </c>
      <c r="B687" s="1" t="n">
        <v>44684</v>
      </c>
      <c r="C687" s="1" t="n">
        <v>46110</v>
      </c>
      <c r="D687" t="inlineStr">
        <is>
          <t>UPPSALA LÄN</t>
        </is>
      </c>
      <c r="E687" t="inlineStr">
        <is>
          <t>ÖSTHAMMAR</t>
        </is>
      </c>
      <c r="G687" t="n">
        <v>0.2</v>
      </c>
      <c r="H687" t="n">
        <v>0</v>
      </c>
      <c r="I687" t="n">
        <v>0</v>
      </c>
      <c r="J687" t="n">
        <v>0</v>
      </c>
      <c r="K687" t="n">
        <v>0</v>
      </c>
      <c r="L687" t="n">
        <v>0</v>
      </c>
      <c r="M687" t="n">
        <v>0</v>
      </c>
      <c r="N687" t="n">
        <v>0</v>
      </c>
      <c r="O687" t="n">
        <v>0</v>
      </c>
      <c r="P687" t="n">
        <v>0</v>
      </c>
      <c r="Q687" t="n">
        <v>0</v>
      </c>
      <c r="R687" s="2" t="inlineStr"/>
    </row>
    <row r="688" ht="15" customHeight="1">
      <c r="A688" t="inlineStr">
        <is>
          <t>A 4304-2025</t>
        </is>
      </c>
      <c r="B688" s="1" t="n">
        <v>45685.68193287037</v>
      </c>
      <c r="C688" s="1" t="n">
        <v>46110</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28170-2023</t>
        </is>
      </c>
      <c r="B689" s="1" t="n">
        <v>45093</v>
      </c>
      <c r="C689" s="1" t="n">
        <v>46110</v>
      </c>
      <c r="D689" t="inlineStr">
        <is>
          <t>UPPSALA LÄN</t>
        </is>
      </c>
      <c r="E689" t="inlineStr">
        <is>
          <t>ÖSTHAMMAR</t>
        </is>
      </c>
      <c r="G689" t="n">
        <v>7.2</v>
      </c>
      <c r="H689" t="n">
        <v>0</v>
      </c>
      <c r="I689" t="n">
        <v>0</v>
      </c>
      <c r="J689" t="n">
        <v>0</v>
      </c>
      <c r="K689" t="n">
        <v>0</v>
      </c>
      <c r="L689" t="n">
        <v>0</v>
      </c>
      <c r="M689" t="n">
        <v>0</v>
      </c>
      <c r="N689" t="n">
        <v>0</v>
      </c>
      <c r="O689" t="n">
        <v>0</v>
      </c>
      <c r="P689" t="n">
        <v>0</v>
      </c>
      <c r="Q689" t="n">
        <v>0</v>
      </c>
      <c r="R689" s="2" t="inlineStr"/>
    </row>
    <row r="690" ht="15" customHeight="1">
      <c r="A690" t="inlineStr">
        <is>
          <t>A 16933-2022</t>
        </is>
      </c>
      <c r="B690" s="1" t="n">
        <v>44676</v>
      </c>
      <c r="C690" s="1" t="n">
        <v>46110</v>
      </c>
      <c r="D690" t="inlineStr">
        <is>
          <t>UPPSALA LÄN</t>
        </is>
      </c>
      <c r="E690" t="inlineStr">
        <is>
          <t>ÖSTHAMMAR</t>
        </is>
      </c>
      <c r="G690" t="n">
        <v>1.3</v>
      </c>
      <c r="H690" t="n">
        <v>0</v>
      </c>
      <c r="I690" t="n">
        <v>0</v>
      </c>
      <c r="J690" t="n">
        <v>0</v>
      </c>
      <c r="K690" t="n">
        <v>0</v>
      </c>
      <c r="L690" t="n">
        <v>0</v>
      </c>
      <c r="M690" t="n">
        <v>0</v>
      </c>
      <c r="N690" t="n">
        <v>0</v>
      </c>
      <c r="O690" t="n">
        <v>0</v>
      </c>
      <c r="P690" t="n">
        <v>0</v>
      </c>
      <c r="Q690" t="n">
        <v>0</v>
      </c>
      <c r="R690" s="2" t="inlineStr"/>
    </row>
    <row r="691" ht="15" customHeight="1">
      <c r="A691" t="inlineStr">
        <is>
          <t>A 23741-2024</t>
        </is>
      </c>
      <c r="B691" s="1" t="n">
        <v>45455</v>
      </c>
      <c r="C691" s="1" t="n">
        <v>46110</v>
      </c>
      <c r="D691" t="inlineStr">
        <is>
          <t>UPPSALA LÄN</t>
        </is>
      </c>
      <c r="E691" t="inlineStr">
        <is>
          <t>ÖSTHAMMAR</t>
        </is>
      </c>
      <c r="F691" t="inlineStr">
        <is>
          <t>Bergvik skog öst AB</t>
        </is>
      </c>
      <c r="G691" t="n">
        <v>1.9</v>
      </c>
      <c r="H691" t="n">
        <v>0</v>
      </c>
      <c r="I691" t="n">
        <v>0</v>
      </c>
      <c r="J691" t="n">
        <v>0</v>
      </c>
      <c r="K691" t="n">
        <v>0</v>
      </c>
      <c r="L691" t="n">
        <v>0</v>
      </c>
      <c r="M691" t="n">
        <v>0</v>
      </c>
      <c r="N691" t="n">
        <v>0</v>
      </c>
      <c r="O691" t="n">
        <v>0</v>
      </c>
      <c r="P691" t="n">
        <v>0</v>
      </c>
      <c r="Q691" t="n">
        <v>0</v>
      </c>
      <c r="R691" s="2" t="inlineStr"/>
    </row>
    <row r="692" ht="15" customHeight="1">
      <c r="A692" t="inlineStr">
        <is>
          <t>A 9264-2024</t>
        </is>
      </c>
      <c r="B692" s="1" t="n">
        <v>45358</v>
      </c>
      <c r="C692" s="1" t="n">
        <v>46110</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57043-2022</t>
        </is>
      </c>
      <c r="B693" s="1" t="n">
        <v>44895.36748842592</v>
      </c>
      <c r="C693" s="1" t="n">
        <v>46110</v>
      </c>
      <c r="D693" t="inlineStr">
        <is>
          <t>UPPSALA LÄN</t>
        </is>
      </c>
      <c r="E693" t="inlineStr">
        <is>
          <t>ÖSTHAMMAR</t>
        </is>
      </c>
      <c r="F693" t="inlineStr">
        <is>
          <t>Bergvik skog öst AB</t>
        </is>
      </c>
      <c r="G693" t="n">
        <v>5.7</v>
      </c>
      <c r="H693" t="n">
        <v>0</v>
      </c>
      <c r="I693" t="n">
        <v>0</v>
      </c>
      <c r="J693" t="n">
        <v>0</v>
      </c>
      <c r="K693" t="n">
        <v>0</v>
      </c>
      <c r="L693" t="n">
        <v>0</v>
      </c>
      <c r="M693" t="n">
        <v>0</v>
      </c>
      <c r="N693" t="n">
        <v>0</v>
      </c>
      <c r="O693" t="n">
        <v>0</v>
      </c>
      <c r="P693" t="n">
        <v>0</v>
      </c>
      <c r="Q693" t="n">
        <v>0</v>
      </c>
      <c r="R693" s="2" t="inlineStr"/>
    </row>
    <row r="694" ht="15" customHeight="1">
      <c r="A694" t="inlineStr">
        <is>
          <t>A 47390-2023</t>
        </is>
      </c>
      <c r="B694" s="1" t="n">
        <v>45202</v>
      </c>
      <c r="C694" s="1" t="n">
        <v>46110</v>
      </c>
      <c r="D694" t="inlineStr">
        <is>
          <t>UPPSALA LÄN</t>
        </is>
      </c>
      <c r="E694" t="inlineStr">
        <is>
          <t>ÖSTHAMMAR</t>
        </is>
      </c>
      <c r="G694" t="n">
        <v>3.7</v>
      </c>
      <c r="H694" t="n">
        <v>0</v>
      </c>
      <c r="I694" t="n">
        <v>0</v>
      </c>
      <c r="J694" t="n">
        <v>0</v>
      </c>
      <c r="K694" t="n">
        <v>0</v>
      </c>
      <c r="L694" t="n">
        <v>0</v>
      </c>
      <c r="M694" t="n">
        <v>0</v>
      </c>
      <c r="N694" t="n">
        <v>0</v>
      </c>
      <c r="O694" t="n">
        <v>0</v>
      </c>
      <c r="P694" t="n">
        <v>0</v>
      </c>
      <c r="Q694" t="n">
        <v>0</v>
      </c>
      <c r="R694" s="2" t="inlineStr"/>
    </row>
    <row r="695" ht="15" customHeight="1">
      <c r="A695" t="inlineStr">
        <is>
          <t>A 15928-2022</t>
        </is>
      </c>
      <c r="B695" s="1" t="n">
        <v>44664</v>
      </c>
      <c r="C695" s="1" t="n">
        <v>46110</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28228-2022</t>
        </is>
      </c>
      <c r="B696" s="1" t="n">
        <v>44746.65873842593</v>
      </c>
      <c r="C696" s="1" t="n">
        <v>46110</v>
      </c>
      <c r="D696" t="inlineStr">
        <is>
          <t>UPPSALA LÄN</t>
        </is>
      </c>
      <c r="E696" t="inlineStr">
        <is>
          <t>ÖSTHAMMAR</t>
        </is>
      </c>
      <c r="G696" t="n">
        <v>2.7</v>
      </c>
      <c r="H696" t="n">
        <v>0</v>
      </c>
      <c r="I696" t="n">
        <v>0</v>
      </c>
      <c r="J696" t="n">
        <v>0</v>
      </c>
      <c r="K696" t="n">
        <v>0</v>
      </c>
      <c r="L696" t="n">
        <v>0</v>
      </c>
      <c r="M696" t="n">
        <v>0</v>
      </c>
      <c r="N696" t="n">
        <v>0</v>
      </c>
      <c r="O696" t="n">
        <v>0</v>
      </c>
      <c r="P696" t="n">
        <v>0</v>
      </c>
      <c r="Q696" t="n">
        <v>0</v>
      </c>
      <c r="R696" s="2" t="inlineStr"/>
    </row>
    <row r="697" ht="15" customHeight="1">
      <c r="A697" t="inlineStr">
        <is>
          <t>A 15445-2022</t>
        </is>
      </c>
      <c r="B697" s="1" t="n">
        <v>44660.4987962963</v>
      </c>
      <c r="C697" s="1" t="n">
        <v>46110</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10275-2025</t>
        </is>
      </c>
      <c r="B698" s="1" t="n">
        <v>45720.39715277778</v>
      </c>
      <c r="C698" s="1" t="n">
        <v>46110</v>
      </c>
      <c r="D698" t="inlineStr">
        <is>
          <t>UPPSALA LÄN</t>
        </is>
      </c>
      <c r="E698" t="inlineStr">
        <is>
          <t>ÖSTHAMMAR</t>
        </is>
      </c>
      <c r="G698" t="n">
        <v>6.2</v>
      </c>
      <c r="H698" t="n">
        <v>0</v>
      </c>
      <c r="I698" t="n">
        <v>0</v>
      </c>
      <c r="J698" t="n">
        <v>0</v>
      </c>
      <c r="K698" t="n">
        <v>0</v>
      </c>
      <c r="L698" t="n">
        <v>0</v>
      </c>
      <c r="M698" t="n">
        <v>0</v>
      </c>
      <c r="N698" t="n">
        <v>0</v>
      </c>
      <c r="O698" t="n">
        <v>0</v>
      </c>
      <c r="P698" t="n">
        <v>0</v>
      </c>
      <c r="Q698" t="n">
        <v>0</v>
      </c>
      <c r="R698" s="2" t="inlineStr"/>
    </row>
    <row r="699" ht="15" customHeight="1">
      <c r="A699" t="inlineStr">
        <is>
          <t>A 14124-2022</t>
        </is>
      </c>
      <c r="B699" s="1" t="n">
        <v>44651.40924768519</v>
      </c>
      <c r="C699" s="1" t="n">
        <v>46110</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37812-2022</t>
        </is>
      </c>
      <c r="B700" s="1" t="n">
        <v>44810</v>
      </c>
      <c r="C700" s="1" t="n">
        <v>46110</v>
      </c>
      <c r="D700" t="inlineStr">
        <is>
          <t>UPPSALA LÄN</t>
        </is>
      </c>
      <c r="E700" t="inlineStr">
        <is>
          <t>ÖSTHAMMAR</t>
        </is>
      </c>
      <c r="G700" t="n">
        <v>1</v>
      </c>
      <c r="H700" t="n">
        <v>0</v>
      </c>
      <c r="I700" t="n">
        <v>0</v>
      </c>
      <c r="J700" t="n">
        <v>0</v>
      </c>
      <c r="K700" t="n">
        <v>0</v>
      </c>
      <c r="L700" t="n">
        <v>0</v>
      </c>
      <c r="M700" t="n">
        <v>0</v>
      </c>
      <c r="N700" t="n">
        <v>0</v>
      </c>
      <c r="O700" t="n">
        <v>0</v>
      </c>
      <c r="P700" t="n">
        <v>0</v>
      </c>
      <c r="Q700" t="n">
        <v>0</v>
      </c>
      <c r="R700" s="2" t="inlineStr"/>
    </row>
    <row r="701" ht="15" customHeight="1">
      <c r="A701" t="inlineStr">
        <is>
          <t>A 19501-2025</t>
        </is>
      </c>
      <c r="B701" s="1" t="n">
        <v>45770.4015625</v>
      </c>
      <c r="C701" s="1" t="n">
        <v>46110</v>
      </c>
      <c r="D701" t="inlineStr">
        <is>
          <t>UPPSALA LÄN</t>
        </is>
      </c>
      <c r="E701" t="inlineStr">
        <is>
          <t>ÖSTHAMMAR</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41821-2023</t>
        </is>
      </c>
      <c r="B702" s="1" t="n">
        <v>45176</v>
      </c>
      <c r="C702" s="1" t="n">
        <v>46110</v>
      </c>
      <c r="D702" t="inlineStr">
        <is>
          <t>UPPSALA LÄN</t>
        </is>
      </c>
      <c r="E702" t="inlineStr">
        <is>
          <t>ÖSTHAMMAR</t>
        </is>
      </c>
      <c r="G702" t="n">
        <v>0.9</v>
      </c>
      <c r="H702" t="n">
        <v>0</v>
      </c>
      <c r="I702" t="n">
        <v>0</v>
      </c>
      <c r="J702" t="n">
        <v>0</v>
      </c>
      <c r="K702" t="n">
        <v>0</v>
      </c>
      <c r="L702" t="n">
        <v>0</v>
      </c>
      <c r="M702" t="n">
        <v>0</v>
      </c>
      <c r="N702" t="n">
        <v>0</v>
      </c>
      <c r="O702" t="n">
        <v>0</v>
      </c>
      <c r="P702" t="n">
        <v>0</v>
      </c>
      <c r="Q702" t="n">
        <v>0</v>
      </c>
      <c r="R702" s="2" t="inlineStr"/>
    </row>
    <row r="703" ht="15" customHeight="1">
      <c r="A703" t="inlineStr">
        <is>
          <t>A 32742-2022</t>
        </is>
      </c>
      <c r="B703" s="1" t="n">
        <v>44783.69886574074</v>
      </c>
      <c r="C703" s="1" t="n">
        <v>46110</v>
      </c>
      <c r="D703" t="inlineStr">
        <is>
          <t>UPPSALA LÄN</t>
        </is>
      </c>
      <c r="E703" t="inlineStr">
        <is>
          <t>ÖSTHAMMAR</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41308-2023</t>
        </is>
      </c>
      <c r="B704" s="1" t="n">
        <v>45174.62788194444</v>
      </c>
      <c r="C704" s="1" t="n">
        <v>46110</v>
      </c>
      <c r="D704" t="inlineStr">
        <is>
          <t>UPPSALA LÄN</t>
        </is>
      </c>
      <c r="E704" t="inlineStr">
        <is>
          <t>ÖSTHAMMAR</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49833-2023</t>
        </is>
      </c>
      <c r="B705" s="1" t="n">
        <v>45212.71481481481</v>
      </c>
      <c r="C705" s="1" t="n">
        <v>46110</v>
      </c>
      <c r="D705" t="inlineStr">
        <is>
          <t>UPPSALA LÄN</t>
        </is>
      </c>
      <c r="E705" t="inlineStr">
        <is>
          <t>ÖSTHAMMAR</t>
        </is>
      </c>
      <c r="F705" t="inlineStr">
        <is>
          <t>Bergvik skog öst AB</t>
        </is>
      </c>
      <c r="G705" t="n">
        <v>0.4</v>
      </c>
      <c r="H705" t="n">
        <v>0</v>
      </c>
      <c r="I705" t="n">
        <v>0</v>
      </c>
      <c r="J705" t="n">
        <v>0</v>
      </c>
      <c r="K705" t="n">
        <v>0</v>
      </c>
      <c r="L705" t="n">
        <v>0</v>
      </c>
      <c r="M705" t="n">
        <v>0</v>
      </c>
      <c r="N705" t="n">
        <v>0</v>
      </c>
      <c r="O705" t="n">
        <v>0</v>
      </c>
      <c r="P705" t="n">
        <v>0</v>
      </c>
      <c r="Q705" t="n">
        <v>0</v>
      </c>
      <c r="R705" s="2" t="inlineStr"/>
    </row>
    <row r="706" ht="15" customHeight="1">
      <c r="A706" t="inlineStr">
        <is>
          <t>A 17433-2025</t>
        </is>
      </c>
      <c r="B706" s="1" t="n">
        <v>45757.40733796296</v>
      </c>
      <c r="C706" s="1" t="n">
        <v>46110</v>
      </c>
      <c r="D706" t="inlineStr">
        <is>
          <t>UPPSALA LÄN</t>
        </is>
      </c>
      <c r="E706" t="inlineStr">
        <is>
          <t>ÖSTHAMMAR</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45550-2023</t>
        </is>
      </c>
      <c r="B707" s="1" t="n">
        <v>45194.57125</v>
      </c>
      <c r="C707" s="1" t="n">
        <v>46110</v>
      </c>
      <c r="D707" t="inlineStr">
        <is>
          <t>UPPSALA LÄN</t>
        </is>
      </c>
      <c r="E707" t="inlineStr">
        <is>
          <t>ÖSTHAMMAR</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54368-2023</t>
        </is>
      </c>
      <c r="B708" s="1" t="n">
        <v>45233.33221064815</v>
      </c>
      <c r="C708" s="1" t="n">
        <v>46110</v>
      </c>
      <c r="D708" t="inlineStr">
        <is>
          <t>UPPSALA LÄN</t>
        </is>
      </c>
      <c r="E708" t="inlineStr">
        <is>
          <t>ÖSTHAMMAR</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17931-2025</t>
        </is>
      </c>
      <c r="B709" s="1" t="n">
        <v>45759.56894675926</v>
      </c>
      <c r="C709" s="1" t="n">
        <v>46110</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17938-2025</t>
        </is>
      </c>
      <c r="B710" s="1" t="n">
        <v>45760.55626157407</v>
      </c>
      <c r="C710" s="1" t="n">
        <v>46110</v>
      </c>
      <c r="D710" t="inlineStr">
        <is>
          <t>UPPSALA LÄN</t>
        </is>
      </c>
      <c r="E710" t="inlineStr">
        <is>
          <t>ÖSTHAMMAR</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8791-2025</t>
        </is>
      </c>
      <c r="B711" s="1" t="n">
        <v>45712</v>
      </c>
      <c r="C711" s="1" t="n">
        <v>46110</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26552-2022</t>
        </is>
      </c>
      <c r="B712" s="1" t="n">
        <v>44739</v>
      </c>
      <c r="C712" s="1" t="n">
        <v>46110</v>
      </c>
      <c r="D712" t="inlineStr">
        <is>
          <t>UPPSALA LÄN</t>
        </is>
      </c>
      <c r="E712" t="inlineStr">
        <is>
          <t>ÖSTHAMMAR</t>
        </is>
      </c>
      <c r="G712" t="n">
        <v>2.2</v>
      </c>
      <c r="H712" t="n">
        <v>0</v>
      </c>
      <c r="I712" t="n">
        <v>0</v>
      </c>
      <c r="J712" t="n">
        <v>0</v>
      </c>
      <c r="K712" t="n">
        <v>0</v>
      </c>
      <c r="L712" t="n">
        <v>0</v>
      </c>
      <c r="M712" t="n">
        <v>0</v>
      </c>
      <c r="N712" t="n">
        <v>0</v>
      </c>
      <c r="O712" t="n">
        <v>0</v>
      </c>
      <c r="P712" t="n">
        <v>0</v>
      </c>
      <c r="Q712" t="n">
        <v>0</v>
      </c>
      <c r="R712" s="2" t="inlineStr"/>
    </row>
    <row r="713" ht="15" customHeight="1">
      <c r="A713" t="inlineStr">
        <is>
          <t>A 7216-2025</t>
        </is>
      </c>
      <c r="B713" s="1" t="n">
        <v>45702.47630787037</v>
      </c>
      <c r="C713" s="1" t="n">
        <v>46110</v>
      </c>
      <c r="D713" t="inlineStr">
        <is>
          <t>UPPSALA LÄN</t>
        </is>
      </c>
      <c r="E713" t="inlineStr">
        <is>
          <t>ÖSTHAMMAR</t>
        </is>
      </c>
      <c r="F713" t="inlineStr">
        <is>
          <t>Övriga Aktiebolag</t>
        </is>
      </c>
      <c r="G713" t="n">
        <v>12.5</v>
      </c>
      <c r="H713" t="n">
        <v>0</v>
      </c>
      <c r="I713" t="n">
        <v>0</v>
      </c>
      <c r="J713" t="n">
        <v>0</v>
      </c>
      <c r="K713" t="n">
        <v>0</v>
      </c>
      <c r="L713" t="n">
        <v>0</v>
      </c>
      <c r="M713" t="n">
        <v>0</v>
      </c>
      <c r="N713" t="n">
        <v>0</v>
      </c>
      <c r="O713" t="n">
        <v>0</v>
      </c>
      <c r="P713" t="n">
        <v>0</v>
      </c>
      <c r="Q713" t="n">
        <v>0</v>
      </c>
      <c r="R713" s="2" t="inlineStr"/>
    </row>
    <row r="714" ht="15" customHeight="1">
      <c r="A714" t="inlineStr">
        <is>
          <t>A 31137-2022</t>
        </is>
      </c>
      <c r="B714" s="1" t="n">
        <v>44770.42166666667</v>
      </c>
      <c r="C714" s="1" t="n">
        <v>46110</v>
      </c>
      <c r="D714" t="inlineStr">
        <is>
          <t>UPPSALA LÄN</t>
        </is>
      </c>
      <c r="E714" t="inlineStr">
        <is>
          <t>ÖSTHAMMAR</t>
        </is>
      </c>
      <c r="F714" t="inlineStr">
        <is>
          <t>Bergvik skog öst AB</t>
        </is>
      </c>
      <c r="G714" t="n">
        <v>1.4</v>
      </c>
      <c r="H714" t="n">
        <v>0</v>
      </c>
      <c r="I714" t="n">
        <v>0</v>
      </c>
      <c r="J714" t="n">
        <v>0</v>
      </c>
      <c r="K714" t="n">
        <v>0</v>
      </c>
      <c r="L714" t="n">
        <v>0</v>
      </c>
      <c r="M714" t="n">
        <v>0</v>
      </c>
      <c r="N714" t="n">
        <v>0</v>
      </c>
      <c r="O714" t="n">
        <v>0</v>
      </c>
      <c r="P714" t="n">
        <v>0</v>
      </c>
      <c r="Q714" t="n">
        <v>0</v>
      </c>
      <c r="R714" s="2" t="inlineStr"/>
    </row>
    <row r="715" ht="15" customHeight="1">
      <c r="A715" t="inlineStr">
        <is>
          <t>A 18094-2025</t>
        </is>
      </c>
      <c r="B715" s="1" t="n">
        <v>45761.54710648148</v>
      </c>
      <c r="C715" s="1" t="n">
        <v>46110</v>
      </c>
      <c r="D715" t="inlineStr">
        <is>
          <t>UPPSALA LÄN</t>
        </is>
      </c>
      <c r="E715" t="inlineStr">
        <is>
          <t>ÖSTHAMMAR</t>
        </is>
      </c>
      <c r="F715" t="inlineStr">
        <is>
          <t>Bergvik skog öst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44815-2022</t>
        </is>
      </c>
      <c r="B716" s="1" t="n">
        <v>44841.40452546296</v>
      </c>
      <c r="C716" s="1" t="n">
        <v>46110</v>
      </c>
      <c r="D716" t="inlineStr">
        <is>
          <t>UPPSALA LÄN</t>
        </is>
      </c>
      <c r="E716" t="inlineStr">
        <is>
          <t>ÖSTHAMMAR</t>
        </is>
      </c>
      <c r="G716" t="n">
        <v>1.8</v>
      </c>
      <c r="H716" t="n">
        <v>0</v>
      </c>
      <c r="I716" t="n">
        <v>0</v>
      </c>
      <c r="J716" t="n">
        <v>0</v>
      </c>
      <c r="K716" t="n">
        <v>0</v>
      </c>
      <c r="L716" t="n">
        <v>0</v>
      </c>
      <c r="M716" t="n">
        <v>0</v>
      </c>
      <c r="N716" t="n">
        <v>0</v>
      </c>
      <c r="O716" t="n">
        <v>0</v>
      </c>
      <c r="P716" t="n">
        <v>0</v>
      </c>
      <c r="Q716" t="n">
        <v>0</v>
      </c>
      <c r="R716" s="2" t="inlineStr"/>
    </row>
    <row r="717" ht="15" customHeight="1">
      <c r="A717" t="inlineStr">
        <is>
          <t>A 29753-2022</t>
        </is>
      </c>
      <c r="B717" s="1" t="n">
        <v>44755</v>
      </c>
      <c r="C717" s="1" t="n">
        <v>46110</v>
      </c>
      <c r="D717" t="inlineStr">
        <is>
          <t>UPPSALA LÄN</t>
        </is>
      </c>
      <c r="E717" t="inlineStr">
        <is>
          <t>ÖSTHAMMAR</t>
        </is>
      </c>
      <c r="G717" t="n">
        <v>9.4</v>
      </c>
      <c r="H717" t="n">
        <v>0</v>
      </c>
      <c r="I717" t="n">
        <v>0</v>
      </c>
      <c r="J717" t="n">
        <v>0</v>
      </c>
      <c r="K717" t="n">
        <v>0</v>
      </c>
      <c r="L717" t="n">
        <v>0</v>
      </c>
      <c r="M717" t="n">
        <v>0</v>
      </c>
      <c r="N717" t="n">
        <v>0</v>
      </c>
      <c r="O717" t="n">
        <v>0</v>
      </c>
      <c r="P717" t="n">
        <v>0</v>
      </c>
      <c r="Q717" t="n">
        <v>0</v>
      </c>
      <c r="R717" s="2" t="inlineStr"/>
    </row>
    <row r="718" ht="15" customHeight="1">
      <c r="A718" t="inlineStr">
        <is>
          <t>A 20072-2025</t>
        </is>
      </c>
      <c r="B718" s="1" t="n">
        <v>45772</v>
      </c>
      <c r="C718" s="1" t="n">
        <v>46110</v>
      </c>
      <c r="D718" t="inlineStr">
        <is>
          <t>UPPSALA LÄN</t>
        </is>
      </c>
      <c r="E718" t="inlineStr">
        <is>
          <t>ÖSTHAMMAR</t>
        </is>
      </c>
      <c r="G718" t="n">
        <v>3.1</v>
      </c>
      <c r="H718" t="n">
        <v>0</v>
      </c>
      <c r="I718" t="n">
        <v>0</v>
      </c>
      <c r="J718" t="n">
        <v>0</v>
      </c>
      <c r="K718" t="n">
        <v>0</v>
      </c>
      <c r="L718" t="n">
        <v>0</v>
      </c>
      <c r="M718" t="n">
        <v>0</v>
      </c>
      <c r="N718" t="n">
        <v>0</v>
      </c>
      <c r="O718" t="n">
        <v>0</v>
      </c>
      <c r="P718" t="n">
        <v>0</v>
      </c>
      <c r="Q718" t="n">
        <v>0</v>
      </c>
      <c r="R718" s="2" t="inlineStr"/>
    </row>
    <row r="719" ht="15" customHeight="1">
      <c r="A719" t="inlineStr">
        <is>
          <t>A 52629-2023</t>
        </is>
      </c>
      <c r="B719" s="1" t="n">
        <v>45225</v>
      </c>
      <c r="C719" s="1" t="n">
        <v>46110</v>
      </c>
      <c r="D719" t="inlineStr">
        <is>
          <t>UPPSALA LÄN</t>
        </is>
      </c>
      <c r="E719" t="inlineStr">
        <is>
          <t>ÖSTHAMMAR</t>
        </is>
      </c>
      <c r="G719" t="n">
        <v>1.2</v>
      </c>
      <c r="H719" t="n">
        <v>0</v>
      </c>
      <c r="I719" t="n">
        <v>0</v>
      </c>
      <c r="J719" t="n">
        <v>0</v>
      </c>
      <c r="K719" t="n">
        <v>0</v>
      </c>
      <c r="L719" t="n">
        <v>0</v>
      </c>
      <c r="M719" t="n">
        <v>0</v>
      </c>
      <c r="N719" t="n">
        <v>0</v>
      </c>
      <c r="O719" t="n">
        <v>0</v>
      </c>
      <c r="P719" t="n">
        <v>0</v>
      </c>
      <c r="Q719" t="n">
        <v>0</v>
      </c>
      <c r="R719" s="2" t="inlineStr"/>
    </row>
    <row r="720" ht="15" customHeight="1">
      <c r="A720" t="inlineStr">
        <is>
          <t>A 9642-2024</t>
        </is>
      </c>
      <c r="B720" s="1" t="n">
        <v>45362.36296296296</v>
      </c>
      <c r="C720" s="1" t="n">
        <v>46110</v>
      </c>
      <c r="D720" t="inlineStr">
        <is>
          <t>UPPSALA LÄN</t>
        </is>
      </c>
      <c r="E720" t="inlineStr">
        <is>
          <t>ÖSTHAMMAR</t>
        </is>
      </c>
      <c r="G720" t="n">
        <v>3.1</v>
      </c>
      <c r="H720" t="n">
        <v>0</v>
      </c>
      <c r="I720" t="n">
        <v>0</v>
      </c>
      <c r="J720" t="n">
        <v>0</v>
      </c>
      <c r="K720" t="n">
        <v>0</v>
      </c>
      <c r="L720" t="n">
        <v>0</v>
      </c>
      <c r="M720" t="n">
        <v>0</v>
      </c>
      <c r="N720" t="n">
        <v>0</v>
      </c>
      <c r="O720" t="n">
        <v>0</v>
      </c>
      <c r="P720" t="n">
        <v>0</v>
      </c>
      <c r="Q720" t="n">
        <v>0</v>
      </c>
      <c r="R720" s="2" t="inlineStr"/>
    </row>
    <row r="721" ht="15" customHeight="1">
      <c r="A721" t="inlineStr">
        <is>
          <t>A 31549-2022</t>
        </is>
      </c>
      <c r="B721" s="1" t="n">
        <v>44775.400625</v>
      </c>
      <c r="C721" s="1" t="n">
        <v>46110</v>
      </c>
      <c r="D721" t="inlineStr">
        <is>
          <t>UPPSALA LÄN</t>
        </is>
      </c>
      <c r="E721" t="inlineStr">
        <is>
          <t>ÖSTHAMMAR</t>
        </is>
      </c>
      <c r="G721" t="n">
        <v>1.5</v>
      </c>
      <c r="H721" t="n">
        <v>0</v>
      </c>
      <c r="I721" t="n">
        <v>0</v>
      </c>
      <c r="J721" t="n">
        <v>0</v>
      </c>
      <c r="K721" t="n">
        <v>0</v>
      </c>
      <c r="L721" t="n">
        <v>0</v>
      </c>
      <c r="M721" t="n">
        <v>0</v>
      </c>
      <c r="N721" t="n">
        <v>0</v>
      </c>
      <c r="O721" t="n">
        <v>0</v>
      </c>
      <c r="P721" t="n">
        <v>0</v>
      </c>
      <c r="Q721" t="n">
        <v>0</v>
      </c>
      <c r="R721" s="2" t="inlineStr"/>
    </row>
    <row r="722" ht="15" customHeight="1">
      <c r="A722" t="inlineStr">
        <is>
          <t>A 47522-2023</t>
        </is>
      </c>
      <c r="B722" s="1" t="n">
        <v>45203</v>
      </c>
      <c r="C722" s="1" t="n">
        <v>46110</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13738-2023</t>
        </is>
      </c>
      <c r="B723" s="1" t="n">
        <v>45007.37081018519</v>
      </c>
      <c r="C723" s="1" t="n">
        <v>46110</v>
      </c>
      <c r="D723" t="inlineStr">
        <is>
          <t>UPPSALA LÄN</t>
        </is>
      </c>
      <c r="E723" t="inlineStr">
        <is>
          <t>ÖSTHAMMAR</t>
        </is>
      </c>
      <c r="G723" t="n">
        <v>0.7</v>
      </c>
      <c r="H723" t="n">
        <v>0</v>
      </c>
      <c r="I723" t="n">
        <v>0</v>
      </c>
      <c r="J723" t="n">
        <v>0</v>
      </c>
      <c r="K723" t="n">
        <v>0</v>
      </c>
      <c r="L723" t="n">
        <v>0</v>
      </c>
      <c r="M723" t="n">
        <v>0</v>
      </c>
      <c r="N723" t="n">
        <v>0</v>
      </c>
      <c r="O723" t="n">
        <v>0</v>
      </c>
      <c r="P723" t="n">
        <v>0</v>
      </c>
      <c r="Q723" t="n">
        <v>0</v>
      </c>
      <c r="R723" s="2" t="inlineStr"/>
    </row>
    <row r="724" ht="15" customHeight="1">
      <c r="A724" t="inlineStr">
        <is>
          <t>A 34971-2022</t>
        </is>
      </c>
      <c r="B724" s="1" t="n">
        <v>44796.66613425926</v>
      </c>
      <c r="C724" s="1" t="n">
        <v>46110</v>
      </c>
      <c r="D724" t="inlineStr">
        <is>
          <t>UPPSALA LÄN</t>
        </is>
      </c>
      <c r="E724" t="inlineStr">
        <is>
          <t>ÖSTHAMMAR</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55646-2021</t>
        </is>
      </c>
      <c r="B725" s="1" t="n">
        <v>44476.3632175926</v>
      </c>
      <c r="C725" s="1" t="n">
        <v>46110</v>
      </c>
      <c r="D725" t="inlineStr">
        <is>
          <t>UPPSALA LÄN</t>
        </is>
      </c>
      <c r="E725" t="inlineStr">
        <is>
          <t>ÖSTHAMMAR</t>
        </is>
      </c>
      <c r="F725" t="inlineStr">
        <is>
          <t>Bergvik skog öst AB</t>
        </is>
      </c>
      <c r="G725" t="n">
        <v>0.2</v>
      </c>
      <c r="H725" t="n">
        <v>0</v>
      </c>
      <c r="I725" t="n">
        <v>0</v>
      </c>
      <c r="J725" t="n">
        <v>0</v>
      </c>
      <c r="K725" t="n">
        <v>0</v>
      </c>
      <c r="L725" t="n">
        <v>0</v>
      </c>
      <c r="M725" t="n">
        <v>0</v>
      </c>
      <c r="N725" t="n">
        <v>0</v>
      </c>
      <c r="O725" t="n">
        <v>0</v>
      </c>
      <c r="P725" t="n">
        <v>0</v>
      </c>
      <c r="Q725" t="n">
        <v>0</v>
      </c>
      <c r="R725" s="2" t="inlineStr"/>
    </row>
    <row r="726" ht="15" customHeight="1">
      <c r="A726" t="inlineStr">
        <is>
          <t>A 16240-2025</t>
        </is>
      </c>
      <c r="B726" s="1" t="n">
        <v>45746</v>
      </c>
      <c r="C726" s="1" t="n">
        <v>46110</v>
      </c>
      <c r="D726" t="inlineStr">
        <is>
          <t>UPPSALA LÄN</t>
        </is>
      </c>
      <c r="E726" t="inlineStr">
        <is>
          <t>ÖSTHAMMAR</t>
        </is>
      </c>
      <c r="G726" t="n">
        <v>1.4</v>
      </c>
      <c r="H726" t="n">
        <v>0</v>
      </c>
      <c r="I726" t="n">
        <v>0</v>
      </c>
      <c r="J726" t="n">
        <v>0</v>
      </c>
      <c r="K726" t="n">
        <v>0</v>
      </c>
      <c r="L726" t="n">
        <v>0</v>
      </c>
      <c r="M726" t="n">
        <v>0</v>
      </c>
      <c r="N726" t="n">
        <v>0</v>
      </c>
      <c r="O726" t="n">
        <v>0</v>
      </c>
      <c r="P726" t="n">
        <v>0</v>
      </c>
      <c r="Q726" t="n">
        <v>0</v>
      </c>
      <c r="R726" s="2" t="inlineStr"/>
    </row>
    <row r="727" ht="15" customHeight="1">
      <c r="A727" t="inlineStr">
        <is>
          <t>A 20038-2023</t>
        </is>
      </c>
      <c r="B727" s="1" t="n">
        <v>45054.65834490741</v>
      </c>
      <c r="C727" s="1" t="n">
        <v>46110</v>
      </c>
      <c r="D727" t="inlineStr">
        <is>
          <t>UPPSALA LÄN</t>
        </is>
      </c>
      <c r="E727" t="inlineStr">
        <is>
          <t>ÖSTHAMMAR</t>
        </is>
      </c>
      <c r="G727" t="n">
        <v>0.4</v>
      </c>
      <c r="H727" t="n">
        <v>0</v>
      </c>
      <c r="I727" t="n">
        <v>0</v>
      </c>
      <c r="J727" t="n">
        <v>0</v>
      </c>
      <c r="K727" t="n">
        <v>0</v>
      </c>
      <c r="L727" t="n">
        <v>0</v>
      </c>
      <c r="M727" t="n">
        <v>0</v>
      </c>
      <c r="N727" t="n">
        <v>0</v>
      </c>
      <c r="O727" t="n">
        <v>0</v>
      </c>
      <c r="P727" t="n">
        <v>0</v>
      </c>
      <c r="Q727" t="n">
        <v>0</v>
      </c>
      <c r="R727" s="2" t="inlineStr"/>
    </row>
    <row r="728" ht="15" customHeight="1">
      <c r="A728" t="inlineStr">
        <is>
          <t>A 6121-2024</t>
        </is>
      </c>
      <c r="B728" s="1" t="n">
        <v>45337.4219212963</v>
      </c>
      <c r="C728" s="1" t="n">
        <v>46110</v>
      </c>
      <c r="D728" t="inlineStr">
        <is>
          <t>UPPSALA LÄN</t>
        </is>
      </c>
      <c r="E728" t="inlineStr">
        <is>
          <t>ÖSTHAMMAR</t>
        </is>
      </c>
      <c r="G728" t="n">
        <v>0.4</v>
      </c>
      <c r="H728" t="n">
        <v>0</v>
      </c>
      <c r="I728" t="n">
        <v>0</v>
      </c>
      <c r="J728" t="n">
        <v>0</v>
      </c>
      <c r="K728" t="n">
        <v>0</v>
      </c>
      <c r="L728" t="n">
        <v>0</v>
      </c>
      <c r="M728" t="n">
        <v>0</v>
      </c>
      <c r="N728" t="n">
        <v>0</v>
      </c>
      <c r="O728" t="n">
        <v>0</v>
      </c>
      <c r="P728" t="n">
        <v>0</v>
      </c>
      <c r="Q728" t="n">
        <v>0</v>
      </c>
      <c r="R728" s="2" t="inlineStr"/>
    </row>
    <row r="729" ht="15" customHeight="1">
      <c r="A729" t="inlineStr">
        <is>
          <t>A 8699-2025</t>
        </is>
      </c>
      <c r="B729" s="1" t="n">
        <v>45712.47983796296</v>
      </c>
      <c r="C729" s="1" t="n">
        <v>46110</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15031-2025</t>
        </is>
      </c>
      <c r="B730" s="1" t="n">
        <v>45743.67333333333</v>
      </c>
      <c r="C730" s="1" t="n">
        <v>46110</v>
      </c>
      <c r="D730" t="inlineStr">
        <is>
          <t>UPPSALA LÄN</t>
        </is>
      </c>
      <c r="E730" t="inlineStr">
        <is>
          <t>ÖSTHAMMAR</t>
        </is>
      </c>
      <c r="G730" t="n">
        <v>9.6</v>
      </c>
      <c r="H730" t="n">
        <v>0</v>
      </c>
      <c r="I730" t="n">
        <v>0</v>
      </c>
      <c r="J730" t="n">
        <v>0</v>
      </c>
      <c r="K730" t="n">
        <v>0</v>
      </c>
      <c r="L730" t="n">
        <v>0</v>
      </c>
      <c r="M730" t="n">
        <v>0</v>
      </c>
      <c r="N730" t="n">
        <v>0</v>
      </c>
      <c r="O730" t="n">
        <v>0</v>
      </c>
      <c r="P730" t="n">
        <v>0</v>
      </c>
      <c r="Q730" t="n">
        <v>0</v>
      </c>
      <c r="R730" s="2" t="inlineStr"/>
    </row>
    <row r="731" ht="15" customHeight="1">
      <c r="A731" t="inlineStr">
        <is>
          <t>A 60555-2023</t>
        </is>
      </c>
      <c r="B731" s="1" t="n">
        <v>45259</v>
      </c>
      <c r="C731" s="1" t="n">
        <v>46110</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60584-2021</t>
        </is>
      </c>
      <c r="B732" s="1" t="n">
        <v>44496</v>
      </c>
      <c r="C732" s="1" t="n">
        <v>46110</v>
      </c>
      <c r="D732" t="inlineStr">
        <is>
          <t>UPPSALA LÄN</t>
        </is>
      </c>
      <c r="E732" t="inlineStr">
        <is>
          <t>ÖSTHAMMAR</t>
        </is>
      </c>
      <c r="G732" t="n">
        <v>1.4</v>
      </c>
      <c r="H732" t="n">
        <v>0</v>
      </c>
      <c r="I732" t="n">
        <v>0</v>
      </c>
      <c r="J732" t="n">
        <v>0</v>
      </c>
      <c r="K732" t="n">
        <v>0</v>
      </c>
      <c r="L732" t="n">
        <v>0</v>
      </c>
      <c r="M732" t="n">
        <v>0</v>
      </c>
      <c r="N732" t="n">
        <v>0</v>
      </c>
      <c r="O732" t="n">
        <v>0</v>
      </c>
      <c r="P732" t="n">
        <v>0</v>
      </c>
      <c r="Q732" t="n">
        <v>0</v>
      </c>
      <c r="R732" s="2" t="inlineStr"/>
    </row>
    <row r="733" ht="15" customHeight="1">
      <c r="A733" t="inlineStr">
        <is>
          <t>A 17652-2025</t>
        </is>
      </c>
      <c r="B733" s="1" t="n">
        <v>45758.33583333333</v>
      </c>
      <c r="C733" s="1" t="n">
        <v>46110</v>
      </c>
      <c r="D733" t="inlineStr">
        <is>
          <t>UPPSALA LÄN</t>
        </is>
      </c>
      <c r="E733" t="inlineStr">
        <is>
          <t>ÖSTHAMMAR</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48719-2023</t>
        </is>
      </c>
      <c r="B734" s="1" t="n">
        <v>45208.70452546296</v>
      </c>
      <c r="C734" s="1" t="n">
        <v>46110</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33784-2024</t>
        </is>
      </c>
      <c r="B735" s="1" t="n">
        <v>45520</v>
      </c>
      <c r="C735" s="1" t="n">
        <v>46110</v>
      </c>
      <c r="D735" t="inlineStr">
        <is>
          <t>UPPSALA LÄN</t>
        </is>
      </c>
      <c r="E735" t="inlineStr">
        <is>
          <t>ÖSTHAMMAR</t>
        </is>
      </c>
      <c r="F735" t="inlineStr">
        <is>
          <t>Naturvårdsverket</t>
        </is>
      </c>
      <c r="G735" t="n">
        <v>0.6</v>
      </c>
      <c r="H735" t="n">
        <v>0</v>
      </c>
      <c r="I735" t="n">
        <v>0</v>
      </c>
      <c r="J735" t="n">
        <v>0</v>
      </c>
      <c r="K735" t="n">
        <v>0</v>
      </c>
      <c r="L735" t="n">
        <v>0</v>
      </c>
      <c r="M735" t="n">
        <v>0</v>
      </c>
      <c r="N735" t="n">
        <v>0</v>
      </c>
      <c r="O735" t="n">
        <v>0</v>
      </c>
      <c r="P735" t="n">
        <v>0</v>
      </c>
      <c r="Q735" t="n">
        <v>0</v>
      </c>
      <c r="R735" s="2" t="inlineStr"/>
    </row>
    <row r="736" ht="15" customHeight="1">
      <c r="A736" t="inlineStr">
        <is>
          <t>A 33601-2024</t>
        </is>
      </c>
      <c r="B736" s="1" t="n">
        <v>45520</v>
      </c>
      <c r="C736" s="1" t="n">
        <v>46110</v>
      </c>
      <c r="D736" t="inlineStr">
        <is>
          <t>UPPSALA LÄN</t>
        </is>
      </c>
      <c r="E736" t="inlineStr">
        <is>
          <t>ÖSTHAMMAR</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46110</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30755-2024</t>
        </is>
      </c>
      <c r="B738" s="1" t="n">
        <v>45496</v>
      </c>
      <c r="C738" s="1" t="n">
        <v>46110</v>
      </c>
      <c r="D738" t="inlineStr">
        <is>
          <t>UPPSALA LÄN</t>
        </is>
      </c>
      <c r="E738" t="inlineStr">
        <is>
          <t>ÖSTHAMMAR</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9052-2023</t>
        </is>
      </c>
      <c r="B739" s="1" t="n">
        <v>44979</v>
      </c>
      <c r="C739" s="1" t="n">
        <v>46110</v>
      </c>
      <c r="D739" t="inlineStr">
        <is>
          <t>UPPSALA LÄN</t>
        </is>
      </c>
      <c r="E739" t="inlineStr">
        <is>
          <t>ÖSTHAMMAR</t>
        </is>
      </c>
      <c r="F739" t="inlineStr">
        <is>
          <t>Kyrkan</t>
        </is>
      </c>
      <c r="G739" t="n">
        <v>0.2</v>
      </c>
      <c r="H739" t="n">
        <v>0</v>
      </c>
      <c r="I739" t="n">
        <v>0</v>
      </c>
      <c r="J739" t="n">
        <v>0</v>
      </c>
      <c r="K739" t="n">
        <v>0</v>
      </c>
      <c r="L739" t="n">
        <v>0</v>
      </c>
      <c r="M739" t="n">
        <v>0</v>
      </c>
      <c r="N739" t="n">
        <v>0</v>
      </c>
      <c r="O739" t="n">
        <v>0</v>
      </c>
      <c r="P739" t="n">
        <v>0</v>
      </c>
      <c r="Q739" t="n">
        <v>0</v>
      </c>
      <c r="R739" s="2" t="inlineStr"/>
    </row>
    <row r="740" ht="15" customHeight="1">
      <c r="A740" t="inlineStr">
        <is>
          <t>A 33760-2024</t>
        </is>
      </c>
      <c r="B740" s="1" t="n">
        <v>45520</v>
      </c>
      <c r="C740" s="1" t="n">
        <v>46110</v>
      </c>
      <c r="D740" t="inlineStr">
        <is>
          <t>UPPSALA LÄN</t>
        </is>
      </c>
      <c r="E740" t="inlineStr">
        <is>
          <t>ÖSTHAMMAR</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3725-2022</t>
        </is>
      </c>
      <c r="B741" s="1" t="n">
        <v>44586</v>
      </c>
      <c r="C741" s="1" t="n">
        <v>46110</v>
      </c>
      <c r="D741" t="inlineStr">
        <is>
          <t>UPPSALA LÄN</t>
        </is>
      </c>
      <c r="E741" t="inlineStr">
        <is>
          <t>ÖSTHAMMAR</t>
        </is>
      </c>
      <c r="G741" t="n">
        <v>2</v>
      </c>
      <c r="H741" t="n">
        <v>0</v>
      </c>
      <c r="I741" t="n">
        <v>0</v>
      </c>
      <c r="J741" t="n">
        <v>0</v>
      </c>
      <c r="K741" t="n">
        <v>0</v>
      </c>
      <c r="L741" t="n">
        <v>0</v>
      </c>
      <c r="M741" t="n">
        <v>0</v>
      </c>
      <c r="N741" t="n">
        <v>0</v>
      </c>
      <c r="O741" t="n">
        <v>0</v>
      </c>
      <c r="P741" t="n">
        <v>0</v>
      </c>
      <c r="Q741" t="n">
        <v>0</v>
      </c>
      <c r="R741" s="2" t="inlineStr"/>
    </row>
    <row r="742" ht="15" customHeight="1">
      <c r="A742" t="inlineStr">
        <is>
          <t>A 8006-2023</t>
        </is>
      </c>
      <c r="B742" s="1" t="n">
        <v>44973</v>
      </c>
      <c r="C742" s="1" t="n">
        <v>46110</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11469-2023</t>
        </is>
      </c>
      <c r="B743" s="1" t="n">
        <v>44993.60099537037</v>
      </c>
      <c r="C743" s="1" t="n">
        <v>46110</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20324-2021</t>
        </is>
      </c>
      <c r="B744" s="1" t="n">
        <v>44308</v>
      </c>
      <c r="C744" s="1" t="n">
        <v>46110</v>
      </c>
      <c r="D744" t="inlineStr">
        <is>
          <t>UPPSALA LÄN</t>
        </is>
      </c>
      <c r="E744" t="inlineStr">
        <is>
          <t>ÖSTHAMMAR</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25033-2021</t>
        </is>
      </c>
      <c r="B745" s="1" t="n">
        <v>44341.590625</v>
      </c>
      <c r="C745" s="1" t="n">
        <v>46110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16212-2021</t>
        </is>
      </c>
      <c r="B746" s="1" t="n">
        <v>44287</v>
      </c>
      <c r="C746" s="1" t="n">
        <v>46110</v>
      </c>
      <c r="D746" t="inlineStr">
        <is>
          <t>UPPSALA LÄN</t>
        </is>
      </c>
      <c r="E746" t="inlineStr">
        <is>
          <t>ÖSTHAMMAR</t>
        </is>
      </c>
      <c r="G746" t="n">
        <v>1.6</v>
      </c>
      <c r="H746" t="n">
        <v>0</v>
      </c>
      <c r="I746" t="n">
        <v>0</v>
      </c>
      <c r="J746" t="n">
        <v>0</v>
      </c>
      <c r="K746" t="n">
        <v>0</v>
      </c>
      <c r="L746" t="n">
        <v>0</v>
      </c>
      <c r="M746" t="n">
        <v>0</v>
      </c>
      <c r="N746" t="n">
        <v>0</v>
      </c>
      <c r="O746" t="n">
        <v>0</v>
      </c>
      <c r="P746" t="n">
        <v>0</v>
      </c>
      <c r="Q746" t="n">
        <v>0</v>
      </c>
      <c r="R746" s="2" t="inlineStr"/>
    </row>
    <row r="747" ht="15" customHeight="1">
      <c r="A747" t="inlineStr">
        <is>
          <t>A 18113-2023</t>
        </is>
      </c>
      <c r="B747" s="1" t="n">
        <v>45040</v>
      </c>
      <c r="C747" s="1" t="n">
        <v>46110</v>
      </c>
      <c r="D747" t="inlineStr">
        <is>
          <t>UPPSALA LÄN</t>
        </is>
      </c>
      <c r="E747" t="inlineStr">
        <is>
          <t>ÖSTHAMMAR</t>
        </is>
      </c>
      <c r="G747" t="n">
        <v>2.1</v>
      </c>
      <c r="H747" t="n">
        <v>0</v>
      </c>
      <c r="I747" t="n">
        <v>0</v>
      </c>
      <c r="J747" t="n">
        <v>0</v>
      </c>
      <c r="K747" t="n">
        <v>0</v>
      </c>
      <c r="L747" t="n">
        <v>0</v>
      </c>
      <c r="M747" t="n">
        <v>0</v>
      </c>
      <c r="N747" t="n">
        <v>0</v>
      </c>
      <c r="O747" t="n">
        <v>0</v>
      </c>
      <c r="P747" t="n">
        <v>0</v>
      </c>
      <c r="Q747" t="n">
        <v>0</v>
      </c>
      <c r="R747" s="2" t="inlineStr"/>
    </row>
    <row r="748" ht="15" customHeight="1">
      <c r="A748" t="inlineStr">
        <is>
          <t>A 23120-2021</t>
        </is>
      </c>
      <c r="B748" s="1" t="n">
        <v>44330</v>
      </c>
      <c r="C748" s="1" t="n">
        <v>46110</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52389-2022</t>
        </is>
      </c>
      <c r="B749" s="1" t="n">
        <v>44874.38325231482</v>
      </c>
      <c r="C749" s="1" t="n">
        <v>46110</v>
      </c>
      <c r="D749" t="inlineStr">
        <is>
          <t>UPPSALA LÄN</t>
        </is>
      </c>
      <c r="E749" t="inlineStr">
        <is>
          <t>ÖSTHAMMAR</t>
        </is>
      </c>
      <c r="G749" t="n">
        <v>3.1</v>
      </c>
      <c r="H749" t="n">
        <v>0</v>
      </c>
      <c r="I749" t="n">
        <v>0</v>
      </c>
      <c r="J749" t="n">
        <v>0</v>
      </c>
      <c r="K749" t="n">
        <v>0</v>
      </c>
      <c r="L749" t="n">
        <v>0</v>
      </c>
      <c r="M749" t="n">
        <v>0</v>
      </c>
      <c r="N749" t="n">
        <v>0</v>
      </c>
      <c r="O749" t="n">
        <v>0</v>
      </c>
      <c r="P749" t="n">
        <v>0</v>
      </c>
      <c r="Q749" t="n">
        <v>0</v>
      </c>
      <c r="R749" s="2" t="inlineStr"/>
    </row>
    <row r="750" ht="15" customHeight="1">
      <c r="A750" t="inlineStr">
        <is>
          <t>A 1238-2022</t>
        </is>
      </c>
      <c r="B750" s="1" t="n">
        <v>44572.5827662037</v>
      </c>
      <c r="C750" s="1" t="n">
        <v>46110</v>
      </c>
      <c r="D750" t="inlineStr">
        <is>
          <t>UPPSALA LÄN</t>
        </is>
      </c>
      <c r="E750" t="inlineStr">
        <is>
          <t>ÖSTHAMMAR</t>
        </is>
      </c>
      <c r="G750" t="n">
        <v>1.1</v>
      </c>
      <c r="H750" t="n">
        <v>0</v>
      </c>
      <c r="I750" t="n">
        <v>0</v>
      </c>
      <c r="J750" t="n">
        <v>0</v>
      </c>
      <c r="K750" t="n">
        <v>0</v>
      </c>
      <c r="L750" t="n">
        <v>0</v>
      </c>
      <c r="M750" t="n">
        <v>0</v>
      </c>
      <c r="N750" t="n">
        <v>0</v>
      </c>
      <c r="O750" t="n">
        <v>0</v>
      </c>
      <c r="P750" t="n">
        <v>0</v>
      </c>
      <c r="Q750" t="n">
        <v>0</v>
      </c>
      <c r="R750" s="2" t="inlineStr"/>
    </row>
    <row r="751" ht="15" customHeight="1">
      <c r="A751" t="inlineStr">
        <is>
          <t>A 3327-2023</t>
        </is>
      </c>
      <c r="B751" s="1" t="n">
        <v>44949.4377662037</v>
      </c>
      <c r="C751" s="1" t="n">
        <v>46110</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4233-2023</t>
        </is>
      </c>
      <c r="B752" s="1" t="n">
        <v>44953.48619212963</v>
      </c>
      <c r="C752" s="1" t="n">
        <v>46110</v>
      </c>
      <c r="D752" t="inlineStr">
        <is>
          <t>UPPSALA LÄN</t>
        </is>
      </c>
      <c r="E752" t="inlineStr">
        <is>
          <t>ÖSTHAMMAR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30811-2023</t>
        </is>
      </c>
      <c r="B753" s="1" t="n">
        <v>45112.86422453704</v>
      </c>
      <c r="C753" s="1" t="n">
        <v>46110</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8708-2022</t>
        </is>
      </c>
      <c r="B754" s="1" t="n">
        <v>44613.77238425926</v>
      </c>
      <c r="C754" s="1" t="n">
        <v>46110</v>
      </c>
      <c r="D754" t="inlineStr">
        <is>
          <t>UPPSALA LÄN</t>
        </is>
      </c>
      <c r="E754" t="inlineStr">
        <is>
          <t>ÖSTHAMMAR</t>
        </is>
      </c>
      <c r="G754" t="n">
        <v>4.3</v>
      </c>
      <c r="H754" t="n">
        <v>0</v>
      </c>
      <c r="I754" t="n">
        <v>0</v>
      </c>
      <c r="J754" t="n">
        <v>0</v>
      </c>
      <c r="K754" t="n">
        <v>0</v>
      </c>
      <c r="L754" t="n">
        <v>0</v>
      </c>
      <c r="M754" t="n">
        <v>0</v>
      </c>
      <c r="N754" t="n">
        <v>0</v>
      </c>
      <c r="O754" t="n">
        <v>0</v>
      </c>
      <c r="P754" t="n">
        <v>0</v>
      </c>
      <c r="Q754" t="n">
        <v>0</v>
      </c>
      <c r="R754" s="2" t="inlineStr"/>
    </row>
    <row r="755" ht="15" customHeight="1">
      <c r="A755" t="inlineStr">
        <is>
          <t>A 11547-2022</t>
        </is>
      </c>
      <c r="B755" s="1" t="n">
        <v>44631.43116898148</v>
      </c>
      <c r="C755" s="1" t="n">
        <v>46110</v>
      </c>
      <c r="D755" t="inlineStr">
        <is>
          <t>UPPSALA LÄN</t>
        </is>
      </c>
      <c r="E755" t="inlineStr">
        <is>
          <t>ÖSTHAMMAR</t>
        </is>
      </c>
      <c r="G755" t="n">
        <v>4.4</v>
      </c>
      <c r="H755" t="n">
        <v>0</v>
      </c>
      <c r="I755" t="n">
        <v>0</v>
      </c>
      <c r="J755" t="n">
        <v>0</v>
      </c>
      <c r="K755" t="n">
        <v>0</v>
      </c>
      <c r="L755" t="n">
        <v>0</v>
      </c>
      <c r="M755" t="n">
        <v>0</v>
      </c>
      <c r="N755" t="n">
        <v>0</v>
      </c>
      <c r="O755" t="n">
        <v>0</v>
      </c>
      <c r="P755" t="n">
        <v>0</v>
      </c>
      <c r="Q755" t="n">
        <v>0</v>
      </c>
      <c r="R755" s="2" t="inlineStr"/>
    </row>
    <row r="756" ht="15" customHeight="1">
      <c r="A756" t="inlineStr">
        <is>
          <t>A 25269-2024</t>
        </is>
      </c>
      <c r="B756" s="1" t="n">
        <v>45462</v>
      </c>
      <c r="C756" s="1" t="n">
        <v>46110</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59382-2022</t>
        </is>
      </c>
      <c r="B757" s="1" t="n">
        <v>44905.50363425926</v>
      </c>
      <c r="C757" s="1" t="n">
        <v>46110</v>
      </c>
      <c r="D757" t="inlineStr">
        <is>
          <t>UPPSALA LÄN</t>
        </is>
      </c>
      <c r="E757" t="inlineStr">
        <is>
          <t>ÖSTHAMMAR</t>
        </is>
      </c>
      <c r="G757" t="n">
        <v>2.9</v>
      </c>
      <c r="H757" t="n">
        <v>0</v>
      </c>
      <c r="I757" t="n">
        <v>0</v>
      </c>
      <c r="J757" t="n">
        <v>0</v>
      </c>
      <c r="K757" t="n">
        <v>0</v>
      </c>
      <c r="L757" t="n">
        <v>0</v>
      </c>
      <c r="M757" t="n">
        <v>0</v>
      </c>
      <c r="N757" t="n">
        <v>0</v>
      </c>
      <c r="O757" t="n">
        <v>0</v>
      </c>
      <c r="P757" t="n">
        <v>0</v>
      </c>
      <c r="Q757" t="n">
        <v>0</v>
      </c>
      <c r="R757" s="2" t="inlineStr"/>
    </row>
    <row r="758" ht="15" customHeight="1">
      <c r="A758" t="inlineStr">
        <is>
          <t>A 25969-2023</t>
        </is>
      </c>
      <c r="B758" s="1" t="n">
        <v>45090</v>
      </c>
      <c r="C758" s="1" t="n">
        <v>46110</v>
      </c>
      <c r="D758" t="inlineStr">
        <is>
          <t>UPPSALA LÄN</t>
        </is>
      </c>
      <c r="E758" t="inlineStr">
        <is>
          <t>ÖSTHAMMAR</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56903-2023</t>
        </is>
      </c>
      <c r="B759" s="1" t="n">
        <v>45244.56943287037</v>
      </c>
      <c r="C759" s="1" t="n">
        <v>46110</v>
      </c>
      <c r="D759" t="inlineStr">
        <is>
          <t>UPPSALA LÄN</t>
        </is>
      </c>
      <c r="E759" t="inlineStr">
        <is>
          <t>ÖSTHAMMAR</t>
        </is>
      </c>
      <c r="G759" t="n">
        <v>3.1</v>
      </c>
      <c r="H759" t="n">
        <v>0</v>
      </c>
      <c r="I759" t="n">
        <v>0</v>
      </c>
      <c r="J759" t="n">
        <v>0</v>
      </c>
      <c r="K759" t="n">
        <v>0</v>
      </c>
      <c r="L759" t="n">
        <v>0</v>
      </c>
      <c r="M759" t="n">
        <v>0</v>
      </c>
      <c r="N759" t="n">
        <v>0</v>
      </c>
      <c r="O759" t="n">
        <v>0</v>
      </c>
      <c r="P759" t="n">
        <v>0</v>
      </c>
      <c r="Q759" t="n">
        <v>0</v>
      </c>
      <c r="R759" s="2" t="inlineStr"/>
    </row>
    <row r="760" ht="15" customHeight="1">
      <c r="A760" t="inlineStr">
        <is>
          <t>A 67151-2021</t>
        </is>
      </c>
      <c r="B760" s="1" t="n">
        <v>44523</v>
      </c>
      <c r="C760" s="1" t="n">
        <v>46110</v>
      </c>
      <c r="D760" t="inlineStr">
        <is>
          <t>UPPSALA LÄN</t>
        </is>
      </c>
      <c r="E760" t="inlineStr">
        <is>
          <t>ÖSTHAMMAR</t>
        </is>
      </c>
      <c r="G760" t="n">
        <v>2.4</v>
      </c>
      <c r="H760" t="n">
        <v>0</v>
      </c>
      <c r="I760" t="n">
        <v>0</v>
      </c>
      <c r="J760" t="n">
        <v>0</v>
      </c>
      <c r="K760" t="n">
        <v>0</v>
      </c>
      <c r="L760" t="n">
        <v>0</v>
      </c>
      <c r="M760" t="n">
        <v>0</v>
      </c>
      <c r="N760" t="n">
        <v>0</v>
      </c>
      <c r="O760" t="n">
        <v>0</v>
      </c>
      <c r="P760" t="n">
        <v>0</v>
      </c>
      <c r="Q760" t="n">
        <v>0</v>
      </c>
      <c r="R760" s="2" t="inlineStr"/>
    </row>
    <row r="761" ht="15" customHeight="1">
      <c r="A761" t="inlineStr">
        <is>
          <t>A 29824-2023</t>
        </is>
      </c>
      <c r="B761" s="1" t="n">
        <v>45107</v>
      </c>
      <c r="C761" s="1" t="n">
        <v>46110</v>
      </c>
      <c r="D761" t="inlineStr">
        <is>
          <t>UPPSALA LÄN</t>
        </is>
      </c>
      <c r="E761" t="inlineStr">
        <is>
          <t>ÖSTHAMMAR</t>
        </is>
      </c>
      <c r="F761" t="inlineStr">
        <is>
          <t>Naturvårdsverket</t>
        </is>
      </c>
      <c r="G761" t="n">
        <v>1.6</v>
      </c>
      <c r="H761" t="n">
        <v>0</v>
      </c>
      <c r="I761" t="n">
        <v>0</v>
      </c>
      <c r="J761" t="n">
        <v>0</v>
      </c>
      <c r="K761" t="n">
        <v>0</v>
      </c>
      <c r="L761" t="n">
        <v>0</v>
      </c>
      <c r="M761" t="n">
        <v>0</v>
      </c>
      <c r="N761" t="n">
        <v>0</v>
      </c>
      <c r="O761" t="n">
        <v>0</v>
      </c>
      <c r="P761" t="n">
        <v>0</v>
      </c>
      <c r="Q761" t="n">
        <v>0</v>
      </c>
      <c r="R761" s="2" t="inlineStr"/>
    </row>
    <row r="762" ht="15" customHeight="1">
      <c r="A762" t="inlineStr">
        <is>
          <t>A 64586-2021</t>
        </is>
      </c>
      <c r="B762" s="1" t="n">
        <v>44511</v>
      </c>
      <c r="C762" s="1" t="n">
        <v>46110</v>
      </c>
      <c r="D762" t="inlineStr">
        <is>
          <t>UPPSALA LÄN</t>
        </is>
      </c>
      <c r="E762" t="inlineStr">
        <is>
          <t>ÖSTHAMMAR</t>
        </is>
      </c>
      <c r="G762" t="n">
        <v>2</v>
      </c>
      <c r="H762" t="n">
        <v>0</v>
      </c>
      <c r="I762" t="n">
        <v>0</v>
      </c>
      <c r="J762" t="n">
        <v>0</v>
      </c>
      <c r="K762" t="n">
        <v>0</v>
      </c>
      <c r="L762" t="n">
        <v>0</v>
      </c>
      <c r="M762" t="n">
        <v>0</v>
      </c>
      <c r="N762" t="n">
        <v>0</v>
      </c>
      <c r="O762" t="n">
        <v>0</v>
      </c>
      <c r="P762" t="n">
        <v>0</v>
      </c>
      <c r="Q762" t="n">
        <v>0</v>
      </c>
      <c r="R762" s="2" t="inlineStr"/>
    </row>
    <row r="763" ht="15" customHeight="1">
      <c r="A763" t="inlineStr">
        <is>
          <t>A 17009-2021</t>
        </is>
      </c>
      <c r="B763" s="1" t="n">
        <v>44295.63969907408</v>
      </c>
      <c r="C763" s="1" t="n">
        <v>46110</v>
      </c>
      <c r="D763" t="inlineStr">
        <is>
          <t>UPPSALA LÄN</t>
        </is>
      </c>
      <c r="E763" t="inlineStr">
        <is>
          <t>ÖSTHAMMAR</t>
        </is>
      </c>
      <c r="F763" t="inlineStr">
        <is>
          <t>Bergvik skog öst AB</t>
        </is>
      </c>
      <c r="G763" t="n">
        <v>3.2</v>
      </c>
      <c r="H763" t="n">
        <v>0</v>
      </c>
      <c r="I763" t="n">
        <v>0</v>
      </c>
      <c r="J763" t="n">
        <v>0</v>
      </c>
      <c r="K763" t="n">
        <v>0</v>
      </c>
      <c r="L763" t="n">
        <v>0</v>
      </c>
      <c r="M763" t="n">
        <v>0</v>
      </c>
      <c r="N763" t="n">
        <v>0</v>
      </c>
      <c r="O763" t="n">
        <v>0</v>
      </c>
      <c r="P763" t="n">
        <v>0</v>
      </c>
      <c r="Q763" t="n">
        <v>0</v>
      </c>
      <c r="R763" s="2" t="inlineStr"/>
    </row>
    <row r="764" ht="15" customHeight="1">
      <c r="A764" t="inlineStr">
        <is>
          <t>A 13755-2023</t>
        </is>
      </c>
      <c r="B764" s="1" t="n">
        <v>45007</v>
      </c>
      <c r="C764" s="1" t="n">
        <v>46110</v>
      </c>
      <c r="D764" t="inlineStr">
        <is>
          <t>UPPSALA LÄN</t>
        </is>
      </c>
      <c r="E764" t="inlineStr">
        <is>
          <t>ÖSTHAMMAR</t>
        </is>
      </c>
      <c r="G764" t="n">
        <v>2.4</v>
      </c>
      <c r="H764" t="n">
        <v>0</v>
      </c>
      <c r="I764" t="n">
        <v>0</v>
      </c>
      <c r="J764" t="n">
        <v>0</v>
      </c>
      <c r="K764" t="n">
        <v>0</v>
      </c>
      <c r="L764" t="n">
        <v>0</v>
      </c>
      <c r="M764" t="n">
        <v>0</v>
      </c>
      <c r="N764" t="n">
        <v>0</v>
      </c>
      <c r="O764" t="n">
        <v>0</v>
      </c>
      <c r="P764" t="n">
        <v>0</v>
      </c>
      <c r="Q764" t="n">
        <v>0</v>
      </c>
      <c r="R764" s="2" t="inlineStr"/>
    </row>
    <row r="765" ht="15" customHeight="1">
      <c r="A765" t="inlineStr">
        <is>
          <t>A 64774-2023</t>
        </is>
      </c>
      <c r="B765" s="1" t="n">
        <v>45282</v>
      </c>
      <c r="C765" s="1" t="n">
        <v>46110</v>
      </c>
      <c r="D765" t="inlineStr">
        <is>
          <t>UPPSALA LÄN</t>
        </is>
      </c>
      <c r="E765" t="inlineStr">
        <is>
          <t>ÖSTHAMMAR</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65020-2021</t>
        </is>
      </c>
      <c r="B766" s="1" t="n">
        <v>44515</v>
      </c>
      <c r="C766" s="1" t="n">
        <v>46110</v>
      </c>
      <c r="D766" t="inlineStr">
        <is>
          <t>UPPSALA LÄN</t>
        </is>
      </c>
      <c r="E766" t="inlineStr">
        <is>
          <t>ÖSTHAMMAR</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2085-2022</t>
        </is>
      </c>
      <c r="B767" s="1" t="n">
        <v>44576.78626157407</v>
      </c>
      <c r="C767" s="1" t="n">
        <v>46110</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14671-2022</t>
        </is>
      </c>
      <c r="B768" s="1" t="n">
        <v>44655.80475694445</v>
      </c>
      <c r="C768" s="1" t="n">
        <v>46110</v>
      </c>
      <c r="D768" t="inlineStr">
        <is>
          <t>UPPSALA LÄN</t>
        </is>
      </c>
      <c r="E768" t="inlineStr">
        <is>
          <t>ÖSTHAMMAR</t>
        </is>
      </c>
      <c r="G768" t="n">
        <v>1.9</v>
      </c>
      <c r="H768" t="n">
        <v>0</v>
      </c>
      <c r="I768" t="n">
        <v>0</v>
      </c>
      <c r="J768" t="n">
        <v>0</v>
      </c>
      <c r="K768" t="n">
        <v>0</v>
      </c>
      <c r="L768" t="n">
        <v>0</v>
      </c>
      <c r="M768" t="n">
        <v>0</v>
      </c>
      <c r="N768" t="n">
        <v>0</v>
      </c>
      <c r="O768" t="n">
        <v>0</v>
      </c>
      <c r="P768" t="n">
        <v>0</v>
      </c>
      <c r="Q768" t="n">
        <v>0</v>
      </c>
      <c r="R768" s="2" t="inlineStr"/>
    </row>
    <row r="769" ht="15" customHeight="1">
      <c r="A769" t="inlineStr">
        <is>
          <t>A 12215-2023</t>
        </is>
      </c>
      <c r="B769" s="1" t="n">
        <v>44998</v>
      </c>
      <c r="C769" s="1" t="n">
        <v>46110</v>
      </c>
      <c r="D769" t="inlineStr">
        <is>
          <t>UPPSALA LÄN</t>
        </is>
      </c>
      <c r="E769" t="inlineStr">
        <is>
          <t>ÖSTHAMMAR</t>
        </is>
      </c>
      <c r="G769" t="n">
        <v>5.1</v>
      </c>
      <c r="H769" t="n">
        <v>0</v>
      </c>
      <c r="I769" t="n">
        <v>0</v>
      </c>
      <c r="J769" t="n">
        <v>0</v>
      </c>
      <c r="K769" t="n">
        <v>0</v>
      </c>
      <c r="L769" t="n">
        <v>0</v>
      </c>
      <c r="M769" t="n">
        <v>0</v>
      </c>
      <c r="N769" t="n">
        <v>0</v>
      </c>
      <c r="O769" t="n">
        <v>0</v>
      </c>
      <c r="P769" t="n">
        <v>0</v>
      </c>
      <c r="Q769" t="n">
        <v>0</v>
      </c>
      <c r="R769" s="2" t="inlineStr"/>
    </row>
    <row r="770" ht="15" customHeight="1">
      <c r="A770" t="inlineStr">
        <is>
          <t>A 41996-2024</t>
        </is>
      </c>
      <c r="B770" s="1" t="n">
        <v>45561</v>
      </c>
      <c r="C770" s="1" t="n">
        <v>46110</v>
      </c>
      <c r="D770" t="inlineStr">
        <is>
          <t>UPPSALA LÄN</t>
        </is>
      </c>
      <c r="E770" t="inlineStr">
        <is>
          <t>ÖSTHAMMAR</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15449-2022</t>
        </is>
      </c>
      <c r="B771" s="1" t="n">
        <v>44660.91659722223</v>
      </c>
      <c r="C771" s="1" t="n">
        <v>46110</v>
      </c>
      <c r="D771" t="inlineStr">
        <is>
          <t>UPPSALA LÄN</t>
        </is>
      </c>
      <c r="E771" t="inlineStr">
        <is>
          <t>ÖSTHAMMAR</t>
        </is>
      </c>
      <c r="F771" t="inlineStr">
        <is>
          <t>Bergvik skog öst AB</t>
        </is>
      </c>
      <c r="G771" t="n">
        <v>2</v>
      </c>
      <c r="H771" t="n">
        <v>0</v>
      </c>
      <c r="I771" t="n">
        <v>0</v>
      </c>
      <c r="J771" t="n">
        <v>0</v>
      </c>
      <c r="K771" t="n">
        <v>0</v>
      </c>
      <c r="L771" t="n">
        <v>0</v>
      </c>
      <c r="M771" t="n">
        <v>0</v>
      </c>
      <c r="N771" t="n">
        <v>0</v>
      </c>
      <c r="O771" t="n">
        <v>0</v>
      </c>
      <c r="P771" t="n">
        <v>0</v>
      </c>
      <c r="Q771" t="n">
        <v>0</v>
      </c>
      <c r="R771" s="2" t="inlineStr"/>
    </row>
    <row r="772" ht="15" customHeight="1">
      <c r="A772" t="inlineStr">
        <is>
          <t>A 1439-2025</t>
        </is>
      </c>
      <c r="B772" s="1" t="n">
        <v>45669.69075231482</v>
      </c>
      <c r="C772" s="1" t="n">
        <v>46110</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5884-2023</t>
        </is>
      </c>
      <c r="B773" s="1" t="n">
        <v>44963</v>
      </c>
      <c r="C773" s="1" t="n">
        <v>46110</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5215-2025</t>
        </is>
      </c>
      <c r="B774" s="1" t="n">
        <v>45691</v>
      </c>
      <c r="C774" s="1" t="n">
        <v>46110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65028-2021</t>
        </is>
      </c>
      <c r="B775" s="1" t="n">
        <v>44515</v>
      </c>
      <c r="C775" s="1" t="n">
        <v>46110</v>
      </c>
      <c r="D775" t="inlineStr">
        <is>
          <t>UPPSALA LÄN</t>
        </is>
      </c>
      <c r="E775" t="inlineStr">
        <is>
          <t>ÖSTHAMMAR</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1525-2025</t>
        </is>
      </c>
      <c r="B776" s="1" t="n">
        <v>45670.47300925926</v>
      </c>
      <c r="C776" s="1" t="n">
        <v>46110</v>
      </c>
      <c r="D776" t="inlineStr">
        <is>
          <t>UPPSALA LÄN</t>
        </is>
      </c>
      <c r="E776" t="inlineStr">
        <is>
          <t>ÖSTHAMMAR</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61257-2022</t>
        </is>
      </c>
      <c r="B777" s="1" t="n">
        <v>44915.59418981482</v>
      </c>
      <c r="C777" s="1" t="n">
        <v>46110</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36857-2023</t>
        </is>
      </c>
      <c r="B778" s="1" t="n">
        <v>45154.55175925926</v>
      </c>
      <c r="C778" s="1" t="n">
        <v>46110</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6206-2022</t>
        </is>
      </c>
      <c r="B779" s="1" t="n">
        <v>44600.35755787037</v>
      </c>
      <c r="C779" s="1" t="n">
        <v>46110</v>
      </c>
      <c r="D779" t="inlineStr">
        <is>
          <t>UPPSALA LÄN</t>
        </is>
      </c>
      <c r="E779" t="inlineStr">
        <is>
          <t>ÖSTHAMMAR</t>
        </is>
      </c>
      <c r="G779" t="n">
        <v>7.4</v>
      </c>
      <c r="H779" t="n">
        <v>0</v>
      </c>
      <c r="I779" t="n">
        <v>0</v>
      </c>
      <c r="J779" t="n">
        <v>0</v>
      </c>
      <c r="K779" t="n">
        <v>0</v>
      </c>
      <c r="L779" t="n">
        <v>0</v>
      </c>
      <c r="M779" t="n">
        <v>0</v>
      </c>
      <c r="N779" t="n">
        <v>0</v>
      </c>
      <c r="O779" t="n">
        <v>0</v>
      </c>
      <c r="P779" t="n">
        <v>0</v>
      </c>
      <c r="Q779" t="n">
        <v>0</v>
      </c>
      <c r="R779" s="2" t="inlineStr"/>
    </row>
    <row r="780" ht="15" customHeight="1">
      <c r="A780" t="inlineStr">
        <is>
          <t>A 6143-2022</t>
        </is>
      </c>
      <c r="B780" s="1" t="n">
        <v>44599.72306712963</v>
      </c>
      <c r="C780" s="1" t="n">
        <v>46110</v>
      </c>
      <c r="D780" t="inlineStr">
        <is>
          <t>UPPSALA LÄN</t>
        </is>
      </c>
      <c r="E780" t="inlineStr">
        <is>
          <t>ÖSTHAMMAR</t>
        </is>
      </c>
      <c r="G780" t="n">
        <v>3.4</v>
      </c>
      <c r="H780" t="n">
        <v>0</v>
      </c>
      <c r="I780" t="n">
        <v>0</v>
      </c>
      <c r="J780" t="n">
        <v>0</v>
      </c>
      <c r="K780" t="n">
        <v>0</v>
      </c>
      <c r="L780" t="n">
        <v>0</v>
      </c>
      <c r="M780" t="n">
        <v>0</v>
      </c>
      <c r="N780" t="n">
        <v>0</v>
      </c>
      <c r="O780" t="n">
        <v>0</v>
      </c>
      <c r="P780" t="n">
        <v>0</v>
      </c>
      <c r="Q780" t="n">
        <v>0</v>
      </c>
      <c r="R780" s="2" t="inlineStr"/>
    </row>
    <row r="781" ht="15" customHeight="1">
      <c r="A781" t="inlineStr">
        <is>
          <t>A 3514-2023</t>
        </is>
      </c>
      <c r="B781" s="1" t="n">
        <v>44950</v>
      </c>
      <c r="C781" s="1" t="n">
        <v>46110</v>
      </c>
      <c r="D781" t="inlineStr">
        <is>
          <t>UPPSALA LÄN</t>
        </is>
      </c>
      <c r="E781" t="inlineStr">
        <is>
          <t>ÖSTHAMMAR</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45561-2023</t>
        </is>
      </c>
      <c r="B782" s="1" t="n">
        <v>45194.59335648148</v>
      </c>
      <c r="C782" s="1" t="n">
        <v>46110</v>
      </c>
      <c r="D782" t="inlineStr">
        <is>
          <t>UPPSALA LÄN</t>
        </is>
      </c>
      <c r="E782" t="inlineStr">
        <is>
          <t>ÖSTHAMMAR</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43439-2024</t>
        </is>
      </c>
      <c r="B783" s="1" t="n">
        <v>45568</v>
      </c>
      <c r="C783" s="1" t="n">
        <v>46110</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59880-2022</t>
        </is>
      </c>
      <c r="B784" s="1" t="n">
        <v>44908.69575231482</v>
      </c>
      <c r="C784" s="1" t="n">
        <v>46110</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4562-2022</t>
        </is>
      </c>
      <c r="B785" s="1" t="n">
        <v>44591</v>
      </c>
      <c r="C785" s="1" t="n">
        <v>46110</v>
      </c>
      <c r="D785" t="inlineStr">
        <is>
          <t>UPPSALA LÄN</t>
        </is>
      </c>
      <c r="E785" t="inlineStr">
        <is>
          <t>ÖSTHAMMAR</t>
        </is>
      </c>
      <c r="G785" t="n">
        <v>3.4</v>
      </c>
      <c r="H785" t="n">
        <v>0</v>
      </c>
      <c r="I785" t="n">
        <v>0</v>
      </c>
      <c r="J785" t="n">
        <v>0</v>
      </c>
      <c r="K785" t="n">
        <v>0</v>
      </c>
      <c r="L785" t="n">
        <v>0</v>
      </c>
      <c r="M785" t="n">
        <v>0</v>
      </c>
      <c r="N785" t="n">
        <v>0</v>
      </c>
      <c r="O785" t="n">
        <v>0</v>
      </c>
      <c r="P785" t="n">
        <v>0</v>
      </c>
      <c r="Q785" t="n">
        <v>0</v>
      </c>
      <c r="R785" s="2" t="inlineStr"/>
    </row>
    <row r="786" ht="15" customHeight="1">
      <c r="A786" t="inlineStr">
        <is>
          <t>A 4099-2025</t>
        </is>
      </c>
      <c r="B786" s="1" t="n">
        <v>45684</v>
      </c>
      <c r="C786" s="1" t="n">
        <v>46110</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41538-2021</t>
        </is>
      </c>
      <c r="B787" s="1" t="n">
        <v>44425.35016203704</v>
      </c>
      <c r="C787" s="1" t="n">
        <v>46110</v>
      </c>
      <c r="D787" t="inlineStr">
        <is>
          <t>UPPSALA LÄN</t>
        </is>
      </c>
      <c r="E787" t="inlineStr">
        <is>
          <t>ÖSTHAMMAR</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36301-2023</t>
        </is>
      </c>
      <c r="B788" s="1" t="n">
        <v>45152.37296296296</v>
      </c>
      <c r="C788" s="1" t="n">
        <v>46110</v>
      </c>
      <c r="D788" t="inlineStr">
        <is>
          <t>UPPSALA LÄN</t>
        </is>
      </c>
      <c r="E788" t="inlineStr">
        <is>
          <t>ÖSTHAMMAR</t>
        </is>
      </c>
      <c r="G788" t="n">
        <v>0.9</v>
      </c>
      <c r="H788" t="n">
        <v>0</v>
      </c>
      <c r="I788" t="n">
        <v>0</v>
      </c>
      <c r="J788" t="n">
        <v>0</v>
      </c>
      <c r="K788" t="n">
        <v>0</v>
      </c>
      <c r="L788" t="n">
        <v>0</v>
      </c>
      <c r="M788" t="n">
        <v>0</v>
      </c>
      <c r="N788" t="n">
        <v>0</v>
      </c>
      <c r="O788" t="n">
        <v>0</v>
      </c>
      <c r="P788" t="n">
        <v>0</v>
      </c>
      <c r="Q788" t="n">
        <v>0</v>
      </c>
      <c r="R788" s="2" t="inlineStr"/>
    </row>
    <row r="789" ht="15" customHeight="1">
      <c r="A789" t="inlineStr">
        <is>
          <t>A 28429-2023</t>
        </is>
      </c>
      <c r="B789" s="1" t="n">
        <v>45102.58728009259</v>
      </c>
      <c r="C789" s="1" t="n">
        <v>46110</v>
      </c>
      <c r="D789" t="inlineStr">
        <is>
          <t>UPPSALA LÄN</t>
        </is>
      </c>
      <c r="E789" t="inlineStr">
        <is>
          <t>ÖSTHAMMAR</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35309-2023</t>
        </is>
      </c>
      <c r="B790" s="1" t="n">
        <v>45146</v>
      </c>
      <c r="C790" s="1" t="n">
        <v>46110</v>
      </c>
      <c r="D790" t="inlineStr">
        <is>
          <t>UPPSALA LÄN</t>
        </is>
      </c>
      <c r="E790" t="inlineStr">
        <is>
          <t>ÖSTHAMMAR</t>
        </is>
      </c>
      <c r="G790" t="n">
        <v>1.3</v>
      </c>
      <c r="H790" t="n">
        <v>0</v>
      </c>
      <c r="I790" t="n">
        <v>0</v>
      </c>
      <c r="J790" t="n">
        <v>0</v>
      </c>
      <c r="K790" t="n">
        <v>0</v>
      </c>
      <c r="L790" t="n">
        <v>0</v>
      </c>
      <c r="M790" t="n">
        <v>0</v>
      </c>
      <c r="N790" t="n">
        <v>0</v>
      </c>
      <c r="O790" t="n">
        <v>0</v>
      </c>
      <c r="P790" t="n">
        <v>0</v>
      </c>
      <c r="Q790" t="n">
        <v>0</v>
      </c>
      <c r="R790" s="2" t="inlineStr"/>
    </row>
    <row r="791" ht="15" customHeight="1">
      <c r="A791" t="inlineStr">
        <is>
          <t>A 835-2025</t>
        </is>
      </c>
      <c r="B791" s="1" t="n">
        <v>45665.58465277778</v>
      </c>
      <c r="C791" s="1" t="n">
        <v>46110</v>
      </c>
      <c r="D791" t="inlineStr">
        <is>
          <t>UPPSALA LÄN</t>
        </is>
      </c>
      <c r="E791" t="inlineStr">
        <is>
          <t>ÖSTHAMMAR</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67199-2021</t>
        </is>
      </c>
      <c r="B792" s="1" t="n">
        <v>44523.46197916667</v>
      </c>
      <c r="C792" s="1" t="n">
        <v>46110</v>
      </c>
      <c r="D792" t="inlineStr">
        <is>
          <t>UPPSALA LÄN</t>
        </is>
      </c>
      <c r="E792" t="inlineStr">
        <is>
          <t>ÖSTHAMMAR</t>
        </is>
      </c>
      <c r="G792" t="n">
        <v>2.3</v>
      </c>
      <c r="H792" t="n">
        <v>0</v>
      </c>
      <c r="I792" t="n">
        <v>0</v>
      </c>
      <c r="J792" t="n">
        <v>0</v>
      </c>
      <c r="K792" t="n">
        <v>0</v>
      </c>
      <c r="L792" t="n">
        <v>0</v>
      </c>
      <c r="M792" t="n">
        <v>0</v>
      </c>
      <c r="N792" t="n">
        <v>0</v>
      </c>
      <c r="O792" t="n">
        <v>0</v>
      </c>
      <c r="P792" t="n">
        <v>0</v>
      </c>
      <c r="Q792" t="n">
        <v>0</v>
      </c>
      <c r="R792" s="2" t="inlineStr"/>
    </row>
    <row r="793" ht="15" customHeight="1">
      <c r="A793" t="inlineStr">
        <is>
          <t>A 24259-2022</t>
        </is>
      </c>
      <c r="B793" s="1" t="n">
        <v>44725</v>
      </c>
      <c r="C793" s="1" t="n">
        <v>46110</v>
      </c>
      <c r="D793" t="inlineStr">
        <is>
          <t>UPPSALA LÄN</t>
        </is>
      </c>
      <c r="E793" t="inlineStr">
        <is>
          <t>ÖSTHAMMAR</t>
        </is>
      </c>
      <c r="G793" t="n">
        <v>2.4</v>
      </c>
      <c r="H793" t="n">
        <v>0</v>
      </c>
      <c r="I793" t="n">
        <v>0</v>
      </c>
      <c r="J793" t="n">
        <v>0</v>
      </c>
      <c r="K793" t="n">
        <v>0</v>
      </c>
      <c r="L793" t="n">
        <v>0</v>
      </c>
      <c r="M793" t="n">
        <v>0</v>
      </c>
      <c r="N793" t="n">
        <v>0</v>
      </c>
      <c r="O793" t="n">
        <v>0</v>
      </c>
      <c r="P793" t="n">
        <v>0</v>
      </c>
      <c r="Q793" t="n">
        <v>0</v>
      </c>
      <c r="R793" s="2" t="inlineStr"/>
    </row>
    <row r="794" ht="15" customHeight="1">
      <c r="A794" t="inlineStr">
        <is>
          <t>A 24367-2022</t>
        </is>
      </c>
      <c r="B794" s="1" t="n">
        <v>44726.42716435185</v>
      </c>
      <c r="C794" s="1" t="n">
        <v>46110</v>
      </c>
      <c r="D794" t="inlineStr">
        <is>
          <t>UPPSALA LÄN</t>
        </is>
      </c>
      <c r="E794" t="inlineStr">
        <is>
          <t>ÖSTHAMMAR</t>
        </is>
      </c>
      <c r="G794" t="n">
        <v>2.7</v>
      </c>
      <c r="H794" t="n">
        <v>0</v>
      </c>
      <c r="I794" t="n">
        <v>0</v>
      </c>
      <c r="J794" t="n">
        <v>0</v>
      </c>
      <c r="K794" t="n">
        <v>0</v>
      </c>
      <c r="L794" t="n">
        <v>0</v>
      </c>
      <c r="M794" t="n">
        <v>0</v>
      </c>
      <c r="N794" t="n">
        <v>0</v>
      </c>
      <c r="O794" t="n">
        <v>0</v>
      </c>
      <c r="P794" t="n">
        <v>0</v>
      </c>
      <c r="Q794" t="n">
        <v>0</v>
      </c>
      <c r="R794" s="2" t="inlineStr"/>
    </row>
    <row r="795" ht="15" customHeight="1">
      <c r="A795" t="inlineStr">
        <is>
          <t>A 49897-2023</t>
        </is>
      </c>
      <c r="B795" s="1" t="n">
        <v>45213.84846064815</v>
      </c>
      <c r="C795" s="1" t="n">
        <v>46110</v>
      </c>
      <c r="D795" t="inlineStr">
        <is>
          <t>UPPSALA LÄN</t>
        </is>
      </c>
      <c r="E795" t="inlineStr">
        <is>
          <t>ÖSTHAMMAR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34922-2023</t>
        </is>
      </c>
      <c r="B796" s="1" t="n">
        <v>45142.48359953704</v>
      </c>
      <c r="C796" s="1" t="n">
        <v>46110</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50998-2023</t>
        </is>
      </c>
      <c r="B797" s="1" t="n">
        <v>45218.5586574074</v>
      </c>
      <c r="C797" s="1" t="n">
        <v>46110</v>
      </c>
      <c r="D797" t="inlineStr">
        <is>
          <t>UPPSALA LÄN</t>
        </is>
      </c>
      <c r="E797" t="inlineStr">
        <is>
          <t>ÖSTHAMMAR</t>
        </is>
      </c>
      <c r="G797" t="n">
        <v>3.6</v>
      </c>
      <c r="H797" t="n">
        <v>0</v>
      </c>
      <c r="I797" t="n">
        <v>0</v>
      </c>
      <c r="J797" t="n">
        <v>0</v>
      </c>
      <c r="K797" t="n">
        <v>0</v>
      </c>
      <c r="L797" t="n">
        <v>0</v>
      </c>
      <c r="M797" t="n">
        <v>0</v>
      </c>
      <c r="N797" t="n">
        <v>0</v>
      </c>
      <c r="O797" t="n">
        <v>0</v>
      </c>
      <c r="P797" t="n">
        <v>0</v>
      </c>
      <c r="Q797" t="n">
        <v>0</v>
      </c>
      <c r="R797" s="2" t="inlineStr"/>
    </row>
    <row r="798" ht="15" customHeight="1">
      <c r="A798" t="inlineStr">
        <is>
          <t>A 31669-2022</t>
        </is>
      </c>
      <c r="B798" s="1" t="n">
        <v>44775</v>
      </c>
      <c r="C798" s="1" t="n">
        <v>46110</v>
      </c>
      <c r="D798" t="inlineStr">
        <is>
          <t>UPPSALA LÄN</t>
        </is>
      </c>
      <c r="E798" t="inlineStr">
        <is>
          <t>ÖSTHAMMAR</t>
        </is>
      </c>
      <c r="G798" t="n">
        <v>6</v>
      </c>
      <c r="H798" t="n">
        <v>0</v>
      </c>
      <c r="I798" t="n">
        <v>0</v>
      </c>
      <c r="J798" t="n">
        <v>0</v>
      </c>
      <c r="K798" t="n">
        <v>0</v>
      </c>
      <c r="L798" t="n">
        <v>0</v>
      </c>
      <c r="M798" t="n">
        <v>0</v>
      </c>
      <c r="N798" t="n">
        <v>0</v>
      </c>
      <c r="O798" t="n">
        <v>0</v>
      </c>
      <c r="P798" t="n">
        <v>0</v>
      </c>
      <c r="Q798" t="n">
        <v>0</v>
      </c>
      <c r="R798" s="2" t="inlineStr"/>
    </row>
    <row r="799" ht="15" customHeight="1">
      <c r="A799" t="inlineStr">
        <is>
          <t>A 48856-2024</t>
        </is>
      </c>
      <c r="B799" s="1" t="n">
        <v>45593</v>
      </c>
      <c r="C799" s="1" t="n">
        <v>46110</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row>
    <row r="800" ht="15" customHeight="1">
      <c r="A800" t="inlineStr">
        <is>
          <t>A 17947-2022</t>
        </is>
      </c>
      <c r="B800" s="1" t="n">
        <v>44683</v>
      </c>
      <c r="C800" s="1" t="n">
        <v>46110</v>
      </c>
      <c r="D800" t="inlineStr">
        <is>
          <t>UPPSALA LÄN</t>
        </is>
      </c>
      <c r="E800" t="inlineStr">
        <is>
          <t>ÖSTHAMMAR</t>
        </is>
      </c>
      <c r="G800" t="n">
        <v>5.5</v>
      </c>
      <c r="H800" t="n">
        <v>0</v>
      </c>
      <c r="I800" t="n">
        <v>0</v>
      </c>
      <c r="J800" t="n">
        <v>0</v>
      </c>
      <c r="K800" t="n">
        <v>0</v>
      </c>
      <c r="L800" t="n">
        <v>0</v>
      </c>
      <c r="M800" t="n">
        <v>0</v>
      </c>
      <c r="N800" t="n">
        <v>0</v>
      </c>
      <c r="O800" t="n">
        <v>0</v>
      </c>
      <c r="P800" t="n">
        <v>0</v>
      </c>
      <c r="Q800" t="n">
        <v>0</v>
      </c>
      <c r="R800" s="2" t="inlineStr"/>
    </row>
    <row r="801" ht="15" customHeight="1">
      <c r="A801" t="inlineStr">
        <is>
          <t>A 21862-2023</t>
        </is>
      </c>
      <c r="B801" s="1" t="n">
        <v>45068</v>
      </c>
      <c r="C801" s="1" t="n">
        <v>46110</v>
      </c>
      <c r="D801" t="inlineStr">
        <is>
          <t>UPPSALA LÄN</t>
        </is>
      </c>
      <c r="E801" t="inlineStr">
        <is>
          <t>ÖSTHAMMAR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12654-2025</t>
        </is>
      </c>
      <c r="B802" s="1" t="n">
        <v>45733.41601851852</v>
      </c>
      <c r="C802" s="1" t="n">
        <v>46110</v>
      </c>
      <c r="D802" t="inlineStr">
        <is>
          <t>UPPSALA LÄN</t>
        </is>
      </c>
      <c r="E802" t="inlineStr">
        <is>
          <t>ÖSTHAMMAR</t>
        </is>
      </c>
      <c r="G802" t="n">
        <v>9.9</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45096.65381944444</v>
      </c>
      <c r="C803" s="1" t="n">
        <v>46110</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28420-2023</t>
        </is>
      </c>
      <c r="B804" s="1" t="n">
        <v>45102.33054398148</v>
      </c>
      <c r="C804" s="1" t="n">
        <v>46110</v>
      </c>
      <c r="D804" t="inlineStr">
        <is>
          <t>UPPSALA LÄN</t>
        </is>
      </c>
      <c r="E804" t="inlineStr">
        <is>
          <t>ÖSTHAMMAR</t>
        </is>
      </c>
      <c r="F804" t="inlineStr">
        <is>
          <t>Bergvik skog öst AB</t>
        </is>
      </c>
      <c r="G804" t="n">
        <v>3.2</v>
      </c>
      <c r="H804" t="n">
        <v>0</v>
      </c>
      <c r="I804" t="n">
        <v>0</v>
      </c>
      <c r="J804" t="n">
        <v>0</v>
      </c>
      <c r="K804" t="n">
        <v>0</v>
      </c>
      <c r="L804" t="n">
        <v>0</v>
      </c>
      <c r="M804" t="n">
        <v>0</v>
      </c>
      <c r="N804" t="n">
        <v>0</v>
      </c>
      <c r="O804" t="n">
        <v>0</v>
      </c>
      <c r="P804" t="n">
        <v>0</v>
      </c>
      <c r="Q804" t="n">
        <v>0</v>
      </c>
      <c r="R804" s="2" t="inlineStr"/>
    </row>
    <row r="805" ht="15" customHeight="1">
      <c r="A805" t="inlineStr">
        <is>
          <t>A 40547-2023</t>
        </is>
      </c>
      <c r="B805" s="1" t="n">
        <v>45170.45050925926</v>
      </c>
      <c r="C805" s="1" t="n">
        <v>46110</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10449-2023</t>
        </is>
      </c>
      <c r="B806" s="1" t="n">
        <v>44987</v>
      </c>
      <c r="C806" s="1" t="n">
        <v>46110</v>
      </c>
      <c r="D806" t="inlineStr">
        <is>
          <t>UPPSALA LÄN</t>
        </is>
      </c>
      <c r="E806" t="inlineStr">
        <is>
          <t>ÖSTHAMMAR</t>
        </is>
      </c>
      <c r="G806" t="n">
        <v>3.1</v>
      </c>
      <c r="H806" t="n">
        <v>0</v>
      </c>
      <c r="I806" t="n">
        <v>0</v>
      </c>
      <c r="J806" t="n">
        <v>0</v>
      </c>
      <c r="K806" t="n">
        <v>0</v>
      </c>
      <c r="L806" t="n">
        <v>0</v>
      </c>
      <c r="M806" t="n">
        <v>0</v>
      </c>
      <c r="N806" t="n">
        <v>0</v>
      </c>
      <c r="O806" t="n">
        <v>0</v>
      </c>
      <c r="P806" t="n">
        <v>0</v>
      </c>
      <c r="Q806" t="n">
        <v>0</v>
      </c>
      <c r="R806" s="2" t="inlineStr"/>
    </row>
    <row r="807" ht="15" customHeight="1">
      <c r="A807" t="inlineStr">
        <is>
          <t>A 31035-2022</t>
        </is>
      </c>
      <c r="B807" s="1" t="n">
        <v>44768.88685185185</v>
      </c>
      <c r="C807" s="1" t="n">
        <v>46110</v>
      </c>
      <c r="D807" t="inlineStr">
        <is>
          <t>UPPSALA LÄN</t>
        </is>
      </c>
      <c r="E807" t="inlineStr">
        <is>
          <t>ÖSTHAMMAR</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22798-2023</t>
        </is>
      </c>
      <c r="B808" s="1" t="n">
        <v>45072</v>
      </c>
      <c r="C808" s="1" t="n">
        <v>46110</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10982-2023</t>
        </is>
      </c>
      <c r="B809" s="1" t="n">
        <v>44991.62203703704</v>
      </c>
      <c r="C809" s="1" t="n">
        <v>46110</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ht="15" customHeight="1">
      <c r="A810" t="inlineStr">
        <is>
          <t>A 40637-2022</t>
        </is>
      </c>
      <c r="B810" s="1" t="n">
        <v>44824</v>
      </c>
      <c r="C810" s="1" t="n">
        <v>46110</v>
      </c>
      <c r="D810" t="inlineStr">
        <is>
          <t>UPPSALA LÄN</t>
        </is>
      </c>
      <c r="E810" t="inlineStr">
        <is>
          <t>ÖSTHAMMAR</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6046-2025</t>
        </is>
      </c>
      <c r="B811" s="1" t="n">
        <v>45695</v>
      </c>
      <c r="C811" s="1" t="n">
        <v>46110</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c r="U811">
        <f>HYPERLINK("https://klasma.github.io/Logging_0382/knärot/A 6046-2025 karta knärot.png", "A 6046-2025")</f>
        <v/>
      </c>
      <c r="V811">
        <f>HYPERLINK("https://klasma.github.io/Logging_0382/klagomål/A 6046-2025 FSC-klagomål.docx", "A 6046-2025")</f>
        <v/>
      </c>
      <c r="W811">
        <f>HYPERLINK("https://klasma.github.io/Logging_0382/klagomålsmail/A 6046-2025 FSC-klagomål mail.docx", "A 6046-2025")</f>
        <v/>
      </c>
      <c r="X811">
        <f>HYPERLINK("https://klasma.github.io/Logging_0382/tillsyn/A 6046-2025 tillsynsbegäran.docx", "A 6046-2025")</f>
        <v/>
      </c>
      <c r="Y811">
        <f>HYPERLINK("https://klasma.github.io/Logging_0382/tillsynsmail/A 6046-2025 tillsynsbegäran mail.docx", "A 6046-2025")</f>
        <v/>
      </c>
    </row>
    <row r="812" ht="15" customHeight="1">
      <c r="A812" t="inlineStr">
        <is>
          <t>A 21624-2023</t>
        </is>
      </c>
      <c r="B812" s="1" t="n">
        <v>45063.65543981481</v>
      </c>
      <c r="C812" s="1" t="n">
        <v>46110</v>
      </c>
      <c r="D812" t="inlineStr">
        <is>
          <t>UPPSALA LÄN</t>
        </is>
      </c>
      <c r="E812" t="inlineStr">
        <is>
          <t>ÖSTHAMMAR</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6120-2024</t>
        </is>
      </c>
      <c r="B813" s="1" t="n">
        <v>45337.41784722222</v>
      </c>
      <c r="C813" s="1" t="n">
        <v>46110</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58270-2023</t>
        </is>
      </c>
      <c r="B814" s="1" t="n">
        <v>45250.49961805555</v>
      </c>
      <c r="C814" s="1" t="n">
        <v>46110</v>
      </c>
      <c r="D814" t="inlineStr">
        <is>
          <t>UPPSALA LÄN</t>
        </is>
      </c>
      <c r="E814" t="inlineStr">
        <is>
          <t>ÖSTHAMMAR</t>
        </is>
      </c>
      <c r="G814" t="n">
        <v>1.3</v>
      </c>
      <c r="H814" t="n">
        <v>0</v>
      </c>
      <c r="I814" t="n">
        <v>0</v>
      </c>
      <c r="J814" t="n">
        <v>0</v>
      </c>
      <c r="K814" t="n">
        <v>0</v>
      </c>
      <c r="L814" t="n">
        <v>0</v>
      </c>
      <c r="M814" t="n">
        <v>0</v>
      </c>
      <c r="N814" t="n">
        <v>0</v>
      </c>
      <c r="O814" t="n">
        <v>0</v>
      </c>
      <c r="P814" t="n">
        <v>0</v>
      </c>
      <c r="Q814" t="n">
        <v>0</v>
      </c>
      <c r="R814" s="2" t="inlineStr"/>
    </row>
    <row r="815" ht="15" customHeight="1">
      <c r="A815" t="inlineStr">
        <is>
          <t>A 22804-2022</t>
        </is>
      </c>
      <c r="B815" s="1" t="n">
        <v>44715</v>
      </c>
      <c r="C815" s="1" t="n">
        <v>46110</v>
      </c>
      <c r="D815" t="inlineStr">
        <is>
          <t>UPPSALA LÄN</t>
        </is>
      </c>
      <c r="E815" t="inlineStr">
        <is>
          <t>ÖSTHAMMAR</t>
        </is>
      </c>
      <c r="G815" t="n">
        <v>2.7</v>
      </c>
      <c r="H815" t="n">
        <v>0</v>
      </c>
      <c r="I815" t="n">
        <v>0</v>
      </c>
      <c r="J815" t="n">
        <v>0</v>
      </c>
      <c r="K815" t="n">
        <v>0</v>
      </c>
      <c r="L815" t="n">
        <v>0</v>
      </c>
      <c r="M815" t="n">
        <v>0</v>
      </c>
      <c r="N815" t="n">
        <v>0</v>
      </c>
      <c r="O815" t="n">
        <v>0</v>
      </c>
      <c r="P815" t="n">
        <v>0</v>
      </c>
      <c r="Q815" t="n">
        <v>0</v>
      </c>
      <c r="R815" s="2" t="inlineStr"/>
    </row>
    <row r="816" ht="15" customHeight="1">
      <c r="A816" t="inlineStr">
        <is>
          <t>A 57003-2021</t>
        </is>
      </c>
      <c r="B816" s="1" t="n">
        <v>44482.47577546296</v>
      </c>
      <c r="C816" s="1" t="n">
        <v>46110</v>
      </c>
      <c r="D816" t="inlineStr">
        <is>
          <t>UPPSALA LÄN</t>
        </is>
      </c>
      <c r="E816" t="inlineStr">
        <is>
          <t>ÖSTHAMMAR</t>
        </is>
      </c>
      <c r="G816" t="n">
        <v>1.9</v>
      </c>
      <c r="H816" t="n">
        <v>0</v>
      </c>
      <c r="I816" t="n">
        <v>0</v>
      </c>
      <c r="J816" t="n">
        <v>0</v>
      </c>
      <c r="K816" t="n">
        <v>0</v>
      </c>
      <c r="L816" t="n">
        <v>0</v>
      </c>
      <c r="M816" t="n">
        <v>0</v>
      </c>
      <c r="N816" t="n">
        <v>0</v>
      </c>
      <c r="O816" t="n">
        <v>0</v>
      </c>
      <c r="P816" t="n">
        <v>0</v>
      </c>
      <c r="Q816" t="n">
        <v>0</v>
      </c>
      <c r="R816" s="2" t="inlineStr"/>
    </row>
    <row r="817" ht="15" customHeight="1">
      <c r="A817" t="inlineStr">
        <is>
          <t>A 73483-2021</t>
        </is>
      </c>
      <c r="B817" s="1" t="n">
        <v>44550</v>
      </c>
      <c r="C817" s="1" t="n">
        <v>46110</v>
      </c>
      <c r="D817" t="inlineStr">
        <is>
          <t>UPPSALA LÄN</t>
        </is>
      </c>
      <c r="E817" t="inlineStr">
        <is>
          <t>ÖSTHAMMAR</t>
        </is>
      </c>
      <c r="G817" t="n">
        <v>2.8</v>
      </c>
      <c r="H817" t="n">
        <v>0</v>
      </c>
      <c r="I817" t="n">
        <v>0</v>
      </c>
      <c r="J817" t="n">
        <v>0</v>
      </c>
      <c r="K817" t="n">
        <v>0</v>
      </c>
      <c r="L817" t="n">
        <v>0</v>
      </c>
      <c r="M817" t="n">
        <v>0</v>
      </c>
      <c r="N817" t="n">
        <v>0</v>
      </c>
      <c r="O817" t="n">
        <v>0</v>
      </c>
      <c r="P817" t="n">
        <v>0</v>
      </c>
      <c r="Q817" t="n">
        <v>0</v>
      </c>
      <c r="R817" s="2" t="inlineStr"/>
    </row>
    <row r="818" ht="15" customHeight="1">
      <c r="A818" t="inlineStr">
        <is>
          <t>A 24033-2023</t>
        </is>
      </c>
      <c r="B818" s="1" t="n">
        <v>45078</v>
      </c>
      <c r="C818" s="1" t="n">
        <v>46110</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12262-2023</t>
        </is>
      </c>
      <c r="B819" s="1" t="n">
        <v>44998.66662037037</v>
      </c>
      <c r="C819" s="1" t="n">
        <v>46110</v>
      </c>
      <c r="D819" t="inlineStr">
        <is>
          <t>UPPSALA LÄN</t>
        </is>
      </c>
      <c r="E819" t="inlineStr">
        <is>
          <t>ÖSTHAMMAR</t>
        </is>
      </c>
      <c r="G819" t="n">
        <v>4.1</v>
      </c>
      <c r="H819" t="n">
        <v>0</v>
      </c>
      <c r="I819" t="n">
        <v>0</v>
      </c>
      <c r="J819" t="n">
        <v>0</v>
      </c>
      <c r="K819" t="n">
        <v>0</v>
      </c>
      <c r="L819" t="n">
        <v>0</v>
      </c>
      <c r="M819" t="n">
        <v>0</v>
      </c>
      <c r="N819" t="n">
        <v>0</v>
      </c>
      <c r="O819" t="n">
        <v>0</v>
      </c>
      <c r="P819" t="n">
        <v>0</v>
      </c>
      <c r="Q819" t="n">
        <v>0</v>
      </c>
      <c r="R819" s="2" t="inlineStr"/>
    </row>
    <row r="820" ht="15" customHeight="1">
      <c r="A820" t="inlineStr">
        <is>
          <t>A 5254-2025</t>
        </is>
      </c>
      <c r="B820" s="1" t="n">
        <v>45692</v>
      </c>
      <c r="C820" s="1" t="n">
        <v>46110</v>
      </c>
      <c r="D820" t="inlineStr">
        <is>
          <t>UPPSALA LÄN</t>
        </is>
      </c>
      <c r="E820" t="inlineStr">
        <is>
          <t>ÖSTHAMMAR</t>
        </is>
      </c>
      <c r="G820" t="n">
        <v>5</v>
      </c>
      <c r="H820" t="n">
        <v>0</v>
      </c>
      <c r="I820" t="n">
        <v>0</v>
      </c>
      <c r="J820" t="n">
        <v>0</v>
      </c>
      <c r="K820" t="n">
        <v>0</v>
      </c>
      <c r="L820" t="n">
        <v>0</v>
      </c>
      <c r="M820" t="n">
        <v>0</v>
      </c>
      <c r="N820" t="n">
        <v>0</v>
      </c>
      <c r="O820" t="n">
        <v>0</v>
      </c>
      <c r="P820" t="n">
        <v>0</v>
      </c>
      <c r="Q820" t="n">
        <v>0</v>
      </c>
      <c r="R820" s="2" t="inlineStr"/>
    </row>
    <row r="821" ht="15" customHeight="1">
      <c r="A821" t="inlineStr">
        <is>
          <t>A 44807-2024</t>
        </is>
      </c>
      <c r="B821" s="1" t="n">
        <v>45574.65427083334</v>
      </c>
      <c r="C821" s="1" t="n">
        <v>46110</v>
      </c>
      <c r="D821" t="inlineStr">
        <is>
          <t>UPPSALA LÄN</t>
        </is>
      </c>
      <c r="E821" t="inlineStr">
        <is>
          <t>ÖSTHAMMAR</t>
        </is>
      </c>
      <c r="G821" t="n">
        <v>2.9</v>
      </c>
      <c r="H821" t="n">
        <v>0</v>
      </c>
      <c r="I821" t="n">
        <v>0</v>
      </c>
      <c r="J821" t="n">
        <v>0</v>
      </c>
      <c r="K821" t="n">
        <v>0</v>
      </c>
      <c r="L821" t="n">
        <v>0</v>
      </c>
      <c r="M821" t="n">
        <v>0</v>
      </c>
      <c r="N821" t="n">
        <v>0</v>
      </c>
      <c r="O821" t="n">
        <v>0</v>
      </c>
      <c r="P821" t="n">
        <v>0</v>
      </c>
      <c r="Q821" t="n">
        <v>0</v>
      </c>
      <c r="R821" s="2" t="inlineStr"/>
    </row>
    <row r="822" ht="15" customHeight="1">
      <c r="A822" t="inlineStr">
        <is>
          <t>A 7195-2023</t>
        </is>
      </c>
      <c r="B822" s="1" t="n">
        <v>44970</v>
      </c>
      <c r="C822" s="1" t="n">
        <v>46110</v>
      </c>
      <c r="D822" t="inlineStr">
        <is>
          <t>UPPSALA LÄN</t>
        </is>
      </c>
      <c r="E822" t="inlineStr">
        <is>
          <t>ÖSTHAMMAR</t>
        </is>
      </c>
      <c r="G822" t="n">
        <v>1.3</v>
      </c>
      <c r="H822" t="n">
        <v>0</v>
      </c>
      <c r="I822" t="n">
        <v>0</v>
      </c>
      <c r="J822" t="n">
        <v>0</v>
      </c>
      <c r="K822" t="n">
        <v>0</v>
      </c>
      <c r="L822" t="n">
        <v>0</v>
      </c>
      <c r="M822" t="n">
        <v>0</v>
      </c>
      <c r="N822" t="n">
        <v>0</v>
      </c>
      <c r="O822" t="n">
        <v>0</v>
      </c>
      <c r="P822" t="n">
        <v>0</v>
      </c>
      <c r="Q822" t="n">
        <v>0</v>
      </c>
      <c r="R822" s="2" t="inlineStr"/>
    </row>
    <row r="823" ht="15" customHeight="1">
      <c r="A823" t="inlineStr">
        <is>
          <t>A 37568-2022</t>
        </is>
      </c>
      <c r="B823" s="1" t="n">
        <v>44809</v>
      </c>
      <c r="C823" s="1" t="n">
        <v>46110</v>
      </c>
      <c r="D823" t="inlineStr">
        <is>
          <t>UPPSALA LÄN</t>
        </is>
      </c>
      <c r="E823" t="inlineStr">
        <is>
          <t>ÖSTHAMMAR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9542-2023</t>
        </is>
      </c>
      <c r="B824" s="1" t="n">
        <v>44981</v>
      </c>
      <c r="C824" s="1" t="n">
        <v>46110</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55100-2024</t>
        </is>
      </c>
      <c r="B825" s="1" t="n">
        <v>45621.4405787037</v>
      </c>
      <c r="C825" s="1" t="n">
        <v>46110</v>
      </c>
      <c r="D825" t="inlineStr">
        <is>
          <t>UPPSALA LÄN</t>
        </is>
      </c>
      <c r="E825" t="inlineStr">
        <is>
          <t>ÖSTHAMMAR</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26774-2023</t>
        </is>
      </c>
      <c r="B826" s="1" t="n">
        <v>45093.47947916666</v>
      </c>
      <c r="C826" s="1" t="n">
        <v>46110</v>
      </c>
      <c r="D826" t="inlineStr">
        <is>
          <t>UPPSALA LÄN</t>
        </is>
      </c>
      <c r="E826" t="inlineStr">
        <is>
          <t>ÖSTHAMMAR</t>
        </is>
      </c>
      <c r="F826" t="inlineStr">
        <is>
          <t>Bergvik skog öst AB</t>
        </is>
      </c>
      <c r="G826" t="n">
        <v>2.1</v>
      </c>
      <c r="H826" t="n">
        <v>0</v>
      </c>
      <c r="I826" t="n">
        <v>0</v>
      </c>
      <c r="J826" t="n">
        <v>0</v>
      </c>
      <c r="K826" t="n">
        <v>0</v>
      </c>
      <c r="L826" t="n">
        <v>0</v>
      </c>
      <c r="M826" t="n">
        <v>0</v>
      </c>
      <c r="N826" t="n">
        <v>0</v>
      </c>
      <c r="O826" t="n">
        <v>0</v>
      </c>
      <c r="P826" t="n">
        <v>0</v>
      </c>
      <c r="Q826" t="n">
        <v>0</v>
      </c>
      <c r="R826" s="2" t="inlineStr"/>
    </row>
    <row r="827" ht="15" customHeight="1">
      <c r="A827" t="inlineStr">
        <is>
          <t>A 67848-2021</t>
        </is>
      </c>
      <c r="B827" s="1" t="n">
        <v>44525</v>
      </c>
      <c r="C827" s="1" t="n">
        <v>46110</v>
      </c>
      <c r="D827" t="inlineStr">
        <is>
          <t>UPPSALA LÄN</t>
        </is>
      </c>
      <c r="E827" t="inlineStr">
        <is>
          <t>ÖSTHAMMAR</t>
        </is>
      </c>
      <c r="G827" t="n">
        <v>1</v>
      </c>
      <c r="H827" t="n">
        <v>0</v>
      </c>
      <c r="I827" t="n">
        <v>0</v>
      </c>
      <c r="J827" t="n">
        <v>0</v>
      </c>
      <c r="K827" t="n">
        <v>0</v>
      </c>
      <c r="L827" t="n">
        <v>0</v>
      </c>
      <c r="M827" t="n">
        <v>0</v>
      </c>
      <c r="N827" t="n">
        <v>0</v>
      </c>
      <c r="O827" t="n">
        <v>0</v>
      </c>
      <c r="P827" t="n">
        <v>0</v>
      </c>
      <c r="Q827" t="n">
        <v>0</v>
      </c>
      <c r="R827" s="2" t="inlineStr"/>
    </row>
    <row r="828" ht="15" customHeight="1">
      <c r="A828" t="inlineStr">
        <is>
          <t>A 55097-2024</t>
        </is>
      </c>
      <c r="B828" s="1" t="n">
        <v>45621.43855324074</v>
      </c>
      <c r="C828" s="1" t="n">
        <v>46110</v>
      </c>
      <c r="D828" t="inlineStr">
        <is>
          <t>UPPSALA LÄN</t>
        </is>
      </c>
      <c r="E828" t="inlineStr">
        <is>
          <t>ÖSTHAMMAR</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18230-2025</t>
        </is>
      </c>
      <c r="B829" s="1" t="n">
        <v>45761.87114583333</v>
      </c>
      <c r="C829" s="1" t="n">
        <v>46110</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37865-2023</t>
        </is>
      </c>
      <c r="B830" s="1" t="n">
        <v>45160</v>
      </c>
      <c r="C830" s="1" t="n">
        <v>46110</v>
      </c>
      <c r="D830" t="inlineStr">
        <is>
          <t>UPPSALA LÄN</t>
        </is>
      </c>
      <c r="E830" t="inlineStr">
        <is>
          <t>ÖSTHAMMAR</t>
        </is>
      </c>
      <c r="G830" t="n">
        <v>1.4</v>
      </c>
      <c r="H830" t="n">
        <v>0</v>
      </c>
      <c r="I830" t="n">
        <v>0</v>
      </c>
      <c r="J830" t="n">
        <v>0</v>
      </c>
      <c r="K830" t="n">
        <v>0</v>
      </c>
      <c r="L830" t="n">
        <v>0</v>
      </c>
      <c r="M830" t="n">
        <v>0</v>
      </c>
      <c r="N830" t="n">
        <v>0</v>
      </c>
      <c r="O830" t="n">
        <v>0</v>
      </c>
      <c r="P830" t="n">
        <v>0</v>
      </c>
      <c r="Q830" t="n">
        <v>0</v>
      </c>
      <c r="R830" s="2" t="inlineStr"/>
    </row>
    <row r="831" ht="15" customHeight="1">
      <c r="A831" t="inlineStr">
        <is>
          <t>A 7100-2025</t>
        </is>
      </c>
      <c r="B831" s="1" t="n">
        <v>45701.83930555556</v>
      </c>
      <c r="C831" s="1" t="n">
        <v>46110</v>
      </c>
      <c r="D831" t="inlineStr">
        <is>
          <t>UPPSALA LÄN</t>
        </is>
      </c>
      <c r="E831" t="inlineStr">
        <is>
          <t>ÖSTHAMMAR</t>
        </is>
      </c>
      <c r="G831" t="n">
        <v>4.3</v>
      </c>
      <c r="H831" t="n">
        <v>0</v>
      </c>
      <c r="I831" t="n">
        <v>0</v>
      </c>
      <c r="J831" t="n">
        <v>0</v>
      </c>
      <c r="K831" t="n">
        <v>0</v>
      </c>
      <c r="L831" t="n">
        <v>0</v>
      </c>
      <c r="M831" t="n">
        <v>0</v>
      </c>
      <c r="N831" t="n">
        <v>0</v>
      </c>
      <c r="O831" t="n">
        <v>0</v>
      </c>
      <c r="P831" t="n">
        <v>0</v>
      </c>
      <c r="Q831" t="n">
        <v>0</v>
      </c>
      <c r="R831" s="2" t="inlineStr"/>
    </row>
    <row r="832" ht="15" customHeight="1">
      <c r="A832" t="inlineStr">
        <is>
          <t>A 54314-2023</t>
        </is>
      </c>
      <c r="B832" s="1" t="n">
        <v>45225</v>
      </c>
      <c r="C832" s="1" t="n">
        <v>46110</v>
      </c>
      <c r="D832" t="inlineStr">
        <is>
          <t>UPPSALA LÄN</t>
        </is>
      </c>
      <c r="E832" t="inlineStr">
        <is>
          <t>ÖSTHAMMAR</t>
        </is>
      </c>
      <c r="G832" t="n">
        <v>5.1</v>
      </c>
      <c r="H832" t="n">
        <v>0</v>
      </c>
      <c r="I832" t="n">
        <v>0</v>
      </c>
      <c r="J832" t="n">
        <v>0</v>
      </c>
      <c r="K832" t="n">
        <v>0</v>
      </c>
      <c r="L832" t="n">
        <v>0</v>
      </c>
      <c r="M832" t="n">
        <v>0</v>
      </c>
      <c r="N832" t="n">
        <v>0</v>
      </c>
      <c r="O832" t="n">
        <v>0</v>
      </c>
      <c r="P832" t="n">
        <v>0</v>
      </c>
      <c r="Q832" t="n">
        <v>0</v>
      </c>
      <c r="R832" s="2" t="inlineStr"/>
    </row>
    <row r="833" ht="15" customHeight="1">
      <c r="A833" t="inlineStr">
        <is>
          <t>A 49796-2024</t>
        </is>
      </c>
      <c r="B833" s="1" t="n">
        <v>45597</v>
      </c>
      <c r="C833" s="1" t="n">
        <v>46110</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1791-2023</t>
        </is>
      </c>
      <c r="B834" s="1" t="n">
        <v>44938</v>
      </c>
      <c r="C834" s="1" t="n">
        <v>46110</v>
      </c>
      <c r="D834" t="inlineStr">
        <is>
          <t>UPPSALA LÄN</t>
        </is>
      </c>
      <c r="E834" t="inlineStr">
        <is>
          <t>ÖSTHAMMAR</t>
        </is>
      </c>
      <c r="G834" t="n">
        <v>2</v>
      </c>
      <c r="H834" t="n">
        <v>0</v>
      </c>
      <c r="I834" t="n">
        <v>0</v>
      </c>
      <c r="J834" t="n">
        <v>0</v>
      </c>
      <c r="K834" t="n">
        <v>0</v>
      </c>
      <c r="L834" t="n">
        <v>0</v>
      </c>
      <c r="M834" t="n">
        <v>0</v>
      </c>
      <c r="N834" t="n">
        <v>0</v>
      </c>
      <c r="O834" t="n">
        <v>0</v>
      </c>
      <c r="P834" t="n">
        <v>0</v>
      </c>
      <c r="Q834" t="n">
        <v>0</v>
      </c>
      <c r="R834" s="2" t="inlineStr"/>
    </row>
    <row r="835" ht="15" customHeight="1">
      <c r="A835" t="inlineStr">
        <is>
          <t>A 21132-2025</t>
        </is>
      </c>
      <c r="B835" s="1" t="n">
        <v>45778.4108912037</v>
      </c>
      <c r="C835" s="1" t="n">
        <v>46110</v>
      </c>
      <c r="D835" t="inlineStr">
        <is>
          <t>UPPSALA LÄN</t>
        </is>
      </c>
      <c r="E835" t="inlineStr">
        <is>
          <t>ÖSTHAMMAR</t>
        </is>
      </c>
      <c r="G835" t="n">
        <v>10.1</v>
      </c>
      <c r="H835" t="n">
        <v>0</v>
      </c>
      <c r="I835" t="n">
        <v>0</v>
      </c>
      <c r="J835" t="n">
        <v>0</v>
      </c>
      <c r="K835" t="n">
        <v>0</v>
      </c>
      <c r="L835" t="n">
        <v>0</v>
      </c>
      <c r="M835" t="n">
        <v>0</v>
      </c>
      <c r="N835" t="n">
        <v>0</v>
      </c>
      <c r="O835" t="n">
        <v>0</v>
      </c>
      <c r="P835" t="n">
        <v>0</v>
      </c>
      <c r="Q835" t="n">
        <v>0</v>
      </c>
      <c r="R835" s="2" t="inlineStr"/>
    </row>
    <row r="836" ht="15" customHeight="1">
      <c r="A836" t="inlineStr">
        <is>
          <t>A 21133-2025</t>
        </is>
      </c>
      <c r="B836" s="1" t="n">
        <v>45778.415625</v>
      </c>
      <c r="C836" s="1" t="n">
        <v>46110</v>
      </c>
      <c r="D836" t="inlineStr">
        <is>
          <t>UPPSALA LÄN</t>
        </is>
      </c>
      <c r="E836" t="inlineStr">
        <is>
          <t>ÖSTHAMMAR</t>
        </is>
      </c>
      <c r="G836" t="n">
        <v>1.5</v>
      </c>
      <c r="H836" t="n">
        <v>0</v>
      </c>
      <c r="I836" t="n">
        <v>0</v>
      </c>
      <c r="J836" t="n">
        <v>0</v>
      </c>
      <c r="K836" t="n">
        <v>0</v>
      </c>
      <c r="L836" t="n">
        <v>0</v>
      </c>
      <c r="M836" t="n">
        <v>0</v>
      </c>
      <c r="N836" t="n">
        <v>0</v>
      </c>
      <c r="O836" t="n">
        <v>0</v>
      </c>
      <c r="P836" t="n">
        <v>0</v>
      </c>
      <c r="Q836" t="n">
        <v>0</v>
      </c>
      <c r="R836" s="2" t="inlineStr"/>
    </row>
    <row r="837" ht="15" customHeight="1">
      <c r="A837" t="inlineStr">
        <is>
          <t>A 42262-2024</t>
        </is>
      </c>
      <c r="B837" s="1" t="n">
        <v>45562</v>
      </c>
      <c r="C837" s="1" t="n">
        <v>46110</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c r="A838" t="inlineStr">
        <is>
          <t>A 44796-2024</t>
        </is>
      </c>
      <c r="B838" s="1" t="n">
        <v>45574</v>
      </c>
      <c r="C838" s="1" t="n">
        <v>46110</v>
      </c>
      <c r="D838" t="inlineStr">
        <is>
          <t>UPPSALA LÄN</t>
        </is>
      </c>
      <c r="E838" t="inlineStr">
        <is>
          <t>ÖSTHAMMAR</t>
        </is>
      </c>
      <c r="G838" t="n">
        <v>4.7</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2026-03-29T11:41:28Z</dcterms:created>
  <dcterms:modified xmlns:dcterms="http://purl.org/dc/terms/" xmlns:xsi="http://www.w3.org/2001/XMLSchema-instance" xsi:type="dcterms:W3CDTF">2026-03-29T11:41:29Z</dcterms:modified>
</cp:coreProperties>
</file>