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46190</v>
      </c>
      <c r="D3" t="inlineStr">
        <is>
          <t>UPPSALA LÄN</t>
        </is>
      </c>
      <c r="E3" t="inlineStr">
        <is>
          <t>ÖSTHAMMAR</t>
        </is>
      </c>
      <c r="F3" t="inlineStr">
        <is>
          <t>Bergvik skog öst AB</t>
        </is>
      </c>
      <c r="G3" t="n">
        <v>15.7</v>
      </c>
      <c r="H3" t="n">
        <v>5</v>
      </c>
      <c r="I3" t="n">
        <v>13</v>
      </c>
      <c r="J3" t="n">
        <v>8</v>
      </c>
      <c r="K3" t="n">
        <v>6</v>
      </c>
      <c r="L3" t="n">
        <v>0</v>
      </c>
      <c r="M3" t="n">
        <v>0</v>
      </c>
      <c r="N3" t="n">
        <v>0</v>
      </c>
      <c r="O3" t="n">
        <v>14</v>
      </c>
      <c r="P3" t="n">
        <v>6</v>
      </c>
      <c r="Q3" t="n">
        <v>29</v>
      </c>
      <c r="R3"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46190</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19250-2026</t>
        </is>
      </c>
      <c r="B5" s="1" t="n">
        <v>46132.67543981481</v>
      </c>
      <c r="C5" s="1" t="n">
        <v>46190</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357-2025</t>
        </is>
      </c>
      <c r="B6" s="1" t="n">
        <v>45659</v>
      </c>
      <c r="C6" s="1" t="n">
        <v>46190</v>
      </c>
      <c r="D6" t="inlineStr">
        <is>
          <t>UPPSALA LÄN</t>
        </is>
      </c>
      <c r="E6" t="inlineStr">
        <is>
          <t>ÖSTHAMMAR</t>
        </is>
      </c>
      <c r="G6" t="n">
        <v>15.8</v>
      </c>
      <c r="H6" t="n">
        <v>8</v>
      </c>
      <c r="I6" t="n">
        <v>15</v>
      </c>
      <c r="J6" t="n">
        <v>5</v>
      </c>
      <c r="K6" t="n">
        <v>1</v>
      </c>
      <c r="L6" t="n">
        <v>0</v>
      </c>
      <c r="M6" t="n">
        <v>0</v>
      </c>
      <c r="N6" t="n">
        <v>0</v>
      </c>
      <c r="O6" t="n">
        <v>6</v>
      </c>
      <c r="P6" t="n">
        <v>1</v>
      </c>
      <c r="Q6" t="n">
        <v>25</v>
      </c>
      <c r="R6"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6">
        <f>HYPERLINK("https://klasma.github.io/Logging_0382/artfynd/A 357-2025 artfynd.xlsx", "A 357-2025")</f>
        <v/>
      </c>
      <c r="T6">
        <f>HYPERLINK("https://klasma.github.io/Logging_0382/kartor/A 357-2025 karta.png", "A 357-2025")</f>
        <v/>
      </c>
      <c r="V6">
        <f>HYPERLINK("https://klasma.github.io/Logging_0382/klagomål/A 357-2025 FSC-klagomål.docx", "A 357-2025")</f>
        <v/>
      </c>
      <c r="W6">
        <f>HYPERLINK("https://klasma.github.io/Logging_0382/klagomålsmail/A 357-2025 FSC-klagomål mail.docx", "A 357-2025")</f>
        <v/>
      </c>
      <c r="X6">
        <f>HYPERLINK("https://klasma.github.io/Logging_0382/tillsyn/A 357-2025 tillsynsbegäran.docx", "A 357-2025")</f>
        <v/>
      </c>
      <c r="Y6">
        <f>HYPERLINK("https://klasma.github.io/Logging_0382/tillsynsmail/A 357-2025 tillsynsbegäran mail.docx", "A 357-2025")</f>
        <v/>
      </c>
      <c r="Z6">
        <f>HYPERLINK("https://klasma.github.io/Logging_0382/fåglar/A 357-2025 prioriterade fågelarter.docx", "A 357-2025")</f>
        <v/>
      </c>
    </row>
    <row r="7" ht="15" customHeight="1">
      <c r="A7" t="inlineStr">
        <is>
          <t>A 19253-2026</t>
        </is>
      </c>
      <c r="B7" s="1" t="n">
        <v>46132.68019675926</v>
      </c>
      <c r="C7" s="1" t="n">
        <v>46190</v>
      </c>
      <c r="D7" t="inlineStr">
        <is>
          <t>UPPSALA LÄN</t>
        </is>
      </c>
      <c r="E7" t="inlineStr">
        <is>
          <t>ÖSTHAMMAR</t>
        </is>
      </c>
      <c r="F7" t="inlineStr">
        <is>
          <t>Naturvårdsverket</t>
        </is>
      </c>
      <c r="G7" t="n">
        <v>14.4</v>
      </c>
      <c r="H7" t="n">
        <v>7</v>
      </c>
      <c r="I7" t="n">
        <v>11</v>
      </c>
      <c r="J7" t="n">
        <v>8</v>
      </c>
      <c r="K7" t="n">
        <v>2</v>
      </c>
      <c r="L7" t="n">
        <v>0</v>
      </c>
      <c r="M7" t="n">
        <v>0</v>
      </c>
      <c r="N7" t="n">
        <v>0</v>
      </c>
      <c r="O7" t="n">
        <v>10</v>
      </c>
      <c r="P7" t="n">
        <v>2</v>
      </c>
      <c r="Q7" t="n">
        <v>24</v>
      </c>
      <c r="R7"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7">
        <f>HYPERLINK("https://klasma.github.io/Logging_0382/artfynd/A 19253-2026 artfynd.xlsx", "A 19253-2026")</f>
        <v/>
      </c>
      <c r="T7">
        <f>HYPERLINK("https://klasma.github.io/Logging_0382/kartor/A 19253-2026 karta.png", "A 19253-2026")</f>
        <v/>
      </c>
      <c r="U7">
        <f>HYPERLINK("https://klasma.github.io/Logging_0382/knärot/A 19253-2026 karta knärot.png", "A 19253-2026")</f>
        <v/>
      </c>
      <c r="V7">
        <f>HYPERLINK("https://klasma.github.io/Logging_0382/klagomål/A 19253-2026 FSC-klagomål.docx", "A 19253-2026")</f>
        <v/>
      </c>
      <c r="W7">
        <f>HYPERLINK("https://klasma.github.io/Logging_0382/klagomålsmail/A 19253-2026 FSC-klagomål mail.docx", "A 19253-2026")</f>
        <v/>
      </c>
      <c r="X7">
        <f>HYPERLINK("https://klasma.github.io/Logging_0382/tillsyn/A 19253-2026 tillsynsbegäran.docx", "A 19253-2026")</f>
        <v/>
      </c>
      <c r="Y7">
        <f>HYPERLINK("https://klasma.github.io/Logging_0382/tillsynsmail/A 19253-2026 tillsynsbegäran mail.docx", "A 19253-2026")</f>
        <v/>
      </c>
      <c r="Z7">
        <f>HYPERLINK("https://klasma.github.io/Logging_0382/fåglar/A 19253-2026 prioriterade fågelarter.docx", "A 19253-2026")</f>
        <v/>
      </c>
    </row>
    <row r="8" ht="15" customHeight="1">
      <c r="A8" t="inlineStr">
        <is>
          <t>A 21006-2024</t>
        </is>
      </c>
      <c r="B8" s="1" t="n">
        <v>45439</v>
      </c>
      <c r="C8" s="1" t="n">
        <v>46190</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45170-2024</t>
        </is>
      </c>
      <c r="B9" s="1" t="n">
        <v>45575</v>
      </c>
      <c r="C9" s="1" t="n">
        <v>46190</v>
      </c>
      <c r="D9" t="inlineStr">
        <is>
          <t>UPPSALA LÄN</t>
        </is>
      </c>
      <c r="E9" t="inlineStr">
        <is>
          <t>ÖSTHAMMAR</t>
        </is>
      </c>
      <c r="F9" t="inlineStr">
        <is>
          <t>Bergvik skog väst AB</t>
        </is>
      </c>
      <c r="G9" t="n">
        <v>19.7</v>
      </c>
      <c r="H9" t="n">
        <v>5</v>
      </c>
      <c r="I9" t="n">
        <v>11</v>
      </c>
      <c r="J9" t="n">
        <v>7</v>
      </c>
      <c r="K9" t="n">
        <v>1</v>
      </c>
      <c r="L9" t="n">
        <v>0</v>
      </c>
      <c r="M9" t="n">
        <v>0</v>
      </c>
      <c r="N9" t="n">
        <v>0</v>
      </c>
      <c r="O9" t="n">
        <v>8</v>
      </c>
      <c r="P9" t="n">
        <v>1</v>
      </c>
      <c r="Q9" t="n">
        <v>20</v>
      </c>
      <c r="R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9">
        <f>HYPERLINK("https://klasma.github.io/Logging_0382/artfynd/A 45170-2024 artfynd.xlsx", "A 45170-2024")</f>
        <v/>
      </c>
      <c r="T9">
        <f>HYPERLINK("https://klasma.github.io/Logging_0382/kartor/A 45170-2024 karta.png", "A 45170-2024")</f>
        <v/>
      </c>
      <c r="V9">
        <f>HYPERLINK("https://klasma.github.io/Logging_0382/klagomål/A 45170-2024 FSC-klagomål.docx", "A 45170-2024")</f>
        <v/>
      </c>
      <c r="W9">
        <f>HYPERLINK("https://klasma.github.io/Logging_0382/klagomålsmail/A 45170-2024 FSC-klagomål mail.docx", "A 45170-2024")</f>
        <v/>
      </c>
      <c r="X9">
        <f>HYPERLINK("https://klasma.github.io/Logging_0382/tillsyn/A 45170-2024 tillsynsbegäran.docx", "A 45170-2024")</f>
        <v/>
      </c>
      <c r="Y9">
        <f>HYPERLINK("https://klasma.github.io/Logging_0382/tillsynsmail/A 45170-2024 tillsynsbegäran mail.docx", "A 45170-2024")</f>
        <v/>
      </c>
      <c r="Z9">
        <f>HYPERLINK("https://klasma.github.io/Logging_0382/fåglar/A 45170-2024 prioriterade fågelarter.docx", "A 45170-2024")</f>
        <v/>
      </c>
    </row>
    <row r="10" ht="15" customHeight="1">
      <c r="A10" t="inlineStr">
        <is>
          <t>A 3733-2025</t>
        </is>
      </c>
      <c r="B10" s="1" t="n">
        <v>45681</v>
      </c>
      <c r="C10" s="1" t="n">
        <v>46190</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46190</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19252-2026</t>
        </is>
      </c>
      <c r="B12" s="1" t="n">
        <v>46132.67814814814</v>
      </c>
      <c r="C12" s="1" t="n">
        <v>46190</v>
      </c>
      <c r="D12" t="inlineStr">
        <is>
          <t>UPPSALA LÄN</t>
        </is>
      </c>
      <c r="E12" t="inlineStr">
        <is>
          <t>ÖSTHAMMAR</t>
        </is>
      </c>
      <c r="F12" t="inlineStr">
        <is>
          <t>Naturvårdsverket</t>
        </is>
      </c>
      <c r="G12" t="n">
        <v>10</v>
      </c>
      <c r="H12" t="n">
        <v>3</v>
      </c>
      <c r="I12" t="n">
        <v>6</v>
      </c>
      <c r="J12" t="n">
        <v>3</v>
      </c>
      <c r="K12" t="n">
        <v>0</v>
      </c>
      <c r="L12" t="n">
        <v>0</v>
      </c>
      <c r="M12" t="n">
        <v>0</v>
      </c>
      <c r="N12" t="n">
        <v>0</v>
      </c>
      <c r="O12" t="n">
        <v>3</v>
      </c>
      <c r="P12" t="n">
        <v>0</v>
      </c>
      <c r="Q12" t="n">
        <v>11</v>
      </c>
      <c r="R12" s="2" t="inlineStr">
        <is>
          <t>Spillkråka
Ullticka
Vedskivlav
Bronshjon
Granbarkgnagare
Rödgul trumpetsvamp
Skarp dropptaggsvamp
Svavelriska
Vedticka
Tjäder
Fläcknycklar</t>
        </is>
      </c>
      <c r="S12">
        <f>HYPERLINK("https://klasma.github.io/Logging_0382/artfynd/A 19252-2026 artfynd.xlsx", "A 19252-2026")</f>
        <v/>
      </c>
      <c r="T12">
        <f>HYPERLINK("https://klasma.github.io/Logging_0382/kartor/A 19252-2026 karta.png", "A 19252-2026")</f>
        <v/>
      </c>
      <c r="V12">
        <f>HYPERLINK("https://klasma.github.io/Logging_0382/klagomål/A 19252-2026 FSC-klagomål.docx", "A 19252-2026")</f>
        <v/>
      </c>
      <c r="W12">
        <f>HYPERLINK("https://klasma.github.io/Logging_0382/klagomålsmail/A 19252-2026 FSC-klagomål mail.docx", "A 19252-2026")</f>
        <v/>
      </c>
      <c r="X12">
        <f>HYPERLINK("https://klasma.github.io/Logging_0382/tillsyn/A 19252-2026 tillsynsbegäran.docx", "A 19252-2026")</f>
        <v/>
      </c>
      <c r="Y12">
        <f>HYPERLINK("https://klasma.github.io/Logging_0382/tillsynsmail/A 19252-2026 tillsynsbegäran mail.docx", "A 19252-2026")</f>
        <v/>
      </c>
      <c r="Z12">
        <f>HYPERLINK("https://klasma.github.io/Logging_0382/fåglar/A 19252-2026 prioriterade fågelarter.docx", "A 19252-2026")</f>
        <v/>
      </c>
    </row>
    <row r="13" ht="15" customHeight="1">
      <c r="A13" t="inlineStr">
        <is>
          <t>A 45111-2021</t>
        </is>
      </c>
      <c r="B13" s="1" t="n">
        <v>44439</v>
      </c>
      <c r="C13" s="1" t="n">
        <v>46190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46190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46190</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35911-2021</t>
        </is>
      </c>
      <c r="B16" s="1" t="n">
        <v>44387</v>
      </c>
      <c r="C16" s="1" t="n">
        <v>46190</v>
      </c>
      <c r="D16" t="inlineStr">
        <is>
          <t>UPPSALA LÄN</t>
        </is>
      </c>
      <c r="E16" t="inlineStr">
        <is>
          <t>ÖSTHAMMAR</t>
        </is>
      </c>
      <c r="F16" t="inlineStr">
        <is>
          <t>Sveaskog</t>
        </is>
      </c>
      <c r="G16" t="n">
        <v>5.5</v>
      </c>
      <c r="H16" t="n">
        <v>4</v>
      </c>
      <c r="I16" t="n">
        <v>4</v>
      </c>
      <c r="J16" t="n">
        <v>4</v>
      </c>
      <c r="K16" t="n">
        <v>0</v>
      </c>
      <c r="L16" t="n">
        <v>0</v>
      </c>
      <c r="M16" t="n">
        <v>0</v>
      </c>
      <c r="N16" t="n">
        <v>0</v>
      </c>
      <c r="O16" t="n">
        <v>4</v>
      </c>
      <c r="P16" t="n">
        <v>0</v>
      </c>
      <c r="Q16" t="n">
        <v>9</v>
      </c>
      <c r="R16" s="2" t="inlineStr">
        <is>
          <t>Grönsångare
Gulsparv
Lunglav
Mindre hackspett
Brandticka
Lönnlav
Tibast
Vårärt
Blåsippa</t>
        </is>
      </c>
      <c r="S16">
        <f>HYPERLINK("https://klasma.github.io/Logging_0382/artfynd/A 35911-2021 artfynd.xlsx", "A 35911-2021")</f>
        <v/>
      </c>
      <c r="T16">
        <f>HYPERLINK("https://klasma.github.io/Logging_0382/kartor/A 35911-2021 karta.png", "A 35911-2021")</f>
        <v/>
      </c>
      <c r="V16">
        <f>HYPERLINK("https://klasma.github.io/Logging_0382/klagomål/A 35911-2021 FSC-klagomål.docx", "A 35911-2021")</f>
        <v/>
      </c>
      <c r="W16">
        <f>HYPERLINK("https://klasma.github.io/Logging_0382/klagomålsmail/A 35911-2021 FSC-klagomål mail.docx", "A 35911-2021")</f>
        <v/>
      </c>
      <c r="X16">
        <f>HYPERLINK("https://klasma.github.io/Logging_0382/tillsyn/A 35911-2021 tillsynsbegäran.docx", "A 35911-2021")</f>
        <v/>
      </c>
      <c r="Y16">
        <f>HYPERLINK("https://klasma.github.io/Logging_0382/tillsynsmail/A 35911-2021 tillsynsbegäran mail.docx", "A 35911-2021")</f>
        <v/>
      </c>
      <c r="Z16">
        <f>HYPERLINK("https://klasma.github.io/Logging_0382/fåglar/A 35911-2021 prioriterade fågelarter.docx", "A 35911-2021")</f>
        <v/>
      </c>
    </row>
    <row r="17" ht="15" customHeight="1">
      <c r="A17" t="inlineStr">
        <is>
          <t>A 31207-2022</t>
        </is>
      </c>
      <c r="B17" s="1" t="n">
        <v>44771</v>
      </c>
      <c r="C17" s="1" t="n">
        <v>46190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46190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46190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49910-2022</t>
        </is>
      </c>
      <c r="B20" s="1" t="n">
        <v>44865</v>
      </c>
      <c r="C20" s="1" t="n">
        <v>46190</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46190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9569-2026</t>
        </is>
      </c>
      <c r="B22" s="1" t="n">
        <v>46071.65847222223</v>
      </c>
      <c r="C22" s="1" t="n">
        <v>46190</v>
      </c>
      <c r="D22" t="inlineStr">
        <is>
          <t>UPPSALA LÄN</t>
        </is>
      </c>
      <c r="E22" t="inlineStr">
        <is>
          <t>ÖSTHAMMAR</t>
        </is>
      </c>
      <c r="G22" t="n">
        <v>1.4</v>
      </c>
      <c r="H22" t="n">
        <v>0</v>
      </c>
      <c r="I22" t="n">
        <v>4</v>
      </c>
      <c r="J22" t="n">
        <v>1</v>
      </c>
      <c r="K22" t="n">
        <v>2</v>
      </c>
      <c r="L22" t="n">
        <v>0</v>
      </c>
      <c r="M22" t="n">
        <v>0</v>
      </c>
      <c r="N22" t="n">
        <v>0</v>
      </c>
      <c r="O22" t="n">
        <v>3</v>
      </c>
      <c r="P22" t="n">
        <v>2</v>
      </c>
      <c r="Q22" t="n">
        <v>7</v>
      </c>
      <c r="R22" s="2" t="inlineStr">
        <is>
          <t>Gyllenfingersvamp
Koppartaggsvamp
Äggspindling
Anisspindling
Olivspindling
Skarp dropptaggsvamp
Trådticka</t>
        </is>
      </c>
      <c r="S22">
        <f>HYPERLINK("https://klasma.github.io/Logging_0382/artfynd/A 9569-2026 artfynd.xlsx", "A 9569-2026")</f>
        <v/>
      </c>
      <c r="T22">
        <f>HYPERLINK("https://klasma.github.io/Logging_0382/kartor/A 9569-2026 karta.png", "A 9569-2026")</f>
        <v/>
      </c>
      <c r="V22">
        <f>HYPERLINK("https://klasma.github.io/Logging_0382/klagomål/A 9569-2026 FSC-klagomål.docx", "A 9569-2026")</f>
        <v/>
      </c>
      <c r="W22">
        <f>HYPERLINK("https://klasma.github.io/Logging_0382/klagomålsmail/A 9569-2026 FSC-klagomål mail.docx", "A 9569-2026")</f>
        <v/>
      </c>
      <c r="X22">
        <f>HYPERLINK("https://klasma.github.io/Logging_0382/tillsyn/A 9569-2026 tillsynsbegäran.docx", "A 9569-2026")</f>
        <v/>
      </c>
      <c r="Y22">
        <f>HYPERLINK("https://klasma.github.io/Logging_0382/tillsynsmail/A 9569-2026 tillsynsbegäran mail.docx", "A 9569-2026")</f>
        <v/>
      </c>
    </row>
    <row r="23" ht="15" customHeight="1">
      <c r="A23" t="inlineStr">
        <is>
          <t>A 63054-2025</t>
        </is>
      </c>
      <c r="B23" s="1" t="n">
        <v>46009</v>
      </c>
      <c r="C23" s="1" t="n">
        <v>46190</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32140-2022</t>
        </is>
      </c>
      <c r="B24" s="1" t="n">
        <v>44779</v>
      </c>
      <c r="C24" s="1" t="n">
        <v>46190</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46785-2023</t>
        </is>
      </c>
      <c r="B25" s="1" t="n">
        <v>45198</v>
      </c>
      <c r="C25" s="1" t="n">
        <v>46190</v>
      </c>
      <c r="D25" t="inlineStr">
        <is>
          <t>UPPSALA LÄN</t>
        </is>
      </c>
      <c r="E25" t="inlineStr">
        <is>
          <t>ÖSTHAMMAR</t>
        </is>
      </c>
      <c r="G25" t="n">
        <v>1.6</v>
      </c>
      <c r="H25" t="n">
        <v>3</v>
      </c>
      <c r="I25" t="n">
        <v>5</v>
      </c>
      <c r="J25" t="n">
        <v>0</v>
      </c>
      <c r="K25" t="n">
        <v>0</v>
      </c>
      <c r="L25" t="n">
        <v>0</v>
      </c>
      <c r="M25" t="n">
        <v>0</v>
      </c>
      <c r="N25" t="n">
        <v>0</v>
      </c>
      <c r="O25" t="n">
        <v>0</v>
      </c>
      <c r="P25" t="n">
        <v>0</v>
      </c>
      <c r="Q25" t="n">
        <v>6</v>
      </c>
      <c r="R25" s="2" t="inlineStr">
        <is>
          <t>Nästrot
Skogsknipprot
Sårläka
Tibast
Vågbandad barkbock
Blåsippa</t>
        </is>
      </c>
      <c r="S25">
        <f>HYPERLINK("https://klasma.github.io/Logging_0382/artfynd/A 46785-2023 artfynd.xlsx", "A 46785-2023")</f>
        <v/>
      </c>
      <c r="T25">
        <f>HYPERLINK("https://klasma.github.io/Logging_0382/kartor/A 46785-2023 karta.png", "A 46785-2023")</f>
        <v/>
      </c>
      <c r="V25">
        <f>HYPERLINK("https://klasma.github.io/Logging_0382/klagomål/A 46785-2023 FSC-klagomål.docx", "A 46785-2023")</f>
        <v/>
      </c>
      <c r="W25">
        <f>HYPERLINK("https://klasma.github.io/Logging_0382/klagomålsmail/A 46785-2023 FSC-klagomål mail.docx", "A 46785-2023")</f>
        <v/>
      </c>
      <c r="X25">
        <f>HYPERLINK("https://klasma.github.io/Logging_0382/tillsyn/A 46785-2023 tillsynsbegäran.docx", "A 46785-2023")</f>
        <v/>
      </c>
      <c r="Y25">
        <f>HYPERLINK("https://klasma.github.io/Logging_0382/tillsynsmail/A 46785-2023 tillsynsbegäran mail.docx", "A 46785-2023")</f>
        <v/>
      </c>
    </row>
    <row r="26" ht="15" customHeight="1">
      <c r="A26" t="inlineStr">
        <is>
          <t>A 48277-2023</t>
        </is>
      </c>
      <c r="B26" s="1" t="n">
        <v>45205</v>
      </c>
      <c r="C26" s="1" t="n">
        <v>46190</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agg.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46190</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39834-2025</t>
        </is>
      </c>
      <c r="B28" s="1" t="n">
        <v>45891.56333333333</v>
      </c>
      <c r="C28" s="1" t="n">
        <v>46190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39763-2022</t>
        </is>
      </c>
      <c r="B29" s="1" t="n">
        <v>44819.44055555556</v>
      </c>
      <c r="C29" s="1" t="n">
        <v>46190</v>
      </c>
      <c r="D29" t="inlineStr">
        <is>
          <t>UPPSALA LÄN</t>
        </is>
      </c>
      <c r="E29" t="inlineStr">
        <is>
          <t>ÖSTHAMMAR</t>
        </is>
      </c>
      <c r="G29" t="n">
        <v>7</v>
      </c>
      <c r="H29" t="n">
        <v>1</v>
      </c>
      <c r="I29" t="n">
        <v>1</v>
      </c>
      <c r="J29" t="n">
        <v>2</v>
      </c>
      <c r="K29" t="n">
        <v>2</v>
      </c>
      <c r="L29" t="n">
        <v>0</v>
      </c>
      <c r="M29" t="n">
        <v>0</v>
      </c>
      <c r="N29" t="n">
        <v>0</v>
      </c>
      <c r="O29" t="n">
        <v>4</v>
      </c>
      <c r="P29" t="n">
        <v>2</v>
      </c>
      <c r="Q29" t="n">
        <v>5</v>
      </c>
      <c r="R29" s="2" t="inlineStr">
        <is>
          <t>Knärot
Violgubbe
Blek fingersvamp
Orange taggsvamp
Fjällig taggsvamp s.str.</t>
        </is>
      </c>
      <c r="S29">
        <f>HYPERLINK("https://klasma.github.io/Logging_0382/artfynd/A 39763-2022 artfynd.xlsx", "A 39763-2022")</f>
        <v/>
      </c>
      <c r="T29">
        <f>HYPERLINK("https://klasma.github.io/Logging_0382/kartor/A 39763-2022 karta.png", "A 39763-2022")</f>
        <v/>
      </c>
      <c r="U29">
        <f>HYPERLINK("https://klasma.github.io/Logging_0382/knärot/A 39763-2022 karta knärot.png", "A 39763-2022")</f>
        <v/>
      </c>
      <c r="V29">
        <f>HYPERLINK("https://klasma.github.io/Logging_0382/klagomål/A 39763-2022 FSC-klagomål.docx", "A 39763-2022")</f>
        <v/>
      </c>
      <c r="W29">
        <f>HYPERLINK("https://klasma.github.io/Logging_0382/klagomålsmail/A 39763-2022 FSC-klagomål mail.docx", "A 39763-2022")</f>
        <v/>
      </c>
      <c r="X29">
        <f>HYPERLINK("https://klasma.github.io/Logging_0382/tillsyn/A 39763-2022 tillsynsbegäran.docx", "A 39763-2022")</f>
        <v/>
      </c>
      <c r="Y29">
        <f>HYPERLINK("https://klasma.github.io/Logging_0382/tillsynsmail/A 39763-2022 tillsynsbegäran mail.docx", "A 39763-2022")</f>
        <v/>
      </c>
    </row>
    <row r="30" ht="15" customHeight="1">
      <c r="A30" t="inlineStr">
        <is>
          <t>A 64564-2021</t>
        </is>
      </c>
      <c r="B30" s="1" t="n">
        <v>44511</v>
      </c>
      <c r="C30" s="1" t="n">
        <v>46190</v>
      </c>
      <c r="D30" t="inlineStr">
        <is>
          <t>UPPSALA LÄN</t>
        </is>
      </c>
      <c r="E30" t="inlineStr">
        <is>
          <t>ÖSTHAMMAR</t>
        </is>
      </c>
      <c r="G30" t="n">
        <v>7.2</v>
      </c>
      <c r="H30" t="n">
        <v>1</v>
      </c>
      <c r="I30" t="n">
        <v>2</v>
      </c>
      <c r="J30" t="n">
        <v>1</v>
      </c>
      <c r="K30" t="n">
        <v>1</v>
      </c>
      <c r="L30" t="n">
        <v>0</v>
      </c>
      <c r="M30" t="n">
        <v>0</v>
      </c>
      <c r="N30" t="n">
        <v>0</v>
      </c>
      <c r="O30" t="n">
        <v>2</v>
      </c>
      <c r="P30" t="n">
        <v>1</v>
      </c>
      <c r="Q30" t="n">
        <v>5</v>
      </c>
      <c r="R30" s="2" t="inlineStr">
        <is>
          <t>Violgubbe
Gultoppig fingersvamp
Kalktallört
Rödgul trumpetsvamp
Tjäder</t>
        </is>
      </c>
      <c r="S30">
        <f>HYPERLINK("https://klasma.github.io/Logging_0382/artfynd/A 64564-2021 artfynd.xlsx", "A 64564-2021")</f>
        <v/>
      </c>
      <c r="T30">
        <f>HYPERLINK("https://klasma.github.io/Logging_0382/kartor/A 64564-2021 karta.png", "A 64564-2021")</f>
        <v/>
      </c>
      <c r="V30">
        <f>HYPERLINK("https://klasma.github.io/Logging_0382/klagomål/A 64564-2021 FSC-klagomål.docx", "A 64564-2021")</f>
        <v/>
      </c>
      <c r="W30">
        <f>HYPERLINK("https://klasma.github.io/Logging_0382/klagomålsmail/A 64564-2021 FSC-klagomål mail.docx", "A 64564-2021")</f>
        <v/>
      </c>
      <c r="X30">
        <f>HYPERLINK("https://klasma.github.io/Logging_0382/tillsyn/A 64564-2021 tillsynsbegäran.docx", "A 64564-2021")</f>
        <v/>
      </c>
      <c r="Y30">
        <f>HYPERLINK("https://klasma.github.io/Logging_0382/tillsynsmail/A 64564-2021 tillsynsbegäran mail.docx", "A 64564-2021")</f>
        <v/>
      </c>
      <c r="Z30">
        <f>HYPERLINK("https://klasma.github.io/Logging_0382/fåglar/A 64564-2021 prioriterade fågelarter.docx", "A 64564-2021")</f>
        <v/>
      </c>
    </row>
    <row r="31" ht="15" customHeight="1">
      <c r="A31" t="inlineStr">
        <is>
          <t>A 8753-2022</t>
        </is>
      </c>
      <c r="B31" s="1" t="n">
        <v>44614</v>
      </c>
      <c r="C31" s="1" t="n">
        <v>46190</v>
      </c>
      <c r="D31" t="inlineStr">
        <is>
          <t>UPPSALA LÄN</t>
        </is>
      </c>
      <c r="E31" t="inlineStr">
        <is>
          <t>ÖSTHAMMAR</t>
        </is>
      </c>
      <c r="G31" t="n">
        <v>5.3</v>
      </c>
      <c r="H31" t="n">
        <v>0</v>
      </c>
      <c r="I31" t="n">
        <v>3</v>
      </c>
      <c r="J31" t="n">
        <v>0</v>
      </c>
      <c r="K31" t="n">
        <v>2</v>
      </c>
      <c r="L31" t="n">
        <v>0</v>
      </c>
      <c r="M31" t="n">
        <v>0</v>
      </c>
      <c r="N31" t="n">
        <v>0</v>
      </c>
      <c r="O31" t="n">
        <v>2</v>
      </c>
      <c r="P31" t="n">
        <v>2</v>
      </c>
      <c r="Q31" t="n">
        <v>5</v>
      </c>
      <c r="R31" s="2" t="inlineStr">
        <is>
          <t>Gyllenspindling
Spricktaggsvamp
Olivspindling
Skarp dropptaggsvamp
Svavelriska</t>
        </is>
      </c>
      <c r="S31">
        <f>HYPERLINK("https://klasma.github.io/Logging_0382/artfynd/A 8753-2022 artfynd.xlsx", "A 8753-2022")</f>
        <v/>
      </c>
      <c r="T31">
        <f>HYPERLINK("https://klasma.github.io/Logging_0382/kartor/A 8753-2022 karta.png", "A 8753-2022")</f>
        <v/>
      </c>
      <c r="V31">
        <f>HYPERLINK("https://klasma.github.io/Logging_0382/klagomål/A 8753-2022 FSC-klagomål.docx", "A 8753-2022")</f>
        <v/>
      </c>
      <c r="W31">
        <f>HYPERLINK("https://klasma.github.io/Logging_0382/klagomålsmail/A 8753-2022 FSC-klagomål mail.docx", "A 8753-2022")</f>
        <v/>
      </c>
      <c r="X31">
        <f>HYPERLINK("https://klasma.github.io/Logging_0382/tillsyn/A 8753-2022 tillsynsbegäran.docx", "A 8753-2022")</f>
        <v/>
      </c>
      <c r="Y31">
        <f>HYPERLINK("https://klasma.github.io/Logging_0382/tillsynsmail/A 8753-2022 tillsynsbegäran mail.docx", "A 8753-2022")</f>
        <v/>
      </c>
    </row>
    <row r="32" ht="15" customHeight="1">
      <c r="A32" t="inlineStr">
        <is>
          <t>A 55492-2023</t>
        </is>
      </c>
      <c r="B32" s="1" t="n">
        <v>45238</v>
      </c>
      <c r="C32" s="1" t="n">
        <v>46190</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15556-2022</t>
        </is>
      </c>
      <c r="B33" s="1" t="n">
        <v>44662</v>
      </c>
      <c r="C33" s="1" t="n">
        <v>46190</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46190</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43992-2022</t>
        </is>
      </c>
      <c r="B35" s="1" t="n">
        <v>44837</v>
      </c>
      <c r="C35" s="1" t="n">
        <v>46190</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23498-2023</t>
        </is>
      </c>
      <c r="B36" s="1" t="n">
        <v>45076</v>
      </c>
      <c r="C36" s="1" t="n">
        <v>46190</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1101-2026</t>
        </is>
      </c>
      <c r="B37" s="1" t="n">
        <v>46030.66722222222</v>
      </c>
      <c r="C37" s="1" t="n">
        <v>46190</v>
      </c>
      <c r="D37" t="inlineStr">
        <is>
          <t>UPPSALA LÄN</t>
        </is>
      </c>
      <c r="E37" t="inlineStr">
        <is>
          <t>ÖSTHAMMAR</t>
        </is>
      </c>
      <c r="G37" t="n">
        <v>4.1</v>
      </c>
      <c r="H37" t="n">
        <v>2</v>
      </c>
      <c r="I37" t="n">
        <v>3</v>
      </c>
      <c r="J37" t="n">
        <v>1</v>
      </c>
      <c r="K37" t="n">
        <v>0</v>
      </c>
      <c r="L37" t="n">
        <v>1</v>
      </c>
      <c r="M37" t="n">
        <v>0</v>
      </c>
      <c r="N37" t="n">
        <v>0</v>
      </c>
      <c r="O37" t="n">
        <v>2</v>
      </c>
      <c r="P37" t="n">
        <v>1</v>
      </c>
      <c r="Q37" t="n">
        <v>5</v>
      </c>
      <c r="R37" s="2" t="inlineStr">
        <is>
          <t>Bredgentiana
Loppstarr
Fjällig taggsvamp s.str.
Nästrot
Tjockfotad fingersvamp</t>
        </is>
      </c>
      <c r="S37">
        <f>HYPERLINK("https://klasma.github.io/Logging_0382/artfynd/A 1101-2026 artfynd.xlsx", "A 1101-2026")</f>
        <v/>
      </c>
      <c r="T37">
        <f>HYPERLINK("https://klasma.github.io/Logging_0382/kartor/A 1101-2026 karta.png", "A 1101-2026")</f>
        <v/>
      </c>
      <c r="U37">
        <f>HYPERLINK("https://klasma.github.io/Logging_0382/knärot/A 1101-2026 karta knärot.png", "A 1101-2026")</f>
        <v/>
      </c>
      <c r="V37">
        <f>HYPERLINK("https://klasma.github.io/Logging_0382/klagomål/A 1101-2026 FSC-klagomål.docx", "A 1101-2026")</f>
        <v/>
      </c>
      <c r="W37">
        <f>HYPERLINK("https://klasma.github.io/Logging_0382/klagomålsmail/A 1101-2026 FSC-klagomål mail.docx", "A 1101-2026")</f>
        <v/>
      </c>
      <c r="X37">
        <f>HYPERLINK("https://klasma.github.io/Logging_0382/tillsyn/A 1101-2026 tillsynsbegäran.docx", "A 1101-2026")</f>
        <v/>
      </c>
      <c r="Y37">
        <f>HYPERLINK("https://klasma.github.io/Logging_0382/tillsynsmail/A 1101-2026 tillsynsbegäran mail.docx", "A 1101-2026")</f>
        <v/>
      </c>
    </row>
    <row r="38" ht="15" customHeight="1">
      <c r="A38" t="inlineStr">
        <is>
          <t>A 51154-2025</t>
        </is>
      </c>
      <c r="B38" s="1" t="n">
        <v>45947.57583333334</v>
      </c>
      <c r="C38" s="1" t="n">
        <v>46190</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18150-2022</t>
        </is>
      </c>
      <c r="B39" s="1" t="n">
        <v>44684</v>
      </c>
      <c r="C39" s="1" t="n">
        <v>46190</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46190</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60889-2025</t>
        </is>
      </c>
      <c r="B41" s="1" t="n">
        <v>45999.56931712963</v>
      </c>
      <c r="C41" s="1" t="n">
        <v>46190</v>
      </c>
      <c r="D41" t="inlineStr">
        <is>
          <t>UPPSALA LÄN</t>
        </is>
      </c>
      <c r="E41" t="inlineStr">
        <is>
          <t>ÖSTHAMMAR</t>
        </is>
      </c>
      <c r="G41" t="n">
        <v>10.8</v>
      </c>
      <c r="H41" t="n">
        <v>0</v>
      </c>
      <c r="I41" t="n">
        <v>4</v>
      </c>
      <c r="J41" t="n">
        <v>0</v>
      </c>
      <c r="K41" t="n">
        <v>0</v>
      </c>
      <c r="L41" t="n">
        <v>0</v>
      </c>
      <c r="M41" t="n">
        <v>0</v>
      </c>
      <c r="N41" t="n">
        <v>0</v>
      </c>
      <c r="O41" t="n">
        <v>0</v>
      </c>
      <c r="P41" t="n">
        <v>0</v>
      </c>
      <c r="Q41" t="n">
        <v>4</v>
      </c>
      <c r="R41" s="2" t="inlineStr">
        <is>
          <t>Fjällig taggsvamp s.str.
Guldkremla
Skarp dropptaggsvamp
Sårläka</t>
        </is>
      </c>
      <c r="S41">
        <f>HYPERLINK("https://klasma.github.io/Logging_0382/artfynd/A 60889-2025 artfynd.xlsx", "A 60889-2025")</f>
        <v/>
      </c>
      <c r="T41">
        <f>HYPERLINK("https://klasma.github.io/Logging_0382/kartor/A 60889-2025 karta.png", "A 60889-2025")</f>
        <v/>
      </c>
      <c r="V41">
        <f>HYPERLINK("https://klasma.github.io/Logging_0382/klagomål/A 60889-2025 FSC-klagomål.docx", "A 60889-2025")</f>
        <v/>
      </c>
      <c r="W41">
        <f>HYPERLINK("https://klasma.github.io/Logging_0382/klagomålsmail/A 60889-2025 FSC-klagomål mail.docx", "A 60889-2025")</f>
        <v/>
      </c>
      <c r="X41">
        <f>HYPERLINK("https://klasma.github.io/Logging_0382/tillsyn/A 60889-2025 tillsynsbegäran.docx", "A 60889-2025")</f>
        <v/>
      </c>
      <c r="Y41">
        <f>HYPERLINK("https://klasma.github.io/Logging_0382/tillsynsmail/A 60889-2025 tillsynsbegäran mail.docx", "A 60889-2025")</f>
        <v/>
      </c>
    </row>
    <row r="42" ht="15" customHeight="1">
      <c r="A42" t="inlineStr">
        <is>
          <t>A 48352-2022</t>
        </is>
      </c>
      <c r="B42" s="1" t="n">
        <v>44858</v>
      </c>
      <c r="C42" s="1" t="n">
        <v>46190</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agg.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46190</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18158-2026</t>
        </is>
      </c>
      <c r="B44" s="1" t="n">
        <v>46125.64015046296</v>
      </c>
      <c r="C44" s="1" t="n">
        <v>46190</v>
      </c>
      <c r="D44" t="inlineStr">
        <is>
          <t>UPPSALA LÄN</t>
        </is>
      </c>
      <c r="E44" t="inlineStr">
        <is>
          <t>ÖSTHAMMAR</t>
        </is>
      </c>
      <c r="F44" t="inlineStr">
        <is>
          <t>Övriga Aktiebolag</t>
        </is>
      </c>
      <c r="G44" t="n">
        <v>3.7</v>
      </c>
      <c r="H44" t="n">
        <v>3</v>
      </c>
      <c r="I44" t="n">
        <v>2</v>
      </c>
      <c r="J44" t="n">
        <v>1</v>
      </c>
      <c r="K44" t="n">
        <v>0</v>
      </c>
      <c r="L44" t="n">
        <v>0</v>
      </c>
      <c r="M44" t="n">
        <v>0</v>
      </c>
      <c r="N44" t="n">
        <v>0</v>
      </c>
      <c r="O44" t="n">
        <v>1</v>
      </c>
      <c r="P44" t="n">
        <v>0</v>
      </c>
      <c r="Q44" t="n">
        <v>4</v>
      </c>
      <c r="R44" s="2" t="inlineStr">
        <is>
          <t>Gulsparv
Nästrot
Tibast
Blåsippa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9683-2023</t>
        </is>
      </c>
      <c r="B45" s="1" t="n">
        <v>44984.43856481482</v>
      </c>
      <c r="C45" s="1" t="n">
        <v>46190</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33035-2021</t>
        </is>
      </c>
      <c r="B46" s="1" t="n">
        <v>44376</v>
      </c>
      <c r="C46" s="1" t="n">
        <v>46190</v>
      </c>
      <c r="D46" t="inlineStr">
        <is>
          <t>UPPSALA LÄN</t>
        </is>
      </c>
      <c r="E46" t="inlineStr">
        <is>
          <t>ÖSTHAMMAR</t>
        </is>
      </c>
      <c r="G46" t="n">
        <v>4.3</v>
      </c>
      <c r="H46" t="n">
        <v>0</v>
      </c>
      <c r="I46" t="n">
        <v>0</v>
      </c>
      <c r="J46" t="n">
        <v>1</v>
      </c>
      <c r="K46" t="n">
        <v>2</v>
      </c>
      <c r="L46" t="n">
        <v>0</v>
      </c>
      <c r="M46" t="n">
        <v>0</v>
      </c>
      <c r="N46" t="n">
        <v>0</v>
      </c>
      <c r="O46" t="n">
        <v>3</v>
      </c>
      <c r="P46" t="n">
        <v>2</v>
      </c>
      <c r="Q46" t="n">
        <v>3</v>
      </c>
      <c r="R46" s="2" t="inlineStr">
        <is>
          <t>Granrotspindling
Gyllenfingersvamp
Dofttaggsvamp</t>
        </is>
      </c>
      <c r="S46">
        <f>HYPERLINK("https://klasma.github.io/Logging_0382/artfynd/A 33035-2021 artfynd.xlsx", "A 33035-2021")</f>
        <v/>
      </c>
      <c r="T46">
        <f>HYPERLINK("https://klasma.github.io/Logging_0382/kartor/A 33035-2021 karta.png", "A 33035-2021")</f>
        <v/>
      </c>
      <c r="V46">
        <f>HYPERLINK("https://klasma.github.io/Logging_0382/klagomål/A 33035-2021 FSC-klagomål.docx", "A 33035-2021")</f>
        <v/>
      </c>
      <c r="W46">
        <f>HYPERLINK("https://klasma.github.io/Logging_0382/klagomålsmail/A 33035-2021 FSC-klagomål mail.docx", "A 33035-2021")</f>
        <v/>
      </c>
      <c r="X46">
        <f>HYPERLINK("https://klasma.github.io/Logging_0382/tillsyn/A 33035-2021 tillsynsbegäran.docx", "A 33035-2021")</f>
        <v/>
      </c>
      <c r="Y46">
        <f>HYPERLINK("https://klasma.github.io/Logging_0382/tillsynsmail/A 33035-2021 tillsynsbegäran mail.docx", "A 33035-2021")</f>
        <v/>
      </c>
    </row>
    <row r="47" ht="15" customHeight="1">
      <c r="A47" t="inlineStr">
        <is>
          <t>A 26552-2022</t>
        </is>
      </c>
      <c r="B47" s="1" t="n">
        <v>44739</v>
      </c>
      <c r="C47" s="1" t="n">
        <v>46190</v>
      </c>
      <c r="D47" t="inlineStr">
        <is>
          <t>UPPSALA LÄN</t>
        </is>
      </c>
      <c r="E47" t="inlineStr">
        <is>
          <t>ÖSTHAMMAR</t>
        </is>
      </c>
      <c r="G47" t="n">
        <v>2.2</v>
      </c>
      <c r="H47" t="n">
        <v>3</v>
      </c>
      <c r="I47" t="n">
        <v>0</v>
      </c>
      <c r="J47" t="n">
        <v>1</v>
      </c>
      <c r="K47" t="n">
        <v>0</v>
      </c>
      <c r="L47" t="n">
        <v>0</v>
      </c>
      <c r="M47" t="n">
        <v>0</v>
      </c>
      <c r="N47" t="n">
        <v>0</v>
      </c>
      <c r="O47" t="n">
        <v>1</v>
      </c>
      <c r="P47" t="n">
        <v>0</v>
      </c>
      <c r="Q47" t="n">
        <v>3</v>
      </c>
      <c r="R47" s="2" t="inlineStr">
        <is>
          <t>Nordfladdermus
Dvärgpipistrell
Vattenfladdermus</t>
        </is>
      </c>
      <c r="S47">
        <f>HYPERLINK("https://klasma.github.io/Logging_0382/artfynd/A 26552-2022 artfynd.xlsx", "A 26552-2022")</f>
        <v/>
      </c>
      <c r="T47">
        <f>HYPERLINK("https://klasma.github.io/Logging_0382/kartor/A 26552-2022 karta.png", "A 26552-2022")</f>
        <v/>
      </c>
      <c r="V47">
        <f>HYPERLINK("https://klasma.github.io/Logging_0382/klagomål/A 26552-2022 FSC-klagomål.docx", "A 26552-2022")</f>
        <v/>
      </c>
      <c r="W47">
        <f>HYPERLINK("https://klasma.github.io/Logging_0382/klagomålsmail/A 26552-2022 FSC-klagomål mail.docx", "A 26552-2022")</f>
        <v/>
      </c>
      <c r="X47">
        <f>HYPERLINK("https://klasma.github.io/Logging_0382/tillsyn/A 26552-2022 tillsynsbegäran.docx", "A 26552-2022")</f>
        <v/>
      </c>
      <c r="Y47">
        <f>HYPERLINK("https://klasma.github.io/Logging_0382/tillsynsmail/A 26552-2022 tillsynsbegäran mail.docx", "A 26552-2022")</f>
        <v/>
      </c>
    </row>
    <row r="48" ht="15" customHeight="1">
      <c r="A48" t="inlineStr">
        <is>
          <t>A 55051-2021</t>
        </is>
      </c>
      <c r="B48" s="1" t="n">
        <v>44474</v>
      </c>
      <c r="C48" s="1" t="n">
        <v>46190</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17004-2024</t>
        </is>
      </c>
      <c r="B49" s="1" t="n">
        <v>45412</v>
      </c>
      <c r="C49" s="1" t="n">
        <v>46190</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46204-2023</t>
        </is>
      </c>
      <c r="B50" s="1" t="n">
        <v>45190</v>
      </c>
      <c r="C50" s="1" t="n">
        <v>46190</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26557-2022</t>
        </is>
      </c>
      <c r="B51" s="1" t="n">
        <v>44739</v>
      </c>
      <c r="C51" s="1" t="n">
        <v>46190</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26522-2026</t>
        </is>
      </c>
      <c r="B52" s="1" t="n">
        <v>46183.58791666666</v>
      </c>
      <c r="C52" s="1" t="n">
        <v>46190</v>
      </c>
      <c r="D52" t="inlineStr">
        <is>
          <t>UPPSALA LÄN</t>
        </is>
      </c>
      <c r="E52" t="inlineStr">
        <is>
          <t>ÖSTHAMMAR</t>
        </is>
      </c>
      <c r="G52" t="n">
        <v>0.9</v>
      </c>
      <c r="H52" t="n">
        <v>1</v>
      </c>
      <c r="I52" t="n">
        <v>0</v>
      </c>
      <c r="J52" t="n">
        <v>2</v>
      </c>
      <c r="K52" t="n">
        <v>0</v>
      </c>
      <c r="L52" t="n">
        <v>0</v>
      </c>
      <c r="M52" t="n">
        <v>0</v>
      </c>
      <c r="N52" t="n">
        <v>0</v>
      </c>
      <c r="O52" t="n">
        <v>2</v>
      </c>
      <c r="P52" t="n">
        <v>0</v>
      </c>
      <c r="Q52" t="n">
        <v>3</v>
      </c>
      <c r="R52" s="2" t="inlineStr">
        <is>
          <t>Solvända
Säfferot
Gullviva</t>
        </is>
      </c>
      <c r="S52">
        <f>HYPERLINK("https://klasma.github.io/Logging_0382/artfynd/A 26522-2026 artfynd.xlsx", "A 26522-2026")</f>
        <v/>
      </c>
      <c r="T52">
        <f>HYPERLINK("https://klasma.github.io/Logging_0382/kartor/A 26522-2026 karta.png", "A 26522-2026")</f>
        <v/>
      </c>
      <c r="V52">
        <f>HYPERLINK("https://klasma.github.io/Logging_0382/klagomål/A 26522-2026 FSC-klagomål.docx", "A 26522-2026")</f>
        <v/>
      </c>
      <c r="W52">
        <f>HYPERLINK("https://klasma.github.io/Logging_0382/klagomålsmail/A 26522-2026 FSC-klagomål mail.docx", "A 26522-2026")</f>
        <v/>
      </c>
      <c r="X52">
        <f>HYPERLINK("https://klasma.github.io/Logging_0382/tillsyn/A 26522-2026 tillsynsbegäran.docx", "A 26522-2026")</f>
        <v/>
      </c>
      <c r="Y52">
        <f>HYPERLINK("https://klasma.github.io/Logging_0382/tillsynsmail/A 26522-2026 tillsynsbegäran mail.docx", "A 26522-2026")</f>
        <v/>
      </c>
    </row>
    <row r="53" ht="15" customHeight="1">
      <c r="A53" t="inlineStr">
        <is>
          <t>A 60078-2021</t>
        </is>
      </c>
      <c r="B53" s="1" t="n">
        <v>44495</v>
      </c>
      <c r="C53" s="1" t="n">
        <v>46190</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46190</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46190</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20553-2025</t>
        </is>
      </c>
      <c r="B56" s="1" t="n">
        <v>45775.63983796296</v>
      </c>
      <c r="C56" s="1" t="n">
        <v>46190</v>
      </c>
      <c r="D56" t="inlineStr">
        <is>
          <t>UPPSALA LÄN</t>
        </is>
      </c>
      <c r="E56" t="inlineStr">
        <is>
          <t>ÖSTHAMMAR</t>
        </is>
      </c>
      <c r="G56" t="n">
        <v>0.4</v>
      </c>
      <c r="H56" t="n">
        <v>0</v>
      </c>
      <c r="I56" t="n">
        <v>2</v>
      </c>
      <c r="J56" t="n">
        <v>0</v>
      </c>
      <c r="K56" t="n">
        <v>0</v>
      </c>
      <c r="L56" t="n">
        <v>0</v>
      </c>
      <c r="M56" t="n">
        <v>0</v>
      </c>
      <c r="N56" t="n">
        <v>0</v>
      </c>
      <c r="O56" t="n">
        <v>0</v>
      </c>
      <c r="P56" t="n">
        <v>0</v>
      </c>
      <c r="Q56" t="n">
        <v>2</v>
      </c>
      <c r="R56" s="2" t="inlineStr">
        <is>
          <t>Jättesvampmal
Robust tickgnagare</t>
        </is>
      </c>
      <c r="S56">
        <f>HYPERLINK("https://klasma.github.io/Logging_0382/artfynd/A 20553-2025 artfynd.xlsx", "A 20553-2025")</f>
        <v/>
      </c>
      <c r="T56">
        <f>HYPERLINK("https://klasma.github.io/Logging_0382/kartor/A 20553-2025 karta.png", "A 20553-2025")</f>
        <v/>
      </c>
      <c r="V56">
        <f>HYPERLINK("https://klasma.github.io/Logging_0382/klagomål/A 20553-2025 FSC-klagomål.docx", "A 20553-2025")</f>
        <v/>
      </c>
      <c r="W56">
        <f>HYPERLINK("https://klasma.github.io/Logging_0382/klagomålsmail/A 20553-2025 FSC-klagomål mail.docx", "A 20553-2025")</f>
        <v/>
      </c>
      <c r="X56">
        <f>HYPERLINK("https://klasma.github.io/Logging_0382/tillsyn/A 20553-2025 tillsynsbegäran.docx", "A 20553-2025")</f>
        <v/>
      </c>
      <c r="Y56">
        <f>HYPERLINK("https://klasma.github.io/Logging_0382/tillsynsmail/A 20553-2025 tillsynsbegäran mail.docx", "A 20553-2025")</f>
        <v/>
      </c>
    </row>
    <row r="57" ht="15" customHeight="1">
      <c r="A57" t="inlineStr">
        <is>
          <t>A 13287-2022</t>
        </is>
      </c>
      <c r="B57" s="1" t="n">
        <v>44644</v>
      </c>
      <c r="C57" s="1" t="n">
        <v>46190</v>
      </c>
      <c r="D57" t="inlineStr">
        <is>
          <t>UPPSALA LÄN</t>
        </is>
      </c>
      <c r="E57" t="inlineStr">
        <is>
          <t>ÖSTHAMMAR</t>
        </is>
      </c>
      <c r="G57" t="n">
        <v>14.6</v>
      </c>
      <c r="H57" t="n">
        <v>0</v>
      </c>
      <c r="I57" t="n">
        <v>1</v>
      </c>
      <c r="J57" t="n">
        <v>0</v>
      </c>
      <c r="K57" t="n">
        <v>1</v>
      </c>
      <c r="L57" t="n">
        <v>0</v>
      </c>
      <c r="M57" t="n">
        <v>0</v>
      </c>
      <c r="N57" t="n">
        <v>0</v>
      </c>
      <c r="O57" t="n">
        <v>1</v>
      </c>
      <c r="P57" t="n">
        <v>1</v>
      </c>
      <c r="Q57" t="n">
        <v>2</v>
      </c>
      <c r="R57" s="2" t="inlineStr">
        <is>
          <t>Bullspindling
Olivspindling</t>
        </is>
      </c>
      <c r="S57">
        <f>HYPERLINK("https://klasma.github.io/Logging_0382/artfynd/A 13287-2022 artfynd.xlsx", "A 13287-2022")</f>
        <v/>
      </c>
      <c r="T57">
        <f>HYPERLINK("https://klasma.github.io/Logging_0382/kartor/A 13287-2022 karta.png", "A 13287-2022")</f>
        <v/>
      </c>
      <c r="V57">
        <f>HYPERLINK("https://klasma.github.io/Logging_0382/klagomål/A 13287-2022 FSC-klagomål.docx", "A 13287-2022")</f>
        <v/>
      </c>
      <c r="W57">
        <f>HYPERLINK("https://klasma.github.io/Logging_0382/klagomålsmail/A 13287-2022 FSC-klagomål mail.docx", "A 13287-2022")</f>
        <v/>
      </c>
      <c r="X57">
        <f>HYPERLINK("https://klasma.github.io/Logging_0382/tillsyn/A 13287-2022 tillsynsbegäran.docx", "A 13287-2022")</f>
        <v/>
      </c>
      <c r="Y57">
        <f>HYPERLINK("https://klasma.github.io/Logging_0382/tillsynsmail/A 13287-2022 tillsynsbegäran mail.docx", "A 13287-2022")</f>
        <v/>
      </c>
    </row>
    <row r="58" ht="15" customHeight="1">
      <c r="A58" t="inlineStr">
        <is>
          <t>A 30943-2024</t>
        </is>
      </c>
      <c r="B58" s="1" t="n">
        <v>45499</v>
      </c>
      <c r="C58" s="1" t="n">
        <v>46190</v>
      </c>
      <c r="D58" t="inlineStr">
        <is>
          <t>UPPSALA LÄN</t>
        </is>
      </c>
      <c r="E58" t="inlineStr">
        <is>
          <t>ÖSTHAMMAR</t>
        </is>
      </c>
      <c r="G58" t="n">
        <v>4.5</v>
      </c>
      <c r="H58" t="n">
        <v>0</v>
      </c>
      <c r="I58" t="n">
        <v>2</v>
      </c>
      <c r="J58" t="n">
        <v>0</v>
      </c>
      <c r="K58" t="n">
        <v>0</v>
      </c>
      <c r="L58" t="n">
        <v>0</v>
      </c>
      <c r="M58" t="n">
        <v>0</v>
      </c>
      <c r="N58" t="n">
        <v>0</v>
      </c>
      <c r="O58" t="n">
        <v>0</v>
      </c>
      <c r="P58" t="n">
        <v>0</v>
      </c>
      <c r="Q58" t="n">
        <v>2</v>
      </c>
      <c r="R58" s="2" t="inlineStr">
        <is>
          <t>Tibast
Underviol</t>
        </is>
      </c>
      <c r="S58">
        <f>HYPERLINK("https://klasma.github.io/Logging_0382/artfynd/A 30943-2024 artfynd.xlsx", "A 30943-2024")</f>
        <v/>
      </c>
      <c r="T58">
        <f>HYPERLINK("https://klasma.github.io/Logging_0382/kartor/A 30943-2024 karta.png", "A 30943-2024")</f>
        <v/>
      </c>
      <c r="V58">
        <f>HYPERLINK("https://klasma.github.io/Logging_0382/klagomål/A 30943-2024 FSC-klagomål.docx", "A 30943-2024")</f>
        <v/>
      </c>
      <c r="W58">
        <f>HYPERLINK("https://klasma.github.io/Logging_0382/klagomålsmail/A 30943-2024 FSC-klagomål mail.docx", "A 30943-2024")</f>
        <v/>
      </c>
      <c r="X58">
        <f>HYPERLINK("https://klasma.github.io/Logging_0382/tillsyn/A 30943-2024 tillsynsbegäran.docx", "A 30943-2024")</f>
        <v/>
      </c>
      <c r="Y58">
        <f>HYPERLINK("https://klasma.github.io/Logging_0382/tillsynsmail/A 30943-2024 tillsynsbegäran mail.docx", "A 30943-2024")</f>
        <v/>
      </c>
    </row>
    <row r="59" ht="15" customHeight="1">
      <c r="A59" t="inlineStr">
        <is>
          <t>A 18539-2024</t>
        </is>
      </c>
      <c r="B59" s="1" t="n">
        <v>45425.63697916667</v>
      </c>
      <c r="C59" s="1" t="n">
        <v>46190</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9646-2024</t>
        </is>
      </c>
      <c r="B60" s="1" t="n">
        <v>45362.37055555556</v>
      </c>
      <c r="C60" s="1" t="n">
        <v>46190</v>
      </c>
      <c r="D60" t="inlineStr">
        <is>
          <t>UPPSALA LÄN</t>
        </is>
      </c>
      <c r="E60" t="inlineStr">
        <is>
          <t>ÖSTHAMMAR</t>
        </is>
      </c>
      <c r="G60" t="n">
        <v>1.6</v>
      </c>
      <c r="H60" t="n">
        <v>0</v>
      </c>
      <c r="I60" t="n">
        <v>0</v>
      </c>
      <c r="J60" t="n">
        <v>1</v>
      </c>
      <c r="K60" t="n">
        <v>1</v>
      </c>
      <c r="L60" t="n">
        <v>0</v>
      </c>
      <c r="M60" t="n">
        <v>0</v>
      </c>
      <c r="N60" t="n">
        <v>0</v>
      </c>
      <c r="O60" t="n">
        <v>2</v>
      </c>
      <c r="P60" t="n">
        <v>1</v>
      </c>
      <c r="Q60" t="n">
        <v>2</v>
      </c>
      <c r="R60" s="2" t="inlineStr">
        <is>
          <t>Violgubbe
Gultoppig fingersvamp</t>
        </is>
      </c>
      <c r="S60">
        <f>HYPERLINK("https://klasma.github.io/Logging_0382/artfynd/A 9646-2024 artfynd.xlsx", "A 9646-2024")</f>
        <v/>
      </c>
      <c r="T60">
        <f>HYPERLINK("https://klasma.github.io/Logging_0382/kartor/A 9646-2024 karta.png", "A 9646-2024")</f>
        <v/>
      </c>
      <c r="V60">
        <f>HYPERLINK("https://klasma.github.io/Logging_0382/klagomål/A 9646-2024 FSC-klagomål.docx", "A 9646-2024")</f>
        <v/>
      </c>
      <c r="W60">
        <f>HYPERLINK("https://klasma.github.io/Logging_0382/klagomålsmail/A 9646-2024 FSC-klagomål mail.docx", "A 9646-2024")</f>
        <v/>
      </c>
      <c r="X60">
        <f>HYPERLINK("https://klasma.github.io/Logging_0382/tillsyn/A 9646-2024 tillsynsbegäran.docx", "A 9646-2024")</f>
        <v/>
      </c>
      <c r="Y60">
        <f>HYPERLINK("https://klasma.github.io/Logging_0382/tillsynsmail/A 9646-2024 tillsynsbegäran mail.docx", "A 9646-2024")</f>
        <v/>
      </c>
    </row>
    <row r="61" ht="15" customHeight="1">
      <c r="A61" t="inlineStr">
        <is>
          <t>A 60898-2025</t>
        </is>
      </c>
      <c r="B61" s="1" t="n">
        <v>45999.58256944444</v>
      </c>
      <c r="C61" s="1" t="n">
        <v>46190</v>
      </c>
      <c r="D61" t="inlineStr">
        <is>
          <t>UPPSALA LÄN</t>
        </is>
      </c>
      <c r="E61" t="inlineStr">
        <is>
          <t>ÖSTHAMMAR</t>
        </is>
      </c>
      <c r="G61" t="n">
        <v>3.9</v>
      </c>
      <c r="H61" t="n">
        <v>0</v>
      </c>
      <c r="I61" t="n">
        <v>2</v>
      </c>
      <c r="J61" t="n">
        <v>0</v>
      </c>
      <c r="K61" t="n">
        <v>0</v>
      </c>
      <c r="L61" t="n">
        <v>0</v>
      </c>
      <c r="M61" t="n">
        <v>0</v>
      </c>
      <c r="N61" t="n">
        <v>0</v>
      </c>
      <c r="O61" t="n">
        <v>0</v>
      </c>
      <c r="P61" t="n">
        <v>0</v>
      </c>
      <c r="Q61" t="n">
        <v>2</v>
      </c>
      <c r="R61" s="2" t="inlineStr">
        <is>
          <t>Anisspindling
Svavelriska</t>
        </is>
      </c>
      <c r="S61">
        <f>HYPERLINK("https://klasma.github.io/Logging_0382/artfynd/A 60898-2025 artfynd.xlsx", "A 60898-2025")</f>
        <v/>
      </c>
      <c r="T61">
        <f>HYPERLINK("https://klasma.github.io/Logging_0382/kartor/A 60898-2025 karta.png", "A 60898-2025")</f>
        <v/>
      </c>
      <c r="V61">
        <f>HYPERLINK("https://klasma.github.io/Logging_0382/klagomål/A 60898-2025 FSC-klagomål.docx", "A 60898-2025")</f>
        <v/>
      </c>
      <c r="W61">
        <f>HYPERLINK("https://klasma.github.io/Logging_0382/klagomålsmail/A 60898-2025 FSC-klagomål mail.docx", "A 60898-2025")</f>
        <v/>
      </c>
      <c r="X61">
        <f>HYPERLINK("https://klasma.github.io/Logging_0382/tillsyn/A 60898-2025 tillsynsbegäran.docx", "A 60898-2025")</f>
        <v/>
      </c>
      <c r="Y61">
        <f>HYPERLINK("https://klasma.github.io/Logging_0382/tillsynsmail/A 60898-2025 tillsynsbegäran mail.docx", "A 60898-2025")</f>
        <v/>
      </c>
    </row>
    <row r="62" ht="15" customHeight="1">
      <c r="A62" t="inlineStr">
        <is>
          <t>A 61400-2025</t>
        </is>
      </c>
      <c r="B62" s="1" t="n">
        <v>46001.47858796296</v>
      </c>
      <c r="C62" s="1" t="n">
        <v>46190</v>
      </c>
      <c r="D62" t="inlineStr">
        <is>
          <t>UPPSALA LÄN</t>
        </is>
      </c>
      <c r="E62" t="inlineStr">
        <is>
          <t>ÖSTHAMMAR</t>
        </is>
      </c>
      <c r="F62" t="inlineStr">
        <is>
          <t>Naturvårdsverket</t>
        </is>
      </c>
      <c r="G62" t="n">
        <v>10.9</v>
      </c>
      <c r="H62" t="n">
        <v>0</v>
      </c>
      <c r="I62" t="n">
        <v>2</v>
      </c>
      <c r="J62" t="n">
        <v>0</v>
      </c>
      <c r="K62" t="n">
        <v>0</v>
      </c>
      <c r="L62" t="n">
        <v>0</v>
      </c>
      <c r="M62" t="n">
        <v>0</v>
      </c>
      <c r="N62" t="n">
        <v>0</v>
      </c>
      <c r="O62" t="n">
        <v>0</v>
      </c>
      <c r="P62" t="n">
        <v>0</v>
      </c>
      <c r="Q62" t="n">
        <v>2</v>
      </c>
      <c r="R62" s="2" t="inlineStr">
        <is>
          <t>Granbarkgnagare
Kattfotslav</t>
        </is>
      </c>
      <c r="S62">
        <f>HYPERLINK("https://klasma.github.io/Logging_0382/artfynd/A 61400-2025 artfynd.xlsx", "A 61400-2025")</f>
        <v/>
      </c>
      <c r="T62">
        <f>HYPERLINK("https://klasma.github.io/Logging_0382/kartor/A 61400-2025 karta.png", "A 61400-2025")</f>
        <v/>
      </c>
      <c r="V62">
        <f>HYPERLINK("https://klasma.github.io/Logging_0382/klagomål/A 61400-2025 FSC-klagomål.docx", "A 61400-2025")</f>
        <v/>
      </c>
      <c r="W62">
        <f>HYPERLINK("https://klasma.github.io/Logging_0382/klagomålsmail/A 61400-2025 FSC-klagomål mail.docx", "A 61400-2025")</f>
        <v/>
      </c>
      <c r="X62">
        <f>HYPERLINK("https://klasma.github.io/Logging_0382/tillsyn/A 61400-2025 tillsynsbegäran.docx", "A 61400-2025")</f>
        <v/>
      </c>
      <c r="Y62">
        <f>HYPERLINK("https://klasma.github.io/Logging_0382/tillsynsmail/A 61400-2025 tillsynsbegäran mail.docx", "A 61400-2025")</f>
        <v/>
      </c>
    </row>
    <row r="63" ht="15" customHeight="1">
      <c r="A63" t="inlineStr">
        <is>
          <t>A 67855-2021</t>
        </is>
      </c>
      <c r="B63" s="1" t="n">
        <v>44525</v>
      </c>
      <c r="C63" s="1" t="n">
        <v>46190</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21453-2023</t>
        </is>
      </c>
      <c r="B64" s="1" t="n">
        <v>45063</v>
      </c>
      <c r="C64" s="1" t="n">
        <v>46190</v>
      </c>
      <c r="D64" t="inlineStr">
        <is>
          <t>UPPSALA LÄN</t>
        </is>
      </c>
      <c r="E64" t="inlineStr">
        <is>
          <t>ÖSTHAMMAR</t>
        </is>
      </c>
      <c r="F64" t="inlineStr">
        <is>
          <t>Bergvik skog väst AB</t>
        </is>
      </c>
      <c r="G64" t="n">
        <v>6.1</v>
      </c>
      <c r="H64" t="n">
        <v>1</v>
      </c>
      <c r="I64" t="n">
        <v>1</v>
      </c>
      <c r="J64" t="n">
        <v>0</v>
      </c>
      <c r="K64" t="n">
        <v>0</v>
      </c>
      <c r="L64" t="n">
        <v>0</v>
      </c>
      <c r="M64" t="n">
        <v>0</v>
      </c>
      <c r="N64" t="n">
        <v>0</v>
      </c>
      <c r="O64" t="n">
        <v>0</v>
      </c>
      <c r="P64" t="n">
        <v>0</v>
      </c>
      <c r="Q64" t="n">
        <v>2</v>
      </c>
      <c r="R64" s="2" t="inlineStr">
        <is>
          <t>Fransig jordstjärna
Blåsippa</t>
        </is>
      </c>
      <c r="S64">
        <f>HYPERLINK("https://klasma.github.io/Logging_0382/artfynd/A 21453-2023 artfynd.xlsx", "A 21453-2023")</f>
        <v/>
      </c>
      <c r="T64">
        <f>HYPERLINK("https://klasma.github.io/Logging_0382/kartor/A 21453-2023 karta.png", "A 21453-2023")</f>
        <v/>
      </c>
      <c r="V64">
        <f>HYPERLINK("https://klasma.github.io/Logging_0382/klagomål/A 21453-2023 FSC-klagomål.docx", "A 21453-2023")</f>
        <v/>
      </c>
      <c r="W64">
        <f>HYPERLINK("https://klasma.github.io/Logging_0382/klagomålsmail/A 21453-2023 FSC-klagomål mail.docx", "A 21453-2023")</f>
        <v/>
      </c>
      <c r="X64">
        <f>HYPERLINK("https://klasma.github.io/Logging_0382/tillsyn/A 21453-2023 tillsynsbegäran.docx", "A 21453-2023")</f>
        <v/>
      </c>
      <c r="Y64">
        <f>HYPERLINK("https://klasma.github.io/Logging_0382/tillsynsmail/A 21453-2023 tillsynsbegäran mail.docx", "A 21453-2023")</f>
        <v/>
      </c>
    </row>
    <row r="65" ht="15" customHeight="1">
      <c r="A65" t="inlineStr">
        <is>
          <t>A 73981-2021</t>
        </is>
      </c>
      <c r="B65" s="1" t="n">
        <v>44555</v>
      </c>
      <c r="C65" s="1" t="n">
        <v>46190</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21422-2023</t>
        </is>
      </c>
      <c r="B66" s="1" t="n">
        <v>45063</v>
      </c>
      <c r="C66" s="1" t="n">
        <v>46190</v>
      </c>
      <c r="D66" t="inlineStr">
        <is>
          <t>UPPSALA LÄN</t>
        </is>
      </c>
      <c r="E66" t="inlineStr">
        <is>
          <t>ÖSTHAMMAR</t>
        </is>
      </c>
      <c r="F66" t="inlineStr">
        <is>
          <t>Sveaskog</t>
        </is>
      </c>
      <c r="G66" t="n">
        <v>2.8</v>
      </c>
      <c r="H66" t="n">
        <v>2</v>
      </c>
      <c r="I66" t="n">
        <v>0</v>
      </c>
      <c r="J66" t="n">
        <v>1</v>
      </c>
      <c r="K66" t="n">
        <v>0</v>
      </c>
      <c r="L66" t="n">
        <v>0</v>
      </c>
      <c r="M66" t="n">
        <v>0</v>
      </c>
      <c r="N66" t="n">
        <v>0</v>
      </c>
      <c r="O66" t="n">
        <v>1</v>
      </c>
      <c r="P66" t="n">
        <v>0</v>
      </c>
      <c r="Q66" t="n">
        <v>2</v>
      </c>
      <c r="R66" s="2" t="inlineStr">
        <is>
          <t>Nordfladdermus
Dvärgpipistrell</t>
        </is>
      </c>
      <c r="S66">
        <f>HYPERLINK("https://klasma.github.io/Logging_0382/artfynd/A 21422-2023 artfynd.xlsx", "A 21422-2023")</f>
        <v/>
      </c>
      <c r="T66">
        <f>HYPERLINK("https://klasma.github.io/Logging_0382/kartor/A 21422-2023 karta.png", "A 21422-2023")</f>
        <v/>
      </c>
      <c r="V66">
        <f>HYPERLINK("https://klasma.github.io/Logging_0382/klagomål/A 21422-2023 FSC-klagomål.docx", "A 21422-2023")</f>
        <v/>
      </c>
      <c r="W66">
        <f>HYPERLINK("https://klasma.github.io/Logging_0382/klagomålsmail/A 21422-2023 FSC-klagomål mail.docx", "A 21422-2023")</f>
        <v/>
      </c>
      <c r="X66">
        <f>HYPERLINK("https://klasma.github.io/Logging_0382/tillsyn/A 21422-2023 tillsynsbegäran.docx", "A 21422-2023")</f>
        <v/>
      </c>
      <c r="Y66">
        <f>HYPERLINK("https://klasma.github.io/Logging_0382/tillsynsmail/A 21422-2023 tillsynsbegäran mail.docx", "A 21422-2023")</f>
        <v/>
      </c>
    </row>
    <row r="67" ht="15" customHeight="1">
      <c r="A67" t="inlineStr">
        <is>
          <t>A 25098-2022</t>
        </is>
      </c>
      <c r="B67" s="1" t="n">
        <v>44729.44149305556</v>
      </c>
      <c r="C67" s="1" t="n">
        <v>46190</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17694-2026</t>
        </is>
      </c>
      <c r="B68" s="1" t="n">
        <v>46121.65268518519</v>
      </c>
      <c r="C68" s="1" t="n">
        <v>46190</v>
      </c>
      <c r="D68" t="inlineStr">
        <is>
          <t>UPPSALA LÄN</t>
        </is>
      </c>
      <c r="E68" t="inlineStr">
        <is>
          <t>ÖSTHAMMAR</t>
        </is>
      </c>
      <c r="G68" t="n">
        <v>3.4</v>
      </c>
      <c r="H68" t="n">
        <v>1</v>
      </c>
      <c r="I68" t="n">
        <v>1</v>
      </c>
      <c r="J68" t="n">
        <v>0</v>
      </c>
      <c r="K68" t="n">
        <v>0</v>
      </c>
      <c r="L68" t="n">
        <v>1</v>
      </c>
      <c r="M68" t="n">
        <v>0</v>
      </c>
      <c r="N68" t="n">
        <v>0</v>
      </c>
      <c r="O68" t="n">
        <v>1</v>
      </c>
      <c r="P68" t="n">
        <v>1</v>
      </c>
      <c r="Q68" t="n">
        <v>2</v>
      </c>
      <c r="R68" s="2" t="inlineStr">
        <is>
          <t>Ask
Guckusko</t>
        </is>
      </c>
      <c r="S68">
        <f>HYPERLINK("https://klasma.github.io/Logging_0382/artfynd/A 17694-2026 artfynd.xlsx", "A 17694-2026")</f>
        <v/>
      </c>
      <c r="T68">
        <f>HYPERLINK("https://klasma.github.io/Logging_0382/kartor/A 17694-2026 karta.png", "A 17694-2026")</f>
        <v/>
      </c>
      <c r="V68">
        <f>HYPERLINK("https://klasma.github.io/Logging_0382/klagomål/A 17694-2026 FSC-klagomål.docx", "A 17694-2026")</f>
        <v/>
      </c>
      <c r="W68">
        <f>HYPERLINK("https://klasma.github.io/Logging_0382/klagomålsmail/A 17694-2026 FSC-klagomål mail.docx", "A 17694-2026")</f>
        <v/>
      </c>
      <c r="X68">
        <f>HYPERLINK("https://klasma.github.io/Logging_0382/tillsyn/A 17694-2026 tillsynsbegäran.docx", "A 17694-2026")</f>
        <v/>
      </c>
      <c r="Y68">
        <f>HYPERLINK("https://klasma.github.io/Logging_0382/tillsynsmail/A 17694-2026 tillsynsbegäran mail.docx", "A 17694-2026")</f>
        <v/>
      </c>
    </row>
    <row r="69" ht="15" customHeight="1">
      <c r="A69" t="inlineStr">
        <is>
          <t>A 33269-2025</t>
        </is>
      </c>
      <c r="B69" s="1" t="n">
        <v>45840.68208333333</v>
      </c>
      <c r="C69" s="1" t="n">
        <v>46190</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26277-2024</t>
        </is>
      </c>
      <c r="B70" s="1" t="n">
        <v>45468</v>
      </c>
      <c r="C70" s="1" t="n">
        <v>46190</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38442-2022</t>
        </is>
      </c>
      <c r="B71" s="1" t="n">
        <v>44813</v>
      </c>
      <c r="C71" s="1" t="n">
        <v>46190</v>
      </c>
      <c r="D71" t="inlineStr">
        <is>
          <t>UPPSALA LÄN</t>
        </is>
      </c>
      <c r="E71" t="inlineStr">
        <is>
          <t>ÖSTHAMMAR</t>
        </is>
      </c>
      <c r="F71" t="inlineStr">
        <is>
          <t>Kyrkan</t>
        </is>
      </c>
      <c r="G71" t="n">
        <v>2.9</v>
      </c>
      <c r="H71" t="n">
        <v>0</v>
      </c>
      <c r="I71" t="n">
        <v>0</v>
      </c>
      <c r="J71" t="n">
        <v>1</v>
      </c>
      <c r="K71" t="n">
        <v>0</v>
      </c>
      <c r="L71" t="n">
        <v>0</v>
      </c>
      <c r="M71" t="n">
        <v>0</v>
      </c>
      <c r="N71" t="n">
        <v>0</v>
      </c>
      <c r="O71" t="n">
        <v>1</v>
      </c>
      <c r="P71" t="n">
        <v>0</v>
      </c>
      <c r="Q71" t="n">
        <v>1</v>
      </c>
      <c r="R71" s="2" t="inlineStr">
        <is>
          <t>Slåtterfibbla</t>
        </is>
      </c>
      <c r="S71">
        <f>HYPERLINK("https://klasma.github.io/Logging_0382/artfynd/A 38442-2022 artfynd.xlsx", "A 38442-2022")</f>
        <v/>
      </c>
      <c r="T71">
        <f>HYPERLINK("https://klasma.github.io/Logging_0382/kartor/A 38442-2022 karta.png", "A 38442-2022")</f>
        <v/>
      </c>
      <c r="V71">
        <f>HYPERLINK("https://klasma.github.io/Logging_0382/klagomål/A 38442-2022 FSC-klagomål.docx", "A 38442-2022")</f>
        <v/>
      </c>
      <c r="W71">
        <f>HYPERLINK("https://klasma.github.io/Logging_0382/klagomålsmail/A 38442-2022 FSC-klagomål mail.docx", "A 38442-2022")</f>
        <v/>
      </c>
      <c r="X71">
        <f>HYPERLINK("https://klasma.github.io/Logging_0382/tillsyn/A 38442-2022 tillsynsbegäran.docx", "A 38442-2022")</f>
        <v/>
      </c>
      <c r="Y71">
        <f>HYPERLINK("https://klasma.github.io/Logging_0382/tillsynsmail/A 38442-2022 tillsynsbegäran mail.docx", "A 38442-2022")</f>
        <v/>
      </c>
    </row>
    <row r="72" ht="15" customHeight="1">
      <c r="A72" t="inlineStr">
        <is>
          <t>A 61536-2021</t>
        </is>
      </c>
      <c r="B72" s="1" t="n">
        <v>44501</v>
      </c>
      <c r="C72" s="1" t="n">
        <v>46190</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49871-2021</t>
        </is>
      </c>
      <c r="B73" s="1" t="n">
        <v>44455</v>
      </c>
      <c r="C73" s="1" t="n">
        <v>46190</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29679-2023</t>
        </is>
      </c>
      <c r="B74" s="1" t="n">
        <v>45107</v>
      </c>
      <c r="C74" s="1" t="n">
        <v>46190</v>
      </c>
      <c r="D74" t="inlineStr">
        <is>
          <t>UPPSALA LÄN</t>
        </is>
      </c>
      <c r="E74" t="inlineStr">
        <is>
          <t>ÖSTHAMMAR</t>
        </is>
      </c>
      <c r="F74" t="inlineStr">
        <is>
          <t>Övriga Aktiebolag</t>
        </is>
      </c>
      <c r="G74" t="n">
        <v>7.3</v>
      </c>
      <c r="H74" t="n">
        <v>0</v>
      </c>
      <c r="I74" t="n">
        <v>0</v>
      </c>
      <c r="J74" t="n">
        <v>1</v>
      </c>
      <c r="K74" t="n">
        <v>0</v>
      </c>
      <c r="L74" t="n">
        <v>0</v>
      </c>
      <c r="M74" t="n">
        <v>0</v>
      </c>
      <c r="N74" t="n">
        <v>0</v>
      </c>
      <c r="O74" t="n">
        <v>1</v>
      </c>
      <c r="P74" t="n">
        <v>0</v>
      </c>
      <c r="Q74" t="n">
        <v>1</v>
      </c>
      <c r="R74" s="2" t="inlineStr">
        <is>
          <t>Vintertagging</t>
        </is>
      </c>
      <c r="S74">
        <f>HYPERLINK("https://klasma.github.io/Logging_0382/artfynd/A 29679-2023 artfynd.xlsx", "A 29679-2023")</f>
        <v/>
      </c>
      <c r="T74">
        <f>HYPERLINK("https://klasma.github.io/Logging_0382/kartor/A 29679-2023 karta.png", "A 29679-2023")</f>
        <v/>
      </c>
      <c r="V74">
        <f>HYPERLINK("https://klasma.github.io/Logging_0382/klagomål/A 29679-2023 FSC-klagomål.docx", "A 29679-2023")</f>
        <v/>
      </c>
      <c r="W74">
        <f>HYPERLINK("https://klasma.github.io/Logging_0382/klagomålsmail/A 29679-2023 FSC-klagomål mail.docx", "A 29679-2023")</f>
        <v/>
      </c>
      <c r="X74">
        <f>HYPERLINK("https://klasma.github.io/Logging_0382/tillsyn/A 29679-2023 tillsynsbegäran.docx", "A 29679-2023")</f>
        <v/>
      </c>
      <c r="Y74">
        <f>HYPERLINK("https://klasma.github.io/Logging_0382/tillsynsmail/A 29679-2023 tillsynsbegäran mail.docx", "A 29679-2023")</f>
        <v/>
      </c>
    </row>
    <row r="75" ht="15" customHeight="1">
      <c r="A75" t="inlineStr">
        <is>
          <t>A 46629-2024</t>
        </is>
      </c>
      <c r="B75" s="1" t="n">
        <v>45583.33221064815</v>
      </c>
      <c r="C75" s="1" t="n">
        <v>46190</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52651-2022</t>
        </is>
      </c>
      <c r="B76" s="1" t="n">
        <v>44874</v>
      </c>
      <c r="C76" s="1" t="n">
        <v>46190</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63615-2021</t>
        </is>
      </c>
      <c r="B77" s="1" t="n">
        <v>44509</v>
      </c>
      <c r="C77" s="1" t="n">
        <v>46190</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14203-2024</t>
        </is>
      </c>
      <c r="B78" s="1" t="n">
        <v>45393</v>
      </c>
      <c r="C78" s="1" t="n">
        <v>46190</v>
      </c>
      <c r="D78" t="inlineStr">
        <is>
          <t>UPPSALA LÄN</t>
        </is>
      </c>
      <c r="E78" t="inlineStr">
        <is>
          <t>ÖSTHAMMAR</t>
        </is>
      </c>
      <c r="G78" t="n">
        <v>1.4</v>
      </c>
      <c r="H78" t="n">
        <v>0</v>
      </c>
      <c r="I78" t="n">
        <v>0</v>
      </c>
      <c r="J78" t="n">
        <v>1</v>
      </c>
      <c r="K78" t="n">
        <v>0</v>
      </c>
      <c r="L78" t="n">
        <v>0</v>
      </c>
      <c r="M78" t="n">
        <v>0</v>
      </c>
      <c r="N78" t="n">
        <v>0</v>
      </c>
      <c r="O78" t="n">
        <v>1</v>
      </c>
      <c r="P78" t="n">
        <v>0</v>
      </c>
      <c r="Q78" t="n">
        <v>1</v>
      </c>
      <c r="R78" s="2" t="inlineStr">
        <is>
          <t>Scharlakansvaxing</t>
        </is>
      </c>
      <c r="S78">
        <f>HYPERLINK("https://klasma.github.io/Logging_0382/artfynd/A 14203-2024 artfynd.xlsx", "A 14203-2024")</f>
        <v/>
      </c>
      <c r="T78">
        <f>HYPERLINK("https://klasma.github.io/Logging_0382/kartor/A 14203-2024 karta.png", "A 14203-2024")</f>
        <v/>
      </c>
      <c r="V78">
        <f>HYPERLINK("https://klasma.github.io/Logging_0382/klagomål/A 14203-2024 FSC-klagomål.docx", "A 14203-2024")</f>
        <v/>
      </c>
      <c r="W78">
        <f>HYPERLINK("https://klasma.github.io/Logging_0382/klagomålsmail/A 14203-2024 FSC-klagomål mail.docx", "A 14203-2024")</f>
        <v/>
      </c>
      <c r="X78">
        <f>HYPERLINK("https://klasma.github.io/Logging_0382/tillsyn/A 14203-2024 tillsynsbegäran.docx", "A 14203-2024")</f>
        <v/>
      </c>
      <c r="Y78">
        <f>HYPERLINK("https://klasma.github.io/Logging_0382/tillsynsmail/A 14203-2024 tillsynsbegäran mail.docx", "A 14203-2024")</f>
        <v/>
      </c>
    </row>
    <row r="79" ht="15" customHeight="1">
      <c r="A79" t="inlineStr">
        <is>
          <t>A 7446-2022</t>
        </is>
      </c>
      <c r="B79" s="1" t="n">
        <v>44606</v>
      </c>
      <c r="C79" s="1" t="n">
        <v>46190</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7470-2022</t>
        </is>
      </c>
      <c r="B80" s="1" t="n">
        <v>44607</v>
      </c>
      <c r="C80" s="1" t="n">
        <v>46190</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22209-2022</t>
        </is>
      </c>
      <c r="B81" s="1" t="n">
        <v>44712</v>
      </c>
      <c r="C81" s="1" t="n">
        <v>46190</v>
      </c>
      <c r="D81" t="inlineStr">
        <is>
          <t>UPPSALA LÄN</t>
        </is>
      </c>
      <c r="E81" t="inlineStr">
        <is>
          <t>ÖSTHAMMAR</t>
        </is>
      </c>
      <c r="F81" t="inlineStr">
        <is>
          <t>Bergvik skog öst AB</t>
        </is>
      </c>
      <c r="G81" t="n">
        <v>1.5</v>
      </c>
      <c r="H81" t="n">
        <v>1</v>
      </c>
      <c r="I81" t="n">
        <v>0</v>
      </c>
      <c r="J81" t="n">
        <v>0</v>
      </c>
      <c r="K81" t="n">
        <v>0</v>
      </c>
      <c r="L81" t="n">
        <v>0</v>
      </c>
      <c r="M81" t="n">
        <v>0</v>
      </c>
      <c r="N81" t="n">
        <v>0</v>
      </c>
      <c r="O81" t="n">
        <v>0</v>
      </c>
      <c r="P81" t="n">
        <v>0</v>
      </c>
      <c r="Q81" t="n">
        <v>1</v>
      </c>
      <c r="R81" s="2" t="inlineStr">
        <is>
          <t>Blåsippa</t>
        </is>
      </c>
      <c r="S81">
        <f>HYPERLINK("https://klasma.github.io/Logging_0382/artfynd/A 22209-2022 artfynd.xlsx", "A 22209-2022")</f>
        <v/>
      </c>
      <c r="T81">
        <f>HYPERLINK("https://klasma.github.io/Logging_0382/kartor/A 22209-2022 karta.png", "A 22209-2022")</f>
        <v/>
      </c>
      <c r="V81">
        <f>HYPERLINK("https://klasma.github.io/Logging_0382/klagomål/A 22209-2022 FSC-klagomål.docx", "A 22209-2022")</f>
        <v/>
      </c>
      <c r="W81">
        <f>HYPERLINK("https://klasma.github.io/Logging_0382/klagomålsmail/A 22209-2022 FSC-klagomål mail.docx", "A 22209-2022")</f>
        <v/>
      </c>
      <c r="X81">
        <f>HYPERLINK("https://klasma.github.io/Logging_0382/tillsyn/A 22209-2022 tillsynsbegäran.docx", "A 22209-2022")</f>
        <v/>
      </c>
      <c r="Y81">
        <f>HYPERLINK("https://klasma.github.io/Logging_0382/tillsynsmail/A 22209-2022 tillsynsbegäran mail.docx", "A 22209-2022")</f>
        <v/>
      </c>
    </row>
    <row r="82" ht="15" customHeight="1">
      <c r="A82" t="inlineStr">
        <is>
          <t>A 12753-2024</t>
        </is>
      </c>
      <c r="B82" s="1" t="n">
        <v>45384</v>
      </c>
      <c r="C82" s="1" t="n">
        <v>46190</v>
      </c>
      <c r="D82" t="inlineStr">
        <is>
          <t>UPPSALA LÄN</t>
        </is>
      </c>
      <c r="E82" t="inlineStr">
        <is>
          <t>ÖSTHAMMAR</t>
        </is>
      </c>
      <c r="G82" t="n">
        <v>1.7</v>
      </c>
      <c r="H82" t="n">
        <v>0</v>
      </c>
      <c r="I82" t="n">
        <v>0</v>
      </c>
      <c r="J82" t="n">
        <v>1</v>
      </c>
      <c r="K82" t="n">
        <v>0</v>
      </c>
      <c r="L82" t="n">
        <v>0</v>
      </c>
      <c r="M82" t="n">
        <v>0</v>
      </c>
      <c r="N82" t="n">
        <v>0</v>
      </c>
      <c r="O82" t="n">
        <v>1</v>
      </c>
      <c r="P82" t="n">
        <v>0</v>
      </c>
      <c r="Q82" t="n">
        <v>1</v>
      </c>
      <c r="R82" s="2" t="inlineStr">
        <is>
          <t>Flattoppad klubbsvamp</t>
        </is>
      </c>
      <c r="S82">
        <f>HYPERLINK("https://klasma.github.io/Logging_0382/artfynd/A 12753-2024 artfynd.xlsx", "A 12753-2024")</f>
        <v/>
      </c>
      <c r="T82">
        <f>HYPERLINK("https://klasma.github.io/Logging_0382/kartor/A 12753-2024 karta.png", "A 12753-2024")</f>
        <v/>
      </c>
      <c r="V82">
        <f>HYPERLINK("https://klasma.github.io/Logging_0382/klagomål/A 12753-2024 FSC-klagomål.docx", "A 12753-2024")</f>
        <v/>
      </c>
      <c r="W82">
        <f>HYPERLINK("https://klasma.github.io/Logging_0382/klagomålsmail/A 12753-2024 FSC-klagomål mail.docx", "A 12753-2024")</f>
        <v/>
      </c>
      <c r="X82">
        <f>HYPERLINK("https://klasma.github.io/Logging_0382/tillsyn/A 12753-2024 tillsynsbegäran.docx", "A 12753-2024")</f>
        <v/>
      </c>
      <c r="Y82">
        <f>HYPERLINK("https://klasma.github.io/Logging_0382/tillsynsmail/A 12753-2024 tillsynsbegäran mail.docx", "A 12753-2024")</f>
        <v/>
      </c>
    </row>
    <row r="83" ht="15" customHeight="1">
      <c r="A83" t="inlineStr">
        <is>
          <t>A 24797-2022</t>
        </is>
      </c>
      <c r="B83" s="1" t="n">
        <v>44728</v>
      </c>
      <c r="C83" s="1" t="n">
        <v>46190</v>
      </c>
      <c r="D83" t="inlineStr">
        <is>
          <t>UPPSALA LÄN</t>
        </is>
      </c>
      <c r="E83" t="inlineStr">
        <is>
          <t>ÖSTHAMMAR</t>
        </is>
      </c>
      <c r="F83" t="inlineStr">
        <is>
          <t>Sveaskog</t>
        </is>
      </c>
      <c r="G83" t="n">
        <v>1.7</v>
      </c>
      <c r="H83" t="n">
        <v>1</v>
      </c>
      <c r="I83" t="n">
        <v>0</v>
      </c>
      <c r="J83" t="n">
        <v>1</v>
      </c>
      <c r="K83" t="n">
        <v>0</v>
      </c>
      <c r="L83" t="n">
        <v>0</v>
      </c>
      <c r="M83" t="n">
        <v>0</v>
      </c>
      <c r="N83" t="n">
        <v>0</v>
      </c>
      <c r="O83" t="n">
        <v>1</v>
      </c>
      <c r="P83" t="n">
        <v>0</v>
      </c>
      <c r="Q83" t="n">
        <v>1</v>
      </c>
      <c r="R83" s="2" t="inlineStr">
        <is>
          <t>Gulsparv</t>
        </is>
      </c>
      <c r="S83">
        <f>HYPERLINK("https://klasma.github.io/Logging_0382/artfynd/A 24797-2022 artfynd.xlsx", "A 24797-2022")</f>
        <v/>
      </c>
      <c r="T83">
        <f>HYPERLINK("https://klasma.github.io/Logging_0382/kartor/A 24797-2022 karta.png", "A 24797-2022")</f>
        <v/>
      </c>
      <c r="V83">
        <f>HYPERLINK("https://klasma.github.io/Logging_0382/klagomål/A 24797-2022 FSC-klagomål.docx", "A 24797-2022")</f>
        <v/>
      </c>
      <c r="W83">
        <f>HYPERLINK("https://klasma.github.io/Logging_0382/klagomålsmail/A 24797-2022 FSC-klagomål mail.docx", "A 24797-2022")</f>
        <v/>
      </c>
      <c r="X83">
        <f>HYPERLINK("https://klasma.github.io/Logging_0382/tillsyn/A 24797-2022 tillsynsbegäran.docx", "A 24797-2022")</f>
        <v/>
      </c>
      <c r="Y83">
        <f>HYPERLINK("https://klasma.github.io/Logging_0382/tillsynsmail/A 24797-2022 tillsynsbegäran mail.docx", "A 24797-2022")</f>
        <v/>
      </c>
      <c r="Z83">
        <f>HYPERLINK("https://klasma.github.io/Logging_0382/fåglar/A 24797-2022 prioriterade fågelarter.docx", "A 24797-2022")</f>
        <v/>
      </c>
    </row>
    <row r="84" ht="15" customHeight="1">
      <c r="A84" t="inlineStr">
        <is>
          <t>A 22287-2023</t>
        </is>
      </c>
      <c r="B84" s="1" t="n">
        <v>45070</v>
      </c>
      <c r="C84" s="1" t="n">
        <v>46190</v>
      </c>
      <c r="D84" t="inlineStr">
        <is>
          <t>UPPSALA LÄN</t>
        </is>
      </c>
      <c r="E84" t="inlineStr">
        <is>
          <t>ÖSTHAMMAR</t>
        </is>
      </c>
      <c r="G84" t="n">
        <v>6.3</v>
      </c>
      <c r="H84" t="n">
        <v>1</v>
      </c>
      <c r="I84" t="n">
        <v>1</v>
      </c>
      <c r="J84" t="n">
        <v>0</v>
      </c>
      <c r="K84" t="n">
        <v>0</v>
      </c>
      <c r="L84" t="n">
        <v>0</v>
      </c>
      <c r="M84" t="n">
        <v>0</v>
      </c>
      <c r="N84" t="n">
        <v>0</v>
      </c>
      <c r="O84" t="n">
        <v>0</v>
      </c>
      <c r="P84" t="n">
        <v>0</v>
      </c>
      <c r="Q84" t="n">
        <v>1</v>
      </c>
      <c r="R84" s="2" t="inlineStr">
        <is>
          <t>Guckusko</t>
        </is>
      </c>
      <c r="S84">
        <f>HYPERLINK("https://klasma.github.io/Logging_0382/artfynd/A 22287-2023 artfynd.xlsx", "A 22287-2023")</f>
        <v/>
      </c>
      <c r="T84">
        <f>HYPERLINK("https://klasma.github.io/Logging_0382/kartor/A 22287-2023 karta.png", "A 22287-2023")</f>
        <v/>
      </c>
      <c r="V84">
        <f>HYPERLINK("https://klasma.github.io/Logging_0382/klagomål/A 22287-2023 FSC-klagomål.docx", "A 22287-2023")</f>
        <v/>
      </c>
      <c r="W84">
        <f>HYPERLINK("https://klasma.github.io/Logging_0382/klagomålsmail/A 22287-2023 FSC-klagomål mail.docx", "A 22287-2023")</f>
        <v/>
      </c>
      <c r="X84">
        <f>HYPERLINK("https://klasma.github.io/Logging_0382/tillsyn/A 22287-2023 tillsynsbegäran.docx", "A 22287-2023")</f>
        <v/>
      </c>
      <c r="Y84">
        <f>HYPERLINK("https://klasma.github.io/Logging_0382/tillsynsmail/A 22287-2023 tillsynsbegäran mail.docx", "A 22287-2023")</f>
        <v/>
      </c>
    </row>
    <row r="85" ht="15" customHeight="1">
      <c r="A85" t="inlineStr">
        <is>
          <t>A 41220-2025</t>
        </is>
      </c>
      <c r="B85" s="1" t="n">
        <v>45898.58630787037</v>
      </c>
      <c r="C85" s="1" t="n">
        <v>46190</v>
      </c>
      <c r="D85" t="inlineStr">
        <is>
          <t>UPPSALA LÄN</t>
        </is>
      </c>
      <c r="E85" t="inlineStr">
        <is>
          <t>ÖSTHAMMAR</t>
        </is>
      </c>
      <c r="F85" t="inlineStr">
        <is>
          <t>Bergvik skog öst AB</t>
        </is>
      </c>
      <c r="G85" t="n">
        <v>2.5</v>
      </c>
      <c r="H85" t="n">
        <v>1</v>
      </c>
      <c r="I85" t="n">
        <v>0</v>
      </c>
      <c r="J85" t="n">
        <v>1</v>
      </c>
      <c r="K85" t="n">
        <v>0</v>
      </c>
      <c r="L85" t="n">
        <v>0</v>
      </c>
      <c r="M85" t="n">
        <v>0</v>
      </c>
      <c r="N85" t="n">
        <v>0</v>
      </c>
      <c r="O85" t="n">
        <v>1</v>
      </c>
      <c r="P85" t="n">
        <v>0</v>
      </c>
      <c r="Q85" t="n">
        <v>1</v>
      </c>
      <c r="R85" s="2" t="inlineStr">
        <is>
          <t>Spillkråka</t>
        </is>
      </c>
      <c r="S85">
        <f>HYPERLINK("https://klasma.github.io/Logging_0382/artfynd/A 41220-2025 artfynd.xlsx", "A 41220-2025")</f>
        <v/>
      </c>
      <c r="T85">
        <f>HYPERLINK("https://klasma.github.io/Logging_0382/kartor/A 41220-2025 karta.png", "A 41220-2025")</f>
        <v/>
      </c>
      <c r="V85">
        <f>HYPERLINK("https://klasma.github.io/Logging_0382/klagomål/A 41220-2025 FSC-klagomål.docx", "A 41220-2025")</f>
        <v/>
      </c>
      <c r="W85">
        <f>HYPERLINK("https://klasma.github.io/Logging_0382/klagomålsmail/A 41220-2025 FSC-klagomål mail.docx", "A 41220-2025")</f>
        <v/>
      </c>
      <c r="X85">
        <f>HYPERLINK("https://klasma.github.io/Logging_0382/tillsyn/A 41220-2025 tillsynsbegäran.docx", "A 41220-2025")</f>
        <v/>
      </c>
      <c r="Y85">
        <f>HYPERLINK("https://klasma.github.io/Logging_0382/tillsynsmail/A 41220-2025 tillsynsbegäran mail.docx", "A 41220-2025")</f>
        <v/>
      </c>
      <c r="Z85">
        <f>HYPERLINK("https://klasma.github.io/Logging_0382/fåglar/A 41220-2025 prioriterade fågelarter.docx", "A 41220-2025")</f>
        <v/>
      </c>
    </row>
    <row r="86" ht="15" customHeight="1">
      <c r="A86" t="inlineStr">
        <is>
          <t>A 25179-2023</t>
        </is>
      </c>
      <c r="B86" s="1" t="n">
        <v>45078</v>
      </c>
      <c r="C86" s="1" t="n">
        <v>46190</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33800-2024</t>
        </is>
      </c>
      <c r="B87" s="1" t="n">
        <v>45520</v>
      </c>
      <c r="C87" s="1" t="n">
        <v>46190</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14706-2023</t>
        </is>
      </c>
      <c r="B88" s="1" t="n">
        <v>45013</v>
      </c>
      <c r="C88" s="1" t="n">
        <v>46190</v>
      </c>
      <c r="D88" t="inlineStr">
        <is>
          <t>UPPSALA LÄN</t>
        </is>
      </c>
      <c r="E88" t="inlineStr">
        <is>
          <t>ÖSTHAMMAR</t>
        </is>
      </c>
      <c r="G88" t="n">
        <v>0.9</v>
      </c>
      <c r="H88" t="n">
        <v>0</v>
      </c>
      <c r="I88" t="n">
        <v>1</v>
      </c>
      <c r="J88" t="n">
        <v>0</v>
      </c>
      <c r="K88" t="n">
        <v>0</v>
      </c>
      <c r="L88" t="n">
        <v>0</v>
      </c>
      <c r="M88" t="n">
        <v>0</v>
      </c>
      <c r="N88" t="n">
        <v>0</v>
      </c>
      <c r="O88" t="n">
        <v>0</v>
      </c>
      <c r="P88" t="n">
        <v>0</v>
      </c>
      <c r="Q88" t="n">
        <v>1</v>
      </c>
      <c r="R88" s="2" t="inlineStr">
        <is>
          <t>Olivspindling</t>
        </is>
      </c>
      <c r="S88">
        <f>HYPERLINK("https://klasma.github.io/Logging_0382/artfynd/A 14706-2023 artfynd.xlsx", "A 14706-2023")</f>
        <v/>
      </c>
      <c r="T88">
        <f>HYPERLINK("https://klasma.github.io/Logging_0382/kartor/A 14706-2023 karta.png", "A 14706-2023")</f>
        <v/>
      </c>
      <c r="V88">
        <f>HYPERLINK("https://klasma.github.io/Logging_0382/klagomål/A 14706-2023 FSC-klagomål.docx", "A 14706-2023")</f>
        <v/>
      </c>
      <c r="W88">
        <f>HYPERLINK("https://klasma.github.io/Logging_0382/klagomålsmail/A 14706-2023 FSC-klagomål mail.docx", "A 14706-2023")</f>
        <v/>
      </c>
      <c r="X88">
        <f>HYPERLINK("https://klasma.github.io/Logging_0382/tillsyn/A 14706-2023 tillsynsbegäran.docx", "A 14706-2023")</f>
        <v/>
      </c>
      <c r="Y88">
        <f>HYPERLINK("https://klasma.github.io/Logging_0382/tillsynsmail/A 14706-2023 tillsynsbegäran mail.docx", "A 14706-2023")</f>
        <v/>
      </c>
    </row>
    <row r="89" ht="15" customHeight="1">
      <c r="A89" t="inlineStr">
        <is>
          <t>A 1227-2022</t>
        </is>
      </c>
      <c r="B89" s="1" t="n">
        <v>44572.57641203704</v>
      </c>
      <c r="C89" s="1" t="n">
        <v>46190</v>
      </c>
      <c r="D89" t="inlineStr">
        <is>
          <t>UPPSALA LÄN</t>
        </is>
      </c>
      <c r="E89" t="inlineStr">
        <is>
          <t>ÖSTHAMMAR</t>
        </is>
      </c>
      <c r="G89" t="n">
        <v>1.7</v>
      </c>
      <c r="H89" t="n">
        <v>0</v>
      </c>
      <c r="I89" t="n">
        <v>1</v>
      </c>
      <c r="J89" t="n">
        <v>0</v>
      </c>
      <c r="K89" t="n">
        <v>0</v>
      </c>
      <c r="L89" t="n">
        <v>0</v>
      </c>
      <c r="M89" t="n">
        <v>0</v>
      </c>
      <c r="N89" t="n">
        <v>0</v>
      </c>
      <c r="O89" t="n">
        <v>0</v>
      </c>
      <c r="P89" t="n">
        <v>0</v>
      </c>
      <c r="Q89" t="n">
        <v>1</v>
      </c>
      <c r="R89" s="2" t="inlineStr">
        <is>
          <t>Guldkremla</t>
        </is>
      </c>
      <c r="S89">
        <f>HYPERLINK("https://klasma.github.io/Logging_0382/artfynd/A 1227-2022 artfynd.xlsx", "A 1227-2022")</f>
        <v/>
      </c>
      <c r="T89">
        <f>HYPERLINK("https://klasma.github.io/Logging_0382/kartor/A 1227-2022 karta.png", "A 1227-2022")</f>
        <v/>
      </c>
      <c r="V89">
        <f>HYPERLINK("https://klasma.github.io/Logging_0382/klagomål/A 1227-2022 FSC-klagomål.docx", "A 1227-2022")</f>
        <v/>
      </c>
      <c r="W89">
        <f>HYPERLINK("https://klasma.github.io/Logging_0382/klagomålsmail/A 1227-2022 FSC-klagomål mail.docx", "A 1227-2022")</f>
        <v/>
      </c>
      <c r="X89">
        <f>HYPERLINK("https://klasma.github.io/Logging_0382/tillsyn/A 1227-2022 tillsynsbegäran.docx", "A 1227-2022")</f>
        <v/>
      </c>
      <c r="Y89">
        <f>HYPERLINK("https://klasma.github.io/Logging_0382/tillsynsmail/A 1227-2022 tillsynsbegäran mail.docx", "A 1227-2022")</f>
        <v/>
      </c>
    </row>
    <row r="90" ht="15" customHeight="1">
      <c r="A90" t="inlineStr">
        <is>
          <t>A 34090-2023</t>
        </is>
      </c>
      <c r="B90" s="1" t="n">
        <v>45135</v>
      </c>
      <c r="C90" s="1" t="n">
        <v>46190</v>
      </c>
      <c r="D90" t="inlineStr">
        <is>
          <t>UPPSALA LÄN</t>
        </is>
      </c>
      <c r="E90" t="inlineStr">
        <is>
          <t>ÖSTHAMMAR</t>
        </is>
      </c>
      <c r="F90" t="inlineStr">
        <is>
          <t>Bergvik skog öst AB</t>
        </is>
      </c>
      <c r="G90" t="n">
        <v>5.7</v>
      </c>
      <c r="H90" t="n">
        <v>1</v>
      </c>
      <c r="I90" t="n">
        <v>0</v>
      </c>
      <c r="J90" t="n">
        <v>1</v>
      </c>
      <c r="K90" t="n">
        <v>0</v>
      </c>
      <c r="L90" t="n">
        <v>0</v>
      </c>
      <c r="M90" t="n">
        <v>0</v>
      </c>
      <c r="N90" t="n">
        <v>0</v>
      </c>
      <c r="O90" t="n">
        <v>1</v>
      </c>
      <c r="P90" t="n">
        <v>0</v>
      </c>
      <c r="Q90" t="n">
        <v>1</v>
      </c>
      <c r="R90" s="2" t="inlineStr">
        <is>
          <t>Spillkråka</t>
        </is>
      </c>
      <c r="S90">
        <f>HYPERLINK("https://klasma.github.io/Logging_0382/artfynd/A 34090-2023 artfynd.xlsx", "A 34090-2023")</f>
        <v/>
      </c>
      <c r="T90">
        <f>HYPERLINK("https://klasma.github.io/Logging_0382/kartor/A 34090-2023 karta.png", "A 34090-2023")</f>
        <v/>
      </c>
      <c r="V90">
        <f>HYPERLINK("https://klasma.github.io/Logging_0382/klagomål/A 34090-2023 FSC-klagomål.docx", "A 34090-2023")</f>
        <v/>
      </c>
      <c r="W90">
        <f>HYPERLINK("https://klasma.github.io/Logging_0382/klagomålsmail/A 34090-2023 FSC-klagomål mail.docx", "A 34090-2023")</f>
        <v/>
      </c>
      <c r="X90">
        <f>HYPERLINK("https://klasma.github.io/Logging_0382/tillsyn/A 34090-2023 tillsynsbegäran.docx", "A 34090-2023")</f>
        <v/>
      </c>
      <c r="Y90">
        <f>HYPERLINK("https://klasma.github.io/Logging_0382/tillsynsmail/A 34090-2023 tillsynsbegäran mail.docx", "A 34090-2023")</f>
        <v/>
      </c>
      <c r="Z90">
        <f>HYPERLINK("https://klasma.github.io/Logging_0382/fåglar/A 34090-2023 prioriterade fågelarter.docx", "A 34090-2023")</f>
        <v/>
      </c>
    </row>
    <row r="91" ht="15" customHeight="1">
      <c r="A91" t="inlineStr">
        <is>
          <t>A 11017-2023</t>
        </is>
      </c>
      <c r="B91" s="1" t="n">
        <v>44991</v>
      </c>
      <c r="C91" s="1" t="n">
        <v>46190</v>
      </c>
      <c r="D91" t="inlineStr">
        <is>
          <t>UPPSALA LÄN</t>
        </is>
      </c>
      <c r="E91" t="inlineStr">
        <is>
          <t>ÖSTHAMMAR</t>
        </is>
      </c>
      <c r="G91" t="n">
        <v>1.9</v>
      </c>
      <c r="H91" t="n">
        <v>1</v>
      </c>
      <c r="I91" t="n">
        <v>0</v>
      </c>
      <c r="J91" t="n">
        <v>1</v>
      </c>
      <c r="K91" t="n">
        <v>0</v>
      </c>
      <c r="L91" t="n">
        <v>0</v>
      </c>
      <c r="M91" t="n">
        <v>0</v>
      </c>
      <c r="N91" t="n">
        <v>0</v>
      </c>
      <c r="O91" t="n">
        <v>1</v>
      </c>
      <c r="P91" t="n">
        <v>0</v>
      </c>
      <c r="Q91" t="n">
        <v>1</v>
      </c>
      <c r="R91" s="2" t="inlineStr">
        <is>
          <t>Kornknarr</t>
        </is>
      </c>
      <c r="S91">
        <f>HYPERLINK("https://klasma.github.io/Logging_0382/artfynd/A 11017-2023 artfynd.xlsx", "A 11017-2023")</f>
        <v/>
      </c>
      <c r="T91">
        <f>HYPERLINK("https://klasma.github.io/Logging_0382/kartor/A 11017-2023 karta.png", "A 11017-2023")</f>
        <v/>
      </c>
      <c r="V91">
        <f>HYPERLINK("https://klasma.github.io/Logging_0382/klagomål/A 11017-2023 FSC-klagomål.docx", "A 11017-2023")</f>
        <v/>
      </c>
      <c r="W91">
        <f>HYPERLINK("https://klasma.github.io/Logging_0382/klagomålsmail/A 11017-2023 FSC-klagomål mail.docx", "A 11017-2023")</f>
        <v/>
      </c>
      <c r="X91">
        <f>HYPERLINK("https://klasma.github.io/Logging_0382/tillsyn/A 11017-2023 tillsynsbegäran.docx", "A 11017-2023")</f>
        <v/>
      </c>
      <c r="Y91">
        <f>HYPERLINK("https://klasma.github.io/Logging_0382/tillsynsmail/A 11017-2023 tillsynsbegäran mail.docx", "A 11017-2023")</f>
        <v/>
      </c>
    </row>
    <row r="92" ht="15" customHeight="1">
      <c r="A92" t="inlineStr">
        <is>
          <t>A 52818-2022</t>
        </is>
      </c>
      <c r="B92" s="1" t="n">
        <v>44875</v>
      </c>
      <c r="C92" s="1" t="n">
        <v>46190</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37296-2023</t>
        </is>
      </c>
      <c r="B93" s="1" t="n">
        <v>45156</v>
      </c>
      <c r="C93" s="1" t="n">
        <v>46190</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4714-2026</t>
        </is>
      </c>
      <c r="B94" s="1" t="n">
        <v>46048.46175925926</v>
      </c>
      <c r="C94" s="1" t="n">
        <v>46190</v>
      </c>
      <c r="D94" t="inlineStr">
        <is>
          <t>UPPSALA LÄN</t>
        </is>
      </c>
      <c r="E94" t="inlineStr">
        <is>
          <t>ÖSTHAMMAR</t>
        </is>
      </c>
      <c r="G94" t="n">
        <v>6.3</v>
      </c>
      <c r="H94" t="n">
        <v>1</v>
      </c>
      <c r="I94" t="n">
        <v>0</v>
      </c>
      <c r="J94" t="n">
        <v>1</v>
      </c>
      <c r="K94" t="n">
        <v>0</v>
      </c>
      <c r="L94" t="n">
        <v>0</v>
      </c>
      <c r="M94" t="n">
        <v>0</v>
      </c>
      <c r="N94" t="n">
        <v>0</v>
      </c>
      <c r="O94" t="n">
        <v>1</v>
      </c>
      <c r="P94" t="n">
        <v>0</v>
      </c>
      <c r="Q94" t="n">
        <v>1</v>
      </c>
      <c r="R94" s="2" t="inlineStr">
        <is>
          <t>Nordfladdermus</t>
        </is>
      </c>
      <c r="S94">
        <f>HYPERLINK("https://klasma.github.io/Logging_0382/artfynd/A 4714-2026 artfynd.xlsx", "A 4714-2026")</f>
        <v/>
      </c>
      <c r="T94">
        <f>HYPERLINK("https://klasma.github.io/Logging_0382/kartor/A 4714-2026 karta.png", "A 4714-2026")</f>
        <v/>
      </c>
      <c r="V94">
        <f>HYPERLINK("https://klasma.github.io/Logging_0382/klagomål/A 4714-2026 FSC-klagomål.docx", "A 4714-2026")</f>
        <v/>
      </c>
      <c r="W94">
        <f>HYPERLINK("https://klasma.github.io/Logging_0382/klagomålsmail/A 4714-2026 FSC-klagomål mail.docx", "A 4714-2026")</f>
        <v/>
      </c>
      <c r="X94">
        <f>HYPERLINK("https://klasma.github.io/Logging_0382/tillsyn/A 4714-2026 tillsynsbegäran.docx", "A 4714-2026")</f>
        <v/>
      </c>
      <c r="Y94">
        <f>HYPERLINK("https://klasma.github.io/Logging_0382/tillsynsmail/A 4714-2026 tillsynsbegäran mail.docx", "A 4714-2026")</f>
        <v/>
      </c>
    </row>
    <row r="95" ht="15" customHeight="1">
      <c r="A95" t="inlineStr">
        <is>
          <t>A 6507-2026</t>
        </is>
      </c>
      <c r="B95" s="1" t="n">
        <v>46056.38474537037</v>
      </c>
      <c r="C95" s="1" t="n">
        <v>46190</v>
      </c>
      <c r="D95" t="inlineStr">
        <is>
          <t>UPPSALA LÄN</t>
        </is>
      </c>
      <c r="E95" t="inlineStr">
        <is>
          <t>ÖSTHAMMAR</t>
        </is>
      </c>
      <c r="F95" t="inlineStr">
        <is>
          <t>Bergvik skog öst AB</t>
        </is>
      </c>
      <c r="G95" t="n">
        <v>1.5</v>
      </c>
      <c r="H95" t="n">
        <v>0</v>
      </c>
      <c r="I95" t="n">
        <v>1</v>
      </c>
      <c r="J95" t="n">
        <v>0</v>
      </c>
      <c r="K95" t="n">
        <v>0</v>
      </c>
      <c r="L95" t="n">
        <v>0</v>
      </c>
      <c r="M95" t="n">
        <v>0</v>
      </c>
      <c r="N95" t="n">
        <v>0</v>
      </c>
      <c r="O95" t="n">
        <v>0</v>
      </c>
      <c r="P95" t="n">
        <v>0</v>
      </c>
      <c r="Q95" t="n">
        <v>1</v>
      </c>
      <c r="R95" s="2" t="inlineStr">
        <is>
          <t>Tibast</t>
        </is>
      </c>
      <c r="S95">
        <f>HYPERLINK("https://klasma.github.io/Logging_0382/artfynd/A 6507-2026 artfynd.xlsx", "A 6507-2026")</f>
        <v/>
      </c>
      <c r="T95">
        <f>HYPERLINK("https://klasma.github.io/Logging_0382/kartor/A 6507-2026 karta.png", "A 6507-2026")</f>
        <v/>
      </c>
      <c r="V95">
        <f>HYPERLINK("https://klasma.github.io/Logging_0382/klagomål/A 6507-2026 FSC-klagomål.docx", "A 6507-2026")</f>
        <v/>
      </c>
      <c r="W95">
        <f>HYPERLINK("https://klasma.github.io/Logging_0382/klagomålsmail/A 6507-2026 FSC-klagomål mail.docx", "A 6507-2026")</f>
        <v/>
      </c>
      <c r="X95">
        <f>HYPERLINK("https://klasma.github.io/Logging_0382/tillsyn/A 6507-2026 tillsynsbegäran.docx", "A 6507-2026")</f>
        <v/>
      </c>
      <c r="Y95">
        <f>HYPERLINK("https://klasma.github.io/Logging_0382/tillsynsmail/A 6507-2026 tillsynsbegäran mail.docx", "A 6507-2026")</f>
        <v/>
      </c>
    </row>
    <row r="96" ht="15" customHeight="1">
      <c r="A96" t="inlineStr">
        <is>
          <t>A 65989-2021</t>
        </is>
      </c>
      <c r="B96" s="1" t="n">
        <v>44517</v>
      </c>
      <c r="C96" s="1" t="n">
        <v>46190</v>
      </c>
      <c r="D96" t="inlineStr">
        <is>
          <t>UPPSALA LÄN</t>
        </is>
      </c>
      <c r="E96" t="inlineStr">
        <is>
          <t>ÖSTHAMMAR</t>
        </is>
      </c>
      <c r="G96" t="n">
        <v>6.9</v>
      </c>
      <c r="H96" t="n">
        <v>1</v>
      </c>
      <c r="I96" t="n">
        <v>1</v>
      </c>
      <c r="J96" t="n">
        <v>0</v>
      </c>
      <c r="K96" t="n">
        <v>0</v>
      </c>
      <c r="L96" t="n">
        <v>0</v>
      </c>
      <c r="M96" t="n">
        <v>0</v>
      </c>
      <c r="N96" t="n">
        <v>0</v>
      </c>
      <c r="O96" t="n">
        <v>0</v>
      </c>
      <c r="P96" t="n">
        <v>0</v>
      </c>
      <c r="Q96" t="n">
        <v>1</v>
      </c>
      <c r="R96" s="2" t="inlineStr">
        <is>
          <t>Skogsknipprot</t>
        </is>
      </c>
      <c r="S96">
        <f>HYPERLINK("https://klasma.github.io/Logging_0382/artfynd/A 65989-2021 artfynd.xlsx", "A 65989-2021")</f>
        <v/>
      </c>
      <c r="T96">
        <f>HYPERLINK("https://klasma.github.io/Logging_0382/kartor/A 65989-2021 karta.png", "A 65989-2021")</f>
        <v/>
      </c>
      <c r="V96">
        <f>HYPERLINK("https://klasma.github.io/Logging_0382/klagomål/A 65989-2021 FSC-klagomål.docx", "A 65989-2021")</f>
        <v/>
      </c>
      <c r="W96">
        <f>HYPERLINK("https://klasma.github.io/Logging_0382/klagomålsmail/A 65989-2021 FSC-klagomål mail.docx", "A 65989-2021")</f>
        <v/>
      </c>
      <c r="X96">
        <f>HYPERLINK("https://klasma.github.io/Logging_0382/tillsyn/A 65989-2021 tillsynsbegäran.docx", "A 65989-2021")</f>
        <v/>
      </c>
      <c r="Y96">
        <f>HYPERLINK("https://klasma.github.io/Logging_0382/tillsynsmail/A 65989-2021 tillsynsbegäran mail.docx", "A 65989-2021")</f>
        <v/>
      </c>
    </row>
    <row r="97" ht="15" customHeight="1">
      <c r="A97" t="inlineStr">
        <is>
          <t>A 15258-2026</t>
        </is>
      </c>
      <c r="B97" s="1" t="n">
        <v>46105.58886574074</v>
      </c>
      <c r="C97" s="1" t="n">
        <v>46190</v>
      </c>
      <c r="D97" t="inlineStr">
        <is>
          <t>UPPSALA LÄN</t>
        </is>
      </c>
      <c r="E97" t="inlineStr">
        <is>
          <t>ÖSTHAMMAR</t>
        </is>
      </c>
      <c r="F97" t="inlineStr">
        <is>
          <t>Övriga Aktiebolag</t>
        </is>
      </c>
      <c r="G97" t="n">
        <v>3.4</v>
      </c>
      <c r="H97" t="n">
        <v>0</v>
      </c>
      <c r="I97" t="n">
        <v>0</v>
      </c>
      <c r="J97" t="n">
        <v>1</v>
      </c>
      <c r="K97" t="n">
        <v>0</v>
      </c>
      <c r="L97" t="n">
        <v>0</v>
      </c>
      <c r="M97" t="n">
        <v>0</v>
      </c>
      <c r="N97" t="n">
        <v>0</v>
      </c>
      <c r="O97" t="n">
        <v>1</v>
      </c>
      <c r="P97" t="n">
        <v>0</v>
      </c>
      <c r="Q97" t="n">
        <v>1</v>
      </c>
      <c r="R97" s="2" t="inlineStr">
        <is>
          <t>Slåtterfibbla</t>
        </is>
      </c>
      <c r="S97">
        <f>HYPERLINK("https://klasma.github.io/Logging_0382/artfynd/A 15258-2026 artfynd.xlsx", "A 15258-2026")</f>
        <v/>
      </c>
      <c r="T97">
        <f>HYPERLINK("https://klasma.github.io/Logging_0382/kartor/A 15258-2026 karta.png", "A 15258-2026")</f>
        <v/>
      </c>
      <c r="V97">
        <f>HYPERLINK("https://klasma.github.io/Logging_0382/klagomål/A 15258-2026 FSC-klagomål.docx", "A 15258-2026")</f>
        <v/>
      </c>
      <c r="W97">
        <f>HYPERLINK("https://klasma.github.io/Logging_0382/klagomålsmail/A 15258-2026 FSC-klagomål mail.docx", "A 15258-2026")</f>
        <v/>
      </c>
      <c r="X97">
        <f>HYPERLINK("https://klasma.github.io/Logging_0382/tillsyn/A 15258-2026 tillsynsbegäran.docx", "A 15258-2026")</f>
        <v/>
      </c>
      <c r="Y97">
        <f>HYPERLINK("https://klasma.github.io/Logging_0382/tillsynsmail/A 15258-2026 tillsynsbegäran mail.docx", "A 15258-2026")</f>
        <v/>
      </c>
    </row>
    <row r="98" ht="15" customHeight="1">
      <c r="A98" t="inlineStr">
        <is>
          <t>A 15248-2026</t>
        </is>
      </c>
      <c r="B98" s="1" t="n">
        <v>46105.57002314815</v>
      </c>
      <c r="C98" s="1" t="n">
        <v>46190</v>
      </c>
      <c r="D98" t="inlineStr">
        <is>
          <t>UPPSALA LÄN</t>
        </is>
      </c>
      <c r="E98" t="inlineStr">
        <is>
          <t>ÖSTHAMMAR</t>
        </is>
      </c>
      <c r="F98" t="inlineStr">
        <is>
          <t>Övriga Aktiebolag</t>
        </is>
      </c>
      <c r="G98" t="n">
        <v>3.1</v>
      </c>
      <c r="H98" t="n">
        <v>1</v>
      </c>
      <c r="I98" t="n">
        <v>0</v>
      </c>
      <c r="J98" t="n">
        <v>0</v>
      </c>
      <c r="K98" t="n">
        <v>1</v>
      </c>
      <c r="L98" t="n">
        <v>0</v>
      </c>
      <c r="M98" t="n">
        <v>0</v>
      </c>
      <c r="N98" t="n">
        <v>0</v>
      </c>
      <c r="O98" t="n">
        <v>1</v>
      </c>
      <c r="P98" t="n">
        <v>1</v>
      </c>
      <c r="Q98" t="n">
        <v>1</v>
      </c>
      <c r="R98" s="2" t="inlineStr">
        <is>
          <t>Hällebräcka</t>
        </is>
      </c>
      <c r="S98">
        <f>HYPERLINK("https://klasma.github.io/Logging_0382/artfynd/A 15248-2026 artfynd.xlsx", "A 15248-2026")</f>
        <v/>
      </c>
      <c r="T98">
        <f>HYPERLINK("https://klasma.github.io/Logging_0382/kartor/A 15248-2026 karta.png", "A 15248-2026")</f>
        <v/>
      </c>
      <c r="V98">
        <f>HYPERLINK("https://klasma.github.io/Logging_0382/klagomål/A 15248-2026 FSC-klagomål.docx", "A 15248-2026")</f>
        <v/>
      </c>
      <c r="W98">
        <f>HYPERLINK("https://klasma.github.io/Logging_0382/klagomålsmail/A 15248-2026 FSC-klagomål mail.docx", "A 15248-2026")</f>
        <v/>
      </c>
      <c r="X98">
        <f>HYPERLINK("https://klasma.github.io/Logging_0382/tillsyn/A 15248-2026 tillsynsbegäran.docx", "A 15248-2026")</f>
        <v/>
      </c>
      <c r="Y98">
        <f>HYPERLINK("https://klasma.github.io/Logging_0382/tillsynsmail/A 15248-2026 tillsynsbegäran mail.docx", "A 15248-2026")</f>
        <v/>
      </c>
    </row>
    <row r="99" ht="15" customHeight="1">
      <c r="A99" t="inlineStr">
        <is>
          <t>A 22375-2024</t>
        </is>
      </c>
      <c r="B99" s="1" t="n">
        <v>45446</v>
      </c>
      <c r="C99" s="1" t="n">
        <v>46190</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70495-2021</t>
        </is>
      </c>
      <c r="B100" s="1" t="n">
        <v>44536</v>
      </c>
      <c r="C100" s="1" t="n">
        <v>46190</v>
      </c>
      <c r="D100" t="inlineStr">
        <is>
          <t>UPPSALA LÄN</t>
        </is>
      </c>
      <c r="E100" t="inlineStr">
        <is>
          <t>ÖSTHAMMAR</t>
        </is>
      </c>
      <c r="G100" t="n">
        <v>1</v>
      </c>
      <c r="H100" t="n">
        <v>1</v>
      </c>
      <c r="I100" t="n">
        <v>0</v>
      </c>
      <c r="J100" t="n">
        <v>1</v>
      </c>
      <c r="K100" t="n">
        <v>0</v>
      </c>
      <c r="L100" t="n">
        <v>0</v>
      </c>
      <c r="M100" t="n">
        <v>0</v>
      </c>
      <c r="N100" t="n">
        <v>0</v>
      </c>
      <c r="O100" t="n">
        <v>1</v>
      </c>
      <c r="P100" t="n">
        <v>0</v>
      </c>
      <c r="Q100" t="n">
        <v>1</v>
      </c>
      <c r="R100" s="2" t="inlineStr">
        <is>
          <t>Slaguggla</t>
        </is>
      </c>
      <c r="S100">
        <f>HYPERLINK("https://klasma.github.io/Logging_0382/artfynd/A 70495-2021 artfynd.xlsx", "A 70495-2021")</f>
        <v/>
      </c>
      <c r="T100">
        <f>HYPERLINK("https://klasma.github.io/Logging_0382/kartor/A 70495-2021 karta.png", "A 70495-2021")</f>
        <v/>
      </c>
      <c r="V100">
        <f>HYPERLINK("https://klasma.github.io/Logging_0382/klagomål/A 70495-2021 FSC-klagomål.docx", "A 70495-2021")</f>
        <v/>
      </c>
      <c r="W100">
        <f>HYPERLINK("https://klasma.github.io/Logging_0382/klagomålsmail/A 70495-2021 FSC-klagomål mail.docx", "A 70495-2021")</f>
        <v/>
      </c>
      <c r="X100">
        <f>HYPERLINK("https://klasma.github.io/Logging_0382/tillsyn/A 70495-2021 tillsynsbegäran.docx", "A 70495-2021")</f>
        <v/>
      </c>
      <c r="Y100">
        <f>HYPERLINK("https://klasma.github.io/Logging_0382/tillsynsmail/A 70495-2021 tillsynsbegäran mail.docx", "A 70495-2021")</f>
        <v/>
      </c>
      <c r="Z100">
        <f>HYPERLINK("https://klasma.github.io/Logging_0382/fåglar/A 70495-2021 prioriterade fågelarter.docx", "A 70495-2021")</f>
        <v/>
      </c>
    </row>
    <row r="101" ht="15" customHeight="1">
      <c r="A101" t="inlineStr">
        <is>
          <t>A 30605-2025</t>
        </is>
      </c>
      <c r="B101" s="1" t="n">
        <v>45831.45510416666</v>
      </c>
      <c r="C101" s="1" t="n">
        <v>46190</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10034-2023</t>
        </is>
      </c>
      <c r="B102" s="1" t="n">
        <v>44985</v>
      </c>
      <c r="C102" s="1" t="n">
        <v>46190</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20396-2026</t>
        </is>
      </c>
      <c r="B103" s="1" t="n">
        <v>46139.75104166667</v>
      </c>
      <c r="C103" s="1" t="n">
        <v>46190</v>
      </c>
      <c r="D103" t="inlineStr">
        <is>
          <t>UPPSALA LÄN</t>
        </is>
      </c>
      <c r="E103" t="inlineStr">
        <is>
          <t>ÖSTHAMMAR</t>
        </is>
      </c>
      <c r="G103" t="n">
        <v>1.4</v>
      </c>
      <c r="H103" t="n">
        <v>1</v>
      </c>
      <c r="I103" t="n">
        <v>0</v>
      </c>
      <c r="J103" t="n">
        <v>0</v>
      </c>
      <c r="K103" t="n">
        <v>0</v>
      </c>
      <c r="L103" t="n">
        <v>0</v>
      </c>
      <c r="M103" t="n">
        <v>0</v>
      </c>
      <c r="N103" t="n">
        <v>0</v>
      </c>
      <c r="O103" t="n">
        <v>0</v>
      </c>
      <c r="P103" t="n">
        <v>0</v>
      </c>
      <c r="Q103" t="n">
        <v>1</v>
      </c>
      <c r="R103" s="2" t="inlineStr">
        <is>
          <t>Bivråk</t>
        </is>
      </c>
      <c r="S103">
        <f>HYPERLINK("https://klasma.github.io/Logging_0382/artfynd/A 20396-2026 artfynd.xlsx", "A 20396-2026")</f>
        <v/>
      </c>
      <c r="T103">
        <f>HYPERLINK("https://klasma.github.io/Logging_0382/kartor/A 20396-2026 karta.png", "A 20396-2026")</f>
        <v/>
      </c>
      <c r="V103">
        <f>HYPERLINK("https://klasma.github.io/Logging_0382/klagomål/A 20396-2026 FSC-klagomål.docx", "A 20396-2026")</f>
        <v/>
      </c>
      <c r="W103">
        <f>HYPERLINK("https://klasma.github.io/Logging_0382/klagomålsmail/A 20396-2026 FSC-klagomål mail.docx", "A 20396-2026")</f>
        <v/>
      </c>
      <c r="X103">
        <f>HYPERLINK("https://klasma.github.io/Logging_0382/tillsyn/A 20396-2026 tillsynsbegäran.docx", "A 20396-2026")</f>
        <v/>
      </c>
      <c r="Y103">
        <f>HYPERLINK("https://klasma.github.io/Logging_0382/tillsynsmail/A 20396-2026 tillsynsbegäran mail.docx", "A 20396-2026")</f>
        <v/>
      </c>
      <c r="Z103">
        <f>HYPERLINK("https://klasma.github.io/Logging_0382/fåglar/A 20396-2026 prioriterade fågelarter.docx", "A 20396-2026")</f>
        <v/>
      </c>
    </row>
    <row r="104" ht="15" customHeight="1">
      <c r="A104" t="inlineStr">
        <is>
          <t>A 61574-2025</t>
        </is>
      </c>
      <c r="B104" s="1" t="n">
        <v>46002</v>
      </c>
      <c r="C104" s="1" t="n">
        <v>46190</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26552-2026</t>
        </is>
      </c>
      <c r="B105" s="1" t="n">
        <v>46183.63505787037</v>
      </c>
      <c r="C105" s="1" t="n">
        <v>46190</v>
      </c>
      <c r="D105" t="inlineStr">
        <is>
          <t>UPPSALA LÄN</t>
        </is>
      </c>
      <c r="E105" t="inlineStr">
        <is>
          <t>ÖSTHAMMAR</t>
        </is>
      </c>
      <c r="F105" t="inlineStr">
        <is>
          <t>Sveaskog</t>
        </is>
      </c>
      <c r="G105" t="n">
        <v>3.2</v>
      </c>
      <c r="H105" t="n">
        <v>0</v>
      </c>
      <c r="I105" t="n">
        <v>1</v>
      </c>
      <c r="J105" t="n">
        <v>0</v>
      </c>
      <c r="K105" t="n">
        <v>0</v>
      </c>
      <c r="L105" t="n">
        <v>0</v>
      </c>
      <c r="M105" t="n">
        <v>0</v>
      </c>
      <c r="N105" t="n">
        <v>0</v>
      </c>
      <c r="O105" t="n">
        <v>0</v>
      </c>
      <c r="P105" t="n">
        <v>0</v>
      </c>
      <c r="Q105" t="n">
        <v>1</v>
      </c>
      <c r="R105" s="2" t="inlineStr">
        <is>
          <t>Tibast</t>
        </is>
      </c>
      <c r="S105">
        <f>HYPERLINK("https://klasma.github.io/Logging_0382/artfynd/A 26552-2026 artfynd.xlsx", "A 26552-2026")</f>
        <v/>
      </c>
      <c r="T105">
        <f>HYPERLINK("https://klasma.github.io/Logging_0382/kartor/A 26552-2026 karta.png", "A 26552-2026")</f>
        <v/>
      </c>
      <c r="V105">
        <f>HYPERLINK("https://klasma.github.io/Logging_0382/klagomål/A 26552-2026 FSC-klagomål.docx", "A 26552-2026")</f>
        <v/>
      </c>
      <c r="W105">
        <f>HYPERLINK("https://klasma.github.io/Logging_0382/klagomålsmail/A 26552-2026 FSC-klagomål mail.docx", "A 26552-2026")</f>
        <v/>
      </c>
      <c r="X105">
        <f>HYPERLINK("https://klasma.github.io/Logging_0382/tillsyn/A 26552-2026 tillsynsbegäran.docx", "A 26552-2026")</f>
        <v/>
      </c>
      <c r="Y105">
        <f>HYPERLINK("https://klasma.github.io/Logging_0382/tillsynsmail/A 26552-2026 tillsynsbegäran mail.docx", "A 26552-2026")</f>
        <v/>
      </c>
    </row>
    <row r="106" ht="15" customHeight="1">
      <c r="A106" t="inlineStr">
        <is>
          <t>A 73983-2021</t>
        </is>
      </c>
      <c r="B106" s="1" t="n">
        <v>44555.80506944445</v>
      </c>
      <c r="C106" s="1" t="n">
        <v>46190</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46190</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46190</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8775-2022</t>
        </is>
      </c>
      <c r="B109" s="1" t="n">
        <v>44614</v>
      </c>
      <c r="C109" s="1" t="n">
        <v>46190</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46190</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46190</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61555-2021</t>
        </is>
      </c>
      <c r="B112" s="1" t="n">
        <v>44501.4250462963</v>
      </c>
      <c r="C112" s="1" t="n">
        <v>46190</v>
      </c>
      <c r="D112" t="inlineStr">
        <is>
          <t>UPPSALA LÄN</t>
        </is>
      </c>
      <c r="E112" t="inlineStr">
        <is>
          <t>ÖSTHAMMAR</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46190</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46190</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46190</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46190</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14271-2022</t>
        </is>
      </c>
      <c r="B117" s="1" t="n">
        <v>44651.88756944444</v>
      </c>
      <c r="C117" s="1" t="n">
        <v>46190</v>
      </c>
      <c r="D117" t="inlineStr">
        <is>
          <t>UPPSALA LÄN</t>
        </is>
      </c>
      <c r="E117" t="inlineStr">
        <is>
          <t>ÖSTHAMMAR</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46190</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46190</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46190</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46190</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46190</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46190</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46190</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46190</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46190</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46190</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46190</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46190</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10294-2022</t>
        </is>
      </c>
      <c r="B130" s="1" t="n">
        <v>44622</v>
      </c>
      <c r="C130" s="1" t="n">
        <v>46190</v>
      </c>
      <c r="D130" t="inlineStr">
        <is>
          <t>UPPSALA LÄN</t>
        </is>
      </c>
      <c r="E130" t="inlineStr">
        <is>
          <t>ÖSTHAMMAR</t>
        </is>
      </c>
      <c r="F130" t="inlineStr">
        <is>
          <t>Bergvik skog öst AB</t>
        </is>
      </c>
      <c r="G130" t="n">
        <v>1</v>
      </c>
      <c r="H130" t="n">
        <v>0</v>
      </c>
      <c r="I130" t="n">
        <v>0</v>
      </c>
      <c r="J130" t="n">
        <v>0</v>
      </c>
      <c r="K130" t="n">
        <v>0</v>
      </c>
      <c r="L130" t="n">
        <v>0</v>
      </c>
      <c r="M130" t="n">
        <v>0</v>
      </c>
      <c r="N130" t="n">
        <v>0</v>
      </c>
      <c r="O130" t="n">
        <v>0</v>
      </c>
      <c r="P130" t="n">
        <v>0</v>
      </c>
      <c r="Q130" t="n">
        <v>0</v>
      </c>
      <c r="R130" s="2" t="inlineStr"/>
    </row>
    <row r="131" ht="15" customHeight="1">
      <c r="A131" t="inlineStr">
        <is>
          <t>A 10298-2022</t>
        </is>
      </c>
      <c r="B131" s="1" t="n">
        <v>44622</v>
      </c>
      <c r="C131" s="1" t="n">
        <v>46190</v>
      </c>
      <c r="D131" t="inlineStr">
        <is>
          <t>UPPSALA LÄN</t>
        </is>
      </c>
      <c r="E131" t="inlineStr">
        <is>
          <t>ÖSTHAMMAR</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8556-2022</t>
        </is>
      </c>
      <c r="B132" s="1" t="n">
        <v>44613.51798611111</v>
      </c>
      <c r="C132" s="1" t="n">
        <v>46190</v>
      </c>
      <c r="D132" t="inlineStr">
        <is>
          <t>UPPSALA LÄN</t>
        </is>
      </c>
      <c r="E132" t="inlineStr">
        <is>
          <t>ÖSTHAMMAR</t>
        </is>
      </c>
      <c r="G132" t="n">
        <v>0.5</v>
      </c>
      <c r="H132" t="n">
        <v>0</v>
      </c>
      <c r="I132" t="n">
        <v>0</v>
      </c>
      <c r="J132" t="n">
        <v>0</v>
      </c>
      <c r="K132" t="n">
        <v>0</v>
      </c>
      <c r="L132" t="n">
        <v>0</v>
      </c>
      <c r="M132" t="n">
        <v>0</v>
      </c>
      <c r="N132" t="n">
        <v>0</v>
      </c>
      <c r="O132" t="n">
        <v>0</v>
      </c>
      <c r="P132" t="n">
        <v>0</v>
      </c>
      <c r="Q132" t="n">
        <v>0</v>
      </c>
      <c r="R132" s="2" t="inlineStr"/>
    </row>
    <row r="133" ht="15" customHeight="1">
      <c r="A133" t="inlineStr">
        <is>
          <t>A 32939-2021</t>
        </is>
      </c>
      <c r="B133" s="1" t="n">
        <v>44376.32519675926</v>
      </c>
      <c r="C133" s="1" t="n">
        <v>46190</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4315-2022</t>
        </is>
      </c>
      <c r="B134" s="1" t="n">
        <v>44588</v>
      </c>
      <c r="C134" s="1" t="n">
        <v>46190</v>
      </c>
      <c r="D134" t="inlineStr">
        <is>
          <t>UPPSALA LÄN</t>
        </is>
      </c>
      <c r="E134" t="inlineStr">
        <is>
          <t>ÖSTHAMMAR</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24149-2022</t>
        </is>
      </c>
      <c r="B135" s="1" t="n">
        <v>44725</v>
      </c>
      <c r="C135" s="1" t="n">
        <v>46190</v>
      </c>
      <c r="D135" t="inlineStr">
        <is>
          <t>UPPSALA LÄN</t>
        </is>
      </c>
      <c r="E135" t="inlineStr">
        <is>
          <t>ÖSTHAMMAR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24138-2022</t>
        </is>
      </c>
      <c r="B136" s="1" t="n">
        <v>44725.45895833334</v>
      </c>
      <c r="C136" s="1" t="n">
        <v>46190</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47163-2022</t>
        </is>
      </c>
      <c r="B137" s="1" t="n">
        <v>44852.59962962963</v>
      </c>
      <c r="C137" s="1" t="n">
        <v>46190</v>
      </c>
      <c r="D137" t="inlineStr">
        <is>
          <t>UPPSALA LÄN</t>
        </is>
      </c>
      <c r="E137" t="inlineStr">
        <is>
          <t>ÖSTHAMMAR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66549-2021</t>
        </is>
      </c>
      <c r="B138" s="1" t="n">
        <v>44519.3990162037</v>
      </c>
      <c r="C138" s="1" t="n">
        <v>46190</v>
      </c>
      <c r="D138" t="inlineStr">
        <is>
          <t>UPPSALA LÄN</t>
        </is>
      </c>
      <c r="E138" t="inlineStr">
        <is>
          <t>ÖSTHAMMAR</t>
        </is>
      </c>
      <c r="F138" t="inlineStr">
        <is>
          <t>Bergvik skog öst AB</t>
        </is>
      </c>
      <c r="G138" t="n">
        <v>2.8</v>
      </c>
      <c r="H138" t="n">
        <v>0</v>
      </c>
      <c r="I138" t="n">
        <v>0</v>
      </c>
      <c r="J138" t="n">
        <v>0</v>
      </c>
      <c r="K138" t="n">
        <v>0</v>
      </c>
      <c r="L138" t="n">
        <v>0</v>
      </c>
      <c r="M138" t="n">
        <v>0</v>
      </c>
      <c r="N138" t="n">
        <v>0</v>
      </c>
      <c r="O138" t="n">
        <v>0</v>
      </c>
      <c r="P138" t="n">
        <v>0</v>
      </c>
      <c r="Q138" t="n">
        <v>0</v>
      </c>
      <c r="R138" s="2" t="inlineStr"/>
    </row>
    <row r="139" ht="15" customHeight="1">
      <c r="A139" t="inlineStr">
        <is>
          <t>A 5932-2022</t>
        </is>
      </c>
      <c r="B139" s="1" t="n">
        <v>44598.8281712963</v>
      </c>
      <c r="C139" s="1" t="n">
        <v>46190</v>
      </c>
      <c r="D139" t="inlineStr">
        <is>
          <t>UPPSALA LÄN</t>
        </is>
      </c>
      <c r="E139" t="inlineStr">
        <is>
          <t>ÖSTHAMMAR</t>
        </is>
      </c>
      <c r="F139" t="inlineStr">
        <is>
          <t>Bergvik skog öst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48308-2021</t>
        </is>
      </c>
      <c r="B140" s="1" t="n">
        <v>44450</v>
      </c>
      <c r="C140" s="1" t="n">
        <v>46190</v>
      </c>
      <c r="D140" t="inlineStr">
        <is>
          <t>UPPSALA LÄN</t>
        </is>
      </c>
      <c r="E140" t="inlineStr">
        <is>
          <t>ÖSTHAMMAR</t>
        </is>
      </c>
      <c r="G140" t="n">
        <v>3.5</v>
      </c>
      <c r="H140" t="n">
        <v>0</v>
      </c>
      <c r="I140" t="n">
        <v>0</v>
      </c>
      <c r="J140" t="n">
        <v>0</v>
      </c>
      <c r="K140" t="n">
        <v>0</v>
      </c>
      <c r="L140" t="n">
        <v>0</v>
      </c>
      <c r="M140" t="n">
        <v>0</v>
      </c>
      <c r="N140" t="n">
        <v>0</v>
      </c>
      <c r="O140" t="n">
        <v>0</v>
      </c>
      <c r="P140" t="n">
        <v>0</v>
      </c>
      <c r="Q140" t="n">
        <v>0</v>
      </c>
      <c r="R140" s="2" t="inlineStr"/>
    </row>
    <row r="141" ht="15" customHeight="1">
      <c r="A141" t="inlineStr">
        <is>
          <t>A 19287-2022</t>
        </is>
      </c>
      <c r="B141" s="1" t="n">
        <v>44692.49559027778</v>
      </c>
      <c r="C141" s="1" t="n">
        <v>46190</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51612-2021</t>
        </is>
      </c>
      <c r="B142" s="1" t="n">
        <v>44462</v>
      </c>
      <c r="C142" s="1" t="n">
        <v>46190</v>
      </c>
      <c r="D142" t="inlineStr">
        <is>
          <t>UPPSALA LÄN</t>
        </is>
      </c>
      <c r="E142" t="inlineStr">
        <is>
          <t>ÖSTHAMMAR</t>
        </is>
      </c>
      <c r="G142" t="n">
        <v>2.7</v>
      </c>
      <c r="H142" t="n">
        <v>0</v>
      </c>
      <c r="I142" t="n">
        <v>0</v>
      </c>
      <c r="J142" t="n">
        <v>0</v>
      </c>
      <c r="K142" t="n">
        <v>0</v>
      </c>
      <c r="L142" t="n">
        <v>0</v>
      </c>
      <c r="M142" t="n">
        <v>0</v>
      </c>
      <c r="N142" t="n">
        <v>0</v>
      </c>
      <c r="O142" t="n">
        <v>0</v>
      </c>
      <c r="P142" t="n">
        <v>0</v>
      </c>
      <c r="Q142" t="n">
        <v>0</v>
      </c>
      <c r="R142" s="2" t="inlineStr"/>
    </row>
    <row r="143" ht="15" customHeight="1">
      <c r="A143" t="inlineStr">
        <is>
          <t>A 19181-2022</t>
        </is>
      </c>
      <c r="B143" s="1" t="n">
        <v>44691</v>
      </c>
      <c r="C143" s="1" t="n">
        <v>46190</v>
      </c>
      <c r="D143" t="inlineStr">
        <is>
          <t>UPPSALA LÄN</t>
        </is>
      </c>
      <c r="E143" t="inlineStr">
        <is>
          <t>ÖSTHAMMAR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19707-2022</t>
        </is>
      </c>
      <c r="B144" s="1" t="n">
        <v>44694</v>
      </c>
      <c r="C144" s="1" t="n">
        <v>46190</v>
      </c>
      <c r="D144" t="inlineStr">
        <is>
          <t>UPPSALA LÄN</t>
        </is>
      </c>
      <c r="E144" t="inlineStr">
        <is>
          <t>ÖSTHAMMAR</t>
        </is>
      </c>
      <c r="F144" t="inlineStr">
        <is>
          <t>Allmännings- och besparingsskogar</t>
        </is>
      </c>
      <c r="G144" t="n">
        <v>0.5</v>
      </c>
      <c r="H144" t="n">
        <v>0</v>
      </c>
      <c r="I144" t="n">
        <v>0</v>
      </c>
      <c r="J144" t="n">
        <v>0</v>
      </c>
      <c r="K144" t="n">
        <v>0</v>
      </c>
      <c r="L144" t="n">
        <v>0</v>
      </c>
      <c r="M144" t="n">
        <v>0</v>
      </c>
      <c r="N144" t="n">
        <v>0</v>
      </c>
      <c r="O144" t="n">
        <v>0</v>
      </c>
      <c r="P144" t="n">
        <v>0</v>
      </c>
      <c r="Q144" t="n">
        <v>0</v>
      </c>
      <c r="R144" s="2" t="inlineStr"/>
    </row>
    <row r="145" ht="15" customHeight="1">
      <c r="A145" t="inlineStr">
        <is>
          <t>A 15334-2022</t>
        </is>
      </c>
      <c r="B145" s="1" t="n">
        <v>44659</v>
      </c>
      <c r="C145" s="1" t="n">
        <v>46190</v>
      </c>
      <c r="D145" t="inlineStr">
        <is>
          <t>UPPSALA LÄN</t>
        </is>
      </c>
      <c r="E145" t="inlineStr">
        <is>
          <t>ÖSTHAMMAR</t>
        </is>
      </c>
      <c r="G145" t="n">
        <v>1.4</v>
      </c>
      <c r="H145" t="n">
        <v>0</v>
      </c>
      <c r="I145" t="n">
        <v>0</v>
      </c>
      <c r="J145" t="n">
        <v>0</v>
      </c>
      <c r="K145" t="n">
        <v>0</v>
      </c>
      <c r="L145" t="n">
        <v>0</v>
      </c>
      <c r="M145" t="n">
        <v>0</v>
      </c>
      <c r="N145" t="n">
        <v>0</v>
      </c>
      <c r="O145" t="n">
        <v>0</v>
      </c>
      <c r="P145" t="n">
        <v>0</v>
      </c>
      <c r="Q145" t="n">
        <v>0</v>
      </c>
      <c r="R145" s="2" t="inlineStr"/>
    </row>
    <row r="146" ht="15" customHeight="1">
      <c r="A146" t="inlineStr">
        <is>
          <t>A 64872-2021</t>
        </is>
      </c>
      <c r="B146" s="1" t="n">
        <v>44512.6108912037</v>
      </c>
      <c r="C146" s="1" t="n">
        <v>46190</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43469-2021</t>
        </is>
      </c>
      <c r="B147" s="1" t="n">
        <v>44432</v>
      </c>
      <c r="C147" s="1" t="n">
        <v>46190</v>
      </c>
      <c r="D147" t="inlineStr">
        <is>
          <t>UPPSALA LÄN</t>
        </is>
      </c>
      <c r="E147" t="inlineStr">
        <is>
          <t>ÖSTHAMMAR</t>
        </is>
      </c>
      <c r="G147" t="n">
        <v>3.9</v>
      </c>
      <c r="H147" t="n">
        <v>0</v>
      </c>
      <c r="I147" t="n">
        <v>0</v>
      </c>
      <c r="J147" t="n">
        <v>0</v>
      </c>
      <c r="K147" t="n">
        <v>0</v>
      </c>
      <c r="L147" t="n">
        <v>0</v>
      </c>
      <c r="M147" t="n">
        <v>0</v>
      </c>
      <c r="N147" t="n">
        <v>0</v>
      </c>
      <c r="O147" t="n">
        <v>0</v>
      </c>
      <c r="P147" t="n">
        <v>0</v>
      </c>
      <c r="Q147" t="n">
        <v>0</v>
      </c>
      <c r="R147" s="2" t="inlineStr"/>
    </row>
    <row r="148" ht="15" customHeight="1">
      <c r="A148" t="inlineStr">
        <is>
          <t>A 22945-2022</t>
        </is>
      </c>
      <c r="B148" s="1" t="n">
        <v>44715.91158564815</v>
      </c>
      <c r="C148" s="1" t="n">
        <v>46190</v>
      </c>
      <c r="D148" t="inlineStr">
        <is>
          <t>UPPSALA LÄN</t>
        </is>
      </c>
      <c r="E148" t="inlineStr">
        <is>
          <t>ÖSTHAMMAR</t>
        </is>
      </c>
      <c r="F148" t="inlineStr">
        <is>
          <t>Bergvik skog öst AB</t>
        </is>
      </c>
      <c r="G148" t="n">
        <v>1</v>
      </c>
      <c r="H148" t="n">
        <v>0</v>
      </c>
      <c r="I148" t="n">
        <v>0</v>
      </c>
      <c r="J148" t="n">
        <v>0</v>
      </c>
      <c r="K148" t="n">
        <v>0</v>
      </c>
      <c r="L148" t="n">
        <v>0</v>
      </c>
      <c r="M148" t="n">
        <v>0</v>
      </c>
      <c r="N148" t="n">
        <v>0</v>
      </c>
      <c r="O148" t="n">
        <v>0</v>
      </c>
      <c r="P148" t="n">
        <v>0</v>
      </c>
      <c r="Q148" t="n">
        <v>0</v>
      </c>
      <c r="R148" s="2" t="inlineStr"/>
    </row>
    <row r="149" ht="15" customHeight="1">
      <c r="A149" t="inlineStr">
        <is>
          <t>A 49914-2022</t>
        </is>
      </c>
      <c r="B149" s="1" t="n">
        <v>44865</v>
      </c>
      <c r="C149" s="1" t="n">
        <v>46190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15845-2022</t>
        </is>
      </c>
      <c r="B150" s="1" t="n">
        <v>44664</v>
      </c>
      <c r="C150" s="1" t="n">
        <v>46190</v>
      </c>
      <c r="D150" t="inlineStr">
        <is>
          <t>UPPSALA LÄN</t>
        </is>
      </c>
      <c r="E150" t="inlineStr">
        <is>
          <t>ÖSTHAMMAR</t>
        </is>
      </c>
      <c r="G150" t="n">
        <v>4.5</v>
      </c>
      <c r="H150" t="n">
        <v>0</v>
      </c>
      <c r="I150" t="n">
        <v>0</v>
      </c>
      <c r="J150" t="n">
        <v>0</v>
      </c>
      <c r="K150" t="n">
        <v>0</v>
      </c>
      <c r="L150" t="n">
        <v>0</v>
      </c>
      <c r="M150" t="n">
        <v>0</v>
      </c>
      <c r="N150" t="n">
        <v>0</v>
      </c>
      <c r="O150" t="n">
        <v>0</v>
      </c>
      <c r="P150" t="n">
        <v>0</v>
      </c>
      <c r="Q150" t="n">
        <v>0</v>
      </c>
      <c r="R150" s="2" t="inlineStr"/>
    </row>
    <row r="151" ht="15" customHeight="1">
      <c r="A151" t="inlineStr">
        <is>
          <t>A 30209-2022</t>
        </is>
      </c>
      <c r="B151" s="1" t="n">
        <v>44757.75236111111</v>
      </c>
      <c r="C151" s="1" t="n">
        <v>46190</v>
      </c>
      <c r="D151" t="inlineStr">
        <is>
          <t>UPPSALA LÄN</t>
        </is>
      </c>
      <c r="E151" t="inlineStr">
        <is>
          <t>ÖSTHAMMAR</t>
        </is>
      </c>
      <c r="F151" t="inlineStr">
        <is>
          <t>Bergvik skog öst AB</t>
        </is>
      </c>
      <c r="G151" t="n">
        <v>0.4</v>
      </c>
      <c r="H151" t="n">
        <v>0</v>
      </c>
      <c r="I151" t="n">
        <v>0</v>
      </c>
      <c r="J151" t="n">
        <v>0</v>
      </c>
      <c r="K151" t="n">
        <v>0</v>
      </c>
      <c r="L151" t="n">
        <v>0</v>
      </c>
      <c r="M151" t="n">
        <v>0</v>
      </c>
      <c r="N151" t="n">
        <v>0</v>
      </c>
      <c r="O151" t="n">
        <v>0</v>
      </c>
      <c r="P151" t="n">
        <v>0</v>
      </c>
      <c r="Q151" t="n">
        <v>0</v>
      </c>
      <c r="R151" s="2" t="inlineStr"/>
    </row>
    <row r="152" ht="15" customHeight="1">
      <c r="A152" t="inlineStr">
        <is>
          <t>A 49334-2022</t>
        </is>
      </c>
      <c r="B152" s="1" t="n">
        <v>44861</v>
      </c>
      <c r="C152" s="1" t="n">
        <v>46190</v>
      </c>
      <c r="D152" t="inlineStr">
        <is>
          <t>UPPSALA LÄN</t>
        </is>
      </c>
      <c r="E152" t="inlineStr">
        <is>
          <t>ÖSTHAMMAR</t>
        </is>
      </c>
      <c r="G152" t="n">
        <v>3.5</v>
      </c>
      <c r="H152" t="n">
        <v>0</v>
      </c>
      <c r="I152" t="n">
        <v>0</v>
      </c>
      <c r="J152" t="n">
        <v>0</v>
      </c>
      <c r="K152" t="n">
        <v>0</v>
      </c>
      <c r="L152" t="n">
        <v>0</v>
      </c>
      <c r="M152" t="n">
        <v>0</v>
      </c>
      <c r="N152" t="n">
        <v>0</v>
      </c>
      <c r="O152" t="n">
        <v>0</v>
      </c>
      <c r="P152" t="n">
        <v>0</v>
      </c>
      <c r="Q152" t="n">
        <v>0</v>
      </c>
      <c r="R152" s="2" t="inlineStr"/>
    </row>
    <row r="153" ht="15" customHeight="1">
      <c r="A153" t="inlineStr">
        <is>
          <t>A 52295-2022</t>
        </is>
      </c>
      <c r="B153" s="1" t="n">
        <v>44873.67842592593</v>
      </c>
      <c r="C153" s="1" t="n">
        <v>46190</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41558-2021</t>
        </is>
      </c>
      <c r="B154" s="1" t="n">
        <v>44425.37835648148</v>
      </c>
      <c r="C154" s="1" t="n">
        <v>46190</v>
      </c>
      <c r="D154" t="inlineStr">
        <is>
          <t>UPPSALA LÄN</t>
        </is>
      </c>
      <c r="E154" t="inlineStr">
        <is>
          <t>ÖSTHAMMAR</t>
        </is>
      </c>
      <c r="F154" t="inlineStr">
        <is>
          <t>Bergvik skog öst AB</t>
        </is>
      </c>
      <c r="G154" t="n">
        <v>1.4</v>
      </c>
      <c r="H154" t="n">
        <v>0</v>
      </c>
      <c r="I154" t="n">
        <v>0</v>
      </c>
      <c r="J154" t="n">
        <v>0</v>
      </c>
      <c r="K154" t="n">
        <v>0</v>
      </c>
      <c r="L154" t="n">
        <v>0</v>
      </c>
      <c r="M154" t="n">
        <v>0</v>
      </c>
      <c r="N154" t="n">
        <v>0</v>
      </c>
      <c r="O154" t="n">
        <v>0</v>
      </c>
      <c r="P154" t="n">
        <v>0</v>
      </c>
      <c r="Q154" t="n">
        <v>0</v>
      </c>
      <c r="R154" s="2" t="inlineStr"/>
    </row>
    <row r="155" ht="15" customHeight="1">
      <c r="A155" t="inlineStr">
        <is>
          <t>A 15457-2022</t>
        </is>
      </c>
      <c r="B155" s="1" t="n">
        <v>44661.74027777778</v>
      </c>
      <c r="C155" s="1" t="n">
        <v>46190</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25987-2022</t>
        </is>
      </c>
      <c r="B156" s="1" t="n">
        <v>44734.49601851852</v>
      </c>
      <c r="C156" s="1" t="n">
        <v>46190</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61560-2021</t>
        </is>
      </c>
      <c r="B157" s="1" t="n">
        <v>44501.42905092592</v>
      </c>
      <c r="C157" s="1" t="n">
        <v>46190</v>
      </c>
      <c r="D157" t="inlineStr">
        <is>
          <t>UPPSALA LÄN</t>
        </is>
      </c>
      <c r="E157" t="inlineStr">
        <is>
          <t>ÖSTHAMMAR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37570-2022</t>
        </is>
      </c>
      <c r="B158" s="1" t="n">
        <v>44809</v>
      </c>
      <c r="C158" s="1" t="n">
        <v>46190</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38501-2022</t>
        </is>
      </c>
      <c r="B159" s="1" t="n">
        <v>44813</v>
      </c>
      <c r="C159" s="1" t="n">
        <v>46190</v>
      </c>
      <c r="D159" t="inlineStr">
        <is>
          <t>UPPSALA LÄN</t>
        </is>
      </c>
      <c r="E159" t="inlineStr">
        <is>
          <t>ÖSTHAMMAR</t>
        </is>
      </c>
      <c r="F159" t="inlineStr">
        <is>
          <t>Bergvik skog öst AB</t>
        </is>
      </c>
      <c r="G159" t="n">
        <v>2.2</v>
      </c>
      <c r="H159" t="n">
        <v>0</v>
      </c>
      <c r="I159" t="n">
        <v>0</v>
      </c>
      <c r="J159" t="n">
        <v>0</v>
      </c>
      <c r="K159" t="n">
        <v>0</v>
      </c>
      <c r="L159" t="n">
        <v>0</v>
      </c>
      <c r="M159" t="n">
        <v>0</v>
      </c>
      <c r="N159" t="n">
        <v>0</v>
      </c>
      <c r="O159" t="n">
        <v>0</v>
      </c>
      <c r="P159" t="n">
        <v>0</v>
      </c>
      <c r="Q159" t="n">
        <v>0</v>
      </c>
      <c r="R159" s="2" t="inlineStr"/>
    </row>
    <row r="160" ht="15" customHeight="1">
      <c r="A160" t="inlineStr">
        <is>
          <t>A 37813-2022</t>
        </is>
      </c>
      <c r="B160" s="1" t="n">
        <v>44810</v>
      </c>
      <c r="C160" s="1" t="n">
        <v>46190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37545-2022</t>
        </is>
      </c>
      <c r="B161" s="1" t="n">
        <v>44809.63373842592</v>
      </c>
      <c r="C161" s="1" t="n">
        <v>46190</v>
      </c>
      <c r="D161" t="inlineStr">
        <is>
          <t>UPPSALA LÄN</t>
        </is>
      </c>
      <c r="E161" t="inlineStr">
        <is>
          <t>ÖSTHAMMAR</t>
        </is>
      </c>
      <c r="G161" t="n">
        <v>3.1</v>
      </c>
      <c r="H161" t="n">
        <v>0</v>
      </c>
      <c r="I161" t="n">
        <v>0</v>
      </c>
      <c r="J161" t="n">
        <v>0</v>
      </c>
      <c r="K161" t="n">
        <v>0</v>
      </c>
      <c r="L161" t="n">
        <v>0</v>
      </c>
      <c r="M161" t="n">
        <v>0</v>
      </c>
      <c r="N161" t="n">
        <v>0</v>
      </c>
      <c r="O161" t="n">
        <v>0</v>
      </c>
      <c r="P161" t="n">
        <v>0</v>
      </c>
      <c r="Q161" t="n">
        <v>0</v>
      </c>
      <c r="R161" s="2" t="inlineStr"/>
    </row>
    <row r="162" ht="15" customHeight="1">
      <c r="A162" t="inlineStr">
        <is>
          <t>A 11987-2022</t>
        </is>
      </c>
      <c r="B162" s="1" t="n">
        <v>44635.68695601852</v>
      </c>
      <c r="C162" s="1" t="n">
        <v>46190</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46190</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16184-2022</t>
        </is>
      </c>
      <c r="B164" s="1" t="n">
        <v>44669.36354166667</v>
      </c>
      <c r="C164" s="1" t="n">
        <v>46190</v>
      </c>
      <c r="D164" t="inlineStr">
        <is>
          <t>UPPSALA LÄN</t>
        </is>
      </c>
      <c r="E164" t="inlineStr">
        <is>
          <t>ÖSTHAMMAR</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18736-2022</t>
        </is>
      </c>
      <c r="B165" s="1" t="n">
        <v>44687.87017361111</v>
      </c>
      <c r="C165" s="1" t="n">
        <v>46190</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8006-2023</t>
        </is>
      </c>
      <c r="B166" s="1" t="n">
        <v>44973</v>
      </c>
      <c r="C166" s="1" t="n">
        <v>46190</v>
      </c>
      <c r="D166" t="inlineStr">
        <is>
          <t>UPPSALA LÄN</t>
        </is>
      </c>
      <c r="E166" t="inlineStr">
        <is>
          <t>ÖSTHAMMAR</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7871-2022</t>
        </is>
      </c>
      <c r="B167" s="1" t="n">
        <v>44608</v>
      </c>
      <c r="C167" s="1" t="n">
        <v>46190</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24817-2022</t>
        </is>
      </c>
      <c r="B168" s="1" t="n">
        <v>44728</v>
      </c>
      <c r="C168" s="1" t="n">
        <v>46190</v>
      </c>
      <c r="D168" t="inlineStr">
        <is>
          <t>UPPSALA LÄN</t>
        </is>
      </c>
      <c r="E168" t="inlineStr">
        <is>
          <t>ÖSTHAMMAR</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23197-2023</t>
        </is>
      </c>
      <c r="B169" s="1" t="n">
        <v>45075</v>
      </c>
      <c r="C169" s="1" t="n">
        <v>46190</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51906-2022</t>
        </is>
      </c>
      <c r="B170" s="1" t="n">
        <v>44872.62109953703</v>
      </c>
      <c r="C170" s="1" t="n">
        <v>46190</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13044-2022</t>
        </is>
      </c>
      <c r="B171" s="1" t="n">
        <v>44643</v>
      </c>
      <c r="C171" s="1" t="n">
        <v>46190</v>
      </c>
      <c r="D171" t="inlineStr">
        <is>
          <t>UPPSALA LÄN</t>
        </is>
      </c>
      <c r="E171" t="inlineStr">
        <is>
          <t>ÖSTHAMMAR</t>
        </is>
      </c>
      <c r="G171" t="n">
        <v>2.5</v>
      </c>
      <c r="H171" t="n">
        <v>0</v>
      </c>
      <c r="I171" t="n">
        <v>0</v>
      </c>
      <c r="J171" t="n">
        <v>0</v>
      </c>
      <c r="K171" t="n">
        <v>0</v>
      </c>
      <c r="L171" t="n">
        <v>0</v>
      </c>
      <c r="M171" t="n">
        <v>0</v>
      </c>
      <c r="N171" t="n">
        <v>0</v>
      </c>
      <c r="O171" t="n">
        <v>0</v>
      </c>
      <c r="P171" t="n">
        <v>0</v>
      </c>
      <c r="Q171" t="n">
        <v>0</v>
      </c>
      <c r="R171" s="2" t="inlineStr"/>
    </row>
    <row r="172" ht="15" customHeight="1">
      <c r="A172" t="inlineStr">
        <is>
          <t>A 2947-2025</t>
        </is>
      </c>
      <c r="B172" s="1" t="n">
        <v>45678</v>
      </c>
      <c r="C172" s="1" t="n">
        <v>46190</v>
      </c>
      <c r="D172" t="inlineStr">
        <is>
          <t>UPPSALA LÄN</t>
        </is>
      </c>
      <c r="E172" t="inlineStr">
        <is>
          <t>ÖSTHAMMAR</t>
        </is>
      </c>
      <c r="G172" t="n">
        <v>3.6</v>
      </c>
      <c r="H172" t="n">
        <v>0</v>
      </c>
      <c r="I172" t="n">
        <v>0</v>
      </c>
      <c r="J172" t="n">
        <v>0</v>
      </c>
      <c r="K172" t="n">
        <v>0</v>
      </c>
      <c r="L172" t="n">
        <v>0</v>
      </c>
      <c r="M172" t="n">
        <v>0</v>
      </c>
      <c r="N172" t="n">
        <v>0</v>
      </c>
      <c r="O172" t="n">
        <v>0</v>
      </c>
      <c r="P172" t="n">
        <v>0</v>
      </c>
      <c r="Q172" t="n">
        <v>0</v>
      </c>
      <c r="R172" s="2" t="inlineStr"/>
    </row>
    <row r="173" ht="15" customHeight="1">
      <c r="A173" t="inlineStr">
        <is>
          <t>A 12999-2022</t>
        </is>
      </c>
      <c r="B173" s="1" t="n">
        <v>44643.4372337963</v>
      </c>
      <c r="C173" s="1" t="n">
        <v>46190</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17433-2025</t>
        </is>
      </c>
      <c r="B174" s="1" t="n">
        <v>45757.40733796296</v>
      </c>
      <c r="C174" s="1" t="n">
        <v>46190</v>
      </c>
      <c r="D174" t="inlineStr">
        <is>
          <t>UPPSALA LÄN</t>
        </is>
      </c>
      <c r="E174" t="inlineStr">
        <is>
          <t>ÖSTHAMMAR</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31182-2022</t>
        </is>
      </c>
      <c r="B175" s="1" t="n">
        <v>44770</v>
      </c>
      <c r="C175" s="1" t="n">
        <v>46190</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26534-2022</t>
        </is>
      </c>
      <c r="B176" s="1" t="n">
        <v>44739</v>
      </c>
      <c r="C176" s="1" t="n">
        <v>46190</v>
      </c>
      <c r="D176" t="inlineStr">
        <is>
          <t>UPPSALA LÄN</t>
        </is>
      </c>
      <c r="E176" t="inlineStr">
        <is>
          <t>ÖSTHAMMAR</t>
        </is>
      </c>
      <c r="F176" t="inlineStr">
        <is>
          <t>Övriga statliga verk och myndigheter</t>
        </is>
      </c>
      <c r="G176" t="n">
        <v>0.6</v>
      </c>
      <c r="H176" t="n">
        <v>0</v>
      </c>
      <c r="I176" t="n">
        <v>0</v>
      </c>
      <c r="J176" t="n">
        <v>0</v>
      </c>
      <c r="K176" t="n">
        <v>0</v>
      </c>
      <c r="L176" t="n">
        <v>0</v>
      </c>
      <c r="M176" t="n">
        <v>0</v>
      </c>
      <c r="N176" t="n">
        <v>0</v>
      </c>
      <c r="O176" t="n">
        <v>0</v>
      </c>
      <c r="P176" t="n">
        <v>0</v>
      </c>
      <c r="Q176" t="n">
        <v>0</v>
      </c>
      <c r="R176" s="2" t="inlineStr"/>
    </row>
    <row r="177" ht="15" customHeight="1">
      <c r="A177" t="inlineStr">
        <is>
          <t>A 12756-2024</t>
        </is>
      </c>
      <c r="B177" s="1" t="n">
        <v>45384</v>
      </c>
      <c r="C177" s="1" t="n">
        <v>46190</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13755-2023</t>
        </is>
      </c>
      <c r="B178" s="1" t="n">
        <v>45007</v>
      </c>
      <c r="C178" s="1" t="n">
        <v>46190</v>
      </c>
      <c r="D178" t="inlineStr">
        <is>
          <t>UPPSALA LÄN</t>
        </is>
      </c>
      <c r="E178" t="inlineStr">
        <is>
          <t>ÖSTHAMMAR</t>
        </is>
      </c>
      <c r="G178" t="n">
        <v>2.4</v>
      </c>
      <c r="H178" t="n">
        <v>0</v>
      </c>
      <c r="I178" t="n">
        <v>0</v>
      </c>
      <c r="J178" t="n">
        <v>0</v>
      </c>
      <c r="K178" t="n">
        <v>0</v>
      </c>
      <c r="L178" t="n">
        <v>0</v>
      </c>
      <c r="M178" t="n">
        <v>0</v>
      </c>
      <c r="N178" t="n">
        <v>0</v>
      </c>
      <c r="O178" t="n">
        <v>0</v>
      </c>
      <c r="P178" t="n">
        <v>0</v>
      </c>
      <c r="Q178" t="n">
        <v>0</v>
      </c>
      <c r="R178" s="2" t="inlineStr"/>
    </row>
    <row r="179" ht="15" customHeight="1">
      <c r="A179" t="inlineStr">
        <is>
          <t>A 16185-2022</t>
        </is>
      </c>
      <c r="B179" s="1" t="n">
        <v>44669</v>
      </c>
      <c r="C179" s="1" t="n">
        <v>46190</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15928-2022</t>
        </is>
      </c>
      <c r="B180" s="1" t="n">
        <v>44664</v>
      </c>
      <c r="C180" s="1" t="n">
        <v>46190</v>
      </c>
      <c r="D180" t="inlineStr">
        <is>
          <t>UPPSALA LÄN</t>
        </is>
      </c>
      <c r="E180" t="inlineStr">
        <is>
          <t>ÖSTHAMMAR</t>
        </is>
      </c>
      <c r="G180" t="n">
        <v>1.4</v>
      </c>
      <c r="H180" t="n">
        <v>0</v>
      </c>
      <c r="I180" t="n">
        <v>0</v>
      </c>
      <c r="J180" t="n">
        <v>0</v>
      </c>
      <c r="K180" t="n">
        <v>0</v>
      </c>
      <c r="L180" t="n">
        <v>0</v>
      </c>
      <c r="M180" t="n">
        <v>0</v>
      </c>
      <c r="N180" t="n">
        <v>0</v>
      </c>
      <c r="O180" t="n">
        <v>0</v>
      </c>
      <c r="P180" t="n">
        <v>0</v>
      </c>
      <c r="Q180" t="n">
        <v>0</v>
      </c>
      <c r="R180" s="2" t="inlineStr"/>
    </row>
    <row r="181" ht="15" customHeight="1">
      <c r="A181" t="inlineStr">
        <is>
          <t>A 8708-2022</t>
        </is>
      </c>
      <c r="B181" s="1" t="n">
        <v>44613.77238425926</v>
      </c>
      <c r="C181" s="1" t="n">
        <v>46190</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46190</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22887-2022</t>
        </is>
      </c>
      <c r="B183" s="1" t="n">
        <v>44715</v>
      </c>
      <c r="C183" s="1" t="n">
        <v>46190</v>
      </c>
      <c r="D183" t="inlineStr">
        <is>
          <t>UPPSALA LÄN</t>
        </is>
      </c>
      <c r="E183" t="inlineStr">
        <is>
          <t>ÖSTHAMMAR</t>
        </is>
      </c>
      <c r="G183" t="n">
        <v>0.2</v>
      </c>
      <c r="H183" t="n">
        <v>0</v>
      </c>
      <c r="I183" t="n">
        <v>0</v>
      </c>
      <c r="J183" t="n">
        <v>0</v>
      </c>
      <c r="K183" t="n">
        <v>0</v>
      </c>
      <c r="L183" t="n">
        <v>0</v>
      </c>
      <c r="M183" t="n">
        <v>0</v>
      </c>
      <c r="N183" t="n">
        <v>0</v>
      </c>
      <c r="O183" t="n">
        <v>0</v>
      </c>
      <c r="P183" t="n">
        <v>0</v>
      </c>
      <c r="Q183" t="n">
        <v>0</v>
      </c>
      <c r="R183" s="2" t="inlineStr"/>
    </row>
    <row r="184" ht="15" customHeight="1">
      <c r="A184" t="inlineStr">
        <is>
          <t>A 52544-2021</t>
        </is>
      </c>
      <c r="B184" s="1" t="n">
        <v>44466</v>
      </c>
      <c r="C184" s="1" t="n">
        <v>46190</v>
      </c>
      <c r="D184" t="inlineStr">
        <is>
          <t>UPPSALA LÄN</t>
        </is>
      </c>
      <c r="E184" t="inlineStr">
        <is>
          <t>ÖSTHAMMAR</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33760-2024</t>
        </is>
      </c>
      <c r="B185" s="1" t="n">
        <v>45520</v>
      </c>
      <c r="C185" s="1" t="n">
        <v>46190</v>
      </c>
      <c r="D185" t="inlineStr">
        <is>
          <t>UPPSALA LÄN</t>
        </is>
      </c>
      <c r="E185" t="inlineStr">
        <is>
          <t>ÖSTHAMMAR</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9789-2022</t>
        </is>
      </c>
      <c r="B186" s="1" t="n">
        <v>44620.35590277778</v>
      </c>
      <c r="C186" s="1" t="n">
        <v>46190</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8592-2022</t>
        </is>
      </c>
      <c r="B187" s="1" t="n">
        <v>44613</v>
      </c>
      <c r="C187" s="1" t="n">
        <v>46190</v>
      </c>
      <c r="D187" t="inlineStr">
        <is>
          <t>UPPSALA LÄN</t>
        </is>
      </c>
      <c r="E187" t="inlineStr">
        <is>
          <t>ÖSTHAMMAR</t>
        </is>
      </c>
      <c r="G187" t="n">
        <v>1.4</v>
      </c>
      <c r="H187" t="n">
        <v>0</v>
      </c>
      <c r="I187" t="n">
        <v>0</v>
      </c>
      <c r="J187" t="n">
        <v>0</v>
      </c>
      <c r="K187" t="n">
        <v>0</v>
      </c>
      <c r="L187" t="n">
        <v>0</v>
      </c>
      <c r="M187" t="n">
        <v>0</v>
      </c>
      <c r="N187" t="n">
        <v>0</v>
      </c>
      <c r="O187" t="n">
        <v>0</v>
      </c>
      <c r="P187" t="n">
        <v>0</v>
      </c>
      <c r="Q187" t="n">
        <v>0</v>
      </c>
      <c r="R187" s="2" t="inlineStr"/>
    </row>
    <row r="188" ht="15" customHeight="1">
      <c r="A188" t="inlineStr">
        <is>
          <t>A 52629-2023</t>
        </is>
      </c>
      <c r="B188" s="1" t="n">
        <v>45225</v>
      </c>
      <c r="C188" s="1" t="n">
        <v>46190</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35918-2023</t>
        </is>
      </c>
      <c r="B189" s="1" t="n">
        <v>45148.64976851852</v>
      </c>
      <c r="C189" s="1" t="n">
        <v>46190</v>
      </c>
      <c r="D189" t="inlineStr">
        <is>
          <t>UPPSALA LÄN</t>
        </is>
      </c>
      <c r="E189" t="inlineStr">
        <is>
          <t>ÖSTHAMMAR</t>
        </is>
      </c>
      <c r="F189" t="inlineStr">
        <is>
          <t>Bergvik skog öst AB</t>
        </is>
      </c>
      <c r="G189" t="n">
        <v>0.9</v>
      </c>
      <c r="H189" t="n">
        <v>0</v>
      </c>
      <c r="I189" t="n">
        <v>0</v>
      </c>
      <c r="J189" t="n">
        <v>0</v>
      </c>
      <c r="K189" t="n">
        <v>0</v>
      </c>
      <c r="L189" t="n">
        <v>0</v>
      </c>
      <c r="M189" t="n">
        <v>0</v>
      </c>
      <c r="N189" t="n">
        <v>0</v>
      </c>
      <c r="O189" t="n">
        <v>0</v>
      </c>
      <c r="P189" t="n">
        <v>0</v>
      </c>
      <c r="Q189" t="n">
        <v>0</v>
      </c>
      <c r="R189" s="2" t="inlineStr"/>
    </row>
    <row r="190" ht="15" customHeight="1">
      <c r="A190" t="inlineStr">
        <is>
          <t>A 34418-2022</t>
        </is>
      </c>
      <c r="B190" s="1" t="n">
        <v>44792</v>
      </c>
      <c r="C190" s="1" t="n">
        <v>46190</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7543-2023</t>
        </is>
      </c>
      <c r="B191" s="1" t="n">
        <v>44972</v>
      </c>
      <c r="C191" s="1" t="n">
        <v>46190</v>
      </c>
      <c r="D191" t="inlineStr">
        <is>
          <t>UPPSALA LÄN</t>
        </is>
      </c>
      <c r="E191" t="inlineStr">
        <is>
          <t>ÖSTHAMMAR</t>
        </is>
      </c>
      <c r="F191" t="inlineStr">
        <is>
          <t>Bergvik skog öst AB</t>
        </is>
      </c>
      <c r="G191" t="n">
        <v>13.3</v>
      </c>
      <c r="H191" t="n">
        <v>0</v>
      </c>
      <c r="I191" t="n">
        <v>0</v>
      </c>
      <c r="J191" t="n">
        <v>0</v>
      </c>
      <c r="K191" t="n">
        <v>0</v>
      </c>
      <c r="L191" t="n">
        <v>0</v>
      </c>
      <c r="M191" t="n">
        <v>0</v>
      </c>
      <c r="N191" t="n">
        <v>0</v>
      </c>
      <c r="O191" t="n">
        <v>0</v>
      </c>
      <c r="P191" t="n">
        <v>0</v>
      </c>
      <c r="Q191" t="n">
        <v>0</v>
      </c>
      <c r="R191" s="2" t="inlineStr"/>
    </row>
    <row r="192" ht="15" customHeight="1">
      <c r="A192" t="inlineStr">
        <is>
          <t>A 57003-2021</t>
        </is>
      </c>
      <c r="B192" s="1" t="n">
        <v>44482.47577546296</v>
      </c>
      <c r="C192" s="1" t="n">
        <v>46190</v>
      </c>
      <c r="D192" t="inlineStr">
        <is>
          <t>UPPSALA LÄN</t>
        </is>
      </c>
      <c r="E192" t="inlineStr">
        <is>
          <t>ÖSTHAMMAR</t>
        </is>
      </c>
      <c r="G192" t="n">
        <v>1.9</v>
      </c>
      <c r="H192" t="n">
        <v>0</v>
      </c>
      <c r="I192" t="n">
        <v>0</v>
      </c>
      <c r="J192" t="n">
        <v>0</v>
      </c>
      <c r="K192" t="n">
        <v>0</v>
      </c>
      <c r="L192" t="n">
        <v>0</v>
      </c>
      <c r="M192" t="n">
        <v>0</v>
      </c>
      <c r="N192" t="n">
        <v>0</v>
      </c>
      <c r="O192" t="n">
        <v>0</v>
      </c>
      <c r="P192" t="n">
        <v>0</v>
      </c>
      <c r="Q192" t="n">
        <v>0</v>
      </c>
      <c r="R192" s="2" t="inlineStr"/>
    </row>
    <row r="193" ht="15" customHeight="1">
      <c r="A193" t="inlineStr">
        <is>
          <t>A 6661-2024</t>
        </is>
      </c>
      <c r="B193" s="1" t="n">
        <v>45341.70582175926</v>
      </c>
      <c r="C193" s="1" t="n">
        <v>46190</v>
      </c>
      <c r="D193" t="inlineStr">
        <is>
          <t>UPPSALA LÄN</t>
        </is>
      </c>
      <c r="E193" t="inlineStr">
        <is>
          <t>ÖSTHAMMAR</t>
        </is>
      </c>
      <c r="G193" t="n">
        <v>0.2</v>
      </c>
      <c r="H193" t="n">
        <v>0</v>
      </c>
      <c r="I193" t="n">
        <v>0</v>
      </c>
      <c r="J193" t="n">
        <v>0</v>
      </c>
      <c r="K193" t="n">
        <v>0</v>
      </c>
      <c r="L193" t="n">
        <v>0</v>
      </c>
      <c r="M193" t="n">
        <v>0</v>
      </c>
      <c r="N193" t="n">
        <v>0</v>
      </c>
      <c r="O193" t="n">
        <v>0</v>
      </c>
      <c r="P193" t="n">
        <v>0</v>
      </c>
      <c r="Q193" t="n">
        <v>0</v>
      </c>
      <c r="R193" s="2" t="inlineStr"/>
    </row>
    <row r="194" ht="15" customHeight="1">
      <c r="A194" t="inlineStr">
        <is>
          <t>A 2168-2022</t>
        </is>
      </c>
      <c r="B194" s="1" t="n">
        <v>44578</v>
      </c>
      <c r="C194" s="1" t="n">
        <v>46190</v>
      </c>
      <c r="D194" t="inlineStr">
        <is>
          <t>UPPSALA LÄN</t>
        </is>
      </c>
      <c r="E194" t="inlineStr">
        <is>
          <t>ÖSTHAMMAR</t>
        </is>
      </c>
      <c r="G194" t="n">
        <v>2.9</v>
      </c>
      <c r="H194" t="n">
        <v>0</v>
      </c>
      <c r="I194" t="n">
        <v>0</v>
      </c>
      <c r="J194" t="n">
        <v>0</v>
      </c>
      <c r="K194" t="n">
        <v>0</v>
      </c>
      <c r="L194" t="n">
        <v>0</v>
      </c>
      <c r="M194" t="n">
        <v>0</v>
      </c>
      <c r="N194" t="n">
        <v>0</v>
      </c>
      <c r="O194" t="n">
        <v>0</v>
      </c>
      <c r="P194" t="n">
        <v>0</v>
      </c>
      <c r="Q194" t="n">
        <v>0</v>
      </c>
      <c r="R194" s="2" t="inlineStr"/>
    </row>
    <row r="195" ht="15" customHeight="1">
      <c r="A195" t="inlineStr">
        <is>
          <t>A 56903-2023</t>
        </is>
      </c>
      <c r="B195" s="1" t="n">
        <v>45244.56943287037</v>
      </c>
      <c r="C195" s="1" t="n">
        <v>46190</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49899-2023</t>
        </is>
      </c>
      <c r="B196" s="1" t="n">
        <v>45213</v>
      </c>
      <c r="C196" s="1" t="n">
        <v>46190</v>
      </c>
      <c r="D196" t="inlineStr">
        <is>
          <t>UPPSALA LÄN</t>
        </is>
      </c>
      <c r="E196" t="inlineStr">
        <is>
          <t>ÖSTHAMMAR</t>
        </is>
      </c>
      <c r="G196" t="n">
        <v>6.2</v>
      </c>
      <c r="H196" t="n">
        <v>0</v>
      </c>
      <c r="I196" t="n">
        <v>0</v>
      </c>
      <c r="J196" t="n">
        <v>0</v>
      </c>
      <c r="K196" t="n">
        <v>0</v>
      </c>
      <c r="L196" t="n">
        <v>0</v>
      </c>
      <c r="M196" t="n">
        <v>0</v>
      </c>
      <c r="N196" t="n">
        <v>0</v>
      </c>
      <c r="O196" t="n">
        <v>0</v>
      </c>
      <c r="P196" t="n">
        <v>0</v>
      </c>
      <c r="Q196" t="n">
        <v>0</v>
      </c>
      <c r="R196" s="2" t="inlineStr"/>
    </row>
    <row r="197" ht="15" customHeight="1">
      <c r="A197" t="inlineStr">
        <is>
          <t>A 4676-2025</t>
        </is>
      </c>
      <c r="B197" s="1" t="n">
        <v>45687.8313425926</v>
      </c>
      <c r="C197" s="1" t="n">
        <v>46190</v>
      </c>
      <c r="D197" t="inlineStr">
        <is>
          <t>UPPSALA LÄN</t>
        </is>
      </c>
      <c r="E197" t="inlineStr">
        <is>
          <t>ÖSTHAMMAR</t>
        </is>
      </c>
      <c r="G197" t="n">
        <v>3.7</v>
      </c>
      <c r="H197" t="n">
        <v>0</v>
      </c>
      <c r="I197" t="n">
        <v>0</v>
      </c>
      <c r="J197" t="n">
        <v>0</v>
      </c>
      <c r="K197" t="n">
        <v>0</v>
      </c>
      <c r="L197" t="n">
        <v>0</v>
      </c>
      <c r="M197" t="n">
        <v>0</v>
      </c>
      <c r="N197" t="n">
        <v>0</v>
      </c>
      <c r="O197" t="n">
        <v>0</v>
      </c>
      <c r="P197" t="n">
        <v>0</v>
      </c>
      <c r="Q197" t="n">
        <v>0</v>
      </c>
      <c r="R197" s="2" t="inlineStr"/>
    </row>
    <row r="198" ht="15" customHeight="1">
      <c r="A198" t="inlineStr">
        <is>
          <t>A 28420-2023</t>
        </is>
      </c>
      <c r="B198" s="1" t="n">
        <v>45102.33054398148</v>
      </c>
      <c r="C198" s="1" t="n">
        <v>46190</v>
      </c>
      <c r="D198" t="inlineStr">
        <is>
          <t>UPPSALA LÄN</t>
        </is>
      </c>
      <c r="E198" t="inlineStr">
        <is>
          <t>ÖSTHAMMAR</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28432-2023</t>
        </is>
      </c>
      <c r="B199" s="1" t="n">
        <v>45102.59896990741</v>
      </c>
      <c r="C199" s="1" t="n">
        <v>46190</v>
      </c>
      <c r="D199" t="inlineStr">
        <is>
          <t>UPPSALA LÄN</t>
        </is>
      </c>
      <c r="E199" t="inlineStr">
        <is>
          <t>ÖSTHAMMAR</t>
        </is>
      </c>
      <c r="F199" t="inlineStr">
        <is>
          <t>Bergvik skog öst AB</t>
        </is>
      </c>
      <c r="G199" t="n">
        <v>3.9</v>
      </c>
      <c r="H199" t="n">
        <v>0</v>
      </c>
      <c r="I199" t="n">
        <v>0</v>
      </c>
      <c r="J199" t="n">
        <v>0</v>
      </c>
      <c r="K199" t="n">
        <v>0</v>
      </c>
      <c r="L199" t="n">
        <v>0</v>
      </c>
      <c r="M199" t="n">
        <v>0</v>
      </c>
      <c r="N199" t="n">
        <v>0</v>
      </c>
      <c r="O199" t="n">
        <v>0</v>
      </c>
      <c r="P199" t="n">
        <v>0</v>
      </c>
      <c r="Q199" t="n">
        <v>0</v>
      </c>
      <c r="R199" s="2" t="inlineStr"/>
    </row>
    <row r="200" ht="15" customHeight="1">
      <c r="A200" t="inlineStr">
        <is>
          <t>A 56969-2022</t>
        </is>
      </c>
      <c r="B200" s="1" t="n">
        <v>44894.68043981482</v>
      </c>
      <c r="C200" s="1" t="n">
        <v>46190</v>
      </c>
      <c r="D200" t="inlineStr">
        <is>
          <t>UPPSALA LÄN</t>
        </is>
      </c>
      <c r="E200" t="inlineStr">
        <is>
          <t>ÖSTHAMMAR</t>
        </is>
      </c>
      <c r="G200" t="n">
        <v>5.5</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46190</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46190</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60584-2021</t>
        </is>
      </c>
      <c r="B203" s="1" t="n">
        <v>44496</v>
      </c>
      <c r="C203" s="1" t="n">
        <v>46190</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24259-2022</t>
        </is>
      </c>
      <c r="B204" s="1" t="n">
        <v>44725</v>
      </c>
      <c r="C204" s="1" t="n">
        <v>46190</v>
      </c>
      <c r="D204" t="inlineStr">
        <is>
          <t>UPPSALA LÄN</t>
        </is>
      </c>
      <c r="E204" t="inlineStr">
        <is>
          <t>ÖSTHAMMAR</t>
        </is>
      </c>
      <c r="G204" t="n">
        <v>2.4</v>
      </c>
      <c r="H204" t="n">
        <v>0</v>
      </c>
      <c r="I204" t="n">
        <v>0</v>
      </c>
      <c r="J204" t="n">
        <v>0</v>
      </c>
      <c r="K204" t="n">
        <v>0</v>
      </c>
      <c r="L204" t="n">
        <v>0</v>
      </c>
      <c r="M204" t="n">
        <v>0</v>
      </c>
      <c r="N204" t="n">
        <v>0</v>
      </c>
      <c r="O204" t="n">
        <v>0</v>
      </c>
      <c r="P204" t="n">
        <v>0</v>
      </c>
      <c r="Q204" t="n">
        <v>0</v>
      </c>
      <c r="R204" s="2" t="inlineStr"/>
    </row>
    <row r="205" ht="15" customHeight="1">
      <c r="A205" t="inlineStr">
        <is>
          <t>A 18113-2023</t>
        </is>
      </c>
      <c r="B205" s="1" t="n">
        <v>45040</v>
      </c>
      <c r="C205" s="1" t="n">
        <v>46190</v>
      </c>
      <c r="D205" t="inlineStr">
        <is>
          <t>UPPSALA LÄN</t>
        </is>
      </c>
      <c r="E205" t="inlineStr">
        <is>
          <t>ÖSTHAMMAR</t>
        </is>
      </c>
      <c r="G205" t="n">
        <v>2.1</v>
      </c>
      <c r="H205" t="n">
        <v>0</v>
      </c>
      <c r="I205" t="n">
        <v>0</v>
      </c>
      <c r="J205" t="n">
        <v>0</v>
      </c>
      <c r="K205" t="n">
        <v>0</v>
      </c>
      <c r="L205" t="n">
        <v>0</v>
      </c>
      <c r="M205" t="n">
        <v>0</v>
      </c>
      <c r="N205" t="n">
        <v>0</v>
      </c>
      <c r="O205" t="n">
        <v>0</v>
      </c>
      <c r="P205" t="n">
        <v>0</v>
      </c>
      <c r="Q205" t="n">
        <v>0</v>
      </c>
      <c r="R205" s="2" t="inlineStr"/>
    </row>
    <row r="206" ht="15" customHeight="1">
      <c r="A206" t="inlineStr">
        <is>
          <t>A 44152-2024</t>
        </is>
      </c>
      <c r="B206" s="1" t="n">
        <v>45572</v>
      </c>
      <c r="C206" s="1" t="n">
        <v>46190</v>
      </c>
      <c r="D206" t="inlineStr">
        <is>
          <t>UPPSALA LÄN</t>
        </is>
      </c>
      <c r="E206" t="inlineStr">
        <is>
          <t>ÖSTHAMMAR</t>
        </is>
      </c>
      <c r="G206" t="n">
        <v>1.6</v>
      </c>
      <c r="H206" t="n">
        <v>0</v>
      </c>
      <c r="I206" t="n">
        <v>0</v>
      </c>
      <c r="J206" t="n">
        <v>0</v>
      </c>
      <c r="K206" t="n">
        <v>0</v>
      </c>
      <c r="L206" t="n">
        <v>0</v>
      </c>
      <c r="M206" t="n">
        <v>0</v>
      </c>
      <c r="N206" t="n">
        <v>0</v>
      </c>
      <c r="O206" t="n">
        <v>0</v>
      </c>
      <c r="P206" t="n">
        <v>0</v>
      </c>
      <c r="Q206" t="n">
        <v>0</v>
      </c>
      <c r="R206" s="2" t="inlineStr"/>
    </row>
    <row r="207" ht="15" customHeight="1">
      <c r="A207" t="inlineStr">
        <is>
          <t>A 61216-2022</t>
        </is>
      </c>
      <c r="B207" s="1" t="n">
        <v>44915.55423611111</v>
      </c>
      <c r="C207" s="1" t="n">
        <v>46190</v>
      </c>
      <c r="D207" t="inlineStr">
        <is>
          <t>UPPSALA LÄN</t>
        </is>
      </c>
      <c r="E207" t="inlineStr">
        <is>
          <t>ÖSTHAMMAR</t>
        </is>
      </c>
      <c r="G207" t="n">
        <v>2.9</v>
      </c>
      <c r="H207" t="n">
        <v>0</v>
      </c>
      <c r="I207" t="n">
        <v>0</v>
      </c>
      <c r="J207" t="n">
        <v>0</v>
      </c>
      <c r="K207" t="n">
        <v>0</v>
      </c>
      <c r="L207" t="n">
        <v>0</v>
      </c>
      <c r="M207" t="n">
        <v>0</v>
      </c>
      <c r="N207" t="n">
        <v>0</v>
      </c>
      <c r="O207" t="n">
        <v>0</v>
      </c>
      <c r="P207" t="n">
        <v>0</v>
      </c>
      <c r="Q207" t="n">
        <v>0</v>
      </c>
      <c r="R207" s="2" t="inlineStr"/>
    </row>
    <row r="208" ht="15" customHeight="1">
      <c r="A208" t="inlineStr">
        <is>
          <t>A 27660-2023</t>
        </is>
      </c>
      <c r="B208" s="1" t="n">
        <v>45097</v>
      </c>
      <c r="C208" s="1" t="n">
        <v>46190</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69411-2021</t>
        </is>
      </c>
      <c r="B209" s="1" t="n">
        <v>44531.61038194445</v>
      </c>
      <c r="C209" s="1" t="n">
        <v>46190</v>
      </c>
      <c r="D209" t="inlineStr">
        <is>
          <t>UPPSALA LÄN</t>
        </is>
      </c>
      <c r="E209" t="inlineStr">
        <is>
          <t>ÖSTHAMMAR</t>
        </is>
      </c>
      <c r="F209" t="inlineStr">
        <is>
          <t>Bergvik skog öst AB</t>
        </is>
      </c>
      <c r="G209" t="n">
        <v>1.1</v>
      </c>
      <c r="H209" t="n">
        <v>0</v>
      </c>
      <c r="I209" t="n">
        <v>0</v>
      </c>
      <c r="J209" t="n">
        <v>0</v>
      </c>
      <c r="K209" t="n">
        <v>0</v>
      </c>
      <c r="L209" t="n">
        <v>0</v>
      </c>
      <c r="M209" t="n">
        <v>0</v>
      </c>
      <c r="N209" t="n">
        <v>0</v>
      </c>
      <c r="O209" t="n">
        <v>0</v>
      </c>
      <c r="P209" t="n">
        <v>0</v>
      </c>
      <c r="Q209" t="n">
        <v>0</v>
      </c>
      <c r="R209" s="2" t="inlineStr"/>
    </row>
    <row r="210" ht="15" customHeight="1">
      <c r="A210" t="inlineStr">
        <is>
          <t>A 31479-2023</t>
        </is>
      </c>
      <c r="B210" s="1" t="n">
        <v>45114.79793981482</v>
      </c>
      <c r="C210" s="1" t="n">
        <v>46190</v>
      </c>
      <c r="D210" t="inlineStr">
        <is>
          <t>UPPSALA LÄN</t>
        </is>
      </c>
      <c r="E210" t="inlineStr">
        <is>
          <t>ÖSTHAMMAR</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47390-2023</t>
        </is>
      </c>
      <c r="B211" s="1" t="n">
        <v>45202</v>
      </c>
      <c r="C211" s="1" t="n">
        <v>46190</v>
      </c>
      <c r="D211" t="inlineStr">
        <is>
          <t>UPPSALA LÄN</t>
        </is>
      </c>
      <c r="E211" t="inlineStr">
        <is>
          <t>ÖSTHAMMAR</t>
        </is>
      </c>
      <c r="G211" t="n">
        <v>3.7</v>
      </c>
      <c r="H211" t="n">
        <v>0</v>
      </c>
      <c r="I211" t="n">
        <v>0</v>
      </c>
      <c r="J211" t="n">
        <v>0</v>
      </c>
      <c r="K211" t="n">
        <v>0</v>
      </c>
      <c r="L211" t="n">
        <v>0</v>
      </c>
      <c r="M211" t="n">
        <v>0</v>
      </c>
      <c r="N211" t="n">
        <v>0</v>
      </c>
      <c r="O211" t="n">
        <v>0</v>
      </c>
      <c r="P211" t="n">
        <v>0</v>
      </c>
      <c r="Q211" t="n">
        <v>0</v>
      </c>
      <c r="R211" s="2" t="inlineStr"/>
    </row>
    <row r="212" ht="15" customHeight="1">
      <c r="A212" t="inlineStr">
        <is>
          <t>A 74436-2021</t>
        </is>
      </c>
      <c r="B212" s="1" t="n">
        <v>44560.4502199074</v>
      </c>
      <c r="C212" s="1" t="n">
        <v>46190</v>
      </c>
      <c r="D212" t="inlineStr">
        <is>
          <t>UPPSALA LÄN</t>
        </is>
      </c>
      <c r="E212" t="inlineStr">
        <is>
          <t>ÖSTHAMMAR</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26303-2024</t>
        </is>
      </c>
      <c r="B213" s="1" t="n">
        <v>45468</v>
      </c>
      <c r="C213" s="1" t="n">
        <v>46190</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48719-2023</t>
        </is>
      </c>
      <c r="B214" s="1" t="n">
        <v>45208.70452546296</v>
      </c>
      <c r="C214" s="1" t="n">
        <v>46190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31574-2022</t>
        </is>
      </c>
      <c r="B215" s="1" t="n">
        <v>44775</v>
      </c>
      <c r="C215" s="1" t="n">
        <v>46190</v>
      </c>
      <c r="D215" t="inlineStr">
        <is>
          <t>UPPSALA LÄN</t>
        </is>
      </c>
      <c r="E215" t="inlineStr">
        <is>
          <t>ÖSTHAMMAR</t>
        </is>
      </c>
      <c r="G215" t="n">
        <v>29.7</v>
      </c>
      <c r="H215" t="n">
        <v>0</v>
      </c>
      <c r="I215" t="n">
        <v>0</v>
      </c>
      <c r="J215" t="n">
        <v>0</v>
      </c>
      <c r="K215" t="n">
        <v>0</v>
      </c>
      <c r="L215" t="n">
        <v>0</v>
      </c>
      <c r="M215" t="n">
        <v>0</v>
      </c>
      <c r="N215" t="n">
        <v>0</v>
      </c>
      <c r="O215" t="n">
        <v>0</v>
      </c>
      <c r="P215" t="n">
        <v>0</v>
      </c>
      <c r="Q215" t="n">
        <v>0</v>
      </c>
      <c r="R215" s="2" t="inlineStr"/>
    </row>
    <row r="216" ht="15" customHeight="1">
      <c r="A216" t="inlineStr">
        <is>
          <t>A 5877-2023</t>
        </is>
      </c>
      <c r="B216" s="1" t="n">
        <v>44963.62001157407</v>
      </c>
      <c r="C216" s="1" t="n">
        <v>46190</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21862-2023</t>
        </is>
      </c>
      <c r="B217" s="1" t="n">
        <v>45068</v>
      </c>
      <c r="C217" s="1" t="n">
        <v>46190</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55086-2024</t>
        </is>
      </c>
      <c r="B218" s="1" t="n">
        <v>45621.43098379629</v>
      </c>
      <c r="C218" s="1" t="n">
        <v>46190</v>
      </c>
      <c r="D218" t="inlineStr">
        <is>
          <t>UPPSALA LÄN</t>
        </is>
      </c>
      <c r="E218" t="inlineStr">
        <is>
          <t>ÖSTHAMMAR</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62695-2023</t>
        </is>
      </c>
      <c r="B219" s="1" t="n">
        <v>45271</v>
      </c>
      <c r="C219" s="1" t="n">
        <v>46190</v>
      </c>
      <c r="D219" t="inlineStr">
        <is>
          <t>UPPSALA LÄN</t>
        </is>
      </c>
      <c r="E219" t="inlineStr">
        <is>
          <t>ÖSTHAMMAR</t>
        </is>
      </c>
      <c r="G219" t="n">
        <v>5.3</v>
      </c>
      <c r="H219" t="n">
        <v>0</v>
      </c>
      <c r="I219" t="n">
        <v>0</v>
      </c>
      <c r="J219" t="n">
        <v>0</v>
      </c>
      <c r="K219" t="n">
        <v>0</v>
      </c>
      <c r="L219" t="n">
        <v>0</v>
      </c>
      <c r="M219" t="n">
        <v>0</v>
      </c>
      <c r="N219" t="n">
        <v>0</v>
      </c>
      <c r="O219" t="n">
        <v>0</v>
      </c>
      <c r="P219" t="n">
        <v>0</v>
      </c>
      <c r="Q219" t="n">
        <v>0</v>
      </c>
      <c r="R219" s="2" t="inlineStr"/>
    </row>
    <row r="220" ht="15" customHeight="1">
      <c r="A220" t="inlineStr">
        <is>
          <t>A 11884-2022</t>
        </is>
      </c>
      <c r="B220" s="1" t="n">
        <v>44635.39946759259</v>
      </c>
      <c r="C220" s="1" t="n">
        <v>46190</v>
      </c>
      <c r="D220" t="inlineStr">
        <is>
          <t>UPPSALA LÄN</t>
        </is>
      </c>
      <c r="E220" t="inlineStr">
        <is>
          <t>ÖSTHAMMAR</t>
        </is>
      </c>
      <c r="G220" t="n">
        <v>0.8</v>
      </c>
      <c r="H220" t="n">
        <v>0</v>
      </c>
      <c r="I220" t="n">
        <v>0</v>
      </c>
      <c r="J220" t="n">
        <v>0</v>
      </c>
      <c r="K220" t="n">
        <v>0</v>
      </c>
      <c r="L220" t="n">
        <v>0</v>
      </c>
      <c r="M220" t="n">
        <v>0</v>
      </c>
      <c r="N220" t="n">
        <v>0</v>
      </c>
      <c r="O220" t="n">
        <v>0</v>
      </c>
      <c r="P220" t="n">
        <v>0</v>
      </c>
      <c r="Q220" t="n">
        <v>0</v>
      </c>
      <c r="R220" s="2" t="inlineStr"/>
    </row>
    <row r="221" ht="15" customHeight="1">
      <c r="A221" t="inlineStr">
        <is>
          <t>A 52389-2022</t>
        </is>
      </c>
      <c r="B221" s="1" t="n">
        <v>44874.38325231482</v>
      </c>
      <c r="C221" s="1" t="n">
        <v>46190</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4559-2022</t>
        </is>
      </c>
      <c r="B222" s="1" t="n">
        <v>44591.51854166666</v>
      </c>
      <c r="C222" s="1" t="n">
        <v>46190</v>
      </c>
      <c r="D222" t="inlineStr">
        <is>
          <t>UPPSALA LÄN</t>
        </is>
      </c>
      <c r="E222" t="inlineStr">
        <is>
          <t>ÖSTHAMMAR</t>
        </is>
      </c>
      <c r="F222" t="inlineStr">
        <is>
          <t>Bergvik skog öst AB</t>
        </is>
      </c>
      <c r="G222" t="n">
        <v>1.1</v>
      </c>
      <c r="H222" t="n">
        <v>0</v>
      </c>
      <c r="I222" t="n">
        <v>0</v>
      </c>
      <c r="J222" t="n">
        <v>0</v>
      </c>
      <c r="K222" t="n">
        <v>0</v>
      </c>
      <c r="L222" t="n">
        <v>0</v>
      </c>
      <c r="M222" t="n">
        <v>0</v>
      </c>
      <c r="N222" t="n">
        <v>0</v>
      </c>
      <c r="O222" t="n">
        <v>0</v>
      </c>
      <c r="P222" t="n">
        <v>0</v>
      </c>
      <c r="Q222" t="n">
        <v>0</v>
      </c>
      <c r="R222" s="2" t="inlineStr"/>
    </row>
    <row r="223" ht="15" customHeight="1">
      <c r="A223" t="inlineStr">
        <is>
          <t>A 29824-2023</t>
        </is>
      </c>
      <c r="B223" s="1" t="n">
        <v>45107</v>
      </c>
      <c r="C223" s="1" t="n">
        <v>46190</v>
      </c>
      <c r="D223" t="inlineStr">
        <is>
          <t>UPPSALA LÄN</t>
        </is>
      </c>
      <c r="E223" t="inlineStr">
        <is>
          <t>ÖSTHAMMAR</t>
        </is>
      </c>
      <c r="F223" t="inlineStr">
        <is>
          <t>Naturvårdsverket</t>
        </is>
      </c>
      <c r="G223" t="n">
        <v>1.6</v>
      </c>
      <c r="H223" t="n">
        <v>0</v>
      </c>
      <c r="I223" t="n">
        <v>0</v>
      </c>
      <c r="J223" t="n">
        <v>0</v>
      </c>
      <c r="K223" t="n">
        <v>0</v>
      </c>
      <c r="L223" t="n">
        <v>0</v>
      </c>
      <c r="M223" t="n">
        <v>0</v>
      </c>
      <c r="N223" t="n">
        <v>0</v>
      </c>
      <c r="O223" t="n">
        <v>0</v>
      </c>
      <c r="P223" t="n">
        <v>0</v>
      </c>
      <c r="Q223" t="n">
        <v>0</v>
      </c>
      <c r="R223" s="2" t="inlineStr"/>
    </row>
    <row r="224" ht="15" customHeight="1">
      <c r="A224" t="inlineStr">
        <is>
          <t>A 60577-2021</t>
        </is>
      </c>
      <c r="B224" s="1" t="n">
        <v>44496.57019675926</v>
      </c>
      <c r="C224" s="1" t="n">
        <v>46190</v>
      </c>
      <c r="D224" t="inlineStr">
        <is>
          <t>UPPSALA LÄN</t>
        </is>
      </c>
      <c r="E224" t="inlineStr">
        <is>
          <t>ÖSTHAMMAR</t>
        </is>
      </c>
      <c r="G224" t="n">
        <v>0.5</v>
      </c>
      <c r="H224" t="n">
        <v>0</v>
      </c>
      <c r="I224" t="n">
        <v>0</v>
      </c>
      <c r="J224" t="n">
        <v>0</v>
      </c>
      <c r="K224" t="n">
        <v>0</v>
      </c>
      <c r="L224" t="n">
        <v>0</v>
      </c>
      <c r="M224" t="n">
        <v>0</v>
      </c>
      <c r="N224" t="n">
        <v>0</v>
      </c>
      <c r="O224" t="n">
        <v>0</v>
      </c>
      <c r="P224" t="n">
        <v>0</v>
      </c>
      <c r="Q224" t="n">
        <v>0</v>
      </c>
      <c r="R224" s="2" t="inlineStr"/>
    </row>
    <row r="225" ht="15" customHeight="1">
      <c r="A225" t="inlineStr">
        <is>
          <t>A 57453-2022</t>
        </is>
      </c>
      <c r="B225" s="1" t="n">
        <v>44896.56266203704</v>
      </c>
      <c r="C225" s="1" t="n">
        <v>46190</v>
      </c>
      <c r="D225" t="inlineStr">
        <is>
          <t>UPPSALA LÄN</t>
        </is>
      </c>
      <c r="E225" t="inlineStr">
        <is>
          <t>ÖSTHAMMAR</t>
        </is>
      </c>
      <c r="G225" t="n">
        <v>1.7</v>
      </c>
      <c r="H225" t="n">
        <v>0</v>
      </c>
      <c r="I225" t="n">
        <v>0</v>
      </c>
      <c r="J225" t="n">
        <v>0</v>
      </c>
      <c r="K225" t="n">
        <v>0</v>
      </c>
      <c r="L225" t="n">
        <v>0</v>
      </c>
      <c r="M225" t="n">
        <v>0</v>
      </c>
      <c r="N225" t="n">
        <v>0</v>
      </c>
      <c r="O225" t="n">
        <v>0</v>
      </c>
      <c r="P225" t="n">
        <v>0</v>
      </c>
      <c r="Q225" t="n">
        <v>0</v>
      </c>
      <c r="R225" s="2" t="inlineStr"/>
    </row>
    <row r="226" ht="15" customHeight="1">
      <c r="A226" t="inlineStr">
        <is>
          <t>A 57462-2022</t>
        </is>
      </c>
      <c r="B226" s="1" t="n">
        <v>44896.57527777777</v>
      </c>
      <c r="C226" s="1" t="n">
        <v>46190</v>
      </c>
      <c r="D226" t="inlineStr">
        <is>
          <t>UPPSALA LÄN</t>
        </is>
      </c>
      <c r="E226" t="inlineStr">
        <is>
          <t>ÖSTHAMMAR</t>
        </is>
      </c>
      <c r="G226" t="n">
        <v>1.9</v>
      </c>
      <c r="H226" t="n">
        <v>0</v>
      </c>
      <c r="I226" t="n">
        <v>0</v>
      </c>
      <c r="J226" t="n">
        <v>0</v>
      </c>
      <c r="K226" t="n">
        <v>0</v>
      </c>
      <c r="L226" t="n">
        <v>0</v>
      </c>
      <c r="M226" t="n">
        <v>0</v>
      </c>
      <c r="N226" t="n">
        <v>0</v>
      </c>
      <c r="O226" t="n">
        <v>0</v>
      </c>
      <c r="P226" t="n">
        <v>0</v>
      </c>
      <c r="Q226" t="n">
        <v>0</v>
      </c>
      <c r="R226" s="2" t="inlineStr"/>
    </row>
    <row r="227" ht="15" customHeight="1">
      <c r="A227" t="inlineStr">
        <is>
          <t>A 10982-2023</t>
        </is>
      </c>
      <c r="B227" s="1" t="n">
        <v>44991.62203703704</v>
      </c>
      <c r="C227" s="1" t="n">
        <v>46190</v>
      </c>
      <c r="D227" t="inlineStr">
        <is>
          <t>UPPSALA LÄN</t>
        </is>
      </c>
      <c r="E227" t="inlineStr">
        <is>
          <t>ÖSTHAMMAR</t>
        </is>
      </c>
      <c r="G227" t="n">
        <v>1.2</v>
      </c>
      <c r="H227" t="n">
        <v>0</v>
      </c>
      <c r="I227" t="n">
        <v>0</v>
      </c>
      <c r="J227" t="n">
        <v>0</v>
      </c>
      <c r="K227" t="n">
        <v>0</v>
      </c>
      <c r="L227" t="n">
        <v>0</v>
      </c>
      <c r="M227" t="n">
        <v>0</v>
      </c>
      <c r="N227" t="n">
        <v>0</v>
      </c>
      <c r="O227" t="n">
        <v>0</v>
      </c>
      <c r="P227" t="n">
        <v>0</v>
      </c>
      <c r="Q227" t="n">
        <v>0</v>
      </c>
      <c r="R227" s="2" t="inlineStr"/>
    </row>
    <row r="228" ht="15" customHeight="1">
      <c r="A228" t="inlineStr">
        <is>
          <t>A 18734-2022</t>
        </is>
      </c>
      <c r="B228" s="1" t="n">
        <v>44687.86751157408</v>
      </c>
      <c r="C228" s="1" t="n">
        <v>46190</v>
      </c>
      <c r="D228" t="inlineStr">
        <is>
          <t>UPPSALA LÄN</t>
        </is>
      </c>
      <c r="E228" t="inlineStr">
        <is>
          <t>ÖSTHAMMAR</t>
        </is>
      </c>
      <c r="F228" t="inlineStr">
        <is>
          <t>Bergvik skog öst AB</t>
        </is>
      </c>
      <c r="G228" t="n">
        <v>0.3</v>
      </c>
      <c r="H228" t="n">
        <v>0</v>
      </c>
      <c r="I228" t="n">
        <v>0</v>
      </c>
      <c r="J228" t="n">
        <v>0</v>
      </c>
      <c r="K228" t="n">
        <v>0</v>
      </c>
      <c r="L228" t="n">
        <v>0</v>
      </c>
      <c r="M228" t="n">
        <v>0</v>
      </c>
      <c r="N228" t="n">
        <v>0</v>
      </c>
      <c r="O228" t="n">
        <v>0</v>
      </c>
      <c r="P228" t="n">
        <v>0</v>
      </c>
      <c r="Q228" t="n">
        <v>0</v>
      </c>
      <c r="R228" s="2" t="inlineStr"/>
    </row>
    <row r="229" ht="15" customHeight="1">
      <c r="A229" t="inlineStr">
        <is>
          <t>A 20046-2023</t>
        </is>
      </c>
      <c r="B229" s="1" t="n">
        <v>45054</v>
      </c>
      <c r="C229" s="1" t="n">
        <v>46190</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1791-2023</t>
        </is>
      </c>
      <c r="B230" s="1" t="n">
        <v>44938</v>
      </c>
      <c r="C230" s="1" t="n">
        <v>46190</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51364-2021</t>
        </is>
      </c>
      <c r="B231" s="1" t="n">
        <v>44461</v>
      </c>
      <c r="C231" s="1" t="n">
        <v>46190</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30086-2023</t>
        </is>
      </c>
      <c r="B232" s="1" t="n">
        <v>45110.43907407407</v>
      </c>
      <c r="C232" s="1" t="n">
        <v>46190</v>
      </c>
      <c r="D232" t="inlineStr">
        <is>
          <t>UPPSALA LÄN</t>
        </is>
      </c>
      <c r="E232" t="inlineStr">
        <is>
          <t>ÖSTHAMMAR</t>
        </is>
      </c>
      <c r="G232" t="n">
        <v>3.5</v>
      </c>
      <c r="H232" t="n">
        <v>0</v>
      </c>
      <c r="I232" t="n">
        <v>0</v>
      </c>
      <c r="J232" t="n">
        <v>0</v>
      </c>
      <c r="K232" t="n">
        <v>0</v>
      </c>
      <c r="L232" t="n">
        <v>0</v>
      </c>
      <c r="M232" t="n">
        <v>0</v>
      </c>
      <c r="N232" t="n">
        <v>0</v>
      </c>
      <c r="O232" t="n">
        <v>0</v>
      </c>
      <c r="P232" t="n">
        <v>0</v>
      </c>
      <c r="Q232" t="n">
        <v>0</v>
      </c>
      <c r="R232" s="2" t="inlineStr"/>
    </row>
    <row r="233" ht="15" customHeight="1">
      <c r="A233" t="inlineStr">
        <is>
          <t>A 49796-2024</t>
        </is>
      </c>
      <c r="B233" s="1" t="n">
        <v>45597</v>
      </c>
      <c r="C233" s="1" t="n">
        <v>46190</v>
      </c>
      <c r="D233" t="inlineStr">
        <is>
          <t>UPPSALA LÄN</t>
        </is>
      </c>
      <c r="E233" t="inlineStr">
        <is>
          <t>ÖSTHAMMAR</t>
        </is>
      </c>
      <c r="G233" t="n">
        <v>1.3</v>
      </c>
      <c r="H233" t="n">
        <v>0</v>
      </c>
      <c r="I233" t="n">
        <v>0</v>
      </c>
      <c r="J233" t="n">
        <v>0</v>
      </c>
      <c r="K233" t="n">
        <v>0</v>
      </c>
      <c r="L233" t="n">
        <v>0</v>
      </c>
      <c r="M233" t="n">
        <v>0</v>
      </c>
      <c r="N233" t="n">
        <v>0</v>
      </c>
      <c r="O233" t="n">
        <v>0</v>
      </c>
      <c r="P233" t="n">
        <v>0</v>
      </c>
      <c r="Q233" t="n">
        <v>0</v>
      </c>
      <c r="R233" s="2" t="inlineStr"/>
    </row>
    <row r="234" ht="15" customHeight="1">
      <c r="A234" t="inlineStr">
        <is>
          <t>A 43915-2023</t>
        </is>
      </c>
      <c r="B234" s="1" t="n">
        <v>45187.71274305556</v>
      </c>
      <c r="C234" s="1" t="n">
        <v>46190</v>
      </c>
      <c r="D234" t="inlineStr">
        <is>
          <t>UPPSALA LÄN</t>
        </is>
      </c>
      <c r="E234" t="inlineStr">
        <is>
          <t>ÖSTHAMMAR</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29753-2022</t>
        </is>
      </c>
      <c r="B235" s="1" t="n">
        <v>44755</v>
      </c>
      <c r="C235" s="1" t="n">
        <v>46190</v>
      </c>
      <c r="D235" t="inlineStr">
        <is>
          <t>UPPSALA LÄN</t>
        </is>
      </c>
      <c r="E235" t="inlineStr">
        <is>
          <t>ÖSTHAMMAR</t>
        </is>
      </c>
      <c r="G235" t="n">
        <v>9.4</v>
      </c>
      <c r="H235" t="n">
        <v>0</v>
      </c>
      <c r="I235" t="n">
        <v>0</v>
      </c>
      <c r="J235" t="n">
        <v>0</v>
      </c>
      <c r="K235" t="n">
        <v>0</v>
      </c>
      <c r="L235" t="n">
        <v>0</v>
      </c>
      <c r="M235" t="n">
        <v>0</v>
      </c>
      <c r="N235" t="n">
        <v>0</v>
      </c>
      <c r="O235" t="n">
        <v>0</v>
      </c>
      <c r="P235" t="n">
        <v>0</v>
      </c>
      <c r="Q235" t="n">
        <v>0</v>
      </c>
      <c r="R235" s="2" t="inlineStr"/>
    </row>
    <row r="236" ht="15" customHeight="1">
      <c r="A236" t="inlineStr">
        <is>
          <t>A 32742-2022</t>
        </is>
      </c>
      <c r="B236" s="1" t="n">
        <v>44783.69886574074</v>
      </c>
      <c r="C236" s="1" t="n">
        <v>46190</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49833-2023</t>
        </is>
      </c>
      <c r="B237" s="1" t="n">
        <v>45212.71481481481</v>
      </c>
      <c r="C237" s="1" t="n">
        <v>46190</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42262-2024</t>
        </is>
      </c>
      <c r="B238" s="1" t="n">
        <v>45562</v>
      </c>
      <c r="C238" s="1" t="n">
        <v>46190</v>
      </c>
      <c r="D238" t="inlineStr">
        <is>
          <t>UPPSALA LÄN</t>
        </is>
      </c>
      <c r="E238" t="inlineStr">
        <is>
          <t>ÖSTHAMMAR</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28421-2023</t>
        </is>
      </c>
      <c r="B239" s="1" t="n">
        <v>45102</v>
      </c>
      <c r="C239" s="1" t="n">
        <v>46190</v>
      </c>
      <c r="D239" t="inlineStr">
        <is>
          <t>UPPSALA LÄN</t>
        </is>
      </c>
      <c r="E239" t="inlineStr">
        <is>
          <t>ÖSTHAMMAR</t>
        </is>
      </c>
      <c r="F239" t="inlineStr">
        <is>
          <t>Bergvik skog öst AB</t>
        </is>
      </c>
      <c r="G239" t="n">
        <v>0.4</v>
      </c>
      <c r="H239" t="n">
        <v>0</v>
      </c>
      <c r="I239" t="n">
        <v>0</v>
      </c>
      <c r="J239" t="n">
        <v>0</v>
      </c>
      <c r="K239" t="n">
        <v>0</v>
      </c>
      <c r="L239" t="n">
        <v>0</v>
      </c>
      <c r="M239" t="n">
        <v>0</v>
      </c>
      <c r="N239" t="n">
        <v>0</v>
      </c>
      <c r="O239" t="n">
        <v>0</v>
      </c>
      <c r="P239" t="n">
        <v>0</v>
      </c>
      <c r="Q239" t="n">
        <v>0</v>
      </c>
      <c r="R239" s="2" t="inlineStr"/>
    </row>
    <row r="240" ht="15" customHeight="1">
      <c r="A240" t="inlineStr">
        <is>
          <t>A 45307-2023</t>
        </is>
      </c>
      <c r="B240" s="1" t="n">
        <v>45191</v>
      </c>
      <c r="C240" s="1" t="n">
        <v>46190</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8763-2025</t>
        </is>
      </c>
      <c r="B241" s="1" t="n">
        <v>45712.57872685185</v>
      </c>
      <c r="C241" s="1" t="n">
        <v>46190</v>
      </c>
      <c r="D241" t="inlineStr">
        <is>
          <t>UPPSALA LÄN</t>
        </is>
      </c>
      <c r="E241" t="inlineStr">
        <is>
          <t>ÖSTHAMMAR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17013-2022</t>
        </is>
      </c>
      <c r="B242" s="1" t="n">
        <v>44676</v>
      </c>
      <c r="C242" s="1" t="n">
        <v>46190</v>
      </c>
      <c r="D242" t="inlineStr">
        <is>
          <t>UPPSALA LÄN</t>
        </is>
      </c>
      <c r="E242" t="inlineStr">
        <is>
          <t>ÖSTHAMMAR</t>
        </is>
      </c>
      <c r="F242" t="inlineStr">
        <is>
          <t>Bergvik skog öst AB</t>
        </is>
      </c>
      <c r="G242" t="n">
        <v>0.2</v>
      </c>
      <c r="H242" t="n">
        <v>0</v>
      </c>
      <c r="I242" t="n">
        <v>0</v>
      </c>
      <c r="J242" t="n">
        <v>0</v>
      </c>
      <c r="K242" t="n">
        <v>0</v>
      </c>
      <c r="L242" t="n">
        <v>0</v>
      </c>
      <c r="M242" t="n">
        <v>0</v>
      </c>
      <c r="N242" t="n">
        <v>0</v>
      </c>
      <c r="O242" t="n">
        <v>0</v>
      </c>
      <c r="P242" t="n">
        <v>0</v>
      </c>
      <c r="Q242" t="n">
        <v>0</v>
      </c>
      <c r="R242" s="2" t="inlineStr"/>
    </row>
    <row r="243" ht="15" customHeight="1">
      <c r="A243" t="inlineStr">
        <is>
          <t>A 54368-2023</t>
        </is>
      </c>
      <c r="B243" s="1" t="n">
        <v>45233.33221064815</v>
      </c>
      <c r="C243" s="1" t="n">
        <v>46190</v>
      </c>
      <c r="D243" t="inlineStr">
        <is>
          <t>UPPSALA LÄN</t>
        </is>
      </c>
      <c r="E243" t="inlineStr">
        <is>
          <t>ÖSTHAMMAR</t>
        </is>
      </c>
      <c r="F243" t="inlineStr">
        <is>
          <t>Bergvik skog öst AB</t>
        </is>
      </c>
      <c r="G243" t="n">
        <v>3</v>
      </c>
      <c r="H243" t="n">
        <v>0</v>
      </c>
      <c r="I243" t="n">
        <v>0</v>
      </c>
      <c r="J243" t="n">
        <v>0</v>
      </c>
      <c r="K243" t="n">
        <v>0</v>
      </c>
      <c r="L243" t="n">
        <v>0</v>
      </c>
      <c r="M243" t="n">
        <v>0</v>
      </c>
      <c r="N243" t="n">
        <v>0</v>
      </c>
      <c r="O243" t="n">
        <v>0</v>
      </c>
      <c r="P243" t="n">
        <v>0</v>
      </c>
      <c r="Q243" t="n">
        <v>0</v>
      </c>
      <c r="R243" s="2" t="inlineStr"/>
    </row>
    <row r="244" ht="15" customHeight="1">
      <c r="A244" t="inlineStr">
        <is>
          <t>A 32815-2024</t>
        </is>
      </c>
      <c r="B244" s="1" t="n">
        <v>45516.57682870371</v>
      </c>
      <c r="C244" s="1" t="n">
        <v>46190</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61261-2022</t>
        </is>
      </c>
      <c r="B245" s="1" t="n">
        <v>44915.59645833333</v>
      </c>
      <c r="C245" s="1" t="n">
        <v>46190</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14187-2022</t>
        </is>
      </c>
      <c r="B246" s="1" t="n">
        <v>44651.5625</v>
      </c>
      <c r="C246" s="1" t="n">
        <v>46190</v>
      </c>
      <c r="D246" t="inlineStr">
        <is>
          <t>UPPSALA LÄN</t>
        </is>
      </c>
      <c r="E246" t="inlineStr">
        <is>
          <t>ÖSTHAMMAR</t>
        </is>
      </c>
      <c r="F246" t="inlineStr">
        <is>
          <t>Övriga Aktiebolag</t>
        </is>
      </c>
      <c r="G246" t="n">
        <v>14.1</v>
      </c>
      <c r="H246" t="n">
        <v>0</v>
      </c>
      <c r="I246" t="n">
        <v>0</v>
      </c>
      <c r="J246" t="n">
        <v>0</v>
      </c>
      <c r="K246" t="n">
        <v>0</v>
      </c>
      <c r="L246" t="n">
        <v>0</v>
      </c>
      <c r="M246" t="n">
        <v>0</v>
      </c>
      <c r="N246" t="n">
        <v>0</v>
      </c>
      <c r="O246" t="n">
        <v>0</v>
      </c>
      <c r="P246" t="n">
        <v>0</v>
      </c>
      <c r="Q246" t="n">
        <v>0</v>
      </c>
      <c r="R246" s="2" t="inlineStr"/>
    </row>
    <row r="247" ht="15" customHeight="1">
      <c r="A247" t="inlineStr">
        <is>
          <t>A 13093-2022</t>
        </is>
      </c>
      <c r="B247" s="1" t="n">
        <v>44643.93269675926</v>
      </c>
      <c r="C247" s="1" t="n">
        <v>46190</v>
      </c>
      <c r="D247" t="inlineStr">
        <is>
          <t>UPPSALA LÄN</t>
        </is>
      </c>
      <c r="E247" t="inlineStr">
        <is>
          <t>ÖSTHAMMAR</t>
        </is>
      </c>
      <c r="F247" t="inlineStr">
        <is>
          <t>Bergvik skog öst AB</t>
        </is>
      </c>
      <c r="G247" t="n">
        <v>3.2</v>
      </c>
      <c r="H247" t="n">
        <v>0</v>
      </c>
      <c r="I247" t="n">
        <v>0</v>
      </c>
      <c r="J247" t="n">
        <v>0</v>
      </c>
      <c r="K247" t="n">
        <v>0</v>
      </c>
      <c r="L247" t="n">
        <v>0</v>
      </c>
      <c r="M247" t="n">
        <v>0</v>
      </c>
      <c r="N247" t="n">
        <v>0</v>
      </c>
      <c r="O247" t="n">
        <v>0</v>
      </c>
      <c r="P247" t="n">
        <v>0</v>
      </c>
      <c r="Q247" t="n">
        <v>0</v>
      </c>
      <c r="R247" s="2" t="inlineStr"/>
    </row>
    <row r="248" ht="15" customHeight="1">
      <c r="A248" t="inlineStr">
        <is>
          <t>A 5429-2023</t>
        </is>
      </c>
      <c r="B248" s="1" t="n">
        <v>44959.83037037037</v>
      </c>
      <c r="C248" s="1" t="n">
        <v>46190</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11008-2023</t>
        </is>
      </c>
      <c r="B249" s="1" t="n">
        <v>44991</v>
      </c>
      <c r="C249" s="1" t="n">
        <v>46190</v>
      </c>
      <c r="D249" t="inlineStr">
        <is>
          <t>UPPSALA LÄN</t>
        </is>
      </c>
      <c r="E249" t="inlineStr">
        <is>
          <t>ÖSTHAMMAR</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36954-2024</t>
        </is>
      </c>
      <c r="B250" s="1" t="n">
        <v>45538.71109953704</v>
      </c>
      <c r="C250" s="1" t="n">
        <v>46190</v>
      </c>
      <c r="D250" t="inlineStr">
        <is>
          <t>UPPSALA LÄN</t>
        </is>
      </c>
      <c r="E250" t="inlineStr">
        <is>
          <t>ÖSTHAMMAR</t>
        </is>
      </c>
      <c r="F250" t="inlineStr">
        <is>
          <t>Bergvik skog öst AB</t>
        </is>
      </c>
      <c r="G250" t="n">
        <v>5.1</v>
      </c>
      <c r="H250" t="n">
        <v>0</v>
      </c>
      <c r="I250" t="n">
        <v>0</v>
      </c>
      <c r="J250" t="n">
        <v>0</v>
      </c>
      <c r="K250" t="n">
        <v>0</v>
      </c>
      <c r="L250" t="n">
        <v>0</v>
      </c>
      <c r="M250" t="n">
        <v>0</v>
      </c>
      <c r="N250" t="n">
        <v>0</v>
      </c>
      <c r="O250" t="n">
        <v>0</v>
      </c>
      <c r="P250" t="n">
        <v>0</v>
      </c>
      <c r="Q250" t="n">
        <v>0</v>
      </c>
      <c r="R250" s="2" t="inlineStr"/>
    </row>
    <row r="251" ht="15" customHeight="1">
      <c r="A251" t="inlineStr">
        <is>
          <t>A 33685-2024</t>
        </is>
      </c>
      <c r="B251" s="1" t="n">
        <v>45520.51063657407</v>
      </c>
      <c r="C251" s="1" t="n">
        <v>46190</v>
      </c>
      <c r="D251" t="inlineStr">
        <is>
          <t>UPPSALA LÄN</t>
        </is>
      </c>
      <c r="E251" t="inlineStr">
        <is>
          <t>ÖSTHAMMAR</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60047-2021</t>
        </is>
      </c>
      <c r="B252" s="1" t="n">
        <v>44495</v>
      </c>
      <c r="C252" s="1" t="n">
        <v>46190</v>
      </c>
      <c r="D252" t="inlineStr">
        <is>
          <t>UPPSALA LÄN</t>
        </is>
      </c>
      <c r="E252" t="inlineStr">
        <is>
          <t>ÖSTHAMMAR</t>
        </is>
      </c>
      <c r="F252" t="inlineStr">
        <is>
          <t>Övriga Aktiebolag</t>
        </is>
      </c>
      <c r="G252" t="n">
        <v>1.8</v>
      </c>
      <c r="H252" t="n">
        <v>0</v>
      </c>
      <c r="I252" t="n">
        <v>0</v>
      </c>
      <c r="J252" t="n">
        <v>0</v>
      </c>
      <c r="K252" t="n">
        <v>0</v>
      </c>
      <c r="L252" t="n">
        <v>0</v>
      </c>
      <c r="M252" t="n">
        <v>0</v>
      </c>
      <c r="N252" t="n">
        <v>0</v>
      </c>
      <c r="O252" t="n">
        <v>0</v>
      </c>
      <c r="P252" t="n">
        <v>0</v>
      </c>
      <c r="Q252" t="n">
        <v>0</v>
      </c>
      <c r="R252" s="2" t="inlineStr"/>
    </row>
    <row r="253" ht="15" customHeight="1">
      <c r="A253" t="inlineStr">
        <is>
          <t>A 43655-2024</t>
        </is>
      </c>
      <c r="B253" s="1" t="n">
        <v>45569</v>
      </c>
      <c r="C253" s="1" t="n">
        <v>46190</v>
      </c>
      <c r="D253" t="inlineStr">
        <is>
          <t>UPPSALA LÄN</t>
        </is>
      </c>
      <c r="E253" t="inlineStr">
        <is>
          <t>ÖSTHAMMAR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14595-2023</t>
        </is>
      </c>
      <c r="B254" s="1" t="n">
        <v>45013.57858796296</v>
      </c>
      <c r="C254" s="1" t="n">
        <v>46190</v>
      </c>
      <c r="D254" t="inlineStr">
        <is>
          <t>UPPSALA LÄN</t>
        </is>
      </c>
      <c r="E254" t="inlineStr">
        <is>
          <t>ÖSTHAMMAR</t>
        </is>
      </c>
      <c r="G254" t="n">
        <v>5</v>
      </c>
      <c r="H254" t="n">
        <v>0</v>
      </c>
      <c r="I254" t="n">
        <v>0</v>
      </c>
      <c r="J254" t="n">
        <v>0</v>
      </c>
      <c r="K254" t="n">
        <v>0</v>
      </c>
      <c r="L254" t="n">
        <v>0</v>
      </c>
      <c r="M254" t="n">
        <v>0</v>
      </c>
      <c r="N254" t="n">
        <v>0</v>
      </c>
      <c r="O254" t="n">
        <v>0</v>
      </c>
      <c r="P254" t="n">
        <v>0</v>
      </c>
      <c r="Q254" t="n">
        <v>0</v>
      </c>
      <c r="R254" s="2" t="inlineStr"/>
    </row>
    <row r="255" ht="15" customHeight="1">
      <c r="A255" t="inlineStr">
        <is>
          <t>A 32483-2024</t>
        </is>
      </c>
      <c r="B255" s="1" t="n">
        <v>45513.36644675926</v>
      </c>
      <c r="C255" s="1" t="n">
        <v>46190</v>
      </c>
      <c r="D255" t="inlineStr">
        <is>
          <t>UPPSALA LÄN</t>
        </is>
      </c>
      <c r="E255" t="inlineStr">
        <is>
          <t>ÖSTHAMMAR</t>
        </is>
      </c>
      <c r="F255" t="inlineStr">
        <is>
          <t>Kyrkan</t>
        </is>
      </c>
      <c r="G255" t="n">
        <v>4.7</v>
      </c>
      <c r="H255" t="n">
        <v>0</v>
      </c>
      <c r="I255" t="n">
        <v>0</v>
      </c>
      <c r="J255" t="n">
        <v>0</v>
      </c>
      <c r="K255" t="n">
        <v>0</v>
      </c>
      <c r="L255" t="n">
        <v>0</v>
      </c>
      <c r="M255" t="n">
        <v>0</v>
      </c>
      <c r="N255" t="n">
        <v>0</v>
      </c>
      <c r="O255" t="n">
        <v>0</v>
      </c>
      <c r="P255" t="n">
        <v>0</v>
      </c>
      <c r="Q255" t="n">
        <v>0</v>
      </c>
      <c r="R255" s="2" t="inlineStr"/>
    </row>
    <row r="256" ht="15" customHeight="1">
      <c r="A256" t="inlineStr">
        <is>
          <t>A 38575-2024</t>
        </is>
      </c>
      <c r="B256" s="1" t="n">
        <v>45546.64221064815</v>
      </c>
      <c r="C256" s="1" t="n">
        <v>46190</v>
      </c>
      <c r="D256" t="inlineStr">
        <is>
          <t>UPPSALA LÄN</t>
        </is>
      </c>
      <c r="E256" t="inlineStr">
        <is>
          <t>ÖSTHAMMAR</t>
        </is>
      </c>
      <c r="F256" t="inlineStr">
        <is>
          <t>Bergvik skog öst AB</t>
        </is>
      </c>
      <c r="G256" t="n">
        <v>5.1</v>
      </c>
      <c r="H256" t="n">
        <v>0</v>
      </c>
      <c r="I256" t="n">
        <v>0</v>
      </c>
      <c r="J256" t="n">
        <v>0</v>
      </c>
      <c r="K256" t="n">
        <v>0</v>
      </c>
      <c r="L256" t="n">
        <v>0</v>
      </c>
      <c r="M256" t="n">
        <v>0</v>
      </c>
      <c r="N256" t="n">
        <v>0</v>
      </c>
      <c r="O256" t="n">
        <v>0</v>
      </c>
      <c r="P256" t="n">
        <v>0</v>
      </c>
      <c r="Q256" t="n">
        <v>0</v>
      </c>
      <c r="R256" s="2" t="inlineStr"/>
    </row>
    <row r="257" ht="15" customHeight="1">
      <c r="A257" t="inlineStr">
        <is>
          <t>A 3514-2023</t>
        </is>
      </c>
      <c r="B257" s="1" t="n">
        <v>44950</v>
      </c>
      <c r="C257" s="1" t="n">
        <v>46190</v>
      </c>
      <c r="D257" t="inlineStr">
        <is>
          <t>UPPSALA LÄN</t>
        </is>
      </c>
      <c r="E257" t="inlineStr">
        <is>
          <t>ÖSTHAMMAR</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43685-2024</t>
        </is>
      </c>
      <c r="B258" s="1" t="n">
        <v>45569</v>
      </c>
      <c r="C258" s="1" t="n">
        <v>46190</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44796-2024</t>
        </is>
      </c>
      <c r="B259" s="1" t="n">
        <v>45574</v>
      </c>
      <c r="C259" s="1" t="n">
        <v>46190</v>
      </c>
      <c r="D259" t="inlineStr">
        <is>
          <t>UPPSALA LÄN</t>
        </is>
      </c>
      <c r="E259" t="inlineStr">
        <is>
          <t>ÖSTHAMMAR</t>
        </is>
      </c>
      <c r="G259" t="n">
        <v>4.7</v>
      </c>
      <c r="H259" t="n">
        <v>0</v>
      </c>
      <c r="I259" t="n">
        <v>0</v>
      </c>
      <c r="J259" t="n">
        <v>0</v>
      </c>
      <c r="K259" t="n">
        <v>0</v>
      </c>
      <c r="L259" t="n">
        <v>0</v>
      </c>
      <c r="M259" t="n">
        <v>0</v>
      </c>
      <c r="N259" t="n">
        <v>0</v>
      </c>
      <c r="O259" t="n">
        <v>0</v>
      </c>
      <c r="P259" t="n">
        <v>0</v>
      </c>
      <c r="Q259" t="n">
        <v>0</v>
      </c>
      <c r="R259" s="2" t="inlineStr"/>
    </row>
    <row r="260" ht="15" customHeight="1">
      <c r="A260" t="inlineStr">
        <is>
          <t>A 19009-2023</t>
        </is>
      </c>
      <c r="B260" s="1" t="n">
        <v>45045</v>
      </c>
      <c r="C260" s="1" t="n">
        <v>46190</v>
      </c>
      <c r="D260" t="inlineStr">
        <is>
          <t>UPPSALA LÄN</t>
        </is>
      </c>
      <c r="E260" t="inlineStr">
        <is>
          <t>ÖSTHAMMAR</t>
        </is>
      </c>
      <c r="F260" t="inlineStr">
        <is>
          <t>Bergvik skog öst AB</t>
        </is>
      </c>
      <c r="G260" t="n">
        <v>0.2</v>
      </c>
      <c r="H260" t="n">
        <v>0</v>
      </c>
      <c r="I260" t="n">
        <v>0</v>
      </c>
      <c r="J260" t="n">
        <v>0</v>
      </c>
      <c r="K260" t="n">
        <v>0</v>
      </c>
      <c r="L260" t="n">
        <v>0</v>
      </c>
      <c r="M260" t="n">
        <v>0</v>
      </c>
      <c r="N260" t="n">
        <v>0</v>
      </c>
      <c r="O260" t="n">
        <v>0</v>
      </c>
      <c r="P260" t="n">
        <v>0</v>
      </c>
      <c r="Q260" t="n">
        <v>0</v>
      </c>
      <c r="R260" s="2" t="inlineStr"/>
    </row>
    <row r="261" ht="15" customHeight="1">
      <c r="A261" t="inlineStr">
        <is>
          <t>A 44027-2024</t>
        </is>
      </c>
      <c r="B261" s="1" t="n">
        <v>45572</v>
      </c>
      <c r="C261" s="1" t="n">
        <v>46190</v>
      </c>
      <c r="D261" t="inlineStr">
        <is>
          <t>UPPSALA LÄN</t>
        </is>
      </c>
      <c r="E261" t="inlineStr">
        <is>
          <t>ÖSTHAMMAR</t>
        </is>
      </c>
      <c r="G261" t="n">
        <v>6</v>
      </c>
      <c r="H261" t="n">
        <v>0</v>
      </c>
      <c r="I261" t="n">
        <v>0</v>
      </c>
      <c r="J261" t="n">
        <v>0</v>
      </c>
      <c r="K261" t="n">
        <v>0</v>
      </c>
      <c r="L261" t="n">
        <v>0</v>
      </c>
      <c r="M261" t="n">
        <v>0</v>
      </c>
      <c r="N261" t="n">
        <v>0</v>
      </c>
      <c r="O261" t="n">
        <v>0</v>
      </c>
      <c r="P261" t="n">
        <v>0</v>
      </c>
      <c r="Q261" t="n">
        <v>0</v>
      </c>
      <c r="R261" s="2" t="inlineStr"/>
    </row>
    <row r="262" ht="15" customHeight="1">
      <c r="A262" t="inlineStr">
        <is>
          <t>A 5931-2022</t>
        </is>
      </c>
      <c r="B262" s="1" t="n">
        <v>44598.82700231481</v>
      </c>
      <c r="C262" s="1" t="n">
        <v>46190</v>
      </c>
      <c r="D262" t="inlineStr">
        <is>
          <t>UPPSALA LÄN</t>
        </is>
      </c>
      <c r="E262" t="inlineStr">
        <is>
          <t>ÖSTHAMMAR</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6143-2022</t>
        </is>
      </c>
      <c r="B263" s="1" t="n">
        <v>44599.72306712963</v>
      </c>
      <c r="C263" s="1" t="n">
        <v>46190</v>
      </c>
      <c r="D263" t="inlineStr">
        <is>
          <t>UPPSALA LÄN</t>
        </is>
      </c>
      <c r="E263" t="inlineStr">
        <is>
          <t>ÖSTHAMMAR</t>
        </is>
      </c>
      <c r="G263" t="n">
        <v>3.4</v>
      </c>
      <c r="H263" t="n">
        <v>0</v>
      </c>
      <c r="I263" t="n">
        <v>0</v>
      </c>
      <c r="J263" t="n">
        <v>0</v>
      </c>
      <c r="K263" t="n">
        <v>0</v>
      </c>
      <c r="L263" t="n">
        <v>0</v>
      </c>
      <c r="M263" t="n">
        <v>0</v>
      </c>
      <c r="N263" t="n">
        <v>0</v>
      </c>
      <c r="O263" t="n">
        <v>0</v>
      </c>
      <c r="P263" t="n">
        <v>0</v>
      </c>
      <c r="Q263" t="n">
        <v>0</v>
      </c>
      <c r="R263" s="2" t="inlineStr"/>
    </row>
    <row r="264" ht="15" customHeight="1">
      <c r="A264" t="inlineStr">
        <is>
          <t>A 43683-2024</t>
        </is>
      </c>
      <c r="B264" s="1" t="n">
        <v>45569.57518518518</v>
      </c>
      <c r="C264" s="1" t="n">
        <v>46190</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6153-2022</t>
        </is>
      </c>
      <c r="B265" s="1" t="n">
        <v>44599</v>
      </c>
      <c r="C265" s="1" t="n">
        <v>46190</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24128-2023</t>
        </is>
      </c>
      <c r="B266" s="1" t="n">
        <v>45079.50289351852</v>
      </c>
      <c r="C266" s="1" t="n">
        <v>46190</v>
      </c>
      <c r="D266" t="inlineStr">
        <is>
          <t>UPPSALA LÄN</t>
        </is>
      </c>
      <c r="E266" t="inlineStr">
        <is>
          <t>ÖSTHAMMAR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43993-2024</t>
        </is>
      </c>
      <c r="B267" s="1" t="n">
        <v>45572.52690972222</v>
      </c>
      <c r="C267" s="1" t="n">
        <v>46190</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33552-2024</t>
        </is>
      </c>
      <c r="B268" s="1" t="n">
        <v>45519</v>
      </c>
      <c r="C268" s="1" t="n">
        <v>46190</v>
      </c>
      <c r="D268" t="inlineStr">
        <is>
          <t>UPPSALA LÄN</t>
        </is>
      </c>
      <c r="E268" t="inlineStr">
        <is>
          <t>ÖSTHAMMAR</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59291-2023</t>
        </is>
      </c>
      <c r="B269" s="1" t="n">
        <v>45253.57559027777</v>
      </c>
      <c r="C269" s="1" t="n">
        <v>46190</v>
      </c>
      <c r="D269" t="inlineStr">
        <is>
          <t>UPPSALA LÄN</t>
        </is>
      </c>
      <c r="E269" t="inlineStr">
        <is>
          <t>ÖSTHAMMAR</t>
        </is>
      </c>
      <c r="G269" t="n">
        <v>1.7</v>
      </c>
      <c r="H269" t="n">
        <v>0</v>
      </c>
      <c r="I269" t="n">
        <v>0</v>
      </c>
      <c r="J269" t="n">
        <v>0</v>
      </c>
      <c r="K269" t="n">
        <v>0</v>
      </c>
      <c r="L269" t="n">
        <v>0</v>
      </c>
      <c r="M269" t="n">
        <v>0</v>
      </c>
      <c r="N269" t="n">
        <v>0</v>
      </c>
      <c r="O269" t="n">
        <v>0</v>
      </c>
      <c r="P269" t="n">
        <v>0</v>
      </c>
      <c r="Q269" t="n">
        <v>0</v>
      </c>
      <c r="R269" s="2" t="inlineStr"/>
    </row>
    <row r="270" ht="15" customHeight="1">
      <c r="A270" t="inlineStr">
        <is>
          <t>A 24181-2022</t>
        </is>
      </c>
      <c r="B270" s="1" t="n">
        <v>44725</v>
      </c>
      <c r="C270" s="1" t="n">
        <v>46190</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19947-2024</t>
        </is>
      </c>
      <c r="B271" s="1" t="n">
        <v>45433</v>
      </c>
      <c r="C271" s="1" t="n">
        <v>46190</v>
      </c>
      <c r="D271" t="inlineStr">
        <is>
          <t>UPPSALA LÄN</t>
        </is>
      </c>
      <c r="E271" t="inlineStr">
        <is>
          <t>ÖSTHAMMAR</t>
        </is>
      </c>
      <c r="G271" t="n">
        <v>0.3</v>
      </c>
      <c r="H271" t="n">
        <v>0</v>
      </c>
      <c r="I271" t="n">
        <v>0</v>
      </c>
      <c r="J271" t="n">
        <v>0</v>
      </c>
      <c r="K271" t="n">
        <v>0</v>
      </c>
      <c r="L271" t="n">
        <v>0</v>
      </c>
      <c r="M271" t="n">
        <v>0</v>
      </c>
      <c r="N271" t="n">
        <v>0</v>
      </c>
      <c r="O271" t="n">
        <v>0</v>
      </c>
      <c r="P271" t="n">
        <v>0</v>
      </c>
      <c r="Q271" t="n">
        <v>0</v>
      </c>
      <c r="R271" s="2" t="inlineStr"/>
    </row>
    <row r="272" ht="15" customHeight="1">
      <c r="A272" t="inlineStr">
        <is>
          <t>A 57-2023</t>
        </is>
      </c>
      <c r="B272" s="1" t="n">
        <v>44928.40917824074</v>
      </c>
      <c r="C272" s="1" t="n">
        <v>46190</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59-2023</t>
        </is>
      </c>
      <c r="B273" s="1" t="n">
        <v>44928.41822916667</v>
      </c>
      <c r="C273" s="1" t="n">
        <v>46190</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55079-2024</t>
        </is>
      </c>
      <c r="B274" s="1" t="n">
        <v>45621.42747685185</v>
      </c>
      <c r="C274" s="1" t="n">
        <v>46190</v>
      </c>
      <c r="D274" t="inlineStr">
        <is>
          <t>UPPSALA LÄN</t>
        </is>
      </c>
      <c r="E274" t="inlineStr">
        <is>
          <t>ÖSTHAMMAR</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33680-2024</t>
        </is>
      </c>
      <c r="B275" s="1" t="n">
        <v>45520.50712962963</v>
      </c>
      <c r="C275" s="1" t="n">
        <v>46190</v>
      </c>
      <c r="D275" t="inlineStr">
        <is>
          <t>UPPSALA LÄN</t>
        </is>
      </c>
      <c r="E275" t="inlineStr">
        <is>
          <t>ÖSTHAMMAR</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21522-2022</t>
        </is>
      </c>
      <c r="B276" s="1" t="n">
        <v>44706</v>
      </c>
      <c r="C276" s="1" t="n">
        <v>46190</v>
      </c>
      <c r="D276" t="inlineStr">
        <is>
          <t>UPPSALA LÄN</t>
        </is>
      </c>
      <c r="E276" t="inlineStr">
        <is>
          <t>ÖSTHAMMAR</t>
        </is>
      </c>
      <c r="G276" t="n">
        <v>1.8</v>
      </c>
      <c r="H276" t="n">
        <v>0</v>
      </c>
      <c r="I276" t="n">
        <v>0</v>
      </c>
      <c r="J276" t="n">
        <v>0</v>
      </c>
      <c r="K276" t="n">
        <v>0</v>
      </c>
      <c r="L276" t="n">
        <v>0</v>
      </c>
      <c r="M276" t="n">
        <v>0</v>
      </c>
      <c r="N276" t="n">
        <v>0</v>
      </c>
      <c r="O276" t="n">
        <v>0</v>
      </c>
      <c r="P276" t="n">
        <v>0</v>
      </c>
      <c r="Q276" t="n">
        <v>0</v>
      </c>
      <c r="R276" s="2" t="inlineStr"/>
    </row>
    <row r="277" ht="15" customHeight="1">
      <c r="A277" t="inlineStr">
        <is>
          <t>A 30811-2023</t>
        </is>
      </c>
      <c r="B277" s="1" t="n">
        <v>45112.86422453704</v>
      </c>
      <c r="C277" s="1" t="n">
        <v>46190</v>
      </c>
      <c r="D277" t="inlineStr">
        <is>
          <t>UPPSALA LÄN</t>
        </is>
      </c>
      <c r="E277" t="inlineStr">
        <is>
          <t>ÖSTHAMMAR</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55646-2021</t>
        </is>
      </c>
      <c r="B278" s="1" t="n">
        <v>44476.3632175926</v>
      </c>
      <c r="C278" s="1" t="n">
        <v>46190</v>
      </c>
      <c r="D278" t="inlineStr">
        <is>
          <t>UPPSALA LÄN</t>
        </is>
      </c>
      <c r="E278" t="inlineStr">
        <is>
          <t>ÖSTHAMMAR</t>
        </is>
      </c>
      <c r="F278" t="inlineStr">
        <is>
          <t>Bergvik skog öst AB</t>
        </is>
      </c>
      <c r="G278" t="n">
        <v>0.2</v>
      </c>
      <c r="H278" t="n">
        <v>0</v>
      </c>
      <c r="I278" t="n">
        <v>0</v>
      </c>
      <c r="J278" t="n">
        <v>0</v>
      </c>
      <c r="K278" t="n">
        <v>0</v>
      </c>
      <c r="L278" t="n">
        <v>0</v>
      </c>
      <c r="M278" t="n">
        <v>0</v>
      </c>
      <c r="N278" t="n">
        <v>0</v>
      </c>
      <c r="O278" t="n">
        <v>0</v>
      </c>
      <c r="P278" t="n">
        <v>0</v>
      </c>
      <c r="Q278" t="n">
        <v>0</v>
      </c>
      <c r="R278" s="2" t="inlineStr"/>
    </row>
    <row r="279" ht="15" customHeight="1">
      <c r="A279" t="inlineStr">
        <is>
          <t>A 35474-2023</t>
        </is>
      </c>
      <c r="B279" s="1" t="n">
        <v>45146.68921296296</v>
      </c>
      <c r="C279" s="1" t="n">
        <v>46190</v>
      </c>
      <c r="D279" t="inlineStr">
        <is>
          <t>UPPSALA LÄN</t>
        </is>
      </c>
      <c r="E279" t="inlineStr">
        <is>
          <t>ÖSTHAMMAR</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61443-2024</t>
        </is>
      </c>
      <c r="B280" s="1" t="n">
        <v>45646.47936342593</v>
      </c>
      <c r="C280" s="1" t="n">
        <v>46190</v>
      </c>
      <c r="D280" t="inlineStr">
        <is>
          <t>UPPSALA LÄN</t>
        </is>
      </c>
      <c r="E280" t="inlineStr">
        <is>
          <t>ÖSTHAMMAR</t>
        </is>
      </c>
      <c r="G280" t="n">
        <v>0.4</v>
      </c>
      <c r="H280" t="n">
        <v>0</v>
      </c>
      <c r="I280" t="n">
        <v>0</v>
      </c>
      <c r="J280" t="n">
        <v>0</v>
      </c>
      <c r="K280" t="n">
        <v>0</v>
      </c>
      <c r="L280" t="n">
        <v>0</v>
      </c>
      <c r="M280" t="n">
        <v>0</v>
      </c>
      <c r="N280" t="n">
        <v>0</v>
      </c>
      <c r="O280" t="n">
        <v>0</v>
      </c>
      <c r="P280" t="n">
        <v>0</v>
      </c>
      <c r="Q280" t="n">
        <v>0</v>
      </c>
      <c r="R280" s="2" t="inlineStr"/>
    </row>
    <row r="281" ht="15" customHeight="1">
      <c r="A281" t="inlineStr">
        <is>
          <t>A 1584-2025</t>
        </is>
      </c>
      <c r="B281" s="1" t="n">
        <v>45670</v>
      </c>
      <c r="C281" s="1" t="n">
        <v>46190</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30972-2024</t>
        </is>
      </c>
      <c r="B282" s="1" t="n">
        <v>45499.47106481482</v>
      </c>
      <c r="C282" s="1" t="n">
        <v>46190</v>
      </c>
      <c r="D282" t="inlineStr">
        <is>
          <t>UPPSALA LÄN</t>
        </is>
      </c>
      <c r="E282" t="inlineStr">
        <is>
          <t>ÖSTHAMMAR</t>
        </is>
      </c>
      <c r="F282" t="inlineStr">
        <is>
          <t>Bergvik skog öst AB</t>
        </is>
      </c>
      <c r="G282" t="n">
        <v>0.8</v>
      </c>
      <c r="H282" t="n">
        <v>0</v>
      </c>
      <c r="I282" t="n">
        <v>0</v>
      </c>
      <c r="J282" t="n">
        <v>0</v>
      </c>
      <c r="K282" t="n">
        <v>0</v>
      </c>
      <c r="L282" t="n">
        <v>0</v>
      </c>
      <c r="M282" t="n">
        <v>0</v>
      </c>
      <c r="N282" t="n">
        <v>0</v>
      </c>
      <c r="O282" t="n">
        <v>0</v>
      </c>
      <c r="P282" t="n">
        <v>0</v>
      </c>
      <c r="Q282" t="n">
        <v>0</v>
      </c>
      <c r="R282" s="2" t="inlineStr"/>
    </row>
    <row r="283" ht="15" customHeight="1">
      <c r="A283" t="inlineStr">
        <is>
          <t>A 24160-2024</t>
        </is>
      </c>
      <c r="B283" s="1" t="n">
        <v>45456</v>
      </c>
      <c r="C283" s="1" t="n">
        <v>46190</v>
      </c>
      <c r="D283" t="inlineStr">
        <is>
          <t>UPPSALA LÄN</t>
        </is>
      </c>
      <c r="E283" t="inlineStr">
        <is>
          <t>ÖSTHAMMAR</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31035-2022</t>
        </is>
      </c>
      <c r="B284" s="1" t="n">
        <v>44768.88685185185</v>
      </c>
      <c r="C284" s="1" t="n">
        <v>46190</v>
      </c>
      <c r="D284" t="inlineStr">
        <is>
          <t>UPPSALA LÄN</t>
        </is>
      </c>
      <c r="E284" t="inlineStr">
        <is>
          <t>ÖSTHAMMAR</t>
        </is>
      </c>
      <c r="F284" t="inlineStr">
        <is>
          <t>Bergvik skog öst AB</t>
        </is>
      </c>
      <c r="G284" t="n">
        <v>1.5</v>
      </c>
      <c r="H284" t="n">
        <v>0</v>
      </c>
      <c r="I284" t="n">
        <v>0</v>
      </c>
      <c r="J284" t="n">
        <v>0</v>
      </c>
      <c r="K284" t="n">
        <v>0</v>
      </c>
      <c r="L284" t="n">
        <v>0</v>
      </c>
      <c r="M284" t="n">
        <v>0</v>
      </c>
      <c r="N284" t="n">
        <v>0</v>
      </c>
      <c r="O284" t="n">
        <v>0</v>
      </c>
      <c r="P284" t="n">
        <v>0</v>
      </c>
      <c r="Q284" t="n">
        <v>0</v>
      </c>
      <c r="R284" s="2" t="inlineStr"/>
    </row>
    <row r="285" ht="15" customHeight="1">
      <c r="A285" t="inlineStr">
        <is>
          <t>A 24415-2025</t>
        </is>
      </c>
      <c r="B285" s="1" t="n">
        <v>45797.67381944445</v>
      </c>
      <c r="C285" s="1" t="n">
        <v>46190</v>
      </c>
      <c r="D285" t="inlineStr">
        <is>
          <t>UPPSALA LÄN</t>
        </is>
      </c>
      <c r="E285" t="inlineStr">
        <is>
          <t>ÖSTHAMMAR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13279-2022</t>
        </is>
      </c>
      <c r="B286" s="1" t="n">
        <v>44644</v>
      </c>
      <c r="C286" s="1" t="n">
        <v>46190</v>
      </c>
      <c r="D286" t="inlineStr">
        <is>
          <t>UPPSALA LÄN</t>
        </is>
      </c>
      <c r="E286" t="inlineStr">
        <is>
          <t>ÖSTHAMMAR</t>
        </is>
      </c>
      <c r="G286" t="n">
        <v>1.4</v>
      </c>
      <c r="H286" t="n">
        <v>0</v>
      </c>
      <c r="I286" t="n">
        <v>0</v>
      </c>
      <c r="J286" t="n">
        <v>0</v>
      </c>
      <c r="K286" t="n">
        <v>0</v>
      </c>
      <c r="L286" t="n">
        <v>0</v>
      </c>
      <c r="M286" t="n">
        <v>0</v>
      </c>
      <c r="N286" t="n">
        <v>0</v>
      </c>
      <c r="O286" t="n">
        <v>0</v>
      </c>
      <c r="P286" t="n">
        <v>0</v>
      </c>
      <c r="Q286" t="n">
        <v>0</v>
      </c>
      <c r="R286" s="2" t="inlineStr"/>
    </row>
    <row r="287" ht="15" customHeight="1">
      <c r="A287" t="inlineStr">
        <is>
          <t>A 14124-2022</t>
        </is>
      </c>
      <c r="B287" s="1" t="n">
        <v>44651.40924768519</v>
      </c>
      <c r="C287" s="1" t="n">
        <v>46190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58324-2023</t>
        </is>
      </c>
      <c r="B288" s="1" t="n">
        <v>45250.58635416667</v>
      </c>
      <c r="C288" s="1" t="n">
        <v>46190</v>
      </c>
      <c r="D288" t="inlineStr">
        <is>
          <t>UPPSALA LÄN</t>
        </is>
      </c>
      <c r="E288" t="inlineStr">
        <is>
          <t>ÖSTHAMMAR</t>
        </is>
      </c>
      <c r="G288" t="n">
        <v>5.1</v>
      </c>
      <c r="H288" t="n">
        <v>0</v>
      </c>
      <c r="I288" t="n">
        <v>0</v>
      </c>
      <c r="J288" t="n">
        <v>0</v>
      </c>
      <c r="K288" t="n">
        <v>0</v>
      </c>
      <c r="L288" t="n">
        <v>0</v>
      </c>
      <c r="M288" t="n">
        <v>0</v>
      </c>
      <c r="N288" t="n">
        <v>0</v>
      </c>
      <c r="O288" t="n">
        <v>0</v>
      </c>
      <c r="P288" t="n">
        <v>0</v>
      </c>
      <c r="Q288" t="n">
        <v>0</v>
      </c>
      <c r="R288" s="2" t="inlineStr"/>
    </row>
    <row r="289" ht="15" customHeight="1">
      <c r="A289" t="inlineStr">
        <is>
          <t>A 6046-2025</t>
        </is>
      </c>
      <c r="B289" s="1" t="n">
        <v>45695</v>
      </c>
      <c r="C289" s="1" t="n">
        <v>46190</v>
      </c>
      <c r="D289" t="inlineStr">
        <is>
          <t>UPPSALA LÄN</t>
        </is>
      </c>
      <c r="E289" t="inlineStr">
        <is>
          <t>ÖSTHAMMAR</t>
        </is>
      </c>
      <c r="G289" t="n">
        <v>0.8</v>
      </c>
      <c r="H289" t="n">
        <v>0</v>
      </c>
      <c r="I289" t="n">
        <v>0</v>
      </c>
      <c r="J289" t="n">
        <v>0</v>
      </c>
      <c r="K289" t="n">
        <v>0</v>
      </c>
      <c r="L289" t="n">
        <v>0</v>
      </c>
      <c r="M289" t="n">
        <v>0</v>
      </c>
      <c r="N289" t="n">
        <v>0</v>
      </c>
      <c r="O289" t="n">
        <v>0</v>
      </c>
      <c r="P289" t="n">
        <v>0</v>
      </c>
      <c r="Q289" t="n">
        <v>0</v>
      </c>
      <c r="R289" s="2" t="inlineStr"/>
      <c r="U289">
        <f>HYPERLINK("https://klasma.github.io/Logging_0382/knärot/A 6046-2025 karta knärot.png", "A 6046-2025")</f>
        <v/>
      </c>
      <c r="V289">
        <f>HYPERLINK("https://klasma.github.io/Logging_0382/klagomål/A 6046-2025 FSC-klagomål.docx", "A 6046-2025")</f>
        <v/>
      </c>
      <c r="W289">
        <f>HYPERLINK("https://klasma.github.io/Logging_0382/klagomålsmail/A 6046-2025 FSC-klagomål mail.docx", "A 6046-2025")</f>
        <v/>
      </c>
      <c r="X289">
        <f>HYPERLINK("https://klasma.github.io/Logging_0382/tillsyn/A 6046-2025 tillsynsbegäran.docx", "A 6046-2025")</f>
        <v/>
      </c>
      <c r="Y289">
        <f>HYPERLINK("https://klasma.github.io/Logging_0382/tillsynsmail/A 6046-2025 tillsynsbegäran mail.docx", "A 6046-2025")</f>
        <v/>
      </c>
    </row>
    <row r="290" ht="15" customHeight="1">
      <c r="A290" t="inlineStr">
        <is>
          <t>A 18731-2022</t>
        </is>
      </c>
      <c r="B290" s="1" t="n">
        <v>44687.78673611111</v>
      </c>
      <c r="C290" s="1" t="n">
        <v>46190</v>
      </c>
      <c r="D290" t="inlineStr">
        <is>
          <t>UPPSALA LÄN</t>
        </is>
      </c>
      <c r="E290" t="inlineStr">
        <is>
          <t>ÖSTHAMMAR</t>
        </is>
      </c>
      <c r="G290" t="n">
        <v>4.9</v>
      </c>
      <c r="H290" t="n">
        <v>0</v>
      </c>
      <c r="I290" t="n">
        <v>0</v>
      </c>
      <c r="J290" t="n">
        <v>0</v>
      </c>
      <c r="K290" t="n">
        <v>0</v>
      </c>
      <c r="L290" t="n">
        <v>0</v>
      </c>
      <c r="M290" t="n">
        <v>0</v>
      </c>
      <c r="N290" t="n">
        <v>0</v>
      </c>
      <c r="O290" t="n">
        <v>0</v>
      </c>
      <c r="P290" t="n">
        <v>0</v>
      </c>
      <c r="Q290" t="n">
        <v>0</v>
      </c>
      <c r="R290" s="2" t="inlineStr"/>
    </row>
    <row r="291" ht="15" customHeight="1">
      <c r="A291" t="inlineStr">
        <is>
          <t>A 11385-2024</t>
        </is>
      </c>
      <c r="B291" s="1" t="n">
        <v>45372</v>
      </c>
      <c r="C291" s="1" t="n">
        <v>46190</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9642-2024</t>
        </is>
      </c>
      <c r="B292" s="1" t="n">
        <v>45362.36296296296</v>
      </c>
      <c r="C292" s="1" t="n">
        <v>46190</v>
      </c>
      <c r="D292" t="inlineStr">
        <is>
          <t>UPPSALA LÄN</t>
        </is>
      </c>
      <c r="E292" t="inlineStr">
        <is>
          <t>ÖSTHAMMAR</t>
        </is>
      </c>
      <c r="G292" t="n">
        <v>3.1</v>
      </c>
      <c r="H292" t="n">
        <v>0</v>
      </c>
      <c r="I292" t="n">
        <v>0</v>
      </c>
      <c r="J292" t="n">
        <v>0</v>
      </c>
      <c r="K292" t="n">
        <v>0</v>
      </c>
      <c r="L292" t="n">
        <v>0</v>
      </c>
      <c r="M292" t="n">
        <v>0</v>
      </c>
      <c r="N292" t="n">
        <v>0</v>
      </c>
      <c r="O292" t="n">
        <v>0</v>
      </c>
      <c r="P292" t="n">
        <v>0</v>
      </c>
      <c r="Q292" t="n">
        <v>0</v>
      </c>
      <c r="R292" s="2" t="inlineStr"/>
    </row>
    <row r="293" ht="15" customHeight="1">
      <c r="A293" t="inlineStr">
        <is>
          <t>A 24606-2024</t>
        </is>
      </c>
      <c r="B293" s="1" t="n">
        <v>45460</v>
      </c>
      <c r="C293" s="1" t="n">
        <v>46190</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18401-2025</t>
        </is>
      </c>
      <c r="B294" s="1" t="n">
        <v>45762.5966087963</v>
      </c>
      <c r="C294" s="1" t="n">
        <v>46190</v>
      </c>
      <c r="D294" t="inlineStr">
        <is>
          <t>UPPSALA LÄN</t>
        </is>
      </c>
      <c r="E294" t="inlineStr">
        <is>
          <t>ÖSTHAMMAR</t>
        </is>
      </c>
      <c r="G294" t="n">
        <v>1.7</v>
      </c>
      <c r="H294" t="n">
        <v>0</v>
      </c>
      <c r="I294" t="n">
        <v>0</v>
      </c>
      <c r="J294" t="n">
        <v>0</v>
      </c>
      <c r="K294" t="n">
        <v>0</v>
      </c>
      <c r="L294" t="n">
        <v>0</v>
      </c>
      <c r="M294" t="n">
        <v>0</v>
      </c>
      <c r="N294" t="n">
        <v>0</v>
      </c>
      <c r="O294" t="n">
        <v>0</v>
      </c>
      <c r="P294" t="n">
        <v>0</v>
      </c>
      <c r="Q294" t="n">
        <v>0</v>
      </c>
      <c r="R294" s="2" t="inlineStr"/>
    </row>
    <row r="295" ht="15" customHeight="1">
      <c r="A295" t="inlineStr">
        <is>
          <t>A 49097-2022</t>
        </is>
      </c>
      <c r="B295" s="1" t="n">
        <v>44860</v>
      </c>
      <c r="C295" s="1" t="n">
        <v>46190</v>
      </c>
      <c r="D295" t="inlineStr">
        <is>
          <t>UPPSALA LÄN</t>
        </is>
      </c>
      <c r="E295" t="inlineStr">
        <is>
          <t>ÖSTHAMMAR</t>
        </is>
      </c>
      <c r="G295" t="n">
        <v>6.9</v>
      </c>
      <c r="H295" t="n">
        <v>0</v>
      </c>
      <c r="I295" t="n">
        <v>0</v>
      </c>
      <c r="J295" t="n">
        <v>0</v>
      </c>
      <c r="K295" t="n">
        <v>0</v>
      </c>
      <c r="L295" t="n">
        <v>0</v>
      </c>
      <c r="M295" t="n">
        <v>0</v>
      </c>
      <c r="N295" t="n">
        <v>0</v>
      </c>
      <c r="O295" t="n">
        <v>0</v>
      </c>
      <c r="P295" t="n">
        <v>0</v>
      </c>
      <c r="Q295" t="n">
        <v>0</v>
      </c>
      <c r="R295" s="2" t="inlineStr"/>
    </row>
    <row r="296" ht="15" customHeight="1">
      <c r="A296" t="inlineStr">
        <is>
          <t>A 28429-2023</t>
        </is>
      </c>
      <c r="B296" s="1" t="n">
        <v>45102.58728009259</v>
      </c>
      <c r="C296" s="1" t="n">
        <v>46190</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46190</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835-2025</t>
        </is>
      </c>
      <c r="B298" s="1" t="n">
        <v>45665.58465277778</v>
      </c>
      <c r="C298" s="1" t="n">
        <v>46190</v>
      </c>
      <c r="D298" t="inlineStr">
        <is>
          <t>UPPSALA LÄN</t>
        </is>
      </c>
      <c r="E298" t="inlineStr">
        <is>
          <t>ÖSTHAMMAR</t>
        </is>
      </c>
      <c r="F298" t="inlineStr">
        <is>
          <t>Övriga Aktiebolag</t>
        </is>
      </c>
      <c r="G298" t="n">
        <v>4.8</v>
      </c>
      <c r="H298" t="n">
        <v>0</v>
      </c>
      <c r="I298" t="n">
        <v>0</v>
      </c>
      <c r="J298" t="n">
        <v>0</v>
      </c>
      <c r="K298" t="n">
        <v>0</v>
      </c>
      <c r="L298" t="n">
        <v>0</v>
      </c>
      <c r="M298" t="n">
        <v>0</v>
      </c>
      <c r="N298" t="n">
        <v>0</v>
      </c>
      <c r="O298" t="n">
        <v>0</v>
      </c>
      <c r="P298" t="n">
        <v>0</v>
      </c>
      <c r="Q298" t="n">
        <v>0</v>
      </c>
      <c r="R298" s="2" t="inlineStr"/>
    </row>
    <row r="299" ht="15" customHeight="1">
      <c r="A299" t="inlineStr">
        <is>
          <t>A 58878-2022</t>
        </is>
      </c>
      <c r="B299" s="1" t="n">
        <v>44903</v>
      </c>
      <c r="C299" s="1" t="n">
        <v>46190</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30755-2024</t>
        </is>
      </c>
      <c r="B300" s="1" t="n">
        <v>45496</v>
      </c>
      <c r="C300" s="1" t="n">
        <v>46190</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36904-2023</t>
        </is>
      </c>
      <c r="B301" s="1" t="n">
        <v>45154</v>
      </c>
      <c r="C301" s="1" t="n">
        <v>46190</v>
      </c>
      <c r="D301" t="inlineStr">
        <is>
          <t>UPPSALA LÄN</t>
        </is>
      </c>
      <c r="E301" t="inlineStr">
        <is>
          <t>ÖSTHAMMAR</t>
        </is>
      </c>
      <c r="F301" t="inlineStr">
        <is>
          <t>Övriga Aktiebolag</t>
        </is>
      </c>
      <c r="G301" t="n">
        <v>1.5</v>
      </c>
      <c r="H301" t="n">
        <v>0</v>
      </c>
      <c r="I301" t="n">
        <v>0</v>
      </c>
      <c r="J301" t="n">
        <v>0</v>
      </c>
      <c r="K301" t="n">
        <v>0</v>
      </c>
      <c r="L301" t="n">
        <v>0</v>
      </c>
      <c r="M301" t="n">
        <v>0</v>
      </c>
      <c r="N301" t="n">
        <v>0</v>
      </c>
      <c r="O301" t="n">
        <v>0</v>
      </c>
      <c r="P301" t="n">
        <v>0</v>
      </c>
      <c r="Q301" t="n">
        <v>0</v>
      </c>
      <c r="R301" s="2" t="inlineStr"/>
    </row>
    <row r="302" ht="15" customHeight="1">
      <c r="A302" t="inlineStr">
        <is>
          <t>A 4562-2022</t>
        </is>
      </c>
      <c r="B302" s="1" t="n">
        <v>44591</v>
      </c>
      <c r="C302" s="1" t="n">
        <v>46190</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53733-2023</t>
        </is>
      </c>
      <c r="B303" s="1" t="n">
        <v>45230.76862268519</v>
      </c>
      <c r="C303" s="1" t="n">
        <v>46190</v>
      </c>
      <c r="D303" t="inlineStr">
        <is>
          <t>UPPSALA LÄN</t>
        </is>
      </c>
      <c r="E303" t="inlineStr">
        <is>
          <t>ÖSTHAMMAR</t>
        </is>
      </c>
      <c r="G303" t="n">
        <v>1.1</v>
      </c>
      <c r="H303" t="n">
        <v>0</v>
      </c>
      <c r="I303" t="n">
        <v>0</v>
      </c>
      <c r="J303" t="n">
        <v>0</v>
      </c>
      <c r="K303" t="n">
        <v>0</v>
      </c>
      <c r="L303" t="n">
        <v>0</v>
      </c>
      <c r="M303" t="n">
        <v>0</v>
      </c>
      <c r="N303" t="n">
        <v>0</v>
      </c>
      <c r="O303" t="n">
        <v>0</v>
      </c>
      <c r="P303" t="n">
        <v>0</v>
      </c>
      <c r="Q303" t="n">
        <v>0</v>
      </c>
      <c r="R303" s="2" t="inlineStr"/>
    </row>
    <row r="304" ht="15" customHeight="1">
      <c r="A304" t="inlineStr">
        <is>
          <t>A 12945-2025</t>
        </is>
      </c>
      <c r="B304" s="1" t="n">
        <v>45734.38159722222</v>
      </c>
      <c r="C304" s="1" t="n">
        <v>46190</v>
      </c>
      <c r="D304" t="inlineStr">
        <is>
          <t>UPPSALA LÄN</t>
        </is>
      </c>
      <c r="E304" t="inlineStr">
        <is>
          <t>ÖSTHAMMAR</t>
        </is>
      </c>
      <c r="G304" t="n">
        <v>2.1</v>
      </c>
      <c r="H304" t="n">
        <v>0</v>
      </c>
      <c r="I304" t="n">
        <v>0</v>
      </c>
      <c r="J304" t="n">
        <v>0</v>
      </c>
      <c r="K304" t="n">
        <v>0</v>
      </c>
      <c r="L304" t="n">
        <v>0</v>
      </c>
      <c r="M304" t="n">
        <v>0</v>
      </c>
      <c r="N304" t="n">
        <v>0</v>
      </c>
      <c r="O304" t="n">
        <v>0</v>
      </c>
      <c r="P304" t="n">
        <v>0</v>
      </c>
      <c r="Q304" t="n">
        <v>0</v>
      </c>
      <c r="R304" s="2" t="inlineStr"/>
    </row>
    <row r="305" ht="15" customHeight="1">
      <c r="A305" t="inlineStr">
        <is>
          <t>A 34185-2024</t>
        </is>
      </c>
      <c r="B305" s="1" t="n">
        <v>45524</v>
      </c>
      <c r="C305" s="1" t="n">
        <v>46190</v>
      </c>
      <c r="D305" t="inlineStr">
        <is>
          <t>UPPSALA LÄN</t>
        </is>
      </c>
      <c r="E305" t="inlineStr">
        <is>
          <t>ÖSTHAMMAR</t>
        </is>
      </c>
      <c r="G305" t="n">
        <v>2.5</v>
      </c>
      <c r="H305" t="n">
        <v>0</v>
      </c>
      <c r="I305" t="n">
        <v>0</v>
      </c>
      <c r="J305" t="n">
        <v>0</v>
      </c>
      <c r="K305" t="n">
        <v>0</v>
      </c>
      <c r="L305" t="n">
        <v>0</v>
      </c>
      <c r="M305" t="n">
        <v>0</v>
      </c>
      <c r="N305" t="n">
        <v>0</v>
      </c>
      <c r="O305" t="n">
        <v>0</v>
      </c>
      <c r="P305" t="n">
        <v>0</v>
      </c>
      <c r="Q305" t="n">
        <v>0</v>
      </c>
      <c r="R305" s="2" t="inlineStr"/>
    </row>
    <row r="306" ht="15" customHeight="1">
      <c r="A306" t="inlineStr">
        <is>
          <t>A 41308-2023</t>
        </is>
      </c>
      <c r="B306" s="1" t="n">
        <v>45174.62788194444</v>
      </c>
      <c r="C306" s="1" t="n">
        <v>46190</v>
      </c>
      <c r="D306" t="inlineStr">
        <is>
          <t>UPPSALA LÄN</t>
        </is>
      </c>
      <c r="E306" t="inlineStr">
        <is>
          <t>ÖSTHAMMAR</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17969-2023</t>
        </is>
      </c>
      <c r="B307" s="1" t="n">
        <v>45040.47081018519</v>
      </c>
      <c r="C307" s="1" t="n">
        <v>46190</v>
      </c>
      <c r="D307" t="inlineStr">
        <is>
          <t>UPPSALA LÄN</t>
        </is>
      </c>
      <c r="E307" t="inlineStr">
        <is>
          <t>ÖSTHAMMAR</t>
        </is>
      </c>
      <c r="G307" t="n">
        <v>5.4</v>
      </c>
      <c r="H307" t="n">
        <v>0</v>
      </c>
      <c r="I307" t="n">
        <v>0</v>
      </c>
      <c r="J307" t="n">
        <v>0</v>
      </c>
      <c r="K307" t="n">
        <v>0</v>
      </c>
      <c r="L307" t="n">
        <v>0</v>
      </c>
      <c r="M307" t="n">
        <v>0</v>
      </c>
      <c r="N307" t="n">
        <v>0</v>
      </c>
      <c r="O307" t="n">
        <v>0</v>
      </c>
      <c r="P307" t="n">
        <v>0</v>
      </c>
      <c r="Q307" t="n">
        <v>0</v>
      </c>
      <c r="R307" s="2" t="inlineStr"/>
    </row>
    <row r="308" ht="15" customHeight="1">
      <c r="A308" t="inlineStr">
        <is>
          <t>A 53735-2023</t>
        </is>
      </c>
      <c r="B308" s="1" t="n">
        <v>45230.77258101852</v>
      </c>
      <c r="C308" s="1" t="n">
        <v>46190</v>
      </c>
      <c r="D308" t="inlineStr">
        <is>
          <t>UPPSALA LÄN</t>
        </is>
      </c>
      <c r="E308" t="inlineStr">
        <is>
          <t>ÖSTHAMMAR</t>
        </is>
      </c>
      <c r="G308" t="n">
        <v>1.1</v>
      </c>
      <c r="H308" t="n">
        <v>0</v>
      </c>
      <c r="I308" t="n">
        <v>0</v>
      </c>
      <c r="J308" t="n">
        <v>0</v>
      </c>
      <c r="K308" t="n">
        <v>0</v>
      </c>
      <c r="L308" t="n">
        <v>0</v>
      </c>
      <c r="M308" t="n">
        <v>0</v>
      </c>
      <c r="N308" t="n">
        <v>0</v>
      </c>
      <c r="O308" t="n">
        <v>0</v>
      </c>
      <c r="P308" t="n">
        <v>0</v>
      </c>
      <c r="Q308" t="n">
        <v>0</v>
      </c>
      <c r="R308" s="2" t="inlineStr"/>
    </row>
    <row r="309" ht="15" customHeight="1">
      <c r="A309" t="inlineStr">
        <is>
          <t>A 16089-2025</t>
        </is>
      </c>
      <c r="B309" s="1" t="n">
        <v>45749.84232638889</v>
      </c>
      <c r="C309" s="1" t="n">
        <v>46190</v>
      </c>
      <c r="D309" t="inlineStr">
        <is>
          <t>UPPSALA LÄN</t>
        </is>
      </c>
      <c r="E309" t="inlineStr">
        <is>
          <t>ÖSTHAMMAR</t>
        </is>
      </c>
      <c r="F309" t="inlineStr">
        <is>
          <t>Bergvik skog öst AB</t>
        </is>
      </c>
      <c r="G309" t="n">
        <v>2.6</v>
      </c>
      <c r="H309" t="n">
        <v>0</v>
      </c>
      <c r="I309" t="n">
        <v>0</v>
      </c>
      <c r="J309" t="n">
        <v>0</v>
      </c>
      <c r="K309" t="n">
        <v>0</v>
      </c>
      <c r="L309" t="n">
        <v>0</v>
      </c>
      <c r="M309" t="n">
        <v>0</v>
      </c>
      <c r="N309" t="n">
        <v>0</v>
      </c>
      <c r="O309" t="n">
        <v>0</v>
      </c>
      <c r="P309" t="n">
        <v>0</v>
      </c>
      <c r="Q309" t="n">
        <v>0</v>
      </c>
      <c r="R309" s="2" t="inlineStr"/>
    </row>
    <row r="310" ht="15" customHeight="1">
      <c r="A310" t="inlineStr">
        <is>
          <t>A 38702-2022</t>
        </is>
      </c>
      <c r="B310" s="1" t="n">
        <v>44814.5991087963</v>
      </c>
      <c r="C310" s="1" t="n">
        <v>46190</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25969-2023</t>
        </is>
      </c>
      <c r="B311" s="1" t="n">
        <v>45090</v>
      </c>
      <c r="C311" s="1" t="n">
        <v>46190</v>
      </c>
      <c r="D311" t="inlineStr">
        <is>
          <t>UPPSALA LÄN</t>
        </is>
      </c>
      <c r="E311" t="inlineStr">
        <is>
          <t>ÖSTHAMMAR</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50998-2023</t>
        </is>
      </c>
      <c r="B312" s="1" t="n">
        <v>45218.5586574074</v>
      </c>
      <c r="C312" s="1" t="n">
        <v>46190</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55837-2023</t>
        </is>
      </c>
      <c r="B313" s="1" t="n">
        <v>45239</v>
      </c>
      <c r="C313" s="1" t="n">
        <v>46190</v>
      </c>
      <c r="D313" t="inlineStr">
        <is>
          <t>UPPSALA LÄN</t>
        </is>
      </c>
      <c r="E313" t="inlineStr">
        <is>
          <t>ÖSTHAMMAR</t>
        </is>
      </c>
      <c r="G313" t="n">
        <v>0.5</v>
      </c>
      <c r="H313" t="n">
        <v>0</v>
      </c>
      <c r="I313" t="n">
        <v>0</v>
      </c>
      <c r="J313" t="n">
        <v>0</v>
      </c>
      <c r="K313" t="n">
        <v>0</v>
      </c>
      <c r="L313" t="n">
        <v>0</v>
      </c>
      <c r="M313" t="n">
        <v>0</v>
      </c>
      <c r="N313" t="n">
        <v>0</v>
      </c>
      <c r="O313" t="n">
        <v>0</v>
      </c>
      <c r="P313" t="n">
        <v>0</v>
      </c>
      <c r="Q313" t="n">
        <v>0</v>
      </c>
      <c r="R313" s="2" t="inlineStr"/>
    </row>
    <row r="314" ht="15" customHeight="1">
      <c r="A314" t="inlineStr">
        <is>
          <t>A 18838-2023</t>
        </is>
      </c>
      <c r="B314" s="1" t="n">
        <v>45044</v>
      </c>
      <c r="C314" s="1" t="n">
        <v>46190</v>
      </c>
      <c r="D314" t="inlineStr">
        <is>
          <t>UPPSALA LÄN</t>
        </is>
      </c>
      <c r="E314" t="inlineStr">
        <is>
          <t>ÖSTHAMMAR</t>
        </is>
      </c>
      <c r="G314" t="n">
        <v>2.8</v>
      </c>
      <c r="H314" t="n">
        <v>0</v>
      </c>
      <c r="I314" t="n">
        <v>0</v>
      </c>
      <c r="J314" t="n">
        <v>0</v>
      </c>
      <c r="K314" t="n">
        <v>0</v>
      </c>
      <c r="L314" t="n">
        <v>0</v>
      </c>
      <c r="M314" t="n">
        <v>0</v>
      </c>
      <c r="N314" t="n">
        <v>0</v>
      </c>
      <c r="O314" t="n">
        <v>0</v>
      </c>
      <c r="P314" t="n">
        <v>0</v>
      </c>
      <c r="Q314" t="n">
        <v>0</v>
      </c>
      <c r="R314" s="2" t="inlineStr"/>
    </row>
    <row r="315" ht="15" customHeight="1">
      <c r="A315" t="inlineStr">
        <is>
          <t>A 1439-2025</t>
        </is>
      </c>
      <c r="B315" s="1" t="n">
        <v>45669.69075231482</v>
      </c>
      <c r="C315" s="1" t="n">
        <v>46190</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1575-2025</t>
        </is>
      </c>
      <c r="B316" s="1" t="n">
        <v>45670</v>
      </c>
      <c r="C316" s="1" t="n">
        <v>46190</v>
      </c>
      <c r="D316" t="inlineStr">
        <is>
          <t>UPPSALA LÄN</t>
        </is>
      </c>
      <c r="E316" t="inlineStr">
        <is>
          <t>ÖSTHAMMAR</t>
        </is>
      </c>
      <c r="G316" t="n">
        <v>0.4</v>
      </c>
      <c r="H316" t="n">
        <v>0</v>
      </c>
      <c r="I316" t="n">
        <v>0</v>
      </c>
      <c r="J316" t="n">
        <v>0</v>
      </c>
      <c r="K316" t="n">
        <v>0</v>
      </c>
      <c r="L316" t="n">
        <v>0</v>
      </c>
      <c r="M316" t="n">
        <v>0</v>
      </c>
      <c r="N316" t="n">
        <v>0</v>
      </c>
      <c r="O316" t="n">
        <v>0</v>
      </c>
      <c r="P316" t="n">
        <v>0</v>
      </c>
      <c r="Q316" t="n">
        <v>0</v>
      </c>
      <c r="R316" s="2" t="inlineStr"/>
    </row>
    <row r="317" ht="15" customHeight="1">
      <c r="A317" t="inlineStr">
        <is>
          <t>A 59382-2022</t>
        </is>
      </c>
      <c r="B317" s="1" t="n">
        <v>44905.50363425926</v>
      </c>
      <c r="C317" s="1" t="n">
        <v>46190</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14170-2025</t>
        </is>
      </c>
      <c r="B318" s="1" t="n">
        <v>45740.51895833333</v>
      </c>
      <c r="C318" s="1" t="n">
        <v>46190</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58297-2024</t>
        </is>
      </c>
      <c r="B319" s="1" t="n">
        <v>45632.59780092593</v>
      </c>
      <c r="C319" s="1" t="n">
        <v>46190</v>
      </c>
      <c r="D319" t="inlineStr">
        <is>
          <t>UPPSALA LÄN</t>
        </is>
      </c>
      <c r="E319" t="inlineStr">
        <is>
          <t>ÖSTHAMMAR</t>
        </is>
      </c>
      <c r="G319" t="n">
        <v>5.1</v>
      </c>
      <c r="H319" t="n">
        <v>0</v>
      </c>
      <c r="I319" t="n">
        <v>0</v>
      </c>
      <c r="J319" t="n">
        <v>0</v>
      </c>
      <c r="K319" t="n">
        <v>0</v>
      </c>
      <c r="L319" t="n">
        <v>0</v>
      </c>
      <c r="M319" t="n">
        <v>0</v>
      </c>
      <c r="N319" t="n">
        <v>0</v>
      </c>
      <c r="O319" t="n">
        <v>0</v>
      </c>
      <c r="P319" t="n">
        <v>0</v>
      </c>
      <c r="Q319" t="n">
        <v>0</v>
      </c>
      <c r="R319" s="2" t="inlineStr"/>
    </row>
    <row r="320" ht="15" customHeight="1">
      <c r="A320" t="inlineStr">
        <is>
          <t>A 26330-2025</t>
        </is>
      </c>
      <c r="B320" s="1" t="n">
        <v>45805.68263888889</v>
      </c>
      <c r="C320" s="1" t="n">
        <v>46190</v>
      </c>
      <c r="D320" t="inlineStr">
        <is>
          <t>UPPSALA LÄN</t>
        </is>
      </c>
      <c r="E320" t="inlineStr">
        <is>
          <t>ÖSTHAMMAR</t>
        </is>
      </c>
      <c r="G320" t="n">
        <v>0.5</v>
      </c>
      <c r="H320" t="n">
        <v>0</v>
      </c>
      <c r="I320" t="n">
        <v>0</v>
      </c>
      <c r="J320" t="n">
        <v>0</v>
      </c>
      <c r="K320" t="n">
        <v>0</v>
      </c>
      <c r="L320" t="n">
        <v>0</v>
      </c>
      <c r="M320" t="n">
        <v>0</v>
      </c>
      <c r="N320" t="n">
        <v>0</v>
      </c>
      <c r="O320" t="n">
        <v>0</v>
      </c>
      <c r="P320" t="n">
        <v>0</v>
      </c>
      <c r="Q320" t="n">
        <v>0</v>
      </c>
      <c r="R320" s="2" t="inlineStr"/>
    </row>
    <row r="321" ht="15" customHeight="1">
      <c r="A321" t="inlineStr">
        <is>
          <t>A 17085-2025</t>
        </is>
      </c>
      <c r="B321" s="1" t="n">
        <v>45755.64612268518</v>
      </c>
      <c r="C321" s="1" t="n">
        <v>46190</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29231-2024</t>
        </is>
      </c>
      <c r="B322" s="1" t="n">
        <v>45482</v>
      </c>
      <c r="C322" s="1" t="n">
        <v>46190</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38571-2023</t>
        </is>
      </c>
      <c r="B323" s="1" t="n">
        <v>45162.6177662037</v>
      </c>
      <c r="C323" s="1" t="n">
        <v>46190</v>
      </c>
      <c r="D323" t="inlineStr">
        <is>
          <t>UPPSALA LÄN</t>
        </is>
      </c>
      <c r="E323" t="inlineStr">
        <is>
          <t>ÖSTHAMMAR</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5884-2023</t>
        </is>
      </c>
      <c r="B324" s="1" t="n">
        <v>44963</v>
      </c>
      <c r="C324" s="1" t="n">
        <v>46190</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9264-2024</t>
        </is>
      </c>
      <c r="B325" s="1" t="n">
        <v>45358</v>
      </c>
      <c r="C325" s="1" t="n">
        <v>46190</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11643-2022</t>
        </is>
      </c>
      <c r="B326" s="1" t="n">
        <v>44631.92662037037</v>
      </c>
      <c r="C326" s="1" t="n">
        <v>46190</v>
      </c>
      <c r="D326" t="inlineStr">
        <is>
          <t>UPPSALA LÄN</t>
        </is>
      </c>
      <c r="E326" t="inlineStr">
        <is>
          <t>ÖSTHAMMAR</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52650-2022</t>
        </is>
      </c>
      <c r="B327" s="1" t="n">
        <v>44874</v>
      </c>
      <c r="C327" s="1" t="n">
        <v>46190</v>
      </c>
      <c r="D327" t="inlineStr">
        <is>
          <t>UPPSALA LÄN</t>
        </is>
      </c>
      <c r="E327" t="inlineStr">
        <is>
          <t>ÖSTHAMMAR</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37865-2023</t>
        </is>
      </c>
      <c r="B328" s="1" t="n">
        <v>45160</v>
      </c>
      <c r="C328" s="1" t="n">
        <v>46190</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27132-2025</t>
        </is>
      </c>
      <c r="B329" s="1" t="n">
        <v>45811</v>
      </c>
      <c r="C329" s="1" t="n">
        <v>46190</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34607-2023</t>
        </is>
      </c>
      <c r="B330" s="1" t="n">
        <v>45138</v>
      </c>
      <c r="C330" s="1" t="n">
        <v>46190</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5215-2025</t>
        </is>
      </c>
      <c r="B331" s="1" t="n">
        <v>45691</v>
      </c>
      <c r="C331" s="1" t="n">
        <v>46190</v>
      </c>
      <c r="D331" t="inlineStr">
        <is>
          <t>UPPSALA LÄN</t>
        </is>
      </c>
      <c r="E331" t="inlineStr">
        <is>
          <t>ÖSTHAMMAR</t>
        </is>
      </c>
      <c r="G331" t="n">
        <v>0.5</v>
      </c>
      <c r="H331" t="n">
        <v>0</v>
      </c>
      <c r="I331" t="n">
        <v>0</v>
      </c>
      <c r="J331" t="n">
        <v>0</v>
      </c>
      <c r="K331" t="n">
        <v>0</v>
      </c>
      <c r="L331" t="n">
        <v>0</v>
      </c>
      <c r="M331" t="n">
        <v>0</v>
      </c>
      <c r="N331" t="n">
        <v>0</v>
      </c>
      <c r="O331" t="n">
        <v>0</v>
      </c>
      <c r="P331" t="n">
        <v>0</v>
      </c>
      <c r="Q331" t="n">
        <v>0</v>
      </c>
      <c r="R331" s="2" t="inlineStr"/>
    </row>
    <row r="332" ht="15" customHeight="1">
      <c r="A332" t="inlineStr">
        <is>
          <t>A 2733-2023</t>
        </is>
      </c>
      <c r="B332" s="1" t="n">
        <v>44943</v>
      </c>
      <c r="C332" s="1" t="n">
        <v>46190</v>
      </c>
      <c r="D332" t="inlineStr">
        <is>
          <t>UPPSALA LÄN</t>
        </is>
      </c>
      <c r="E332" t="inlineStr">
        <is>
          <t>ÖSTHAMMAR</t>
        </is>
      </c>
      <c r="G332" t="n">
        <v>2.6</v>
      </c>
      <c r="H332" t="n">
        <v>0</v>
      </c>
      <c r="I332" t="n">
        <v>0</v>
      </c>
      <c r="J332" t="n">
        <v>0</v>
      </c>
      <c r="K332" t="n">
        <v>0</v>
      </c>
      <c r="L332" t="n">
        <v>0</v>
      </c>
      <c r="M332" t="n">
        <v>0</v>
      </c>
      <c r="N332" t="n">
        <v>0</v>
      </c>
      <c r="O332" t="n">
        <v>0</v>
      </c>
      <c r="P332" t="n">
        <v>0</v>
      </c>
      <c r="Q332" t="n">
        <v>0</v>
      </c>
      <c r="R332" s="2" t="inlineStr"/>
    </row>
    <row r="333" ht="15" customHeight="1">
      <c r="A333" t="inlineStr">
        <is>
          <t>A 8769-2025</t>
        </is>
      </c>
      <c r="B333" s="1" t="n">
        <v>45712.59412037037</v>
      </c>
      <c r="C333" s="1" t="n">
        <v>46190</v>
      </c>
      <c r="D333" t="inlineStr">
        <is>
          <t>UPPSALA LÄN</t>
        </is>
      </c>
      <c r="E333" t="inlineStr">
        <is>
          <t>ÖSTHAMMAR</t>
        </is>
      </c>
      <c r="G333" t="n">
        <v>1.9</v>
      </c>
      <c r="H333" t="n">
        <v>0</v>
      </c>
      <c r="I333" t="n">
        <v>0</v>
      </c>
      <c r="J333" t="n">
        <v>0</v>
      </c>
      <c r="K333" t="n">
        <v>0</v>
      </c>
      <c r="L333" t="n">
        <v>0</v>
      </c>
      <c r="M333" t="n">
        <v>0</v>
      </c>
      <c r="N333" t="n">
        <v>0</v>
      </c>
      <c r="O333" t="n">
        <v>0</v>
      </c>
      <c r="P333" t="n">
        <v>0</v>
      </c>
      <c r="Q333" t="n">
        <v>0</v>
      </c>
      <c r="R333" s="2" t="inlineStr"/>
    </row>
    <row r="334" ht="15" customHeight="1">
      <c r="A334" t="inlineStr">
        <is>
          <t>A 27347-2025</t>
        </is>
      </c>
      <c r="B334" s="1" t="n">
        <v>45812.62390046296</v>
      </c>
      <c r="C334" s="1" t="n">
        <v>46190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40384-2025</t>
        </is>
      </c>
      <c r="B335" s="1" t="n">
        <v>45895.54085648148</v>
      </c>
      <c r="C335" s="1" t="n">
        <v>46190</v>
      </c>
      <c r="D335" t="inlineStr">
        <is>
          <t>UPPSALA LÄN</t>
        </is>
      </c>
      <c r="E335" t="inlineStr">
        <is>
          <t>ÖSTHAMMAR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34971-2022</t>
        </is>
      </c>
      <c r="B336" s="1" t="n">
        <v>44796.66613425926</v>
      </c>
      <c r="C336" s="1" t="n">
        <v>46190</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3725-2022</t>
        </is>
      </c>
      <c r="B337" s="1" t="n">
        <v>44586</v>
      </c>
      <c r="C337" s="1" t="n">
        <v>46190</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12812-2024</t>
        </is>
      </c>
      <c r="B338" s="1" t="n">
        <v>45384.65465277778</v>
      </c>
      <c r="C338" s="1" t="n">
        <v>46190</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40382-2025</t>
        </is>
      </c>
      <c r="B339" s="1" t="n">
        <v>45895.53689814815</v>
      </c>
      <c r="C339" s="1" t="n">
        <v>46190</v>
      </c>
      <c r="D339" t="inlineStr">
        <is>
          <t>UPPSALA LÄN</t>
        </is>
      </c>
      <c r="E339" t="inlineStr">
        <is>
          <t>ÖSTHAMMAR</t>
        </is>
      </c>
      <c r="G339" t="n">
        <v>2.2</v>
      </c>
      <c r="H339" t="n">
        <v>0</v>
      </c>
      <c r="I339" t="n">
        <v>0</v>
      </c>
      <c r="J339" t="n">
        <v>0</v>
      </c>
      <c r="K339" t="n">
        <v>0</v>
      </c>
      <c r="L339" t="n">
        <v>0</v>
      </c>
      <c r="M339" t="n">
        <v>0</v>
      </c>
      <c r="N339" t="n">
        <v>0</v>
      </c>
      <c r="O339" t="n">
        <v>0</v>
      </c>
      <c r="P339" t="n">
        <v>0</v>
      </c>
      <c r="Q339" t="n">
        <v>0</v>
      </c>
      <c r="R339" s="2" t="inlineStr"/>
    </row>
    <row r="340" ht="15" customHeight="1">
      <c r="A340" t="inlineStr">
        <is>
          <t>A 27350-2025</t>
        </is>
      </c>
      <c r="B340" s="1" t="n">
        <v>45812.62571759259</v>
      </c>
      <c r="C340" s="1" t="n">
        <v>46190</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40460-2025</t>
        </is>
      </c>
      <c r="B341" s="1" t="n">
        <v>45895.65013888889</v>
      </c>
      <c r="C341" s="1" t="n">
        <v>46190</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59731-2023</t>
        </is>
      </c>
      <c r="B342" s="1" t="n">
        <v>45257</v>
      </c>
      <c r="C342" s="1" t="n">
        <v>46190</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28170-2023</t>
        </is>
      </c>
      <c r="B343" s="1" t="n">
        <v>45093</v>
      </c>
      <c r="C343" s="1" t="n">
        <v>46190</v>
      </c>
      <c r="D343" t="inlineStr">
        <is>
          <t>UPPSALA LÄN</t>
        </is>
      </c>
      <c r="E343" t="inlineStr">
        <is>
          <t>ÖSTHAMMAR</t>
        </is>
      </c>
      <c r="G343" t="n">
        <v>7.2</v>
      </c>
      <c r="H343" t="n">
        <v>0</v>
      </c>
      <c r="I343" t="n">
        <v>0</v>
      </c>
      <c r="J343" t="n">
        <v>0</v>
      </c>
      <c r="K343" t="n">
        <v>0</v>
      </c>
      <c r="L343" t="n">
        <v>0</v>
      </c>
      <c r="M343" t="n">
        <v>0</v>
      </c>
      <c r="N343" t="n">
        <v>0</v>
      </c>
      <c r="O343" t="n">
        <v>0</v>
      </c>
      <c r="P343" t="n">
        <v>0</v>
      </c>
      <c r="Q343" t="n">
        <v>0</v>
      </c>
      <c r="R343" s="2" t="inlineStr"/>
    </row>
    <row r="344" ht="15" customHeight="1">
      <c r="A344" t="inlineStr">
        <is>
          <t>A 7876-2023</t>
        </is>
      </c>
      <c r="B344" s="1" t="n">
        <v>44973.57263888889</v>
      </c>
      <c r="C344" s="1" t="n">
        <v>46190</v>
      </c>
      <c r="D344" t="inlineStr">
        <is>
          <t>UPPSALA LÄN</t>
        </is>
      </c>
      <c r="E344" t="inlineStr">
        <is>
          <t>ÖSTHAMMAR</t>
        </is>
      </c>
      <c r="G344" t="n">
        <v>0.9</v>
      </c>
      <c r="H344" t="n">
        <v>0</v>
      </c>
      <c r="I344" t="n">
        <v>0</v>
      </c>
      <c r="J344" t="n">
        <v>0</v>
      </c>
      <c r="K344" t="n">
        <v>0</v>
      </c>
      <c r="L344" t="n">
        <v>0</v>
      </c>
      <c r="M344" t="n">
        <v>0</v>
      </c>
      <c r="N344" t="n">
        <v>0</v>
      </c>
      <c r="O344" t="n">
        <v>0</v>
      </c>
      <c r="P344" t="n">
        <v>0</v>
      </c>
      <c r="Q344" t="n">
        <v>0</v>
      </c>
      <c r="R344" s="2" t="inlineStr"/>
    </row>
    <row r="345" ht="15" customHeight="1">
      <c r="A345" t="inlineStr">
        <is>
          <t>A 40462-2025</t>
        </is>
      </c>
      <c r="B345" s="1" t="n">
        <v>45895.65179398148</v>
      </c>
      <c r="C345" s="1" t="n">
        <v>46190</v>
      </c>
      <c r="D345" t="inlineStr">
        <is>
          <t>UPPSALA LÄN</t>
        </is>
      </c>
      <c r="E345" t="inlineStr">
        <is>
          <t>ÖSTHAMMAR</t>
        </is>
      </c>
      <c r="G345" t="n">
        <v>4.5</v>
      </c>
      <c r="H345" t="n">
        <v>0</v>
      </c>
      <c r="I345" t="n">
        <v>0</v>
      </c>
      <c r="J345" t="n">
        <v>0</v>
      </c>
      <c r="K345" t="n">
        <v>0</v>
      </c>
      <c r="L345" t="n">
        <v>0</v>
      </c>
      <c r="M345" t="n">
        <v>0</v>
      </c>
      <c r="N345" t="n">
        <v>0</v>
      </c>
      <c r="O345" t="n">
        <v>0</v>
      </c>
      <c r="P345" t="n">
        <v>0</v>
      </c>
      <c r="Q345" t="n">
        <v>0</v>
      </c>
      <c r="R345" s="2" t="inlineStr"/>
    </row>
    <row r="346" ht="15" customHeight="1">
      <c r="A346" t="inlineStr">
        <is>
          <t>A 28228-2022</t>
        </is>
      </c>
      <c r="B346" s="1" t="n">
        <v>44746.65873842593</v>
      </c>
      <c r="C346" s="1" t="n">
        <v>46190</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27853-2025</t>
        </is>
      </c>
      <c r="B347" s="1" t="n">
        <v>45817.40178240741</v>
      </c>
      <c r="C347" s="1" t="n">
        <v>46190</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49831-2023</t>
        </is>
      </c>
      <c r="B348" s="1" t="n">
        <v>45212.71241898148</v>
      </c>
      <c r="C348" s="1" t="n">
        <v>46190</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27812-2025</t>
        </is>
      </c>
      <c r="B349" s="1" t="n">
        <v>45817.32150462963</v>
      </c>
      <c r="C349" s="1" t="n">
        <v>46190</v>
      </c>
      <c r="D349" t="inlineStr">
        <is>
          <t>UPPSALA LÄN</t>
        </is>
      </c>
      <c r="E349" t="inlineStr">
        <is>
          <t>ÖSTHAMMAR</t>
        </is>
      </c>
      <c r="F349" t="inlineStr">
        <is>
          <t>Bergvik skog öst AB</t>
        </is>
      </c>
      <c r="G349" t="n">
        <v>1.8</v>
      </c>
      <c r="H349" t="n">
        <v>0</v>
      </c>
      <c r="I349" t="n">
        <v>0</v>
      </c>
      <c r="J349" t="n">
        <v>0</v>
      </c>
      <c r="K349" t="n">
        <v>0</v>
      </c>
      <c r="L349" t="n">
        <v>0</v>
      </c>
      <c r="M349" t="n">
        <v>0</v>
      </c>
      <c r="N349" t="n">
        <v>0</v>
      </c>
      <c r="O349" t="n">
        <v>0</v>
      </c>
      <c r="P349" t="n">
        <v>0</v>
      </c>
      <c r="Q349" t="n">
        <v>0</v>
      </c>
      <c r="R349" s="2" t="inlineStr"/>
    </row>
    <row r="350" ht="15" customHeight="1">
      <c r="A350" t="inlineStr">
        <is>
          <t>A 35316-2024</t>
        </is>
      </c>
      <c r="B350" s="1" t="n">
        <v>45530.68873842592</v>
      </c>
      <c r="C350" s="1" t="n">
        <v>46190</v>
      </c>
      <c r="D350" t="inlineStr">
        <is>
          <t>UPPSALA LÄN</t>
        </is>
      </c>
      <c r="E350" t="inlineStr">
        <is>
          <t>ÖSTHAMMAR</t>
        </is>
      </c>
      <c r="F350" t="inlineStr">
        <is>
          <t>Bergvik skog öst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27920-2025</t>
        </is>
      </c>
      <c r="B351" s="1" t="n">
        <v>45817.48454861111</v>
      </c>
      <c r="C351" s="1" t="n">
        <v>46190</v>
      </c>
      <c r="D351" t="inlineStr">
        <is>
          <t>UPPSALA LÄN</t>
        </is>
      </c>
      <c r="E351" t="inlineStr">
        <is>
          <t>ÖSTHAMMAR</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45561-2023</t>
        </is>
      </c>
      <c r="B352" s="1" t="n">
        <v>45194.59335648148</v>
      </c>
      <c r="C352" s="1" t="n">
        <v>46190</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14433-2024</t>
        </is>
      </c>
      <c r="B353" s="1" t="n">
        <v>45394.46115740741</v>
      </c>
      <c r="C353" s="1" t="n">
        <v>46190</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8330-2025</t>
        </is>
      </c>
      <c r="B354" s="1" t="n">
        <v>45708</v>
      </c>
      <c r="C354" s="1" t="n">
        <v>46190</v>
      </c>
      <c r="D354" t="inlineStr">
        <is>
          <t>UPPSALA LÄN</t>
        </is>
      </c>
      <c r="E354" t="inlineStr">
        <is>
          <t>ÖSTHAMMAR</t>
        </is>
      </c>
      <c r="F354" t="inlineStr">
        <is>
          <t>Övriga Aktiebolag</t>
        </is>
      </c>
      <c r="G354" t="n">
        <v>2.4</v>
      </c>
      <c r="H354" t="n">
        <v>0</v>
      </c>
      <c r="I354" t="n">
        <v>0</v>
      </c>
      <c r="J354" t="n">
        <v>0</v>
      </c>
      <c r="K354" t="n">
        <v>0</v>
      </c>
      <c r="L354" t="n">
        <v>0</v>
      </c>
      <c r="M354" t="n">
        <v>0</v>
      </c>
      <c r="N354" t="n">
        <v>0</v>
      </c>
      <c r="O354" t="n">
        <v>0</v>
      </c>
      <c r="P354" t="n">
        <v>0</v>
      </c>
      <c r="Q354" t="n">
        <v>0</v>
      </c>
      <c r="R354" s="2" t="inlineStr"/>
    </row>
    <row r="355" ht="15" customHeight="1">
      <c r="A355" t="inlineStr">
        <is>
          <t>A 27509-2025</t>
        </is>
      </c>
      <c r="B355" s="1" t="n">
        <v>45813.4278125</v>
      </c>
      <c r="C355" s="1" t="n">
        <v>46190</v>
      </c>
      <c r="D355" t="inlineStr">
        <is>
          <t>UPPSALA LÄN</t>
        </is>
      </c>
      <c r="E355" t="inlineStr">
        <is>
          <t>ÖSTHAMMAR</t>
        </is>
      </c>
      <c r="F355" t="inlineStr">
        <is>
          <t>Bergvik skog öst AB</t>
        </is>
      </c>
      <c r="G355" t="n">
        <v>3.3</v>
      </c>
      <c r="H355" t="n">
        <v>0</v>
      </c>
      <c r="I355" t="n">
        <v>0</v>
      </c>
      <c r="J355" t="n">
        <v>0</v>
      </c>
      <c r="K355" t="n">
        <v>0</v>
      </c>
      <c r="L355" t="n">
        <v>0</v>
      </c>
      <c r="M355" t="n">
        <v>0</v>
      </c>
      <c r="N355" t="n">
        <v>0</v>
      </c>
      <c r="O355" t="n">
        <v>0</v>
      </c>
      <c r="P355" t="n">
        <v>0</v>
      </c>
      <c r="Q355" t="n">
        <v>0</v>
      </c>
      <c r="R355" s="2" t="inlineStr"/>
    </row>
    <row r="356" ht="15" customHeight="1">
      <c r="A356" t="inlineStr">
        <is>
          <t>A 20038-2023</t>
        </is>
      </c>
      <c r="B356" s="1" t="n">
        <v>45054.65834490741</v>
      </c>
      <c r="C356" s="1" t="n">
        <v>46190</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13738-2023</t>
        </is>
      </c>
      <c r="B357" s="1" t="n">
        <v>45007.37081018519</v>
      </c>
      <c r="C357" s="1" t="n">
        <v>46190</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43439-2024</t>
        </is>
      </c>
      <c r="B358" s="1" t="n">
        <v>45568</v>
      </c>
      <c r="C358" s="1" t="n">
        <v>46190</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11036-2023</t>
        </is>
      </c>
      <c r="B359" s="1" t="n">
        <v>44991.9321412037</v>
      </c>
      <c r="C359" s="1" t="n">
        <v>46190</v>
      </c>
      <c r="D359" t="inlineStr">
        <is>
          <t>UPPSALA LÄN</t>
        </is>
      </c>
      <c r="E359" t="inlineStr">
        <is>
          <t>ÖSTHAMMAR</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29024-2025</t>
        </is>
      </c>
      <c r="B360" s="1" t="n">
        <v>45821.43233796296</v>
      </c>
      <c r="C360" s="1" t="n">
        <v>46190</v>
      </c>
      <c r="D360" t="inlineStr">
        <is>
          <t>UPPSALA LÄN</t>
        </is>
      </c>
      <c r="E360" t="inlineStr">
        <is>
          <t>ÖSTHAMMAR</t>
        </is>
      </c>
      <c r="G360" t="n">
        <v>1</v>
      </c>
      <c r="H360" t="n">
        <v>0</v>
      </c>
      <c r="I360" t="n">
        <v>0</v>
      </c>
      <c r="J360" t="n">
        <v>0</v>
      </c>
      <c r="K360" t="n">
        <v>0</v>
      </c>
      <c r="L360" t="n">
        <v>0</v>
      </c>
      <c r="M360" t="n">
        <v>0</v>
      </c>
      <c r="N360" t="n">
        <v>0</v>
      </c>
      <c r="O360" t="n">
        <v>0</v>
      </c>
      <c r="P360" t="n">
        <v>0</v>
      </c>
      <c r="Q360" t="n">
        <v>0</v>
      </c>
      <c r="R360" s="2" t="inlineStr"/>
    </row>
    <row r="361" ht="15" customHeight="1">
      <c r="A361" t="inlineStr">
        <is>
          <t>A 28739-2025</t>
        </is>
      </c>
      <c r="B361" s="1" t="n">
        <v>45820</v>
      </c>
      <c r="C361" s="1" t="n">
        <v>46190</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40416-2025</t>
        </is>
      </c>
      <c r="B362" s="1" t="n">
        <v>45895.57736111111</v>
      </c>
      <c r="C362" s="1" t="n">
        <v>46190</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32884-2024</t>
        </is>
      </c>
      <c r="B363" s="1" t="n">
        <v>45516.72097222223</v>
      </c>
      <c r="C363" s="1" t="n">
        <v>46190</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64586-2021</t>
        </is>
      </c>
      <c r="B364" s="1" t="n">
        <v>44511</v>
      </c>
      <c r="C364" s="1" t="n">
        <v>46190</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27494-2025</t>
        </is>
      </c>
      <c r="B365" s="1" t="n">
        <v>45813.39756944445</v>
      </c>
      <c r="C365" s="1" t="n">
        <v>46190</v>
      </c>
      <c r="D365" t="inlineStr">
        <is>
          <t>UPPSALA LÄN</t>
        </is>
      </c>
      <c r="E365" t="inlineStr">
        <is>
          <t>ÖSTHAMMAR</t>
        </is>
      </c>
      <c r="F365" t="inlineStr">
        <is>
          <t>Bergvik skog öst AB</t>
        </is>
      </c>
      <c r="G365" t="n">
        <v>23.4</v>
      </c>
      <c r="H365" t="n">
        <v>0</v>
      </c>
      <c r="I365" t="n">
        <v>0</v>
      </c>
      <c r="J365" t="n">
        <v>0</v>
      </c>
      <c r="K365" t="n">
        <v>0</v>
      </c>
      <c r="L365" t="n">
        <v>0</v>
      </c>
      <c r="M365" t="n">
        <v>0</v>
      </c>
      <c r="N365" t="n">
        <v>0</v>
      </c>
      <c r="O365" t="n">
        <v>0</v>
      </c>
      <c r="P365" t="n">
        <v>0</v>
      </c>
      <c r="Q365" t="n">
        <v>0</v>
      </c>
      <c r="R365" s="2" t="inlineStr"/>
    </row>
    <row r="366" ht="15" customHeight="1">
      <c r="A366" t="inlineStr">
        <is>
          <t>A 29384-2025</t>
        </is>
      </c>
      <c r="B366" s="1" t="n">
        <v>45824</v>
      </c>
      <c r="C366" s="1" t="n">
        <v>46190</v>
      </c>
      <c r="D366" t="inlineStr">
        <is>
          <t>UPPSALA LÄN</t>
        </is>
      </c>
      <c r="E366" t="inlineStr">
        <is>
          <t>ÖSTHAMMAR</t>
        </is>
      </c>
      <c r="G366" t="n">
        <v>3.1</v>
      </c>
      <c r="H366" t="n">
        <v>0</v>
      </c>
      <c r="I366" t="n">
        <v>0</v>
      </c>
      <c r="J366" t="n">
        <v>0</v>
      </c>
      <c r="K366" t="n">
        <v>0</v>
      </c>
      <c r="L366" t="n">
        <v>0</v>
      </c>
      <c r="M366" t="n">
        <v>0</v>
      </c>
      <c r="N366" t="n">
        <v>0</v>
      </c>
      <c r="O366" t="n">
        <v>0</v>
      </c>
      <c r="P366" t="n">
        <v>0</v>
      </c>
      <c r="Q366" t="n">
        <v>0</v>
      </c>
      <c r="R366" s="2" t="inlineStr"/>
    </row>
    <row r="367" ht="15" customHeight="1">
      <c r="A367" t="inlineStr">
        <is>
          <t>A 27490-2025</t>
        </is>
      </c>
      <c r="B367" s="1" t="n">
        <v>45813.39273148148</v>
      </c>
      <c r="C367" s="1" t="n">
        <v>46190</v>
      </c>
      <c r="D367" t="inlineStr">
        <is>
          <t>UPPSALA LÄN</t>
        </is>
      </c>
      <c r="E367" t="inlineStr">
        <is>
          <t>ÖSTHAMMAR</t>
        </is>
      </c>
      <c r="F367" t="inlineStr">
        <is>
          <t>Bergvik skog öst AB</t>
        </is>
      </c>
      <c r="G367" t="n">
        <v>6.1</v>
      </c>
      <c r="H367" t="n">
        <v>0</v>
      </c>
      <c r="I367" t="n">
        <v>0</v>
      </c>
      <c r="J367" t="n">
        <v>0</v>
      </c>
      <c r="K367" t="n">
        <v>0</v>
      </c>
      <c r="L367" t="n">
        <v>0</v>
      </c>
      <c r="M367" t="n">
        <v>0</v>
      </c>
      <c r="N367" t="n">
        <v>0</v>
      </c>
      <c r="O367" t="n">
        <v>0</v>
      </c>
      <c r="P367" t="n">
        <v>0</v>
      </c>
      <c r="Q367" t="n">
        <v>0</v>
      </c>
      <c r="R367" s="2" t="inlineStr"/>
    </row>
    <row r="368" ht="15" customHeight="1">
      <c r="A368" t="inlineStr">
        <is>
          <t>A 27486-2025</t>
        </is>
      </c>
      <c r="B368" s="1" t="n">
        <v>45813.38521990741</v>
      </c>
      <c r="C368" s="1" t="n">
        <v>46190</v>
      </c>
      <c r="D368" t="inlineStr">
        <is>
          <t>UPPSALA LÄN</t>
        </is>
      </c>
      <c r="E368" t="inlineStr">
        <is>
          <t>ÖSTHAMMAR</t>
        </is>
      </c>
      <c r="F368" t="inlineStr">
        <is>
          <t>Bergvik skog öst AB</t>
        </is>
      </c>
      <c r="G368" t="n">
        <v>1.7</v>
      </c>
      <c r="H368" t="n">
        <v>0</v>
      </c>
      <c r="I368" t="n">
        <v>0</v>
      </c>
      <c r="J368" t="n">
        <v>0</v>
      </c>
      <c r="K368" t="n">
        <v>0</v>
      </c>
      <c r="L368" t="n">
        <v>0</v>
      </c>
      <c r="M368" t="n">
        <v>0</v>
      </c>
      <c r="N368" t="n">
        <v>0</v>
      </c>
      <c r="O368" t="n">
        <v>0</v>
      </c>
      <c r="P368" t="n">
        <v>0</v>
      </c>
      <c r="Q368" t="n">
        <v>0</v>
      </c>
      <c r="R368" s="2" t="inlineStr"/>
    </row>
    <row r="369" ht="15" customHeight="1">
      <c r="A369" t="inlineStr">
        <is>
          <t>A 70008-2021</t>
        </is>
      </c>
      <c r="B369" s="1" t="n">
        <v>44533.44887731481</v>
      </c>
      <c r="C369" s="1" t="n">
        <v>46190</v>
      </c>
      <c r="D369" t="inlineStr">
        <is>
          <t>UPPSALA LÄN</t>
        </is>
      </c>
      <c r="E369" t="inlineStr">
        <is>
          <t>ÖSTHAMMAR</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44555.80339120371</v>
      </c>
      <c r="C370" s="1" t="n">
        <v>46190</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11469-2023</t>
        </is>
      </c>
      <c r="B371" s="1" t="n">
        <v>44993.60099537037</v>
      </c>
      <c r="C371" s="1" t="n">
        <v>46190</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4984-2024</t>
        </is>
      </c>
      <c r="B372" s="1" t="n">
        <v>45329</v>
      </c>
      <c r="C372" s="1" t="n">
        <v>46190</v>
      </c>
      <c r="D372" t="inlineStr">
        <is>
          <t>UPPSALA LÄN</t>
        </is>
      </c>
      <c r="E372" t="inlineStr">
        <is>
          <t>ÖSTHAMMAR</t>
        </is>
      </c>
      <c r="G372" t="n">
        <v>2.2</v>
      </c>
      <c r="H372" t="n">
        <v>0</v>
      </c>
      <c r="I372" t="n">
        <v>0</v>
      </c>
      <c r="J372" t="n">
        <v>0</v>
      </c>
      <c r="K372" t="n">
        <v>0</v>
      </c>
      <c r="L372" t="n">
        <v>0</v>
      </c>
      <c r="M372" t="n">
        <v>0</v>
      </c>
      <c r="N372" t="n">
        <v>0</v>
      </c>
      <c r="O372" t="n">
        <v>0</v>
      </c>
      <c r="P372" t="n">
        <v>0</v>
      </c>
      <c r="Q372" t="n">
        <v>0</v>
      </c>
      <c r="R372" s="2" t="inlineStr"/>
    </row>
    <row r="373" ht="15" customHeight="1">
      <c r="A373" t="inlineStr">
        <is>
          <t>A 21624-2023</t>
        </is>
      </c>
      <c r="B373" s="1" t="n">
        <v>45063.65543981481</v>
      </c>
      <c r="C373" s="1" t="n">
        <v>46190</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41996-2024</t>
        </is>
      </c>
      <c r="B374" s="1" t="n">
        <v>45561</v>
      </c>
      <c r="C374" s="1" t="n">
        <v>46190</v>
      </c>
      <c r="D374" t="inlineStr">
        <is>
          <t>UPPSALA LÄN</t>
        </is>
      </c>
      <c r="E374" t="inlineStr">
        <is>
          <t>ÖSTHAMMAR</t>
        </is>
      </c>
      <c r="F374" t="inlineStr">
        <is>
          <t>Bergvik skog öst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23742-2024</t>
        </is>
      </c>
      <c r="B375" s="1" t="n">
        <v>45455</v>
      </c>
      <c r="C375" s="1" t="n">
        <v>46190</v>
      </c>
      <c r="D375" t="inlineStr">
        <is>
          <t>UPPSALA LÄN</t>
        </is>
      </c>
      <c r="E375" t="inlineStr">
        <is>
          <t>ÖSTHAMMAR</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25418-2022</t>
        </is>
      </c>
      <c r="B376" s="1" t="n">
        <v>44732.464375</v>
      </c>
      <c r="C376" s="1" t="n">
        <v>46190</v>
      </c>
      <c r="D376" t="inlineStr">
        <is>
          <t>UPPSALA LÄN</t>
        </is>
      </c>
      <c r="E376" t="inlineStr">
        <is>
          <t>ÖSTHAMMAR</t>
        </is>
      </c>
      <c r="G376" t="n">
        <v>2.8</v>
      </c>
      <c r="H376" t="n">
        <v>0</v>
      </c>
      <c r="I376" t="n">
        <v>0</v>
      </c>
      <c r="J376" t="n">
        <v>0</v>
      </c>
      <c r="K376" t="n">
        <v>0</v>
      </c>
      <c r="L376" t="n">
        <v>0</v>
      </c>
      <c r="M376" t="n">
        <v>0</v>
      </c>
      <c r="N376" t="n">
        <v>0</v>
      </c>
      <c r="O376" t="n">
        <v>0</v>
      </c>
      <c r="P376" t="n">
        <v>0</v>
      </c>
      <c r="Q376" t="n">
        <v>0</v>
      </c>
      <c r="R376" s="2" t="inlineStr"/>
    </row>
    <row r="377" ht="15" customHeight="1">
      <c r="A377" t="inlineStr">
        <is>
          <t>A 30610-2025</t>
        </is>
      </c>
      <c r="B377" s="1" t="n">
        <v>45831.45965277778</v>
      </c>
      <c r="C377" s="1" t="n">
        <v>46190</v>
      </c>
      <c r="D377" t="inlineStr">
        <is>
          <t>UPPSALA LÄN</t>
        </is>
      </c>
      <c r="E377" t="inlineStr">
        <is>
          <t>ÖSTHAMMAR</t>
        </is>
      </c>
      <c r="G377" t="n">
        <v>0.2</v>
      </c>
      <c r="H377" t="n">
        <v>0</v>
      </c>
      <c r="I377" t="n">
        <v>0</v>
      </c>
      <c r="J377" t="n">
        <v>0</v>
      </c>
      <c r="K377" t="n">
        <v>0</v>
      </c>
      <c r="L377" t="n">
        <v>0</v>
      </c>
      <c r="M377" t="n">
        <v>0</v>
      </c>
      <c r="N377" t="n">
        <v>0</v>
      </c>
      <c r="O377" t="n">
        <v>0</v>
      </c>
      <c r="P377" t="n">
        <v>0</v>
      </c>
      <c r="Q377" t="n">
        <v>0</v>
      </c>
      <c r="R377" s="2" t="inlineStr"/>
    </row>
    <row r="378" ht="15" customHeight="1">
      <c r="A378" t="inlineStr">
        <is>
          <t>A 6106-2024</t>
        </is>
      </c>
      <c r="B378" s="1" t="n">
        <v>45337.36831018519</v>
      </c>
      <c r="C378" s="1" t="n">
        <v>46190</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30504-2025</t>
        </is>
      </c>
      <c r="B379" s="1" t="n">
        <v>45830.8558912037</v>
      </c>
      <c r="C379" s="1" t="n">
        <v>46190</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30503-2025</t>
        </is>
      </c>
      <c r="B380" s="1" t="n">
        <v>45830.8500462963</v>
      </c>
      <c r="C380" s="1" t="n">
        <v>46190</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14859-2025</t>
        </is>
      </c>
      <c r="B381" s="1" t="n">
        <v>45743.42427083333</v>
      </c>
      <c r="C381" s="1" t="n">
        <v>46190</v>
      </c>
      <c r="D381" t="inlineStr">
        <is>
          <t>UPPSALA LÄN</t>
        </is>
      </c>
      <c r="E381" t="inlineStr">
        <is>
          <t>ÖSTHAMMAR</t>
        </is>
      </c>
      <c r="G381" t="n">
        <v>1.1</v>
      </c>
      <c r="H381" t="n">
        <v>0</v>
      </c>
      <c r="I381" t="n">
        <v>0</v>
      </c>
      <c r="J381" t="n">
        <v>0</v>
      </c>
      <c r="K381" t="n">
        <v>0</v>
      </c>
      <c r="L381" t="n">
        <v>0</v>
      </c>
      <c r="M381" t="n">
        <v>0</v>
      </c>
      <c r="N381" t="n">
        <v>0</v>
      </c>
      <c r="O381" t="n">
        <v>0</v>
      </c>
      <c r="P381" t="n">
        <v>0</v>
      </c>
      <c r="Q381" t="n">
        <v>0</v>
      </c>
      <c r="R381" s="2" t="inlineStr"/>
    </row>
    <row r="382" ht="15" customHeight="1">
      <c r="A382" t="inlineStr">
        <is>
          <t>A 65020-2021</t>
        </is>
      </c>
      <c r="B382" s="1" t="n">
        <v>44515</v>
      </c>
      <c r="C382" s="1" t="n">
        <v>46190</v>
      </c>
      <c r="D382" t="inlineStr">
        <is>
          <t>UPPSALA LÄN</t>
        </is>
      </c>
      <c r="E382" t="inlineStr">
        <is>
          <t>ÖSTHAMMAR</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40570-2025</t>
        </is>
      </c>
      <c r="B383" s="1" t="n">
        <v>45896.47878472223</v>
      </c>
      <c r="C383" s="1" t="n">
        <v>46190</v>
      </c>
      <c r="D383" t="inlineStr">
        <is>
          <t>UPPSALA LÄN</t>
        </is>
      </c>
      <c r="E383" t="inlineStr">
        <is>
          <t>ÖSTHAMMAR</t>
        </is>
      </c>
      <c r="F383" t="inlineStr">
        <is>
          <t>Övriga Aktiebolag</t>
        </is>
      </c>
      <c r="G383" t="n">
        <v>4.8</v>
      </c>
      <c r="H383" t="n">
        <v>0</v>
      </c>
      <c r="I383" t="n">
        <v>0</v>
      </c>
      <c r="J383" t="n">
        <v>0</v>
      </c>
      <c r="K383" t="n">
        <v>0</v>
      </c>
      <c r="L383" t="n">
        <v>0</v>
      </c>
      <c r="M383" t="n">
        <v>0</v>
      </c>
      <c r="N383" t="n">
        <v>0</v>
      </c>
      <c r="O383" t="n">
        <v>0</v>
      </c>
      <c r="P383" t="n">
        <v>0</v>
      </c>
      <c r="Q383" t="n">
        <v>0</v>
      </c>
      <c r="R383" s="2" t="inlineStr"/>
    </row>
    <row r="384" ht="15" customHeight="1">
      <c r="A384" t="inlineStr">
        <is>
          <t>A 14671-2022</t>
        </is>
      </c>
      <c r="B384" s="1" t="n">
        <v>44655.80475694445</v>
      </c>
      <c r="C384" s="1" t="n">
        <v>46190</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31579-2025</t>
        </is>
      </c>
      <c r="B385" s="1" t="n">
        <v>45833.68211805556</v>
      </c>
      <c r="C385" s="1" t="n">
        <v>46190</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46399-2023</t>
        </is>
      </c>
      <c r="B386" s="1" t="n">
        <v>45197.49262731482</v>
      </c>
      <c r="C386" s="1" t="n">
        <v>46190</v>
      </c>
      <c r="D386" t="inlineStr">
        <is>
          <t>UPPSALA LÄN</t>
        </is>
      </c>
      <c r="E386" t="inlineStr">
        <is>
          <t>ÖSTHAMMAR</t>
        </is>
      </c>
      <c r="G386" t="n">
        <v>5.8</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44572.5827662037</v>
      </c>
      <c r="C387" s="1" t="n">
        <v>46190</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45550-2023</t>
        </is>
      </c>
      <c r="B388" s="1" t="n">
        <v>45194.57125</v>
      </c>
      <c r="C388" s="1" t="n">
        <v>46190</v>
      </c>
      <c r="D388" t="inlineStr">
        <is>
          <t>UPPSALA LÄN</t>
        </is>
      </c>
      <c r="E388" t="inlineStr">
        <is>
          <t>ÖSTHAMMAR</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38003-2024</t>
        </is>
      </c>
      <c r="B389" s="1" t="n">
        <v>45544</v>
      </c>
      <c r="C389" s="1" t="n">
        <v>46190</v>
      </c>
      <c r="D389" t="inlineStr">
        <is>
          <t>UPPSALA LÄN</t>
        </is>
      </c>
      <c r="E389" t="inlineStr">
        <is>
          <t>ÖSTHAMMAR</t>
        </is>
      </c>
      <c r="F389" t="inlineStr">
        <is>
          <t>Naturvårdsverket</t>
        </is>
      </c>
      <c r="G389" t="n">
        <v>4.2</v>
      </c>
      <c r="H389" t="n">
        <v>0</v>
      </c>
      <c r="I389" t="n">
        <v>0</v>
      </c>
      <c r="J389" t="n">
        <v>0</v>
      </c>
      <c r="K389" t="n">
        <v>0</v>
      </c>
      <c r="L389" t="n">
        <v>0</v>
      </c>
      <c r="M389" t="n">
        <v>0</v>
      </c>
      <c r="N389" t="n">
        <v>0</v>
      </c>
      <c r="O389" t="n">
        <v>0</v>
      </c>
      <c r="P389" t="n">
        <v>0</v>
      </c>
      <c r="Q389" t="n">
        <v>0</v>
      </c>
      <c r="R389" s="2" t="inlineStr"/>
    </row>
    <row r="390" ht="15" customHeight="1">
      <c r="A390" t="inlineStr">
        <is>
          <t>A 15445-2022</t>
        </is>
      </c>
      <c r="B390" s="1" t="n">
        <v>44660.4987962963</v>
      </c>
      <c r="C390" s="1" t="n">
        <v>46190</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25252-2024</t>
        </is>
      </c>
      <c r="B391" s="1" t="n">
        <v>45462</v>
      </c>
      <c r="C391" s="1" t="n">
        <v>46190</v>
      </c>
      <c r="D391" t="inlineStr">
        <is>
          <t>UPPSALA LÄN</t>
        </is>
      </c>
      <c r="E391" t="inlineStr">
        <is>
          <t>ÖSTHAMMAR</t>
        </is>
      </c>
      <c r="G391" t="n">
        <v>4.3</v>
      </c>
      <c r="H391" t="n">
        <v>0</v>
      </c>
      <c r="I391" t="n">
        <v>0</v>
      </c>
      <c r="J391" t="n">
        <v>0</v>
      </c>
      <c r="K391" t="n">
        <v>0</v>
      </c>
      <c r="L391" t="n">
        <v>0</v>
      </c>
      <c r="M391" t="n">
        <v>0</v>
      </c>
      <c r="N391" t="n">
        <v>0</v>
      </c>
      <c r="O391" t="n">
        <v>0</v>
      </c>
      <c r="P391" t="n">
        <v>0</v>
      </c>
      <c r="Q391" t="n">
        <v>0</v>
      </c>
      <c r="R391" s="2" t="inlineStr"/>
    </row>
    <row r="392" ht="15" customHeight="1">
      <c r="A392" t="inlineStr">
        <is>
          <t>A 16531-2025</t>
        </is>
      </c>
      <c r="B392" s="1" t="n">
        <v>45751</v>
      </c>
      <c r="C392" s="1" t="n">
        <v>46190</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27476-2025</t>
        </is>
      </c>
      <c r="B393" s="1" t="n">
        <v>45813.37517361111</v>
      </c>
      <c r="C393" s="1" t="n">
        <v>46190</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20634-2024</t>
        </is>
      </c>
      <c r="B394" s="1" t="n">
        <v>45436</v>
      </c>
      <c r="C394" s="1" t="n">
        <v>46190</v>
      </c>
      <c r="D394" t="inlineStr">
        <is>
          <t>UPPSALA LÄN</t>
        </is>
      </c>
      <c r="E394" t="inlineStr">
        <is>
          <t>ÖSTHAMMAR</t>
        </is>
      </c>
      <c r="G394" t="n">
        <v>6.5</v>
      </c>
      <c r="H394" t="n">
        <v>0</v>
      </c>
      <c r="I394" t="n">
        <v>0</v>
      </c>
      <c r="J394" t="n">
        <v>0</v>
      </c>
      <c r="K394" t="n">
        <v>0</v>
      </c>
      <c r="L394" t="n">
        <v>0</v>
      </c>
      <c r="M394" t="n">
        <v>0</v>
      </c>
      <c r="N394" t="n">
        <v>0</v>
      </c>
      <c r="O394" t="n">
        <v>0</v>
      </c>
      <c r="P394" t="n">
        <v>0</v>
      </c>
      <c r="Q394" t="n">
        <v>0</v>
      </c>
      <c r="R394" s="2" t="inlineStr"/>
    </row>
    <row r="395" ht="15" customHeight="1">
      <c r="A395" t="inlineStr">
        <is>
          <t>A 31137-2022</t>
        </is>
      </c>
      <c r="B395" s="1" t="n">
        <v>44770.42166666667</v>
      </c>
      <c r="C395" s="1" t="n">
        <v>46190</v>
      </c>
      <c r="D395" t="inlineStr">
        <is>
          <t>UPPSALA LÄN</t>
        </is>
      </c>
      <c r="E395" t="inlineStr">
        <is>
          <t>ÖSTHAMMAR</t>
        </is>
      </c>
      <c r="F395" t="inlineStr">
        <is>
          <t>Bergvik skog öst AB</t>
        </is>
      </c>
      <c r="G395" t="n">
        <v>1.4</v>
      </c>
      <c r="H395" t="n">
        <v>0</v>
      </c>
      <c r="I395" t="n">
        <v>0</v>
      </c>
      <c r="J395" t="n">
        <v>0</v>
      </c>
      <c r="K395" t="n">
        <v>0</v>
      </c>
      <c r="L395" t="n">
        <v>0</v>
      </c>
      <c r="M395" t="n">
        <v>0</v>
      </c>
      <c r="N395" t="n">
        <v>0</v>
      </c>
      <c r="O395" t="n">
        <v>0</v>
      </c>
      <c r="P395" t="n">
        <v>0</v>
      </c>
      <c r="Q395" t="n">
        <v>0</v>
      </c>
      <c r="R395" s="2" t="inlineStr"/>
    </row>
    <row r="396" ht="15" customHeight="1">
      <c r="A396" t="inlineStr">
        <is>
          <t>A 61257-2022</t>
        </is>
      </c>
      <c r="B396" s="1" t="n">
        <v>44915.59418981482</v>
      </c>
      <c r="C396" s="1" t="n">
        <v>46190</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74429-2021</t>
        </is>
      </c>
      <c r="B397" s="1" t="n">
        <v>44560.43136574074</v>
      </c>
      <c r="C397" s="1" t="n">
        <v>46190</v>
      </c>
      <c r="D397" t="inlineStr">
        <is>
          <t>UPPSALA LÄN</t>
        </is>
      </c>
      <c r="E397" t="inlineStr">
        <is>
          <t>ÖSTHAMMAR</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33529-2025</t>
        </is>
      </c>
      <c r="B398" s="1" t="n">
        <v>45841.55199074074</v>
      </c>
      <c r="C398" s="1" t="n">
        <v>46190</v>
      </c>
      <c r="D398" t="inlineStr">
        <is>
          <t>UPPSALA LÄN</t>
        </is>
      </c>
      <c r="E398" t="inlineStr">
        <is>
          <t>ÖSTHAMMAR</t>
        </is>
      </c>
      <c r="F398" t="inlineStr">
        <is>
          <t>Bergvik skog öst AB</t>
        </is>
      </c>
      <c r="G398" t="n">
        <v>11.8</v>
      </c>
      <c r="H398" t="n">
        <v>0</v>
      </c>
      <c r="I398" t="n">
        <v>0</v>
      </c>
      <c r="J398" t="n">
        <v>0</v>
      </c>
      <c r="K398" t="n">
        <v>0</v>
      </c>
      <c r="L398" t="n">
        <v>0</v>
      </c>
      <c r="M398" t="n">
        <v>0</v>
      </c>
      <c r="N398" t="n">
        <v>0</v>
      </c>
      <c r="O398" t="n">
        <v>0</v>
      </c>
      <c r="P398" t="n">
        <v>0</v>
      </c>
      <c r="Q398" t="n">
        <v>0</v>
      </c>
      <c r="R398" s="2" t="inlineStr"/>
    </row>
    <row r="399" ht="15" customHeight="1">
      <c r="A399" t="inlineStr">
        <is>
          <t>A 30931-2021</t>
        </is>
      </c>
      <c r="B399" s="1" t="n">
        <v>44365</v>
      </c>
      <c r="C399" s="1" t="n">
        <v>46190</v>
      </c>
      <c r="D399" t="inlineStr">
        <is>
          <t>UPPSALA LÄN</t>
        </is>
      </c>
      <c r="E399" t="inlineStr">
        <is>
          <t>ÖSTHAMMAR</t>
        </is>
      </c>
      <c r="F399" t="inlineStr">
        <is>
          <t>Bergvik skog öst AB</t>
        </is>
      </c>
      <c r="G399" t="n">
        <v>2.3</v>
      </c>
      <c r="H399" t="n">
        <v>0</v>
      </c>
      <c r="I399" t="n">
        <v>0</v>
      </c>
      <c r="J399" t="n">
        <v>0</v>
      </c>
      <c r="K399" t="n">
        <v>0</v>
      </c>
      <c r="L399" t="n">
        <v>0</v>
      </c>
      <c r="M399" t="n">
        <v>0</v>
      </c>
      <c r="N399" t="n">
        <v>0</v>
      </c>
      <c r="O399" t="n">
        <v>0</v>
      </c>
      <c r="P399" t="n">
        <v>0</v>
      </c>
      <c r="Q399" t="n">
        <v>0</v>
      </c>
      <c r="R399" s="2" t="inlineStr"/>
    </row>
    <row r="400" ht="15" customHeight="1">
      <c r="A400" t="inlineStr">
        <is>
          <t>A 26395-2025</t>
        </is>
      </c>
      <c r="B400" s="1" t="n">
        <v>45807</v>
      </c>
      <c r="C400" s="1" t="n">
        <v>46190</v>
      </c>
      <c r="D400" t="inlineStr">
        <is>
          <t>UPPSALA LÄN</t>
        </is>
      </c>
      <c r="E400" t="inlineStr">
        <is>
          <t>ÖSTHAMMAR</t>
        </is>
      </c>
      <c r="G400" t="n">
        <v>7</v>
      </c>
      <c r="H400" t="n">
        <v>0</v>
      </c>
      <c r="I400" t="n">
        <v>0</v>
      </c>
      <c r="J400" t="n">
        <v>0</v>
      </c>
      <c r="K400" t="n">
        <v>0</v>
      </c>
      <c r="L400" t="n">
        <v>0</v>
      </c>
      <c r="M400" t="n">
        <v>0</v>
      </c>
      <c r="N400" t="n">
        <v>0</v>
      </c>
      <c r="O400" t="n">
        <v>0</v>
      </c>
      <c r="P400" t="n">
        <v>0</v>
      </c>
      <c r="Q400" t="n">
        <v>0</v>
      </c>
      <c r="R400" s="2" t="inlineStr"/>
    </row>
    <row r="401" ht="15" customHeight="1">
      <c r="A401" t="inlineStr">
        <is>
          <t>A 17867-2024</t>
        </is>
      </c>
      <c r="B401" s="1" t="n">
        <v>45419.44106481481</v>
      </c>
      <c r="C401" s="1" t="n">
        <v>46190</v>
      </c>
      <c r="D401" t="inlineStr">
        <is>
          <t>UPPSALA LÄN</t>
        </is>
      </c>
      <c r="E401" t="inlineStr">
        <is>
          <t>ÖSTHAMMAR</t>
        </is>
      </c>
      <c r="G401" t="n">
        <v>7.2</v>
      </c>
      <c r="H401" t="n">
        <v>0</v>
      </c>
      <c r="I401" t="n">
        <v>0</v>
      </c>
      <c r="J401" t="n">
        <v>0</v>
      </c>
      <c r="K401" t="n">
        <v>0</v>
      </c>
      <c r="L401" t="n">
        <v>0</v>
      </c>
      <c r="M401" t="n">
        <v>0</v>
      </c>
      <c r="N401" t="n">
        <v>0</v>
      </c>
      <c r="O401" t="n">
        <v>0</v>
      </c>
      <c r="P401" t="n">
        <v>0</v>
      </c>
      <c r="Q401" t="n">
        <v>0</v>
      </c>
      <c r="R401" s="2" t="inlineStr"/>
    </row>
    <row r="402" ht="15" customHeight="1">
      <c r="A402" t="inlineStr">
        <is>
          <t>A 33972-2025</t>
        </is>
      </c>
      <c r="B402" s="1" t="n">
        <v>45842.97236111111</v>
      </c>
      <c r="C402" s="1" t="n">
        <v>46190</v>
      </c>
      <c r="D402" t="inlineStr">
        <is>
          <t>UPPSALA LÄN</t>
        </is>
      </c>
      <c r="E402" t="inlineStr">
        <is>
          <t>ÖSTHAMMAR</t>
        </is>
      </c>
      <c r="G402" t="n">
        <v>0.8</v>
      </c>
      <c r="H402" t="n">
        <v>0</v>
      </c>
      <c r="I402" t="n">
        <v>0</v>
      </c>
      <c r="J402" t="n">
        <v>0</v>
      </c>
      <c r="K402" t="n">
        <v>0</v>
      </c>
      <c r="L402" t="n">
        <v>0</v>
      </c>
      <c r="M402" t="n">
        <v>0</v>
      </c>
      <c r="N402" t="n">
        <v>0</v>
      </c>
      <c r="O402" t="n">
        <v>0</v>
      </c>
      <c r="P402" t="n">
        <v>0</v>
      </c>
      <c r="Q402" t="n">
        <v>0</v>
      </c>
      <c r="R402" s="2" t="inlineStr"/>
    </row>
    <row r="403" ht="15" customHeight="1">
      <c r="A403" t="inlineStr">
        <is>
          <t>A 4228-2023</t>
        </is>
      </c>
      <c r="B403" s="1" t="n">
        <v>44953.48179398148</v>
      </c>
      <c r="C403" s="1" t="n">
        <v>46190</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33973-2025</t>
        </is>
      </c>
      <c r="B404" s="1" t="n">
        <v>45842.98429398148</v>
      </c>
      <c r="C404" s="1" t="n">
        <v>46190</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36301-2023</t>
        </is>
      </c>
      <c r="B405" s="1" t="n">
        <v>45152.37296296296</v>
      </c>
      <c r="C405" s="1" t="n">
        <v>46190</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24401-2025</t>
        </is>
      </c>
      <c r="B406" s="1" t="n">
        <v>45797.64908564815</v>
      </c>
      <c r="C406" s="1" t="n">
        <v>46190</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24408-2025</t>
        </is>
      </c>
      <c r="B407" s="1" t="n">
        <v>45797.65774305556</v>
      </c>
      <c r="C407" s="1" t="n">
        <v>46190</v>
      </c>
      <c r="D407" t="inlineStr">
        <is>
          <t>UPPSALA LÄN</t>
        </is>
      </c>
      <c r="E407" t="inlineStr">
        <is>
          <t>ÖSTHAMMAR</t>
        </is>
      </c>
      <c r="G407" t="n">
        <v>1.6</v>
      </c>
      <c r="H407" t="n">
        <v>0</v>
      </c>
      <c r="I407" t="n">
        <v>0</v>
      </c>
      <c r="J407" t="n">
        <v>0</v>
      </c>
      <c r="K407" t="n">
        <v>0</v>
      </c>
      <c r="L407" t="n">
        <v>0</v>
      </c>
      <c r="M407" t="n">
        <v>0</v>
      </c>
      <c r="N407" t="n">
        <v>0</v>
      </c>
      <c r="O407" t="n">
        <v>0</v>
      </c>
      <c r="P407" t="n">
        <v>0</v>
      </c>
      <c r="Q407" t="n">
        <v>0</v>
      </c>
      <c r="R407" s="2" t="inlineStr"/>
    </row>
    <row r="408" ht="15" customHeight="1">
      <c r="A408" t="inlineStr">
        <is>
          <t>A 7195-2023</t>
        </is>
      </c>
      <c r="B408" s="1" t="n">
        <v>44970</v>
      </c>
      <c r="C408" s="1" t="n">
        <v>46190</v>
      </c>
      <c r="D408" t="inlineStr">
        <is>
          <t>UPPSALA LÄN</t>
        </is>
      </c>
      <c r="E408" t="inlineStr">
        <is>
          <t>ÖSTHAMMAR</t>
        </is>
      </c>
      <c r="G408" t="n">
        <v>1.3</v>
      </c>
      <c r="H408" t="n">
        <v>0</v>
      </c>
      <c r="I408" t="n">
        <v>0</v>
      </c>
      <c r="J408" t="n">
        <v>0</v>
      </c>
      <c r="K408" t="n">
        <v>0</v>
      </c>
      <c r="L408" t="n">
        <v>0</v>
      </c>
      <c r="M408" t="n">
        <v>0</v>
      </c>
      <c r="N408" t="n">
        <v>0</v>
      </c>
      <c r="O408" t="n">
        <v>0</v>
      </c>
      <c r="P408" t="n">
        <v>0</v>
      </c>
      <c r="Q408" t="n">
        <v>0</v>
      </c>
      <c r="R408" s="2" t="inlineStr"/>
    </row>
    <row r="409" ht="15" customHeight="1">
      <c r="A409" t="inlineStr">
        <is>
          <t>A 26774-2023</t>
        </is>
      </c>
      <c r="B409" s="1" t="n">
        <v>45093.47947916666</v>
      </c>
      <c r="C409" s="1" t="n">
        <v>46190</v>
      </c>
      <c r="D409" t="inlineStr">
        <is>
          <t>UPPSALA LÄN</t>
        </is>
      </c>
      <c r="E409" t="inlineStr">
        <is>
          <t>ÖSTHAMMAR</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25859-2024</t>
        </is>
      </c>
      <c r="B410" s="1" t="n">
        <v>45467</v>
      </c>
      <c r="C410" s="1" t="n">
        <v>46190</v>
      </c>
      <c r="D410" t="inlineStr">
        <is>
          <t>UPPSALA LÄN</t>
        </is>
      </c>
      <c r="E410" t="inlineStr">
        <is>
          <t>ÖSTHAMMAR</t>
        </is>
      </c>
      <c r="G410" t="n">
        <v>7.9</v>
      </c>
      <c r="H410" t="n">
        <v>0</v>
      </c>
      <c r="I410" t="n">
        <v>0</v>
      </c>
      <c r="J410" t="n">
        <v>0</v>
      </c>
      <c r="K410" t="n">
        <v>0</v>
      </c>
      <c r="L410" t="n">
        <v>0</v>
      </c>
      <c r="M410" t="n">
        <v>0</v>
      </c>
      <c r="N410" t="n">
        <v>0</v>
      </c>
      <c r="O410" t="n">
        <v>0</v>
      </c>
      <c r="P410" t="n">
        <v>0</v>
      </c>
      <c r="Q410" t="n">
        <v>0</v>
      </c>
      <c r="R410" s="2" t="inlineStr"/>
    </row>
    <row r="411" ht="15" customHeight="1">
      <c r="A411" t="inlineStr">
        <is>
          <t>A 10117-2025</t>
        </is>
      </c>
      <c r="B411" s="1" t="n">
        <v>45719.59866898148</v>
      </c>
      <c r="C411" s="1" t="n">
        <v>46190</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32778-2023</t>
        </is>
      </c>
      <c r="B412" s="1" t="n">
        <v>45123.88789351852</v>
      </c>
      <c r="C412" s="1" t="n">
        <v>46190</v>
      </c>
      <c r="D412" t="inlineStr">
        <is>
          <t>UPPSALA LÄN</t>
        </is>
      </c>
      <c r="E412" t="inlineStr">
        <is>
          <t>ÖSTHAMMAR</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24389-2025</t>
        </is>
      </c>
      <c r="B413" s="1" t="n">
        <v>45797.63553240741</v>
      </c>
      <c r="C413" s="1" t="n">
        <v>46190</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19640-2025</t>
        </is>
      </c>
      <c r="B414" s="1" t="n">
        <v>45770.65739583333</v>
      </c>
      <c r="C414" s="1" t="n">
        <v>46190</v>
      </c>
      <c r="D414" t="inlineStr">
        <is>
          <t>UPPSALA LÄN</t>
        </is>
      </c>
      <c r="E414" t="inlineStr">
        <is>
          <t>ÖSTHAMMAR</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28099-2025</t>
        </is>
      </c>
      <c r="B415" s="1" t="n">
        <v>45817.82967592592</v>
      </c>
      <c r="C415" s="1" t="n">
        <v>46190</v>
      </c>
      <c r="D415" t="inlineStr">
        <is>
          <t>UPPSALA LÄN</t>
        </is>
      </c>
      <c r="E415" t="inlineStr">
        <is>
          <t>ÖSTHAMMAR</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24367-2022</t>
        </is>
      </c>
      <c r="B416" s="1" t="n">
        <v>44726.42716435185</v>
      </c>
      <c r="C416" s="1" t="n">
        <v>46190</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5933-2022</t>
        </is>
      </c>
      <c r="B417" s="1" t="n">
        <v>44598.82957175926</v>
      </c>
      <c r="C417" s="1" t="n">
        <v>46190</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12528-2024</t>
        </is>
      </c>
      <c r="B418" s="1" t="n">
        <v>45379.61878472222</v>
      </c>
      <c r="C418" s="1" t="n">
        <v>46190</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42940-2025</t>
        </is>
      </c>
      <c r="B419" s="1" t="n">
        <v>45909.33440972222</v>
      </c>
      <c r="C419" s="1" t="n">
        <v>46190</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64774-2023</t>
        </is>
      </c>
      <c r="B420" s="1" t="n">
        <v>45282</v>
      </c>
      <c r="C420" s="1" t="n">
        <v>46190</v>
      </c>
      <c r="D420" t="inlineStr">
        <is>
          <t>UPPSALA LÄN</t>
        </is>
      </c>
      <c r="E420" t="inlineStr">
        <is>
          <t>ÖSTHAMMAR</t>
        </is>
      </c>
      <c r="F420" t="inlineStr">
        <is>
          <t>Övriga Aktiebolag</t>
        </is>
      </c>
      <c r="G420" t="n">
        <v>3.7</v>
      </c>
      <c r="H420" t="n">
        <v>0</v>
      </c>
      <c r="I420" t="n">
        <v>0</v>
      </c>
      <c r="J420" t="n">
        <v>0</v>
      </c>
      <c r="K420" t="n">
        <v>0</v>
      </c>
      <c r="L420" t="n">
        <v>0</v>
      </c>
      <c r="M420" t="n">
        <v>0</v>
      </c>
      <c r="N420" t="n">
        <v>0</v>
      </c>
      <c r="O420" t="n">
        <v>0</v>
      </c>
      <c r="P420" t="n">
        <v>0</v>
      </c>
      <c r="Q420" t="n">
        <v>0</v>
      </c>
      <c r="R420" s="2" t="inlineStr"/>
    </row>
    <row r="421" ht="15" customHeight="1">
      <c r="A421" t="inlineStr">
        <is>
          <t>A 9267-2024</t>
        </is>
      </c>
      <c r="B421" s="1" t="n">
        <v>45358</v>
      </c>
      <c r="C421" s="1" t="n">
        <v>46190</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33601-2024</t>
        </is>
      </c>
      <c r="B422" s="1" t="n">
        <v>45520</v>
      </c>
      <c r="C422" s="1" t="n">
        <v>46190</v>
      </c>
      <c r="D422" t="inlineStr">
        <is>
          <t>UPPSALA LÄN</t>
        </is>
      </c>
      <c r="E422" t="inlineStr">
        <is>
          <t>ÖSTHAMMAR</t>
        </is>
      </c>
      <c r="F422" t="inlineStr">
        <is>
          <t>Övriga Aktiebolag</t>
        </is>
      </c>
      <c r="G422" t="n">
        <v>2.5</v>
      </c>
      <c r="H422" t="n">
        <v>0</v>
      </c>
      <c r="I422" t="n">
        <v>0</v>
      </c>
      <c r="J422" t="n">
        <v>0</v>
      </c>
      <c r="K422" t="n">
        <v>0</v>
      </c>
      <c r="L422" t="n">
        <v>0</v>
      </c>
      <c r="M422" t="n">
        <v>0</v>
      </c>
      <c r="N422" t="n">
        <v>0</v>
      </c>
      <c r="O422" t="n">
        <v>0</v>
      </c>
      <c r="P422" t="n">
        <v>0</v>
      </c>
      <c r="Q422" t="n">
        <v>0</v>
      </c>
      <c r="R422" s="2" t="inlineStr"/>
    </row>
    <row r="423" ht="15" customHeight="1">
      <c r="A423" t="inlineStr">
        <is>
          <t>A 27308-2023</t>
        </is>
      </c>
      <c r="B423" s="1" t="n">
        <v>45096.65381944444</v>
      </c>
      <c r="C423" s="1" t="n">
        <v>46190</v>
      </c>
      <c r="D423" t="inlineStr">
        <is>
          <t>UPPSALA LÄN</t>
        </is>
      </c>
      <c r="E423" t="inlineStr">
        <is>
          <t>ÖSTHAMMAR</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17929-2025</t>
        </is>
      </c>
      <c r="B424" s="1" t="n">
        <v>45759.56462962963</v>
      </c>
      <c r="C424" s="1" t="n">
        <v>46190</v>
      </c>
      <c r="D424" t="inlineStr">
        <is>
          <t>UPPSALA LÄN</t>
        </is>
      </c>
      <c r="E424" t="inlineStr">
        <is>
          <t>ÖSTHAMMAR</t>
        </is>
      </c>
      <c r="G424" t="n">
        <v>3.4</v>
      </c>
      <c r="H424" t="n">
        <v>0</v>
      </c>
      <c r="I424" t="n">
        <v>0</v>
      </c>
      <c r="J424" t="n">
        <v>0</v>
      </c>
      <c r="K424" t="n">
        <v>0</v>
      </c>
      <c r="L424" t="n">
        <v>0</v>
      </c>
      <c r="M424" t="n">
        <v>0</v>
      </c>
      <c r="N424" t="n">
        <v>0</v>
      </c>
      <c r="O424" t="n">
        <v>0</v>
      </c>
      <c r="P424" t="n">
        <v>0</v>
      </c>
      <c r="Q424" t="n">
        <v>0</v>
      </c>
      <c r="R424" s="2" t="inlineStr"/>
    </row>
    <row r="425" ht="15" customHeight="1">
      <c r="A425" t="inlineStr">
        <is>
          <t>A 29873-2023</t>
        </is>
      </c>
      <c r="B425" s="1" t="n">
        <v>45107</v>
      </c>
      <c r="C425" s="1" t="n">
        <v>46190</v>
      </c>
      <c r="D425" t="inlineStr">
        <is>
          <t>UPPSALA LÄN</t>
        </is>
      </c>
      <c r="E425" t="inlineStr">
        <is>
          <t>ÖSTHAMMAR</t>
        </is>
      </c>
      <c r="F425" t="inlineStr">
        <is>
          <t>Naturvårdsverket</t>
        </is>
      </c>
      <c r="G425" t="n">
        <v>7.8</v>
      </c>
      <c r="H425" t="n">
        <v>0</v>
      </c>
      <c r="I425" t="n">
        <v>0</v>
      </c>
      <c r="J425" t="n">
        <v>0</v>
      </c>
      <c r="K425" t="n">
        <v>0</v>
      </c>
      <c r="L425" t="n">
        <v>0</v>
      </c>
      <c r="M425" t="n">
        <v>0</v>
      </c>
      <c r="N425" t="n">
        <v>0</v>
      </c>
      <c r="O425" t="n">
        <v>0</v>
      </c>
      <c r="P425" t="n">
        <v>0</v>
      </c>
      <c r="Q425" t="n">
        <v>0</v>
      </c>
      <c r="R425" s="2" t="inlineStr"/>
    </row>
    <row r="426" ht="15" customHeight="1">
      <c r="A426" t="inlineStr">
        <is>
          <t>A 54649-2025</t>
        </is>
      </c>
      <c r="B426" s="1" t="n">
        <v>45966.37548611111</v>
      </c>
      <c r="C426" s="1" t="n">
        <v>46190</v>
      </c>
      <c r="D426" t="inlineStr">
        <is>
          <t>UPPSALA LÄN</t>
        </is>
      </c>
      <c r="E426" t="inlineStr">
        <is>
          <t>ÖSTHAMMAR</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36451-2025</t>
        </is>
      </c>
      <c r="B427" s="1" t="n">
        <v>45869.4290625</v>
      </c>
      <c r="C427" s="1" t="n">
        <v>46190</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61062-2023</t>
        </is>
      </c>
      <c r="B428" s="1" t="n">
        <v>45259</v>
      </c>
      <c r="C428" s="1" t="n">
        <v>46190</v>
      </c>
      <c r="D428" t="inlineStr">
        <is>
          <t>UPPSALA LÄN</t>
        </is>
      </c>
      <c r="E428" t="inlineStr">
        <is>
          <t>ÖSTHAMMAR</t>
        </is>
      </c>
      <c r="G428" t="n">
        <v>5.3</v>
      </c>
      <c r="H428" t="n">
        <v>0</v>
      </c>
      <c r="I428" t="n">
        <v>0</v>
      </c>
      <c r="J428" t="n">
        <v>0</v>
      </c>
      <c r="K428" t="n">
        <v>0</v>
      </c>
      <c r="L428" t="n">
        <v>0</v>
      </c>
      <c r="M428" t="n">
        <v>0</v>
      </c>
      <c r="N428" t="n">
        <v>0</v>
      </c>
      <c r="O428" t="n">
        <v>0</v>
      </c>
      <c r="P428" t="n">
        <v>0</v>
      </c>
      <c r="Q428" t="n">
        <v>0</v>
      </c>
      <c r="R428" s="2" t="inlineStr"/>
    </row>
    <row r="429" ht="15" customHeight="1">
      <c r="A429" t="inlineStr">
        <is>
          <t>A 55100-2024</t>
        </is>
      </c>
      <c r="B429" s="1" t="n">
        <v>45621.4405787037</v>
      </c>
      <c r="C429" s="1" t="n">
        <v>46190</v>
      </c>
      <c r="D429" t="inlineStr">
        <is>
          <t>UPPSALA LÄN</t>
        </is>
      </c>
      <c r="E429" t="inlineStr">
        <is>
          <t>ÖSTHAMMAR</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31669-2022</t>
        </is>
      </c>
      <c r="B430" s="1" t="n">
        <v>44775</v>
      </c>
      <c r="C430" s="1" t="n">
        <v>46190</v>
      </c>
      <c r="D430" t="inlineStr">
        <is>
          <t>UPPSALA LÄN</t>
        </is>
      </c>
      <c r="E430" t="inlineStr">
        <is>
          <t>ÖSTHAMMAR</t>
        </is>
      </c>
      <c r="G430" t="n">
        <v>6</v>
      </c>
      <c r="H430" t="n">
        <v>0</v>
      </c>
      <c r="I430" t="n">
        <v>0</v>
      </c>
      <c r="J430" t="n">
        <v>0</v>
      </c>
      <c r="K430" t="n">
        <v>0</v>
      </c>
      <c r="L430" t="n">
        <v>0</v>
      </c>
      <c r="M430" t="n">
        <v>0</v>
      </c>
      <c r="N430" t="n">
        <v>0</v>
      </c>
      <c r="O430" t="n">
        <v>0</v>
      </c>
      <c r="P430" t="n">
        <v>0</v>
      </c>
      <c r="Q430" t="n">
        <v>0</v>
      </c>
      <c r="R430" s="2" t="inlineStr"/>
    </row>
    <row r="431" ht="15" customHeight="1">
      <c r="A431" t="inlineStr">
        <is>
          <t>A 67151-2021</t>
        </is>
      </c>
      <c r="B431" s="1" t="n">
        <v>44523</v>
      </c>
      <c r="C431" s="1" t="n">
        <v>46190</v>
      </c>
      <c r="D431" t="inlineStr">
        <is>
          <t>UPPSALA LÄN</t>
        </is>
      </c>
      <c r="E431" t="inlineStr">
        <is>
          <t>ÖSTHAMMAR</t>
        </is>
      </c>
      <c r="G431" t="n">
        <v>2.4</v>
      </c>
      <c r="H431" t="n">
        <v>0</v>
      </c>
      <c r="I431" t="n">
        <v>0</v>
      </c>
      <c r="J431" t="n">
        <v>0</v>
      </c>
      <c r="K431" t="n">
        <v>0</v>
      </c>
      <c r="L431" t="n">
        <v>0</v>
      </c>
      <c r="M431" t="n">
        <v>0</v>
      </c>
      <c r="N431" t="n">
        <v>0</v>
      </c>
      <c r="O431" t="n">
        <v>0</v>
      </c>
      <c r="P431" t="n">
        <v>0</v>
      </c>
      <c r="Q431" t="n">
        <v>0</v>
      </c>
      <c r="R431" s="2" t="inlineStr"/>
    </row>
    <row r="432" ht="15" customHeight="1">
      <c r="A432" t="inlineStr">
        <is>
          <t>A 9542-2023</t>
        </is>
      </c>
      <c r="B432" s="1" t="n">
        <v>44981</v>
      </c>
      <c r="C432" s="1" t="n">
        <v>46190</v>
      </c>
      <c r="D432" t="inlineStr">
        <is>
          <t>UPPSALA LÄN</t>
        </is>
      </c>
      <c r="E432" t="inlineStr">
        <is>
          <t>ÖSTHAMMAR</t>
        </is>
      </c>
      <c r="F432" t="inlineStr">
        <is>
          <t>Bergvik skog öst AB</t>
        </is>
      </c>
      <c r="G432" t="n">
        <v>0.4</v>
      </c>
      <c r="H432" t="n">
        <v>0</v>
      </c>
      <c r="I432" t="n">
        <v>0</v>
      </c>
      <c r="J432" t="n">
        <v>0</v>
      </c>
      <c r="K432" t="n">
        <v>0</v>
      </c>
      <c r="L432" t="n">
        <v>0</v>
      </c>
      <c r="M432" t="n">
        <v>0</v>
      </c>
      <c r="N432" t="n">
        <v>0</v>
      </c>
      <c r="O432" t="n">
        <v>0</v>
      </c>
      <c r="P432" t="n">
        <v>0</v>
      </c>
      <c r="Q432" t="n">
        <v>0</v>
      </c>
      <c r="R432" s="2" t="inlineStr"/>
    </row>
    <row r="433" ht="15" customHeight="1">
      <c r="A433" t="inlineStr">
        <is>
          <t>A 21478-2023</t>
        </is>
      </c>
      <c r="B433" s="1" t="n">
        <v>45063.47773148148</v>
      </c>
      <c r="C433" s="1" t="n">
        <v>46190</v>
      </c>
      <c r="D433" t="inlineStr">
        <is>
          <t>UPPSALA LÄN</t>
        </is>
      </c>
      <c r="E433" t="inlineStr">
        <is>
          <t>ÖSTHAMMAR</t>
        </is>
      </c>
      <c r="G433" t="n">
        <v>0.4</v>
      </c>
      <c r="H433" t="n">
        <v>0</v>
      </c>
      <c r="I433" t="n">
        <v>0</v>
      </c>
      <c r="J433" t="n">
        <v>0</v>
      </c>
      <c r="K433" t="n">
        <v>0</v>
      </c>
      <c r="L433" t="n">
        <v>0</v>
      </c>
      <c r="M433" t="n">
        <v>0</v>
      </c>
      <c r="N433" t="n">
        <v>0</v>
      </c>
      <c r="O433" t="n">
        <v>0</v>
      </c>
      <c r="P433" t="n">
        <v>0</v>
      </c>
      <c r="Q433" t="n">
        <v>0</v>
      </c>
      <c r="R433" s="2" t="inlineStr"/>
    </row>
    <row r="434" ht="15" customHeight="1">
      <c r="A434" t="inlineStr">
        <is>
          <t>A 36343-2022</t>
        </is>
      </c>
      <c r="B434" s="1" t="n">
        <v>44803.78524305556</v>
      </c>
      <c r="C434" s="1" t="n">
        <v>46190</v>
      </c>
      <c r="D434" t="inlineStr">
        <is>
          <t>UPPSALA LÄN</t>
        </is>
      </c>
      <c r="E434" t="inlineStr">
        <is>
          <t>ÖSTHAMMAR</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16933-2022</t>
        </is>
      </c>
      <c r="B435" s="1" t="n">
        <v>44676</v>
      </c>
      <c r="C435" s="1" t="n">
        <v>46190</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56757-2025</t>
        </is>
      </c>
      <c r="B436" s="1" t="n">
        <v>45978.37162037037</v>
      </c>
      <c r="C436" s="1" t="n">
        <v>46190</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14269-2025</t>
        </is>
      </c>
      <c r="B437" s="1" t="n">
        <v>45740.64078703704</v>
      </c>
      <c r="C437" s="1" t="n">
        <v>46190</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56748-2025</t>
        </is>
      </c>
      <c r="B438" s="1" t="n">
        <v>45978.36412037037</v>
      </c>
      <c r="C438" s="1" t="n">
        <v>46190</v>
      </c>
      <c r="D438" t="inlineStr">
        <is>
          <t>UPPSALA LÄN</t>
        </is>
      </c>
      <c r="E438" t="inlineStr">
        <is>
          <t>ÖSTHAMMAR</t>
        </is>
      </c>
      <c r="F438" t="inlineStr">
        <is>
          <t>Sveaskog</t>
        </is>
      </c>
      <c r="G438" t="n">
        <v>3.4</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44596.63290509259</v>
      </c>
      <c r="C439" s="1" t="n">
        <v>46190</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56753-2025</t>
        </is>
      </c>
      <c r="B440" s="1" t="n">
        <v>45978.36677083333</v>
      </c>
      <c r="C440" s="1" t="n">
        <v>46190</v>
      </c>
      <c r="D440" t="inlineStr">
        <is>
          <t>UPPSALA LÄN</t>
        </is>
      </c>
      <c r="E440" t="inlineStr">
        <is>
          <t>ÖSTHAMMAR</t>
        </is>
      </c>
      <c r="F440" t="inlineStr">
        <is>
          <t>Sveaskog</t>
        </is>
      </c>
      <c r="G440" t="n">
        <v>8.6</v>
      </c>
      <c r="H440" t="n">
        <v>0</v>
      </c>
      <c r="I440" t="n">
        <v>0</v>
      </c>
      <c r="J440" t="n">
        <v>0</v>
      </c>
      <c r="K440" t="n">
        <v>0</v>
      </c>
      <c r="L440" t="n">
        <v>0</v>
      </c>
      <c r="M440" t="n">
        <v>0</v>
      </c>
      <c r="N440" t="n">
        <v>0</v>
      </c>
      <c r="O440" t="n">
        <v>0</v>
      </c>
      <c r="P440" t="n">
        <v>0</v>
      </c>
      <c r="Q440" t="n">
        <v>0</v>
      </c>
      <c r="R440" s="2" t="inlineStr"/>
    </row>
    <row r="441" ht="15" customHeight="1">
      <c r="A441" t="inlineStr">
        <is>
          <t>A 56823-2025</t>
        </is>
      </c>
      <c r="B441" s="1" t="n">
        <v>45978.46484953703</v>
      </c>
      <c r="C441" s="1" t="n">
        <v>46190</v>
      </c>
      <c r="D441" t="inlineStr">
        <is>
          <t>UPPSALA LÄN</t>
        </is>
      </c>
      <c r="E441" t="inlineStr">
        <is>
          <t>ÖSTHAMMAR</t>
        </is>
      </c>
      <c r="G441" t="n">
        <v>0.1</v>
      </c>
      <c r="H441" t="n">
        <v>0</v>
      </c>
      <c r="I441" t="n">
        <v>0</v>
      </c>
      <c r="J441" t="n">
        <v>0</v>
      </c>
      <c r="K441" t="n">
        <v>0</v>
      </c>
      <c r="L441" t="n">
        <v>0</v>
      </c>
      <c r="M441" t="n">
        <v>0</v>
      </c>
      <c r="N441" t="n">
        <v>0</v>
      </c>
      <c r="O441" t="n">
        <v>0</v>
      </c>
      <c r="P441" t="n">
        <v>0</v>
      </c>
      <c r="Q441" t="n">
        <v>0</v>
      </c>
      <c r="R441" s="2" t="inlineStr"/>
    </row>
    <row r="442" ht="15" customHeight="1">
      <c r="A442" t="inlineStr">
        <is>
          <t>A 56759-2024</t>
        </is>
      </c>
      <c r="B442" s="1" t="n">
        <v>45628.39877314815</v>
      </c>
      <c r="C442" s="1" t="n">
        <v>46190</v>
      </c>
      <c r="D442" t="inlineStr">
        <is>
          <t>UPPSALA LÄN</t>
        </is>
      </c>
      <c r="E442" t="inlineStr">
        <is>
          <t>ÖSTHAMMAR</t>
        </is>
      </c>
      <c r="G442" t="n">
        <v>4.7</v>
      </c>
      <c r="H442" t="n">
        <v>0</v>
      </c>
      <c r="I442" t="n">
        <v>0</v>
      </c>
      <c r="J442" t="n">
        <v>0</v>
      </c>
      <c r="K442" t="n">
        <v>0</v>
      </c>
      <c r="L442" t="n">
        <v>0</v>
      </c>
      <c r="M442" t="n">
        <v>0</v>
      </c>
      <c r="N442" t="n">
        <v>0</v>
      </c>
      <c r="O442" t="n">
        <v>0</v>
      </c>
      <c r="P442" t="n">
        <v>0</v>
      </c>
      <c r="Q442" t="n">
        <v>0</v>
      </c>
      <c r="R442" s="2" t="inlineStr"/>
    </row>
    <row r="443" ht="15" customHeight="1">
      <c r="A443" t="inlineStr">
        <is>
          <t>A 7118-2023</t>
        </is>
      </c>
      <c r="B443" s="1" t="n">
        <v>44970.39591435185</v>
      </c>
      <c r="C443" s="1" t="n">
        <v>46190</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24493-2023</t>
        </is>
      </c>
      <c r="B444" s="1" t="n">
        <v>45082.62603009259</v>
      </c>
      <c r="C444" s="1" t="n">
        <v>46190</v>
      </c>
      <c r="D444" t="inlineStr">
        <is>
          <t>UPPSALA LÄN</t>
        </is>
      </c>
      <c r="E444" t="inlineStr">
        <is>
          <t>ÖSTHAMMAR</t>
        </is>
      </c>
      <c r="G444" t="n">
        <v>1.9</v>
      </c>
      <c r="H444" t="n">
        <v>0</v>
      </c>
      <c r="I444" t="n">
        <v>0</v>
      </c>
      <c r="J444" t="n">
        <v>0</v>
      </c>
      <c r="K444" t="n">
        <v>0</v>
      </c>
      <c r="L444" t="n">
        <v>0</v>
      </c>
      <c r="M444" t="n">
        <v>0</v>
      </c>
      <c r="N444" t="n">
        <v>0</v>
      </c>
      <c r="O444" t="n">
        <v>0</v>
      </c>
      <c r="P444" t="n">
        <v>0</v>
      </c>
      <c r="Q444" t="n">
        <v>0</v>
      </c>
      <c r="R444" s="2" t="inlineStr"/>
    </row>
    <row r="445" ht="15" customHeight="1">
      <c r="A445" t="inlineStr">
        <is>
          <t>A 45102-2025</t>
        </is>
      </c>
      <c r="B445" s="1" t="n">
        <v>45919.39731481481</v>
      </c>
      <c r="C445" s="1" t="n">
        <v>46190</v>
      </c>
      <c r="D445" t="inlineStr">
        <is>
          <t>UPPSALA LÄN</t>
        </is>
      </c>
      <c r="E445" t="inlineStr">
        <is>
          <t>ÖSTHAMMAR</t>
        </is>
      </c>
      <c r="G445" t="n">
        <v>1.7</v>
      </c>
      <c r="H445" t="n">
        <v>0</v>
      </c>
      <c r="I445" t="n">
        <v>0</v>
      </c>
      <c r="J445" t="n">
        <v>0</v>
      </c>
      <c r="K445" t="n">
        <v>0</v>
      </c>
      <c r="L445" t="n">
        <v>0</v>
      </c>
      <c r="M445" t="n">
        <v>0</v>
      </c>
      <c r="N445" t="n">
        <v>0</v>
      </c>
      <c r="O445" t="n">
        <v>0</v>
      </c>
      <c r="P445" t="n">
        <v>0</v>
      </c>
      <c r="Q445" t="n">
        <v>0</v>
      </c>
      <c r="R445" s="2" t="inlineStr"/>
    </row>
    <row r="446" ht="15" customHeight="1">
      <c r="A446" t="inlineStr">
        <is>
          <t>A 7560-2023</t>
        </is>
      </c>
      <c r="B446" s="1" t="n">
        <v>44972.34811342593</v>
      </c>
      <c r="C446" s="1" t="n">
        <v>46190</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58399-2025</t>
        </is>
      </c>
      <c r="B447" s="1" t="n">
        <v>45985.56244212963</v>
      </c>
      <c r="C447" s="1" t="n">
        <v>46190</v>
      </c>
      <c r="D447" t="inlineStr">
        <is>
          <t>UPPSALA LÄN</t>
        </is>
      </c>
      <c r="E447" t="inlineStr">
        <is>
          <t>ÖSTHAMMAR</t>
        </is>
      </c>
      <c r="G447" t="n">
        <v>2.6</v>
      </c>
      <c r="H447" t="n">
        <v>0</v>
      </c>
      <c r="I447" t="n">
        <v>0</v>
      </c>
      <c r="J447" t="n">
        <v>0</v>
      </c>
      <c r="K447" t="n">
        <v>0</v>
      </c>
      <c r="L447" t="n">
        <v>0</v>
      </c>
      <c r="M447" t="n">
        <v>0</v>
      </c>
      <c r="N447" t="n">
        <v>0</v>
      </c>
      <c r="O447" t="n">
        <v>0</v>
      </c>
      <c r="P447" t="n">
        <v>0</v>
      </c>
      <c r="Q447" t="n">
        <v>0</v>
      </c>
      <c r="R447" s="2" t="inlineStr"/>
    </row>
    <row r="448" ht="15" customHeight="1">
      <c r="A448" t="inlineStr">
        <is>
          <t>A 45105-2025</t>
        </is>
      </c>
      <c r="B448" s="1" t="n">
        <v>45919.40252314815</v>
      </c>
      <c r="C448" s="1" t="n">
        <v>46190</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19040-2023</t>
        </is>
      </c>
      <c r="B449" s="1" t="n">
        <v>45047</v>
      </c>
      <c r="C449" s="1" t="n">
        <v>46190</v>
      </c>
      <c r="D449" t="inlineStr">
        <is>
          <t>UPPSALA LÄN</t>
        </is>
      </c>
      <c r="E449" t="inlineStr">
        <is>
          <t>ÖSTHAMMAR</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4004-2023</t>
        </is>
      </c>
      <c r="B450" s="1" t="n">
        <v>44952</v>
      </c>
      <c r="C450" s="1" t="n">
        <v>46190</v>
      </c>
      <c r="D450" t="inlineStr">
        <is>
          <t>UPPSALA LÄN</t>
        </is>
      </c>
      <c r="E450" t="inlineStr">
        <is>
          <t>ÖSTHAMMAR</t>
        </is>
      </c>
      <c r="G450" t="n">
        <v>4.1</v>
      </c>
      <c r="H450" t="n">
        <v>0</v>
      </c>
      <c r="I450" t="n">
        <v>0</v>
      </c>
      <c r="J450" t="n">
        <v>0</v>
      </c>
      <c r="K450" t="n">
        <v>0</v>
      </c>
      <c r="L450" t="n">
        <v>0</v>
      </c>
      <c r="M450" t="n">
        <v>0</v>
      </c>
      <c r="N450" t="n">
        <v>0</v>
      </c>
      <c r="O450" t="n">
        <v>0</v>
      </c>
      <c r="P450" t="n">
        <v>0</v>
      </c>
      <c r="Q450" t="n">
        <v>0</v>
      </c>
      <c r="R450" s="2" t="inlineStr"/>
    </row>
    <row r="451" ht="15" customHeight="1">
      <c r="A451" t="inlineStr">
        <is>
          <t>A 31549-2022</t>
        </is>
      </c>
      <c r="B451" s="1" t="n">
        <v>44775.400625</v>
      </c>
      <c r="C451" s="1" t="n">
        <v>46190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59745-2025</t>
        </is>
      </c>
      <c r="B452" s="1" t="n">
        <v>45992.57708333333</v>
      </c>
      <c r="C452" s="1" t="n">
        <v>46190</v>
      </c>
      <c r="D452" t="inlineStr">
        <is>
          <t>UPPSALA LÄN</t>
        </is>
      </c>
      <c r="E452" t="inlineStr">
        <is>
          <t>ÖSTHAMMAR</t>
        </is>
      </c>
      <c r="F452" t="inlineStr">
        <is>
          <t>Bergvik skog öst AB</t>
        </is>
      </c>
      <c r="G452" t="n">
        <v>3.3</v>
      </c>
      <c r="H452" t="n">
        <v>0</v>
      </c>
      <c r="I452" t="n">
        <v>0</v>
      </c>
      <c r="J452" t="n">
        <v>0</v>
      </c>
      <c r="K452" t="n">
        <v>0</v>
      </c>
      <c r="L452" t="n">
        <v>0</v>
      </c>
      <c r="M452" t="n">
        <v>0</v>
      </c>
      <c r="N452" t="n">
        <v>0</v>
      </c>
      <c r="O452" t="n">
        <v>0</v>
      </c>
      <c r="P452" t="n">
        <v>0</v>
      </c>
      <c r="Q452" t="n">
        <v>0</v>
      </c>
      <c r="R452" s="2" t="inlineStr"/>
    </row>
    <row r="453" ht="15" customHeight="1">
      <c r="A453" t="inlineStr">
        <is>
          <t>A 59706-2025</t>
        </is>
      </c>
      <c r="B453" s="1" t="n">
        <v>45992.50333333333</v>
      </c>
      <c r="C453" s="1" t="n">
        <v>46190</v>
      </c>
      <c r="D453" t="inlineStr">
        <is>
          <t>UPPSALA LÄN</t>
        </is>
      </c>
      <c r="E453" t="inlineStr">
        <is>
          <t>ÖSTHAMMAR</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59708-2025</t>
        </is>
      </c>
      <c r="B454" s="1" t="n">
        <v>45992.50802083333</v>
      </c>
      <c r="C454" s="1" t="n">
        <v>46190</v>
      </c>
      <c r="D454" t="inlineStr">
        <is>
          <t>UPPSALA LÄN</t>
        </is>
      </c>
      <c r="E454" t="inlineStr">
        <is>
          <t>ÖSTHAMMAR</t>
        </is>
      </c>
      <c r="F454" t="inlineStr">
        <is>
          <t>Bergvik skog öst AB</t>
        </is>
      </c>
      <c r="G454" t="n">
        <v>3.2</v>
      </c>
      <c r="H454" t="n">
        <v>0</v>
      </c>
      <c r="I454" t="n">
        <v>0</v>
      </c>
      <c r="J454" t="n">
        <v>0</v>
      </c>
      <c r="K454" t="n">
        <v>0</v>
      </c>
      <c r="L454" t="n">
        <v>0</v>
      </c>
      <c r="M454" t="n">
        <v>0</v>
      </c>
      <c r="N454" t="n">
        <v>0</v>
      </c>
      <c r="O454" t="n">
        <v>0</v>
      </c>
      <c r="P454" t="n">
        <v>0</v>
      </c>
      <c r="Q454" t="n">
        <v>0</v>
      </c>
      <c r="R454" s="2" t="inlineStr"/>
    </row>
    <row r="455" ht="15" customHeight="1">
      <c r="A455" t="inlineStr">
        <is>
          <t>A 59743-2025</t>
        </is>
      </c>
      <c r="B455" s="1" t="n">
        <v>45992.57668981481</v>
      </c>
      <c r="C455" s="1" t="n">
        <v>46190</v>
      </c>
      <c r="D455" t="inlineStr">
        <is>
          <t>UPPSALA LÄN</t>
        </is>
      </c>
      <c r="E455" t="inlineStr">
        <is>
          <t>ÖSTHAMMAR</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45993-2025</t>
        </is>
      </c>
      <c r="B456" s="1" t="n">
        <v>45924.39706018518</v>
      </c>
      <c r="C456" s="1" t="n">
        <v>46190</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36857-2023</t>
        </is>
      </c>
      <c r="B457" s="1" t="n">
        <v>45154.55175925926</v>
      </c>
      <c r="C457" s="1" t="n">
        <v>46190</v>
      </c>
      <c r="D457" t="inlineStr">
        <is>
          <t>UPPSALA LÄN</t>
        </is>
      </c>
      <c r="E457" t="inlineStr">
        <is>
          <t>ÖSTHAMMAR</t>
        </is>
      </c>
      <c r="G457" t="n">
        <v>0.5</v>
      </c>
      <c r="H457" t="n">
        <v>0</v>
      </c>
      <c r="I457" t="n">
        <v>0</v>
      </c>
      <c r="J457" t="n">
        <v>0</v>
      </c>
      <c r="K457" t="n">
        <v>0</v>
      </c>
      <c r="L457" t="n">
        <v>0</v>
      </c>
      <c r="M457" t="n">
        <v>0</v>
      </c>
      <c r="N457" t="n">
        <v>0</v>
      </c>
      <c r="O457" t="n">
        <v>0</v>
      </c>
      <c r="P457" t="n">
        <v>0</v>
      </c>
      <c r="Q457" t="n">
        <v>0</v>
      </c>
      <c r="R457" s="2" t="inlineStr"/>
    </row>
    <row r="458" ht="15" customHeight="1">
      <c r="A458" t="inlineStr">
        <is>
          <t>A 1800-2023</t>
        </is>
      </c>
      <c r="B458" s="1" t="n">
        <v>44938</v>
      </c>
      <c r="C458" s="1" t="n">
        <v>46190</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31485-2023</t>
        </is>
      </c>
      <c r="B459" s="1" t="n">
        <v>45114</v>
      </c>
      <c r="C459" s="1" t="n">
        <v>46190</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25897-2023</t>
        </is>
      </c>
      <c r="B460" s="1" t="n">
        <v>45090.63300925926</v>
      </c>
      <c r="C460" s="1" t="n">
        <v>46190</v>
      </c>
      <c r="D460" t="inlineStr">
        <is>
          <t>UPPSALA LÄN</t>
        </is>
      </c>
      <c r="E460" t="inlineStr">
        <is>
          <t>ÖSTHAMMAR</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57156-2025</t>
        </is>
      </c>
      <c r="B461" s="1" t="n">
        <v>45979.51591435185</v>
      </c>
      <c r="C461" s="1" t="n">
        <v>46190</v>
      </c>
      <c r="D461" t="inlineStr">
        <is>
          <t>UPPSALA LÄN</t>
        </is>
      </c>
      <c r="E461" t="inlineStr">
        <is>
          <t>ÖSTHAMMAR</t>
        </is>
      </c>
      <c r="G461" t="n">
        <v>1.8</v>
      </c>
      <c r="H461" t="n">
        <v>0</v>
      </c>
      <c r="I461" t="n">
        <v>0</v>
      </c>
      <c r="J461" t="n">
        <v>0</v>
      </c>
      <c r="K461" t="n">
        <v>0</v>
      </c>
      <c r="L461" t="n">
        <v>0</v>
      </c>
      <c r="M461" t="n">
        <v>0</v>
      </c>
      <c r="N461" t="n">
        <v>0</v>
      </c>
      <c r="O461" t="n">
        <v>0</v>
      </c>
      <c r="P461" t="n">
        <v>0</v>
      </c>
      <c r="Q461" t="n">
        <v>0</v>
      </c>
      <c r="R461" s="2" t="inlineStr"/>
    </row>
    <row r="462" ht="15" customHeight="1">
      <c r="A462" t="inlineStr">
        <is>
          <t>A 60738-2025</t>
        </is>
      </c>
      <c r="B462" s="1" t="n">
        <v>45996.83506944445</v>
      </c>
      <c r="C462" s="1" t="n">
        <v>46190</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60603-2025</t>
        </is>
      </c>
      <c r="B463" s="1" t="n">
        <v>45996.3543287037</v>
      </c>
      <c r="C463" s="1" t="n">
        <v>46190</v>
      </c>
      <c r="D463" t="inlineStr">
        <is>
          <t>UPPSALA LÄN</t>
        </is>
      </c>
      <c r="E463" t="inlineStr">
        <is>
          <t>ÖSTHAMMAR</t>
        </is>
      </c>
      <c r="G463" t="n">
        <v>4.7</v>
      </c>
      <c r="H463" t="n">
        <v>0</v>
      </c>
      <c r="I463" t="n">
        <v>0</v>
      </c>
      <c r="J463" t="n">
        <v>0</v>
      </c>
      <c r="K463" t="n">
        <v>0</v>
      </c>
      <c r="L463" t="n">
        <v>0</v>
      </c>
      <c r="M463" t="n">
        <v>0</v>
      </c>
      <c r="N463" t="n">
        <v>0</v>
      </c>
      <c r="O463" t="n">
        <v>0</v>
      </c>
      <c r="P463" t="n">
        <v>0</v>
      </c>
      <c r="Q463" t="n">
        <v>0</v>
      </c>
      <c r="R463" s="2" t="inlineStr"/>
    </row>
    <row r="464" ht="15" customHeight="1">
      <c r="A464" t="inlineStr">
        <is>
          <t>A 60910-2025</t>
        </is>
      </c>
      <c r="B464" s="1" t="n">
        <v>45999.59837962963</v>
      </c>
      <c r="C464" s="1" t="n">
        <v>46190</v>
      </c>
      <c r="D464" t="inlineStr">
        <is>
          <t>UPPSALA LÄN</t>
        </is>
      </c>
      <c r="E464" t="inlineStr">
        <is>
          <t>ÖSTHAMMAR</t>
        </is>
      </c>
      <c r="G464" t="n">
        <v>3.5</v>
      </c>
      <c r="H464" t="n">
        <v>0</v>
      </c>
      <c r="I464" t="n">
        <v>0</v>
      </c>
      <c r="J464" t="n">
        <v>0</v>
      </c>
      <c r="K464" t="n">
        <v>0</v>
      </c>
      <c r="L464" t="n">
        <v>0</v>
      </c>
      <c r="M464" t="n">
        <v>0</v>
      </c>
      <c r="N464" t="n">
        <v>0</v>
      </c>
      <c r="O464" t="n">
        <v>0</v>
      </c>
      <c r="P464" t="n">
        <v>0</v>
      </c>
      <c r="Q464" t="n">
        <v>0</v>
      </c>
      <c r="R464" s="2" t="inlineStr"/>
    </row>
    <row r="465" ht="15" customHeight="1">
      <c r="A465" t="inlineStr">
        <is>
          <t>A 47336-2025</t>
        </is>
      </c>
      <c r="B465" s="1" t="n">
        <v>45930.56592592593</v>
      </c>
      <c r="C465" s="1" t="n">
        <v>46190</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67848-2021</t>
        </is>
      </c>
      <c r="B466" s="1" t="n">
        <v>44525</v>
      </c>
      <c r="C466" s="1" t="n">
        <v>46190</v>
      </c>
      <c r="D466" t="inlineStr">
        <is>
          <t>UPPSALA LÄN</t>
        </is>
      </c>
      <c r="E466" t="inlineStr">
        <is>
          <t>ÖSTHAMMAR</t>
        </is>
      </c>
      <c r="G466" t="n">
        <v>1</v>
      </c>
      <c r="H466" t="n">
        <v>0</v>
      </c>
      <c r="I466" t="n">
        <v>0</v>
      </c>
      <c r="J466" t="n">
        <v>0</v>
      </c>
      <c r="K466" t="n">
        <v>0</v>
      </c>
      <c r="L466" t="n">
        <v>0</v>
      </c>
      <c r="M466" t="n">
        <v>0</v>
      </c>
      <c r="N466" t="n">
        <v>0</v>
      </c>
      <c r="O466" t="n">
        <v>0</v>
      </c>
      <c r="P466" t="n">
        <v>0</v>
      </c>
      <c r="Q466" t="n">
        <v>0</v>
      </c>
      <c r="R466" s="2" t="inlineStr"/>
    </row>
    <row r="467" ht="15" customHeight="1">
      <c r="A467" t="inlineStr">
        <is>
          <t>A 61838-2025</t>
        </is>
      </c>
      <c r="B467" s="1" t="n">
        <v>46003.35675925926</v>
      </c>
      <c r="C467" s="1" t="n">
        <v>46190</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47615-2025</t>
        </is>
      </c>
      <c r="B468" s="1" t="n">
        <v>45931.47542824074</v>
      </c>
      <c r="C468" s="1" t="n">
        <v>46190</v>
      </c>
      <c r="D468" t="inlineStr">
        <is>
          <t>UPPSALA LÄN</t>
        </is>
      </c>
      <c r="E468" t="inlineStr">
        <is>
          <t>ÖSTHAMMAR</t>
        </is>
      </c>
      <c r="G468" t="n">
        <v>7</v>
      </c>
      <c r="H468" t="n">
        <v>0</v>
      </c>
      <c r="I468" t="n">
        <v>0</v>
      </c>
      <c r="J468" t="n">
        <v>0</v>
      </c>
      <c r="K468" t="n">
        <v>0</v>
      </c>
      <c r="L468" t="n">
        <v>0</v>
      </c>
      <c r="M468" t="n">
        <v>0</v>
      </c>
      <c r="N468" t="n">
        <v>0</v>
      </c>
      <c r="O468" t="n">
        <v>0</v>
      </c>
      <c r="P468" t="n">
        <v>0</v>
      </c>
      <c r="Q468" t="n">
        <v>0</v>
      </c>
      <c r="R468" s="2" t="inlineStr"/>
    </row>
    <row r="469" ht="15" customHeight="1">
      <c r="A469" t="inlineStr">
        <is>
          <t>A 38600-2023</t>
        </is>
      </c>
      <c r="B469" s="1" t="n">
        <v>45162</v>
      </c>
      <c r="C469" s="1" t="n">
        <v>46190</v>
      </c>
      <c r="D469" t="inlineStr">
        <is>
          <t>UPPSALA LÄN</t>
        </is>
      </c>
      <c r="E469" t="inlineStr">
        <is>
          <t>ÖSTHAMMAR</t>
        </is>
      </c>
      <c r="F469" t="inlineStr">
        <is>
          <t>Bergvik skog väst AB</t>
        </is>
      </c>
      <c r="G469" t="n">
        <v>0.1</v>
      </c>
      <c r="H469" t="n">
        <v>0</v>
      </c>
      <c r="I469" t="n">
        <v>0</v>
      </c>
      <c r="J469" t="n">
        <v>0</v>
      </c>
      <c r="K469" t="n">
        <v>0</v>
      </c>
      <c r="L469" t="n">
        <v>0</v>
      </c>
      <c r="M469" t="n">
        <v>0</v>
      </c>
      <c r="N469" t="n">
        <v>0</v>
      </c>
      <c r="O469" t="n">
        <v>0</v>
      </c>
      <c r="P469" t="n">
        <v>0</v>
      </c>
      <c r="Q469" t="n">
        <v>0</v>
      </c>
      <c r="R469" s="2" t="inlineStr"/>
    </row>
    <row r="470" ht="15" customHeight="1">
      <c r="A470" t="inlineStr">
        <is>
          <t>A 64811-2021</t>
        </is>
      </c>
      <c r="B470" s="1" t="n">
        <v>44512</v>
      </c>
      <c r="C470" s="1" t="n">
        <v>46190</v>
      </c>
      <c r="D470" t="inlineStr">
        <is>
          <t>UPPSALA LÄN</t>
        </is>
      </c>
      <c r="E470" t="inlineStr">
        <is>
          <t>ÖSTHAMMAR</t>
        </is>
      </c>
      <c r="G470" t="n">
        <v>4.2</v>
      </c>
      <c r="H470" t="n">
        <v>0</v>
      </c>
      <c r="I470" t="n">
        <v>0</v>
      </c>
      <c r="J470" t="n">
        <v>0</v>
      </c>
      <c r="K470" t="n">
        <v>0</v>
      </c>
      <c r="L470" t="n">
        <v>0</v>
      </c>
      <c r="M470" t="n">
        <v>0</v>
      </c>
      <c r="N470" t="n">
        <v>0</v>
      </c>
      <c r="O470" t="n">
        <v>0</v>
      </c>
      <c r="P470" t="n">
        <v>0</v>
      </c>
      <c r="Q470" t="n">
        <v>0</v>
      </c>
      <c r="R470" s="2" t="inlineStr"/>
    </row>
    <row r="471" ht="15" customHeight="1">
      <c r="A471" t="inlineStr">
        <is>
          <t>A 56382-2022</t>
        </is>
      </c>
      <c r="B471" s="1" t="n">
        <v>44890.75795138889</v>
      </c>
      <c r="C471" s="1" t="n">
        <v>46190</v>
      </c>
      <c r="D471" t="inlineStr">
        <is>
          <t>UPPSALA LÄN</t>
        </is>
      </c>
      <c r="E471" t="inlineStr">
        <is>
          <t>ÖSTHAMMAR</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57043-2022</t>
        </is>
      </c>
      <c r="B472" s="1" t="n">
        <v>44895.36748842592</v>
      </c>
      <c r="C472" s="1" t="n">
        <v>46190</v>
      </c>
      <c r="D472" t="inlineStr">
        <is>
          <t>UPPSALA LÄN</t>
        </is>
      </c>
      <c r="E472" t="inlineStr">
        <is>
          <t>ÖSTHAMMAR</t>
        </is>
      </c>
      <c r="F472" t="inlineStr">
        <is>
          <t>Bergvik skog öst AB</t>
        </is>
      </c>
      <c r="G472" t="n">
        <v>5.7</v>
      </c>
      <c r="H472" t="n">
        <v>0</v>
      </c>
      <c r="I472" t="n">
        <v>0</v>
      </c>
      <c r="J472" t="n">
        <v>0</v>
      </c>
      <c r="K472" t="n">
        <v>0</v>
      </c>
      <c r="L472" t="n">
        <v>0</v>
      </c>
      <c r="M472" t="n">
        <v>0</v>
      </c>
      <c r="N472" t="n">
        <v>0</v>
      </c>
      <c r="O472" t="n">
        <v>0</v>
      </c>
      <c r="P472" t="n">
        <v>0</v>
      </c>
      <c r="Q472" t="n">
        <v>0</v>
      </c>
      <c r="R472" s="2" t="inlineStr"/>
    </row>
    <row r="473" ht="15" customHeight="1">
      <c r="A473" t="inlineStr">
        <is>
          <t>A 59880-2022</t>
        </is>
      </c>
      <c r="B473" s="1" t="n">
        <v>44908.69575231482</v>
      </c>
      <c r="C473" s="1" t="n">
        <v>46190</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62745-2025</t>
        </is>
      </c>
      <c r="B474" s="1" t="n">
        <v>46008.57596064815</v>
      </c>
      <c r="C474" s="1" t="n">
        <v>46190</v>
      </c>
      <c r="D474" t="inlineStr">
        <is>
          <t>UPPSALA LÄN</t>
        </is>
      </c>
      <c r="E474" t="inlineStr">
        <is>
          <t>ÖSTHAMMAR</t>
        </is>
      </c>
      <c r="G474" t="n">
        <v>2</v>
      </c>
      <c r="H474" t="n">
        <v>0</v>
      </c>
      <c r="I474" t="n">
        <v>0</v>
      </c>
      <c r="J474" t="n">
        <v>0</v>
      </c>
      <c r="K474" t="n">
        <v>0</v>
      </c>
      <c r="L474" t="n">
        <v>0</v>
      </c>
      <c r="M474" t="n">
        <v>0</v>
      </c>
      <c r="N474" t="n">
        <v>0</v>
      </c>
      <c r="O474" t="n">
        <v>0</v>
      </c>
      <c r="P474" t="n">
        <v>0</v>
      </c>
      <c r="Q474" t="n">
        <v>0</v>
      </c>
      <c r="R474" s="2" t="inlineStr"/>
    </row>
    <row r="475" ht="15" customHeight="1">
      <c r="A475" t="inlineStr">
        <is>
          <t>A 7944-2023</t>
        </is>
      </c>
      <c r="B475" s="1" t="n">
        <v>44973.66458333333</v>
      </c>
      <c r="C475" s="1" t="n">
        <v>46190</v>
      </c>
      <c r="D475" t="inlineStr">
        <is>
          <t>UPPSALA LÄN</t>
        </is>
      </c>
      <c r="E475" t="inlineStr">
        <is>
          <t>ÖSTHAMMAR</t>
        </is>
      </c>
      <c r="G475" t="n">
        <v>4.6</v>
      </c>
      <c r="H475" t="n">
        <v>0</v>
      </c>
      <c r="I475" t="n">
        <v>0</v>
      </c>
      <c r="J475" t="n">
        <v>0</v>
      </c>
      <c r="K475" t="n">
        <v>0</v>
      </c>
      <c r="L475" t="n">
        <v>0</v>
      </c>
      <c r="M475" t="n">
        <v>0</v>
      </c>
      <c r="N475" t="n">
        <v>0</v>
      </c>
      <c r="O475" t="n">
        <v>0</v>
      </c>
      <c r="P475" t="n">
        <v>0</v>
      </c>
      <c r="Q475" t="n">
        <v>0</v>
      </c>
      <c r="R475" s="2" t="inlineStr"/>
    </row>
    <row r="476" ht="15" customHeight="1">
      <c r="A476" t="inlineStr">
        <is>
          <t>A 52659-2021</t>
        </is>
      </c>
      <c r="B476" s="1" t="n">
        <v>44466</v>
      </c>
      <c r="C476" s="1" t="n">
        <v>46190</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7216-2025</t>
        </is>
      </c>
      <c r="B477" s="1" t="n">
        <v>45702.47630787037</v>
      </c>
      <c r="C477" s="1" t="n">
        <v>46190</v>
      </c>
      <c r="D477" t="inlineStr">
        <is>
          <t>UPPSALA LÄN</t>
        </is>
      </c>
      <c r="E477" t="inlineStr">
        <is>
          <t>ÖSTHAMMAR</t>
        </is>
      </c>
      <c r="F477" t="inlineStr">
        <is>
          <t>Övriga Aktiebolag</t>
        </is>
      </c>
      <c r="G477" t="n">
        <v>12.5</v>
      </c>
      <c r="H477" t="n">
        <v>0</v>
      </c>
      <c r="I477" t="n">
        <v>0</v>
      </c>
      <c r="J477" t="n">
        <v>0</v>
      </c>
      <c r="K477" t="n">
        <v>0</v>
      </c>
      <c r="L477" t="n">
        <v>0</v>
      </c>
      <c r="M477" t="n">
        <v>0</v>
      </c>
      <c r="N477" t="n">
        <v>0</v>
      </c>
      <c r="O477" t="n">
        <v>0</v>
      </c>
      <c r="P477" t="n">
        <v>0</v>
      </c>
      <c r="Q477" t="n">
        <v>0</v>
      </c>
      <c r="R477" s="2" t="inlineStr"/>
    </row>
    <row r="478" ht="15" customHeight="1">
      <c r="A478" t="inlineStr">
        <is>
          <t>A 73965-2021</t>
        </is>
      </c>
      <c r="B478" s="1" t="n">
        <v>44553.80824074074</v>
      </c>
      <c r="C478" s="1" t="n">
        <v>46190</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3418-2025</t>
        </is>
      </c>
      <c r="B479" s="1" t="n">
        <v>45680</v>
      </c>
      <c r="C479" s="1" t="n">
        <v>46190</v>
      </c>
      <c r="D479" t="inlineStr">
        <is>
          <t>UPPSALA LÄN</t>
        </is>
      </c>
      <c r="E479" t="inlineStr">
        <is>
          <t>ÖSTHAMMAR</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52661-2022</t>
        </is>
      </c>
      <c r="B480" s="1" t="n">
        <v>44874</v>
      </c>
      <c r="C480" s="1" t="n">
        <v>46190</v>
      </c>
      <c r="D480" t="inlineStr">
        <is>
          <t>UPPSALA LÄN</t>
        </is>
      </c>
      <c r="E480" t="inlineStr">
        <is>
          <t>ÖSTHAMMAR</t>
        </is>
      </c>
      <c r="F480" t="inlineStr">
        <is>
          <t>Bergvik skog öst AB</t>
        </is>
      </c>
      <c r="G480" t="n">
        <v>0.2</v>
      </c>
      <c r="H480" t="n">
        <v>0</v>
      </c>
      <c r="I480" t="n">
        <v>0</v>
      </c>
      <c r="J480" t="n">
        <v>0</v>
      </c>
      <c r="K480" t="n">
        <v>0</v>
      </c>
      <c r="L480" t="n">
        <v>0</v>
      </c>
      <c r="M480" t="n">
        <v>0</v>
      </c>
      <c r="N480" t="n">
        <v>0</v>
      </c>
      <c r="O480" t="n">
        <v>0</v>
      </c>
      <c r="P480" t="n">
        <v>0</v>
      </c>
      <c r="Q480" t="n">
        <v>0</v>
      </c>
      <c r="R480" s="2" t="inlineStr"/>
    </row>
    <row r="481" ht="15" customHeight="1">
      <c r="A481" t="inlineStr">
        <is>
          <t>A 65028-2021</t>
        </is>
      </c>
      <c r="B481" s="1" t="n">
        <v>44515</v>
      </c>
      <c r="C481" s="1" t="n">
        <v>46190</v>
      </c>
      <c r="D481" t="inlineStr">
        <is>
          <t>UPPSALA LÄN</t>
        </is>
      </c>
      <c r="E481" t="inlineStr">
        <is>
          <t>ÖSTHAMMAR</t>
        </is>
      </c>
      <c r="F481" t="inlineStr">
        <is>
          <t>Sveaskog</t>
        </is>
      </c>
      <c r="G481" t="n">
        <v>1</v>
      </c>
      <c r="H481" t="n">
        <v>0</v>
      </c>
      <c r="I481" t="n">
        <v>0</v>
      </c>
      <c r="J481" t="n">
        <v>0</v>
      </c>
      <c r="K481" t="n">
        <v>0</v>
      </c>
      <c r="L481" t="n">
        <v>0</v>
      </c>
      <c r="M481" t="n">
        <v>0</v>
      </c>
      <c r="N481" t="n">
        <v>0</v>
      </c>
      <c r="O481" t="n">
        <v>0</v>
      </c>
      <c r="P481" t="n">
        <v>0</v>
      </c>
      <c r="Q481" t="n">
        <v>0</v>
      </c>
      <c r="R481" s="2" t="inlineStr"/>
    </row>
    <row r="482" ht="15" customHeight="1">
      <c r="A482" t="inlineStr">
        <is>
          <t>A 48854-2025</t>
        </is>
      </c>
      <c r="B482" s="1" t="n">
        <v>45937.43274305556</v>
      </c>
      <c r="C482" s="1" t="n">
        <v>46190</v>
      </c>
      <c r="D482" t="inlineStr">
        <is>
          <t>UPPSALA LÄN</t>
        </is>
      </c>
      <c r="E482" t="inlineStr">
        <is>
          <t>ÖSTHAMMAR</t>
        </is>
      </c>
      <c r="F482" t="inlineStr">
        <is>
          <t>Övriga Aktiebolag</t>
        </is>
      </c>
      <c r="G482" t="n">
        <v>18.9</v>
      </c>
      <c r="H482" t="n">
        <v>0</v>
      </c>
      <c r="I482" t="n">
        <v>0</v>
      </c>
      <c r="J482" t="n">
        <v>0</v>
      </c>
      <c r="K482" t="n">
        <v>0</v>
      </c>
      <c r="L482" t="n">
        <v>0</v>
      </c>
      <c r="M482" t="n">
        <v>0</v>
      </c>
      <c r="N482" t="n">
        <v>0</v>
      </c>
      <c r="O482" t="n">
        <v>0</v>
      </c>
      <c r="P482" t="n">
        <v>0</v>
      </c>
      <c r="Q482" t="n">
        <v>0</v>
      </c>
      <c r="R482" s="2" t="inlineStr"/>
    </row>
    <row r="483" ht="15" customHeight="1">
      <c r="A483" t="inlineStr">
        <is>
          <t>A 40547-2023</t>
        </is>
      </c>
      <c r="B483" s="1" t="n">
        <v>45170.45050925926</v>
      </c>
      <c r="C483" s="1" t="n">
        <v>46190</v>
      </c>
      <c r="D483" t="inlineStr">
        <is>
          <t>UPPSALA LÄN</t>
        </is>
      </c>
      <c r="E483" t="inlineStr">
        <is>
          <t>ÖSTHAMMAR</t>
        </is>
      </c>
      <c r="G483" t="n">
        <v>2.1</v>
      </c>
      <c r="H483" t="n">
        <v>0</v>
      </c>
      <c r="I483" t="n">
        <v>0</v>
      </c>
      <c r="J483" t="n">
        <v>0</v>
      </c>
      <c r="K483" t="n">
        <v>0</v>
      </c>
      <c r="L483" t="n">
        <v>0</v>
      </c>
      <c r="M483" t="n">
        <v>0</v>
      </c>
      <c r="N483" t="n">
        <v>0</v>
      </c>
      <c r="O483" t="n">
        <v>0</v>
      </c>
      <c r="P483" t="n">
        <v>0</v>
      </c>
      <c r="Q483" t="n">
        <v>0</v>
      </c>
      <c r="R483" s="2" t="inlineStr"/>
    </row>
    <row r="484" ht="15" customHeight="1">
      <c r="A484" t="inlineStr">
        <is>
          <t>A 14505-2023</t>
        </is>
      </c>
      <c r="B484" s="1" t="n">
        <v>45012.7975</v>
      </c>
      <c r="C484" s="1" t="n">
        <v>46190</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31896-2025</t>
        </is>
      </c>
      <c r="B485" s="1" t="n">
        <v>45834.67556712963</v>
      </c>
      <c r="C485" s="1" t="n">
        <v>46190</v>
      </c>
      <c r="D485" t="inlineStr">
        <is>
          <t>UPPSALA LÄN</t>
        </is>
      </c>
      <c r="E485" t="inlineStr">
        <is>
          <t>ÖSTHAMMAR</t>
        </is>
      </c>
      <c r="G485" t="n">
        <v>4.1</v>
      </c>
      <c r="H485" t="n">
        <v>0</v>
      </c>
      <c r="I485" t="n">
        <v>0</v>
      </c>
      <c r="J485" t="n">
        <v>0</v>
      </c>
      <c r="K485" t="n">
        <v>0</v>
      </c>
      <c r="L485" t="n">
        <v>0</v>
      </c>
      <c r="M485" t="n">
        <v>0</v>
      </c>
      <c r="N485" t="n">
        <v>0</v>
      </c>
      <c r="O485" t="n">
        <v>0</v>
      </c>
      <c r="P485" t="n">
        <v>0</v>
      </c>
      <c r="Q485" t="n">
        <v>0</v>
      </c>
      <c r="R485" s="2" t="inlineStr"/>
    </row>
    <row r="486" ht="15" customHeight="1">
      <c r="A486" t="inlineStr">
        <is>
          <t>A 47341-2023</t>
        </is>
      </c>
      <c r="B486" s="1" t="n">
        <v>45202.55721064815</v>
      </c>
      <c r="C486" s="1" t="n">
        <v>46190</v>
      </c>
      <c r="D486" t="inlineStr">
        <is>
          <t>UPPSALA LÄN</t>
        </is>
      </c>
      <c r="E486" t="inlineStr">
        <is>
          <t>ÖSTHAMMAR</t>
        </is>
      </c>
      <c r="G486" t="n">
        <v>4.9</v>
      </c>
      <c r="H486" t="n">
        <v>0</v>
      </c>
      <c r="I486" t="n">
        <v>0</v>
      </c>
      <c r="J486" t="n">
        <v>0</v>
      </c>
      <c r="K486" t="n">
        <v>0</v>
      </c>
      <c r="L486" t="n">
        <v>0</v>
      </c>
      <c r="M486" t="n">
        <v>0</v>
      </c>
      <c r="N486" t="n">
        <v>0</v>
      </c>
      <c r="O486" t="n">
        <v>0</v>
      </c>
      <c r="P486" t="n">
        <v>0</v>
      </c>
      <c r="Q486" t="n">
        <v>0</v>
      </c>
      <c r="R486" s="2" t="inlineStr"/>
    </row>
    <row r="487" ht="15" customHeight="1">
      <c r="A487" t="inlineStr">
        <is>
          <t>A 3732-2022</t>
        </is>
      </c>
      <c r="B487" s="1" t="n">
        <v>44586.64851851852</v>
      </c>
      <c r="C487" s="1" t="n">
        <v>46190</v>
      </c>
      <c r="D487" t="inlineStr">
        <is>
          <t>UPPSALA LÄN</t>
        </is>
      </c>
      <c r="E487" t="inlineStr">
        <is>
          <t>ÖSTHAMMAR</t>
        </is>
      </c>
      <c r="F487" t="inlineStr">
        <is>
          <t>Bergvik skog öst AB</t>
        </is>
      </c>
      <c r="G487" t="n">
        <v>3.6</v>
      </c>
      <c r="H487" t="n">
        <v>0</v>
      </c>
      <c r="I487" t="n">
        <v>0</v>
      </c>
      <c r="J487" t="n">
        <v>0</v>
      </c>
      <c r="K487" t="n">
        <v>0</v>
      </c>
      <c r="L487" t="n">
        <v>0</v>
      </c>
      <c r="M487" t="n">
        <v>0</v>
      </c>
      <c r="N487" t="n">
        <v>0</v>
      </c>
      <c r="O487" t="n">
        <v>0</v>
      </c>
      <c r="P487" t="n">
        <v>0</v>
      </c>
      <c r="Q487" t="n">
        <v>0</v>
      </c>
      <c r="R487" s="2" t="inlineStr"/>
    </row>
    <row r="488" ht="15" customHeight="1">
      <c r="A488" t="inlineStr">
        <is>
          <t>A 49773-2025</t>
        </is>
      </c>
      <c r="B488" s="1" t="n">
        <v>45940.37303240741</v>
      </c>
      <c r="C488" s="1" t="n">
        <v>46190</v>
      </c>
      <c r="D488" t="inlineStr">
        <is>
          <t>UPPSALA LÄN</t>
        </is>
      </c>
      <c r="E488" t="inlineStr">
        <is>
          <t>ÖSTHAMMAR</t>
        </is>
      </c>
      <c r="G488" t="n">
        <v>3.5</v>
      </c>
      <c r="H488" t="n">
        <v>0</v>
      </c>
      <c r="I488" t="n">
        <v>0</v>
      </c>
      <c r="J488" t="n">
        <v>0</v>
      </c>
      <c r="K488" t="n">
        <v>0</v>
      </c>
      <c r="L488" t="n">
        <v>0</v>
      </c>
      <c r="M488" t="n">
        <v>0</v>
      </c>
      <c r="N488" t="n">
        <v>0</v>
      </c>
      <c r="O488" t="n">
        <v>0</v>
      </c>
      <c r="P488" t="n">
        <v>0</v>
      </c>
      <c r="Q488" t="n">
        <v>0</v>
      </c>
      <c r="R488" s="2" t="inlineStr"/>
    </row>
    <row r="489" ht="15" customHeight="1">
      <c r="A489" t="inlineStr">
        <is>
          <t>A 33056-2021</t>
        </is>
      </c>
      <c r="B489" s="1" t="n">
        <v>44376.52438657408</v>
      </c>
      <c r="C489" s="1" t="n">
        <v>46190</v>
      </c>
      <c r="D489" t="inlineStr">
        <is>
          <t>UPPSALA LÄN</t>
        </is>
      </c>
      <c r="E489" t="inlineStr">
        <is>
          <t>ÖSTHAMMAR</t>
        </is>
      </c>
      <c r="G489" t="n">
        <v>0.6</v>
      </c>
      <c r="H489" t="n">
        <v>0</v>
      </c>
      <c r="I489" t="n">
        <v>0</v>
      </c>
      <c r="J489" t="n">
        <v>0</v>
      </c>
      <c r="K489" t="n">
        <v>0</v>
      </c>
      <c r="L489" t="n">
        <v>0</v>
      </c>
      <c r="M489" t="n">
        <v>0</v>
      </c>
      <c r="N489" t="n">
        <v>0</v>
      </c>
      <c r="O489" t="n">
        <v>0</v>
      </c>
      <c r="P489" t="n">
        <v>0</v>
      </c>
      <c r="Q489" t="n">
        <v>0</v>
      </c>
      <c r="R489" s="2" t="inlineStr"/>
    </row>
    <row r="490" ht="15" customHeight="1">
      <c r="A490" t="inlineStr">
        <is>
          <t>A 25269-2024</t>
        </is>
      </c>
      <c r="B490" s="1" t="n">
        <v>45462</v>
      </c>
      <c r="C490" s="1" t="n">
        <v>46190</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13352-2023</t>
        </is>
      </c>
      <c r="B491" s="1" t="n">
        <v>45005</v>
      </c>
      <c r="C491" s="1" t="n">
        <v>46190</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22804-2022</t>
        </is>
      </c>
      <c r="B492" s="1" t="n">
        <v>44715</v>
      </c>
      <c r="C492" s="1" t="n">
        <v>46190</v>
      </c>
      <c r="D492" t="inlineStr">
        <is>
          <t>UPPSALA LÄN</t>
        </is>
      </c>
      <c r="E492" t="inlineStr">
        <is>
          <t>ÖSTHAMMAR</t>
        </is>
      </c>
      <c r="G492" t="n">
        <v>2.7</v>
      </c>
      <c r="H492" t="n">
        <v>0</v>
      </c>
      <c r="I492" t="n">
        <v>0</v>
      </c>
      <c r="J492" t="n">
        <v>0</v>
      </c>
      <c r="K492" t="n">
        <v>0</v>
      </c>
      <c r="L492" t="n">
        <v>0</v>
      </c>
      <c r="M492" t="n">
        <v>0</v>
      </c>
      <c r="N492" t="n">
        <v>0</v>
      </c>
      <c r="O492" t="n">
        <v>0</v>
      </c>
      <c r="P492" t="n">
        <v>0</v>
      </c>
      <c r="Q492" t="n">
        <v>0</v>
      </c>
      <c r="R492" s="2" t="inlineStr"/>
    </row>
    <row r="493" ht="15" customHeight="1">
      <c r="A493" t="inlineStr">
        <is>
          <t>A 45795-2023</t>
        </is>
      </c>
      <c r="B493" s="1" t="n">
        <v>45195</v>
      </c>
      <c r="C493" s="1" t="n">
        <v>46190</v>
      </c>
      <c r="D493" t="inlineStr">
        <is>
          <t>UPPSALA LÄN</t>
        </is>
      </c>
      <c r="E493" t="inlineStr">
        <is>
          <t>ÖSTHAMMAR</t>
        </is>
      </c>
      <c r="G493" t="n">
        <v>4</v>
      </c>
      <c r="H493" t="n">
        <v>0</v>
      </c>
      <c r="I493" t="n">
        <v>0</v>
      </c>
      <c r="J493" t="n">
        <v>0</v>
      </c>
      <c r="K493" t="n">
        <v>0</v>
      </c>
      <c r="L493" t="n">
        <v>0</v>
      </c>
      <c r="M493" t="n">
        <v>0</v>
      </c>
      <c r="N493" t="n">
        <v>0</v>
      </c>
      <c r="O493" t="n">
        <v>0</v>
      </c>
      <c r="P493" t="n">
        <v>0</v>
      </c>
      <c r="Q493" t="n">
        <v>0</v>
      </c>
      <c r="R493" s="2" t="inlineStr"/>
    </row>
    <row r="494" ht="15" customHeight="1">
      <c r="A494" t="inlineStr">
        <is>
          <t>A 3095-2026</t>
        </is>
      </c>
      <c r="B494" s="1" t="n">
        <v>46040.90493055555</v>
      </c>
      <c r="C494" s="1" t="n">
        <v>46190</v>
      </c>
      <c r="D494" t="inlineStr">
        <is>
          <t>UPPSALA LÄN</t>
        </is>
      </c>
      <c r="E494" t="inlineStr">
        <is>
          <t>ÖSTHAMMAR</t>
        </is>
      </c>
      <c r="G494" t="n">
        <v>1.7</v>
      </c>
      <c r="H494" t="n">
        <v>0</v>
      </c>
      <c r="I494" t="n">
        <v>0</v>
      </c>
      <c r="J494" t="n">
        <v>0</v>
      </c>
      <c r="K494" t="n">
        <v>0</v>
      </c>
      <c r="L494" t="n">
        <v>0</v>
      </c>
      <c r="M494" t="n">
        <v>0</v>
      </c>
      <c r="N494" t="n">
        <v>0</v>
      </c>
      <c r="O494" t="n">
        <v>0</v>
      </c>
      <c r="P494" t="n">
        <v>0</v>
      </c>
      <c r="Q494" t="n">
        <v>0</v>
      </c>
      <c r="R494" s="2" t="inlineStr"/>
    </row>
    <row r="495" ht="15" customHeight="1">
      <c r="A495" t="inlineStr">
        <is>
          <t>A 3055-2026</t>
        </is>
      </c>
      <c r="B495" s="1" t="n">
        <v>46039.39636574074</v>
      </c>
      <c r="C495" s="1" t="n">
        <v>46190</v>
      </c>
      <c r="D495" t="inlineStr">
        <is>
          <t>UPPSALA LÄN</t>
        </is>
      </c>
      <c r="E495" t="inlineStr">
        <is>
          <t>ÖSTHAMMAR</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51156-2025</t>
        </is>
      </c>
      <c r="B496" s="1" t="n">
        <v>45947.57833333333</v>
      </c>
      <c r="C496" s="1" t="n">
        <v>46190</v>
      </c>
      <c r="D496" t="inlineStr">
        <is>
          <t>UPPSALA LÄN</t>
        </is>
      </c>
      <c r="E496" t="inlineStr">
        <is>
          <t>ÖSTHAMMAR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7997-2022</t>
        </is>
      </c>
      <c r="B497" s="1" t="n">
        <v>44609</v>
      </c>
      <c r="C497" s="1" t="n">
        <v>46190</v>
      </c>
      <c r="D497" t="inlineStr">
        <is>
          <t>UPPSALA LÄN</t>
        </is>
      </c>
      <c r="E497" t="inlineStr">
        <is>
          <t>ÖSTHAMMAR</t>
        </is>
      </c>
      <c r="G497" t="n">
        <v>1.8</v>
      </c>
      <c r="H497" t="n">
        <v>0</v>
      </c>
      <c r="I497" t="n">
        <v>0</v>
      </c>
      <c r="J497" t="n">
        <v>0</v>
      </c>
      <c r="K497" t="n">
        <v>0</v>
      </c>
      <c r="L497" t="n">
        <v>0</v>
      </c>
      <c r="M497" t="n">
        <v>0</v>
      </c>
      <c r="N497" t="n">
        <v>0</v>
      </c>
      <c r="O497" t="n">
        <v>0</v>
      </c>
      <c r="P497" t="n">
        <v>0</v>
      </c>
      <c r="Q497" t="n">
        <v>0</v>
      </c>
      <c r="R497" s="2" t="inlineStr"/>
    </row>
    <row r="498" ht="15" customHeight="1">
      <c r="A498" t="inlineStr">
        <is>
          <t>A 3642-2026</t>
        </is>
      </c>
      <c r="B498" s="1" t="n">
        <v>46043.35760416667</v>
      </c>
      <c r="C498" s="1" t="n">
        <v>46190</v>
      </c>
      <c r="D498" t="inlineStr">
        <is>
          <t>UPPSALA LÄN</t>
        </is>
      </c>
      <c r="E498" t="inlineStr">
        <is>
          <t>ÖSTHAMMAR</t>
        </is>
      </c>
      <c r="G498" t="n">
        <v>3</v>
      </c>
      <c r="H498" t="n">
        <v>0</v>
      </c>
      <c r="I498" t="n">
        <v>0</v>
      </c>
      <c r="J498" t="n">
        <v>0</v>
      </c>
      <c r="K498" t="n">
        <v>0</v>
      </c>
      <c r="L498" t="n">
        <v>0</v>
      </c>
      <c r="M498" t="n">
        <v>0</v>
      </c>
      <c r="N498" t="n">
        <v>0</v>
      </c>
      <c r="O498" t="n">
        <v>0</v>
      </c>
      <c r="P498" t="n">
        <v>0</v>
      </c>
      <c r="Q498" t="n">
        <v>0</v>
      </c>
      <c r="R498" s="2" t="inlineStr"/>
    </row>
    <row r="499" ht="15" customHeight="1">
      <c r="A499" t="inlineStr">
        <is>
          <t>A 3668-2026</t>
        </is>
      </c>
      <c r="B499" s="1" t="n">
        <v>46043.41212962963</v>
      </c>
      <c r="C499" s="1" t="n">
        <v>46190</v>
      </c>
      <c r="D499" t="inlineStr">
        <is>
          <t>UPPSALA LÄN</t>
        </is>
      </c>
      <c r="E499" t="inlineStr">
        <is>
          <t>ÖSTHAMMAR</t>
        </is>
      </c>
      <c r="G499" t="n">
        <v>1.7</v>
      </c>
      <c r="H499" t="n">
        <v>0</v>
      </c>
      <c r="I499" t="n">
        <v>0</v>
      </c>
      <c r="J499" t="n">
        <v>0</v>
      </c>
      <c r="K499" t="n">
        <v>0</v>
      </c>
      <c r="L499" t="n">
        <v>0</v>
      </c>
      <c r="M499" t="n">
        <v>0</v>
      </c>
      <c r="N499" t="n">
        <v>0</v>
      </c>
      <c r="O499" t="n">
        <v>0</v>
      </c>
      <c r="P499" t="n">
        <v>0</v>
      </c>
      <c r="Q499" t="n">
        <v>0</v>
      </c>
      <c r="R499" s="2" t="inlineStr"/>
    </row>
    <row r="500" ht="15" customHeight="1">
      <c r="A500" t="inlineStr">
        <is>
          <t>A 67199-2021</t>
        </is>
      </c>
      <c r="B500" s="1" t="n">
        <v>44523.46197916667</v>
      </c>
      <c r="C500" s="1" t="n">
        <v>46190</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51379-2025</t>
        </is>
      </c>
      <c r="B501" s="1" t="n">
        <v>45950.45677083333</v>
      </c>
      <c r="C501" s="1" t="n">
        <v>46190</v>
      </c>
      <c r="D501" t="inlineStr">
        <is>
          <t>UPPSALA LÄN</t>
        </is>
      </c>
      <c r="E501" t="inlineStr">
        <is>
          <t>ÖSTHAMMAR</t>
        </is>
      </c>
      <c r="G501" t="n">
        <v>2.1</v>
      </c>
      <c r="H501" t="n">
        <v>0</v>
      </c>
      <c r="I501" t="n">
        <v>0</v>
      </c>
      <c r="J501" t="n">
        <v>0</v>
      </c>
      <c r="K501" t="n">
        <v>0</v>
      </c>
      <c r="L501" t="n">
        <v>0</v>
      </c>
      <c r="M501" t="n">
        <v>0</v>
      </c>
      <c r="N501" t="n">
        <v>0</v>
      </c>
      <c r="O501" t="n">
        <v>0</v>
      </c>
      <c r="P501" t="n">
        <v>0</v>
      </c>
      <c r="Q501" t="n">
        <v>0</v>
      </c>
      <c r="R501" s="2" t="inlineStr"/>
    </row>
    <row r="502" ht="15" customHeight="1">
      <c r="A502" t="inlineStr">
        <is>
          <t>A 51255-2025</t>
        </is>
      </c>
      <c r="B502" s="1" t="n">
        <v>45949.00917824074</v>
      </c>
      <c r="C502" s="1" t="n">
        <v>46190</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3926-2026</t>
        </is>
      </c>
      <c r="B503" s="1" t="n">
        <v>46043.781875</v>
      </c>
      <c r="C503" s="1" t="n">
        <v>46190</v>
      </c>
      <c r="D503" t="inlineStr">
        <is>
          <t>UPPSALA LÄN</t>
        </is>
      </c>
      <c r="E503" t="inlineStr">
        <is>
          <t>ÖSTHAMMAR</t>
        </is>
      </c>
      <c r="G503" t="n">
        <v>3.3</v>
      </c>
      <c r="H503" t="n">
        <v>0</v>
      </c>
      <c r="I503" t="n">
        <v>0</v>
      </c>
      <c r="J503" t="n">
        <v>0</v>
      </c>
      <c r="K503" t="n">
        <v>0</v>
      </c>
      <c r="L503" t="n">
        <v>0</v>
      </c>
      <c r="M503" t="n">
        <v>0</v>
      </c>
      <c r="N503" t="n">
        <v>0</v>
      </c>
      <c r="O503" t="n">
        <v>0</v>
      </c>
      <c r="P503" t="n">
        <v>0</v>
      </c>
      <c r="Q503" t="n">
        <v>0</v>
      </c>
      <c r="R503" s="2" t="inlineStr"/>
    </row>
    <row r="504" ht="15" customHeight="1">
      <c r="A504" t="inlineStr">
        <is>
          <t>A 15449-2022</t>
        </is>
      </c>
      <c r="B504" s="1" t="n">
        <v>44660.91659722223</v>
      </c>
      <c r="C504" s="1" t="n">
        <v>46190</v>
      </c>
      <c r="D504" t="inlineStr">
        <is>
          <t>UPPSALA LÄN</t>
        </is>
      </c>
      <c r="E504" t="inlineStr">
        <is>
          <t>ÖSTHAMMAR</t>
        </is>
      </c>
      <c r="F504" t="inlineStr">
        <is>
          <t>Bergvik skog öst AB</t>
        </is>
      </c>
      <c r="G504" t="n">
        <v>2</v>
      </c>
      <c r="H504" t="n">
        <v>0</v>
      </c>
      <c r="I504" t="n">
        <v>0</v>
      </c>
      <c r="J504" t="n">
        <v>0</v>
      </c>
      <c r="K504" t="n">
        <v>0</v>
      </c>
      <c r="L504" t="n">
        <v>0</v>
      </c>
      <c r="M504" t="n">
        <v>0</v>
      </c>
      <c r="N504" t="n">
        <v>0</v>
      </c>
      <c r="O504" t="n">
        <v>0</v>
      </c>
      <c r="P504" t="n">
        <v>0</v>
      </c>
      <c r="Q504" t="n">
        <v>0</v>
      </c>
      <c r="R504" s="2" t="inlineStr"/>
    </row>
    <row r="505" ht="15" customHeight="1">
      <c r="A505" t="inlineStr">
        <is>
          <t>A 51708-2025</t>
        </is>
      </c>
      <c r="B505" s="1" t="n">
        <v>45951.56679398148</v>
      </c>
      <c r="C505" s="1" t="n">
        <v>46190</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51266-2025</t>
        </is>
      </c>
      <c r="B506" s="1" t="n">
        <v>45949.71568287037</v>
      </c>
      <c r="C506" s="1" t="n">
        <v>46190</v>
      </c>
      <c r="D506" t="inlineStr">
        <is>
          <t>UPPSALA LÄN</t>
        </is>
      </c>
      <c r="E506" t="inlineStr">
        <is>
          <t>ÖSTHAMMAR</t>
        </is>
      </c>
      <c r="F506" t="inlineStr">
        <is>
          <t>Bergvik skog öst AB</t>
        </is>
      </c>
      <c r="G506" t="n">
        <v>4.7</v>
      </c>
      <c r="H506" t="n">
        <v>0</v>
      </c>
      <c r="I506" t="n">
        <v>0</v>
      </c>
      <c r="J506" t="n">
        <v>0</v>
      </c>
      <c r="K506" t="n">
        <v>0</v>
      </c>
      <c r="L506" t="n">
        <v>0</v>
      </c>
      <c r="M506" t="n">
        <v>0</v>
      </c>
      <c r="N506" t="n">
        <v>0</v>
      </c>
      <c r="O506" t="n">
        <v>0</v>
      </c>
      <c r="P506" t="n">
        <v>0</v>
      </c>
      <c r="Q506" t="n">
        <v>0</v>
      </c>
      <c r="R506" s="2" t="inlineStr"/>
    </row>
    <row r="507" ht="15" customHeight="1">
      <c r="A507" t="inlineStr">
        <is>
          <t>A 51254-2025</t>
        </is>
      </c>
      <c r="B507" s="1" t="n">
        <v>45948.99313657408</v>
      </c>
      <c r="C507" s="1" t="n">
        <v>46190</v>
      </c>
      <c r="D507" t="inlineStr">
        <is>
          <t>UPPSALA LÄN</t>
        </is>
      </c>
      <c r="E507" t="inlineStr">
        <is>
          <t>ÖSTHAMMAR</t>
        </is>
      </c>
      <c r="G507" t="n">
        <v>8.9</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46190</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51265-2025</t>
        </is>
      </c>
      <c r="B509" s="1" t="n">
        <v>45949.70971064815</v>
      </c>
      <c r="C509" s="1" t="n">
        <v>46190</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4570-2026</t>
        </is>
      </c>
      <c r="B510" s="1" t="n">
        <v>46048.00856481482</v>
      </c>
      <c r="C510" s="1" t="n">
        <v>46190</v>
      </c>
      <c r="D510" t="inlineStr">
        <is>
          <t>UPPSALA LÄN</t>
        </is>
      </c>
      <c r="E510" t="inlineStr">
        <is>
          <t>ÖSTHAMMAR</t>
        </is>
      </c>
      <c r="F510" t="inlineStr">
        <is>
          <t>Allmännings- och besparingsskogar</t>
        </is>
      </c>
      <c r="G510" t="n">
        <v>7.1</v>
      </c>
      <c r="H510" t="n">
        <v>0</v>
      </c>
      <c r="I510" t="n">
        <v>0</v>
      </c>
      <c r="J510" t="n">
        <v>0</v>
      </c>
      <c r="K510" t="n">
        <v>0</v>
      </c>
      <c r="L510" t="n">
        <v>0</v>
      </c>
      <c r="M510" t="n">
        <v>0</v>
      </c>
      <c r="N510" t="n">
        <v>0</v>
      </c>
      <c r="O510" t="n">
        <v>0</v>
      </c>
      <c r="P510" t="n">
        <v>0</v>
      </c>
      <c r="Q510" t="n">
        <v>0</v>
      </c>
      <c r="R510" s="2" t="inlineStr"/>
    </row>
    <row r="511" ht="15" customHeight="1">
      <c r="A511" t="inlineStr">
        <is>
          <t>A 42213-2025</t>
        </is>
      </c>
      <c r="B511" s="1" t="n">
        <v>45904.50652777778</v>
      </c>
      <c r="C511" s="1" t="n">
        <v>46190</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6892-2022</t>
        </is>
      </c>
      <c r="B512" s="1" t="n">
        <v>44602</v>
      </c>
      <c r="C512" s="1" t="n">
        <v>46190</v>
      </c>
      <c r="D512" t="inlineStr">
        <is>
          <t>UPPSALA LÄN</t>
        </is>
      </c>
      <c r="E512" t="inlineStr">
        <is>
          <t>ÖSTHAMMAR</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5469-2026</t>
        </is>
      </c>
      <c r="B513" s="1" t="n">
        <v>46050</v>
      </c>
      <c r="C513" s="1" t="n">
        <v>46190</v>
      </c>
      <c r="D513" t="inlineStr">
        <is>
          <t>UPPSALA LÄN</t>
        </is>
      </c>
      <c r="E513" t="inlineStr">
        <is>
          <t>ÖSTHAMMAR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62295-2022</t>
        </is>
      </c>
      <c r="B514" s="1" t="n">
        <v>44916</v>
      </c>
      <c r="C514" s="1" t="n">
        <v>46190</v>
      </c>
      <c r="D514" t="inlineStr">
        <is>
          <t>UPPSALA LÄN</t>
        </is>
      </c>
      <c r="E514" t="inlineStr">
        <is>
          <t>ÖSTHAMMAR</t>
        </is>
      </c>
      <c r="G514" t="n">
        <v>3.3</v>
      </c>
      <c r="H514" t="n">
        <v>0</v>
      </c>
      <c r="I514" t="n">
        <v>0</v>
      </c>
      <c r="J514" t="n">
        <v>0</v>
      </c>
      <c r="K514" t="n">
        <v>0</v>
      </c>
      <c r="L514" t="n">
        <v>0</v>
      </c>
      <c r="M514" t="n">
        <v>0</v>
      </c>
      <c r="N514" t="n">
        <v>0</v>
      </c>
      <c r="O514" t="n">
        <v>0</v>
      </c>
      <c r="P514" t="n">
        <v>0</v>
      </c>
      <c r="Q514" t="n">
        <v>0</v>
      </c>
      <c r="R514" s="2" t="inlineStr"/>
    </row>
    <row r="515" ht="15" customHeight="1">
      <c r="A515" t="inlineStr">
        <is>
          <t>A 8830-2023</t>
        </is>
      </c>
      <c r="B515" s="1" t="n">
        <v>44978</v>
      </c>
      <c r="C515" s="1" t="n">
        <v>46190</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18091-2023</t>
        </is>
      </c>
      <c r="B516" s="1" t="n">
        <v>45040</v>
      </c>
      <c r="C516" s="1" t="n">
        <v>46190</v>
      </c>
      <c r="D516" t="inlineStr">
        <is>
          <t>UPPSALA LÄN</t>
        </is>
      </c>
      <c r="E516" t="inlineStr">
        <is>
          <t>ÖSTHAMMAR</t>
        </is>
      </c>
      <c r="G516" t="n">
        <v>2.4</v>
      </c>
      <c r="H516" t="n">
        <v>0</v>
      </c>
      <c r="I516" t="n">
        <v>0</v>
      </c>
      <c r="J516" t="n">
        <v>0</v>
      </c>
      <c r="K516" t="n">
        <v>0</v>
      </c>
      <c r="L516" t="n">
        <v>0</v>
      </c>
      <c r="M516" t="n">
        <v>0</v>
      </c>
      <c r="N516" t="n">
        <v>0</v>
      </c>
      <c r="O516" t="n">
        <v>0</v>
      </c>
      <c r="P516" t="n">
        <v>0</v>
      </c>
      <c r="Q516" t="n">
        <v>0</v>
      </c>
      <c r="R516" s="2" t="inlineStr"/>
    </row>
    <row r="517" ht="15" customHeight="1">
      <c r="A517" t="inlineStr">
        <is>
          <t>A 47522-2023</t>
        </is>
      </c>
      <c r="B517" s="1" t="n">
        <v>45203</v>
      </c>
      <c r="C517" s="1" t="n">
        <v>46190</v>
      </c>
      <c r="D517" t="inlineStr">
        <is>
          <t>UPPSALA LÄN</t>
        </is>
      </c>
      <c r="E517" t="inlineStr">
        <is>
          <t>ÖSTHAMMAR</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13358-2024</t>
        </is>
      </c>
      <c r="B518" s="1" t="n">
        <v>45387.3503125</v>
      </c>
      <c r="C518" s="1" t="n">
        <v>46190</v>
      </c>
      <c r="D518" t="inlineStr">
        <is>
          <t>UPPSALA LÄN</t>
        </is>
      </c>
      <c r="E518" t="inlineStr">
        <is>
          <t>ÖSTHAMMAR</t>
        </is>
      </c>
      <c r="G518" t="n">
        <v>2.2</v>
      </c>
      <c r="H518" t="n">
        <v>0</v>
      </c>
      <c r="I518" t="n">
        <v>0</v>
      </c>
      <c r="J518" t="n">
        <v>0</v>
      </c>
      <c r="K518" t="n">
        <v>0</v>
      </c>
      <c r="L518" t="n">
        <v>0</v>
      </c>
      <c r="M518" t="n">
        <v>0</v>
      </c>
      <c r="N518" t="n">
        <v>0</v>
      </c>
      <c r="O518" t="n">
        <v>0</v>
      </c>
      <c r="P518" t="n">
        <v>0</v>
      </c>
      <c r="Q518" t="n">
        <v>0</v>
      </c>
      <c r="R518" s="2" t="inlineStr"/>
    </row>
    <row r="519" ht="15" customHeight="1">
      <c r="A519" t="inlineStr">
        <is>
          <t>A 54366-2023</t>
        </is>
      </c>
      <c r="B519" s="1" t="n">
        <v>45233</v>
      </c>
      <c r="C519" s="1" t="n">
        <v>46190</v>
      </c>
      <c r="D519" t="inlineStr">
        <is>
          <t>UPPSALA LÄN</t>
        </is>
      </c>
      <c r="E519" t="inlineStr">
        <is>
          <t>ÖSTHAMMAR</t>
        </is>
      </c>
      <c r="F519" t="inlineStr">
        <is>
          <t>Bergvik skog öst AB</t>
        </is>
      </c>
      <c r="G519" t="n">
        <v>2.9</v>
      </c>
      <c r="H519" t="n">
        <v>0</v>
      </c>
      <c r="I519" t="n">
        <v>0</v>
      </c>
      <c r="J519" t="n">
        <v>0</v>
      </c>
      <c r="K519" t="n">
        <v>0</v>
      </c>
      <c r="L519" t="n">
        <v>0</v>
      </c>
      <c r="M519" t="n">
        <v>0</v>
      </c>
      <c r="N519" t="n">
        <v>0</v>
      </c>
      <c r="O519" t="n">
        <v>0</v>
      </c>
      <c r="P519" t="n">
        <v>0</v>
      </c>
      <c r="Q519" t="n">
        <v>0</v>
      </c>
      <c r="R519" s="2" t="inlineStr"/>
    </row>
    <row r="520" ht="15" customHeight="1">
      <c r="A520" t="inlineStr">
        <is>
          <t>A 6511-2026</t>
        </is>
      </c>
      <c r="B520" s="1" t="n">
        <v>46056.38925925926</v>
      </c>
      <c r="C520" s="1" t="n">
        <v>46190</v>
      </c>
      <c r="D520" t="inlineStr">
        <is>
          <t>UPPSALA LÄN</t>
        </is>
      </c>
      <c r="E520" t="inlineStr">
        <is>
          <t>ÖSTHAMMAR</t>
        </is>
      </c>
      <c r="F520" t="inlineStr">
        <is>
          <t>Bergvik skog öst AB</t>
        </is>
      </c>
      <c r="G520" t="n">
        <v>2</v>
      </c>
      <c r="H520" t="n">
        <v>0</v>
      </c>
      <c r="I520" t="n">
        <v>0</v>
      </c>
      <c r="J520" t="n">
        <v>0</v>
      </c>
      <c r="K520" t="n">
        <v>0</v>
      </c>
      <c r="L520" t="n">
        <v>0</v>
      </c>
      <c r="M520" t="n">
        <v>0</v>
      </c>
      <c r="N520" t="n">
        <v>0</v>
      </c>
      <c r="O520" t="n">
        <v>0</v>
      </c>
      <c r="P520" t="n">
        <v>0</v>
      </c>
      <c r="Q520" t="n">
        <v>0</v>
      </c>
      <c r="R520" s="2" t="inlineStr"/>
    </row>
    <row r="521" ht="15" customHeight="1">
      <c r="A521" t="inlineStr">
        <is>
          <t>A 6517-2026</t>
        </is>
      </c>
      <c r="B521" s="1" t="n">
        <v>46056.39921296296</v>
      </c>
      <c r="C521" s="1" t="n">
        <v>46190</v>
      </c>
      <c r="D521" t="inlineStr">
        <is>
          <t>UPPSALA LÄN</t>
        </is>
      </c>
      <c r="E521" t="inlineStr">
        <is>
          <t>ÖSTHAMMAR</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6884-2026</t>
        </is>
      </c>
      <c r="B522" s="1" t="n">
        <v>46057.46614583334</v>
      </c>
      <c r="C522" s="1" t="n">
        <v>46190</v>
      </c>
      <c r="D522" t="inlineStr">
        <is>
          <t>UPPSALA LÄN</t>
        </is>
      </c>
      <c r="E522" t="inlineStr">
        <is>
          <t>ÖSTHAMMAR</t>
        </is>
      </c>
      <c r="G522" t="n">
        <v>4.1</v>
      </c>
      <c r="H522" t="n">
        <v>0</v>
      </c>
      <c r="I522" t="n">
        <v>0</v>
      </c>
      <c r="J522" t="n">
        <v>0</v>
      </c>
      <c r="K522" t="n">
        <v>0</v>
      </c>
      <c r="L522" t="n">
        <v>0</v>
      </c>
      <c r="M522" t="n">
        <v>0</v>
      </c>
      <c r="N522" t="n">
        <v>0</v>
      </c>
      <c r="O522" t="n">
        <v>0</v>
      </c>
      <c r="P522" t="n">
        <v>0</v>
      </c>
      <c r="Q522" t="n">
        <v>0</v>
      </c>
      <c r="R522" s="2" t="inlineStr"/>
    </row>
    <row r="523" ht="15" customHeight="1">
      <c r="A523" t="inlineStr">
        <is>
          <t>A 6635-2026</t>
        </is>
      </c>
      <c r="B523" s="1" t="n">
        <v>46056.52885416667</v>
      </c>
      <c r="C523" s="1" t="n">
        <v>46190</v>
      </c>
      <c r="D523" t="inlineStr">
        <is>
          <t>UPPSALA LÄN</t>
        </is>
      </c>
      <c r="E523" t="inlineStr">
        <is>
          <t>ÖSTHAMMAR</t>
        </is>
      </c>
      <c r="F523" t="inlineStr">
        <is>
          <t>Bergvik skog öst AB</t>
        </is>
      </c>
      <c r="G523" t="n">
        <v>4.3</v>
      </c>
      <c r="H523" t="n">
        <v>0</v>
      </c>
      <c r="I523" t="n">
        <v>0</v>
      </c>
      <c r="J523" t="n">
        <v>0</v>
      </c>
      <c r="K523" t="n">
        <v>0</v>
      </c>
      <c r="L523" t="n">
        <v>0</v>
      </c>
      <c r="M523" t="n">
        <v>0</v>
      </c>
      <c r="N523" t="n">
        <v>0</v>
      </c>
      <c r="O523" t="n">
        <v>0</v>
      </c>
      <c r="P523" t="n">
        <v>0</v>
      </c>
      <c r="Q523" t="n">
        <v>0</v>
      </c>
      <c r="R523" s="2" t="inlineStr"/>
    </row>
    <row r="524" ht="15" customHeight="1">
      <c r="A524" t="inlineStr">
        <is>
          <t>A 6522-2026</t>
        </is>
      </c>
      <c r="B524" s="1" t="n">
        <v>46056.4025</v>
      </c>
      <c r="C524" s="1" t="n">
        <v>46190</v>
      </c>
      <c r="D524" t="inlineStr">
        <is>
          <t>UPPSALA LÄN</t>
        </is>
      </c>
      <c r="E524" t="inlineStr">
        <is>
          <t>ÖSTHAMMAR</t>
        </is>
      </c>
      <c r="F524" t="inlineStr">
        <is>
          <t>Bergvik skog öst AB</t>
        </is>
      </c>
      <c r="G524" t="n">
        <v>4.2</v>
      </c>
      <c r="H524" t="n">
        <v>0</v>
      </c>
      <c r="I524" t="n">
        <v>0</v>
      </c>
      <c r="J524" t="n">
        <v>0</v>
      </c>
      <c r="K524" t="n">
        <v>0</v>
      </c>
      <c r="L524" t="n">
        <v>0</v>
      </c>
      <c r="M524" t="n">
        <v>0</v>
      </c>
      <c r="N524" t="n">
        <v>0</v>
      </c>
      <c r="O524" t="n">
        <v>0</v>
      </c>
      <c r="P524" t="n">
        <v>0</v>
      </c>
      <c r="Q524" t="n">
        <v>0</v>
      </c>
      <c r="R524" s="2" t="inlineStr"/>
    </row>
    <row r="525" ht="15" customHeight="1">
      <c r="A525" t="inlineStr">
        <is>
          <t>A 6762-2026</t>
        </is>
      </c>
      <c r="B525" s="1" t="n">
        <v>46056.85776620371</v>
      </c>
      <c r="C525" s="1" t="n">
        <v>46190</v>
      </c>
      <c r="D525" t="inlineStr">
        <is>
          <t>UPPSALA LÄN</t>
        </is>
      </c>
      <c r="E525" t="inlineStr">
        <is>
          <t>ÖSTHAMMAR</t>
        </is>
      </c>
      <c r="G525" t="n">
        <v>1.6</v>
      </c>
      <c r="H525" t="n">
        <v>0</v>
      </c>
      <c r="I525" t="n">
        <v>0</v>
      </c>
      <c r="J525" t="n">
        <v>0</v>
      </c>
      <c r="K525" t="n">
        <v>0</v>
      </c>
      <c r="L525" t="n">
        <v>0</v>
      </c>
      <c r="M525" t="n">
        <v>0</v>
      </c>
      <c r="N525" t="n">
        <v>0</v>
      </c>
      <c r="O525" t="n">
        <v>0</v>
      </c>
      <c r="P525" t="n">
        <v>0</v>
      </c>
      <c r="Q525" t="n">
        <v>0</v>
      </c>
      <c r="R525" s="2" t="inlineStr"/>
    </row>
    <row r="526" ht="15" customHeight="1">
      <c r="A526" t="inlineStr">
        <is>
          <t>A 52694-2023</t>
        </is>
      </c>
      <c r="B526" s="1" t="n">
        <v>45225.76836805556</v>
      </c>
      <c r="C526" s="1" t="n">
        <v>46190</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7241-2026</t>
        </is>
      </c>
      <c r="B527" s="1" t="n">
        <v>46058.58392361111</v>
      </c>
      <c r="C527" s="1" t="n">
        <v>46190</v>
      </c>
      <c r="D527" t="inlineStr">
        <is>
          <t>UPPSALA LÄN</t>
        </is>
      </c>
      <c r="E527" t="inlineStr">
        <is>
          <t>ÖSTHAMMAR</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7262-2026</t>
        </is>
      </c>
      <c r="B528" s="1" t="n">
        <v>46058.6049537037</v>
      </c>
      <c r="C528" s="1" t="n">
        <v>46190</v>
      </c>
      <c r="D528" t="inlineStr">
        <is>
          <t>UPPSALA LÄN</t>
        </is>
      </c>
      <c r="E528" t="inlineStr">
        <is>
          <t>ÖSTHAMMAR</t>
        </is>
      </c>
      <c r="F528" t="inlineStr">
        <is>
          <t>Övriga Aktiebolag</t>
        </is>
      </c>
      <c r="G528" t="n">
        <v>0.8</v>
      </c>
      <c r="H528" t="n">
        <v>0</v>
      </c>
      <c r="I528" t="n">
        <v>0</v>
      </c>
      <c r="J528" t="n">
        <v>0</v>
      </c>
      <c r="K528" t="n">
        <v>0</v>
      </c>
      <c r="L528" t="n">
        <v>0</v>
      </c>
      <c r="M528" t="n">
        <v>0</v>
      </c>
      <c r="N528" t="n">
        <v>0</v>
      </c>
      <c r="O528" t="n">
        <v>0</v>
      </c>
      <c r="P528" t="n">
        <v>0</v>
      </c>
      <c r="Q528" t="n">
        <v>0</v>
      </c>
      <c r="R528" s="2" t="inlineStr"/>
    </row>
    <row r="529" ht="15" customHeight="1">
      <c r="A529" t="inlineStr">
        <is>
          <t>A 7855-2026</t>
        </is>
      </c>
      <c r="B529" s="1" t="n">
        <v>46062.67241898148</v>
      </c>
      <c r="C529" s="1" t="n">
        <v>46190</v>
      </c>
      <c r="D529" t="inlineStr">
        <is>
          <t>UPPSALA LÄN</t>
        </is>
      </c>
      <c r="E529" t="inlineStr">
        <is>
          <t>ÖSTHAMMAR</t>
        </is>
      </c>
      <c r="G529" t="n">
        <v>3.8</v>
      </c>
      <c r="H529" t="n">
        <v>0</v>
      </c>
      <c r="I529" t="n">
        <v>0</v>
      </c>
      <c r="J529" t="n">
        <v>0</v>
      </c>
      <c r="K529" t="n">
        <v>0</v>
      </c>
      <c r="L529" t="n">
        <v>0</v>
      </c>
      <c r="M529" t="n">
        <v>0</v>
      </c>
      <c r="N529" t="n">
        <v>0</v>
      </c>
      <c r="O529" t="n">
        <v>0</v>
      </c>
      <c r="P529" t="n">
        <v>0</v>
      </c>
      <c r="Q529" t="n">
        <v>0</v>
      </c>
      <c r="R529" s="2" t="inlineStr"/>
    </row>
    <row r="530" ht="15" customHeight="1">
      <c r="A530" t="inlineStr">
        <is>
          <t>A 8030-2026</t>
        </is>
      </c>
      <c r="B530" s="1" t="n">
        <v>46063.57956018519</v>
      </c>
      <c r="C530" s="1" t="n">
        <v>46190</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8086-2026</t>
        </is>
      </c>
      <c r="B531" s="1" t="n">
        <v>46063.70094907407</v>
      </c>
      <c r="C531" s="1" t="n">
        <v>46190</v>
      </c>
      <c r="D531" t="inlineStr">
        <is>
          <t>UPPSALA LÄN</t>
        </is>
      </c>
      <c r="E531" t="inlineStr">
        <is>
          <t>ÖSTHAMMAR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36873-2022</t>
        </is>
      </c>
      <c r="B532" s="1" t="n">
        <v>44805.63708333333</v>
      </c>
      <c r="C532" s="1" t="n">
        <v>46190</v>
      </c>
      <c r="D532" t="inlineStr">
        <is>
          <t>UPPSALA LÄN</t>
        </is>
      </c>
      <c r="E532" t="inlineStr">
        <is>
          <t>ÖSTHAMMAR</t>
        </is>
      </c>
      <c r="G532" t="n">
        <v>2.5</v>
      </c>
      <c r="H532" t="n">
        <v>0</v>
      </c>
      <c r="I532" t="n">
        <v>0</v>
      </c>
      <c r="J532" t="n">
        <v>0</v>
      </c>
      <c r="K532" t="n">
        <v>0</v>
      </c>
      <c r="L532" t="n">
        <v>0</v>
      </c>
      <c r="M532" t="n">
        <v>0</v>
      </c>
      <c r="N532" t="n">
        <v>0</v>
      </c>
      <c r="O532" t="n">
        <v>0</v>
      </c>
      <c r="P532" t="n">
        <v>0</v>
      </c>
      <c r="Q532" t="n">
        <v>0</v>
      </c>
      <c r="R532" s="2" t="inlineStr"/>
    </row>
    <row r="533" ht="15" customHeight="1">
      <c r="A533" t="inlineStr">
        <is>
          <t>A 8530-2026</t>
        </is>
      </c>
      <c r="B533" s="1" t="n">
        <v>46065.60075231481</v>
      </c>
      <c r="C533" s="1" t="n">
        <v>46190</v>
      </c>
      <c r="D533" t="inlineStr">
        <is>
          <t>UPPSALA LÄN</t>
        </is>
      </c>
      <c r="E533" t="inlineStr">
        <is>
          <t>ÖSTHAMMAR</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8269-2026</t>
        </is>
      </c>
      <c r="B534" s="1" t="n">
        <v>46064.54721064815</v>
      </c>
      <c r="C534" s="1" t="n">
        <v>46190</v>
      </c>
      <c r="D534" t="inlineStr">
        <is>
          <t>UPPSALA LÄN</t>
        </is>
      </c>
      <c r="E534" t="inlineStr">
        <is>
          <t>ÖSTHAMMAR</t>
        </is>
      </c>
      <c r="G534" t="n">
        <v>2.6</v>
      </c>
      <c r="H534" t="n">
        <v>0</v>
      </c>
      <c r="I534" t="n">
        <v>0</v>
      </c>
      <c r="J534" t="n">
        <v>0</v>
      </c>
      <c r="K534" t="n">
        <v>0</v>
      </c>
      <c r="L534" t="n">
        <v>0</v>
      </c>
      <c r="M534" t="n">
        <v>0</v>
      </c>
      <c r="N534" t="n">
        <v>0</v>
      </c>
      <c r="O534" t="n">
        <v>0</v>
      </c>
      <c r="P534" t="n">
        <v>0</v>
      </c>
      <c r="Q534" t="n">
        <v>0</v>
      </c>
      <c r="R534" s="2" t="inlineStr"/>
    </row>
    <row r="535" ht="15" customHeight="1">
      <c r="A535" t="inlineStr">
        <is>
          <t>A 54666-2022</t>
        </is>
      </c>
      <c r="B535" s="1" t="n">
        <v>44883</v>
      </c>
      <c r="C535" s="1" t="n">
        <v>46190</v>
      </c>
      <c r="D535" t="inlineStr">
        <is>
          <t>UPPSALA LÄN</t>
        </is>
      </c>
      <c r="E535" t="inlineStr">
        <is>
          <t>ÖSTHAMMAR</t>
        </is>
      </c>
      <c r="G535" t="n">
        <v>14.3</v>
      </c>
      <c r="H535" t="n">
        <v>0</v>
      </c>
      <c r="I535" t="n">
        <v>0</v>
      </c>
      <c r="J535" t="n">
        <v>0</v>
      </c>
      <c r="K535" t="n">
        <v>0</v>
      </c>
      <c r="L535" t="n">
        <v>0</v>
      </c>
      <c r="M535" t="n">
        <v>0</v>
      </c>
      <c r="N535" t="n">
        <v>0</v>
      </c>
      <c r="O535" t="n">
        <v>0</v>
      </c>
      <c r="P535" t="n">
        <v>0</v>
      </c>
      <c r="Q535" t="n">
        <v>0</v>
      </c>
      <c r="R535" s="2" t="inlineStr"/>
    </row>
    <row r="536" ht="15" customHeight="1">
      <c r="A536" t="inlineStr">
        <is>
          <t>A 8291-2026</t>
        </is>
      </c>
      <c r="B536" s="1" t="n">
        <v>46064.56945601852</v>
      </c>
      <c r="C536" s="1" t="n">
        <v>46190</v>
      </c>
      <c r="D536" t="inlineStr">
        <is>
          <t>UPPSALA LÄN</t>
        </is>
      </c>
      <c r="E536" t="inlineStr">
        <is>
          <t>ÖSTHAMMAR</t>
        </is>
      </c>
      <c r="G536" t="n">
        <v>4.5</v>
      </c>
      <c r="H536" t="n">
        <v>0</v>
      </c>
      <c r="I536" t="n">
        <v>0</v>
      </c>
      <c r="J536" t="n">
        <v>0</v>
      </c>
      <c r="K536" t="n">
        <v>0</v>
      </c>
      <c r="L536" t="n">
        <v>0</v>
      </c>
      <c r="M536" t="n">
        <v>0</v>
      </c>
      <c r="N536" t="n">
        <v>0</v>
      </c>
      <c r="O536" t="n">
        <v>0</v>
      </c>
      <c r="P536" t="n">
        <v>0</v>
      </c>
      <c r="Q536" t="n">
        <v>0</v>
      </c>
      <c r="R536" s="2" t="inlineStr"/>
    </row>
    <row r="537" ht="15" customHeight="1">
      <c r="A537" t="inlineStr">
        <is>
          <t>A 8525-2026</t>
        </is>
      </c>
      <c r="B537" s="1" t="n">
        <v>46065.58760416666</v>
      </c>
      <c r="C537" s="1" t="n">
        <v>46190</v>
      </c>
      <c r="D537" t="inlineStr">
        <is>
          <t>UPPSALA LÄN</t>
        </is>
      </c>
      <c r="E537" t="inlineStr">
        <is>
          <t>ÖSTHAMMAR</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8789-2026</t>
        </is>
      </c>
      <c r="B538" s="1" t="n">
        <v>46066.58792824074</v>
      </c>
      <c r="C538" s="1" t="n">
        <v>46190</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61817-2021</t>
        </is>
      </c>
      <c r="B539" s="1" t="n">
        <v>44501.76855324074</v>
      </c>
      <c r="C539" s="1" t="n">
        <v>46190</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54437-2024</t>
        </is>
      </c>
      <c r="B540" s="1" t="n">
        <v>45617</v>
      </c>
      <c r="C540" s="1" t="n">
        <v>46190</v>
      </c>
      <c r="D540" t="inlineStr">
        <is>
          <t>UPPSALA LÄN</t>
        </is>
      </c>
      <c r="E540" t="inlineStr">
        <is>
          <t>ÖSTHAMMAR</t>
        </is>
      </c>
      <c r="G540" t="n">
        <v>2.1</v>
      </c>
      <c r="H540" t="n">
        <v>0</v>
      </c>
      <c r="I540" t="n">
        <v>0</v>
      </c>
      <c r="J540" t="n">
        <v>0</v>
      </c>
      <c r="K540" t="n">
        <v>0</v>
      </c>
      <c r="L540" t="n">
        <v>0</v>
      </c>
      <c r="M540" t="n">
        <v>0</v>
      </c>
      <c r="N540" t="n">
        <v>0</v>
      </c>
      <c r="O540" t="n">
        <v>0</v>
      </c>
      <c r="P540" t="n">
        <v>0</v>
      </c>
      <c r="Q540" t="n">
        <v>0</v>
      </c>
      <c r="R540" s="2" t="inlineStr"/>
    </row>
    <row r="541" ht="15" customHeight="1">
      <c r="A541" t="inlineStr">
        <is>
          <t>A 9052-2023</t>
        </is>
      </c>
      <c r="B541" s="1" t="n">
        <v>44979</v>
      </c>
      <c r="C541" s="1" t="n">
        <v>46190</v>
      </c>
      <c r="D541" t="inlineStr">
        <is>
          <t>UPPSALA LÄN</t>
        </is>
      </c>
      <c r="E541" t="inlineStr">
        <is>
          <t>ÖSTHAMMAR</t>
        </is>
      </c>
      <c r="F541" t="inlineStr">
        <is>
          <t>Kyrkan</t>
        </is>
      </c>
      <c r="G541" t="n">
        <v>0.2</v>
      </c>
      <c r="H541" t="n">
        <v>0</v>
      </c>
      <c r="I541" t="n">
        <v>0</v>
      </c>
      <c r="J541" t="n">
        <v>0</v>
      </c>
      <c r="K541" t="n">
        <v>0</v>
      </c>
      <c r="L541" t="n">
        <v>0</v>
      </c>
      <c r="M541" t="n">
        <v>0</v>
      </c>
      <c r="N541" t="n">
        <v>0</v>
      </c>
      <c r="O541" t="n">
        <v>0</v>
      </c>
      <c r="P541" t="n">
        <v>0</v>
      </c>
      <c r="Q541" t="n">
        <v>0</v>
      </c>
      <c r="R541" s="2" t="inlineStr"/>
    </row>
    <row r="542" ht="15" customHeight="1">
      <c r="A542" t="inlineStr">
        <is>
          <t>A 53961-2025</t>
        </is>
      </c>
      <c r="B542" s="1" t="n">
        <v>45961</v>
      </c>
      <c r="C542" s="1" t="n">
        <v>46190</v>
      </c>
      <c r="D542" t="inlineStr">
        <is>
          <t>UPPSALA LÄN</t>
        </is>
      </c>
      <c r="E542" t="inlineStr">
        <is>
          <t>ÖSTHAMMAR</t>
        </is>
      </c>
      <c r="G542" t="n">
        <v>0.7</v>
      </c>
      <c r="H542" t="n">
        <v>0</v>
      </c>
      <c r="I542" t="n">
        <v>0</v>
      </c>
      <c r="J542" t="n">
        <v>0</v>
      </c>
      <c r="K542" t="n">
        <v>0</v>
      </c>
      <c r="L542" t="n">
        <v>0</v>
      </c>
      <c r="M542" t="n">
        <v>0</v>
      </c>
      <c r="N542" t="n">
        <v>0</v>
      </c>
      <c r="O542" t="n">
        <v>0</v>
      </c>
      <c r="P542" t="n">
        <v>0</v>
      </c>
      <c r="Q542" t="n">
        <v>0</v>
      </c>
      <c r="R542" s="2" t="inlineStr"/>
    </row>
    <row r="543" ht="15" customHeight="1">
      <c r="A543" t="inlineStr">
        <is>
          <t>A 28152-2024</t>
        </is>
      </c>
      <c r="B543" s="1" t="n">
        <v>45476.77056712963</v>
      </c>
      <c r="C543" s="1" t="n">
        <v>46190</v>
      </c>
      <c r="D543" t="inlineStr">
        <is>
          <t>UPPSALA LÄN</t>
        </is>
      </c>
      <c r="E543" t="inlineStr">
        <is>
          <t>ÖSTHAMMAR</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53735-2025</t>
        </is>
      </c>
      <c r="B544" s="1" t="n">
        <v>45960.64431712963</v>
      </c>
      <c r="C544" s="1" t="n">
        <v>46190</v>
      </c>
      <c r="D544" t="inlineStr">
        <is>
          <t>UPPSALA LÄN</t>
        </is>
      </c>
      <c r="E544" t="inlineStr">
        <is>
          <t>ÖSTHAMMAR</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53737-2025</t>
        </is>
      </c>
      <c r="B545" s="1" t="n">
        <v>45960.64520833334</v>
      </c>
      <c r="C545" s="1" t="n">
        <v>46190</v>
      </c>
      <c r="D545" t="inlineStr">
        <is>
          <t>UPPSALA LÄN</t>
        </is>
      </c>
      <c r="E545" t="inlineStr">
        <is>
          <t>ÖSTHAMMAR</t>
        </is>
      </c>
      <c r="F545" t="inlineStr">
        <is>
          <t>Bergvik skog öst AB</t>
        </is>
      </c>
      <c r="G545" t="n">
        <v>3</v>
      </c>
      <c r="H545" t="n">
        <v>0</v>
      </c>
      <c r="I545" t="n">
        <v>0</v>
      </c>
      <c r="J545" t="n">
        <v>0</v>
      </c>
      <c r="K545" t="n">
        <v>0</v>
      </c>
      <c r="L545" t="n">
        <v>0</v>
      </c>
      <c r="M545" t="n">
        <v>0</v>
      </c>
      <c r="N545" t="n">
        <v>0</v>
      </c>
      <c r="O545" t="n">
        <v>0</v>
      </c>
      <c r="P545" t="n">
        <v>0</v>
      </c>
      <c r="Q545" t="n">
        <v>0</v>
      </c>
      <c r="R545" s="2" t="inlineStr"/>
    </row>
    <row r="546" ht="15" customHeight="1">
      <c r="A546" t="inlineStr">
        <is>
          <t>A 9666-2026</t>
        </is>
      </c>
      <c r="B546" s="1" t="n">
        <v>46072.36847222222</v>
      </c>
      <c r="C546" s="1" t="n">
        <v>46190</v>
      </c>
      <c r="D546" t="inlineStr">
        <is>
          <t>UPPSALA LÄN</t>
        </is>
      </c>
      <c r="E546" t="inlineStr">
        <is>
          <t>ÖSTHAMMAR</t>
        </is>
      </c>
      <c r="F546" t="inlineStr">
        <is>
          <t>Bergvik skog öst AB</t>
        </is>
      </c>
      <c r="G546" t="n">
        <v>12.8</v>
      </c>
      <c r="H546" t="n">
        <v>0</v>
      </c>
      <c r="I546" t="n">
        <v>0</v>
      </c>
      <c r="J546" t="n">
        <v>0</v>
      </c>
      <c r="K546" t="n">
        <v>0</v>
      </c>
      <c r="L546" t="n">
        <v>0</v>
      </c>
      <c r="M546" t="n">
        <v>0</v>
      </c>
      <c r="N546" t="n">
        <v>0</v>
      </c>
      <c r="O546" t="n">
        <v>0</v>
      </c>
      <c r="P546" t="n">
        <v>0</v>
      </c>
      <c r="Q546" t="n">
        <v>0</v>
      </c>
      <c r="R546" s="2" t="inlineStr"/>
    </row>
    <row r="547" ht="15" customHeight="1">
      <c r="A547" t="inlineStr">
        <is>
          <t>A 9664-2026</t>
        </is>
      </c>
      <c r="B547" s="1" t="n">
        <v>46072.36732638889</v>
      </c>
      <c r="C547" s="1" t="n">
        <v>46190</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12262-2023</t>
        </is>
      </c>
      <c r="B548" s="1" t="n">
        <v>44998.66662037037</v>
      </c>
      <c r="C548" s="1" t="n">
        <v>46190</v>
      </c>
      <c r="D548" t="inlineStr">
        <is>
          <t>UPPSALA LÄN</t>
        </is>
      </c>
      <c r="E548" t="inlineStr">
        <is>
          <t>ÖSTHAMMAR</t>
        </is>
      </c>
      <c r="G548" t="n">
        <v>4.1</v>
      </c>
      <c r="H548" t="n">
        <v>0</v>
      </c>
      <c r="I548" t="n">
        <v>0</v>
      </c>
      <c r="J548" t="n">
        <v>0</v>
      </c>
      <c r="K548" t="n">
        <v>0</v>
      </c>
      <c r="L548" t="n">
        <v>0</v>
      </c>
      <c r="M548" t="n">
        <v>0</v>
      </c>
      <c r="N548" t="n">
        <v>0</v>
      </c>
      <c r="O548" t="n">
        <v>0</v>
      </c>
      <c r="P548" t="n">
        <v>0</v>
      </c>
      <c r="Q548" t="n">
        <v>0</v>
      </c>
      <c r="R548" s="2" t="inlineStr"/>
    </row>
    <row r="549" ht="15" customHeight="1">
      <c r="A549" t="inlineStr">
        <is>
          <t>A 41478-2024</t>
        </is>
      </c>
      <c r="B549" s="1" t="n">
        <v>45560.44158564815</v>
      </c>
      <c r="C549" s="1" t="n">
        <v>46190</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16141-2022</t>
        </is>
      </c>
      <c r="B550" s="1" t="n">
        <v>44665</v>
      </c>
      <c r="C550" s="1" t="n">
        <v>46190</v>
      </c>
      <c r="D550" t="inlineStr">
        <is>
          <t>UPPSALA LÄN</t>
        </is>
      </c>
      <c r="E550" t="inlineStr">
        <is>
          <t>ÖSTHAMMAR</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34922-2023</t>
        </is>
      </c>
      <c r="B551" s="1" t="n">
        <v>45142.48359953704</v>
      </c>
      <c r="C551" s="1" t="n">
        <v>46190</v>
      </c>
      <c r="D551" t="inlineStr">
        <is>
          <t>UPPSALA LÄN</t>
        </is>
      </c>
      <c r="E551" t="inlineStr">
        <is>
          <t>ÖSTHAMMAR</t>
        </is>
      </c>
      <c r="F551" t="inlineStr">
        <is>
          <t>Bergvik skog öst AB</t>
        </is>
      </c>
      <c r="G551" t="n">
        <v>0.5</v>
      </c>
      <c r="H551" t="n">
        <v>0</v>
      </c>
      <c r="I551" t="n">
        <v>0</v>
      </c>
      <c r="J551" t="n">
        <v>0</v>
      </c>
      <c r="K551" t="n">
        <v>0</v>
      </c>
      <c r="L551" t="n">
        <v>0</v>
      </c>
      <c r="M551" t="n">
        <v>0</v>
      </c>
      <c r="N551" t="n">
        <v>0</v>
      </c>
      <c r="O551" t="n">
        <v>0</v>
      </c>
      <c r="P551" t="n">
        <v>0</v>
      </c>
      <c r="Q551" t="n">
        <v>0</v>
      </c>
      <c r="R551" s="2" t="inlineStr"/>
    </row>
    <row r="552" ht="15" customHeight="1">
      <c r="A552" t="inlineStr">
        <is>
          <t>A 54647-2025</t>
        </is>
      </c>
      <c r="B552" s="1" t="n">
        <v>45966.37258101852</v>
      </c>
      <c r="C552" s="1" t="n">
        <v>46190</v>
      </c>
      <c r="D552" t="inlineStr">
        <is>
          <t>UPPSALA LÄN</t>
        </is>
      </c>
      <c r="E552" t="inlineStr">
        <is>
          <t>ÖSTHAMMAR</t>
        </is>
      </c>
      <c r="G552" t="n">
        <v>4.3</v>
      </c>
      <c r="H552" t="n">
        <v>0</v>
      </c>
      <c r="I552" t="n">
        <v>0</v>
      </c>
      <c r="J552" t="n">
        <v>0</v>
      </c>
      <c r="K552" t="n">
        <v>0</v>
      </c>
      <c r="L552" t="n">
        <v>0</v>
      </c>
      <c r="M552" t="n">
        <v>0</v>
      </c>
      <c r="N552" t="n">
        <v>0</v>
      </c>
      <c r="O552" t="n">
        <v>0</v>
      </c>
      <c r="P552" t="n">
        <v>0</v>
      </c>
      <c r="Q552" t="n">
        <v>0</v>
      </c>
      <c r="R552" s="2" t="inlineStr"/>
    </row>
    <row r="553" ht="15" customHeight="1">
      <c r="A553" t="inlineStr">
        <is>
          <t>A 23495-2023</t>
        </is>
      </c>
      <c r="B553" s="1" t="n">
        <v>45076.71652777777</v>
      </c>
      <c r="C553" s="1" t="n">
        <v>46190</v>
      </c>
      <c r="D553" t="inlineStr">
        <is>
          <t>UPPSALA LÄN</t>
        </is>
      </c>
      <c r="E553" t="inlineStr">
        <is>
          <t>ÖSTHAMMAR</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12150-2026</t>
        </is>
      </c>
      <c r="B554" s="1" t="n">
        <v>46086.59512731482</v>
      </c>
      <c r="C554" s="1" t="n">
        <v>46190</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12151-2026</t>
        </is>
      </c>
      <c r="B555" s="1" t="n">
        <v>46086.5972800926</v>
      </c>
      <c r="C555" s="1" t="n">
        <v>46190</v>
      </c>
      <c r="D555" t="inlineStr">
        <is>
          <t>UPPSALA LÄN</t>
        </is>
      </c>
      <c r="E555" t="inlineStr">
        <is>
          <t>ÖSTHAMMAR</t>
        </is>
      </c>
      <c r="F555" t="inlineStr">
        <is>
          <t>Bergvik skog öst AB</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12172-2026</t>
        </is>
      </c>
      <c r="B556" s="1" t="n">
        <v>46086.6590625</v>
      </c>
      <c r="C556" s="1" t="n">
        <v>46190</v>
      </c>
      <c r="D556" t="inlineStr">
        <is>
          <t>UPPSALA LÄN</t>
        </is>
      </c>
      <c r="E556" t="inlineStr">
        <is>
          <t>ÖSTHAMMAR</t>
        </is>
      </c>
      <c r="F556" t="inlineStr">
        <is>
          <t>Bergvik skog öst AB</t>
        </is>
      </c>
      <c r="G556" t="n">
        <v>5.4</v>
      </c>
      <c r="H556" t="n">
        <v>0</v>
      </c>
      <c r="I556" t="n">
        <v>0</v>
      </c>
      <c r="J556" t="n">
        <v>0</v>
      </c>
      <c r="K556" t="n">
        <v>0</v>
      </c>
      <c r="L556" t="n">
        <v>0</v>
      </c>
      <c r="M556" t="n">
        <v>0</v>
      </c>
      <c r="N556" t="n">
        <v>0</v>
      </c>
      <c r="O556" t="n">
        <v>0</v>
      </c>
      <c r="P556" t="n">
        <v>0</v>
      </c>
      <c r="Q556" t="n">
        <v>0</v>
      </c>
      <c r="R556" s="2" t="inlineStr"/>
    </row>
    <row r="557" ht="15" customHeight="1">
      <c r="A557" t="inlineStr">
        <is>
          <t>A 38233-2024</t>
        </is>
      </c>
      <c r="B557" s="1" t="n">
        <v>45545</v>
      </c>
      <c r="C557" s="1" t="n">
        <v>46190</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17947-2022</t>
        </is>
      </c>
      <c r="B558" s="1" t="n">
        <v>44683</v>
      </c>
      <c r="C558" s="1" t="n">
        <v>46190</v>
      </c>
      <c r="D558" t="inlineStr">
        <is>
          <t>UPPSALA LÄN</t>
        </is>
      </c>
      <c r="E558" t="inlineStr">
        <is>
          <t>ÖSTHAMMAR</t>
        </is>
      </c>
      <c r="G558" t="n">
        <v>5.5</v>
      </c>
      <c r="H558" t="n">
        <v>0</v>
      </c>
      <c r="I558" t="n">
        <v>0</v>
      </c>
      <c r="J558" t="n">
        <v>0</v>
      </c>
      <c r="K558" t="n">
        <v>0</v>
      </c>
      <c r="L558" t="n">
        <v>0</v>
      </c>
      <c r="M558" t="n">
        <v>0</v>
      </c>
      <c r="N558" t="n">
        <v>0</v>
      </c>
      <c r="O558" t="n">
        <v>0</v>
      </c>
      <c r="P558" t="n">
        <v>0</v>
      </c>
      <c r="Q558" t="n">
        <v>0</v>
      </c>
      <c r="R558" s="2" t="inlineStr"/>
    </row>
    <row r="559" ht="15" customHeight="1">
      <c r="A559" t="inlineStr">
        <is>
          <t>A 12261-2026</t>
        </is>
      </c>
      <c r="B559" s="1" t="n">
        <v>46087.48739583333</v>
      </c>
      <c r="C559" s="1" t="n">
        <v>46190</v>
      </c>
      <c r="D559" t="inlineStr">
        <is>
          <t>UPPSALA LÄN</t>
        </is>
      </c>
      <c r="E559" t="inlineStr">
        <is>
          <t>ÖSTHAMMAR</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12262-2026</t>
        </is>
      </c>
      <c r="B560" s="1" t="n">
        <v>46087.4896875</v>
      </c>
      <c r="C560" s="1" t="n">
        <v>46190</v>
      </c>
      <c r="D560" t="inlineStr">
        <is>
          <t>UPPSALA LÄN</t>
        </is>
      </c>
      <c r="E560" t="inlineStr">
        <is>
          <t>ÖSTHAMMAR</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12387-2026</t>
        </is>
      </c>
      <c r="B561" s="1" t="n">
        <v>46090</v>
      </c>
      <c r="C561" s="1" t="n">
        <v>46190</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22798-2023</t>
        </is>
      </c>
      <c r="B562" s="1" t="n">
        <v>45072</v>
      </c>
      <c r="C562" s="1" t="n">
        <v>46190</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12263-2026</t>
        </is>
      </c>
      <c r="B563" s="1" t="n">
        <v>46087.49299768519</v>
      </c>
      <c r="C563" s="1" t="n">
        <v>46190</v>
      </c>
      <c r="D563" t="inlineStr">
        <is>
          <t>UPPSALA LÄN</t>
        </is>
      </c>
      <c r="E563" t="inlineStr">
        <is>
          <t>ÖSTHAMMAR</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4561-2022</t>
        </is>
      </c>
      <c r="B564" s="1" t="n">
        <v>44591.59170138889</v>
      </c>
      <c r="C564" s="1" t="n">
        <v>46190</v>
      </c>
      <c r="D564" t="inlineStr">
        <is>
          <t>UPPSALA LÄN</t>
        </is>
      </c>
      <c r="E564" t="inlineStr">
        <is>
          <t>ÖSTHAMMAR</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23741-2024</t>
        </is>
      </c>
      <c r="B565" s="1" t="n">
        <v>45455</v>
      </c>
      <c r="C565" s="1" t="n">
        <v>46190</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12913-2026</t>
        </is>
      </c>
      <c r="B566" s="1" t="n">
        <v>46092.58787037037</v>
      </c>
      <c r="C566" s="1" t="n">
        <v>46190</v>
      </c>
      <c r="D566" t="inlineStr">
        <is>
          <t>UPPSALA LÄN</t>
        </is>
      </c>
      <c r="E566" t="inlineStr">
        <is>
          <t>ÖSTHAMMAR</t>
        </is>
      </c>
      <c r="F566" t="inlineStr">
        <is>
          <t>Övriga Aktiebolag</t>
        </is>
      </c>
      <c r="G566" t="n">
        <v>9</v>
      </c>
      <c r="H566" t="n">
        <v>0</v>
      </c>
      <c r="I566" t="n">
        <v>0</v>
      </c>
      <c r="J566" t="n">
        <v>0</v>
      </c>
      <c r="K566" t="n">
        <v>0</v>
      </c>
      <c r="L566" t="n">
        <v>0</v>
      </c>
      <c r="M566" t="n">
        <v>0</v>
      </c>
      <c r="N566" t="n">
        <v>0</v>
      </c>
      <c r="O566" t="n">
        <v>0</v>
      </c>
      <c r="P566" t="n">
        <v>0</v>
      </c>
      <c r="Q566" t="n">
        <v>0</v>
      </c>
      <c r="R566" s="2" t="inlineStr"/>
    </row>
    <row r="567" ht="15" customHeight="1">
      <c r="A567" t="inlineStr">
        <is>
          <t>A 26612-2023</t>
        </is>
      </c>
      <c r="B567" s="1" t="n">
        <v>45089</v>
      </c>
      <c r="C567" s="1" t="n">
        <v>46190</v>
      </c>
      <c r="D567" t="inlineStr">
        <is>
          <t>UPPSALA LÄN</t>
        </is>
      </c>
      <c r="E567" t="inlineStr">
        <is>
          <t>ÖSTHAMMAR</t>
        </is>
      </c>
      <c r="G567" t="n">
        <v>2.1</v>
      </c>
      <c r="H567" t="n">
        <v>0</v>
      </c>
      <c r="I567" t="n">
        <v>0</v>
      </c>
      <c r="J567" t="n">
        <v>0</v>
      </c>
      <c r="K567" t="n">
        <v>0</v>
      </c>
      <c r="L567" t="n">
        <v>0</v>
      </c>
      <c r="M567" t="n">
        <v>0</v>
      </c>
      <c r="N567" t="n">
        <v>0</v>
      </c>
      <c r="O567" t="n">
        <v>0</v>
      </c>
      <c r="P567" t="n">
        <v>0</v>
      </c>
      <c r="Q567" t="n">
        <v>0</v>
      </c>
      <c r="R567" s="2" t="inlineStr"/>
    </row>
    <row r="568" ht="15" customHeight="1">
      <c r="A568" t="inlineStr">
        <is>
          <t>A 32244-2021</t>
        </is>
      </c>
      <c r="B568" s="1" t="n">
        <v>44371.45335648148</v>
      </c>
      <c r="C568" s="1" t="n">
        <v>46190</v>
      </c>
      <c r="D568" t="inlineStr">
        <is>
          <t>UPPSALA LÄN</t>
        </is>
      </c>
      <c r="E568" t="inlineStr">
        <is>
          <t>ÖSTHAMMAR</t>
        </is>
      </c>
      <c r="F568" t="inlineStr">
        <is>
          <t>Bergvik skog öst AB</t>
        </is>
      </c>
      <c r="G568" t="n">
        <v>2.6</v>
      </c>
      <c r="H568" t="n">
        <v>0</v>
      </c>
      <c r="I568" t="n">
        <v>0</v>
      </c>
      <c r="J568" t="n">
        <v>0</v>
      </c>
      <c r="K568" t="n">
        <v>0</v>
      </c>
      <c r="L568" t="n">
        <v>0</v>
      </c>
      <c r="M568" t="n">
        <v>0</v>
      </c>
      <c r="N568" t="n">
        <v>0</v>
      </c>
      <c r="O568" t="n">
        <v>0</v>
      </c>
      <c r="P568" t="n">
        <v>0</v>
      </c>
      <c r="Q568" t="n">
        <v>0</v>
      </c>
      <c r="R568" s="2" t="inlineStr"/>
    </row>
    <row r="569" ht="15" customHeight="1">
      <c r="A569" t="inlineStr">
        <is>
          <t>A 13472-2026</t>
        </is>
      </c>
      <c r="B569" s="1" t="n">
        <v>46094</v>
      </c>
      <c r="C569" s="1" t="n">
        <v>46190</v>
      </c>
      <c r="D569" t="inlineStr">
        <is>
          <t>UPPSALA LÄN</t>
        </is>
      </c>
      <c r="E569" t="inlineStr">
        <is>
          <t>ÖSTHAMMAR</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13703-2026</t>
        </is>
      </c>
      <c r="B570" s="1" t="n">
        <v>46097.56766203704</v>
      </c>
      <c r="C570" s="1" t="n">
        <v>46190</v>
      </c>
      <c r="D570" t="inlineStr">
        <is>
          <t>UPPSALA LÄN</t>
        </is>
      </c>
      <c r="E570" t="inlineStr">
        <is>
          <t>ÖSTHAMMAR</t>
        </is>
      </c>
      <c r="G570" t="n">
        <v>2.7</v>
      </c>
      <c r="H570" t="n">
        <v>0</v>
      </c>
      <c r="I570" t="n">
        <v>0</v>
      </c>
      <c r="J570" t="n">
        <v>0</v>
      </c>
      <c r="K570" t="n">
        <v>0</v>
      </c>
      <c r="L570" t="n">
        <v>0</v>
      </c>
      <c r="M570" t="n">
        <v>0</v>
      </c>
      <c r="N570" t="n">
        <v>0</v>
      </c>
      <c r="O570" t="n">
        <v>0</v>
      </c>
      <c r="P570" t="n">
        <v>0</v>
      </c>
      <c r="Q570" t="n">
        <v>0</v>
      </c>
      <c r="R570" s="2" t="inlineStr"/>
    </row>
    <row r="571" ht="15" customHeight="1">
      <c r="A571" t="inlineStr">
        <is>
          <t>A 14006-2026</t>
        </is>
      </c>
      <c r="B571" s="1" t="n">
        <v>46098.65136574074</v>
      </c>
      <c r="C571" s="1" t="n">
        <v>46190</v>
      </c>
      <c r="D571" t="inlineStr">
        <is>
          <t>UPPSALA LÄN</t>
        </is>
      </c>
      <c r="E571" t="inlineStr">
        <is>
          <t>ÖSTHAMMAR</t>
        </is>
      </c>
      <c r="G571" t="n">
        <v>2</v>
      </c>
      <c r="H571" t="n">
        <v>0</v>
      </c>
      <c r="I571" t="n">
        <v>0</v>
      </c>
      <c r="J571" t="n">
        <v>0</v>
      </c>
      <c r="K571" t="n">
        <v>0</v>
      </c>
      <c r="L571" t="n">
        <v>0</v>
      </c>
      <c r="M571" t="n">
        <v>0</v>
      </c>
      <c r="N571" t="n">
        <v>0</v>
      </c>
      <c r="O571" t="n">
        <v>0</v>
      </c>
      <c r="P571" t="n">
        <v>0</v>
      </c>
      <c r="Q571" t="n">
        <v>0</v>
      </c>
      <c r="R571" s="2" t="inlineStr"/>
    </row>
    <row r="572" ht="15" customHeight="1">
      <c r="A572" t="inlineStr">
        <is>
          <t>A 14007-2026</t>
        </is>
      </c>
      <c r="B572" s="1" t="n">
        <v>46098.65329861111</v>
      </c>
      <c r="C572" s="1" t="n">
        <v>46190</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60079-2022</t>
        </is>
      </c>
      <c r="B573" s="1" t="n">
        <v>44909</v>
      </c>
      <c r="C573" s="1" t="n">
        <v>46190</v>
      </c>
      <c r="D573" t="inlineStr">
        <is>
          <t>UPPSALA LÄN</t>
        </is>
      </c>
      <c r="E573" t="inlineStr">
        <is>
          <t>ÖSTHAMMAR</t>
        </is>
      </c>
      <c r="G573" t="n">
        <v>9.6</v>
      </c>
      <c r="H573" t="n">
        <v>0</v>
      </c>
      <c r="I573" t="n">
        <v>0</v>
      </c>
      <c r="J573" t="n">
        <v>0</v>
      </c>
      <c r="K573" t="n">
        <v>0</v>
      </c>
      <c r="L573" t="n">
        <v>0</v>
      </c>
      <c r="M573" t="n">
        <v>0</v>
      </c>
      <c r="N573" t="n">
        <v>0</v>
      </c>
      <c r="O573" t="n">
        <v>0</v>
      </c>
      <c r="P573" t="n">
        <v>0</v>
      </c>
      <c r="Q573" t="n">
        <v>0</v>
      </c>
      <c r="R573" s="2" t="inlineStr"/>
    </row>
    <row r="574" ht="15" customHeight="1">
      <c r="A574" t="inlineStr">
        <is>
          <t>A 14030-2026</t>
        </is>
      </c>
      <c r="B574" s="1" t="n">
        <v>46098.77094907407</v>
      </c>
      <c r="C574" s="1" t="n">
        <v>46190</v>
      </c>
      <c r="D574" t="inlineStr">
        <is>
          <t>UPPSALA LÄN</t>
        </is>
      </c>
      <c r="E574" t="inlineStr">
        <is>
          <t>ÖSTHAMMAR</t>
        </is>
      </c>
      <c r="F574" t="inlineStr">
        <is>
          <t>Bergvik skog öst AB</t>
        </is>
      </c>
      <c r="G574" t="n">
        <v>8.4</v>
      </c>
      <c r="H574" t="n">
        <v>0</v>
      </c>
      <c r="I574" t="n">
        <v>0</v>
      </c>
      <c r="J574" t="n">
        <v>0</v>
      </c>
      <c r="K574" t="n">
        <v>0</v>
      </c>
      <c r="L574" t="n">
        <v>0</v>
      </c>
      <c r="M574" t="n">
        <v>0</v>
      </c>
      <c r="N574" t="n">
        <v>0</v>
      </c>
      <c r="O574" t="n">
        <v>0</v>
      </c>
      <c r="P574" t="n">
        <v>0</v>
      </c>
      <c r="Q574" t="n">
        <v>0</v>
      </c>
      <c r="R574" s="2" t="inlineStr"/>
    </row>
    <row r="575" ht="15" customHeight="1">
      <c r="A575" t="inlineStr">
        <is>
          <t>A 14031-2026</t>
        </is>
      </c>
      <c r="B575" s="1" t="n">
        <v>46098.77274305555</v>
      </c>
      <c r="C575" s="1" t="n">
        <v>46190</v>
      </c>
      <c r="D575" t="inlineStr">
        <is>
          <t>UPPSALA LÄN</t>
        </is>
      </c>
      <c r="E575" t="inlineStr">
        <is>
          <t>ÖSTHAMMAR</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40637-2022</t>
        </is>
      </c>
      <c r="B576" s="1" t="n">
        <v>44824</v>
      </c>
      <c r="C576" s="1" t="n">
        <v>46190</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15006-2026</t>
        </is>
      </c>
      <c r="B577" s="1" t="n">
        <v>46104.6130324074</v>
      </c>
      <c r="C577" s="1" t="n">
        <v>46190</v>
      </c>
      <c r="D577" t="inlineStr">
        <is>
          <t>UPPSALA LÄN</t>
        </is>
      </c>
      <c r="E577" t="inlineStr">
        <is>
          <t>ÖSTHAMMAR</t>
        </is>
      </c>
      <c r="G577" t="n">
        <v>2.1</v>
      </c>
      <c r="H577" t="n">
        <v>0</v>
      </c>
      <c r="I577" t="n">
        <v>0</v>
      </c>
      <c r="J577" t="n">
        <v>0</v>
      </c>
      <c r="K577" t="n">
        <v>0</v>
      </c>
      <c r="L577" t="n">
        <v>0</v>
      </c>
      <c r="M577" t="n">
        <v>0</v>
      </c>
      <c r="N577" t="n">
        <v>0</v>
      </c>
      <c r="O577" t="n">
        <v>0</v>
      </c>
      <c r="P577" t="n">
        <v>0</v>
      </c>
      <c r="Q577" t="n">
        <v>0</v>
      </c>
      <c r="R577" s="2" t="inlineStr"/>
    </row>
    <row r="578" ht="15" customHeight="1">
      <c r="A578" t="inlineStr">
        <is>
          <t>A 15640-2026</t>
        </is>
      </c>
      <c r="B578" s="1" t="n">
        <v>46106.63700231481</v>
      </c>
      <c r="C578" s="1" t="n">
        <v>46190</v>
      </c>
      <c r="D578" t="inlineStr">
        <is>
          <t>UPPSALA LÄN</t>
        </is>
      </c>
      <c r="E578" t="inlineStr">
        <is>
          <t>ÖSTHAMMAR</t>
        </is>
      </c>
      <c r="F578" t="inlineStr">
        <is>
          <t>Övriga Aktiebolag</t>
        </is>
      </c>
      <c r="G578" t="n">
        <v>7.7</v>
      </c>
      <c r="H578" t="n">
        <v>0</v>
      </c>
      <c r="I578" t="n">
        <v>0</v>
      </c>
      <c r="J578" t="n">
        <v>0</v>
      </c>
      <c r="K578" t="n">
        <v>0</v>
      </c>
      <c r="L578" t="n">
        <v>0</v>
      </c>
      <c r="M578" t="n">
        <v>0</v>
      </c>
      <c r="N578" t="n">
        <v>0</v>
      </c>
      <c r="O578" t="n">
        <v>0</v>
      </c>
      <c r="P578" t="n">
        <v>0</v>
      </c>
      <c r="Q578" t="n">
        <v>0</v>
      </c>
      <c r="R578" s="2" t="inlineStr"/>
    </row>
    <row r="579" ht="15" customHeight="1">
      <c r="A579" t="inlineStr">
        <is>
          <t>A 15475-2026</t>
        </is>
      </c>
      <c r="B579" s="1" t="n">
        <v>46106.43859953704</v>
      </c>
      <c r="C579" s="1" t="n">
        <v>46190</v>
      </c>
      <c r="D579" t="inlineStr">
        <is>
          <t>UPPSALA LÄN</t>
        </is>
      </c>
      <c r="E579" t="inlineStr">
        <is>
          <t>ÖSTHAMMAR</t>
        </is>
      </c>
      <c r="G579" t="n">
        <v>2.4</v>
      </c>
      <c r="H579" t="n">
        <v>0</v>
      </c>
      <c r="I579" t="n">
        <v>0</v>
      </c>
      <c r="J579" t="n">
        <v>0</v>
      </c>
      <c r="K579" t="n">
        <v>0</v>
      </c>
      <c r="L579" t="n">
        <v>0</v>
      </c>
      <c r="M579" t="n">
        <v>0</v>
      </c>
      <c r="N579" t="n">
        <v>0</v>
      </c>
      <c r="O579" t="n">
        <v>0</v>
      </c>
      <c r="P579" t="n">
        <v>0</v>
      </c>
      <c r="Q579" t="n">
        <v>0</v>
      </c>
      <c r="R579" s="2" t="inlineStr"/>
    </row>
    <row r="580" ht="15" customHeight="1">
      <c r="A580" t="inlineStr">
        <is>
          <t>A 15478-2026</t>
        </is>
      </c>
      <c r="B580" s="1" t="n">
        <v>46106.44582175926</v>
      </c>
      <c r="C580" s="1" t="n">
        <v>46190</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56260-2022</t>
        </is>
      </c>
      <c r="B581" s="1" t="n">
        <v>44890</v>
      </c>
      <c r="C581" s="1" t="n">
        <v>46190</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15452-2026</t>
        </is>
      </c>
      <c r="B582" s="1" t="n">
        <v>46106.4181712963</v>
      </c>
      <c r="C582" s="1" t="n">
        <v>46190</v>
      </c>
      <c r="D582" t="inlineStr">
        <is>
          <t>UPPSALA LÄN</t>
        </is>
      </c>
      <c r="E582" t="inlineStr">
        <is>
          <t>ÖSTHAMMAR</t>
        </is>
      </c>
      <c r="G582" t="n">
        <v>0.7</v>
      </c>
      <c r="H582" t="n">
        <v>0</v>
      </c>
      <c r="I582" t="n">
        <v>0</v>
      </c>
      <c r="J582" t="n">
        <v>0</v>
      </c>
      <c r="K582" t="n">
        <v>0</v>
      </c>
      <c r="L582" t="n">
        <v>0</v>
      </c>
      <c r="M582" t="n">
        <v>0</v>
      </c>
      <c r="N582" t="n">
        <v>0</v>
      </c>
      <c r="O582" t="n">
        <v>0</v>
      </c>
      <c r="P582" t="n">
        <v>0</v>
      </c>
      <c r="Q582" t="n">
        <v>0</v>
      </c>
      <c r="R582" s="2" t="inlineStr"/>
    </row>
    <row r="583" ht="15" customHeight="1">
      <c r="A583" t="inlineStr">
        <is>
          <t>A 62394-2022</t>
        </is>
      </c>
      <c r="B583" s="1" t="n">
        <v>44923.82017361111</v>
      </c>
      <c r="C583" s="1" t="n">
        <v>46190</v>
      </c>
      <c r="D583" t="inlineStr">
        <is>
          <t>UPPSALA LÄN</t>
        </is>
      </c>
      <c r="E583" t="inlineStr">
        <is>
          <t>ÖSTHAMMAR</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8616-2023</t>
        </is>
      </c>
      <c r="B584" s="1" t="n">
        <v>44977</v>
      </c>
      <c r="C584" s="1" t="n">
        <v>46190</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16038-2026</t>
        </is>
      </c>
      <c r="B585" s="1" t="n">
        <v>46108</v>
      </c>
      <c r="C585" s="1" t="n">
        <v>46190</v>
      </c>
      <c r="D585" t="inlineStr">
        <is>
          <t>UPPSALA LÄN</t>
        </is>
      </c>
      <c r="E585" t="inlineStr">
        <is>
          <t>ÖSTHAMMAR</t>
        </is>
      </c>
      <c r="G585" t="n">
        <v>2.2</v>
      </c>
      <c r="H585" t="n">
        <v>0</v>
      </c>
      <c r="I585" t="n">
        <v>0</v>
      </c>
      <c r="J585" t="n">
        <v>0</v>
      </c>
      <c r="K585" t="n">
        <v>0</v>
      </c>
      <c r="L585" t="n">
        <v>0</v>
      </c>
      <c r="M585" t="n">
        <v>0</v>
      </c>
      <c r="N585" t="n">
        <v>0</v>
      </c>
      <c r="O585" t="n">
        <v>0</v>
      </c>
      <c r="P585" t="n">
        <v>0</v>
      </c>
      <c r="Q585" t="n">
        <v>0</v>
      </c>
      <c r="R585" s="2" t="inlineStr"/>
    </row>
    <row r="586" ht="15" customHeight="1">
      <c r="A586" t="inlineStr">
        <is>
          <t>A 15744-2026</t>
        </is>
      </c>
      <c r="B586" s="1" t="n">
        <v>46107.4175462963</v>
      </c>
      <c r="C586" s="1" t="n">
        <v>46190</v>
      </c>
      <c r="D586" t="inlineStr">
        <is>
          <t>UPPSALA LÄN</t>
        </is>
      </c>
      <c r="E586" t="inlineStr">
        <is>
          <t>ÖSTHAMMAR</t>
        </is>
      </c>
      <c r="F586" t="inlineStr">
        <is>
          <t>Bergvik skog öst AB</t>
        </is>
      </c>
      <c r="G586" t="n">
        <v>7.8</v>
      </c>
      <c r="H586" t="n">
        <v>0</v>
      </c>
      <c r="I586" t="n">
        <v>0</v>
      </c>
      <c r="J586" t="n">
        <v>0</v>
      </c>
      <c r="K586" t="n">
        <v>0</v>
      </c>
      <c r="L586" t="n">
        <v>0</v>
      </c>
      <c r="M586" t="n">
        <v>0</v>
      </c>
      <c r="N586" t="n">
        <v>0</v>
      </c>
      <c r="O586" t="n">
        <v>0</v>
      </c>
      <c r="P586" t="n">
        <v>0</v>
      </c>
      <c r="Q586" t="n">
        <v>0</v>
      </c>
      <c r="R586" s="2" t="inlineStr"/>
    </row>
    <row r="587" ht="15" customHeight="1">
      <c r="A587" t="inlineStr">
        <is>
          <t>A 15748-2026</t>
        </is>
      </c>
      <c r="B587" s="1" t="n">
        <v>46107.4227662037</v>
      </c>
      <c r="C587" s="1" t="n">
        <v>46190</v>
      </c>
      <c r="D587" t="inlineStr">
        <is>
          <t>UPPSALA LÄN</t>
        </is>
      </c>
      <c r="E587" t="inlineStr">
        <is>
          <t>ÖSTHAMMAR</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21765-2026</t>
        </is>
      </c>
      <c r="B588" s="1" t="n">
        <v>46150.33503472222</v>
      </c>
      <c r="C588" s="1" t="n">
        <v>46190</v>
      </c>
      <c r="D588" t="inlineStr">
        <is>
          <t>UPPSALA LÄN</t>
        </is>
      </c>
      <c r="E588" t="inlineStr">
        <is>
          <t>ÖSTHAMMAR</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41538-2021</t>
        </is>
      </c>
      <c r="B589" s="1" t="n">
        <v>44425.35016203704</v>
      </c>
      <c r="C589" s="1" t="n">
        <v>46190</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34742-2022</t>
        </is>
      </c>
      <c r="B590" s="1" t="n">
        <v>44795.61990740741</v>
      </c>
      <c r="C590" s="1" t="n">
        <v>46190</v>
      </c>
      <c r="D590" t="inlineStr">
        <is>
          <t>UPPSALA LÄN</t>
        </is>
      </c>
      <c r="E590" t="inlineStr">
        <is>
          <t>ÖSTHAMMAR</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16042-2026</t>
        </is>
      </c>
      <c r="B591" s="1" t="n">
        <v>46108</v>
      </c>
      <c r="C591" s="1" t="n">
        <v>46190</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22059-2026</t>
        </is>
      </c>
      <c r="B592" s="1" t="n">
        <v>46153.48164351852</v>
      </c>
      <c r="C592" s="1" t="n">
        <v>46190</v>
      </c>
      <c r="D592" t="inlineStr">
        <is>
          <t>UPPSALA LÄN</t>
        </is>
      </c>
      <c r="E592" t="inlineStr">
        <is>
          <t>ÖSTHAMMAR</t>
        </is>
      </c>
      <c r="G592" t="n">
        <v>7.5</v>
      </c>
      <c r="H592" t="n">
        <v>0</v>
      </c>
      <c r="I592" t="n">
        <v>0</v>
      </c>
      <c r="J592" t="n">
        <v>0</v>
      </c>
      <c r="K592" t="n">
        <v>0</v>
      </c>
      <c r="L592" t="n">
        <v>0</v>
      </c>
      <c r="M592" t="n">
        <v>0</v>
      </c>
      <c r="N592" t="n">
        <v>0</v>
      </c>
      <c r="O592" t="n">
        <v>0</v>
      </c>
      <c r="P592" t="n">
        <v>0</v>
      </c>
      <c r="Q592" t="n">
        <v>0</v>
      </c>
      <c r="R592" s="2" t="inlineStr"/>
    </row>
    <row r="593" ht="15" customHeight="1">
      <c r="A593" t="inlineStr">
        <is>
          <t>A 16522-2026</t>
        </is>
      </c>
      <c r="B593" s="1" t="n">
        <v>46112.46268518519</v>
      </c>
      <c r="C593" s="1" t="n">
        <v>46190</v>
      </c>
      <c r="D593" t="inlineStr">
        <is>
          <t>UPPSALA LÄN</t>
        </is>
      </c>
      <c r="E593" t="inlineStr">
        <is>
          <t>ÖSTHAMMAR</t>
        </is>
      </c>
      <c r="G593" t="n">
        <v>1.1</v>
      </c>
      <c r="H593" t="n">
        <v>0</v>
      </c>
      <c r="I593" t="n">
        <v>0</v>
      </c>
      <c r="J593" t="n">
        <v>0</v>
      </c>
      <c r="K593" t="n">
        <v>0</v>
      </c>
      <c r="L593" t="n">
        <v>0</v>
      </c>
      <c r="M593" t="n">
        <v>0</v>
      </c>
      <c r="N593" t="n">
        <v>0</v>
      </c>
      <c r="O593" t="n">
        <v>0</v>
      </c>
      <c r="P593" t="n">
        <v>0</v>
      </c>
      <c r="Q593" t="n">
        <v>0</v>
      </c>
      <c r="R593" s="2" t="inlineStr"/>
    </row>
    <row r="594" ht="15" customHeight="1">
      <c r="A594" t="inlineStr">
        <is>
          <t>A 16614-2026</t>
        </is>
      </c>
      <c r="B594" s="1" t="n">
        <v>46112.60460648148</v>
      </c>
      <c r="C594" s="1" t="n">
        <v>46190</v>
      </c>
      <c r="D594" t="inlineStr">
        <is>
          <t>UPPSALA LÄN</t>
        </is>
      </c>
      <c r="E594" t="inlineStr">
        <is>
          <t>ÖSTHAMMAR</t>
        </is>
      </c>
      <c r="F594" t="inlineStr">
        <is>
          <t>Bergvik skog öst AB</t>
        </is>
      </c>
      <c r="G594" t="n">
        <v>2.4</v>
      </c>
      <c r="H594" t="n">
        <v>0</v>
      </c>
      <c r="I594" t="n">
        <v>0</v>
      </c>
      <c r="J594" t="n">
        <v>0</v>
      </c>
      <c r="K594" t="n">
        <v>0</v>
      </c>
      <c r="L594" t="n">
        <v>0</v>
      </c>
      <c r="M594" t="n">
        <v>0</v>
      </c>
      <c r="N594" t="n">
        <v>0</v>
      </c>
      <c r="O594" t="n">
        <v>0</v>
      </c>
      <c r="P594" t="n">
        <v>0</v>
      </c>
      <c r="Q594" t="n">
        <v>0</v>
      </c>
      <c r="R594" s="2" t="inlineStr"/>
    </row>
    <row r="595" ht="15" customHeight="1">
      <c r="A595" t="inlineStr">
        <is>
          <t>A 55090-2024</t>
        </is>
      </c>
      <c r="B595" s="1" t="n">
        <v>45621.4350462963</v>
      </c>
      <c r="C595" s="1" t="n">
        <v>46190</v>
      </c>
      <c r="D595" t="inlineStr">
        <is>
          <t>UPPSALA LÄN</t>
        </is>
      </c>
      <c r="E595" t="inlineStr">
        <is>
          <t>ÖSTHAMMAR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55093-2024</t>
        </is>
      </c>
      <c r="B596" s="1" t="n">
        <v>45621.43712962963</v>
      </c>
      <c r="C596" s="1" t="n">
        <v>46190</v>
      </c>
      <c r="D596" t="inlineStr">
        <is>
          <t>UPPSALA LÄN</t>
        </is>
      </c>
      <c r="E596" t="inlineStr">
        <is>
          <t>ÖSTHAMMAR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55097-2024</t>
        </is>
      </c>
      <c r="B597" s="1" t="n">
        <v>45621.43855324074</v>
      </c>
      <c r="C597" s="1" t="n">
        <v>46190</v>
      </c>
      <c r="D597" t="inlineStr">
        <is>
          <t>UPPSALA LÄN</t>
        </is>
      </c>
      <c r="E597" t="inlineStr">
        <is>
          <t>ÖSTHAMMAR</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16494-2026</t>
        </is>
      </c>
      <c r="B598" s="1" t="n">
        <v>46112.43229166666</v>
      </c>
      <c r="C598" s="1" t="n">
        <v>46190</v>
      </c>
      <c r="D598" t="inlineStr">
        <is>
          <t>UPPSALA LÄN</t>
        </is>
      </c>
      <c r="E598" t="inlineStr">
        <is>
          <t>ÖSTHAMMAR</t>
        </is>
      </c>
      <c r="G598" t="n">
        <v>0.5</v>
      </c>
      <c r="H598" t="n">
        <v>0</v>
      </c>
      <c r="I598" t="n">
        <v>0</v>
      </c>
      <c r="J598" t="n">
        <v>0</v>
      </c>
      <c r="K598" t="n">
        <v>0</v>
      </c>
      <c r="L598" t="n">
        <v>0</v>
      </c>
      <c r="M598" t="n">
        <v>0</v>
      </c>
      <c r="N598" t="n">
        <v>0</v>
      </c>
      <c r="O598" t="n">
        <v>0</v>
      </c>
      <c r="P598" t="n">
        <v>0</v>
      </c>
      <c r="Q598" t="n">
        <v>0</v>
      </c>
      <c r="R598" s="2" t="inlineStr"/>
    </row>
    <row r="599" ht="15" customHeight="1">
      <c r="A599" t="inlineStr">
        <is>
          <t>A 16359-2026</t>
        </is>
      </c>
      <c r="B599" s="1" t="n">
        <v>46111.60564814815</v>
      </c>
      <c r="C599" s="1" t="n">
        <v>46190</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16498-2026</t>
        </is>
      </c>
      <c r="B600" s="1" t="n">
        <v>46112.43565972222</v>
      </c>
      <c r="C600" s="1" t="n">
        <v>46190</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16640-2026</t>
        </is>
      </c>
      <c r="B601" s="1" t="n">
        <v>46112.63155092593</v>
      </c>
      <c r="C601" s="1" t="n">
        <v>46190</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22241-2026</t>
        </is>
      </c>
      <c r="B602" s="1" t="n">
        <v>46154</v>
      </c>
      <c r="C602" s="1" t="n">
        <v>46190</v>
      </c>
      <c r="D602" t="inlineStr">
        <is>
          <t>UPPSALA LÄN</t>
        </is>
      </c>
      <c r="E602" t="inlineStr">
        <is>
          <t>ÖSTHAMMAR</t>
        </is>
      </c>
      <c r="F602" t="inlineStr">
        <is>
          <t>Övriga Aktiebolag</t>
        </is>
      </c>
      <c r="G602" t="n">
        <v>14.6</v>
      </c>
      <c r="H602" t="n">
        <v>0</v>
      </c>
      <c r="I602" t="n">
        <v>0</v>
      </c>
      <c r="J602" t="n">
        <v>0</v>
      </c>
      <c r="K602" t="n">
        <v>0</v>
      </c>
      <c r="L602" t="n">
        <v>0</v>
      </c>
      <c r="M602" t="n">
        <v>0</v>
      </c>
      <c r="N602" t="n">
        <v>0</v>
      </c>
      <c r="O602" t="n">
        <v>0</v>
      </c>
      <c r="P602" t="n">
        <v>0</v>
      </c>
      <c r="Q602" t="n">
        <v>0</v>
      </c>
      <c r="R602" s="2" t="inlineStr"/>
    </row>
    <row r="603" ht="15" customHeight="1">
      <c r="A603" t="inlineStr">
        <is>
          <t>A 16612-2026</t>
        </is>
      </c>
      <c r="B603" s="1" t="n">
        <v>46112.60299768519</v>
      </c>
      <c r="C603" s="1" t="n">
        <v>46190</v>
      </c>
      <c r="D603" t="inlineStr">
        <is>
          <t>UPPSALA LÄN</t>
        </is>
      </c>
      <c r="E603" t="inlineStr">
        <is>
          <t>ÖSTHAMMAR</t>
        </is>
      </c>
      <c r="F603" t="inlineStr">
        <is>
          <t>Bergvik skog öst AB</t>
        </is>
      </c>
      <c r="G603" t="n">
        <v>0.3</v>
      </c>
      <c r="H603" t="n">
        <v>0</v>
      </c>
      <c r="I603" t="n">
        <v>0</v>
      </c>
      <c r="J603" t="n">
        <v>0</v>
      </c>
      <c r="K603" t="n">
        <v>0</v>
      </c>
      <c r="L603" t="n">
        <v>0</v>
      </c>
      <c r="M603" t="n">
        <v>0</v>
      </c>
      <c r="N603" t="n">
        <v>0</v>
      </c>
      <c r="O603" t="n">
        <v>0</v>
      </c>
      <c r="P603" t="n">
        <v>0</v>
      </c>
      <c r="Q603" t="n">
        <v>0</v>
      </c>
      <c r="R603" s="2" t="inlineStr"/>
    </row>
    <row r="604" ht="15" customHeight="1">
      <c r="A604" t="inlineStr">
        <is>
          <t>A 22709-2026</t>
        </is>
      </c>
      <c r="B604" s="1" t="n">
        <v>46156.59422453704</v>
      </c>
      <c r="C604" s="1" t="n">
        <v>46190</v>
      </c>
      <c r="D604" t="inlineStr">
        <is>
          <t>UPPSALA LÄN</t>
        </is>
      </c>
      <c r="E604" t="inlineStr">
        <is>
          <t>ÖSTHAMMAR</t>
        </is>
      </c>
      <c r="F604" t="inlineStr">
        <is>
          <t>Övriga Aktiebolag</t>
        </is>
      </c>
      <c r="G604" t="n">
        <v>15.5</v>
      </c>
      <c r="H604" t="n">
        <v>0</v>
      </c>
      <c r="I604" t="n">
        <v>0</v>
      </c>
      <c r="J604" t="n">
        <v>0</v>
      </c>
      <c r="K604" t="n">
        <v>0</v>
      </c>
      <c r="L604" t="n">
        <v>0</v>
      </c>
      <c r="M604" t="n">
        <v>0</v>
      </c>
      <c r="N604" t="n">
        <v>0</v>
      </c>
      <c r="O604" t="n">
        <v>0</v>
      </c>
      <c r="P604" t="n">
        <v>0</v>
      </c>
      <c r="Q604" t="n">
        <v>0</v>
      </c>
      <c r="R604" s="2" t="inlineStr"/>
    </row>
    <row r="605" ht="15" customHeight="1">
      <c r="A605" t="inlineStr">
        <is>
          <t>A 16796-2026</t>
        </is>
      </c>
      <c r="B605" s="1" t="n">
        <v>46113.47394675926</v>
      </c>
      <c r="C605" s="1" t="n">
        <v>46190</v>
      </c>
      <c r="D605" t="inlineStr">
        <is>
          <t>UPPSALA LÄN</t>
        </is>
      </c>
      <c r="E605" t="inlineStr">
        <is>
          <t>ÖSTHAMMAR</t>
        </is>
      </c>
      <c r="G605" t="n">
        <v>1.8</v>
      </c>
      <c r="H605" t="n">
        <v>0</v>
      </c>
      <c r="I605" t="n">
        <v>0</v>
      </c>
      <c r="J605" t="n">
        <v>0</v>
      </c>
      <c r="K605" t="n">
        <v>0</v>
      </c>
      <c r="L605" t="n">
        <v>0</v>
      </c>
      <c r="M605" t="n">
        <v>0</v>
      </c>
      <c r="N605" t="n">
        <v>0</v>
      </c>
      <c r="O605" t="n">
        <v>0</v>
      </c>
      <c r="P605" t="n">
        <v>0</v>
      </c>
      <c r="Q605" t="n">
        <v>0</v>
      </c>
      <c r="R605" s="2" t="inlineStr"/>
    </row>
    <row r="606" ht="15" customHeight="1">
      <c r="A606" t="inlineStr">
        <is>
          <t>A 16788-2026</t>
        </is>
      </c>
      <c r="B606" s="1" t="n">
        <v>46113.46101851852</v>
      </c>
      <c r="C606" s="1" t="n">
        <v>46190</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22641-2026</t>
        </is>
      </c>
      <c r="B607" s="1" t="n">
        <v>46155.65429398148</v>
      </c>
      <c r="C607" s="1" t="n">
        <v>46190</v>
      </c>
      <c r="D607" t="inlineStr">
        <is>
          <t>UPPSALA LÄN</t>
        </is>
      </c>
      <c r="E607" t="inlineStr">
        <is>
          <t>ÖSTHAMMAR</t>
        </is>
      </c>
      <c r="G607" t="n">
        <v>6.3</v>
      </c>
      <c r="H607" t="n">
        <v>0</v>
      </c>
      <c r="I607" t="n">
        <v>0</v>
      </c>
      <c r="J607" t="n">
        <v>0</v>
      </c>
      <c r="K607" t="n">
        <v>0</v>
      </c>
      <c r="L607" t="n">
        <v>0</v>
      </c>
      <c r="M607" t="n">
        <v>0</v>
      </c>
      <c r="N607" t="n">
        <v>0</v>
      </c>
      <c r="O607" t="n">
        <v>0</v>
      </c>
      <c r="P607" t="n">
        <v>0</v>
      </c>
      <c r="Q607" t="n">
        <v>0</v>
      </c>
      <c r="R607" s="2" t="inlineStr"/>
    </row>
    <row r="608" ht="15" customHeight="1">
      <c r="A608" t="inlineStr">
        <is>
          <t>A 22567-2026</t>
        </is>
      </c>
      <c r="B608" s="1" t="n">
        <v>46155.55663194445</v>
      </c>
      <c r="C608" s="1" t="n">
        <v>46190</v>
      </c>
      <c r="D608" t="inlineStr">
        <is>
          <t>UPPSALA LÄN</t>
        </is>
      </c>
      <c r="E608" t="inlineStr">
        <is>
          <t>ÖSTHAMMAR</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22642-2026</t>
        </is>
      </c>
      <c r="B609" s="1" t="n">
        <v>46155.65603009259</v>
      </c>
      <c r="C609" s="1" t="n">
        <v>46190</v>
      </c>
      <c r="D609" t="inlineStr">
        <is>
          <t>UPPSALA LÄN</t>
        </is>
      </c>
      <c r="E609" t="inlineStr">
        <is>
          <t>ÖSTHAMMAR</t>
        </is>
      </c>
      <c r="F609" t="inlineStr">
        <is>
          <t>Bergvik skog öst AB</t>
        </is>
      </c>
      <c r="G609" t="n">
        <v>10</v>
      </c>
      <c r="H609" t="n">
        <v>0</v>
      </c>
      <c r="I609" t="n">
        <v>0</v>
      </c>
      <c r="J609" t="n">
        <v>0</v>
      </c>
      <c r="K609" t="n">
        <v>0</v>
      </c>
      <c r="L609" t="n">
        <v>0</v>
      </c>
      <c r="M609" t="n">
        <v>0</v>
      </c>
      <c r="N609" t="n">
        <v>0</v>
      </c>
      <c r="O609" t="n">
        <v>0</v>
      </c>
      <c r="P609" t="n">
        <v>0</v>
      </c>
      <c r="Q609" t="n">
        <v>0</v>
      </c>
      <c r="R609" s="2" t="inlineStr"/>
    </row>
    <row r="610" ht="15" customHeight="1">
      <c r="A610" t="inlineStr">
        <is>
          <t>A 22409-2026</t>
        </is>
      </c>
      <c r="B610" s="1" t="n">
        <v>46154</v>
      </c>
      <c r="C610" s="1" t="n">
        <v>46190</v>
      </c>
      <c r="D610" t="inlineStr">
        <is>
          <t>UPPSALA LÄN</t>
        </is>
      </c>
      <c r="E610" t="inlineStr">
        <is>
          <t>ÖSTHAMMAR</t>
        </is>
      </c>
      <c r="F610" t="inlineStr">
        <is>
          <t>Övriga Aktiebolag</t>
        </is>
      </c>
      <c r="G610" t="n">
        <v>4.8</v>
      </c>
      <c r="H610" t="n">
        <v>0</v>
      </c>
      <c r="I610" t="n">
        <v>0</v>
      </c>
      <c r="J610" t="n">
        <v>0</v>
      </c>
      <c r="K610" t="n">
        <v>0</v>
      </c>
      <c r="L610" t="n">
        <v>0</v>
      </c>
      <c r="M610" t="n">
        <v>0</v>
      </c>
      <c r="N610" t="n">
        <v>0</v>
      </c>
      <c r="O610" t="n">
        <v>0</v>
      </c>
      <c r="P610" t="n">
        <v>0</v>
      </c>
      <c r="Q610" t="n">
        <v>0</v>
      </c>
      <c r="R610" s="2" t="inlineStr"/>
    </row>
    <row r="611" ht="15" customHeight="1">
      <c r="A611" t="inlineStr">
        <is>
          <t>A 17198-2026</t>
        </is>
      </c>
      <c r="B611" s="1" t="n">
        <v>46118</v>
      </c>
      <c r="C611" s="1" t="n">
        <v>46190</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3327-2023</t>
        </is>
      </c>
      <c r="B612" s="1" t="n">
        <v>44949.4377662037</v>
      </c>
      <c r="C612" s="1" t="n">
        <v>46190</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8014-2026</t>
        </is>
      </c>
      <c r="B613" s="1" t="n">
        <v>46063.54009259259</v>
      </c>
      <c r="C613" s="1" t="n">
        <v>46190</v>
      </c>
      <c r="D613" t="inlineStr">
        <is>
          <t>UPPSALA LÄN</t>
        </is>
      </c>
      <c r="E613" t="inlineStr">
        <is>
          <t>ÖSTHAMMAR</t>
        </is>
      </c>
      <c r="G613" t="n">
        <v>15.2</v>
      </c>
      <c r="H613" t="n">
        <v>0</v>
      </c>
      <c r="I613" t="n">
        <v>0</v>
      </c>
      <c r="J613" t="n">
        <v>0</v>
      </c>
      <c r="K613" t="n">
        <v>0</v>
      </c>
      <c r="L613" t="n">
        <v>0</v>
      </c>
      <c r="M613" t="n">
        <v>0</v>
      </c>
      <c r="N613" t="n">
        <v>0</v>
      </c>
      <c r="O613" t="n">
        <v>0</v>
      </c>
      <c r="P613" t="n">
        <v>0</v>
      </c>
      <c r="Q613" t="n">
        <v>0</v>
      </c>
      <c r="R613" s="2" t="inlineStr"/>
    </row>
    <row r="614" ht="15" customHeight="1">
      <c r="A614" t="inlineStr">
        <is>
          <t>A 41821-2023</t>
        </is>
      </c>
      <c r="B614" s="1" t="n">
        <v>45176</v>
      </c>
      <c r="C614" s="1" t="n">
        <v>46190</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14272-2025</t>
        </is>
      </c>
      <c r="B615" s="1" t="n">
        <v>45740.64327546296</v>
      </c>
      <c r="C615" s="1" t="n">
        <v>46190</v>
      </c>
      <c r="D615" t="inlineStr">
        <is>
          <t>UPPSALA LÄN</t>
        </is>
      </c>
      <c r="E615" t="inlineStr">
        <is>
          <t>ÖSTHAMMAR</t>
        </is>
      </c>
      <c r="G615" t="n">
        <v>5.7</v>
      </c>
      <c r="H615" t="n">
        <v>0</v>
      </c>
      <c r="I615" t="n">
        <v>0</v>
      </c>
      <c r="J615" t="n">
        <v>0</v>
      </c>
      <c r="K615" t="n">
        <v>0</v>
      </c>
      <c r="L615" t="n">
        <v>0</v>
      </c>
      <c r="M615" t="n">
        <v>0</v>
      </c>
      <c r="N615" t="n">
        <v>0</v>
      </c>
      <c r="O615" t="n">
        <v>0</v>
      </c>
      <c r="P615" t="n">
        <v>0</v>
      </c>
      <c r="Q615" t="n">
        <v>0</v>
      </c>
      <c r="R615" s="2" t="inlineStr"/>
    </row>
    <row r="616" ht="15" customHeight="1">
      <c r="A616" t="inlineStr">
        <is>
          <t>A 12215-2023</t>
        </is>
      </c>
      <c r="B616" s="1" t="n">
        <v>44998</v>
      </c>
      <c r="C616" s="1" t="n">
        <v>46190</v>
      </c>
      <c r="D616" t="inlineStr">
        <is>
          <t>UPPSALA LÄN</t>
        </is>
      </c>
      <c r="E616" t="inlineStr">
        <is>
          <t>ÖSTHAMMAR</t>
        </is>
      </c>
      <c r="G616" t="n">
        <v>5.1</v>
      </c>
      <c r="H616" t="n">
        <v>0</v>
      </c>
      <c r="I616" t="n">
        <v>0</v>
      </c>
      <c r="J616" t="n">
        <v>0</v>
      </c>
      <c r="K616" t="n">
        <v>0</v>
      </c>
      <c r="L616" t="n">
        <v>0</v>
      </c>
      <c r="M616" t="n">
        <v>0</v>
      </c>
      <c r="N616" t="n">
        <v>0</v>
      </c>
      <c r="O616" t="n">
        <v>0</v>
      </c>
      <c r="P616" t="n">
        <v>0</v>
      </c>
      <c r="Q616" t="n">
        <v>0</v>
      </c>
      <c r="R616" s="2" t="inlineStr"/>
    </row>
    <row r="617" ht="15" customHeight="1">
      <c r="A617" t="inlineStr">
        <is>
          <t>A 23125-2026</t>
        </is>
      </c>
      <c r="B617" s="1" t="n">
        <v>46161.60623842593</v>
      </c>
      <c r="C617" s="1" t="n">
        <v>46190</v>
      </c>
      <c r="D617" t="inlineStr">
        <is>
          <t>UPPSALA LÄN</t>
        </is>
      </c>
      <c r="E617" t="inlineStr">
        <is>
          <t>ÖSTHAMMAR</t>
        </is>
      </c>
      <c r="F617" t="inlineStr">
        <is>
          <t>Övriga Aktiebolag</t>
        </is>
      </c>
      <c r="G617" t="n">
        <v>4.4</v>
      </c>
      <c r="H617" t="n">
        <v>0</v>
      </c>
      <c r="I617" t="n">
        <v>0</v>
      </c>
      <c r="J617" t="n">
        <v>0</v>
      </c>
      <c r="K617" t="n">
        <v>0</v>
      </c>
      <c r="L617" t="n">
        <v>0</v>
      </c>
      <c r="M617" t="n">
        <v>0</v>
      </c>
      <c r="N617" t="n">
        <v>0</v>
      </c>
      <c r="O617" t="n">
        <v>0</v>
      </c>
      <c r="P617" t="n">
        <v>0</v>
      </c>
      <c r="Q617" t="n">
        <v>0</v>
      </c>
      <c r="R617" s="2" t="inlineStr"/>
    </row>
    <row r="618" ht="15" customHeight="1">
      <c r="A618" t="inlineStr">
        <is>
          <t>A 17767-2026</t>
        </is>
      </c>
      <c r="B618" s="1" t="n">
        <v>46122.36061342592</v>
      </c>
      <c r="C618" s="1" t="n">
        <v>46190</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17928-2026</t>
        </is>
      </c>
      <c r="B619" s="1" t="n">
        <v>46122.62048611111</v>
      </c>
      <c r="C619" s="1" t="n">
        <v>46190</v>
      </c>
      <c r="D619" t="inlineStr">
        <is>
          <t>UPPSALA LÄN</t>
        </is>
      </c>
      <c r="E619" t="inlineStr">
        <is>
          <t>ÖSTHAMMAR</t>
        </is>
      </c>
      <c r="F619" t="inlineStr">
        <is>
          <t>Bergvik skog öst AB</t>
        </is>
      </c>
      <c r="G619" t="n">
        <v>14.7</v>
      </c>
      <c r="H619" t="n">
        <v>0</v>
      </c>
      <c r="I619" t="n">
        <v>0</v>
      </c>
      <c r="J619" t="n">
        <v>0</v>
      </c>
      <c r="K619" t="n">
        <v>0</v>
      </c>
      <c r="L619" t="n">
        <v>0</v>
      </c>
      <c r="M619" t="n">
        <v>0</v>
      </c>
      <c r="N619" t="n">
        <v>0</v>
      </c>
      <c r="O619" t="n">
        <v>0</v>
      </c>
      <c r="P619" t="n">
        <v>0</v>
      </c>
      <c r="Q619" t="n">
        <v>0</v>
      </c>
      <c r="R619" s="2" t="inlineStr"/>
    </row>
    <row r="620" ht="15" customHeight="1">
      <c r="A620" t="inlineStr">
        <is>
          <t>A 23619-2026</t>
        </is>
      </c>
      <c r="B620" s="1" t="n">
        <v>46163.67776620371</v>
      </c>
      <c r="C620" s="1" t="n">
        <v>46190</v>
      </c>
      <c r="D620" t="inlineStr">
        <is>
          <t>UPPSALA LÄN</t>
        </is>
      </c>
      <c r="E620" t="inlineStr">
        <is>
          <t>ÖSTHAMMAR</t>
        </is>
      </c>
      <c r="F620" t="inlineStr">
        <is>
          <t>Bergvik skog öst AB</t>
        </is>
      </c>
      <c r="G620" t="n">
        <v>8.6</v>
      </c>
      <c r="H620" t="n">
        <v>0</v>
      </c>
      <c r="I620" t="n">
        <v>0</v>
      </c>
      <c r="J620" t="n">
        <v>0</v>
      </c>
      <c r="K620" t="n">
        <v>0</v>
      </c>
      <c r="L620" t="n">
        <v>0</v>
      </c>
      <c r="M620" t="n">
        <v>0</v>
      </c>
      <c r="N620" t="n">
        <v>0</v>
      </c>
      <c r="O620" t="n">
        <v>0</v>
      </c>
      <c r="P620" t="n">
        <v>0</v>
      </c>
      <c r="Q620" t="n">
        <v>0</v>
      </c>
      <c r="R620" s="2" t="inlineStr"/>
    </row>
    <row r="621" ht="15" customHeight="1">
      <c r="A621" t="inlineStr">
        <is>
          <t>A 17760-2026</t>
        </is>
      </c>
      <c r="B621" s="1" t="n">
        <v>46122.35453703703</v>
      </c>
      <c r="C621" s="1" t="n">
        <v>46190</v>
      </c>
      <c r="D621" t="inlineStr">
        <is>
          <t>UPPSALA LÄN</t>
        </is>
      </c>
      <c r="E621" t="inlineStr">
        <is>
          <t>ÖSTHAMMAR</t>
        </is>
      </c>
      <c r="F621" t="inlineStr">
        <is>
          <t>Bergvik skog öst AB</t>
        </is>
      </c>
      <c r="G621" t="n">
        <v>3.6</v>
      </c>
      <c r="H621" t="n">
        <v>0</v>
      </c>
      <c r="I621" t="n">
        <v>0</v>
      </c>
      <c r="J621" t="n">
        <v>0</v>
      </c>
      <c r="K621" t="n">
        <v>0</v>
      </c>
      <c r="L621" t="n">
        <v>0</v>
      </c>
      <c r="M621" t="n">
        <v>0</v>
      </c>
      <c r="N621" t="n">
        <v>0</v>
      </c>
      <c r="O621" t="n">
        <v>0</v>
      </c>
      <c r="P621" t="n">
        <v>0</v>
      </c>
      <c r="Q621" t="n">
        <v>0</v>
      </c>
      <c r="R621" s="2" t="inlineStr"/>
    </row>
    <row r="622" ht="15" customHeight="1">
      <c r="A622" t="inlineStr">
        <is>
          <t>A 23414-2026</t>
        </is>
      </c>
      <c r="B622" s="1" t="n">
        <v>46163.28564814815</v>
      </c>
      <c r="C622" s="1" t="n">
        <v>46190</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66779-2021</t>
        </is>
      </c>
      <c r="B623" s="1" t="n">
        <v>44522.31700231481</v>
      </c>
      <c r="C623" s="1" t="n">
        <v>46190</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23415-2026</t>
        </is>
      </c>
      <c r="B624" s="1" t="n">
        <v>46163.2859837963</v>
      </c>
      <c r="C624" s="1" t="n">
        <v>46190</v>
      </c>
      <c r="D624" t="inlineStr">
        <is>
          <t>UPPSALA LÄN</t>
        </is>
      </c>
      <c r="E624" t="inlineStr">
        <is>
          <t>ÖSTHAMMAR</t>
        </is>
      </c>
      <c r="G624" t="n">
        <v>2.4</v>
      </c>
      <c r="H624" t="n">
        <v>0</v>
      </c>
      <c r="I624" t="n">
        <v>0</v>
      </c>
      <c r="J624" t="n">
        <v>0</v>
      </c>
      <c r="K624" t="n">
        <v>0</v>
      </c>
      <c r="L624" t="n">
        <v>0</v>
      </c>
      <c r="M624" t="n">
        <v>0</v>
      </c>
      <c r="N624" t="n">
        <v>0</v>
      </c>
      <c r="O624" t="n">
        <v>0</v>
      </c>
      <c r="P624" t="n">
        <v>0</v>
      </c>
      <c r="Q624" t="n">
        <v>0</v>
      </c>
      <c r="R624" s="2" t="inlineStr"/>
    </row>
    <row r="625" ht="15" customHeight="1">
      <c r="A625" t="inlineStr">
        <is>
          <t>A 23416-2026</t>
        </is>
      </c>
      <c r="B625" s="1" t="n">
        <v>46163.28630787037</v>
      </c>
      <c r="C625" s="1" t="n">
        <v>46190</v>
      </c>
      <c r="D625" t="inlineStr">
        <is>
          <t>UPPSALA LÄN</t>
        </is>
      </c>
      <c r="E625" t="inlineStr">
        <is>
          <t>ÖSTHAMMAR</t>
        </is>
      </c>
      <c r="G625" t="n">
        <v>7</v>
      </c>
      <c r="H625" t="n">
        <v>0</v>
      </c>
      <c r="I625" t="n">
        <v>0</v>
      </c>
      <c r="J625" t="n">
        <v>0</v>
      </c>
      <c r="K625" t="n">
        <v>0</v>
      </c>
      <c r="L625" t="n">
        <v>0</v>
      </c>
      <c r="M625" t="n">
        <v>0</v>
      </c>
      <c r="N625" t="n">
        <v>0</v>
      </c>
      <c r="O625" t="n">
        <v>0</v>
      </c>
      <c r="P625" t="n">
        <v>0</v>
      </c>
      <c r="Q625" t="n">
        <v>0</v>
      </c>
      <c r="R625" s="2" t="inlineStr"/>
    </row>
    <row r="626" ht="15" customHeight="1">
      <c r="A626" t="inlineStr">
        <is>
          <t>A 23795-2026</t>
        </is>
      </c>
      <c r="B626" s="1" t="n">
        <v>46164.6133912037</v>
      </c>
      <c r="C626" s="1" t="n">
        <v>46190</v>
      </c>
      <c r="D626" t="inlineStr">
        <is>
          <t>UPPSALA LÄN</t>
        </is>
      </c>
      <c r="E626" t="inlineStr">
        <is>
          <t>ÖSTHAMMAR</t>
        </is>
      </c>
      <c r="F626" t="inlineStr">
        <is>
          <t>Bergvik skog öst AB</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33062-2021</t>
        </is>
      </c>
      <c r="B627" s="1" t="n">
        <v>44376</v>
      </c>
      <c r="C627" s="1" t="n">
        <v>46190</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24033-2023</t>
        </is>
      </c>
      <c r="B628" s="1" t="n">
        <v>45078</v>
      </c>
      <c r="C628" s="1" t="n">
        <v>46190</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17927-2026</t>
        </is>
      </c>
      <c r="B629" s="1" t="n">
        <v>46122.62008101852</v>
      </c>
      <c r="C629" s="1" t="n">
        <v>46190</v>
      </c>
      <c r="D629" t="inlineStr">
        <is>
          <t>UPPSALA LÄN</t>
        </is>
      </c>
      <c r="E629" t="inlineStr">
        <is>
          <t>ÖSTHAMMAR</t>
        </is>
      </c>
      <c r="F629" t="inlineStr">
        <is>
          <t>Bergvik skog öst AB</t>
        </is>
      </c>
      <c r="G629" t="n">
        <v>3.3</v>
      </c>
      <c r="H629" t="n">
        <v>0</v>
      </c>
      <c r="I629" t="n">
        <v>0</v>
      </c>
      <c r="J629" t="n">
        <v>0</v>
      </c>
      <c r="K629" t="n">
        <v>0</v>
      </c>
      <c r="L629" t="n">
        <v>0</v>
      </c>
      <c r="M629" t="n">
        <v>0</v>
      </c>
      <c r="N629" t="n">
        <v>0</v>
      </c>
      <c r="O629" t="n">
        <v>0</v>
      </c>
      <c r="P629" t="n">
        <v>0</v>
      </c>
      <c r="Q629" t="n">
        <v>0</v>
      </c>
      <c r="R629" s="2" t="inlineStr"/>
    </row>
    <row r="630" ht="15" customHeight="1">
      <c r="A630" t="inlineStr">
        <is>
          <t>A 17764-2026</t>
        </is>
      </c>
      <c r="B630" s="1" t="n">
        <v>46122.35938657408</v>
      </c>
      <c r="C630" s="1" t="n">
        <v>46190</v>
      </c>
      <c r="D630" t="inlineStr">
        <is>
          <t>UPPSALA LÄN</t>
        </is>
      </c>
      <c r="E630" t="inlineStr">
        <is>
          <t>ÖSTHAMMAR</t>
        </is>
      </c>
      <c r="F630" t="inlineStr">
        <is>
          <t>Bergvik skog öst AB</t>
        </is>
      </c>
      <c r="G630" t="n">
        <v>3</v>
      </c>
      <c r="H630" t="n">
        <v>0</v>
      </c>
      <c r="I630" t="n">
        <v>0</v>
      </c>
      <c r="J630" t="n">
        <v>0</v>
      </c>
      <c r="K630" t="n">
        <v>0</v>
      </c>
      <c r="L630" t="n">
        <v>0</v>
      </c>
      <c r="M630" t="n">
        <v>0</v>
      </c>
      <c r="N630" t="n">
        <v>0</v>
      </c>
      <c r="O630" t="n">
        <v>0</v>
      </c>
      <c r="P630" t="n">
        <v>0</v>
      </c>
      <c r="Q630" t="n">
        <v>0</v>
      </c>
      <c r="R630" s="2" t="inlineStr"/>
    </row>
    <row r="631" ht="15" customHeight="1">
      <c r="A631" t="inlineStr">
        <is>
          <t>A 3638-2022</t>
        </is>
      </c>
      <c r="B631" s="1" t="n">
        <v>44578</v>
      </c>
      <c r="C631" s="1" t="n">
        <v>46190</v>
      </c>
      <c r="D631" t="inlineStr">
        <is>
          <t>UPPSALA LÄN</t>
        </is>
      </c>
      <c r="E631" t="inlineStr">
        <is>
          <t>ÖSTHAMMAR</t>
        </is>
      </c>
      <c r="G631" t="n">
        <v>1.7</v>
      </c>
      <c r="H631" t="n">
        <v>0</v>
      </c>
      <c r="I631" t="n">
        <v>0</v>
      </c>
      <c r="J631" t="n">
        <v>0</v>
      </c>
      <c r="K631" t="n">
        <v>0</v>
      </c>
      <c r="L631" t="n">
        <v>0</v>
      </c>
      <c r="M631" t="n">
        <v>0</v>
      </c>
      <c r="N631" t="n">
        <v>0</v>
      </c>
      <c r="O631" t="n">
        <v>0</v>
      </c>
      <c r="P631" t="n">
        <v>0</v>
      </c>
      <c r="Q631" t="n">
        <v>0</v>
      </c>
      <c r="R631" s="2" t="inlineStr"/>
    </row>
    <row r="632" ht="15" customHeight="1">
      <c r="A632" t="inlineStr">
        <is>
          <t>A 17926-2026</t>
        </is>
      </c>
      <c r="B632" s="1" t="n">
        <v>46122.61969907407</v>
      </c>
      <c r="C632" s="1" t="n">
        <v>46190</v>
      </c>
      <c r="D632" t="inlineStr">
        <is>
          <t>UPPSALA LÄN</t>
        </is>
      </c>
      <c r="E632" t="inlineStr">
        <is>
          <t>ÖSTHAMMAR</t>
        </is>
      </c>
      <c r="F632" t="inlineStr">
        <is>
          <t>Bergvik skog öst AB</t>
        </is>
      </c>
      <c r="G632" t="n">
        <v>2.3</v>
      </c>
      <c r="H632" t="n">
        <v>0</v>
      </c>
      <c r="I632" t="n">
        <v>0</v>
      </c>
      <c r="J632" t="n">
        <v>0</v>
      </c>
      <c r="K632" t="n">
        <v>0</v>
      </c>
      <c r="L632" t="n">
        <v>0</v>
      </c>
      <c r="M632" t="n">
        <v>0</v>
      </c>
      <c r="N632" t="n">
        <v>0</v>
      </c>
      <c r="O632" t="n">
        <v>0</v>
      </c>
      <c r="P632" t="n">
        <v>0</v>
      </c>
      <c r="Q632" t="n">
        <v>0</v>
      </c>
      <c r="R632" s="2" t="inlineStr"/>
    </row>
    <row r="633" ht="15" customHeight="1">
      <c r="A633" t="inlineStr">
        <is>
          <t>A 47614-2025</t>
        </is>
      </c>
      <c r="B633" s="1" t="n">
        <v>45931.47211805556</v>
      </c>
      <c r="C633" s="1" t="n">
        <v>46190</v>
      </c>
      <c r="D633" t="inlineStr">
        <is>
          <t>UPPSALA LÄN</t>
        </is>
      </c>
      <c r="E633" t="inlineStr">
        <is>
          <t>ÖSTHAMMAR</t>
        </is>
      </c>
      <c r="G633" t="n">
        <v>22.8</v>
      </c>
      <c r="H633" t="n">
        <v>0</v>
      </c>
      <c r="I633" t="n">
        <v>0</v>
      </c>
      <c r="J633" t="n">
        <v>0</v>
      </c>
      <c r="K633" t="n">
        <v>0</v>
      </c>
      <c r="L633" t="n">
        <v>0</v>
      </c>
      <c r="M633" t="n">
        <v>0</v>
      </c>
      <c r="N633" t="n">
        <v>0</v>
      </c>
      <c r="O633" t="n">
        <v>0</v>
      </c>
      <c r="P633" t="n">
        <v>0</v>
      </c>
      <c r="Q633" t="n">
        <v>0</v>
      </c>
      <c r="R633" s="2" t="inlineStr"/>
    </row>
    <row r="634" ht="15" customHeight="1">
      <c r="A634" t="inlineStr">
        <is>
          <t>A 49897-2023</t>
        </is>
      </c>
      <c r="B634" s="1" t="n">
        <v>45213.84846064815</v>
      </c>
      <c r="C634" s="1" t="n">
        <v>46190</v>
      </c>
      <c r="D634" t="inlineStr">
        <is>
          <t>UPPSALA LÄN</t>
        </is>
      </c>
      <c r="E634" t="inlineStr">
        <is>
          <t>ÖSTHAMMAR</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37812-2022</t>
        </is>
      </c>
      <c r="B635" s="1" t="n">
        <v>44810</v>
      </c>
      <c r="C635" s="1" t="n">
        <v>46190</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18758-2026</t>
        </is>
      </c>
      <c r="B636" s="1" t="n">
        <v>46128.56182870371</v>
      </c>
      <c r="C636" s="1" t="n">
        <v>46190</v>
      </c>
      <c r="D636" t="inlineStr">
        <is>
          <t>UPPSALA LÄN</t>
        </is>
      </c>
      <c r="E636" t="inlineStr">
        <is>
          <t>ÖSTHAMMAR</t>
        </is>
      </c>
      <c r="F636" t="inlineStr">
        <is>
          <t>Bergvik skog öst AB</t>
        </is>
      </c>
      <c r="G636" t="n">
        <v>2.4</v>
      </c>
      <c r="H636" t="n">
        <v>0</v>
      </c>
      <c r="I636" t="n">
        <v>0</v>
      </c>
      <c r="J636" t="n">
        <v>0</v>
      </c>
      <c r="K636" t="n">
        <v>0</v>
      </c>
      <c r="L636" t="n">
        <v>0</v>
      </c>
      <c r="M636" t="n">
        <v>0</v>
      </c>
      <c r="N636" t="n">
        <v>0</v>
      </c>
      <c r="O636" t="n">
        <v>0</v>
      </c>
      <c r="P636" t="n">
        <v>0</v>
      </c>
      <c r="Q636" t="n">
        <v>0</v>
      </c>
      <c r="R636" s="2" t="inlineStr"/>
    </row>
    <row r="637" ht="15" customHeight="1">
      <c r="A637" t="inlineStr">
        <is>
          <t>A 18761-2026</t>
        </is>
      </c>
      <c r="B637" s="1" t="n">
        <v>46128.56317129629</v>
      </c>
      <c r="C637" s="1" t="n">
        <v>46190</v>
      </c>
      <c r="D637" t="inlineStr">
        <is>
          <t>UPPSALA LÄN</t>
        </is>
      </c>
      <c r="E637" t="inlineStr">
        <is>
          <t>ÖSTHAMMAR</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60555-2023</t>
        </is>
      </c>
      <c r="B638" s="1" t="n">
        <v>45259</v>
      </c>
      <c r="C638" s="1" t="n">
        <v>46190</v>
      </c>
      <c r="D638" t="inlineStr">
        <is>
          <t>UPPSALA LÄN</t>
        </is>
      </c>
      <c r="E638" t="inlineStr">
        <is>
          <t>ÖSTHAMMAR</t>
        </is>
      </c>
      <c r="G638" t="n">
        <v>2</v>
      </c>
      <c r="H638" t="n">
        <v>0</v>
      </c>
      <c r="I638" t="n">
        <v>0</v>
      </c>
      <c r="J638" t="n">
        <v>0</v>
      </c>
      <c r="K638" t="n">
        <v>0</v>
      </c>
      <c r="L638" t="n">
        <v>0</v>
      </c>
      <c r="M638" t="n">
        <v>0</v>
      </c>
      <c r="N638" t="n">
        <v>0</v>
      </c>
      <c r="O638" t="n">
        <v>0</v>
      </c>
      <c r="P638" t="n">
        <v>0</v>
      </c>
      <c r="Q638" t="n">
        <v>0</v>
      </c>
      <c r="R638" s="2" t="inlineStr"/>
    </row>
    <row r="639" ht="15" customHeight="1">
      <c r="A639" t="inlineStr">
        <is>
          <t>A 18760-2026</t>
        </is>
      </c>
      <c r="B639" s="1" t="n">
        <v>46128.56234953704</v>
      </c>
      <c r="C639" s="1" t="n">
        <v>46190</v>
      </c>
      <c r="D639" t="inlineStr">
        <is>
          <t>UPPSALA LÄN</t>
        </is>
      </c>
      <c r="E639" t="inlineStr">
        <is>
          <t>ÖSTHAMMAR</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44815-2022</t>
        </is>
      </c>
      <c r="B640" s="1" t="n">
        <v>44841.40452546296</v>
      </c>
      <c r="C640" s="1" t="n">
        <v>46190</v>
      </c>
      <c r="D640" t="inlineStr">
        <is>
          <t>UPPSALA LÄN</t>
        </is>
      </c>
      <c r="E640" t="inlineStr">
        <is>
          <t>ÖSTHAMMAR</t>
        </is>
      </c>
      <c r="G640" t="n">
        <v>1.8</v>
      </c>
      <c r="H640" t="n">
        <v>0</v>
      </c>
      <c r="I640" t="n">
        <v>0</v>
      </c>
      <c r="J640" t="n">
        <v>0</v>
      </c>
      <c r="K640" t="n">
        <v>0</v>
      </c>
      <c r="L640" t="n">
        <v>0</v>
      </c>
      <c r="M640" t="n">
        <v>0</v>
      </c>
      <c r="N640" t="n">
        <v>0</v>
      </c>
      <c r="O640" t="n">
        <v>0</v>
      </c>
      <c r="P640" t="n">
        <v>0</v>
      </c>
      <c r="Q640" t="n">
        <v>0</v>
      </c>
      <c r="R640" s="2" t="inlineStr"/>
    </row>
    <row r="641" ht="15" customHeight="1">
      <c r="A641" t="inlineStr">
        <is>
          <t>A 22640-2026</t>
        </is>
      </c>
      <c r="B641" s="1" t="n">
        <v>46155.65376157407</v>
      </c>
      <c r="C641" s="1" t="n">
        <v>46190</v>
      </c>
      <c r="D641" t="inlineStr">
        <is>
          <t>UPPSALA LÄN</t>
        </is>
      </c>
      <c r="E641" t="inlineStr">
        <is>
          <t>ÖSTHAMMAR</t>
        </is>
      </c>
      <c r="F641" t="inlineStr">
        <is>
          <t>Bergvik skog öst AB</t>
        </is>
      </c>
      <c r="G641" t="n">
        <v>19.4</v>
      </c>
      <c r="H641" t="n">
        <v>0</v>
      </c>
      <c r="I641" t="n">
        <v>0</v>
      </c>
      <c r="J641" t="n">
        <v>0</v>
      </c>
      <c r="K641" t="n">
        <v>0</v>
      </c>
      <c r="L641" t="n">
        <v>0</v>
      </c>
      <c r="M641" t="n">
        <v>0</v>
      </c>
      <c r="N641" t="n">
        <v>0</v>
      </c>
      <c r="O641" t="n">
        <v>0</v>
      </c>
      <c r="P641" t="n">
        <v>0</v>
      </c>
      <c r="Q641" t="n">
        <v>0</v>
      </c>
      <c r="R641" s="2" t="inlineStr"/>
    </row>
    <row r="642" ht="15" customHeight="1">
      <c r="A642" t="inlineStr">
        <is>
          <t>A 73483-2021</t>
        </is>
      </c>
      <c r="B642" s="1" t="n">
        <v>44550</v>
      </c>
      <c r="C642" s="1" t="n">
        <v>46190</v>
      </c>
      <c r="D642" t="inlineStr">
        <is>
          <t>UPPSALA LÄN</t>
        </is>
      </c>
      <c r="E642" t="inlineStr">
        <is>
          <t>ÖSTHAMMAR</t>
        </is>
      </c>
      <c r="G642" t="n">
        <v>2.8</v>
      </c>
      <c r="H642" t="n">
        <v>0</v>
      </c>
      <c r="I642" t="n">
        <v>0</v>
      </c>
      <c r="J642" t="n">
        <v>0</v>
      </c>
      <c r="K642" t="n">
        <v>0</v>
      </c>
      <c r="L642" t="n">
        <v>0</v>
      </c>
      <c r="M642" t="n">
        <v>0</v>
      </c>
      <c r="N642" t="n">
        <v>0</v>
      </c>
      <c r="O642" t="n">
        <v>0</v>
      </c>
      <c r="P642" t="n">
        <v>0</v>
      </c>
      <c r="Q642" t="n">
        <v>0</v>
      </c>
      <c r="R642" s="2" t="inlineStr"/>
    </row>
    <row r="643" ht="15" customHeight="1">
      <c r="A643" t="inlineStr">
        <is>
          <t>A 6121-2024</t>
        </is>
      </c>
      <c r="B643" s="1" t="n">
        <v>45337.4219212963</v>
      </c>
      <c r="C643" s="1" t="n">
        <v>46190</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44923.7849537037</v>
      </c>
      <c r="C644" s="1" t="n">
        <v>46190</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54314-2023</t>
        </is>
      </c>
      <c r="B645" s="1" t="n">
        <v>45225</v>
      </c>
      <c r="C645" s="1" t="n">
        <v>46190</v>
      </c>
      <c r="D645" t="inlineStr">
        <is>
          <t>UPPSALA LÄN</t>
        </is>
      </c>
      <c r="E645" t="inlineStr">
        <is>
          <t>ÖSTHAMMAR</t>
        </is>
      </c>
      <c r="G645" t="n">
        <v>5.1</v>
      </c>
      <c r="H645" t="n">
        <v>0</v>
      </c>
      <c r="I645" t="n">
        <v>0</v>
      </c>
      <c r="J645" t="n">
        <v>0</v>
      </c>
      <c r="K645" t="n">
        <v>0</v>
      </c>
      <c r="L645" t="n">
        <v>0</v>
      </c>
      <c r="M645" t="n">
        <v>0</v>
      </c>
      <c r="N645" t="n">
        <v>0</v>
      </c>
      <c r="O645" t="n">
        <v>0</v>
      </c>
      <c r="P645" t="n">
        <v>0</v>
      </c>
      <c r="Q645" t="n">
        <v>0</v>
      </c>
      <c r="R645" s="2" t="inlineStr"/>
    </row>
    <row r="646" ht="15" customHeight="1">
      <c r="A646" t="inlineStr">
        <is>
          <t>A 19258-2026</t>
        </is>
      </c>
      <c r="B646" s="1" t="n">
        <v>46132.70572916666</v>
      </c>
      <c r="C646" s="1" t="n">
        <v>46190</v>
      </c>
      <c r="D646" t="inlineStr">
        <is>
          <t>UPPSALA LÄN</t>
        </is>
      </c>
      <c r="E646" t="inlineStr">
        <is>
          <t>ÖSTHAMMAR</t>
        </is>
      </c>
      <c r="F646" t="inlineStr">
        <is>
          <t>Naturvårdsverket</t>
        </is>
      </c>
      <c r="G646" t="n">
        <v>18.6</v>
      </c>
      <c r="H646" t="n">
        <v>0</v>
      </c>
      <c r="I646" t="n">
        <v>0</v>
      </c>
      <c r="J646" t="n">
        <v>0</v>
      </c>
      <c r="K646" t="n">
        <v>0</v>
      </c>
      <c r="L646" t="n">
        <v>0</v>
      </c>
      <c r="M646" t="n">
        <v>0</v>
      </c>
      <c r="N646" t="n">
        <v>0</v>
      </c>
      <c r="O646" t="n">
        <v>0</v>
      </c>
      <c r="P646" t="n">
        <v>0</v>
      </c>
      <c r="Q646" t="n">
        <v>0</v>
      </c>
      <c r="R646" s="2" t="inlineStr"/>
    </row>
    <row r="647" ht="15" customHeight="1">
      <c r="A647" t="inlineStr">
        <is>
          <t>A 23363-2023</t>
        </is>
      </c>
      <c r="B647" s="1" t="n">
        <v>45076</v>
      </c>
      <c r="C647" s="1" t="n">
        <v>46190</v>
      </c>
      <c r="D647" t="inlineStr">
        <is>
          <t>UPPSALA LÄN</t>
        </is>
      </c>
      <c r="E647" t="inlineStr">
        <is>
          <t>ÖSTHAMMAR</t>
        </is>
      </c>
      <c r="G647" t="n">
        <v>3</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44953.48619212963</v>
      </c>
      <c r="C648" s="1" t="n">
        <v>46190</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58270-2023</t>
        </is>
      </c>
      <c r="B649" s="1" t="n">
        <v>45250.49961805555</v>
      </c>
      <c r="C649" s="1" t="n">
        <v>46190</v>
      </c>
      <c r="D649" t="inlineStr">
        <is>
          <t>UPPSALA LÄN</t>
        </is>
      </c>
      <c r="E649" t="inlineStr">
        <is>
          <t>ÖSTHAMMAR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19771-2026</t>
        </is>
      </c>
      <c r="B650" s="1" t="n">
        <v>46135.43405092593</v>
      </c>
      <c r="C650" s="1" t="n">
        <v>46190</v>
      </c>
      <c r="D650" t="inlineStr">
        <is>
          <t>UPPSALA LÄN</t>
        </is>
      </c>
      <c r="E650" t="inlineStr">
        <is>
          <t>ÖSTHAMMAR</t>
        </is>
      </c>
      <c r="G650" t="n">
        <v>1.6</v>
      </c>
      <c r="H650" t="n">
        <v>0</v>
      </c>
      <c r="I650" t="n">
        <v>0</v>
      </c>
      <c r="J650" t="n">
        <v>0</v>
      </c>
      <c r="K650" t="n">
        <v>0</v>
      </c>
      <c r="L650" t="n">
        <v>0</v>
      </c>
      <c r="M650" t="n">
        <v>0</v>
      </c>
      <c r="N650" t="n">
        <v>0</v>
      </c>
      <c r="O650" t="n">
        <v>0</v>
      </c>
      <c r="P650" t="n">
        <v>0</v>
      </c>
      <c r="Q650" t="n">
        <v>0</v>
      </c>
      <c r="R650" s="2" t="inlineStr"/>
    </row>
    <row r="651" ht="15" customHeight="1">
      <c r="A651" t="inlineStr">
        <is>
          <t>A 73592-2021</t>
        </is>
      </c>
      <c r="B651" s="1" t="n">
        <v>44552.36974537037</v>
      </c>
      <c r="C651" s="1" t="n">
        <v>46190</v>
      </c>
      <c r="D651" t="inlineStr">
        <is>
          <t>UPPSALA LÄN</t>
        </is>
      </c>
      <c r="E651" t="inlineStr">
        <is>
          <t>ÖSTHAMMAR</t>
        </is>
      </c>
      <c r="G651" t="n">
        <v>1.7</v>
      </c>
      <c r="H651" t="n">
        <v>0</v>
      </c>
      <c r="I651" t="n">
        <v>0</v>
      </c>
      <c r="J651" t="n">
        <v>0</v>
      </c>
      <c r="K651" t="n">
        <v>0</v>
      </c>
      <c r="L651" t="n">
        <v>0</v>
      </c>
      <c r="M651" t="n">
        <v>0</v>
      </c>
      <c r="N651" t="n">
        <v>0</v>
      </c>
      <c r="O651" t="n">
        <v>0</v>
      </c>
      <c r="P651" t="n">
        <v>0</v>
      </c>
      <c r="Q651" t="n">
        <v>0</v>
      </c>
      <c r="R651" s="2" t="inlineStr"/>
    </row>
    <row r="652" ht="15" customHeight="1">
      <c r="A652" t="inlineStr">
        <is>
          <t>A 25398-2026</t>
        </is>
      </c>
      <c r="B652" s="1" t="n">
        <v>46176.73930555556</v>
      </c>
      <c r="C652" s="1" t="n">
        <v>46190</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25377-2026</t>
        </is>
      </c>
      <c r="B653" s="1" t="n">
        <v>46176.655625</v>
      </c>
      <c r="C653" s="1" t="n">
        <v>46190</v>
      </c>
      <c r="D653" t="inlineStr">
        <is>
          <t>UPPSALA LÄN</t>
        </is>
      </c>
      <c r="E653" t="inlineStr">
        <is>
          <t>ÖSTHAMMAR</t>
        </is>
      </c>
      <c r="G653" t="n">
        <v>14.3</v>
      </c>
      <c r="H653" t="n">
        <v>0</v>
      </c>
      <c r="I653" t="n">
        <v>0</v>
      </c>
      <c r="J653" t="n">
        <v>0</v>
      </c>
      <c r="K653" t="n">
        <v>0</v>
      </c>
      <c r="L653" t="n">
        <v>0</v>
      </c>
      <c r="M653" t="n">
        <v>0</v>
      </c>
      <c r="N653" t="n">
        <v>0</v>
      </c>
      <c r="O653" t="n">
        <v>0</v>
      </c>
      <c r="P653" t="n">
        <v>0</v>
      </c>
      <c r="Q653" t="n">
        <v>0</v>
      </c>
      <c r="R653" s="2" t="inlineStr"/>
    </row>
    <row r="654" ht="15" customHeight="1">
      <c r="A654" t="inlineStr">
        <is>
          <t>A 25394-2026</t>
        </is>
      </c>
      <c r="B654" s="1" t="n">
        <v>46176.73215277777</v>
      </c>
      <c r="C654" s="1" t="n">
        <v>46190</v>
      </c>
      <c r="D654" t="inlineStr">
        <is>
          <t>UPPSALA LÄN</t>
        </is>
      </c>
      <c r="E654" t="inlineStr">
        <is>
          <t>ÖSTHAMMAR</t>
        </is>
      </c>
      <c r="G654" t="n">
        <v>2</v>
      </c>
      <c r="H654" t="n">
        <v>0</v>
      </c>
      <c r="I654" t="n">
        <v>0</v>
      </c>
      <c r="J654" t="n">
        <v>0</v>
      </c>
      <c r="K654" t="n">
        <v>0</v>
      </c>
      <c r="L654" t="n">
        <v>0</v>
      </c>
      <c r="M654" t="n">
        <v>0</v>
      </c>
      <c r="N654" t="n">
        <v>0</v>
      </c>
      <c r="O654" t="n">
        <v>0</v>
      </c>
      <c r="P654" t="n">
        <v>0</v>
      </c>
      <c r="Q654" t="n">
        <v>0</v>
      </c>
      <c r="R654" s="2" t="inlineStr"/>
    </row>
    <row r="655" ht="15" customHeight="1">
      <c r="A655" t="inlineStr">
        <is>
          <t>A 25366-2026</t>
        </is>
      </c>
      <c r="B655" s="1" t="n">
        <v>46176.61556712963</v>
      </c>
      <c r="C655" s="1" t="n">
        <v>46190</v>
      </c>
      <c r="D655" t="inlineStr">
        <is>
          <t>UPPSALA LÄN</t>
        </is>
      </c>
      <c r="E655" t="inlineStr">
        <is>
          <t>ÖSTHAMMAR</t>
        </is>
      </c>
      <c r="G655" t="n">
        <v>2.6</v>
      </c>
      <c r="H655" t="n">
        <v>0</v>
      </c>
      <c r="I655" t="n">
        <v>0</v>
      </c>
      <c r="J655" t="n">
        <v>0</v>
      </c>
      <c r="K655" t="n">
        <v>0</v>
      </c>
      <c r="L655" t="n">
        <v>0</v>
      </c>
      <c r="M655" t="n">
        <v>0</v>
      </c>
      <c r="N655" t="n">
        <v>0</v>
      </c>
      <c r="O655" t="n">
        <v>0</v>
      </c>
      <c r="P655" t="n">
        <v>0</v>
      </c>
      <c r="Q655" t="n">
        <v>0</v>
      </c>
      <c r="R655" s="2" t="inlineStr"/>
    </row>
    <row r="656" ht="15" customHeight="1">
      <c r="A656" t="inlineStr">
        <is>
          <t>A 25938-2024</t>
        </is>
      </c>
      <c r="B656" s="1" t="n">
        <v>45467.63127314814</v>
      </c>
      <c r="C656" s="1" t="n">
        <v>46190</v>
      </c>
      <c r="D656" t="inlineStr">
        <is>
          <t>UPPSALA LÄN</t>
        </is>
      </c>
      <c r="E656" t="inlineStr">
        <is>
          <t>ÖSTHAMMAR</t>
        </is>
      </c>
      <c r="F656" t="inlineStr">
        <is>
          <t>Bergvik skog öst AB</t>
        </is>
      </c>
      <c r="G656" t="n">
        <v>2.2</v>
      </c>
      <c r="H656" t="n">
        <v>0</v>
      </c>
      <c r="I656" t="n">
        <v>0</v>
      </c>
      <c r="J656" t="n">
        <v>0</v>
      </c>
      <c r="K656" t="n">
        <v>0</v>
      </c>
      <c r="L656" t="n">
        <v>0</v>
      </c>
      <c r="M656" t="n">
        <v>0</v>
      </c>
      <c r="N656" t="n">
        <v>0</v>
      </c>
      <c r="O656" t="n">
        <v>0</v>
      </c>
      <c r="P656" t="n">
        <v>0</v>
      </c>
      <c r="Q656" t="n">
        <v>0</v>
      </c>
      <c r="R656" s="2" t="inlineStr"/>
    </row>
    <row r="657" ht="15" customHeight="1">
      <c r="A657" t="inlineStr">
        <is>
          <t>A 25399-2026</t>
        </is>
      </c>
      <c r="B657" s="1" t="n">
        <v>46176.74466435185</v>
      </c>
      <c r="C657" s="1" t="n">
        <v>46190</v>
      </c>
      <c r="D657" t="inlineStr">
        <is>
          <t>UPPSALA LÄN</t>
        </is>
      </c>
      <c r="E657" t="inlineStr">
        <is>
          <t>ÖSTHAMMAR</t>
        </is>
      </c>
      <c r="G657" t="n">
        <v>5.6</v>
      </c>
      <c r="H657" t="n">
        <v>0</v>
      </c>
      <c r="I657" t="n">
        <v>0</v>
      </c>
      <c r="J657" t="n">
        <v>0</v>
      </c>
      <c r="K657" t="n">
        <v>0</v>
      </c>
      <c r="L657" t="n">
        <v>0</v>
      </c>
      <c r="M657" t="n">
        <v>0</v>
      </c>
      <c r="N657" t="n">
        <v>0</v>
      </c>
      <c r="O657" t="n">
        <v>0</v>
      </c>
      <c r="P657" t="n">
        <v>0</v>
      </c>
      <c r="Q657" t="n">
        <v>0</v>
      </c>
      <c r="R657" s="2" t="inlineStr"/>
    </row>
    <row r="658" ht="15" customHeight="1">
      <c r="A658" t="inlineStr">
        <is>
          <t>A 35539-2023</t>
        </is>
      </c>
      <c r="B658" s="1" t="n">
        <v>45147.37006944444</v>
      </c>
      <c r="C658" s="1" t="n">
        <v>46190</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32744-2022</t>
        </is>
      </c>
      <c r="B659" s="1" t="n">
        <v>44783.70378472222</v>
      </c>
      <c r="C659" s="1" t="n">
        <v>46190</v>
      </c>
      <c r="D659" t="inlineStr">
        <is>
          <t>UPPSALA LÄN</t>
        </is>
      </c>
      <c r="E659" t="inlineStr">
        <is>
          <t>ÖSTHAMMAR</t>
        </is>
      </c>
      <c r="F659" t="inlineStr">
        <is>
          <t>Bergvik skog öst AB</t>
        </is>
      </c>
      <c r="G659" t="n">
        <v>3</v>
      </c>
      <c r="H659" t="n">
        <v>0</v>
      </c>
      <c r="I659" t="n">
        <v>0</v>
      </c>
      <c r="J659" t="n">
        <v>0</v>
      </c>
      <c r="K659" t="n">
        <v>0</v>
      </c>
      <c r="L659" t="n">
        <v>0</v>
      </c>
      <c r="M659" t="n">
        <v>0</v>
      </c>
      <c r="N659" t="n">
        <v>0</v>
      </c>
      <c r="O659" t="n">
        <v>0</v>
      </c>
      <c r="P659" t="n">
        <v>0</v>
      </c>
      <c r="Q659" t="n">
        <v>0</v>
      </c>
      <c r="R659" s="2" t="inlineStr"/>
    </row>
    <row r="660" ht="15" customHeight="1">
      <c r="A660" t="inlineStr">
        <is>
          <t>A 19631-2026</t>
        </is>
      </c>
      <c r="B660" s="1" t="n">
        <v>46134.55738425926</v>
      </c>
      <c r="C660" s="1" t="n">
        <v>46190</v>
      </c>
      <c r="D660" t="inlineStr">
        <is>
          <t>UPPSALA LÄN</t>
        </is>
      </c>
      <c r="E660" t="inlineStr">
        <is>
          <t>ÖSTHAMMAR</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19485-2026</t>
        </is>
      </c>
      <c r="B661" s="1" t="n">
        <v>46134.29662037037</v>
      </c>
      <c r="C661" s="1" t="n">
        <v>46190</v>
      </c>
      <c r="D661" t="inlineStr">
        <is>
          <t>UPPSALA LÄN</t>
        </is>
      </c>
      <c r="E661" t="inlineStr">
        <is>
          <t>ÖSTHAMMAR</t>
        </is>
      </c>
      <c r="F661" t="inlineStr">
        <is>
          <t>Övriga Aktiebolag</t>
        </is>
      </c>
      <c r="G661" t="n">
        <v>12.1</v>
      </c>
      <c r="H661" t="n">
        <v>0</v>
      </c>
      <c r="I661" t="n">
        <v>0</v>
      </c>
      <c r="J661" t="n">
        <v>0</v>
      </c>
      <c r="K661" t="n">
        <v>0</v>
      </c>
      <c r="L661" t="n">
        <v>0</v>
      </c>
      <c r="M661" t="n">
        <v>0</v>
      </c>
      <c r="N661" t="n">
        <v>0</v>
      </c>
      <c r="O661" t="n">
        <v>0</v>
      </c>
      <c r="P661" t="n">
        <v>0</v>
      </c>
      <c r="Q661" t="n">
        <v>0</v>
      </c>
      <c r="R661" s="2" t="inlineStr"/>
    </row>
    <row r="662" ht="15" customHeight="1">
      <c r="A662" t="inlineStr">
        <is>
          <t>A 25396-2026</t>
        </is>
      </c>
      <c r="B662" s="1" t="n">
        <v>46176.73696759259</v>
      </c>
      <c r="C662" s="1" t="n">
        <v>46190</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25381-2026</t>
        </is>
      </c>
      <c r="B663" s="1" t="n">
        <v>46176.66626157407</v>
      </c>
      <c r="C663" s="1" t="n">
        <v>46190</v>
      </c>
      <c r="D663" t="inlineStr">
        <is>
          <t>UPPSALA LÄN</t>
        </is>
      </c>
      <c r="E663" t="inlineStr">
        <is>
          <t>ÖSTHAMMAR</t>
        </is>
      </c>
      <c r="G663" t="n">
        <v>2.2</v>
      </c>
      <c r="H663" t="n">
        <v>0</v>
      </c>
      <c r="I663" t="n">
        <v>0</v>
      </c>
      <c r="J663" t="n">
        <v>0</v>
      </c>
      <c r="K663" t="n">
        <v>0</v>
      </c>
      <c r="L663" t="n">
        <v>0</v>
      </c>
      <c r="M663" t="n">
        <v>0</v>
      </c>
      <c r="N663" t="n">
        <v>0</v>
      </c>
      <c r="O663" t="n">
        <v>0</v>
      </c>
      <c r="P663" t="n">
        <v>0</v>
      </c>
      <c r="Q663" t="n">
        <v>0</v>
      </c>
      <c r="R663" s="2" t="inlineStr"/>
    </row>
    <row r="664" ht="15" customHeight="1">
      <c r="A664" t="inlineStr">
        <is>
          <t>A 24174-2025</t>
        </is>
      </c>
      <c r="B664" s="1" t="n">
        <v>45796.69207175926</v>
      </c>
      <c r="C664" s="1" t="n">
        <v>46190</v>
      </c>
      <c r="D664" t="inlineStr">
        <is>
          <t>UPPSALA LÄN</t>
        </is>
      </c>
      <c r="E664" t="inlineStr">
        <is>
          <t>ÖSTHAMMAR</t>
        </is>
      </c>
      <c r="G664" t="n">
        <v>4.9</v>
      </c>
      <c r="H664" t="n">
        <v>0</v>
      </c>
      <c r="I664" t="n">
        <v>0</v>
      </c>
      <c r="J664" t="n">
        <v>0</v>
      </c>
      <c r="K664" t="n">
        <v>0</v>
      </c>
      <c r="L664" t="n">
        <v>0</v>
      </c>
      <c r="M664" t="n">
        <v>0</v>
      </c>
      <c r="N664" t="n">
        <v>0</v>
      </c>
      <c r="O664" t="n">
        <v>0</v>
      </c>
      <c r="P664" t="n">
        <v>0</v>
      </c>
      <c r="Q664" t="n">
        <v>0</v>
      </c>
      <c r="R664" s="2" t="inlineStr"/>
    </row>
    <row r="665" ht="15" customHeight="1">
      <c r="A665" t="inlineStr">
        <is>
          <t>A 28442-2025</t>
        </is>
      </c>
      <c r="B665" s="1" t="n">
        <v>45819</v>
      </c>
      <c r="C665" s="1" t="n">
        <v>46190</v>
      </c>
      <c r="D665" t="inlineStr">
        <is>
          <t>UPPSALA LÄN</t>
        </is>
      </c>
      <c r="E665" t="inlineStr">
        <is>
          <t>ÖSTHAMMAR</t>
        </is>
      </c>
      <c r="F665" t="inlineStr">
        <is>
          <t>Övriga Aktiebolag</t>
        </is>
      </c>
      <c r="G665" t="n">
        <v>1.8</v>
      </c>
      <c r="H665" t="n">
        <v>0</v>
      </c>
      <c r="I665" t="n">
        <v>0</v>
      </c>
      <c r="J665" t="n">
        <v>0</v>
      </c>
      <c r="K665" t="n">
        <v>0</v>
      </c>
      <c r="L665" t="n">
        <v>0</v>
      </c>
      <c r="M665" t="n">
        <v>0</v>
      </c>
      <c r="N665" t="n">
        <v>0</v>
      </c>
      <c r="O665" t="n">
        <v>0</v>
      </c>
      <c r="P665" t="n">
        <v>0</v>
      </c>
      <c r="Q665" t="n">
        <v>0</v>
      </c>
      <c r="R665" s="2" t="inlineStr"/>
    </row>
    <row r="666" ht="15" customHeight="1">
      <c r="A666" t="inlineStr">
        <is>
          <t>A 26159-2026</t>
        </is>
      </c>
      <c r="B666" s="1" t="n">
        <v>46181.80207175926</v>
      </c>
      <c r="C666" s="1" t="n">
        <v>46190</v>
      </c>
      <c r="D666" t="inlineStr">
        <is>
          <t>UPPSALA LÄN</t>
        </is>
      </c>
      <c r="E666" t="inlineStr">
        <is>
          <t>ÖSTHAMMAR</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26160-2026</t>
        </is>
      </c>
      <c r="B667" s="1" t="n">
        <v>46181.80462962963</v>
      </c>
      <c r="C667" s="1" t="n">
        <v>46190</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21133-2025</t>
        </is>
      </c>
      <c r="B668" s="1" t="n">
        <v>45778.415625</v>
      </c>
      <c r="C668" s="1" t="n">
        <v>46190</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row>
    <row r="669" ht="15" customHeight="1">
      <c r="A669" t="inlineStr">
        <is>
          <t>A 31956-2025</t>
        </is>
      </c>
      <c r="B669" s="1" t="n">
        <v>45835.34184027778</v>
      </c>
      <c r="C669" s="1" t="n">
        <v>46190</v>
      </c>
      <c r="D669" t="inlineStr">
        <is>
          <t>UPPSALA LÄN</t>
        </is>
      </c>
      <c r="E669" t="inlineStr">
        <is>
          <t>ÖSTHAMMAR</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27352-2025</t>
        </is>
      </c>
      <c r="B670" s="1" t="n">
        <v>45812.62694444445</v>
      </c>
      <c r="C670" s="1" t="n">
        <v>46190</v>
      </c>
      <c r="D670" t="inlineStr">
        <is>
          <t>UPPSALA LÄN</t>
        </is>
      </c>
      <c r="E670" t="inlineStr">
        <is>
          <t>ÖSTHAMMAR</t>
        </is>
      </c>
      <c r="G670" t="n">
        <v>2.5</v>
      </c>
      <c r="H670" t="n">
        <v>0</v>
      </c>
      <c r="I670" t="n">
        <v>0</v>
      </c>
      <c r="J670" t="n">
        <v>0</v>
      </c>
      <c r="K670" t="n">
        <v>0</v>
      </c>
      <c r="L670" t="n">
        <v>0</v>
      </c>
      <c r="M670" t="n">
        <v>0</v>
      </c>
      <c r="N670" t="n">
        <v>0</v>
      </c>
      <c r="O670" t="n">
        <v>0</v>
      </c>
      <c r="P670" t="n">
        <v>0</v>
      </c>
      <c r="Q670" t="n">
        <v>0</v>
      </c>
      <c r="R670" s="2" t="inlineStr"/>
    </row>
    <row r="671" ht="15" customHeight="1">
      <c r="A671" t="inlineStr">
        <is>
          <t>A 19901-2026</t>
        </is>
      </c>
      <c r="B671" s="1" t="n">
        <v>46136.29013888889</v>
      </c>
      <c r="C671" s="1" t="n">
        <v>46190</v>
      </c>
      <c r="D671" t="inlineStr">
        <is>
          <t>UPPSALA LÄN</t>
        </is>
      </c>
      <c r="E671" t="inlineStr">
        <is>
          <t>ÖSTHAMMAR</t>
        </is>
      </c>
      <c r="F671" t="inlineStr">
        <is>
          <t>Övriga Aktiebolag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20393-2026</t>
        </is>
      </c>
      <c r="B672" s="1" t="n">
        <v>46139.73195601852</v>
      </c>
      <c r="C672" s="1" t="n">
        <v>46190</v>
      </c>
      <c r="D672" t="inlineStr">
        <is>
          <t>UPPSALA LÄN</t>
        </is>
      </c>
      <c r="E672" t="inlineStr">
        <is>
          <t>ÖSTHAMMAR</t>
        </is>
      </c>
      <c r="G672" t="n">
        <v>4.5</v>
      </c>
      <c r="H672" t="n">
        <v>0</v>
      </c>
      <c r="I672" t="n">
        <v>0</v>
      </c>
      <c r="J672" t="n">
        <v>0</v>
      </c>
      <c r="K672" t="n">
        <v>0</v>
      </c>
      <c r="L672" t="n">
        <v>0</v>
      </c>
      <c r="M672" t="n">
        <v>0</v>
      </c>
      <c r="N672" t="n">
        <v>0</v>
      </c>
      <c r="O672" t="n">
        <v>0</v>
      </c>
      <c r="P672" t="n">
        <v>0</v>
      </c>
      <c r="Q672" t="n">
        <v>0</v>
      </c>
      <c r="R672" s="2" t="inlineStr"/>
    </row>
    <row r="673" ht="15" customHeight="1">
      <c r="A673" t="inlineStr">
        <is>
          <t>A 26162-2026</t>
        </is>
      </c>
      <c r="B673" s="1" t="n">
        <v>46181.8100462963</v>
      </c>
      <c r="C673" s="1" t="n">
        <v>46190</v>
      </c>
      <c r="D673" t="inlineStr">
        <is>
          <t>UPPSALA LÄN</t>
        </is>
      </c>
      <c r="E673" t="inlineStr">
        <is>
          <t>ÖSTHAMMAR</t>
        </is>
      </c>
      <c r="F673" t="inlineStr">
        <is>
          <t>Bergvik skog öst AB</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6120-2024</t>
        </is>
      </c>
      <c r="B674" s="1" t="n">
        <v>45337.41784722222</v>
      </c>
      <c r="C674" s="1" t="n">
        <v>46190</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20394-2026</t>
        </is>
      </c>
      <c r="B675" s="1" t="n">
        <v>46139.74666666667</v>
      </c>
      <c r="C675" s="1" t="n">
        <v>46190</v>
      </c>
      <c r="D675" t="inlineStr">
        <is>
          <t>UPPSALA LÄN</t>
        </is>
      </c>
      <c r="E675" t="inlineStr">
        <is>
          <t>ÖSTHAMMAR</t>
        </is>
      </c>
      <c r="G675" t="n">
        <v>1.7</v>
      </c>
      <c r="H675" t="n">
        <v>0</v>
      </c>
      <c r="I675" t="n">
        <v>0</v>
      </c>
      <c r="J675" t="n">
        <v>0</v>
      </c>
      <c r="K675" t="n">
        <v>0</v>
      </c>
      <c r="L675" t="n">
        <v>0</v>
      </c>
      <c r="M675" t="n">
        <v>0</v>
      </c>
      <c r="N675" t="n">
        <v>0</v>
      </c>
      <c r="O675" t="n">
        <v>0</v>
      </c>
      <c r="P675" t="n">
        <v>0</v>
      </c>
      <c r="Q675" t="n">
        <v>0</v>
      </c>
      <c r="R675" s="2" t="inlineStr"/>
    </row>
    <row r="676" ht="15" customHeight="1">
      <c r="A676" t="inlineStr">
        <is>
          <t>A 56658-2025</t>
        </is>
      </c>
      <c r="B676" s="1" t="n">
        <v>45975.65431712963</v>
      </c>
      <c r="C676" s="1" t="n">
        <v>46190</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2352-2026</t>
        </is>
      </c>
      <c r="B677" s="1" t="n">
        <v>46034</v>
      </c>
      <c r="C677" s="1" t="n">
        <v>46190</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2358-2026</t>
        </is>
      </c>
      <c r="B678" s="1" t="n">
        <v>46034</v>
      </c>
      <c r="C678" s="1" t="n">
        <v>46190</v>
      </c>
      <c r="D678" t="inlineStr">
        <is>
          <t>UPPSALA LÄN</t>
        </is>
      </c>
      <c r="E678" t="inlineStr">
        <is>
          <t>ÖSTHAMMAR</t>
        </is>
      </c>
      <c r="G678" t="n">
        <v>3.6</v>
      </c>
      <c r="H678" t="n">
        <v>0</v>
      </c>
      <c r="I678" t="n">
        <v>0</v>
      </c>
      <c r="J678" t="n">
        <v>0</v>
      </c>
      <c r="K678" t="n">
        <v>0</v>
      </c>
      <c r="L678" t="n">
        <v>0</v>
      </c>
      <c r="M678" t="n">
        <v>0</v>
      </c>
      <c r="N678" t="n">
        <v>0</v>
      </c>
      <c r="O678" t="n">
        <v>0</v>
      </c>
      <c r="P678" t="n">
        <v>0</v>
      </c>
      <c r="Q678" t="n">
        <v>0</v>
      </c>
      <c r="R678" s="2" t="inlineStr"/>
    </row>
    <row r="679" ht="15" customHeight="1">
      <c r="A679" t="inlineStr">
        <is>
          <t>A 26161-2026</t>
        </is>
      </c>
      <c r="B679" s="1" t="n">
        <v>46181.80699074074</v>
      </c>
      <c r="C679" s="1" t="n">
        <v>46190</v>
      </c>
      <c r="D679" t="inlineStr">
        <is>
          <t>UPPSALA LÄN</t>
        </is>
      </c>
      <c r="E679" t="inlineStr">
        <is>
          <t>ÖSTHAMMAR</t>
        </is>
      </c>
      <c r="F679" t="inlineStr">
        <is>
          <t>Bergvik skog öst AB</t>
        </is>
      </c>
      <c r="G679" t="n">
        <v>9.1</v>
      </c>
      <c r="H679" t="n">
        <v>0</v>
      </c>
      <c r="I679" t="n">
        <v>0</v>
      </c>
      <c r="J679" t="n">
        <v>0</v>
      </c>
      <c r="K679" t="n">
        <v>0</v>
      </c>
      <c r="L679" t="n">
        <v>0</v>
      </c>
      <c r="M679" t="n">
        <v>0</v>
      </c>
      <c r="N679" t="n">
        <v>0</v>
      </c>
      <c r="O679" t="n">
        <v>0</v>
      </c>
      <c r="P679" t="n">
        <v>0</v>
      </c>
      <c r="Q679" t="n">
        <v>0</v>
      </c>
      <c r="R679" s="2" t="inlineStr"/>
    </row>
    <row r="680" ht="15" customHeight="1">
      <c r="A680" t="inlineStr">
        <is>
          <t>A 25843-2026</t>
        </is>
      </c>
      <c r="B680" s="1" t="n">
        <v>46178.54675925926</v>
      </c>
      <c r="C680" s="1" t="n">
        <v>46190</v>
      </c>
      <c r="D680" t="inlineStr">
        <is>
          <t>UPPSALA LÄN</t>
        </is>
      </c>
      <c r="E680" t="inlineStr">
        <is>
          <t>ÖSTHAMMAR</t>
        </is>
      </c>
      <c r="F680" t="inlineStr">
        <is>
          <t>Bergvik skog öst AB</t>
        </is>
      </c>
      <c r="G680" t="n">
        <v>2.3</v>
      </c>
      <c r="H680" t="n">
        <v>0</v>
      </c>
      <c r="I680" t="n">
        <v>0</v>
      </c>
      <c r="J680" t="n">
        <v>0</v>
      </c>
      <c r="K680" t="n">
        <v>0</v>
      </c>
      <c r="L680" t="n">
        <v>0</v>
      </c>
      <c r="M680" t="n">
        <v>0</v>
      </c>
      <c r="N680" t="n">
        <v>0</v>
      </c>
      <c r="O680" t="n">
        <v>0</v>
      </c>
      <c r="P680" t="n">
        <v>0</v>
      </c>
      <c r="Q680" t="n">
        <v>0</v>
      </c>
      <c r="R680" s="2" t="inlineStr"/>
    </row>
    <row r="681" ht="15" customHeight="1">
      <c r="A681" t="inlineStr">
        <is>
          <t>A 20058-2026</t>
        </is>
      </c>
      <c r="B681" s="1" t="n">
        <v>46136.5830787037</v>
      </c>
      <c r="C681" s="1" t="n">
        <v>46190</v>
      </c>
      <c r="D681" t="inlineStr">
        <is>
          <t>UPPSALA LÄN</t>
        </is>
      </c>
      <c r="E681" t="inlineStr">
        <is>
          <t>ÖSTHAMMAR</t>
        </is>
      </c>
      <c r="G681" t="n">
        <v>3.4</v>
      </c>
      <c r="H681" t="n">
        <v>0</v>
      </c>
      <c r="I681" t="n">
        <v>0</v>
      </c>
      <c r="J681" t="n">
        <v>0</v>
      </c>
      <c r="K681" t="n">
        <v>0</v>
      </c>
      <c r="L681" t="n">
        <v>0</v>
      </c>
      <c r="M681" t="n">
        <v>0</v>
      </c>
      <c r="N681" t="n">
        <v>0</v>
      </c>
      <c r="O681" t="n">
        <v>0</v>
      </c>
      <c r="P681" t="n">
        <v>0</v>
      </c>
      <c r="Q681" t="n">
        <v>0</v>
      </c>
      <c r="R681" s="2" t="inlineStr"/>
    </row>
    <row r="682" ht="15" customHeight="1">
      <c r="A682" t="inlineStr">
        <is>
          <t>A 26319-2025</t>
        </is>
      </c>
      <c r="B682" s="1" t="n">
        <v>45805.65960648148</v>
      </c>
      <c r="C682" s="1" t="n">
        <v>46190</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17938-2025</t>
        </is>
      </c>
      <c r="B683" s="1" t="n">
        <v>45760.55626157407</v>
      </c>
      <c r="C683" s="1" t="n">
        <v>46190</v>
      </c>
      <c r="D683" t="inlineStr">
        <is>
          <t>UPPSALA LÄN</t>
        </is>
      </c>
      <c r="E683" t="inlineStr">
        <is>
          <t>ÖSTHAMMAR</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64885-2021</t>
        </is>
      </c>
      <c r="B684" s="1" t="n">
        <v>44512</v>
      </c>
      <c r="C684" s="1" t="n">
        <v>46190</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12654-2025</t>
        </is>
      </c>
      <c r="B685" s="1" t="n">
        <v>45733.41601851852</v>
      </c>
      <c r="C685" s="1" t="n">
        <v>46190</v>
      </c>
      <c r="D685" t="inlineStr">
        <is>
          <t>UPPSALA LÄN</t>
        </is>
      </c>
      <c r="E685" t="inlineStr">
        <is>
          <t>ÖSTHAMMAR</t>
        </is>
      </c>
      <c r="G685" t="n">
        <v>9.9</v>
      </c>
      <c r="H685" t="n">
        <v>0</v>
      </c>
      <c r="I685" t="n">
        <v>0</v>
      </c>
      <c r="J685" t="n">
        <v>0</v>
      </c>
      <c r="K685" t="n">
        <v>0</v>
      </c>
      <c r="L685" t="n">
        <v>0</v>
      </c>
      <c r="M685" t="n">
        <v>0</v>
      </c>
      <c r="N685" t="n">
        <v>0</v>
      </c>
      <c r="O685" t="n">
        <v>0</v>
      </c>
      <c r="P685" t="n">
        <v>0</v>
      </c>
      <c r="Q685" t="n">
        <v>0</v>
      </c>
      <c r="R685" s="2" t="inlineStr"/>
    </row>
    <row r="686" ht="15" customHeight="1">
      <c r="A686" t="inlineStr">
        <is>
          <t>A 33271-2025</t>
        </is>
      </c>
      <c r="B686" s="1" t="n">
        <v>45840.68381944444</v>
      </c>
      <c r="C686" s="1" t="n">
        <v>46190</v>
      </c>
      <c r="D686" t="inlineStr">
        <is>
          <t>UPPSALA LÄN</t>
        </is>
      </c>
      <c r="E686" t="inlineStr">
        <is>
          <t>ÖSTHAMMAR</t>
        </is>
      </c>
      <c r="G686" t="n">
        <v>1.3</v>
      </c>
      <c r="H686" t="n">
        <v>0</v>
      </c>
      <c r="I686" t="n">
        <v>0</v>
      </c>
      <c r="J686" t="n">
        <v>0</v>
      </c>
      <c r="K686" t="n">
        <v>0</v>
      </c>
      <c r="L686" t="n">
        <v>0</v>
      </c>
      <c r="M686" t="n">
        <v>0</v>
      </c>
      <c r="N686" t="n">
        <v>0</v>
      </c>
      <c r="O686" t="n">
        <v>0</v>
      </c>
      <c r="P686" t="n">
        <v>0</v>
      </c>
      <c r="Q686" t="n">
        <v>0</v>
      </c>
      <c r="R686" s="2" t="inlineStr"/>
    </row>
    <row r="687" ht="15" customHeight="1">
      <c r="A687" t="inlineStr">
        <is>
          <t>A 20796-2026</t>
        </is>
      </c>
      <c r="B687" s="1" t="n">
        <v>46141.65921296296</v>
      </c>
      <c r="C687" s="1" t="n">
        <v>46190</v>
      </c>
      <c r="D687" t="inlineStr">
        <is>
          <t>UPPSALA LÄN</t>
        </is>
      </c>
      <c r="E687" t="inlineStr">
        <is>
          <t>ÖSTHAMMAR</t>
        </is>
      </c>
      <c r="F687" t="inlineStr">
        <is>
          <t>Bergvik skog öst AB</t>
        </is>
      </c>
      <c r="G687" t="n">
        <v>2.4</v>
      </c>
      <c r="H687" t="n">
        <v>0</v>
      </c>
      <c r="I687" t="n">
        <v>0</v>
      </c>
      <c r="J687" t="n">
        <v>0</v>
      </c>
      <c r="K687" t="n">
        <v>0</v>
      </c>
      <c r="L687" t="n">
        <v>0</v>
      </c>
      <c r="M687" t="n">
        <v>0</v>
      </c>
      <c r="N687" t="n">
        <v>0</v>
      </c>
      <c r="O687" t="n">
        <v>0</v>
      </c>
      <c r="P687" t="n">
        <v>0</v>
      </c>
      <c r="Q687" t="n">
        <v>0</v>
      </c>
      <c r="R687" s="2" t="inlineStr"/>
    </row>
    <row r="688" ht="15" customHeight="1">
      <c r="A688" t="inlineStr">
        <is>
          <t>A 26305-2026</t>
        </is>
      </c>
      <c r="B688" s="1" t="n">
        <v>46182.57784722222</v>
      </c>
      <c r="C688" s="1" t="n">
        <v>46190</v>
      </c>
      <c r="D688" t="inlineStr">
        <is>
          <t>UPPSALA LÄN</t>
        </is>
      </c>
      <c r="E688" t="inlineStr">
        <is>
          <t>ÖSTHAMMAR</t>
        </is>
      </c>
      <c r="G688" t="n">
        <v>6.4</v>
      </c>
      <c r="H688" t="n">
        <v>0</v>
      </c>
      <c r="I688" t="n">
        <v>0</v>
      </c>
      <c r="J688" t="n">
        <v>0</v>
      </c>
      <c r="K688" t="n">
        <v>0</v>
      </c>
      <c r="L688" t="n">
        <v>0</v>
      </c>
      <c r="M688" t="n">
        <v>0</v>
      </c>
      <c r="N688" t="n">
        <v>0</v>
      </c>
      <c r="O688" t="n">
        <v>0</v>
      </c>
      <c r="P688" t="n">
        <v>0</v>
      </c>
      <c r="Q688" t="n">
        <v>0</v>
      </c>
      <c r="R688" s="2" t="inlineStr"/>
    </row>
    <row r="689" ht="15" customHeight="1">
      <c r="A689" t="inlineStr">
        <is>
          <t>A 14989-2026</t>
        </is>
      </c>
      <c r="B689" s="1" t="n">
        <v>46104.58371527777</v>
      </c>
      <c r="C689" s="1" t="n">
        <v>46190</v>
      </c>
      <c r="D689" t="inlineStr">
        <is>
          <t>UPPSALA LÄN</t>
        </is>
      </c>
      <c r="E689" t="inlineStr">
        <is>
          <t>ÖSTHAMMAR</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26581-2026</t>
        </is>
      </c>
      <c r="B690" s="1" t="n">
        <v>46183.68798611111</v>
      </c>
      <c r="C690" s="1" t="n">
        <v>46190</v>
      </c>
      <c r="D690" t="inlineStr">
        <is>
          <t>UPPSALA LÄN</t>
        </is>
      </c>
      <c r="E690" t="inlineStr">
        <is>
          <t>ÖSTHAMMAR</t>
        </is>
      </c>
      <c r="G690" t="n">
        <v>2.6</v>
      </c>
      <c r="H690" t="n">
        <v>0</v>
      </c>
      <c r="I690" t="n">
        <v>0</v>
      </c>
      <c r="J690" t="n">
        <v>0</v>
      </c>
      <c r="K690" t="n">
        <v>0</v>
      </c>
      <c r="L690" t="n">
        <v>0</v>
      </c>
      <c r="M690" t="n">
        <v>0</v>
      </c>
      <c r="N690" t="n">
        <v>0</v>
      </c>
      <c r="O690" t="n">
        <v>0</v>
      </c>
      <c r="P690" t="n">
        <v>0</v>
      </c>
      <c r="Q690" t="n">
        <v>0</v>
      </c>
      <c r="R690" s="2" t="inlineStr"/>
    </row>
    <row r="691" ht="15" customHeight="1">
      <c r="A691" t="inlineStr">
        <is>
          <t>A 25983-2026</t>
        </is>
      </c>
      <c r="B691" s="1" t="n">
        <v>46181</v>
      </c>
      <c r="C691" s="1" t="n">
        <v>46190</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20776-2026</t>
        </is>
      </c>
      <c r="B692" s="1" t="n">
        <v>46141.62767361111</v>
      </c>
      <c r="C692" s="1" t="n">
        <v>46190</v>
      </c>
      <c r="D692" t="inlineStr">
        <is>
          <t>UPPSALA LÄN</t>
        </is>
      </c>
      <c r="E692" t="inlineStr">
        <is>
          <t>ÖSTHAMMAR</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26524-2026</t>
        </is>
      </c>
      <c r="B693" s="1" t="n">
        <v>46183.59011574074</v>
      </c>
      <c r="C693" s="1" t="n">
        <v>46190</v>
      </c>
      <c r="D693" t="inlineStr">
        <is>
          <t>UPPSALA LÄN</t>
        </is>
      </c>
      <c r="E693" t="inlineStr">
        <is>
          <t>ÖSTHAMMAR</t>
        </is>
      </c>
      <c r="G693" t="n">
        <v>0.8</v>
      </c>
      <c r="H693" t="n">
        <v>0</v>
      </c>
      <c r="I693" t="n">
        <v>0</v>
      </c>
      <c r="J693" t="n">
        <v>0</v>
      </c>
      <c r="K693" t="n">
        <v>0</v>
      </c>
      <c r="L693" t="n">
        <v>0</v>
      </c>
      <c r="M693" t="n">
        <v>0</v>
      </c>
      <c r="N693" t="n">
        <v>0</v>
      </c>
      <c r="O693" t="n">
        <v>0</v>
      </c>
      <c r="P693" t="n">
        <v>0</v>
      </c>
      <c r="Q693" t="n">
        <v>0</v>
      </c>
      <c r="R693" s="2" t="inlineStr"/>
    </row>
    <row r="694" ht="15" customHeight="1">
      <c r="A694" t="inlineStr">
        <is>
          <t>A 20779-2026</t>
        </is>
      </c>
      <c r="B694" s="1" t="n">
        <v>46141.63182870371</v>
      </c>
      <c r="C694" s="1" t="n">
        <v>46190</v>
      </c>
      <c r="D694" t="inlineStr">
        <is>
          <t>UPPSALA LÄN</t>
        </is>
      </c>
      <c r="E694" t="inlineStr">
        <is>
          <t>ÖSTHAMMAR</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20786-2026</t>
        </is>
      </c>
      <c r="B695" s="1" t="n">
        <v>46141.64342592593</v>
      </c>
      <c r="C695" s="1" t="n">
        <v>46190</v>
      </c>
      <c r="D695" t="inlineStr">
        <is>
          <t>UPPSALA LÄN</t>
        </is>
      </c>
      <c r="E695" t="inlineStr">
        <is>
          <t>ÖSTHAMMAR</t>
        </is>
      </c>
      <c r="F695" t="inlineStr">
        <is>
          <t>Bergvik skog öst AB</t>
        </is>
      </c>
      <c r="G695" t="n">
        <v>1.2</v>
      </c>
      <c r="H695" t="n">
        <v>0</v>
      </c>
      <c r="I695" t="n">
        <v>0</v>
      </c>
      <c r="J695" t="n">
        <v>0</v>
      </c>
      <c r="K695" t="n">
        <v>0</v>
      </c>
      <c r="L695" t="n">
        <v>0</v>
      </c>
      <c r="M695" t="n">
        <v>0</v>
      </c>
      <c r="N695" t="n">
        <v>0</v>
      </c>
      <c r="O695" t="n">
        <v>0</v>
      </c>
      <c r="P695" t="n">
        <v>0</v>
      </c>
      <c r="Q695" t="n">
        <v>0</v>
      </c>
      <c r="R695" s="2" t="inlineStr"/>
    </row>
    <row r="696" ht="15" customHeight="1">
      <c r="A696" t="inlineStr">
        <is>
          <t>A 14878-2026</t>
        </is>
      </c>
      <c r="B696" s="1" t="n">
        <v>46104.44351851852</v>
      </c>
      <c r="C696" s="1" t="n">
        <v>46190</v>
      </c>
      <c r="D696" t="inlineStr">
        <is>
          <t>UPPSALA LÄN</t>
        </is>
      </c>
      <c r="E696" t="inlineStr">
        <is>
          <t>ÖSTHAMMAR</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26778-2026</t>
        </is>
      </c>
      <c r="B697" s="1" t="n">
        <v>46184.67229166667</v>
      </c>
      <c r="C697" s="1" t="n">
        <v>46190</v>
      </c>
      <c r="D697" t="inlineStr">
        <is>
          <t>UPPSALA LÄN</t>
        </is>
      </c>
      <c r="E697" t="inlineStr">
        <is>
          <t>ÖSTHAMMAR</t>
        </is>
      </c>
      <c r="G697" t="n">
        <v>12.5</v>
      </c>
      <c r="H697" t="n">
        <v>0</v>
      </c>
      <c r="I697" t="n">
        <v>0</v>
      </c>
      <c r="J697" t="n">
        <v>0</v>
      </c>
      <c r="K697" t="n">
        <v>0</v>
      </c>
      <c r="L697" t="n">
        <v>0</v>
      </c>
      <c r="M697" t="n">
        <v>0</v>
      </c>
      <c r="N697" t="n">
        <v>0</v>
      </c>
      <c r="O697" t="n">
        <v>0</v>
      </c>
      <c r="P697" t="n">
        <v>0</v>
      </c>
      <c r="Q697" t="n">
        <v>0</v>
      </c>
      <c r="R697" s="2" t="inlineStr"/>
    </row>
    <row r="698" ht="15" customHeight="1">
      <c r="A698" t="inlineStr">
        <is>
          <t>A 20871-2026</t>
        </is>
      </c>
      <c r="B698" s="1" t="n">
        <v>46142.38075231481</v>
      </c>
      <c r="C698" s="1" t="n">
        <v>46190</v>
      </c>
      <c r="D698" t="inlineStr">
        <is>
          <t>UPPSALA LÄN</t>
        </is>
      </c>
      <c r="E698" t="inlineStr">
        <is>
          <t>ÖSTHAMMAR</t>
        </is>
      </c>
      <c r="F698" t="inlineStr">
        <is>
          <t>Övriga Aktiebolag</t>
        </is>
      </c>
      <c r="G698" t="n">
        <v>6.2</v>
      </c>
      <c r="H698" t="n">
        <v>0</v>
      </c>
      <c r="I698" t="n">
        <v>0</v>
      </c>
      <c r="J698" t="n">
        <v>0</v>
      </c>
      <c r="K698" t="n">
        <v>0</v>
      </c>
      <c r="L698" t="n">
        <v>0</v>
      </c>
      <c r="M698" t="n">
        <v>0</v>
      </c>
      <c r="N698" t="n">
        <v>0</v>
      </c>
      <c r="O698" t="n">
        <v>0</v>
      </c>
      <c r="P698" t="n">
        <v>0</v>
      </c>
      <c r="Q698" t="n">
        <v>0</v>
      </c>
      <c r="R698" s="2" t="inlineStr"/>
    </row>
    <row r="699" ht="15" customHeight="1">
      <c r="A699" t="inlineStr">
        <is>
          <t>A 25856-2026</t>
        </is>
      </c>
      <c r="B699" s="1" t="n">
        <v>46178.55827546296</v>
      </c>
      <c r="C699" s="1" t="n">
        <v>46190</v>
      </c>
      <c r="D699" t="inlineStr">
        <is>
          <t>UPPSALA LÄN</t>
        </is>
      </c>
      <c r="E699" t="inlineStr">
        <is>
          <t>ÖSTHAMMAR</t>
        </is>
      </c>
      <c r="F699" t="inlineStr">
        <is>
          <t>Bergvik skog öst AB</t>
        </is>
      </c>
      <c r="G699" t="n">
        <v>6.7</v>
      </c>
      <c r="H699" t="n">
        <v>0</v>
      </c>
      <c r="I699" t="n">
        <v>0</v>
      </c>
      <c r="J699" t="n">
        <v>0</v>
      </c>
      <c r="K699" t="n">
        <v>0</v>
      </c>
      <c r="L699" t="n">
        <v>0</v>
      </c>
      <c r="M699" t="n">
        <v>0</v>
      </c>
      <c r="N699" t="n">
        <v>0</v>
      </c>
      <c r="O699" t="n">
        <v>0</v>
      </c>
      <c r="P699" t="n">
        <v>0</v>
      </c>
      <c r="Q699" t="n">
        <v>0</v>
      </c>
      <c r="R699" s="2" t="inlineStr"/>
    </row>
    <row r="700" ht="15" customHeight="1">
      <c r="A700" t="inlineStr">
        <is>
          <t>A 25833-2026</t>
        </is>
      </c>
      <c r="B700" s="1" t="n">
        <v>46178.54403935185</v>
      </c>
      <c r="C700" s="1" t="n">
        <v>46190</v>
      </c>
      <c r="D700" t="inlineStr">
        <is>
          <t>UPPSALA LÄN</t>
        </is>
      </c>
      <c r="E700" t="inlineStr">
        <is>
          <t>ÖSTHAMMAR</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25846-2026</t>
        </is>
      </c>
      <c r="B701" s="1" t="n">
        <v>46178.55153935185</v>
      </c>
      <c r="C701" s="1" t="n">
        <v>46190</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21448-2026</t>
        </is>
      </c>
      <c r="B702" s="1" t="n">
        <v>46146</v>
      </c>
      <c r="C702" s="1" t="n">
        <v>46190</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21389-2026</t>
        </is>
      </c>
      <c r="B703" s="1" t="n">
        <v>46147.73416666667</v>
      </c>
      <c r="C703" s="1" t="n">
        <v>46190</v>
      </c>
      <c r="D703" t="inlineStr">
        <is>
          <t>UPPSALA LÄN</t>
        </is>
      </c>
      <c r="E703" t="inlineStr">
        <is>
          <t>ÖSTHAMMAR</t>
        </is>
      </c>
      <c r="G703" t="n">
        <v>3</v>
      </c>
      <c r="H703" t="n">
        <v>0</v>
      </c>
      <c r="I703" t="n">
        <v>0</v>
      </c>
      <c r="J703" t="n">
        <v>0</v>
      </c>
      <c r="K703" t="n">
        <v>0</v>
      </c>
      <c r="L703" t="n">
        <v>0</v>
      </c>
      <c r="M703" t="n">
        <v>0</v>
      </c>
      <c r="N703" t="n">
        <v>0</v>
      </c>
      <c r="O703" t="n">
        <v>0</v>
      </c>
      <c r="P703" t="n">
        <v>0</v>
      </c>
      <c r="Q703" t="n">
        <v>0</v>
      </c>
      <c r="R703" s="2" t="inlineStr"/>
    </row>
    <row r="704" ht="15" customHeight="1">
      <c r="A704" t="inlineStr">
        <is>
          <t>A 21451-2026</t>
        </is>
      </c>
      <c r="B704" s="1" t="n">
        <v>46146</v>
      </c>
      <c r="C704" s="1" t="n">
        <v>46190</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c r="A705" t="inlineStr">
        <is>
          <t>A 21360-2026</t>
        </is>
      </c>
      <c r="B705" s="1" t="n">
        <v>46147.63972222222</v>
      </c>
      <c r="C705" s="1" t="n">
        <v>46190</v>
      </c>
      <c r="D705" t="inlineStr">
        <is>
          <t>UPPSALA LÄN</t>
        </is>
      </c>
      <c r="E705" t="inlineStr">
        <is>
          <t>ÖSTHAMMAR</t>
        </is>
      </c>
      <c r="G705" t="n">
        <v>0.6</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2026-06-17T09:24:27Z</dcterms:created>
  <dcterms:modified xmlns:dcterms="http://purl.org/dc/terms/" xmlns:xsi="http://www.w3.org/2001/XMLSchema-instance" xsi:type="dcterms:W3CDTF">2026-06-17T09:24:27Z</dcterms:modified>
</cp:coreProperties>
</file>