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45665</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45665</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45665</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45665</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45665</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45665</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45665</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45665</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45665</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45665</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45665</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45665</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45665</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45665</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45665</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45665</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45665</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45665</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45665</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45665</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45665</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45665</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45665</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59194-2024</t>
        </is>
      </c>
      <c r="B34" s="1" t="n">
        <v>45637</v>
      </c>
      <c r="C34" s="1" t="n">
        <v>45665</v>
      </c>
      <c r="D34" t="inlineStr">
        <is>
          <t>UPPSALA LÄN</t>
        </is>
      </c>
      <c r="E34" t="inlineStr">
        <is>
          <t>ÖSTHAMMAR</t>
        </is>
      </c>
      <c r="F34" t="inlineStr">
        <is>
          <t>Övriga Aktiebolag</t>
        </is>
      </c>
      <c r="G34" t="n">
        <v>13.5</v>
      </c>
      <c r="H34" t="n">
        <v>5</v>
      </c>
      <c r="I34" t="n">
        <v>1</v>
      </c>
      <c r="J34" t="n">
        <v>1</v>
      </c>
      <c r="K34" t="n">
        <v>1</v>
      </c>
      <c r="L34" t="n">
        <v>0</v>
      </c>
      <c r="M34" t="n">
        <v>0</v>
      </c>
      <c r="N34" t="n">
        <v>0</v>
      </c>
      <c r="O34" t="n">
        <v>2</v>
      </c>
      <c r="P34" t="n">
        <v>1</v>
      </c>
      <c r="Q34" t="n">
        <v>6</v>
      </c>
      <c r="R34" s="2" t="inlineStr">
        <is>
          <t>Knärot
Spillkråka
Bronshjon
Tjäder
Lopplummer
Revlummer</t>
        </is>
      </c>
      <c r="S34">
        <f>HYPERLINK("https://klasma.github.io/Logging_0382/artfynd/A 59194-2024 artfynd.xlsx", "A 59194-2024")</f>
        <v/>
      </c>
      <c r="T34">
        <f>HYPERLINK("https://klasma.github.io/Logging_0382/kartor/A 59194-2024 karta.png", "A 59194-2024")</f>
        <v/>
      </c>
      <c r="U34">
        <f>HYPERLINK("https://klasma.github.io/Logging_0382/knärot/A 59194-2024 karta knärot.png", "A 59194-2024")</f>
        <v/>
      </c>
      <c r="V34">
        <f>HYPERLINK("https://klasma.github.io/Logging_0382/klagomål/A 59194-2024 FSC-klagomål.docx", "A 59194-2024")</f>
        <v/>
      </c>
      <c r="W34">
        <f>HYPERLINK("https://klasma.github.io/Logging_0382/klagomålsmail/A 59194-2024 FSC-klagomål mail.docx", "A 59194-2024")</f>
        <v/>
      </c>
      <c r="X34">
        <f>HYPERLINK("https://klasma.github.io/Logging_0382/tillsyn/A 59194-2024 tillsynsbegäran.docx", "A 59194-2024")</f>
        <v/>
      </c>
      <c r="Y34">
        <f>HYPERLINK("https://klasma.github.io/Logging_0382/tillsynsmail/A 59194-2024 tillsynsbegäran mail.docx", "A 59194-2024")</f>
        <v/>
      </c>
      <c r="Z34">
        <f>HYPERLINK("https://klasma.github.io/Logging_0382/fåglar/A 59194-2024 prioriterade fågelarter.docx", "A 59194-2024")</f>
        <v/>
      </c>
    </row>
    <row r="35" ht="15" customHeight="1">
      <c r="A35" t="inlineStr">
        <is>
          <t>A 31098-2019</t>
        </is>
      </c>
      <c r="B35" s="1" t="n">
        <v>43635</v>
      </c>
      <c r="C35" s="1" t="n">
        <v>45665</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45665</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72667-2021</t>
        </is>
      </c>
      <c r="B37" s="1" t="n">
        <v>44546</v>
      </c>
      <c r="C37" s="1" t="n">
        <v>45665</v>
      </c>
      <c r="D37" t="inlineStr">
        <is>
          <t>UPPSALA LÄN</t>
        </is>
      </c>
      <c r="E37" t="inlineStr">
        <is>
          <t>ÖSTHAMMAR</t>
        </is>
      </c>
      <c r="G37" t="n">
        <v>1.2</v>
      </c>
      <c r="H37" t="n">
        <v>0</v>
      </c>
      <c r="I37" t="n">
        <v>4</v>
      </c>
      <c r="J37" t="n">
        <v>0</v>
      </c>
      <c r="K37" t="n">
        <v>1</v>
      </c>
      <c r="L37" t="n">
        <v>0</v>
      </c>
      <c r="M37" t="n">
        <v>0</v>
      </c>
      <c r="N37" t="n">
        <v>0</v>
      </c>
      <c r="O37" t="n">
        <v>1</v>
      </c>
      <c r="P37" t="n">
        <v>1</v>
      </c>
      <c r="Q37" t="n">
        <v>5</v>
      </c>
      <c r="R37" s="2" t="inlineStr">
        <is>
          <t>Duvspindling
Anisspindling
Olivspindling
Strimspindling
Svavelriska</t>
        </is>
      </c>
      <c r="S37">
        <f>HYPERLINK("https://klasma.github.io/Logging_0382/artfynd/A 72667-2021 artfynd.xlsx", "A 72667-2021")</f>
        <v/>
      </c>
      <c r="T37">
        <f>HYPERLINK("https://klasma.github.io/Logging_0382/kartor/A 72667-2021 karta.png", "A 72667-2021")</f>
        <v/>
      </c>
      <c r="V37">
        <f>HYPERLINK("https://klasma.github.io/Logging_0382/klagomål/A 72667-2021 FSC-klagomål.docx", "A 72667-2021")</f>
        <v/>
      </c>
      <c r="W37">
        <f>HYPERLINK("https://klasma.github.io/Logging_0382/klagomålsmail/A 72667-2021 FSC-klagomål mail.docx", "A 72667-2021")</f>
        <v/>
      </c>
      <c r="X37">
        <f>HYPERLINK("https://klasma.github.io/Logging_0382/tillsyn/A 72667-2021 tillsynsbegäran.docx", "A 72667-2021")</f>
        <v/>
      </c>
      <c r="Y37">
        <f>HYPERLINK("https://klasma.github.io/Logging_0382/tillsynsmail/A 72667-2021 tillsynsbegäran mail.docx", "A 72667-2021")</f>
        <v/>
      </c>
    </row>
    <row r="38" ht="15" customHeight="1">
      <c r="A38" t="inlineStr">
        <is>
          <t>A 74364-2021</t>
        </is>
      </c>
      <c r="B38" s="1" t="n">
        <v>44559</v>
      </c>
      <c r="C38" s="1" t="n">
        <v>45665</v>
      </c>
      <c r="D38" t="inlineStr">
        <is>
          <t>UPPSALA LÄN</t>
        </is>
      </c>
      <c r="E38" t="inlineStr">
        <is>
          <t>ÖSTHAMMAR</t>
        </is>
      </c>
      <c r="G38" t="n">
        <v>3.5</v>
      </c>
      <c r="H38" t="n">
        <v>3</v>
      </c>
      <c r="I38" t="n">
        <v>3</v>
      </c>
      <c r="J38" t="n">
        <v>0</v>
      </c>
      <c r="K38" t="n">
        <v>0</v>
      </c>
      <c r="L38" t="n">
        <v>0</v>
      </c>
      <c r="M38" t="n">
        <v>0</v>
      </c>
      <c r="N38" t="n">
        <v>0</v>
      </c>
      <c r="O38" t="n">
        <v>0</v>
      </c>
      <c r="P38" t="n">
        <v>0</v>
      </c>
      <c r="Q38" t="n">
        <v>5</v>
      </c>
      <c r="R38" s="2" t="inlineStr">
        <is>
          <t>Bronshjon
Skogsknipprot
Sårläka
Blåsippa
Lopplummer</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1224-2022</t>
        </is>
      </c>
      <c r="B39" s="1" t="n">
        <v>44572</v>
      </c>
      <c r="C39" s="1" t="n">
        <v>45665</v>
      </c>
      <c r="D39" t="inlineStr">
        <is>
          <t>UPPSALA LÄN</t>
        </is>
      </c>
      <c r="E39" t="inlineStr">
        <is>
          <t>ÖSTHAMMAR</t>
        </is>
      </c>
      <c r="G39" t="n">
        <v>4.7</v>
      </c>
      <c r="H39" t="n">
        <v>2</v>
      </c>
      <c r="I39" t="n">
        <v>4</v>
      </c>
      <c r="J39" t="n">
        <v>0</v>
      </c>
      <c r="K39" t="n">
        <v>0</v>
      </c>
      <c r="L39" t="n">
        <v>0</v>
      </c>
      <c r="M39" t="n">
        <v>0</v>
      </c>
      <c r="N39" t="n">
        <v>0</v>
      </c>
      <c r="O39" t="n">
        <v>0</v>
      </c>
      <c r="P39" t="n">
        <v>0</v>
      </c>
      <c r="Q39" t="n">
        <v>5</v>
      </c>
      <c r="R39" s="2" t="inlineStr">
        <is>
          <t>Skogsknipprot
Svavelriska
Trubbfjädermossa
Vårärt
Blåsippa</t>
        </is>
      </c>
      <c r="S39">
        <f>HYPERLINK("https://klasma.github.io/Logging_0382/artfynd/A 1224-2022 artfynd.xlsx", "A 1224-2022")</f>
        <v/>
      </c>
      <c r="T39">
        <f>HYPERLINK("https://klasma.github.io/Logging_0382/kartor/A 1224-2022 karta.png", "A 1224-2022")</f>
        <v/>
      </c>
      <c r="V39">
        <f>HYPERLINK("https://klasma.github.io/Logging_0382/klagomål/A 1224-2022 FSC-klagomål.docx", "A 1224-2022")</f>
        <v/>
      </c>
      <c r="W39">
        <f>HYPERLINK("https://klasma.github.io/Logging_0382/klagomålsmail/A 1224-2022 FSC-klagomål mail.docx", "A 1224-2022")</f>
        <v/>
      </c>
      <c r="X39">
        <f>HYPERLINK("https://klasma.github.io/Logging_0382/tillsyn/A 1224-2022 tillsynsbegäran.docx", "A 1224-2022")</f>
        <v/>
      </c>
      <c r="Y39">
        <f>HYPERLINK("https://klasma.github.io/Logging_0382/tillsynsmail/A 1224-2022 tillsynsbegäran mail.docx", "A 1224-2022")</f>
        <v/>
      </c>
    </row>
    <row r="40" ht="15" customHeight="1">
      <c r="A40" t="inlineStr">
        <is>
          <t>A 8753-2022</t>
        </is>
      </c>
      <c r="B40" s="1" t="n">
        <v>44614</v>
      </c>
      <c r="C40" s="1" t="n">
        <v>45665</v>
      </c>
      <c r="D40" t="inlineStr">
        <is>
          <t>UPPSALA LÄN</t>
        </is>
      </c>
      <c r="E40" t="inlineStr">
        <is>
          <t>ÖSTHAMMAR</t>
        </is>
      </c>
      <c r="G40" t="n">
        <v>5.3</v>
      </c>
      <c r="H40" t="n">
        <v>0</v>
      </c>
      <c r="I40" t="n">
        <v>3</v>
      </c>
      <c r="J40" t="n">
        <v>0</v>
      </c>
      <c r="K40" t="n">
        <v>2</v>
      </c>
      <c r="L40" t="n">
        <v>0</v>
      </c>
      <c r="M40" t="n">
        <v>0</v>
      </c>
      <c r="N40" t="n">
        <v>0</v>
      </c>
      <c r="O40" t="n">
        <v>2</v>
      </c>
      <c r="P40" t="n">
        <v>2</v>
      </c>
      <c r="Q40" t="n">
        <v>5</v>
      </c>
      <c r="R40" s="2" t="inlineStr">
        <is>
          <t>Gyllenspindling
Spricktaggsvamp
Olivspindling
Skarp dropptaggsvamp
Svavelriska</t>
        </is>
      </c>
      <c r="S40">
        <f>HYPERLINK("https://klasma.github.io/Logging_0382/artfynd/A 8753-2022 artfynd.xlsx", "A 8753-2022")</f>
        <v/>
      </c>
      <c r="T40">
        <f>HYPERLINK("https://klasma.github.io/Logging_0382/kartor/A 8753-2022 karta.png", "A 8753-2022")</f>
        <v/>
      </c>
      <c r="V40">
        <f>HYPERLINK("https://klasma.github.io/Logging_0382/klagomål/A 8753-2022 FSC-klagomål.docx", "A 8753-2022")</f>
        <v/>
      </c>
      <c r="W40">
        <f>HYPERLINK("https://klasma.github.io/Logging_0382/klagomålsmail/A 8753-2022 FSC-klagomål mail.docx", "A 8753-2022")</f>
        <v/>
      </c>
      <c r="X40">
        <f>HYPERLINK("https://klasma.github.io/Logging_0382/tillsyn/A 8753-2022 tillsynsbegäran.docx", "A 8753-2022")</f>
        <v/>
      </c>
      <c r="Y40">
        <f>HYPERLINK("https://klasma.github.io/Logging_0382/tillsynsmail/A 8753-2022 tillsynsbegäran mail.docx", "A 8753-2022")</f>
        <v/>
      </c>
    </row>
    <row r="41" ht="15" customHeight="1">
      <c r="A41" t="inlineStr">
        <is>
          <t>A 15556-2022</t>
        </is>
      </c>
      <c r="B41" s="1" t="n">
        <v>44662</v>
      </c>
      <c r="C41" s="1" t="n">
        <v>45665</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24563-2022</t>
        </is>
      </c>
      <c r="B42" s="1" t="n">
        <v>44727</v>
      </c>
      <c r="C42" s="1" t="n">
        <v>45665</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39763-2022</t>
        </is>
      </c>
      <c r="B43" s="1" t="n">
        <v>44819</v>
      </c>
      <c r="C43" s="1" t="n">
        <v>45665</v>
      </c>
      <c r="D43" t="inlineStr">
        <is>
          <t>UPPSALA LÄN</t>
        </is>
      </c>
      <c r="E43" t="inlineStr">
        <is>
          <t>ÖSTHAMMAR</t>
        </is>
      </c>
      <c r="G43" t="n">
        <v>7</v>
      </c>
      <c r="H43" t="n">
        <v>1</v>
      </c>
      <c r="I43" t="n">
        <v>1</v>
      </c>
      <c r="J43" t="n">
        <v>2</v>
      </c>
      <c r="K43" t="n">
        <v>2</v>
      </c>
      <c r="L43" t="n">
        <v>0</v>
      </c>
      <c r="M43" t="n">
        <v>0</v>
      </c>
      <c r="N43" t="n">
        <v>0</v>
      </c>
      <c r="O43" t="n">
        <v>4</v>
      </c>
      <c r="P43" t="n">
        <v>2</v>
      </c>
      <c r="Q43" t="n">
        <v>5</v>
      </c>
      <c r="R43" s="2" t="inlineStr">
        <is>
          <t>Knärot
Violgubbe
Blek fingersvamp
Orange taggsvamp
Fjällig taggsvamp s.str.</t>
        </is>
      </c>
      <c r="S43">
        <f>HYPERLINK("https://klasma.github.io/Logging_0382/artfynd/A 39763-2022 artfynd.xlsx", "A 39763-2022")</f>
        <v/>
      </c>
      <c r="T43">
        <f>HYPERLINK("https://klasma.github.io/Logging_0382/kartor/A 39763-2022 karta.png", "A 39763-2022")</f>
        <v/>
      </c>
      <c r="U43">
        <f>HYPERLINK("https://klasma.github.io/Logging_0382/knärot/A 39763-2022 karta knärot.png", "A 39763-2022")</f>
        <v/>
      </c>
      <c r="V43">
        <f>HYPERLINK("https://klasma.github.io/Logging_0382/klagomål/A 39763-2022 FSC-klagomål.docx", "A 39763-2022")</f>
        <v/>
      </c>
      <c r="W43">
        <f>HYPERLINK("https://klasma.github.io/Logging_0382/klagomålsmail/A 39763-2022 FSC-klagomål mail.docx", "A 39763-2022")</f>
        <v/>
      </c>
      <c r="X43">
        <f>HYPERLINK("https://klasma.github.io/Logging_0382/tillsyn/A 39763-2022 tillsynsbegäran.docx", "A 39763-2022")</f>
        <v/>
      </c>
      <c r="Y43">
        <f>HYPERLINK("https://klasma.github.io/Logging_0382/tillsynsmail/A 39763-2022 tillsynsbegäran mail.docx", "A 39763-2022")</f>
        <v/>
      </c>
    </row>
    <row r="44" ht="15" customHeight="1">
      <c r="A44" t="inlineStr">
        <is>
          <t>A 43992-2022</t>
        </is>
      </c>
      <c r="B44" s="1" t="n">
        <v>44837</v>
      </c>
      <c r="C44" s="1" t="n">
        <v>45665</v>
      </c>
      <c r="D44" t="inlineStr">
        <is>
          <t>UPPSALA LÄN</t>
        </is>
      </c>
      <c r="E44" t="inlineStr">
        <is>
          <t>ÖSTHAMMAR</t>
        </is>
      </c>
      <c r="F44" t="inlineStr">
        <is>
          <t>Sveaskog</t>
        </is>
      </c>
      <c r="G44" t="n">
        <v>1.8</v>
      </c>
      <c r="H44" t="n">
        <v>5</v>
      </c>
      <c r="I44" t="n">
        <v>0</v>
      </c>
      <c r="J44" t="n">
        <v>4</v>
      </c>
      <c r="K44" t="n">
        <v>1</v>
      </c>
      <c r="L44" t="n">
        <v>0</v>
      </c>
      <c r="M44" t="n">
        <v>0</v>
      </c>
      <c r="N44" t="n">
        <v>0</v>
      </c>
      <c r="O44" t="n">
        <v>5</v>
      </c>
      <c r="P44" t="n">
        <v>1</v>
      </c>
      <c r="Q44" t="n">
        <v>5</v>
      </c>
      <c r="R44" s="2" t="inlineStr">
        <is>
          <t>Stare
Buskskvätta
Fiskmås
Gulsparv
Svartvit flugsnappare</t>
        </is>
      </c>
      <c r="S44">
        <f>HYPERLINK("https://klasma.github.io/Logging_0382/artfynd/A 43992-2022 artfynd.xlsx", "A 43992-2022")</f>
        <v/>
      </c>
      <c r="T44">
        <f>HYPERLINK("https://klasma.github.io/Logging_0382/kartor/A 43992-2022 karta.png", "A 43992-2022")</f>
        <v/>
      </c>
      <c r="V44">
        <f>HYPERLINK("https://klasma.github.io/Logging_0382/klagomål/A 43992-2022 FSC-klagomål.docx", "A 43992-2022")</f>
        <v/>
      </c>
      <c r="W44">
        <f>HYPERLINK("https://klasma.github.io/Logging_0382/klagomålsmail/A 43992-2022 FSC-klagomål mail.docx", "A 43992-2022")</f>
        <v/>
      </c>
      <c r="X44">
        <f>HYPERLINK("https://klasma.github.io/Logging_0382/tillsyn/A 43992-2022 tillsynsbegäran.docx", "A 43992-2022")</f>
        <v/>
      </c>
      <c r="Y44">
        <f>HYPERLINK("https://klasma.github.io/Logging_0382/tillsynsmail/A 43992-2022 tillsynsbegäran mail.docx", "A 43992-2022")</f>
        <v/>
      </c>
      <c r="Z44">
        <f>HYPERLINK("https://klasma.github.io/Logging_0382/fåglar/A 43992-2022 prioriterade fågelarter.docx", "A 43992-2022")</f>
        <v/>
      </c>
    </row>
    <row r="45" ht="15" customHeight="1">
      <c r="A45" t="inlineStr">
        <is>
          <t>A 13604-2023</t>
        </is>
      </c>
      <c r="B45" s="1" t="n">
        <v>45006</v>
      </c>
      <c r="C45" s="1" t="n">
        <v>45665</v>
      </c>
      <c r="D45" t="inlineStr">
        <is>
          <t>UPPSALA LÄN</t>
        </is>
      </c>
      <c r="E45" t="inlineStr">
        <is>
          <t>ÖSTHAMMAR</t>
        </is>
      </c>
      <c r="G45" t="n">
        <v>5.7</v>
      </c>
      <c r="H45" t="n">
        <v>0</v>
      </c>
      <c r="I45" t="n">
        <v>4</v>
      </c>
      <c r="J45" t="n">
        <v>1</v>
      </c>
      <c r="K45" t="n">
        <v>0</v>
      </c>
      <c r="L45" t="n">
        <v>0</v>
      </c>
      <c r="M45" t="n">
        <v>0</v>
      </c>
      <c r="N45" t="n">
        <v>0</v>
      </c>
      <c r="O45" t="n">
        <v>1</v>
      </c>
      <c r="P45" t="n">
        <v>0</v>
      </c>
      <c r="Q45" t="n">
        <v>5</v>
      </c>
      <c r="R45" s="2" t="inlineStr">
        <is>
          <t>Odörspindling
Anisspindling
Diskvaxskivling
Olivspindling
Rödgul trumpetsvamp</t>
        </is>
      </c>
      <c r="S45">
        <f>HYPERLINK("https://klasma.github.io/Logging_0382/artfynd/A 13604-2023 artfynd.xlsx", "A 13604-2023")</f>
        <v/>
      </c>
      <c r="T45">
        <f>HYPERLINK("https://klasma.github.io/Logging_0382/kartor/A 13604-2023 karta.png", "A 13604-2023")</f>
        <v/>
      </c>
      <c r="V45">
        <f>HYPERLINK("https://klasma.github.io/Logging_0382/klagomål/A 13604-2023 FSC-klagomål.docx", "A 13604-2023")</f>
        <v/>
      </c>
      <c r="W45">
        <f>HYPERLINK("https://klasma.github.io/Logging_0382/klagomålsmail/A 13604-2023 FSC-klagomål mail.docx", "A 13604-2023")</f>
        <v/>
      </c>
      <c r="X45">
        <f>HYPERLINK("https://klasma.github.io/Logging_0382/tillsyn/A 13604-2023 tillsynsbegäran.docx", "A 13604-2023")</f>
        <v/>
      </c>
      <c r="Y45">
        <f>HYPERLINK("https://klasma.github.io/Logging_0382/tillsynsmail/A 13604-2023 tillsynsbegäran mail.docx", "A 13604-2023")</f>
        <v/>
      </c>
    </row>
    <row r="46" ht="15" customHeight="1">
      <c r="A46" t="inlineStr">
        <is>
          <t>A 23498-2023</t>
        </is>
      </c>
      <c r="B46" s="1" t="n">
        <v>45076</v>
      </c>
      <c r="C46" s="1" t="n">
        <v>45665</v>
      </c>
      <c r="D46" t="inlineStr">
        <is>
          <t>UPPSALA LÄN</t>
        </is>
      </c>
      <c r="E46" t="inlineStr">
        <is>
          <t>ÖSTHAMMAR</t>
        </is>
      </c>
      <c r="F46" t="inlineStr">
        <is>
          <t>Sveaskog</t>
        </is>
      </c>
      <c r="G46" t="n">
        <v>1.4</v>
      </c>
      <c r="H46" t="n">
        <v>5</v>
      </c>
      <c r="I46" t="n">
        <v>0</v>
      </c>
      <c r="J46" t="n">
        <v>3</v>
      </c>
      <c r="K46" t="n">
        <v>1</v>
      </c>
      <c r="L46" t="n">
        <v>1</v>
      </c>
      <c r="M46" t="n">
        <v>0</v>
      </c>
      <c r="N46" t="n">
        <v>0</v>
      </c>
      <c r="O46" t="n">
        <v>5</v>
      </c>
      <c r="P46" t="n">
        <v>2</v>
      </c>
      <c r="Q46" t="n">
        <v>5</v>
      </c>
      <c r="R46" s="2" t="inlineStr">
        <is>
          <t>Grönfink
Gråtrut
Gulsparv
Svartvit flugsnappare
Talltita</t>
        </is>
      </c>
      <c r="S46">
        <f>HYPERLINK("https://klasma.github.io/Logging_0382/artfynd/A 23498-2023 artfynd.xlsx", "A 23498-2023")</f>
        <v/>
      </c>
      <c r="T46">
        <f>HYPERLINK("https://klasma.github.io/Logging_0382/kartor/A 23498-2023 karta.png", "A 23498-2023")</f>
        <v/>
      </c>
      <c r="V46">
        <f>HYPERLINK("https://klasma.github.io/Logging_0382/klagomål/A 23498-2023 FSC-klagomål.docx", "A 23498-2023")</f>
        <v/>
      </c>
      <c r="W46">
        <f>HYPERLINK("https://klasma.github.io/Logging_0382/klagomålsmail/A 23498-2023 FSC-klagomål mail.docx", "A 23498-2023")</f>
        <v/>
      </c>
      <c r="X46">
        <f>HYPERLINK("https://klasma.github.io/Logging_0382/tillsyn/A 23498-2023 tillsynsbegäran.docx", "A 23498-2023")</f>
        <v/>
      </c>
      <c r="Y46">
        <f>HYPERLINK("https://klasma.github.io/Logging_0382/tillsynsmail/A 23498-2023 tillsynsbegäran mail.docx", "A 23498-2023")</f>
        <v/>
      </c>
      <c r="Z46">
        <f>HYPERLINK("https://klasma.github.io/Logging_0382/fåglar/A 23498-2023 prioriterade fågelarter.docx", "A 23498-2023")</f>
        <v/>
      </c>
    </row>
    <row r="47" ht="15" customHeight="1">
      <c r="A47" t="inlineStr">
        <is>
          <t>A 28211-2023</t>
        </is>
      </c>
      <c r="B47" s="1" t="n">
        <v>45099</v>
      </c>
      <c r="C47" s="1" t="n">
        <v>45665</v>
      </c>
      <c r="D47" t="inlineStr">
        <is>
          <t>UPPSALA LÄN</t>
        </is>
      </c>
      <c r="E47" t="inlineStr">
        <is>
          <t>ÖSTHAMMAR</t>
        </is>
      </c>
      <c r="G47" t="n">
        <v>3.2</v>
      </c>
      <c r="H47" t="n">
        <v>5</v>
      </c>
      <c r="I47" t="n">
        <v>0</v>
      </c>
      <c r="J47" t="n">
        <v>1</v>
      </c>
      <c r="K47" t="n">
        <v>2</v>
      </c>
      <c r="L47" t="n">
        <v>2</v>
      </c>
      <c r="M47" t="n">
        <v>0</v>
      </c>
      <c r="N47" t="n">
        <v>0</v>
      </c>
      <c r="O47" t="n">
        <v>5</v>
      </c>
      <c r="P47" t="n">
        <v>4</v>
      </c>
      <c r="Q47" t="n">
        <v>5</v>
      </c>
      <c r="R47" s="2" t="inlineStr">
        <is>
          <t>Ejder
Grönfink
Havstrut
Kricka
Rödvingetrast</t>
        </is>
      </c>
      <c r="S47">
        <f>HYPERLINK("https://klasma.github.io/Logging_0382/artfynd/A 28211-2023 artfynd.xlsx", "A 28211-2023")</f>
        <v/>
      </c>
      <c r="T47">
        <f>HYPERLINK("https://klasma.github.io/Logging_0382/kartor/A 28211-2023 karta.png", "A 28211-2023")</f>
        <v/>
      </c>
      <c r="V47">
        <f>HYPERLINK("https://klasma.github.io/Logging_0382/klagomål/A 28211-2023 FSC-klagomål.docx", "A 28211-2023")</f>
        <v/>
      </c>
      <c r="W47">
        <f>HYPERLINK("https://klasma.github.io/Logging_0382/klagomålsmail/A 28211-2023 FSC-klagomål mail.docx", "A 28211-2023")</f>
        <v/>
      </c>
      <c r="X47">
        <f>HYPERLINK("https://klasma.github.io/Logging_0382/tillsyn/A 28211-2023 tillsynsbegäran.docx", "A 28211-2023")</f>
        <v/>
      </c>
      <c r="Y47">
        <f>HYPERLINK("https://klasma.github.io/Logging_0382/tillsynsmail/A 28211-2023 tillsynsbegäran mail.docx", "A 28211-2023")</f>
        <v/>
      </c>
      <c r="Z47">
        <f>HYPERLINK("https://klasma.github.io/Logging_0382/fåglar/A 28211-2023 prioriterade fågelarter.docx", "A 28211-2023")</f>
        <v/>
      </c>
    </row>
    <row r="48" ht="15" customHeight="1">
      <c r="A48" t="inlineStr">
        <is>
          <t>A 46964-2023</t>
        </is>
      </c>
      <c r="B48" s="1" t="n">
        <v>45201</v>
      </c>
      <c r="C48" s="1" t="n">
        <v>45665</v>
      </c>
      <c r="D48" t="inlineStr">
        <is>
          <t>UPPSALA LÄN</t>
        </is>
      </c>
      <c r="E48" t="inlineStr">
        <is>
          <t>ÖSTHAMMAR</t>
        </is>
      </c>
      <c r="G48" t="n">
        <v>1.1</v>
      </c>
      <c r="H48" t="n">
        <v>0</v>
      </c>
      <c r="I48" t="n">
        <v>3</v>
      </c>
      <c r="J48" t="n">
        <v>2</v>
      </c>
      <c r="K48" t="n">
        <v>0</v>
      </c>
      <c r="L48" t="n">
        <v>0</v>
      </c>
      <c r="M48" t="n">
        <v>0</v>
      </c>
      <c r="N48" t="n">
        <v>0</v>
      </c>
      <c r="O48" t="n">
        <v>2</v>
      </c>
      <c r="P48" t="n">
        <v>0</v>
      </c>
      <c r="Q48" t="n">
        <v>5</v>
      </c>
      <c r="R48" s="2" t="inlineStr">
        <is>
          <t>Granticka
Orange taggsvamp
Anisspindling
Granbarkgnagare
Trådticka</t>
        </is>
      </c>
      <c r="S48">
        <f>HYPERLINK("https://klasma.github.io/Logging_0382/artfynd/A 46964-2023 artfynd.xlsx", "A 46964-2023")</f>
        <v/>
      </c>
      <c r="T48">
        <f>HYPERLINK("https://klasma.github.io/Logging_0382/kartor/A 46964-2023 karta.png", "A 46964-2023")</f>
        <v/>
      </c>
      <c r="V48">
        <f>HYPERLINK("https://klasma.github.io/Logging_0382/klagomål/A 46964-2023 FSC-klagomål.docx", "A 46964-2023")</f>
        <v/>
      </c>
      <c r="W48">
        <f>HYPERLINK("https://klasma.github.io/Logging_0382/klagomålsmail/A 46964-2023 FSC-klagomål mail.docx", "A 46964-2023")</f>
        <v/>
      </c>
      <c r="X48">
        <f>HYPERLINK("https://klasma.github.io/Logging_0382/tillsyn/A 46964-2023 tillsynsbegäran.docx", "A 46964-2023")</f>
        <v/>
      </c>
      <c r="Y48">
        <f>HYPERLINK("https://klasma.github.io/Logging_0382/tillsynsmail/A 46964-2023 tillsynsbegäran mail.docx", "A 46964-2023")</f>
        <v/>
      </c>
    </row>
    <row r="49" ht="15" customHeight="1">
      <c r="A49" t="inlineStr">
        <is>
          <t>A 48277-2023</t>
        </is>
      </c>
      <c r="B49" s="1" t="n">
        <v>45205</v>
      </c>
      <c r="C49" s="1" t="n">
        <v>45665</v>
      </c>
      <c r="D49" t="inlineStr">
        <is>
          <t>UPPSALA LÄN</t>
        </is>
      </c>
      <c r="E49" t="inlineStr">
        <is>
          <t>ÖSTHAMMAR</t>
        </is>
      </c>
      <c r="G49" t="n">
        <v>4.2</v>
      </c>
      <c r="H49" t="n">
        <v>1</v>
      </c>
      <c r="I49" t="n">
        <v>2</v>
      </c>
      <c r="J49" t="n">
        <v>2</v>
      </c>
      <c r="K49" t="n">
        <v>1</v>
      </c>
      <c r="L49" t="n">
        <v>0</v>
      </c>
      <c r="M49" t="n">
        <v>0</v>
      </c>
      <c r="N49" t="n">
        <v>0</v>
      </c>
      <c r="O49" t="n">
        <v>3</v>
      </c>
      <c r="P49" t="n">
        <v>1</v>
      </c>
      <c r="Q49" t="n">
        <v>5</v>
      </c>
      <c r="R49" s="2" t="inlineStr">
        <is>
          <t>Gul lammticka
Odörspindling
Svart taggsvamp
Nästrot
Zontaggsvamp</t>
        </is>
      </c>
      <c r="S49">
        <f>HYPERLINK("https://klasma.github.io/Logging_0382/artfynd/A 48277-2023 artfynd.xlsx", "A 48277-2023")</f>
        <v/>
      </c>
      <c r="T49">
        <f>HYPERLINK("https://klasma.github.io/Logging_0382/kartor/A 48277-2023 karta.png", "A 48277-2023")</f>
        <v/>
      </c>
      <c r="V49">
        <f>HYPERLINK("https://klasma.github.io/Logging_0382/klagomål/A 48277-2023 FSC-klagomål.docx", "A 48277-2023")</f>
        <v/>
      </c>
      <c r="W49">
        <f>HYPERLINK("https://klasma.github.io/Logging_0382/klagomålsmail/A 48277-2023 FSC-klagomål mail.docx", "A 48277-2023")</f>
        <v/>
      </c>
      <c r="X49">
        <f>HYPERLINK("https://klasma.github.io/Logging_0382/tillsyn/A 48277-2023 tillsynsbegäran.docx", "A 48277-2023")</f>
        <v/>
      </c>
      <c r="Y49">
        <f>HYPERLINK("https://klasma.github.io/Logging_0382/tillsynsmail/A 48277-2023 tillsynsbegäran mail.docx", "A 48277-2023")</f>
        <v/>
      </c>
    </row>
    <row r="50" ht="15" customHeight="1">
      <c r="A50" t="inlineStr">
        <is>
          <t>A 356-2025</t>
        </is>
      </c>
      <c r="B50" s="1" t="n">
        <v>45659</v>
      </c>
      <c r="C50" s="1" t="n">
        <v>45665</v>
      </c>
      <c r="D50" t="inlineStr">
        <is>
          <t>UPPSALA LÄN</t>
        </is>
      </c>
      <c r="E50" t="inlineStr">
        <is>
          <t>ÖSTHAMMAR</t>
        </is>
      </c>
      <c r="G50" t="n">
        <v>20.1</v>
      </c>
      <c r="H50" t="n">
        <v>3</v>
      </c>
      <c r="I50" t="n">
        <v>1</v>
      </c>
      <c r="J50" t="n">
        <v>3</v>
      </c>
      <c r="K50" t="n">
        <v>0</v>
      </c>
      <c r="L50" t="n">
        <v>0</v>
      </c>
      <c r="M50" t="n">
        <v>0</v>
      </c>
      <c r="N50" t="n">
        <v>0</v>
      </c>
      <c r="O50" t="n">
        <v>3</v>
      </c>
      <c r="P50" t="n">
        <v>0</v>
      </c>
      <c r="Q50" t="n">
        <v>5</v>
      </c>
      <c r="R50" s="2" t="inlineStr">
        <is>
          <t>Spillkråka
Ullticka
Vedtrappmossa
Grön sköldmossa
Blåsippa</t>
        </is>
      </c>
      <c r="S50">
        <f>HYPERLINK("https://klasma.github.io/Logging_0382/artfynd/A 356-2025 artfynd.xlsx", "A 356-2025")</f>
        <v/>
      </c>
      <c r="T50">
        <f>HYPERLINK("https://klasma.github.io/Logging_0382/kartor/A 356-2025 karta.png", "A 356-2025")</f>
        <v/>
      </c>
      <c r="V50">
        <f>HYPERLINK("https://klasma.github.io/Logging_0382/klagomål/A 356-2025 FSC-klagomål.docx", "A 356-2025")</f>
        <v/>
      </c>
      <c r="W50">
        <f>HYPERLINK("https://klasma.github.io/Logging_0382/klagomålsmail/A 356-2025 FSC-klagomål mail.docx", "A 356-2025")</f>
        <v/>
      </c>
      <c r="X50">
        <f>HYPERLINK("https://klasma.github.io/Logging_0382/tillsyn/A 356-2025 tillsynsbegäran.docx", "A 356-2025")</f>
        <v/>
      </c>
      <c r="Y50">
        <f>HYPERLINK("https://klasma.github.io/Logging_0382/tillsynsmail/A 356-2025 tillsynsbegäran mail.docx", "A 356-2025")</f>
        <v/>
      </c>
      <c r="Z50">
        <f>HYPERLINK("https://klasma.github.io/Logging_0382/fåglar/A 356-2025 prioriterade fågelarter.docx", "A 356-2025")</f>
        <v/>
      </c>
    </row>
    <row r="51" ht="15" customHeight="1">
      <c r="A51" t="inlineStr">
        <is>
          <t>A 20696-2019</t>
        </is>
      </c>
      <c r="B51" s="1" t="n">
        <v>43573</v>
      </c>
      <c r="C51" s="1" t="n">
        <v>45665</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45665</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18150-2022</t>
        </is>
      </c>
      <c r="B53" s="1" t="n">
        <v>44684</v>
      </c>
      <c r="C53" s="1" t="n">
        <v>45665</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45665</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45665</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45665</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45665</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45665</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45665</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45665</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45665</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45665</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45665</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45665</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45665</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45665</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45665</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45665</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45665</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45665</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45665</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45665</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45665</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45665</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45665</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45665</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45665</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45665</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45665</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45665</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45665</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45665</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45665</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45665</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45665</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45665</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45665</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45665</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45665</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45665</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45665</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45665</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45665</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45665</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45665</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45665</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45665</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45665</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45665</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45665</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45665</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45665</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45665</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45665</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45665</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45665</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45665</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45665</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45665</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45665</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45665</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45665</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45665</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45665</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45665</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45665</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45665</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45665</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45665</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45665</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45665</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45665</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45665</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45665</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45665</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45665</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45665</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45665</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45665</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45665</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45665</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64564-2021</t>
        </is>
      </c>
      <c r="B132" s="1" t="n">
        <v>44511</v>
      </c>
      <c r="C132" s="1" t="n">
        <v>45665</v>
      </c>
      <c r="D132" t="inlineStr">
        <is>
          <t>UPPSALA LÄN</t>
        </is>
      </c>
      <c r="E132" t="inlineStr">
        <is>
          <t>ÖSTHAMMAR</t>
        </is>
      </c>
      <c r="G132" t="n">
        <v>7.2</v>
      </c>
      <c r="H132" t="n">
        <v>0</v>
      </c>
      <c r="I132" t="n">
        <v>0</v>
      </c>
      <c r="J132" t="n">
        <v>0</v>
      </c>
      <c r="K132" t="n">
        <v>1</v>
      </c>
      <c r="L132" t="n">
        <v>0</v>
      </c>
      <c r="M132" t="n">
        <v>0</v>
      </c>
      <c r="N132" t="n">
        <v>0</v>
      </c>
      <c r="O132" t="n">
        <v>1</v>
      </c>
      <c r="P132" t="n">
        <v>1</v>
      </c>
      <c r="Q132" t="n">
        <v>1</v>
      </c>
      <c r="R132" s="2" t="inlineStr">
        <is>
          <t>Violgubbe</t>
        </is>
      </c>
      <c r="S132">
        <f>HYPERLINK("https://klasma.github.io/Logging_0382/artfynd/A 64564-2021 artfynd.xlsx", "A 64564-2021")</f>
        <v/>
      </c>
      <c r="T132">
        <f>HYPERLINK("https://klasma.github.io/Logging_0382/kartor/A 64564-2021 karta.png", "A 64564-2021")</f>
        <v/>
      </c>
      <c r="V132">
        <f>HYPERLINK("https://klasma.github.io/Logging_0382/klagomål/A 64564-2021 FSC-klagomål.docx", "A 64564-2021")</f>
        <v/>
      </c>
      <c r="W132">
        <f>HYPERLINK("https://klasma.github.io/Logging_0382/klagomålsmail/A 64564-2021 FSC-klagomål mail.docx", "A 64564-2021")</f>
        <v/>
      </c>
      <c r="X132">
        <f>HYPERLINK("https://klasma.github.io/Logging_0382/tillsyn/A 64564-2021 tillsynsbegäran.docx", "A 64564-2021")</f>
        <v/>
      </c>
      <c r="Y132">
        <f>HYPERLINK("https://klasma.github.io/Logging_0382/tillsynsmail/A 64564-2021 tillsynsbegäran mail.docx", "A 64564-2021")</f>
        <v/>
      </c>
    </row>
    <row r="133" ht="15" customHeight="1">
      <c r="A133" t="inlineStr">
        <is>
          <t>A 65989-2021</t>
        </is>
      </c>
      <c r="B133" s="1" t="n">
        <v>44517</v>
      </c>
      <c r="C133" s="1" t="n">
        <v>45665</v>
      </c>
      <c r="D133" t="inlineStr">
        <is>
          <t>UPPSALA LÄN</t>
        </is>
      </c>
      <c r="E133" t="inlineStr">
        <is>
          <t>ÖSTHAMMAR</t>
        </is>
      </c>
      <c r="G133" t="n">
        <v>6.9</v>
      </c>
      <c r="H133" t="n">
        <v>1</v>
      </c>
      <c r="I133" t="n">
        <v>1</v>
      </c>
      <c r="J133" t="n">
        <v>0</v>
      </c>
      <c r="K133" t="n">
        <v>0</v>
      </c>
      <c r="L133" t="n">
        <v>0</v>
      </c>
      <c r="M133" t="n">
        <v>0</v>
      </c>
      <c r="N133" t="n">
        <v>0</v>
      </c>
      <c r="O133" t="n">
        <v>0</v>
      </c>
      <c r="P133" t="n">
        <v>0</v>
      </c>
      <c r="Q133" t="n">
        <v>1</v>
      </c>
      <c r="R133" s="2" t="inlineStr">
        <is>
          <t>Skogsknipprot</t>
        </is>
      </c>
      <c r="S133">
        <f>HYPERLINK("https://klasma.github.io/Logging_0382/artfynd/A 65989-2021 artfynd.xlsx", "A 65989-2021")</f>
        <v/>
      </c>
      <c r="T133">
        <f>HYPERLINK("https://klasma.github.io/Logging_0382/kartor/A 65989-2021 karta.png", "A 65989-2021")</f>
        <v/>
      </c>
      <c r="V133">
        <f>HYPERLINK("https://klasma.github.io/Logging_0382/klagomål/A 65989-2021 FSC-klagomål.docx", "A 65989-2021")</f>
        <v/>
      </c>
      <c r="W133">
        <f>HYPERLINK("https://klasma.github.io/Logging_0382/klagomålsmail/A 65989-2021 FSC-klagomål mail.docx", "A 65989-2021")</f>
        <v/>
      </c>
      <c r="X133">
        <f>HYPERLINK("https://klasma.github.io/Logging_0382/tillsyn/A 65989-2021 tillsynsbegäran.docx", "A 65989-2021")</f>
        <v/>
      </c>
      <c r="Y133">
        <f>HYPERLINK("https://klasma.github.io/Logging_0382/tillsynsmail/A 65989-2021 tillsynsbegäran mail.docx", "A 65989-2021")</f>
        <v/>
      </c>
    </row>
    <row r="134" ht="15" customHeight="1">
      <c r="A134" t="inlineStr">
        <is>
          <t>A 70495-2021</t>
        </is>
      </c>
      <c r="B134" s="1" t="n">
        <v>44536</v>
      </c>
      <c r="C134" s="1" t="n">
        <v>45665</v>
      </c>
      <c r="D134" t="inlineStr">
        <is>
          <t>UPPSALA LÄN</t>
        </is>
      </c>
      <c r="E134" t="inlineStr">
        <is>
          <t>ÖSTHAMMAR</t>
        </is>
      </c>
      <c r="G134" t="n">
        <v>1</v>
      </c>
      <c r="H134" t="n">
        <v>1</v>
      </c>
      <c r="I134" t="n">
        <v>0</v>
      </c>
      <c r="J134" t="n">
        <v>1</v>
      </c>
      <c r="K134" t="n">
        <v>0</v>
      </c>
      <c r="L134" t="n">
        <v>0</v>
      </c>
      <c r="M134" t="n">
        <v>0</v>
      </c>
      <c r="N134" t="n">
        <v>0</v>
      </c>
      <c r="O134" t="n">
        <v>1</v>
      </c>
      <c r="P134" t="n">
        <v>0</v>
      </c>
      <c r="Q134" t="n">
        <v>1</v>
      </c>
      <c r="R134" s="2" t="inlineStr">
        <is>
          <t>Slaguggla</t>
        </is>
      </c>
      <c r="S134">
        <f>HYPERLINK("https://klasma.github.io/Logging_0382/artfynd/A 70495-2021 artfynd.xlsx", "A 70495-2021")</f>
        <v/>
      </c>
      <c r="T134">
        <f>HYPERLINK("https://klasma.github.io/Logging_0382/kartor/A 70495-2021 karta.png", "A 70495-2021")</f>
        <v/>
      </c>
      <c r="V134">
        <f>HYPERLINK("https://klasma.github.io/Logging_0382/klagomål/A 70495-2021 FSC-klagomål.docx", "A 70495-2021")</f>
        <v/>
      </c>
      <c r="W134">
        <f>HYPERLINK("https://klasma.github.io/Logging_0382/klagomålsmail/A 70495-2021 FSC-klagomål mail.docx", "A 70495-2021")</f>
        <v/>
      </c>
      <c r="X134">
        <f>HYPERLINK("https://klasma.github.io/Logging_0382/tillsyn/A 70495-2021 tillsynsbegäran.docx", "A 70495-2021")</f>
        <v/>
      </c>
      <c r="Y134">
        <f>HYPERLINK("https://klasma.github.io/Logging_0382/tillsynsmail/A 70495-2021 tillsynsbegäran mail.docx", "A 70495-2021")</f>
        <v/>
      </c>
      <c r="Z134">
        <f>HYPERLINK("https://klasma.github.io/Logging_0382/fåglar/A 70495-2021 prioriterade fågelarter.docx", "A 70495-2021")</f>
        <v/>
      </c>
    </row>
    <row r="135" ht="15" customHeight="1">
      <c r="A135" t="inlineStr">
        <is>
          <t>A 938-2022</t>
        </is>
      </c>
      <c r="B135" s="1" t="n">
        <v>44571</v>
      </c>
      <c r="C135" s="1" t="n">
        <v>45665</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Vedtrappmossa</t>
        </is>
      </c>
      <c r="S135">
        <f>HYPERLINK("https://klasma.github.io/Logging_0382/artfynd/A 938-2022 artfynd.xlsx", "A 938-2022")</f>
        <v/>
      </c>
      <c r="T135">
        <f>HYPERLINK("https://klasma.github.io/Logging_0382/kartor/A 938-2022 karta.png", "A 938-2022")</f>
        <v/>
      </c>
      <c r="V135">
        <f>HYPERLINK("https://klasma.github.io/Logging_0382/klagomål/A 938-2022 FSC-klagomål.docx", "A 938-2022")</f>
        <v/>
      </c>
      <c r="W135">
        <f>HYPERLINK("https://klasma.github.io/Logging_0382/klagomålsmail/A 938-2022 FSC-klagomål mail.docx", "A 938-2022")</f>
        <v/>
      </c>
      <c r="X135">
        <f>HYPERLINK("https://klasma.github.io/Logging_0382/tillsyn/A 938-2022 tillsynsbegäran.docx", "A 938-2022")</f>
        <v/>
      </c>
      <c r="Y135">
        <f>HYPERLINK("https://klasma.github.io/Logging_0382/tillsynsmail/A 938-2022 tillsynsbegäran mail.docx", "A 938-2022")</f>
        <v/>
      </c>
    </row>
    <row r="136" ht="15" customHeight="1">
      <c r="A136" t="inlineStr">
        <is>
          <t>A 1227-2022</t>
        </is>
      </c>
      <c r="B136" s="1" t="n">
        <v>44572</v>
      </c>
      <c r="C136" s="1" t="n">
        <v>45665</v>
      </c>
      <c r="D136" t="inlineStr">
        <is>
          <t>UPPSALA LÄN</t>
        </is>
      </c>
      <c r="E136" t="inlineStr">
        <is>
          <t>ÖSTHAMMAR</t>
        </is>
      </c>
      <c r="G136" t="n">
        <v>1.7</v>
      </c>
      <c r="H136" t="n">
        <v>0</v>
      </c>
      <c r="I136" t="n">
        <v>1</v>
      </c>
      <c r="J136" t="n">
        <v>0</v>
      </c>
      <c r="K136" t="n">
        <v>0</v>
      </c>
      <c r="L136" t="n">
        <v>0</v>
      </c>
      <c r="M136" t="n">
        <v>0</v>
      </c>
      <c r="N136" t="n">
        <v>0</v>
      </c>
      <c r="O136" t="n">
        <v>0</v>
      </c>
      <c r="P136" t="n">
        <v>0</v>
      </c>
      <c r="Q136" t="n">
        <v>1</v>
      </c>
      <c r="R136" s="2" t="inlineStr">
        <is>
          <t>Guldkremla</t>
        </is>
      </c>
      <c r="S136">
        <f>HYPERLINK("https://klasma.github.io/Logging_0382/artfynd/A 1227-2022 artfynd.xlsx", "A 1227-2022")</f>
        <v/>
      </c>
      <c r="T136">
        <f>HYPERLINK("https://klasma.github.io/Logging_0382/kartor/A 1227-2022 karta.png", "A 1227-2022")</f>
        <v/>
      </c>
      <c r="V136">
        <f>HYPERLINK("https://klasma.github.io/Logging_0382/klagomål/A 1227-2022 FSC-klagomål.docx", "A 1227-2022")</f>
        <v/>
      </c>
      <c r="W136">
        <f>HYPERLINK("https://klasma.github.io/Logging_0382/klagomålsmail/A 1227-2022 FSC-klagomål mail.docx", "A 1227-2022")</f>
        <v/>
      </c>
      <c r="X136">
        <f>HYPERLINK("https://klasma.github.io/Logging_0382/tillsyn/A 1227-2022 tillsynsbegäran.docx", "A 1227-2022")</f>
        <v/>
      </c>
      <c r="Y136">
        <f>HYPERLINK("https://klasma.github.io/Logging_0382/tillsynsmail/A 1227-2022 tillsynsbegäran mail.docx", "A 1227-2022")</f>
        <v/>
      </c>
    </row>
    <row r="137" ht="15" customHeight="1">
      <c r="A137" t="inlineStr">
        <is>
          <t>A 7446-2022</t>
        </is>
      </c>
      <c r="B137" s="1" t="n">
        <v>44606</v>
      </c>
      <c r="C137" s="1" t="n">
        <v>45665</v>
      </c>
      <c r="D137" t="inlineStr">
        <is>
          <t>UPPSALA LÄN</t>
        </is>
      </c>
      <c r="E137" t="inlineStr">
        <is>
          <t>ÖSTHAMMAR</t>
        </is>
      </c>
      <c r="G137" t="n">
        <v>5</v>
      </c>
      <c r="H137" t="n">
        <v>1</v>
      </c>
      <c r="I137" t="n">
        <v>0</v>
      </c>
      <c r="J137" t="n">
        <v>0</v>
      </c>
      <c r="K137" t="n">
        <v>0</v>
      </c>
      <c r="L137" t="n">
        <v>0</v>
      </c>
      <c r="M137" t="n">
        <v>0</v>
      </c>
      <c r="N137" t="n">
        <v>0</v>
      </c>
      <c r="O137" t="n">
        <v>0</v>
      </c>
      <c r="P137" t="n">
        <v>0</v>
      </c>
      <c r="Q137" t="n">
        <v>1</v>
      </c>
      <c r="R137" s="2" t="inlineStr">
        <is>
          <t>Mattlummer</t>
        </is>
      </c>
      <c r="S137">
        <f>HYPERLINK("https://klasma.github.io/Logging_0382/artfynd/A 7446-2022 artfynd.xlsx", "A 7446-2022")</f>
        <v/>
      </c>
      <c r="T137">
        <f>HYPERLINK("https://klasma.github.io/Logging_0382/kartor/A 7446-2022 karta.png", "A 7446-2022")</f>
        <v/>
      </c>
      <c r="V137">
        <f>HYPERLINK("https://klasma.github.io/Logging_0382/klagomål/A 7446-2022 FSC-klagomål.docx", "A 7446-2022")</f>
        <v/>
      </c>
      <c r="W137">
        <f>HYPERLINK("https://klasma.github.io/Logging_0382/klagomålsmail/A 7446-2022 FSC-klagomål mail.docx", "A 7446-2022")</f>
        <v/>
      </c>
      <c r="X137">
        <f>HYPERLINK("https://klasma.github.io/Logging_0382/tillsyn/A 7446-2022 tillsynsbegäran.docx", "A 7446-2022")</f>
        <v/>
      </c>
      <c r="Y137">
        <f>HYPERLINK("https://klasma.github.io/Logging_0382/tillsynsmail/A 7446-2022 tillsynsbegäran mail.docx", "A 7446-2022")</f>
        <v/>
      </c>
    </row>
    <row r="138" ht="15" customHeight="1">
      <c r="A138" t="inlineStr">
        <is>
          <t>A 7470-2022</t>
        </is>
      </c>
      <c r="B138" s="1" t="n">
        <v>44607</v>
      </c>
      <c r="C138" s="1" t="n">
        <v>45665</v>
      </c>
      <c r="D138" t="inlineStr">
        <is>
          <t>UPPSALA LÄN</t>
        </is>
      </c>
      <c r="E138" t="inlineStr">
        <is>
          <t>ÖSTHAMMAR</t>
        </is>
      </c>
      <c r="G138" t="n">
        <v>2.6</v>
      </c>
      <c r="H138" t="n">
        <v>1</v>
      </c>
      <c r="I138" t="n">
        <v>1</v>
      </c>
      <c r="J138" t="n">
        <v>0</v>
      </c>
      <c r="K138" t="n">
        <v>0</v>
      </c>
      <c r="L138" t="n">
        <v>0</v>
      </c>
      <c r="M138" t="n">
        <v>0</v>
      </c>
      <c r="N138" t="n">
        <v>0</v>
      </c>
      <c r="O138" t="n">
        <v>0</v>
      </c>
      <c r="P138" t="n">
        <v>0</v>
      </c>
      <c r="Q138" t="n">
        <v>1</v>
      </c>
      <c r="R138" s="2" t="inlineStr">
        <is>
          <t>Grön sköldmossa</t>
        </is>
      </c>
      <c r="S138">
        <f>HYPERLINK("https://klasma.github.io/Logging_0382/artfynd/A 7470-2022 artfynd.xlsx", "A 7470-2022")</f>
        <v/>
      </c>
      <c r="T138">
        <f>HYPERLINK("https://klasma.github.io/Logging_0382/kartor/A 7470-2022 karta.png", "A 7470-2022")</f>
        <v/>
      </c>
      <c r="V138">
        <f>HYPERLINK("https://klasma.github.io/Logging_0382/klagomål/A 7470-2022 FSC-klagomål.docx", "A 7470-2022")</f>
        <v/>
      </c>
      <c r="W138">
        <f>HYPERLINK("https://klasma.github.io/Logging_0382/klagomålsmail/A 7470-2022 FSC-klagomål mail.docx", "A 7470-2022")</f>
        <v/>
      </c>
      <c r="X138">
        <f>HYPERLINK("https://klasma.github.io/Logging_0382/tillsyn/A 7470-2022 tillsynsbegäran.docx", "A 7470-2022")</f>
        <v/>
      </c>
      <c r="Y138">
        <f>HYPERLINK("https://klasma.github.io/Logging_0382/tillsynsmail/A 7470-2022 tillsynsbegäran mail.docx", "A 7470-2022")</f>
        <v/>
      </c>
    </row>
    <row r="139" ht="15" customHeight="1">
      <c r="A139" t="inlineStr">
        <is>
          <t>A 22209-2022</t>
        </is>
      </c>
      <c r="B139" s="1" t="n">
        <v>44712</v>
      </c>
      <c r="C139" s="1" t="n">
        <v>45665</v>
      </c>
      <c r="D139" t="inlineStr">
        <is>
          <t>UPPSALA LÄN</t>
        </is>
      </c>
      <c r="E139" t="inlineStr">
        <is>
          <t>ÖSTHAMMAR</t>
        </is>
      </c>
      <c r="F139" t="inlineStr">
        <is>
          <t>Bergvik skog öst AB</t>
        </is>
      </c>
      <c r="G139" t="n">
        <v>1.5</v>
      </c>
      <c r="H139" t="n">
        <v>1</v>
      </c>
      <c r="I139" t="n">
        <v>0</v>
      </c>
      <c r="J139" t="n">
        <v>0</v>
      </c>
      <c r="K139" t="n">
        <v>0</v>
      </c>
      <c r="L139" t="n">
        <v>0</v>
      </c>
      <c r="M139" t="n">
        <v>0</v>
      </c>
      <c r="N139" t="n">
        <v>0</v>
      </c>
      <c r="O139" t="n">
        <v>0</v>
      </c>
      <c r="P139" t="n">
        <v>0</v>
      </c>
      <c r="Q139" t="n">
        <v>1</v>
      </c>
      <c r="R139" s="2" t="inlineStr">
        <is>
          <t>Blåsippa</t>
        </is>
      </c>
      <c r="S139">
        <f>HYPERLINK("https://klasma.github.io/Logging_0382/artfynd/A 22209-2022 artfynd.xlsx", "A 22209-2022")</f>
        <v/>
      </c>
      <c r="T139">
        <f>HYPERLINK("https://klasma.github.io/Logging_0382/kartor/A 22209-2022 karta.png", "A 22209-2022")</f>
        <v/>
      </c>
      <c r="V139">
        <f>HYPERLINK("https://klasma.github.io/Logging_0382/klagomål/A 22209-2022 FSC-klagomål.docx", "A 22209-2022")</f>
        <v/>
      </c>
      <c r="W139">
        <f>HYPERLINK("https://klasma.github.io/Logging_0382/klagomålsmail/A 22209-2022 FSC-klagomål mail.docx", "A 22209-2022")</f>
        <v/>
      </c>
      <c r="X139">
        <f>HYPERLINK("https://klasma.github.io/Logging_0382/tillsyn/A 22209-2022 tillsynsbegäran.docx", "A 22209-2022")</f>
        <v/>
      </c>
      <c r="Y139">
        <f>HYPERLINK("https://klasma.github.io/Logging_0382/tillsynsmail/A 22209-2022 tillsynsbegäran mail.docx", "A 22209-2022")</f>
        <v/>
      </c>
    </row>
    <row r="140" ht="15" customHeight="1">
      <c r="A140" t="inlineStr">
        <is>
          <t>A 24797-2022</t>
        </is>
      </c>
      <c r="B140" s="1" t="n">
        <v>44728</v>
      </c>
      <c r="C140" s="1" t="n">
        <v>45665</v>
      </c>
      <c r="D140" t="inlineStr">
        <is>
          <t>UPPSALA LÄN</t>
        </is>
      </c>
      <c r="E140" t="inlineStr">
        <is>
          <t>ÖSTHAMMAR</t>
        </is>
      </c>
      <c r="F140" t="inlineStr">
        <is>
          <t>Sveaskog</t>
        </is>
      </c>
      <c r="G140" t="n">
        <v>1.7</v>
      </c>
      <c r="H140" t="n">
        <v>1</v>
      </c>
      <c r="I140" t="n">
        <v>0</v>
      </c>
      <c r="J140" t="n">
        <v>1</v>
      </c>
      <c r="K140" t="n">
        <v>0</v>
      </c>
      <c r="L140" t="n">
        <v>0</v>
      </c>
      <c r="M140" t="n">
        <v>0</v>
      </c>
      <c r="N140" t="n">
        <v>0</v>
      </c>
      <c r="O140" t="n">
        <v>1</v>
      </c>
      <c r="P140" t="n">
        <v>0</v>
      </c>
      <c r="Q140" t="n">
        <v>1</v>
      </c>
      <c r="R140" s="2" t="inlineStr">
        <is>
          <t>Gulsparv</t>
        </is>
      </c>
      <c r="S140">
        <f>HYPERLINK("https://klasma.github.io/Logging_0382/artfynd/A 24797-2022 artfynd.xlsx", "A 24797-2022")</f>
        <v/>
      </c>
      <c r="T140">
        <f>HYPERLINK("https://klasma.github.io/Logging_0382/kartor/A 24797-2022 karta.png", "A 24797-2022")</f>
        <v/>
      </c>
      <c r="V140">
        <f>HYPERLINK("https://klasma.github.io/Logging_0382/klagomål/A 24797-2022 FSC-klagomål.docx", "A 24797-2022")</f>
        <v/>
      </c>
      <c r="W140">
        <f>HYPERLINK("https://klasma.github.io/Logging_0382/klagomålsmail/A 24797-2022 FSC-klagomål mail.docx", "A 24797-2022")</f>
        <v/>
      </c>
      <c r="X140">
        <f>HYPERLINK("https://klasma.github.io/Logging_0382/tillsyn/A 24797-2022 tillsynsbegäran.docx", "A 24797-2022")</f>
        <v/>
      </c>
      <c r="Y140">
        <f>HYPERLINK("https://klasma.github.io/Logging_0382/tillsynsmail/A 24797-2022 tillsynsbegäran mail.docx", "A 24797-2022")</f>
        <v/>
      </c>
      <c r="Z140">
        <f>HYPERLINK("https://klasma.github.io/Logging_0382/fåglar/A 24797-2022 prioriterade fågelarter.docx", "A 24797-2022")</f>
        <v/>
      </c>
    </row>
    <row r="141" ht="15" customHeight="1">
      <c r="A141" t="inlineStr">
        <is>
          <t>A 27451-2022</t>
        </is>
      </c>
      <c r="B141" s="1" t="n">
        <v>44742</v>
      </c>
      <c r="C141" s="1" t="n">
        <v>45665</v>
      </c>
      <c r="D141" t="inlineStr">
        <is>
          <t>UPPSALA LÄN</t>
        </is>
      </c>
      <c r="E141" t="inlineStr">
        <is>
          <t>ÖSTHAMMAR</t>
        </is>
      </c>
      <c r="G141" t="n">
        <v>6.4</v>
      </c>
      <c r="H141" t="n">
        <v>0</v>
      </c>
      <c r="I141" t="n">
        <v>0</v>
      </c>
      <c r="J141" t="n">
        <v>1</v>
      </c>
      <c r="K141" t="n">
        <v>0</v>
      </c>
      <c r="L141" t="n">
        <v>0</v>
      </c>
      <c r="M141" t="n">
        <v>0</v>
      </c>
      <c r="N141" t="n">
        <v>0</v>
      </c>
      <c r="O141" t="n">
        <v>1</v>
      </c>
      <c r="P141" t="n">
        <v>0</v>
      </c>
      <c r="Q141" t="n">
        <v>1</v>
      </c>
      <c r="R141" s="2" t="inlineStr">
        <is>
          <t>Skogsklocka</t>
        </is>
      </c>
      <c r="S141">
        <f>HYPERLINK("https://klasma.github.io/Logging_0382/artfynd/A 27451-2022 artfynd.xlsx", "A 27451-2022")</f>
        <v/>
      </c>
      <c r="T141">
        <f>HYPERLINK("https://klasma.github.io/Logging_0382/kartor/A 27451-2022 karta.png", "A 27451-2022")</f>
        <v/>
      </c>
      <c r="V141">
        <f>HYPERLINK("https://klasma.github.io/Logging_0382/klagomål/A 27451-2022 FSC-klagomål.docx", "A 27451-2022")</f>
        <v/>
      </c>
      <c r="W141">
        <f>HYPERLINK("https://klasma.github.io/Logging_0382/klagomålsmail/A 27451-2022 FSC-klagomål mail.docx", "A 27451-2022")</f>
        <v/>
      </c>
      <c r="X141">
        <f>HYPERLINK("https://klasma.github.io/Logging_0382/tillsyn/A 27451-2022 tillsynsbegäran.docx", "A 27451-2022")</f>
        <v/>
      </c>
      <c r="Y141">
        <f>HYPERLINK("https://klasma.github.io/Logging_0382/tillsynsmail/A 27451-2022 tillsynsbegäran mail.docx", "A 27451-2022")</f>
        <v/>
      </c>
    </row>
    <row r="142" ht="15" customHeight="1">
      <c r="A142" t="inlineStr">
        <is>
          <t>A 34974-2022</t>
        </is>
      </c>
      <c r="B142" s="1" t="n">
        <v>44796</v>
      </c>
      <c r="C142" s="1" t="n">
        <v>45665</v>
      </c>
      <c r="D142" t="inlineStr">
        <is>
          <t>UPPSALA LÄN</t>
        </is>
      </c>
      <c r="E142" t="inlineStr">
        <is>
          <t>ÖSTHAMMAR</t>
        </is>
      </c>
      <c r="F142" t="inlineStr">
        <is>
          <t>Bergvik skog öst AB</t>
        </is>
      </c>
      <c r="G142" t="n">
        <v>19.4</v>
      </c>
      <c r="H142" t="n">
        <v>1</v>
      </c>
      <c r="I142" t="n">
        <v>0</v>
      </c>
      <c r="J142" t="n">
        <v>0</v>
      </c>
      <c r="K142" t="n">
        <v>0</v>
      </c>
      <c r="L142" t="n">
        <v>0</v>
      </c>
      <c r="M142" t="n">
        <v>0</v>
      </c>
      <c r="N142" t="n">
        <v>0</v>
      </c>
      <c r="O142" t="n">
        <v>0</v>
      </c>
      <c r="P142" t="n">
        <v>0</v>
      </c>
      <c r="Q142" t="n">
        <v>1</v>
      </c>
      <c r="R142" s="2" t="inlineStr">
        <is>
          <t>Kopparödla</t>
        </is>
      </c>
      <c r="S142">
        <f>HYPERLINK("https://klasma.github.io/Logging_0382/artfynd/A 34974-2022 artfynd.xlsx", "A 34974-2022")</f>
        <v/>
      </c>
      <c r="T142">
        <f>HYPERLINK("https://klasma.github.io/Logging_0382/kartor/A 34974-2022 karta.png", "A 34974-2022")</f>
        <v/>
      </c>
      <c r="V142">
        <f>HYPERLINK("https://klasma.github.io/Logging_0382/klagomål/A 34974-2022 FSC-klagomål.docx", "A 34974-2022")</f>
        <v/>
      </c>
      <c r="W142">
        <f>HYPERLINK("https://klasma.github.io/Logging_0382/klagomålsmail/A 34974-2022 FSC-klagomål mail.docx", "A 34974-2022")</f>
        <v/>
      </c>
      <c r="X142">
        <f>HYPERLINK("https://klasma.github.io/Logging_0382/tillsyn/A 34974-2022 tillsynsbegäran.docx", "A 34974-2022")</f>
        <v/>
      </c>
      <c r="Y142">
        <f>HYPERLINK("https://klasma.github.io/Logging_0382/tillsynsmail/A 34974-2022 tillsynsbegäran mail.docx", "A 34974-2022")</f>
        <v/>
      </c>
    </row>
    <row r="143" ht="15" customHeight="1">
      <c r="A143" t="inlineStr">
        <is>
          <t>A 38442-2022</t>
        </is>
      </c>
      <c r="B143" s="1" t="n">
        <v>44813</v>
      </c>
      <c r="C143" s="1" t="n">
        <v>45665</v>
      </c>
      <c r="D143" t="inlineStr">
        <is>
          <t>UPPSALA LÄN</t>
        </is>
      </c>
      <c r="E143" t="inlineStr">
        <is>
          <t>ÖSTHAMMAR</t>
        </is>
      </c>
      <c r="F143" t="inlineStr">
        <is>
          <t>Kyrkan</t>
        </is>
      </c>
      <c r="G143" t="n">
        <v>2.9</v>
      </c>
      <c r="H143" t="n">
        <v>0</v>
      </c>
      <c r="I143" t="n">
        <v>0</v>
      </c>
      <c r="J143" t="n">
        <v>1</v>
      </c>
      <c r="K143" t="n">
        <v>0</v>
      </c>
      <c r="L143" t="n">
        <v>0</v>
      </c>
      <c r="M143" t="n">
        <v>0</v>
      </c>
      <c r="N143" t="n">
        <v>0</v>
      </c>
      <c r="O143" t="n">
        <v>1</v>
      </c>
      <c r="P143" t="n">
        <v>0</v>
      </c>
      <c r="Q143" t="n">
        <v>1</v>
      </c>
      <c r="R143" s="2" t="inlineStr">
        <is>
          <t>Slåtterfibbla</t>
        </is>
      </c>
      <c r="S143">
        <f>HYPERLINK("https://klasma.github.io/Logging_0382/artfynd/A 38442-2022 artfynd.xlsx", "A 38442-2022")</f>
        <v/>
      </c>
      <c r="T143">
        <f>HYPERLINK("https://klasma.github.io/Logging_0382/kartor/A 38442-2022 karta.png", "A 38442-2022")</f>
        <v/>
      </c>
      <c r="V143">
        <f>HYPERLINK("https://klasma.github.io/Logging_0382/klagomål/A 38442-2022 FSC-klagomål.docx", "A 38442-2022")</f>
        <v/>
      </c>
      <c r="W143">
        <f>HYPERLINK("https://klasma.github.io/Logging_0382/klagomålsmail/A 38442-2022 FSC-klagomål mail.docx", "A 38442-2022")</f>
        <v/>
      </c>
      <c r="X143">
        <f>HYPERLINK("https://klasma.github.io/Logging_0382/tillsyn/A 38442-2022 tillsynsbegäran.docx", "A 38442-2022")</f>
        <v/>
      </c>
      <c r="Y143">
        <f>HYPERLINK("https://klasma.github.io/Logging_0382/tillsynsmail/A 38442-2022 tillsynsbegäran mail.docx", "A 38442-2022")</f>
        <v/>
      </c>
    </row>
    <row r="144" ht="15" customHeight="1">
      <c r="A144" t="inlineStr">
        <is>
          <t>A 52648-2022</t>
        </is>
      </c>
      <c r="B144" s="1" t="n">
        <v>44874</v>
      </c>
      <c r="C144" s="1" t="n">
        <v>45665</v>
      </c>
      <c r="D144" t="inlineStr">
        <is>
          <t>UPPSALA LÄN</t>
        </is>
      </c>
      <c r="E144" t="inlineStr">
        <is>
          <t>ÖSTHAMMAR</t>
        </is>
      </c>
      <c r="F144" t="inlineStr">
        <is>
          <t>Bergvik skog öst AB</t>
        </is>
      </c>
      <c r="G144" t="n">
        <v>2.3</v>
      </c>
      <c r="H144" t="n">
        <v>1</v>
      </c>
      <c r="I144" t="n">
        <v>0</v>
      </c>
      <c r="J144" t="n">
        <v>1</v>
      </c>
      <c r="K144" t="n">
        <v>0</v>
      </c>
      <c r="L144" t="n">
        <v>0</v>
      </c>
      <c r="M144" t="n">
        <v>0</v>
      </c>
      <c r="N144" t="n">
        <v>0</v>
      </c>
      <c r="O144" t="n">
        <v>1</v>
      </c>
      <c r="P144" t="n">
        <v>0</v>
      </c>
      <c r="Q144" t="n">
        <v>1</v>
      </c>
      <c r="R144" s="2" t="inlineStr">
        <is>
          <t>Buskskvätta</t>
        </is>
      </c>
      <c r="S144">
        <f>HYPERLINK("https://klasma.github.io/Logging_0382/artfynd/A 52648-2022 artfynd.xlsx", "A 52648-2022")</f>
        <v/>
      </c>
      <c r="T144">
        <f>HYPERLINK("https://klasma.github.io/Logging_0382/kartor/A 52648-2022 karta.png", "A 52648-2022")</f>
        <v/>
      </c>
      <c r="V144">
        <f>HYPERLINK("https://klasma.github.io/Logging_0382/klagomål/A 52648-2022 FSC-klagomål.docx", "A 52648-2022")</f>
        <v/>
      </c>
      <c r="W144">
        <f>HYPERLINK("https://klasma.github.io/Logging_0382/klagomålsmail/A 52648-2022 FSC-klagomål mail.docx", "A 52648-2022")</f>
        <v/>
      </c>
      <c r="X144">
        <f>HYPERLINK("https://klasma.github.io/Logging_0382/tillsyn/A 52648-2022 tillsynsbegäran.docx", "A 52648-2022")</f>
        <v/>
      </c>
      <c r="Y144">
        <f>HYPERLINK("https://klasma.github.io/Logging_0382/tillsynsmail/A 52648-2022 tillsynsbegäran mail.docx", "A 52648-2022")</f>
        <v/>
      </c>
      <c r="Z144">
        <f>HYPERLINK("https://klasma.github.io/Logging_0382/fåglar/A 52648-2022 prioriterade fågelarter.docx", "A 52648-2022")</f>
        <v/>
      </c>
    </row>
    <row r="145" ht="15" customHeight="1">
      <c r="A145" t="inlineStr">
        <is>
          <t>A 52651-2022</t>
        </is>
      </c>
      <c r="B145" s="1" t="n">
        <v>44874</v>
      </c>
      <c r="C145" s="1" t="n">
        <v>45665</v>
      </c>
      <c r="D145" t="inlineStr">
        <is>
          <t>UPPSALA LÄN</t>
        </is>
      </c>
      <c r="E145" t="inlineStr">
        <is>
          <t>ÖSTHAMMAR</t>
        </is>
      </c>
      <c r="F145" t="inlineStr">
        <is>
          <t>Bergvik skog öst AB</t>
        </is>
      </c>
      <c r="G145" t="n">
        <v>0.6</v>
      </c>
      <c r="H145" t="n">
        <v>1</v>
      </c>
      <c r="I145" t="n">
        <v>0</v>
      </c>
      <c r="J145" t="n">
        <v>1</v>
      </c>
      <c r="K145" t="n">
        <v>0</v>
      </c>
      <c r="L145" t="n">
        <v>0</v>
      </c>
      <c r="M145" t="n">
        <v>0</v>
      </c>
      <c r="N145" t="n">
        <v>0</v>
      </c>
      <c r="O145" t="n">
        <v>1</v>
      </c>
      <c r="P145" t="n">
        <v>0</v>
      </c>
      <c r="Q145" t="n">
        <v>1</v>
      </c>
      <c r="R145" s="2" t="inlineStr">
        <is>
          <t>Svartvit flugsnappare</t>
        </is>
      </c>
      <c r="S145">
        <f>HYPERLINK("https://klasma.github.io/Logging_0382/artfynd/A 52651-2022 artfynd.xlsx", "A 52651-2022")</f>
        <v/>
      </c>
      <c r="T145">
        <f>HYPERLINK("https://klasma.github.io/Logging_0382/kartor/A 52651-2022 karta.png", "A 52651-2022")</f>
        <v/>
      </c>
      <c r="V145">
        <f>HYPERLINK("https://klasma.github.io/Logging_0382/klagomål/A 52651-2022 FSC-klagomål.docx", "A 52651-2022")</f>
        <v/>
      </c>
      <c r="W145">
        <f>HYPERLINK("https://klasma.github.io/Logging_0382/klagomålsmail/A 52651-2022 FSC-klagomål mail.docx", "A 52651-2022")</f>
        <v/>
      </c>
      <c r="X145">
        <f>HYPERLINK("https://klasma.github.io/Logging_0382/tillsyn/A 52651-2022 tillsynsbegäran.docx", "A 52651-2022")</f>
        <v/>
      </c>
      <c r="Y145">
        <f>HYPERLINK("https://klasma.github.io/Logging_0382/tillsynsmail/A 52651-2022 tillsynsbegäran mail.docx", "A 52651-2022")</f>
        <v/>
      </c>
      <c r="Z145">
        <f>HYPERLINK("https://klasma.github.io/Logging_0382/fåglar/A 52651-2022 prioriterade fågelarter.docx", "A 52651-2022")</f>
        <v/>
      </c>
    </row>
    <row r="146" ht="15" customHeight="1">
      <c r="A146" t="inlineStr">
        <is>
          <t>A 52818-2022</t>
        </is>
      </c>
      <c r="B146" s="1" t="n">
        <v>44875</v>
      </c>
      <c r="C146" s="1" t="n">
        <v>45665</v>
      </c>
      <c r="D146" t="inlineStr">
        <is>
          <t>UPPSALA LÄN</t>
        </is>
      </c>
      <c r="E146" t="inlineStr">
        <is>
          <t>ÖSTHAMMAR</t>
        </is>
      </c>
      <c r="G146" t="n">
        <v>0.9</v>
      </c>
      <c r="H146" t="n">
        <v>1</v>
      </c>
      <c r="I146" t="n">
        <v>1</v>
      </c>
      <c r="J146" t="n">
        <v>0</v>
      </c>
      <c r="K146" t="n">
        <v>0</v>
      </c>
      <c r="L146" t="n">
        <v>0</v>
      </c>
      <c r="M146" t="n">
        <v>0</v>
      </c>
      <c r="N146" t="n">
        <v>0</v>
      </c>
      <c r="O146" t="n">
        <v>0</v>
      </c>
      <c r="P146" t="n">
        <v>0</v>
      </c>
      <c r="Q146" t="n">
        <v>1</v>
      </c>
      <c r="R146" s="2" t="inlineStr">
        <is>
          <t>Guckusko</t>
        </is>
      </c>
      <c r="S146">
        <f>HYPERLINK("https://klasma.github.io/Logging_0382/artfynd/A 52818-2022 artfynd.xlsx", "A 52818-2022")</f>
        <v/>
      </c>
      <c r="T146">
        <f>HYPERLINK("https://klasma.github.io/Logging_0382/kartor/A 52818-2022 karta.png", "A 52818-2022")</f>
        <v/>
      </c>
      <c r="V146">
        <f>HYPERLINK("https://klasma.github.io/Logging_0382/klagomål/A 52818-2022 FSC-klagomål.docx", "A 52818-2022")</f>
        <v/>
      </c>
      <c r="W146">
        <f>HYPERLINK("https://klasma.github.io/Logging_0382/klagomålsmail/A 52818-2022 FSC-klagomål mail.docx", "A 52818-2022")</f>
        <v/>
      </c>
      <c r="X146">
        <f>HYPERLINK("https://klasma.github.io/Logging_0382/tillsyn/A 52818-2022 tillsynsbegäran.docx", "A 52818-2022")</f>
        <v/>
      </c>
      <c r="Y146">
        <f>HYPERLINK("https://klasma.github.io/Logging_0382/tillsynsmail/A 52818-2022 tillsynsbegäran mail.docx", "A 52818-2022")</f>
        <v/>
      </c>
    </row>
    <row r="147" ht="15" customHeight="1">
      <c r="A147" t="inlineStr">
        <is>
          <t>A 1390-2023</t>
        </is>
      </c>
      <c r="B147" s="1" t="n">
        <v>44936</v>
      </c>
      <c r="C147" s="1" t="n">
        <v>45665</v>
      </c>
      <c r="D147" t="inlineStr">
        <is>
          <t>UPPSALA LÄN</t>
        </is>
      </c>
      <c r="E147" t="inlineStr">
        <is>
          <t>ÖSTHAMMAR</t>
        </is>
      </c>
      <c r="G147" t="n">
        <v>1.9</v>
      </c>
      <c r="H147" t="n">
        <v>1</v>
      </c>
      <c r="I147" t="n">
        <v>0</v>
      </c>
      <c r="J147" t="n">
        <v>0</v>
      </c>
      <c r="K147" t="n">
        <v>1</v>
      </c>
      <c r="L147" t="n">
        <v>0</v>
      </c>
      <c r="M147" t="n">
        <v>0</v>
      </c>
      <c r="N147" t="n">
        <v>0</v>
      </c>
      <c r="O147" t="n">
        <v>1</v>
      </c>
      <c r="P147" t="n">
        <v>1</v>
      </c>
      <c r="Q147" t="n">
        <v>1</v>
      </c>
      <c r="R147" s="2" t="inlineStr">
        <is>
          <t>Tallbit</t>
        </is>
      </c>
      <c r="S147">
        <f>HYPERLINK("https://klasma.github.io/Logging_0382/artfynd/A 1390-2023 artfynd.xlsx", "A 1390-2023")</f>
        <v/>
      </c>
      <c r="T147">
        <f>HYPERLINK("https://klasma.github.io/Logging_0382/kartor/A 1390-2023 karta.png", "A 1390-2023")</f>
        <v/>
      </c>
      <c r="V147">
        <f>HYPERLINK("https://klasma.github.io/Logging_0382/klagomål/A 1390-2023 FSC-klagomål.docx", "A 1390-2023")</f>
        <v/>
      </c>
      <c r="W147">
        <f>HYPERLINK("https://klasma.github.io/Logging_0382/klagomålsmail/A 1390-2023 FSC-klagomål mail.docx", "A 1390-2023")</f>
        <v/>
      </c>
      <c r="X147">
        <f>HYPERLINK("https://klasma.github.io/Logging_0382/tillsyn/A 1390-2023 tillsynsbegäran.docx", "A 1390-2023")</f>
        <v/>
      </c>
      <c r="Y147">
        <f>HYPERLINK("https://klasma.github.io/Logging_0382/tillsynsmail/A 1390-2023 tillsynsbegäran mail.docx", "A 1390-2023")</f>
        <v/>
      </c>
      <c r="Z147">
        <f>HYPERLINK("https://klasma.github.io/Logging_0382/fåglar/A 1390-2023 prioriterade fågelarter.docx", "A 1390-2023")</f>
        <v/>
      </c>
    </row>
    <row r="148" ht="15" customHeight="1">
      <c r="A148" t="inlineStr">
        <is>
          <t>A 4054-2023</t>
        </is>
      </c>
      <c r="B148" s="1" t="n">
        <v>44952</v>
      </c>
      <c r="C148" s="1" t="n">
        <v>45665</v>
      </c>
      <c r="D148" t="inlineStr">
        <is>
          <t>UPPSALA LÄN</t>
        </is>
      </c>
      <c r="E148" t="inlineStr">
        <is>
          <t>ÖSTHAMMAR</t>
        </is>
      </c>
      <c r="F148" t="inlineStr">
        <is>
          <t>Övriga Aktiebolag</t>
        </is>
      </c>
      <c r="G148" t="n">
        <v>1.1</v>
      </c>
      <c r="H148" t="n">
        <v>1</v>
      </c>
      <c r="I148" t="n">
        <v>0</v>
      </c>
      <c r="J148" t="n">
        <v>0</v>
      </c>
      <c r="K148" t="n">
        <v>0</v>
      </c>
      <c r="L148" t="n">
        <v>0</v>
      </c>
      <c r="M148" t="n">
        <v>0</v>
      </c>
      <c r="N148" t="n">
        <v>0</v>
      </c>
      <c r="O148" t="n">
        <v>0</v>
      </c>
      <c r="P148" t="n">
        <v>0</v>
      </c>
      <c r="Q148" t="n">
        <v>1</v>
      </c>
      <c r="R148" s="2" t="inlineStr">
        <is>
          <t>Lopplummer</t>
        </is>
      </c>
      <c r="S148">
        <f>HYPERLINK("https://klasma.github.io/Logging_0382/artfynd/A 4054-2023 artfynd.xlsx", "A 4054-2023")</f>
        <v/>
      </c>
      <c r="T148">
        <f>HYPERLINK("https://klasma.github.io/Logging_0382/kartor/A 4054-2023 karta.png", "A 4054-2023")</f>
        <v/>
      </c>
      <c r="V148">
        <f>HYPERLINK("https://klasma.github.io/Logging_0382/klagomål/A 4054-2023 FSC-klagomål.docx", "A 4054-2023")</f>
        <v/>
      </c>
      <c r="W148">
        <f>HYPERLINK("https://klasma.github.io/Logging_0382/klagomålsmail/A 4054-2023 FSC-klagomål mail.docx", "A 4054-2023")</f>
        <v/>
      </c>
      <c r="X148">
        <f>HYPERLINK("https://klasma.github.io/Logging_0382/tillsyn/A 4054-2023 tillsynsbegäran.docx", "A 4054-2023")</f>
        <v/>
      </c>
      <c r="Y148">
        <f>HYPERLINK("https://klasma.github.io/Logging_0382/tillsynsmail/A 4054-2023 tillsynsbegäran mail.docx", "A 4054-2023")</f>
        <v/>
      </c>
    </row>
    <row r="149" ht="15" customHeight="1">
      <c r="A149" t="inlineStr">
        <is>
          <t>A 9264-2023</t>
        </is>
      </c>
      <c r="B149" s="1" t="n">
        <v>44980</v>
      </c>
      <c r="C149" s="1" t="n">
        <v>45665</v>
      </c>
      <c r="D149" t="inlineStr">
        <is>
          <t>UPPSALA LÄN</t>
        </is>
      </c>
      <c r="E149" t="inlineStr">
        <is>
          <t>ÖSTHAMMAR</t>
        </is>
      </c>
      <c r="F149" t="inlineStr">
        <is>
          <t>Övriga Aktiebolag</t>
        </is>
      </c>
      <c r="G149" t="n">
        <v>2.1</v>
      </c>
      <c r="H149" t="n">
        <v>1</v>
      </c>
      <c r="I149" t="n">
        <v>0</v>
      </c>
      <c r="J149" t="n">
        <v>0</v>
      </c>
      <c r="K149" t="n">
        <v>0</v>
      </c>
      <c r="L149" t="n">
        <v>1</v>
      </c>
      <c r="M149" t="n">
        <v>0</v>
      </c>
      <c r="N149" t="n">
        <v>0</v>
      </c>
      <c r="O149" t="n">
        <v>1</v>
      </c>
      <c r="P149" t="n">
        <v>1</v>
      </c>
      <c r="Q149" t="n">
        <v>1</v>
      </c>
      <c r="R149" s="2" t="inlineStr">
        <is>
          <t>Asknätfjäril</t>
        </is>
      </c>
      <c r="S149">
        <f>HYPERLINK("https://klasma.github.io/Logging_0382/artfynd/A 9264-2023 artfynd.xlsx", "A 9264-2023")</f>
        <v/>
      </c>
      <c r="T149">
        <f>HYPERLINK("https://klasma.github.io/Logging_0382/kartor/A 9264-2023 karta.png", "A 9264-2023")</f>
        <v/>
      </c>
      <c r="V149">
        <f>HYPERLINK("https://klasma.github.io/Logging_0382/klagomål/A 9264-2023 FSC-klagomål.docx", "A 9264-2023")</f>
        <v/>
      </c>
      <c r="W149">
        <f>HYPERLINK("https://klasma.github.io/Logging_0382/klagomålsmail/A 9264-2023 FSC-klagomål mail.docx", "A 9264-2023")</f>
        <v/>
      </c>
      <c r="X149">
        <f>HYPERLINK("https://klasma.github.io/Logging_0382/tillsyn/A 9264-2023 tillsynsbegäran.docx", "A 9264-2023")</f>
        <v/>
      </c>
      <c r="Y149">
        <f>HYPERLINK("https://klasma.github.io/Logging_0382/tillsynsmail/A 9264-2023 tillsynsbegäran mail.docx", "A 9264-2023")</f>
        <v/>
      </c>
    </row>
    <row r="150" ht="15" customHeight="1">
      <c r="A150" t="inlineStr">
        <is>
          <t>A 10034-2023</t>
        </is>
      </c>
      <c r="B150" s="1" t="n">
        <v>44985</v>
      </c>
      <c r="C150" s="1" t="n">
        <v>45665</v>
      </c>
      <c r="D150" t="inlineStr">
        <is>
          <t>UPPSALA LÄN</t>
        </is>
      </c>
      <c r="E150" t="inlineStr">
        <is>
          <t>ÖSTHAMMAR</t>
        </is>
      </c>
      <c r="G150" t="n">
        <v>2.1</v>
      </c>
      <c r="H150" t="n">
        <v>1</v>
      </c>
      <c r="I150" t="n">
        <v>0</v>
      </c>
      <c r="J150" t="n">
        <v>0</v>
      </c>
      <c r="K150" t="n">
        <v>0</v>
      </c>
      <c r="L150" t="n">
        <v>0</v>
      </c>
      <c r="M150" t="n">
        <v>0</v>
      </c>
      <c r="N150" t="n">
        <v>0</v>
      </c>
      <c r="O150" t="n">
        <v>0</v>
      </c>
      <c r="P150" t="n">
        <v>0</v>
      </c>
      <c r="Q150" t="n">
        <v>1</v>
      </c>
      <c r="R150" s="2" t="inlineStr">
        <is>
          <t>Blåsippa</t>
        </is>
      </c>
      <c r="S150">
        <f>HYPERLINK("https://klasma.github.io/Logging_0382/artfynd/A 10034-2023 artfynd.xlsx", "A 10034-2023")</f>
        <v/>
      </c>
      <c r="T150">
        <f>HYPERLINK("https://klasma.github.io/Logging_0382/kartor/A 10034-2023 karta.png", "A 10034-2023")</f>
        <v/>
      </c>
      <c r="V150">
        <f>HYPERLINK("https://klasma.github.io/Logging_0382/klagomål/A 10034-2023 FSC-klagomål.docx", "A 10034-2023")</f>
        <v/>
      </c>
      <c r="W150">
        <f>HYPERLINK("https://klasma.github.io/Logging_0382/klagomålsmail/A 10034-2023 FSC-klagomål mail.docx", "A 10034-2023")</f>
        <v/>
      </c>
      <c r="X150">
        <f>HYPERLINK("https://klasma.github.io/Logging_0382/tillsyn/A 10034-2023 tillsynsbegäran.docx", "A 10034-2023")</f>
        <v/>
      </c>
      <c r="Y150">
        <f>HYPERLINK("https://klasma.github.io/Logging_0382/tillsynsmail/A 10034-2023 tillsynsbegäran mail.docx", "A 10034-2023")</f>
        <v/>
      </c>
    </row>
    <row r="151" ht="15" customHeight="1">
      <c r="A151" t="inlineStr">
        <is>
          <t>A 14706-2023</t>
        </is>
      </c>
      <c r="B151" s="1" t="n">
        <v>45013</v>
      </c>
      <c r="C151" s="1" t="n">
        <v>45665</v>
      </c>
      <c r="D151" t="inlineStr">
        <is>
          <t>UPPSALA LÄN</t>
        </is>
      </c>
      <c r="E151" t="inlineStr">
        <is>
          <t>ÖSTHAMMAR</t>
        </is>
      </c>
      <c r="G151" t="n">
        <v>0.9</v>
      </c>
      <c r="H151" t="n">
        <v>0</v>
      </c>
      <c r="I151" t="n">
        <v>1</v>
      </c>
      <c r="J151" t="n">
        <v>0</v>
      </c>
      <c r="K151" t="n">
        <v>0</v>
      </c>
      <c r="L151" t="n">
        <v>0</v>
      </c>
      <c r="M151" t="n">
        <v>0</v>
      </c>
      <c r="N151" t="n">
        <v>0</v>
      </c>
      <c r="O151" t="n">
        <v>0</v>
      </c>
      <c r="P151" t="n">
        <v>0</v>
      </c>
      <c r="Q151" t="n">
        <v>1</v>
      </c>
      <c r="R151" s="2" t="inlineStr">
        <is>
          <t>Olivspindling</t>
        </is>
      </c>
      <c r="S151">
        <f>HYPERLINK("https://klasma.github.io/Logging_0382/artfynd/A 14706-2023 artfynd.xlsx", "A 14706-2023")</f>
        <v/>
      </c>
      <c r="T151">
        <f>HYPERLINK("https://klasma.github.io/Logging_0382/kartor/A 14706-2023 karta.png", "A 14706-2023")</f>
        <v/>
      </c>
      <c r="V151">
        <f>HYPERLINK("https://klasma.github.io/Logging_0382/klagomål/A 14706-2023 FSC-klagomål.docx", "A 14706-2023")</f>
        <v/>
      </c>
      <c r="W151">
        <f>HYPERLINK("https://klasma.github.io/Logging_0382/klagomålsmail/A 14706-2023 FSC-klagomål mail.docx", "A 14706-2023")</f>
        <v/>
      </c>
      <c r="X151">
        <f>HYPERLINK("https://klasma.github.io/Logging_0382/tillsyn/A 14706-2023 tillsynsbegäran.docx", "A 14706-2023")</f>
        <v/>
      </c>
      <c r="Y151">
        <f>HYPERLINK("https://klasma.github.io/Logging_0382/tillsynsmail/A 14706-2023 tillsynsbegäran mail.docx", "A 14706-2023")</f>
        <v/>
      </c>
    </row>
    <row r="152" ht="15" customHeight="1">
      <c r="A152" t="inlineStr">
        <is>
          <t>A 15628-2023</t>
        </is>
      </c>
      <c r="B152" s="1" t="n">
        <v>45021</v>
      </c>
      <c r="C152" s="1" t="n">
        <v>45665</v>
      </c>
      <c r="D152" t="inlineStr">
        <is>
          <t>UPPSALA LÄN</t>
        </is>
      </c>
      <c r="E152" t="inlineStr">
        <is>
          <t>ÖSTHAMMAR</t>
        </is>
      </c>
      <c r="F152" t="inlineStr">
        <is>
          <t>Övriga Aktiebolag</t>
        </is>
      </c>
      <c r="G152" t="n">
        <v>14.8</v>
      </c>
      <c r="H152" t="n">
        <v>1</v>
      </c>
      <c r="I152" t="n">
        <v>0</v>
      </c>
      <c r="J152" t="n">
        <v>0</v>
      </c>
      <c r="K152" t="n">
        <v>1</v>
      </c>
      <c r="L152" t="n">
        <v>0</v>
      </c>
      <c r="M152" t="n">
        <v>0</v>
      </c>
      <c r="N152" t="n">
        <v>0</v>
      </c>
      <c r="O152" t="n">
        <v>1</v>
      </c>
      <c r="P152" t="n">
        <v>1</v>
      </c>
      <c r="Q152" t="n">
        <v>1</v>
      </c>
      <c r="R152" s="2" t="inlineStr">
        <is>
          <t>Knärot</t>
        </is>
      </c>
      <c r="S152">
        <f>HYPERLINK("https://klasma.github.io/Logging_0382/artfynd/A 15628-2023 artfynd.xlsx", "A 15628-2023")</f>
        <v/>
      </c>
      <c r="T152">
        <f>HYPERLINK("https://klasma.github.io/Logging_0382/kartor/A 15628-2023 karta.png", "A 15628-2023")</f>
        <v/>
      </c>
      <c r="U152">
        <f>HYPERLINK("https://klasma.github.io/Logging_0382/knärot/A 15628-2023 karta knärot.png", "A 15628-2023")</f>
        <v/>
      </c>
      <c r="V152">
        <f>HYPERLINK("https://klasma.github.io/Logging_0382/klagomål/A 15628-2023 FSC-klagomål.docx", "A 15628-2023")</f>
        <v/>
      </c>
      <c r="W152">
        <f>HYPERLINK("https://klasma.github.io/Logging_0382/klagomålsmail/A 15628-2023 FSC-klagomål mail.docx", "A 15628-2023")</f>
        <v/>
      </c>
      <c r="X152">
        <f>HYPERLINK("https://klasma.github.io/Logging_0382/tillsyn/A 15628-2023 tillsynsbegäran.docx", "A 15628-2023")</f>
        <v/>
      </c>
      <c r="Y152">
        <f>HYPERLINK("https://klasma.github.io/Logging_0382/tillsynsmail/A 15628-2023 tillsynsbegäran mail.docx", "A 15628-2023")</f>
        <v/>
      </c>
    </row>
    <row r="153" ht="15" customHeight="1">
      <c r="A153" t="inlineStr">
        <is>
          <t>A 19100-2023</t>
        </is>
      </c>
      <c r="B153" s="1" t="n">
        <v>45048</v>
      </c>
      <c r="C153" s="1" t="n">
        <v>45665</v>
      </c>
      <c r="D153" t="inlineStr">
        <is>
          <t>UPPSALA LÄN</t>
        </is>
      </c>
      <c r="E153" t="inlineStr">
        <is>
          <t>ÖSTHAMMAR</t>
        </is>
      </c>
      <c r="F153" t="inlineStr">
        <is>
          <t>Bergvik skog öst AB</t>
        </is>
      </c>
      <c r="G153" t="n">
        <v>2.1</v>
      </c>
      <c r="H153" t="n">
        <v>1</v>
      </c>
      <c r="I153" t="n">
        <v>0</v>
      </c>
      <c r="J153" t="n">
        <v>0</v>
      </c>
      <c r="K153" t="n">
        <v>0</v>
      </c>
      <c r="L153" t="n">
        <v>0</v>
      </c>
      <c r="M153" t="n">
        <v>0</v>
      </c>
      <c r="N153" t="n">
        <v>0</v>
      </c>
      <c r="O153" t="n">
        <v>0</v>
      </c>
      <c r="P153" t="n">
        <v>0</v>
      </c>
      <c r="Q153" t="n">
        <v>1</v>
      </c>
      <c r="R153" s="2" t="inlineStr">
        <is>
          <t>Blåsippa</t>
        </is>
      </c>
      <c r="S153">
        <f>HYPERLINK("https://klasma.github.io/Logging_0382/artfynd/A 19100-2023 artfynd.xlsx", "A 19100-2023")</f>
        <v/>
      </c>
      <c r="T153">
        <f>HYPERLINK("https://klasma.github.io/Logging_0382/kartor/A 19100-2023 karta.png", "A 19100-2023")</f>
        <v/>
      </c>
      <c r="V153">
        <f>HYPERLINK("https://klasma.github.io/Logging_0382/klagomål/A 19100-2023 FSC-klagomål.docx", "A 19100-2023")</f>
        <v/>
      </c>
      <c r="W153">
        <f>HYPERLINK("https://klasma.github.io/Logging_0382/klagomålsmail/A 19100-2023 FSC-klagomål mail.docx", "A 19100-2023")</f>
        <v/>
      </c>
      <c r="X153">
        <f>HYPERLINK("https://klasma.github.io/Logging_0382/tillsyn/A 19100-2023 tillsynsbegäran.docx", "A 19100-2023")</f>
        <v/>
      </c>
      <c r="Y153">
        <f>HYPERLINK("https://klasma.github.io/Logging_0382/tillsynsmail/A 19100-2023 tillsynsbegäran mail.docx", "A 19100-2023")</f>
        <v/>
      </c>
    </row>
    <row r="154" ht="15" customHeight="1">
      <c r="A154" t="inlineStr">
        <is>
          <t>A 21628-2023</t>
        </is>
      </c>
      <c r="B154" s="1" t="n">
        <v>45063</v>
      </c>
      <c r="C154" s="1" t="n">
        <v>45665</v>
      </c>
      <c r="D154" t="inlineStr">
        <is>
          <t>UPPSALA LÄN</t>
        </is>
      </c>
      <c r="E154" t="inlineStr">
        <is>
          <t>ÖSTHAMMAR</t>
        </is>
      </c>
      <c r="F154" t="inlineStr">
        <is>
          <t>Sveaskog</t>
        </is>
      </c>
      <c r="G154" t="n">
        <v>4.9</v>
      </c>
      <c r="H154" t="n">
        <v>1</v>
      </c>
      <c r="I154" t="n">
        <v>0</v>
      </c>
      <c r="J154" t="n">
        <v>1</v>
      </c>
      <c r="K154" t="n">
        <v>0</v>
      </c>
      <c r="L154" t="n">
        <v>0</v>
      </c>
      <c r="M154" t="n">
        <v>0</v>
      </c>
      <c r="N154" t="n">
        <v>0</v>
      </c>
      <c r="O154" t="n">
        <v>1</v>
      </c>
      <c r="P154" t="n">
        <v>0</v>
      </c>
      <c r="Q154" t="n">
        <v>1</v>
      </c>
      <c r="R154" s="2" t="inlineStr">
        <is>
          <t>Slaguggla</t>
        </is>
      </c>
      <c r="S154">
        <f>HYPERLINK("https://klasma.github.io/Logging_0382/artfynd/A 21628-2023 artfynd.xlsx", "A 21628-2023")</f>
        <v/>
      </c>
      <c r="T154">
        <f>HYPERLINK("https://klasma.github.io/Logging_0382/kartor/A 21628-2023 karta.png", "A 21628-2023")</f>
        <v/>
      </c>
      <c r="V154">
        <f>HYPERLINK("https://klasma.github.io/Logging_0382/klagomål/A 21628-2023 FSC-klagomål.docx", "A 21628-2023")</f>
        <v/>
      </c>
      <c r="W154">
        <f>HYPERLINK("https://klasma.github.io/Logging_0382/klagomålsmail/A 21628-2023 FSC-klagomål mail.docx", "A 21628-2023")</f>
        <v/>
      </c>
      <c r="X154">
        <f>HYPERLINK("https://klasma.github.io/Logging_0382/tillsyn/A 21628-2023 tillsynsbegäran.docx", "A 21628-2023")</f>
        <v/>
      </c>
      <c r="Y154">
        <f>HYPERLINK("https://klasma.github.io/Logging_0382/tillsynsmail/A 21628-2023 tillsynsbegäran mail.docx", "A 21628-2023")</f>
        <v/>
      </c>
      <c r="Z154">
        <f>HYPERLINK("https://klasma.github.io/Logging_0382/fåglar/A 21628-2023 prioriterade fågelarter.docx", "A 21628-2023")</f>
        <v/>
      </c>
    </row>
    <row r="155" ht="15" customHeight="1">
      <c r="A155" t="inlineStr">
        <is>
          <t>A 22307-2023</t>
        </is>
      </c>
      <c r="B155" s="1" t="n">
        <v>45070</v>
      </c>
      <c r="C155" s="1" t="n">
        <v>45665</v>
      </c>
      <c r="D155" t="inlineStr">
        <is>
          <t>UPPSALA LÄN</t>
        </is>
      </c>
      <c r="E155" t="inlineStr">
        <is>
          <t>ÖSTHAMMAR</t>
        </is>
      </c>
      <c r="F155" t="inlineStr">
        <is>
          <t>Bergvik skog öst AB</t>
        </is>
      </c>
      <c r="G155" t="n">
        <v>13.9</v>
      </c>
      <c r="H155" t="n">
        <v>0</v>
      </c>
      <c r="I155" t="n">
        <v>1</v>
      </c>
      <c r="J155" t="n">
        <v>0</v>
      </c>
      <c r="K155" t="n">
        <v>0</v>
      </c>
      <c r="L155" t="n">
        <v>0</v>
      </c>
      <c r="M155" t="n">
        <v>0</v>
      </c>
      <c r="N155" t="n">
        <v>0</v>
      </c>
      <c r="O155" t="n">
        <v>0</v>
      </c>
      <c r="P155" t="n">
        <v>0</v>
      </c>
      <c r="Q155" t="n">
        <v>1</v>
      </c>
      <c r="R155" s="2" t="inlineStr">
        <is>
          <t>Myskmadra</t>
        </is>
      </c>
      <c r="S155">
        <f>HYPERLINK("https://klasma.github.io/Logging_0382/artfynd/A 22307-2023 artfynd.xlsx", "A 22307-2023")</f>
        <v/>
      </c>
      <c r="T155">
        <f>HYPERLINK("https://klasma.github.io/Logging_0382/kartor/A 22307-2023 karta.png", "A 22307-2023")</f>
        <v/>
      </c>
      <c r="V155">
        <f>HYPERLINK("https://klasma.github.io/Logging_0382/klagomål/A 22307-2023 FSC-klagomål.docx", "A 22307-2023")</f>
        <v/>
      </c>
      <c r="W155">
        <f>HYPERLINK("https://klasma.github.io/Logging_0382/klagomålsmail/A 22307-2023 FSC-klagomål mail.docx", "A 22307-2023")</f>
        <v/>
      </c>
      <c r="X155">
        <f>HYPERLINK("https://klasma.github.io/Logging_0382/tillsyn/A 22307-2023 tillsynsbegäran.docx", "A 22307-2023")</f>
        <v/>
      </c>
      <c r="Y155">
        <f>HYPERLINK("https://klasma.github.io/Logging_0382/tillsynsmail/A 22307-2023 tillsynsbegäran mail.docx", "A 22307-2023")</f>
        <v/>
      </c>
    </row>
    <row r="156" ht="15" customHeight="1">
      <c r="A156" t="inlineStr">
        <is>
          <t>A 22287-2023</t>
        </is>
      </c>
      <c r="B156" s="1" t="n">
        <v>45070</v>
      </c>
      <c r="C156" s="1" t="n">
        <v>45665</v>
      </c>
      <c r="D156" t="inlineStr">
        <is>
          <t>UPPSALA LÄN</t>
        </is>
      </c>
      <c r="E156" t="inlineStr">
        <is>
          <t>ÖSTHAMMAR</t>
        </is>
      </c>
      <c r="G156" t="n">
        <v>6.3</v>
      </c>
      <c r="H156" t="n">
        <v>1</v>
      </c>
      <c r="I156" t="n">
        <v>1</v>
      </c>
      <c r="J156" t="n">
        <v>0</v>
      </c>
      <c r="K156" t="n">
        <v>0</v>
      </c>
      <c r="L156" t="n">
        <v>0</v>
      </c>
      <c r="M156" t="n">
        <v>0</v>
      </c>
      <c r="N156" t="n">
        <v>0</v>
      </c>
      <c r="O156" t="n">
        <v>0</v>
      </c>
      <c r="P156" t="n">
        <v>0</v>
      </c>
      <c r="Q156" t="n">
        <v>1</v>
      </c>
      <c r="R156" s="2" t="inlineStr">
        <is>
          <t>Guckusko</t>
        </is>
      </c>
      <c r="S156">
        <f>HYPERLINK("https://klasma.github.io/Logging_0382/artfynd/A 22287-2023 artfynd.xlsx", "A 22287-2023")</f>
        <v/>
      </c>
      <c r="T156">
        <f>HYPERLINK("https://klasma.github.io/Logging_0382/kartor/A 22287-2023 karta.png", "A 22287-2023")</f>
        <v/>
      </c>
      <c r="V156">
        <f>HYPERLINK("https://klasma.github.io/Logging_0382/klagomål/A 22287-2023 FSC-klagomål.docx", "A 22287-2023")</f>
        <v/>
      </c>
      <c r="W156">
        <f>HYPERLINK("https://klasma.github.io/Logging_0382/klagomålsmail/A 22287-2023 FSC-klagomål mail.docx", "A 22287-2023")</f>
        <v/>
      </c>
      <c r="X156">
        <f>HYPERLINK("https://klasma.github.io/Logging_0382/tillsyn/A 22287-2023 tillsynsbegäran.docx", "A 22287-2023")</f>
        <v/>
      </c>
      <c r="Y156">
        <f>HYPERLINK("https://klasma.github.io/Logging_0382/tillsynsmail/A 22287-2023 tillsynsbegäran mail.docx", "A 22287-2023")</f>
        <v/>
      </c>
    </row>
    <row r="157" ht="15" customHeight="1">
      <c r="A157" t="inlineStr">
        <is>
          <t>A 22688-2023</t>
        </is>
      </c>
      <c r="B157" s="1" t="n">
        <v>45071</v>
      </c>
      <c r="C157" s="1" t="n">
        <v>45665</v>
      </c>
      <c r="D157" t="inlineStr">
        <is>
          <t>UPPSALA LÄN</t>
        </is>
      </c>
      <c r="E157" t="inlineStr">
        <is>
          <t>ÖSTHAMMAR</t>
        </is>
      </c>
      <c r="G157" t="n">
        <v>3</v>
      </c>
      <c r="H157" t="n">
        <v>1</v>
      </c>
      <c r="I157" t="n">
        <v>1</v>
      </c>
      <c r="J157" t="n">
        <v>0</v>
      </c>
      <c r="K157" t="n">
        <v>0</v>
      </c>
      <c r="L157" t="n">
        <v>0</v>
      </c>
      <c r="M157" t="n">
        <v>0</v>
      </c>
      <c r="N157" t="n">
        <v>0</v>
      </c>
      <c r="O157" t="n">
        <v>0</v>
      </c>
      <c r="P157" t="n">
        <v>0</v>
      </c>
      <c r="Q157" t="n">
        <v>1</v>
      </c>
      <c r="R157" s="2" t="inlineStr">
        <is>
          <t>Nästrot</t>
        </is>
      </c>
      <c r="S157">
        <f>HYPERLINK("https://klasma.github.io/Logging_0382/artfynd/A 22688-2023 artfynd.xlsx", "A 22688-2023")</f>
        <v/>
      </c>
      <c r="T157">
        <f>HYPERLINK("https://klasma.github.io/Logging_0382/kartor/A 22688-2023 karta.png", "A 22688-2023")</f>
        <v/>
      </c>
      <c r="V157">
        <f>HYPERLINK("https://klasma.github.io/Logging_0382/klagomål/A 22688-2023 FSC-klagomål.docx", "A 22688-2023")</f>
        <v/>
      </c>
      <c r="W157">
        <f>HYPERLINK("https://klasma.github.io/Logging_0382/klagomålsmail/A 22688-2023 FSC-klagomål mail.docx", "A 22688-2023")</f>
        <v/>
      </c>
      <c r="X157">
        <f>HYPERLINK("https://klasma.github.io/Logging_0382/tillsyn/A 22688-2023 tillsynsbegäran.docx", "A 22688-2023")</f>
        <v/>
      </c>
      <c r="Y157">
        <f>HYPERLINK("https://klasma.github.io/Logging_0382/tillsynsmail/A 22688-2023 tillsynsbegäran mail.docx", "A 22688-2023")</f>
        <v/>
      </c>
    </row>
    <row r="158" ht="15" customHeight="1">
      <c r="A158" t="inlineStr">
        <is>
          <t>A 23128-2023</t>
        </is>
      </c>
      <c r="B158" s="1" t="n">
        <v>45075</v>
      </c>
      <c r="C158" s="1" t="n">
        <v>45665</v>
      </c>
      <c r="D158" t="inlineStr">
        <is>
          <t>UPPSALA LÄN</t>
        </is>
      </c>
      <c r="E158" t="inlineStr">
        <is>
          <t>ÖSTHAMMAR</t>
        </is>
      </c>
      <c r="G158" t="n">
        <v>6</v>
      </c>
      <c r="H158" t="n">
        <v>0</v>
      </c>
      <c r="I158" t="n">
        <v>0</v>
      </c>
      <c r="J158" t="n">
        <v>1</v>
      </c>
      <c r="K158" t="n">
        <v>0</v>
      </c>
      <c r="L158" t="n">
        <v>0</v>
      </c>
      <c r="M158" t="n">
        <v>0</v>
      </c>
      <c r="N158" t="n">
        <v>0</v>
      </c>
      <c r="O158" t="n">
        <v>1</v>
      </c>
      <c r="P158" t="n">
        <v>0</v>
      </c>
      <c r="Q158" t="n">
        <v>1</v>
      </c>
      <c r="R158" s="2" t="inlineStr">
        <is>
          <t>Grönhjon</t>
        </is>
      </c>
      <c r="S158">
        <f>HYPERLINK("https://klasma.github.io/Logging_0382/artfynd/A 23128-2023 artfynd.xlsx", "A 23128-2023")</f>
        <v/>
      </c>
      <c r="T158">
        <f>HYPERLINK("https://klasma.github.io/Logging_0382/kartor/A 23128-2023 karta.png", "A 23128-2023")</f>
        <v/>
      </c>
      <c r="V158">
        <f>HYPERLINK("https://klasma.github.io/Logging_0382/klagomål/A 23128-2023 FSC-klagomål.docx", "A 23128-2023")</f>
        <v/>
      </c>
      <c r="W158">
        <f>HYPERLINK("https://klasma.github.io/Logging_0382/klagomålsmail/A 23128-2023 FSC-klagomål mail.docx", "A 23128-2023")</f>
        <v/>
      </c>
      <c r="X158">
        <f>HYPERLINK("https://klasma.github.io/Logging_0382/tillsyn/A 23128-2023 tillsynsbegäran.docx", "A 23128-2023")</f>
        <v/>
      </c>
      <c r="Y158">
        <f>HYPERLINK("https://klasma.github.io/Logging_0382/tillsynsmail/A 23128-2023 tillsynsbegäran mail.docx", "A 23128-2023")</f>
        <v/>
      </c>
    </row>
    <row r="159" ht="15" customHeight="1">
      <c r="A159" t="inlineStr">
        <is>
          <t>A 25179-2023</t>
        </is>
      </c>
      <c r="B159" s="1" t="n">
        <v>45078</v>
      </c>
      <c r="C159" s="1" t="n">
        <v>45665</v>
      </c>
      <c r="D159" t="inlineStr">
        <is>
          <t>UPPSALA LÄN</t>
        </is>
      </c>
      <c r="E159" t="inlineStr">
        <is>
          <t>ÖSTHAMMAR</t>
        </is>
      </c>
      <c r="G159" t="n">
        <v>3.2</v>
      </c>
      <c r="H159" t="n">
        <v>0</v>
      </c>
      <c r="I159" t="n">
        <v>0</v>
      </c>
      <c r="J159" t="n">
        <v>1</v>
      </c>
      <c r="K159" t="n">
        <v>0</v>
      </c>
      <c r="L159" t="n">
        <v>0</v>
      </c>
      <c r="M159" t="n">
        <v>0</v>
      </c>
      <c r="N159" t="n">
        <v>0</v>
      </c>
      <c r="O159" t="n">
        <v>1</v>
      </c>
      <c r="P159" t="n">
        <v>0</v>
      </c>
      <c r="Q159" t="n">
        <v>1</v>
      </c>
      <c r="R159" s="2" t="inlineStr">
        <is>
          <t>Grantaggsvamp</t>
        </is>
      </c>
      <c r="S159">
        <f>HYPERLINK("https://klasma.github.io/Logging_0382/artfynd/A 25179-2023 artfynd.xlsx", "A 25179-2023")</f>
        <v/>
      </c>
      <c r="T159">
        <f>HYPERLINK("https://klasma.github.io/Logging_0382/kartor/A 25179-2023 karta.png", "A 25179-2023")</f>
        <v/>
      </c>
      <c r="V159">
        <f>HYPERLINK("https://klasma.github.io/Logging_0382/klagomål/A 25179-2023 FSC-klagomål.docx", "A 25179-2023")</f>
        <v/>
      </c>
      <c r="W159">
        <f>HYPERLINK("https://klasma.github.io/Logging_0382/klagomålsmail/A 25179-2023 FSC-klagomål mail.docx", "A 25179-2023")</f>
        <v/>
      </c>
      <c r="X159">
        <f>HYPERLINK("https://klasma.github.io/Logging_0382/tillsyn/A 25179-2023 tillsynsbegäran.docx", "A 25179-2023")</f>
        <v/>
      </c>
      <c r="Y159">
        <f>HYPERLINK("https://klasma.github.io/Logging_0382/tillsynsmail/A 25179-2023 tillsynsbegäran mail.docx", "A 25179-2023")</f>
        <v/>
      </c>
    </row>
    <row r="160" ht="15" customHeight="1">
      <c r="A160" t="inlineStr">
        <is>
          <t>A 26896-2023</t>
        </is>
      </c>
      <c r="B160" s="1" t="n">
        <v>45093</v>
      </c>
      <c r="C160" s="1" t="n">
        <v>45665</v>
      </c>
      <c r="D160" t="inlineStr">
        <is>
          <t>UPPSALA LÄN</t>
        </is>
      </c>
      <c r="E160" t="inlineStr">
        <is>
          <t>ÖSTHAMMAR</t>
        </is>
      </c>
      <c r="G160" t="n">
        <v>3.2</v>
      </c>
      <c r="H160" t="n">
        <v>0</v>
      </c>
      <c r="I160" t="n">
        <v>1</v>
      </c>
      <c r="J160" t="n">
        <v>0</v>
      </c>
      <c r="K160" t="n">
        <v>0</v>
      </c>
      <c r="L160" t="n">
        <v>0</v>
      </c>
      <c r="M160" t="n">
        <v>0</v>
      </c>
      <c r="N160" t="n">
        <v>0</v>
      </c>
      <c r="O160" t="n">
        <v>0</v>
      </c>
      <c r="P160" t="n">
        <v>0</v>
      </c>
      <c r="Q160" t="n">
        <v>1</v>
      </c>
      <c r="R160" s="2" t="inlineStr">
        <is>
          <t>Mörk husmossa</t>
        </is>
      </c>
      <c r="S160">
        <f>HYPERLINK("https://klasma.github.io/Logging_0382/artfynd/A 26896-2023 artfynd.xlsx", "A 26896-2023")</f>
        <v/>
      </c>
      <c r="T160">
        <f>HYPERLINK("https://klasma.github.io/Logging_0382/kartor/A 26896-2023 karta.png", "A 26896-2023")</f>
        <v/>
      </c>
      <c r="V160">
        <f>HYPERLINK("https://klasma.github.io/Logging_0382/klagomål/A 26896-2023 FSC-klagomål.docx", "A 26896-2023")</f>
        <v/>
      </c>
      <c r="W160">
        <f>HYPERLINK("https://klasma.github.io/Logging_0382/klagomålsmail/A 26896-2023 FSC-klagomål mail.docx", "A 26896-2023")</f>
        <v/>
      </c>
      <c r="X160">
        <f>HYPERLINK("https://klasma.github.io/Logging_0382/tillsyn/A 26896-2023 tillsynsbegäran.docx", "A 26896-2023")</f>
        <v/>
      </c>
      <c r="Y160">
        <f>HYPERLINK("https://klasma.github.io/Logging_0382/tillsynsmail/A 26896-2023 tillsynsbegäran mail.docx", "A 26896-2023")</f>
        <v/>
      </c>
    </row>
    <row r="161" ht="15" customHeight="1">
      <c r="A161" t="inlineStr">
        <is>
          <t>A 29679-2023</t>
        </is>
      </c>
      <c r="B161" s="1" t="n">
        <v>45107</v>
      </c>
      <c r="C161" s="1" t="n">
        <v>45665</v>
      </c>
      <c r="D161" t="inlineStr">
        <is>
          <t>UPPSALA LÄN</t>
        </is>
      </c>
      <c r="E161" t="inlineStr">
        <is>
          <t>ÖSTHAMMAR</t>
        </is>
      </c>
      <c r="F161" t="inlineStr">
        <is>
          <t>Övriga Aktiebolag</t>
        </is>
      </c>
      <c r="G161" t="n">
        <v>7.3</v>
      </c>
      <c r="H161" t="n">
        <v>0</v>
      </c>
      <c r="I161" t="n">
        <v>0</v>
      </c>
      <c r="J161" t="n">
        <v>1</v>
      </c>
      <c r="K161" t="n">
        <v>0</v>
      </c>
      <c r="L161" t="n">
        <v>0</v>
      </c>
      <c r="M161" t="n">
        <v>0</v>
      </c>
      <c r="N161" t="n">
        <v>0</v>
      </c>
      <c r="O161" t="n">
        <v>1</v>
      </c>
      <c r="P161" t="n">
        <v>0</v>
      </c>
      <c r="Q161" t="n">
        <v>1</v>
      </c>
      <c r="R161" s="2" t="inlineStr">
        <is>
          <t>Vintertagging</t>
        </is>
      </c>
      <c r="S161">
        <f>HYPERLINK("https://klasma.github.io/Logging_0382/artfynd/A 29679-2023 artfynd.xlsx", "A 29679-2023")</f>
        <v/>
      </c>
      <c r="T161">
        <f>HYPERLINK("https://klasma.github.io/Logging_0382/kartor/A 29679-2023 karta.png", "A 29679-2023")</f>
        <v/>
      </c>
      <c r="V161">
        <f>HYPERLINK("https://klasma.github.io/Logging_0382/klagomål/A 29679-2023 FSC-klagomål.docx", "A 29679-2023")</f>
        <v/>
      </c>
      <c r="W161">
        <f>HYPERLINK("https://klasma.github.io/Logging_0382/klagomålsmail/A 29679-2023 FSC-klagomål mail.docx", "A 29679-2023")</f>
        <v/>
      </c>
      <c r="X161">
        <f>HYPERLINK("https://klasma.github.io/Logging_0382/tillsyn/A 29679-2023 tillsynsbegäran.docx", "A 29679-2023")</f>
        <v/>
      </c>
      <c r="Y161">
        <f>HYPERLINK("https://klasma.github.io/Logging_0382/tillsynsmail/A 29679-2023 tillsynsbegäran mail.docx", "A 29679-2023")</f>
        <v/>
      </c>
    </row>
    <row r="162" ht="15" customHeight="1">
      <c r="A162" t="inlineStr">
        <is>
          <t>A 32518-2023</t>
        </is>
      </c>
      <c r="B162" s="1" t="n">
        <v>45121</v>
      </c>
      <c r="C162" s="1" t="n">
        <v>45665</v>
      </c>
      <c r="D162" t="inlineStr">
        <is>
          <t>UPPSALA LÄN</t>
        </is>
      </c>
      <c r="E162" t="inlineStr">
        <is>
          <t>ÖSTHAMMAR</t>
        </is>
      </c>
      <c r="G162" t="n">
        <v>11.1</v>
      </c>
      <c r="H162" t="n">
        <v>0</v>
      </c>
      <c r="I162" t="n">
        <v>1</v>
      </c>
      <c r="J162" t="n">
        <v>0</v>
      </c>
      <c r="K162" t="n">
        <v>0</v>
      </c>
      <c r="L162" t="n">
        <v>0</v>
      </c>
      <c r="M162" t="n">
        <v>0</v>
      </c>
      <c r="N162" t="n">
        <v>0</v>
      </c>
      <c r="O162" t="n">
        <v>0</v>
      </c>
      <c r="P162" t="n">
        <v>0</v>
      </c>
      <c r="Q162" t="n">
        <v>1</v>
      </c>
      <c r="R162" s="2" t="inlineStr">
        <is>
          <t>Olivspindling</t>
        </is>
      </c>
      <c r="S162">
        <f>HYPERLINK("https://klasma.github.io/Logging_0382/artfynd/A 32518-2023 artfynd.xlsx", "A 32518-2023")</f>
        <v/>
      </c>
      <c r="T162">
        <f>HYPERLINK("https://klasma.github.io/Logging_0382/kartor/A 32518-2023 karta.png", "A 32518-2023")</f>
        <v/>
      </c>
      <c r="V162">
        <f>HYPERLINK("https://klasma.github.io/Logging_0382/klagomål/A 32518-2023 FSC-klagomål.docx", "A 32518-2023")</f>
        <v/>
      </c>
      <c r="W162">
        <f>HYPERLINK("https://klasma.github.io/Logging_0382/klagomålsmail/A 32518-2023 FSC-klagomål mail.docx", "A 32518-2023")</f>
        <v/>
      </c>
      <c r="X162">
        <f>HYPERLINK("https://klasma.github.io/Logging_0382/tillsyn/A 32518-2023 tillsynsbegäran.docx", "A 32518-2023")</f>
        <v/>
      </c>
      <c r="Y162">
        <f>HYPERLINK("https://klasma.github.io/Logging_0382/tillsynsmail/A 32518-2023 tillsynsbegäran mail.docx", "A 32518-2023")</f>
        <v/>
      </c>
    </row>
    <row r="163" ht="15" customHeight="1">
      <c r="A163" t="inlineStr">
        <is>
          <t>A 34090-2023</t>
        </is>
      </c>
      <c r="B163" s="1" t="n">
        <v>45135</v>
      </c>
      <c r="C163" s="1" t="n">
        <v>45665</v>
      </c>
      <c r="D163" t="inlineStr">
        <is>
          <t>UPPSALA LÄN</t>
        </is>
      </c>
      <c r="E163" t="inlineStr">
        <is>
          <t>ÖSTHAMMAR</t>
        </is>
      </c>
      <c r="F163" t="inlineStr">
        <is>
          <t>Bergvik skog öst AB</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HYPERLINK("https://klasma.github.io/Logging_0382/artfynd/A 34090-2023 artfynd.xlsx", "A 34090-2023")</f>
        <v/>
      </c>
      <c r="T163">
        <f>HYPERLINK("https://klasma.github.io/Logging_0382/kartor/A 34090-2023 karta.png", "A 34090-2023")</f>
        <v/>
      </c>
      <c r="V163">
        <f>HYPERLINK("https://klasma.github.io/Logging_0382/klagomål/A 34090-2023 FSC-klagomål.docx", "A 34090-2023")</f>
        <v/>
      </c>
      <c r="W163">
        <f>HYPERLINK("https://klasma.github.io/Logging_0382/klagomålsmail/A 34090-2023 FSC-klagomål mail.docx", "A 34090-2023")</f>
        <v/>
      </c>
      <c r="X163">
        <f>HYPERLINK("https://klasma.github.io/Logging_0382/tillsyn/A 34090-2023 tillsynsbegäran.docx", "A 34090-2023")</f>
        <v/>
      </c>
      <c r="Y163">
        <f>HYPERLINK("https://klasma.github.io/Logging_0382/tillsynsmail/A 34090-2023 tillsynsbegäran mail.docx", "A 34090-2023")</f>
        <v/>
      </c>
      <c r="Z163">
        <f>HYPERLINK("https://klasma.github.io/Logging_0382/fåglar/A 34090-2023 prioriterade fågelarter.docx", "A 34090-2023")</f>
        <v/>
      </c>
    </row>
    <row r="164" ht="15" customHeight="1">
      <c r="A164" t="inlineStr">
        <is>
          <t>A 36864-2023</t>
        </is>
      </c>
      <c r="B164" s="1" t="n">
        <v>45154</v>
      </c>
      <c r="C164" s="1" t="n">
        <v>45665</v>
      </c>
      <c r="D164" t="inlineStr">
        <is>
          <t>UPPSALA LÄN</t>
        </is>
      </c>
      <c r="E164" t="inlineStr">
        <is>
          <t>ÖSTHAMMAR</t>
        </is>
      </c>
      <c r="G164" t="n">
        <v>3.1</v>
      </c>
      <c r="H164" t="n">
        <v>0</v>
      </c>
      <c r="I164" t="n">
        <v>1</v>
      </c>
      <c r="J164" t="n">
        <v>0</v>
      </c>
      <c r="K164" t="n">
        <v>0</v>
      </c>
      <c r="L164" t="n">
        <v>0</v>
      </c>
      <c r="M164" t="n">
        <v>0</v>
      </c>
      <c r="N164" t="n">
        <v>0</v>
      </c>
      <c r="O164" t="n">
        <v>0</v>
      </c>
      <c r="P164" t="n">
        <v>0</v>
      </c>
      <c r="Q164" t="n">
        <v>1</v>
      </c>
      <c r="R164" s="2" t="inlineStr">
        <is>
          <t>Bronshjon</t>
        </is>
      </c>
      <c r="S164">
        <f>HYPERLINK("https://klasma.github.io/Logging_0382/artfynd/A 36864-2023 artfynd.xlsx", "A 36864-2023")</f>
        <v/>
      </c>
      <c r="T164">
        <f>HYPERLINK("https://klasma.github.io/Logging_0382/kartor/A 36864-2023 karta.png", "A 36864-2023")</f>
        <v/>
      </c>
      <c r="V164">
        <f>HYPERLINK("https://klasma.github.io/Logging_0382/klagomål/A 36864-2023 FSC-klagomål.docx", "A 36864-2023")</f>
        <v/>
      </c>
      <c r="W164">
        <f>HYPERLINK("https://klasma.github.io/Logging_0382/klagomålsmail/A 36864-2023 FSC-klagomål mail.docx", "A 36864-2023")</f>
        <v/>
      </c>
      <c r="X164">
        <f>HYPERLINK("https://klasma.github.io/Logging_0382/tillsyn/A 36864-2023 tillsynsbegäran.docx", "A 36864-2023")</f>
        <v/>
      </c>
      <c r="Y164">
        <f>HYPERLINK("https://klasma.github.io/Logging_0382/tillsynsmail/A 36864-2023 tillsynsbegäran mail.docx", "A 36864-2023")</f>
        <v/>
      </c>
    </row>
    <row r="165" ht="15" customHeight="1">
      <c r="A165" t="inlineStr">
        <is>
          <t>A 53706-2023</t>
        </is>
      </c>
      <c r="B165" s="1" t="n">
        <v>45230</v>
      </c>
      <c r="C165" s="1" t="n">
        <v>45665</v>
      </c>
      <c r="D165" t="inlineStr">
        <is>
          <t>UPPSALA LÄN</t>
        </is>
      </c>
      <c r="E165" t="inlineStr">
        <is>
          <t>ÖSTHAMMAR</t>
        </is>
      </c>
      <c r="G165" t="n">
        <v>2.9</v>
      </c>
      <c r="H165" t="n">
        <v>0</v>
      </c>
      <c r="I165" t="n">
        <v>1</v>
      </c>
      <c r="J165" t="n">
        <v>0</v>
      </c>
      <c r="K165" t="n">
        <v>0</v>
      </c>
      <c r="L165" t="n">
        <v>0</v>
      </c>
      <c r="M165" t="n">
        <v>0</v>
      </c>
      <c r="N165" t="n">
        <v>0</v>
      </c>
      <c r="O165" t="n">
        <v>0</v>
      </c>
      <c r="P165" t="n">
        <v>0</v>
      </c>
      <c r="Q165" t="n">
        <v>1</v>
      </c>
      <c r="R165" s="2" t="inlineStr">
        <is>
          <t>Dofttråding</t>
        </is>
      </c>
      <c r="S165">
        <f>HYPERLINK("https://klasma.github.io/Logging_0382/artfynd/A 53706-2023 artfynd.xlsx", "A 53706-2023")</f>
        <v/>
      </c>
      <c r="T165">
        <f>HYPERLINK("https://klasma.github.io/Logging_0382/kartor/A 53706-2023 karta.png", "A 53706-2023")</f>
        <v/>
      </c>
      <c r="V165">
        <f>HYPERLINK("https://klasma.github.io/Logging_0382/klagomål/A 53706-2023 FSC-klagomål.docx", "A 53706-2023")</f>
        <v/>
      </c>
      <c r="W165">
        <f>HYPERLINK("https://klasma.github.io/Logging_0382/klagomålsmail/A 53706-2023 FSC-klagomål mail.docx", "A 53706-2023")</f>
        <v/>
      </c>
      <c r="X165">
        <f>HYPERLINK("https://klasma.github.io/Logging_0382/tillsyn/A 53706-2023 tillsynsbegäran.docx", "A 53706-2023")</f>
        <v/>
      </c>
      <c r="Y165">
        <f>HYPERLINK("https://klasma.github.io/Logging_0382/tillsynsmail/A 53706-2023 tillsynsbegäran mail.docx", "A 53706-2023")</f>
        <v/>
      </c>
    </row>
    <row r="166" ht="15" customHeight="1">
      <c r="A166" t="inlineStr">
        <is>
          <t>A 53729-2023</t>
        </is>
      </c>
      <c r="B166" s="1" t="n">
        <v>45230</v>
      </c>
      <c r="C166" s="1" t="n">
        <v>45665</v>
      </c>
      <c r="D166" t="inlineStr">
        <is>
          <t>UPPSALA LÄN</t>
        </is>
      </c>
      <c r="E166" t="inlineStr">
        <is>
          <t>ÖSTHAMMAR</t>
        </is>
      </c>
      <c r="G166" t="n">
        <v>2.6</v>
      </c>
      <c r="H166" t="n">
        <v>1</v>
      </c>
      <c r="I166" t="n">
        <v>0</v>
      </c>
      <c r="J166" t="n">
        <v>0</v>
      </c>
      <c r="K166" t="n">
        <v>0</v>
      </c>
      <c r="L166" t="n">
        <v>0</v>
      </c>
      <c r="M166" t="n">
        <v>0</v>
      </c>
      <c r="N166" t="n">
        <v>0</v>
      </c>
      <c r="O166" t="n">
        <v>0</v>
      </c>
      <c r="P166" t="n">
        <v>0</v>
      </c>
      <c r="Q166" t="n">
        <v>1</v>
      </c>
      <c r="R166" s="2" t="inlineStr">
        <is>
          <t>Gullviva</t>
        </is>
      </c>
      <c r="S166">
        <f>HYPERLINK("https://klasma.github.io/Logging_0382/artfynd/A 53729-2023 artfynd.xlsx", "A 53729-2023")</f>
        <v/>
      </c>
      <c r="T166">
        <f>HYPERLINK("https://klasma.github.io/Logging_0382/kartor/A 53729-2023 karta.png", "A 53729-2023")</f>
        <v/>
      </c>
      <c r="V166">
        <f>HYPERLINK("https://klasma.github.io/Logging_0382/klagomål/A 53729-2023 FSC-klagomål.docx", "A 53729-2023")</f>
        <v/>
      </c>
      <c r="W166">
        <f>HYPERLINK("https://klasma.github.io/Logging_0382/klagomålsmail/A 53729-2023 FSC-klagomål mail.docx", "A 53729-2023")</f>
        <v/>
      </c>
      <c r="X166">
        <f>HYPERLINK("https://klasma.github.io/Logging_0382/tillsyn/A 53729-2023 tillsynsbegäran.docx", "A 53729-2023")</f>
        <v/>
      </c>
      <c r="Y166">
        <f>HYPERLINK("https://klasma.github.io/Logging_0382/tillsynsmail/A 53729-2023 tillsynsbegäran mail.docx", "A 53729-2023")</f>
        <v/>
      </c>
    </row>
    <row r="167" ht="15" customHeight="1">
      <c r="A167" t="inlineStr">
        <is>
          <t>A 55492-2023</t>
        </is>
      </c>
      <c r="B167" s="1" t="n">
        <v>45238</v>
      </c>
      <c r="C167" s="1" t="n">
        <v>45665</v>
      </c>
      <c r="D167" t="inlineStr">
        <is>
          <t>UPPSALA LÄN</t>
        </is>
      </c>
      <c r="E167" t="inlineStr">
        <is>
          <t>ÖSTHAMMAR</t>
        </is>
      </c>
      <c r="G167" t="n">
        <v>3.1</v>
      </c>
      <c r="H167" t="n">
        <v>0</v>
      </c>
      <c r="I167" t="n">
        <v>0</v>
      </c>
      <c r="J167" t="n">
        <v>0</v>
      </c>
      <c r="K167" t="n">
        <v>1</v>
      </c>
      <c r="L167" t="n">
        <v>0</v>
      </c>
      <c r="M167" t="n">
        <v>0</v>
      </c>
      <c r="N167" t="n">
        <v>0</v>
      </c>
      <c r="O167" t="n">
        <v>1</v>
      </c>
      <c r="P167" t="n">
        <v>1</v>
      </c>
      <c r="Q167" t="n">
        <v>1</v>
      </c>
      <c r="R167" s="2" t="inlineStr">
        <is>
          <t>Violgubbe</t>
        </is>
      </c>
      <c r="S167">
        <f>HYPERLINK("https://klasma.github.io/Logging_0382/artfynd/A 55492-2023 artfynd.xlsx", "A 55492-2023")</f>
        <v/>
      </c>
      <c r="T167">
        <f>HYPERLINK("https://klasma.github.io/Logging_0382/kartor/A 55492-2023 karta.png", "A 55492-2023")</f>
        <v/>
      </c>
      <c r="V167">
        <f>HYPERLINK("https://klasma.github.io/Logging_0382/klagomål/A 55492-2023 FSC-klagomål.docx", "A 55492-2023")</f>
        <v/>
      </c>
      <c r="W167">
        <f>HYPERLINK("https://klasma.github.io/Logging_0382/klagomålsmail/A 55492-2023 FSC-klagomål mail.docx", "A 55492-2023")</f>
        <v/>
      </c>
      <c r="X167">
        <f>HYPERLINK("https://klasma.github.io/Logging_0382/tillsyn/A 55492-2023 tillsynsbegäran.docx", "A 55492-2023")</f>
        <v/>
      </c>
      <c r="Y167">
        <f>HYPERLINK("https://klasma.github.io/Logging_0382/tillsynsmail/A 55492-2023 tillsynsbegäran mail.docx", "A 55492-2023")</f>
        <v/>
      </c>
    </row>
    <row r="168" ht="15" customHeight="1">
      <c r="A168" t="inlineStr">
        <is>
          <t>A 57598-2023</t>
        </is>
      </c>
      <c r="B168" s="1" t="n">
        <v>45246</v>
      </c>
      <c r="C168" s="1" t="n">
        <v>45665</v>
      </c>
      <c r="D168" t="inlineStr">
        <is>
          <t>UPPSALA LÄN</t>
        </is>
      </c>
      <c r="E168" t="inlineStr">
        <is>
          <t>ÖSTHAMMAR</t>
        </is>
      </c>
      <c r="F168" t="inlineStr">
        <is>
          <t>Bergvik skog öst AB</t>
        </is>
      </c>
      <c r="G168" t="n">
        <v>1</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57598-2023 artfynd.xlsx", "A 57598-2023")</f>
        <v/>
      </c>
      <c r="T168">
        <f>HYPERLINK("https://klasma.github.io/Logging_0382/kartor/A 57598-2023 karta.png", "A 57598-2023")</f>
        <v/>
      </c>
      <c r="V168">
        <f>HYPERLINK("https://klasma.github.io/Logging_0382/klagomål/A 57598-2023 FSC-klagomål.docx", "A 57598-2023")</f>
        <v/>
      </c>
      <c r="W168">
        <f>HYPERLINK("https://klasma.github.io/Logging_0382/klagomålsmail/A 57598-2023 FSC-klagomål mail.docx", "A 57598-2023")</f>
        <v/>
      </c>
      <c r="X168">
        <f>HYPERLINK("https://klasma.github.io/Logging_0382/tillsyn/A 57598-2023 tillsynsbegäran.docx", "A 57598-2023")</f>
        <v/>
      </c>
      <c r="Y168">
        <f>HYPERLINK("https://klasma.github.io/Logging_0382/tillsynsmail/A 57598-2023 tillsynsbegäran mail.docx", "A 57598-2023")</f>
        <v/>
      </c>
    </row>
    <row r="169" ht="15" customHeight="1">
      <c r="A169" t="inlineStr">
        <is>
          <t>A 57607-2023</t>
        </is>
      </c>
      <c r="B169" s="1" t="n">
        <v>45246</v>
      </c>
      <c r="C169" s="1" t="n">
        <v>45665</v>
      </c>
      <c r="D169" t="inlineStr">
        <is>
          <t>UPPSALA LÄN</t>
        </is>
      </c>
      <c r="E169" t="inlineStr">
        <is>
          <t>ÖSTHAMMAR</t>
        </is>
      </c>
      <c r="F169" t="inlineStr">
        <is>
          <t>Bergvik skog öst AB</t>
        </is>
      </c>
      <c r="G169" t="n">
        <v>5.8</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57607-2023 artfynd.xlsx", "A 57607-2023")</f>
        <v/>
      </c>
      <c r="T169">
        <f>HYPERLINK("https://klasma.github.io/Logging_0382/kartor/A 57607-2023 karta.png", "A 57607-2023")</f>
        <v/>
      </c>
      <c r="V169">
        <f>HYPERLINK("https://klasma.github.io/Logging_0382/klagomål/A 57607-2023 FSC-klagomål.docx", "A 57607-2023")</f>
        <v/>
      </c>
      <c r="W169">
        <f>HYPERLINK("https://klasma.github.io/Logging_0382/klagomålsmail/A 57607-2023 FSC-klagomål mail.docx", "A 57607-2023")</f>
        <v/>
      </c>
      <c r="X169">
        <f>HYPERLINK("https://klasma.github.io/Logging_0382/tillsyn/A 57607-2023 tillsynsbegäran.docx", "A 57607-2023")</f>
        <v/>
      </c>
      <c r="Y169">
        <f>HYPERLINK("https://klasma.github.io/Logging_0382/tillsynsmail/A 57607-2023 tillsynsbegäran mail.docx", "A 57607-2023")</f>
        <v/>
      </c>
    </row>
    <row r="170" ht="15" customHeight="1">
      <c r="A170" t="inlineStr">
        <is>
          <t>A 57640-2023</t>
        </is>
      </c>
      <c r="B170" s="1" t="n">
        <v>45246</v>
      </c>
      <c r="C170" s="1" t="n">
        <v>45665</v>
      </c>
      <c r="D170" t="inlineStr">
        <is>
          <t>UPPSALA LÄN</t>
        </is>
      </c>
      <c r="E170" t="inlineStr">
        <is>
          <t>ÖSTHAMMAR</t>
        </is>
      </c>
      <c r="F170" t="inlineStr">
        <is>
          <t>Bergvik skog öst AB</t>
        </is>
      </c>
      <c r="G170" t="n">
        <v>2.3</v>
      </c>
      <c r="H170" t="n">
        <v>0</v>
      </c>
      <c r="I170" t="n">
        <v>1</v>
      </c>
      <c r="J170" t="n">
        <v>0</v>
      </c>
      <c r="K170" t="n">
        <v>0</v>
      </c>
      <c r="L170" t="n">
        <v>0</v>
      </c>
      <c r="M170" t="n">
        <v>0</v>
      </c>
      <c r="N170" t="n">
        <v>0</v>
      </c>
      <c r="O170" t="n">
        <v>0</v>
      </c>
      <c r="P170" t="n">
        <v>0</v>
      </c>
      <c r="Q170" t="n">
        <v>1</v>
      </c>
      <c r="R170" s="2" t="inlineStr">
        <is>
          <t>Svavelriska</t>
        </is>
      </c>
      <c r="S170">
        <f>HYPERLINK("https://klasma.github.io/Logging_0382/artfynd/A 57640-2023 artfynd.xlsx", "A 57640-2023")</f>
        <v/>
      </c>
      <c r="T170">
        <f>HYPERLINK("https://klasma.github.io/Logging_0382/kartor/A 57640-2023 karta.png", "A 57640-2023")</f>
        <v/>
      </c>
      <c r="V170">
        <f>HYPERLINK("https://klasma.github.io/Logging_0382/klagomål/A 57640-2023 FSC-klagomål.docx", "A 57640-2023")</f>
        <v/>
      </c>
      <c r="W170">
        <f>HYPERLINK("https://klasma.github.io/Logging_0382/klagomålsmail/A 57640-2023 FSC-klagomål mail.docx", "A 57640-2023")</f>
        <v/>
      </c>
      <c r="X170">
        <f>HYPERLINK("https://klasma.github.io/Logging_0382/tillsyn/A 57640-2023 tillsynsbegäran.docx", "A 57640-2023")</f>
        <v/>
      </c>
      <c r="Y170">
        <f>HYPERLINK("https://klasma.github.io/Logging_0382/tillsynsmail/A 57640-2023 tillsynsbegäran mail.docx", "A 57640-2023")</f>
        <v/>
      </c>
    </row>
    <row r="171" ht="15" customHeight="1">
      <c r="A171" t="inlineStr">
        <is>
          <t>A 4048-2024</t>
        </is>
      </c>
      <c r="B171" s="1" t="n">
        <v>45323</v>
      </c>
      <c r="C171" s="1" t="n">
        <v>45665</v>
      </c>
      <c r="D171" t="inlineStr">
        <is>
          <t>UPPSALA LÄN</t>
        </is>
      </c>
      <c r="E171" t="inlineStr">
        <is>
          <t>ÖSTHAMMAR</t>
        </is>
      </c>
      <c r="F171" t="inlineStr">
        <is>
          <t>Övriga Aktiebolag</t>
        </is>
      </c>
      <c r="G171" t="n">
        <v>21.2</v>
      </c>
      <c r="H171" t="n">
        <v>0</v>
      </c>
      <c r="I171" t="n">
        <v>0</v>
      </c>
      <c r="J171" t="n">
        <v>1</v>
      </c>
      <c r="K171" t="n">
        <v>0</v>
      </c>
      <c r="L171" t="n">
        <v>0</v>
      </c>
      <c r="M171" t="n">
        <v>0</v>
      </c>
      <c r="N171" t="n">
        <v>0</v>
      </c>
      <c r="O171" t="n">
        <v>1</v>
      </c>
      <c r="P171" t="n">
        <v>0</v>
      </c>
      <c r="Q171" t="n">
        <v>1</v>
      </c>
      <c r="R171" s="2" t="inlineStr">
        <is>
          <t>Slåtterfibbla</t>
        </is>
      </c>
      <c r="S171">
        <f>HYPERLINK("https://klasma.github.io/Logging_0382/artfynd/A 4048-2024 artfynd.xlsx", "A 4048-2024")</f>
        <v/>
      </c>
      <c r="T171">
        <f>HYPERLINK("https://klasma.github.io/Logging_0382/kartor/A 4048-2024 karta.png", "A 4048-2024")</f>
        <v/>
      </c>
      <c r="V171">
        <f>HYPERLINK("https://klasma.github.io/Logging_0382/klagomål/A 4048-2024 FSC-klagomål.docx", "A 4048-2024")</f>
        <v/>
      </c>
      <c r="W171">
        <f>HYPERLINK("https://klasma.github.io/Logging_0382/klagomålsmail/A 4048-2024 FSC-klagomål mail.docx", "A 4048-2024")</f>
        <v/>
      </c>
      <c r="X171">
        <f>HYPERLINK("https://klasma.github.io/Logging_0382/tillsyn/A 4048-2024 tillsynsbegäran.docx", "A 4048-2024")</f>
        <v/>
      </c>
      <c r="Y171">
        <f>HYPERLINK("https://klasma.github.io/Logging_0382/tillsynsmail/A 4048-2024 tillsynsbegäran mail.docx", "A 4048-2024")</f>
        <v/>
      </c>
    </row>
    <row r="172" ht="15" customHeight="1">
      <c r="A172" t="inlineStr">
        <is>
          <t>A 10210-2024</t>
        </is>
      </c>
      <c r="B172" s="1" t="n">
        <v>45364</v>
      </c>
      <c r="C172" s="1" t="n">
        <v>45665</v>
      </c>
      <c r="D172" t="inlineStr">
        <is>
          <t>UPPSALA LÄN</t>
        </is>
      </c>
      <c r="E172" t="inlineStr">
        <is>
          <t>ÖSTHAMMAR</t>
        </is>
      </c>
      <c r="F172" t="inlineStr">
        <is>
          <t>Bergvik skog öst AB</t>
        </is>
      </c>
      <c r="G172" t="n">
        <v>18</v>
      </c>
      <c r="H172" t="n">
        <v>1</v>
      </c>
      <c r="I172" t="n">
        <v>0</v>
      </c>
      <c r="J172" t="n">
        <v>0</v>
      </c>
      <c r="K172" t="n">
        <v>0</v>
      </c>
      <c r="L172" t="n">
        <v>0</v>
      </c>
      <c r="M172" t="n">
        <v>0</v>
      </c>
      <c r="N172" t="n">
        <v>0</v>
      </c>
      <c r="O172" t="n">
        <v>0</v>
      </c>
      <c r="P172" t="n">
        <v>0</v>
      </c>
      <c r="Q172" t="n">
        <v>1</v>
      </c>
      <c r="R172" s="2" t="inlineStr">
        <is>
          <t>Tjäder</t>
        </is>
      </c>
      <c r="S172">
        <f>HYPERLINK("https://klasma.github.io/Logging_0382/artfynd/A 10210-2024 artfynd.xlsx", "A 10210-2024")</f>
        <v/>
      </c>
      <c r="T172">
        <f>HYPERLINK("https://klasma.github.io/Logging_0382/kartor/A 10210-2024 karta.png", "A 10210-2024")</f>
        <v/>
      </c>
      <c r="V172">
        <f>HYPERLINK("https://klasma.github.io/Logging_0382/klagomål/A 10210-2024 FSC-klagomål.docx", "A 10210-2024")</f>
        <v/>
      </c>
      <c r="W172">
        <f>HYPERLINK("https://klasma.github.io/Logging_0382/klagomålsmail/A 10210-2024 FSC-klagomål mail.docx", "A 10210-2024")</f>
        <v/>
      </c>
      <c r="X172">
        <f>HYPERLINK("https://klasma.github.io/Logging_0382/tillsyn/A 10210-2024 tillsynsbegäran.docx", "A 10210-2024")</f>
        <v/>
      </c>
      <c r="Y172">
        <f>HYPERLINK("https://klasma.github.io/Logging_0382/tillsynsmail/A 10210-2024 tillsynsbegäran mail.docx", "A 10210-2024")</f>
        <v/>
      </c>
      <c r="Z172">
        <f>HYPERLINK("https://klasma.github.io/Logging_0382/fåglar/A 10210-2024 prioriterade fågelarter.docx", "A 10210-2024")</f>
        <v/>
      </c>
    </row>
    <row r="173" ht="15" customHeight="1">
      <c r="A173" t="inlineStr">
        <is>
          <t>A 12753-2024</t>
        </is>
      </c>
      <c r="B173" s="1" t="n">
        <v>45384</v>
      </c>
      <c r="C173" s="1" t="n">
        <v>45665</v>
      </c>
      <c r="D173" t="inlineStr">
        <is>
          <t>UPPSALA LÄN</t>
        </is>
      </c>
      <c r="E173" t="inlineStr">
        <is>
          <t>ÖSTHAMMAR</t>
        </is>
      </c>
      <c r="G173" t="n">
        <v>1.7</v>
      </c>
      <c r="H173" t="n">
        <v>0</v>
      </c>
      <c r="I173" t="n">
        <v>0</v>
      </c>
      <c r="J173" t="n">
        <v>1</v>
      </c>
      <c r="K173" t="n">
        <v>0</v>
      </c>
      <c r="L173" t="n">
        <v>0</v>
      </c>
      <c r="M173" t="n">
        <v>0</v>
      </c>
      <c r="N173" t="n">
        <v>0</v>
      </c>
      <c r="O173" t="n">
        <v>1</v>
      </c>
      <c r="P173" t="n">
        <v>0</v>
      </c>
      <c r="Q173" t="n">
        <v>1</v>
      </c>
      <c r="R173" s="2" t="inlineStr">
        <is>
          <t>Flattoppad klubbsvamp</t>
        </is>
      </c>
      <c r="S173">
        <f>HYPERLINK("https://klasma.github.io/Logging_0382/artfynd/A 12753-2024 artfynd.xlsx", "A 12753-2024")</f>
        <v/>
      </c>
      <c r="T173">
        <f>HYPERLINK("https://klasma.github.io/Logging_0382/kartor/A 12753-2024 karta.png", "A 12753-2024")</f>
        <v/>
      </c>
      <c r="V173">
        <f>HYPERLINK("https://klasma.github.io/Logging_0382/klagomål/A 12753-2024 FSC-klagomål.docx", "A 12753-2024")</f>
        <v/>
      </c>
      <c r="W173">
        <f>HYPERLINK("https://klasma.github.io/Logging_0382/klagomålsmail/A 12753-2024 FSC-klagomål mail.docx", "A 12753-2024")</f>
        <v/>
      </c>
      <c r="X173">
        <f>HYPERLINK("https://klasma.github.io/Logging_0382/tillsyn/A 12753-2024 tillsynsbegäran.docx", "A 12753-2024")</f>
        <v/>
      </c>
      <c r="Y173">
        <f>HYPERLINK("https://klasma.github.io/Logging_0382/tillsynsmail/A 12753-2024 tillsynsbegäran mail.docx", "A 12753-2024")</f>
        <v/>
      </c>
    </row>
    <row r="174" ht="15" customHeight="1">
      <c r="A174" t="inlineStr">
        <is>
          <t>A 14203-2024</t>
        </is>
      </c>
      <c r="B174" s="1" t="n">
        <v>45393</v>
      </c>
      <c r="C174" s="1" t="n">
        <v>45665</v>
      </c>
      <c r="D174" t="inlineStr">
        <is>
          <t>UPPSALA LÄN</t>
        </is>
      </c>
      <c r="E174" t="inlineStr">
        <is>
          <t>ÖSTHAMMAR</t>
        </is>
      </c>
      <c r="G174" t="n">
        <v>1.4</v>
      </c>
      <c r="H174" t="n">
        <v>0</v>
      </c>
      <c r="I174" t="n">
        <v>0</v>
      </c>
      <c r="J174" t="n">
        <v>1</v>
      </c>
      <c r="K174" t="n">
        <v>0</v>
      </c>
      <c r="L174" t="n">
        <v>0</v>
      </c>
      <c r="M174" t="n">
        <v>0</v>
      </c>
      <c r="N174" t="n">
        <v>0</v>
      </c>
      <c r="O174" t="n">
        <v>1</v>
      </c>
      <c r="P174" t="n">
        <v>0</v>
      </c>
      <c r="Q174" t="n">
        <v>1</v>
      </c>
      <c r="R174" s="2" t="inlineStr">
        <is>
          <t>Scharlakansvaxskivling</t>
        </is>
      </c>
      <c r="S174">
        <f>HYPERLINK("https://klasma.github.io/Logging_0382/artfynd/A 14203-2024 artfynd.xlsx", "A 14203-2024")</f>
        <v/>
      </c>
      <c r="T174">
        <f>HYPERLINK("https://klasma.github.io/Logging_0382/kartor/A 14203-2024 karta.png", "A 14203-2024")</f>
        <v/>
      </c>
      <c r="V174">
        <f>HYPERLINK("https://klasma.github.io/Logging_0382/klagomål/A 14203-2024 FSC-klagomål.docx", "A 14203-2024")</f>
        <v/>
      </c>
      <c r="W174">
        <f>HYPERLINK("https://klasma.github.io/Logging_0382/klagomålsmail/A 14203-2024 FSC-klagomål mail.docx", "A 14203-2024")</f>
        <v/>
      </c>
      <c r="X174">
        <f>HYPERLINK("https://klasma.github.io/Logging_0382/tillsyn/A 14203-2024 tillsynsbegäran.docx", "A 14203-2024")</f>
        <v/>
      </c>
      <c r="Y174">
        <f>HYPERLINK("https://klasma.github.io/Logging_0382/tillsynsmail/A 14203-2024 tillsynsbegäran mail.docx", "A 14203-2024")</f>
        <v/>
      </c>
    </row>
    <row r="175" ht="15" customHeight="1">
      <c r="A175" t="inlineStr">
        <is>
          <t>A 22375-2024</t>
        </is>
      </c>
      <c r="B175" s="1" t="n">
        <v>45446</v>
      </c>
      <c r="C175" s="1" t="n">
        <v>45665</v>
      </c>
      <c r="D175" t="inlineStr">
        <is>
          <t>UPPSALA LÄN</t>
        </is>
      </c>
      <c r="E175" t="inlineStr">
        <is>
          <t>ÖSTHAMMAR</t>
        </is>
      </c>
      <c r="F175" t="inlineStr">
        <is>
          <t>Bergvik skog öst AB</t>
        </is>
      </c>
      <c r="G175" t="n">
        <v>2.2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22375-2024 artfynd.xlsx", "A 22375-2024")</f>
        <v/>
      </c>
      <c r="T175">
        <f>HYPERLINK("https://klasma.github.io/Logging_0382/kartor/A 22375-2024 karta.png", "A 22375-2024")</f>
        <v/>
      </c>
      <c r="V175">
        <f>HYPERLINK("https://klasma.github.io/Logging_0382/klagomål/A 22375-2024 FSC-klagomål.docx", "A 22375-2024")</f>
        <v/>
      </c>
      <c r="W175">
        <f>HYPERLINK("https://klasma.github.io/Logging_0382/klagomålsmail/A 22375-2024 FSC-klagomål mail.docx", "A 22375-2024")</f>
        <v/>
      </c>
      <c r="X175">
        <f>HYPERLINK("https://klasma.github.io/Logging_0382/tillsyn/A 22375-2024 tillsynsbegäran.docx", "A 22375-2024")</f>
        <v/>
      </c>
      <c r="Y175">
        <f>HYPERLINK("https://klasma.github.io/Logging_0382/tillsynsmail/A 22375-2024 tillsynsbegäran mail.docx", "A 22375-2024")</f>
        <v/>
      </c>
    </row>
    <row r="176" ht="15" customHeight="1">
      <c r="A176" t="inlineStr">
        <is>
          <t>A 36622-2024</t>
        </is>
      </c>
      <c r="B176" s="1" t="n">
        <v>45537</v>
      </c>
      <c r="C176" s="1" t="n">
        <v>45665</v>
      </c>
      <c r="D176" t="inlineStr">
        <is>
          <t>UPPSALA LÄN</t>
        </is>
      </c>
      <c r="E176" t="inlineStr">
        <is>
          <t>ÖSTHAMMAR</t>
        </is>
      </c>
      <c r="F176" t="inlineStr">
        <is>
          <t>Bergvik skog väst AB</t>
        </is>
      </c>
      <c r="G176" t="n">
        <v>5.2</v>
      </c>
      <c r="H176" t="n">
        <v>1</v>
      </c>
      <c r="I176" t="n">
        <v>0</v>
      </c>
      <c r="J176" t="n">
        <v>0</v>
      </c>
      <c r="K176" t="n">
        <v>0</v>
      </c>
      <c r="L176" t="n">
        <v>0</v>
      </c>
      <c r="M176" t="n">
        <v>0</v>
      </c>
      <c r="N176" t="n">
        <v>0</v>
      </c>
      <c r="O176" t="n">
        <v>0</v>
      </c>
      <c r="P176" t="n">
        <v>0</v>
      </c>
      <c r="Q176" t="n">
        <v>1</v>
      </c>
      <c r="R176" s="2" t="inlineStr">
        <is>
          <t>Blåsippa</t>
        </is>
      </c>
      <c r="S176">
        <f>HYPERLINK("https://klasma.github.io/Logging_0382/artfynd/A 36622-2024 artfynd.xlsx", "A 36622-2024")</f>
        <v/>
      </c>
      <c r="T176">
        <f>HYPERLINK("https://klasma.github.io/Logging_0382/kartor/A 36622-2024 karta.png", "A 36622-2024")</f>
        <v/>
      </c>
      <c r="V176">
        <f>HYPERLINK("https://klasma.github.io/Logging_0382/klagomål/A 36622-2024 FSC-klagomål.docx", "A 36622-2024")</f>
        <v/>
      </c>
      <c r="W176">
        <f>HYPERLINK("https://klasma.github.io/Logging_0382/klagomålsmail/A 36622-2024 FSC-klagomål mail.docx", "A 36622-2024")</f>
        <v/>
      </c>
      <c r="X176">
        <f>HYPERLINK("https://klasma.github.io/Logging_0382/tillsyn/A 36622-2024 tillsynsbegäran.docx", "A 36622-2024")</f>
        <v/>
      </c>
      <c r="Y176">
        <f>HYPERLINK("https://klasma.github.io/Logging_0382/tillsynsmail/A 36622-2024 tillsynsbegäran mail.docx", "A 36622-2024")</f>
        <v/>
      </c>
    </row>
    <row r="177" ht="15" customHeight="1">
      <c r="A177" t="inlineStr">
        <is>
          <t>A 46632-2024</t>
        </is>
      </c>
      <c r="B177" s="1" t="n">
        <v>45583</v>
      </c>
      <c r="C177" s="1" t="n">
        <v>45665</v>
      </c>
      <c r="D177" t="inlineStr">
        <is>
          <t>UPPSALA LÄN</t>
        </is>
      </c>
      <c r="E177" t="inlineStr">
        <is>
          <t>ÖSTHAMMAR</t>
        </is>
      </c>
      <c r="F177" t="inlineStr">
        <is>
          <t>Bergvik skog öst AB</t>
        </is>
      </c>
      <c r="G177" t="n">
        <v>5.3</v>
      </c>
      <c r="H177" t="n">
        <v>0</v>
      </c>
      <c r="I177" t="n">
        <v>0</v>
      </c>
      <c r="J177" t="n">
        <v>1</v>
      </c>
      <c r="K177" t="n">
        <v>0</v>
      </c>
      <c r="L177" t="n">
        <v>0</v>
      </c>
      <c r="M177" t="n">
        <v>0</v>
      </c>
      <c r="N177" t="n">
        <v>0</v>
      </c>
      <c r="O177" t="n">
        <v>1</v>
      </c>
      <c r="P177" t="n">
        <v>0</v>
      </c>
      <c r="Q177" t="n">
        <v>1</v>
      </c>
      <c r="R177" s="2" t="inlineStr">
        <is>
          <t>Sexfläckig bastardsvärmare</t>
        </is>
      </c>
      <c r="S177">
        <f>HYPERLINK("https://klasma.github.io/Logging_0382/artfynd/A 46632-2024 artfynd.xlsx", "A 46632-2024")</f>
        <v/>
      </c>
      <c r="T177">
        <f>HYPERLINK("https://klasma.github.io/Logging_0382/kartor/A 46632-2024 karta.png", "A 46632-2024")</f>
        <v/>
      </c>
      <c r="V177">
        <f>HYPERLINK("https://klasma.github.io/Logging_0382/klagomål/A 46632-2024 FSC-klagomål.docx", "A 46632-2024")</f>
        <v/>
      </c>
      <c r="W177">
        <f>HYPERLINK("https://klasma.github.io/Logging_0382/klagomålsmail/A 46632-2024 FSC-klagomål mail.docx", "A 46632-2024")</f>
        <v/>
      </c>
      <c r="X177">
        <f>HYPERLINK("https://klasma.github.io/Logging_0382/tillsyn/A 46632-2024 tillsynsbegäran.docx", "A 46632-2024")</f>
        <v/>
      </c>
      <c r="Y177">
        <f>HYPERLINK("https://klasma.github.io/Logging_0382/tillsynsmail/A 46632-2024 tillsynsbegäran mail.docx", "A 46632-2024")</f>
        <v/>
      </c>
    </row>
    <row r="178" ht="15" customHeight="1">
      <c r="A178" t="inlineStr">
        <is>
          <t>A 46629-2024</t>
        </is>
      </c>
      <c r="B178" s="1" t="n">
        <v>45583</v>
      </c>
      <c r="C178" s="1" t="n">
        <v>45665</v>
      </c>
      <c r="D178" t="inlineStr">
        <is>
          <t>UPPSALA LÄN</t>
        </is>
      </c>
      <c r="E178" t="inlineStr">
        <is>
          <t>ÖSTHAMMAR</t>
        </is>
      </c>
      <c r="F178" t="inlineStr">
        <is>
          <t>Bergvik skog öst AB</t>
        </is>
      </c>
      <c r="G178" t="n">
        <v>0.7</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46629-2024 artfynd.xlsx", "A 46629-2024")</f>
        <v/>
      </c>
      <c r="T178">
        <f>HYPERLINK("https://klasma.github.io/Logging_0382/kartor/A 46629-2024 karta.png", "A 46629-2024")</f>
        <v/>
      </c>
      <c r="V178">
        <f>HYPERLINK("https://klasma.github.io/Logging_0382/klagomål/A 46629-2024 FSC-klagomål.docx", "A 46629-2024")</f>
        <v/>
      </c>
      <c r="W178">
        <f>HYPERLINK("https://klasma.github.io/Logging_0382/klagomålsmail/A 46629-2024 FSC-klagomål mail.docx", "A 46629-2024")</f>
        <v/>
      </c>
      <c r="X178">
        <f>HYPERLINK("https://klasma.github.io/Logging_0382/tillsyn/A 46629-2024 tillsynsbegäran.docx", "A 46629-2024")</f>
        <v/>
      </c>
      <c r="Y178">
        <f>HYPERLINK("https://klasma.github.io/Logging_0382/tillsynsmail/A 46629-2024 tillsynsbegäran mail.docx", "A 46629-2024")</f>
        <v/>
      </c>
    </row>
    <row r="179" ht="15" customHeight="1">
      <c r="A179" t="inlineStr">
        <is>
          <t>A 55169-2024</t>
        </is>
      </c>
      <c r="B179" s="1" t="n">
        <v>45621</v>
      </c>
      <c r="C179" s="1" t="n">
        <v>45665</v>
      </c>
      <c r="D179" t="inlineStr">
        <is>
          <t>UPPSALA LÄN</t>
        </is>
      </c>
      <c r="E179" t="inlineStr">
        <is>
          <t>ÖSTHAMMAR</t>
        </is>
      </c>
      <c r="G179" t="n">
        <v>1.1</v>
      </c>
      <c r="H179" t="n">
        <v>0</v>
      </c>
      <c r="I179" t="n">
        <v>1</v>
      </c>
      <c r="J179" t="n">
        <v>0</v>
      </c>
      <c r="K179" t="n">
        <v>0</v>
      </c>
      <c r="L179" t="n">
        <v>0</v>
      </c>
      <c r="M179" t="n">
        <v>0</v>
      </c>
      <c r="N179" t="n">
        <v>0</v>
      </c>
      <c r="O179" t="n">
        <v>0</v>
      </c>
      <c r="P179" t="n">
        <v>0</v>
      </c>
      <c r="Q179" t="n">
        <v>1</v>
      </c>
      <c r="R179" s="2" t="inlineStr">
        <is>
          <t>Svavelriska</t>
        </is>
      </c>
      <c r="S179">
        <f>HYPERLINK("https://klasma.github.io/Logging_0382/artfynd/A 55169-2024 artfynd.xlsx", "A 55169-2024")</f>
        <v/>
      </c>
      <c r="T179">
        <f>HYPERLINK("https://klasma.github.io/Logging_0382/kartor/A 55169-2024 karta.png", "A 55169-2024")</f>
        <v/>
      </c>
      <c r="V179">
        <f>HYPERLINK("https://klasma.github.io/Logging_0382/klagomål/A 55169-2024 FSC-klagomål.docx", "A 55169-2024")</f>
        <v/>
      </c>
      <c r="W179">
        <f>HYPERLINK("https://klasma.github.io/Logging_0382/klagomålsmail/A 55169-2024 FSC-klagomål mail.docx", "A 55169-2024")</f>
        <v/>
      </c>
      <c r="X179">
        <f>HYPERLINK("https://klasma.github.io/Logging_0382/tillsyn/A 55169-2024 tillsynsbegäran.docx", "A 55169-2024")</f>
        <v/>
      </c>
      <c r="Y179">
        <f>HYPERLINK("https://klasma.github.io/Logging_0382/tillsynsmail/A 55169-2024 tillsynsbegäran mail.docx", "A 55169-2024")</f>
        <v/>
      </c>
    </row>
    <row r="180" ht="15" customHeight="1">
      <c r="A180" t="inlineStr">
        <is>
          <t>A 18596-2019</t>
        </is>
      </c>
      <c r="B180" s="1" t="n">
        <v>43560</v>
      </c>
      <c r="C180" s="1" t="n">
        <v>45665</v>
      </c>
      <c r="D180" t="inlineStr">
        <is>
          <t>UPPSALA LÄN</t>
        </is>
      </c>
      <c r="E180" t="inlineStr">
        <is>
          <t>ÖSTHAMMAR</t>
        </is>
      </c>
      <c r="G180" t="n">
        <v>1.2</v>
      </c>
      <c r="H180" t="n">
        <v>0</v>
      </c>
      <c r="I180" t="n">
        <v>0</v>
      </c>
      <c r="J180" t="n">
        <v>0</v>
      </c>
      <c r="K180" t="n">
        <v>0</v>
      </c>
      <c r="L180" t="n">
        <v>0</v>
      </c>
      <c r="M180" t="n">
        <v>0</v>
      </c>
      <c r="N180" t="n">
        <v>0</v>
      </c>
      <c r="O180" t="n">
        <v>0</v>
      </c>
      <c r="P180" t="n">
        <v>0</v>
      </c>
      <c r="Q180" t="n">
        <v>0</v>
      </c>
      <c r="R180" s="2" t="inlineStr"/>
    </row>
    <row r="181" ht="15" customHeight="1">
      <c r="A181" t="inlineStr">
        <is>
          <t>A 18781-2019</t>
        </is>
      </c>
      <c r="B181" s="1" t="n">
        <v>43561</v>
      </c>
      <c r="C181" s="1" t="n">
        <v>45665</v>
      </c>
      <c r="D181" t="inlineStr">
        <is>
          <t>UPPSALA LÄN</t>
        </is>
      </c>
      <c r="E181" t="inlineStr">
        <is>
          <t>ÖSTHAMMAR</t>
        </is>
      </c>
      <c r="F181" t="inlineStr">
        <is>
          <t>Bergvik skog öst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18792-2019</t>
        </is>
      </c>
      <c r="B182" s="1" t="n">
        <v>43562</v>
      </c>
      <c r="C182" s="1" t="n">
        <v>45665</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18800-2019</t>
        </is>
      </c>
      <c r="B183" s="1" t="n">
        <v>43562</v>
      </c>
      <c r="C183" s="1" t="n">
        <v>45665</v>
      </c>
      <c r="D183" t="inlineStr">
        <is>
          <t>UPPSALA LÄN</t>
        </is>
      </c>
      <c r="E183" t="inlineStr">
        <is>
          <t>ÖSTHAMMAR</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20683-2019</t>
        </is>
      </c>
      <c r="B184" s="1" t="n">
        <v>43573</v>
      </c>
      <c r="C184" s="1" t="n">
        <v>45665</v>
      </c>
      <c r="D184" t="inlineStr">
        <is>
          <t>UPPSALA LÄN</t>
        </is>
      </c>
      <c r="E184" t="inlineStr">
        <is>
          <t>ÖSTHAMMAR</t>
        </is>
      </c>
      <c r="G184" t="n">
        <v>2.6</v>
      </c>
      <c r="H184" t="n">
        <v>0</v>
      </c>
      <c r="I184" t="n">
        <v>0</v>
      </c>
      <c r="J184" t="n">
        <v>0</v>
      </c>
      <c r="K184" t="n">
        <v>0</v>
      </c>
      <c r="L184" t="n">
        <v>0</v>
      </c>
      <c r="M184" t="n">
        <v>0</v>
      </c>
      <c r="N184" t="n">
        <v>0</v>
      </c>
      <c r="O184" t="n">
        <v>0</v>
      </c>
      <c r="P184" t="n">
        <v>0</v>
      </c>
      <c r="Q184" t="n">
        <v>0</v>
      </c>
      <c r="R184" s="2" t="inlineStr"/>
    </row>
    <row r="185" ht="15" customHeight="1">
      <c r="A185" t="inlineStr">
        <is>
          <t>A 21471-2019</t>
        </is>
      </c>
      <c r="B185" s="1" t="n">
        <v>43580</v>
      </c>
      <c r="C185" s="1" t="n">
        <v>45665</v>
      </c>
      <c r="D185" t="inlineStr">
        <is>
          <t>UPPSALA LÄN</t>
        </is>
      </c>
      <c r="E185" t="inlineStr">
        <is>
          <t>ÖSTHAMMAR</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22800-2019</t>
        </is>
      </c>
      <c r="B186" s="1" t="n">
        <v>43590</v>
      </c>
      <c r="C186" s="1" t="n">
        <v>45665</v>
      </c>
      <c r="D186" t="inlineStr">
        <is>
          <t>UPPSALA LÄN</t>
        </is>
      </c>
      <c r="E186" t="inlineStr">
        <is>
          <t>ÖSTHAMMAR</t>
        </is>
      </c>
      <c r="G186" t="n">
        <v>1.5</v>
      </c>
      <c r="H186" t="n">
        <v>0</v>
      </c>
      <c r="I186" t="n">
        <v>0</v>
      </c>
      <c r="J186" t="n">
        <v>0</v>
      </c>
      <c r="K186" t="n">
        <v>0</v>
      </c>
      <c r="L186" t="n">
        <v>0</v>
      </c>
      <c r="M186" t="n">
        <v>0</v>
      </c>
      <c r="N186" t="n">
        <v>0</v>
      </c>
      <c r="O186" t="n">
        <v>0</v>
      </c>
      <c r="P186" t="n">
        <v>0</v>
      </c>
      <c r="Q186" t="n">
        <v>0</v>
      </c>
      <c r="R186" s="2" t="inlineStr"/>
      <c r="U186">
        <f>HYPERLINK("https://klasma.github.io/Logging_0382/knärot/A 22800-2019 karta knärot.png", "A 22800-2019")</f>
        <v/>
      </c>
      <c r="V186">
        <f>HYPERLINK("https://klasma.github.io/Logging_0382/klagomål/A 22800-2019 FSC-klagomål.docx", "A 22800-2019")</f>
        <v/>
      </c>
      <c r="W186">
        <f>HYPERLINK("https://klasma.github.io/Logging_0382/klagomålsmail/A 22800-2019 FSC-klagomål mail.docx", "A 22800-2019")</f>
        <v/>
      </c>
      <c r="X186">
        <f>HYPERLINK("https://klasma.github.io/Logging_0382/tillsyn/A 22800-2019 tillsynsbegäran.docx", "A 22800-2019")</f>
        <v/>
      </c>
      <c r="Y186">
        <f>HYPERLINK("https://klasma.github.io/Logging_0382/tillsynsmail/A 22800-2019 tillsynsbegäran mail.docx", "A 22800-2019")</f>
        <v/>
      </c>
    </row>
    <row r="187" ht="15" customHeight="1">
      <c r="A187" t="inlineStr">
        <is>
          <t>A 22801-2019</t>
        </is>
      </c>
      <c r="B187" s="1" t="n">
        <v>43590</v>
      </c>
      <c r="C187" s="1" t="n">
        <v>45665</v>
      </c>
      <c r="D187" t="inlineStr">
        <is>
          <t>UPPSALA LÄN</t>
        </is>
      </c>
      <c r="E187" t="inlineStr">
        <is>
          <t>ÖSTHAMMAR</t>
        </is>
      </c>
      <c r="G187" t="n">
        <v>2.2</v>
      </c>
      <c r="H187" t="n">
        <v>0</v>
      </c>
      <c r="I187" t="n">
        <v>0</v>
      </c>
      <c r="J187" t="n">
        <v>0</v>
      </c>
      <c r="K187" t="n">
        <v>0</v>
      </c>
      <c r="L187" t="n">
        <v>0</v>
      </c>
      <c r="M187" t="n">
        <v>0</v>
      </c>
      <c r="N187" t="n">
        <v>0</v>
      </c>
      <c r="O187" t="n">
        <v>0</v>
      </c>
      <c r="P187" t="n">
        <v>0</v>
      </c>
      <c r="Q187" t="n">
        <v>0</v>
      </c>
      <c r="R187" s="2" t="inlineStr"/>
    </row>
    <row r="188" ht="15" customHeight="1">
      <c r="A188" t="inlineStr">
        <is>
          <t>A 23008-2019</t>
        </is>
      </c>
      <c r="B188" s="1" t="n">
        <v>43591</v>
      </c>
      <c r="C188" s="1" t="n">
        <v>45665</v>
      </c>
      <c r="D188" t="inlineStr">
        <is>
          <t>UPPSALA LÄN</t>
        </is>
      </c>
      <c r="E188" t="inlineStr">
        <is>
          <t>ÖSTHAMMAR</t>
        </is>
      </c>
      <c r="G188" t="n">
        <v>4.5</v>
      </c>
      <c r="H188" t="n">
        <v>0</v>
      </c>
      <c r="I188" t="n">
        <v>0</v>
      </c>
      <c r="J188" t="n">
        <v>0</v>
      </c>
      <c r="K188" t="n">
        <v>0</v>
      </c>
      <c r="L188" t="n">
        <v>0</v>
      </c>
      <c r="M188" t="n">
        <v>0</v>
      </c>
      <c r="N188" t="n">
        <v>0</v>
      </c>
      <c r="O188" t="n">
        <v>0</v>
      </c>
      <c r="P188" t="n">
        <v>0</v>
      </c>
      <c r="Q188" t="n">
        <v>0</v>
      </c>
      <c r="R188" s="2" t="inlineStr"/>
    </row>
    <row r="189" ht="15" customHeight="1">
      <c r="A189" t="inlineStr">
        <is>
          <t>A 25874-2019</t>
        </is>
      </c>
      <c r="B189" s="1" t="n">
        <v>43605</v>
      </c>
      <c r="C189" s="1" t="n">
        <v>45665</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25703-2019</t>
        </is>
      </c>
      <c r="B190" s="1" t="n">
        <v>43607</v>
      </c>
      <c r="C190" s="1" t="n">
        <v>45665</v>
      </c>
      <c r="D190" t="inlineStr">
        <is>
          <t>UPPSALA LÄN</t>
        </is>
      </c>
      <c r="E190" t="inlineStr">
        <is>
          <t>ÖSTHAMMAR</t>
        </is>
      </c>
      <c r="F190" t="inlineStr">
        <is>
          <t>Bergvik skog öst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25708-2019</t>
        </is>
      </c>
      <c r="B191" s="1" t="n">
        <v>43607</v>
      </c>
      <c r="C191" s="1" t="n">
        <v>45665</v>
      </c>
      <c r="D191" t="inlineStr">
        <is>
          <t>UPPSALA LÄN</t>
        </is>
      </c>
      <c r="E191" t="inlineStr">
        <is>
          <t>ÖSTHAMMAR</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25706-2019</t>
        </is>
      </c>
      <c r="B192" s="1" t="n">
        <v>43607</v>
      </c>
      <c r="C192" s="1" t="n">
        <v>45665</v>
      </c>
      <c r="D192" t="inlineStr">
        <is>
          <t>UPPSALA LÄN</t>
        </is>
      </c>
      <c r="E192" t="inlineStr">
        <is>
          <t>ÖSTHAMMAR</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26562-2019</t>
        </is>
      </c>
      <c r="B193" s="1" t="n">
        <v>43612</v>
      </c>
      <c r="C193" s="1" t="n">
        <v>45665</v>
      </c>
      <c r="D193" t="inlineStr">
        <is>
          <t>UPPSALA LÄN</t>
        </is>
      </c>
      <c r="E193" t="inlineStr">
        <is>
          <t>ÖSTHAMMAR</t>
        </is>
      </c>
      <c r="G193" t="n">
        <v>3.2</v>
      </c>
      <c r="H193" t="n">
        <v>0</v>
      </c>
      <c r="I193" t="n">
        <v>0</v>
      </c>
      <c r="J193" t="n">
        <v>0</v>
      </c>
      <c r="K193" t="n">
        <v>0</v>
      </c>
      <c r="L193" t="n">
        <v>0</v>
      </c>
      <c r="M193" t="n">
        <v>0</v>
      </c>
      <c r="N193" t="n">
        <v>0</v>
      </c>
      <c r="O193" t="n">
        <v>0</v>
      </c>
      <c r="P193" t="n">
        <v>0</v>
      </c>
      <c r="Q193" t="n">
        <v>0</v>
      </c>
      <c r="R193" s="2" t="inlineStr"/>
    </row>
    <row r="194" ht="15" customHeight="1">
      <c r="A194" t="inlineStr">
        <is>
          <t>A 26724-2019</t>
        </is>
      </c>
      <c r="B194" s="1" t="n">
        <v>43613</v>
      </c>
      <c r="C194" s="1" t="n">
        <v>45665</v>
      </c>
      <c r="D194" t="inlineStr">
        <is>
          <t>UPPSALA LÄN</t>
        </is>
      </c>
      <c r="E194" t="inlineStr">
        <is>
          <t>ÖSTHAMMAR</t>
        </is>
      </c>
      <c r="F194" t="inlineStr">
        <is>
          <t>Bergvik skog öst AB</t>
        </is>
      </c>
      <c r="G194" t="n">
        <v>1.5</v>
      </c>
      <c r="H194" t="n">
        <v>0</v>
      </c>
      <c r="I194" t="n">
        <v>0</v>
      </c>
      <c r="J194" t="n">
        <v>0</v>
      </c>
      <c r="K194" t="n">
        <v>0</v>
      </c>
      <c r="L194" t="n">
        <v>0</v>
      </c>
      <c r="M194" t="n">
        <v>0</v>
      </c>
      <c r="N194" t="n">
        <v>0</v>
      </c>
      <c r="O194" t="n">
        <v>0</v>
      </c>
      <c r="P194" t="n">
        <v>0</v>
      </c>
      <c r="Q194" t="n">
        <v>0</v>
      </c>
      <c r="R194" s="2" t="inlineStr"/>
    </row>
    <row r="195" ht="15" customHeight="1">
      <c r="A195" t="inlineStr">
        <is>
          <t>A 26796-2019</t>
        </is>
      </c>
      <c r="B195" s="1" t="n">
        <v>43613</v>
      </c>
      <c r="C195" s="1" t="n">
        <v>45665</v>
      </c>
      <c r="D195" t="inlineStr">
        <is>
          <t>UPPSALA LÄN</t>
        </is>
      </c>
      <c r="E195" t="inlineStr">
        <is>
          <t>ÖSTHAMMAR</t>
        </is>
      </c>
      <c r="F195" t="inlineStr">
        <is>
          <t>Bergvik skog öst AB</t>
        </is>
      </c>
      <c r="G195" t="n">
        <v>4.4</v>
      </c>
      <c r="H195" t="n">
        <v>0</v>
      </c>
      <c r="I195" t="n">
        <v>0</v>
      </c>
      <c r="J195" t="n">
        <v>0</v>
      </c>
      <c r="K195" t="n">
        <v>0</v>
      </c>
      <c r="L195" t="n">
        <v>0</v>
      </c>
      <c r="M195" t="n">
        <v>0</v>
      </c>
      <c r="N195" t="n">
        <v>0</v>
      </c>
      <c r="O195" t="n">
        <v>0</v>
      </c>
      <c r="P195" t="n">
        <v>0</v>
      </c>
      <c r="Q195" t="n">
        <v>0</v>
      </c>
      <c r="R195" s="2" t="inlineStr"/>
    </row>
    <row r="196" ht="15" customHeight="1">
      <c r="A196" t="inlineStr">
        <is>
          <t>A 27458-2019</t>
        </is>
      </c>
      <c r="B196" s="1" t="n">
        <v>43618</v>
      </c>
      <c r="C196" s="1" t="n">
        <v>45665</v>
      </c>
      <c r="D196" t="inlineStr">
        <is>
          <t>UPPSALA LÄN</t>
        </is>
      </c>
      <c r="E196" t="inlineStr">
        <is>
          <t>ÖSTHAMMAR</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29204-2019</t>
        </is>
      </c>
      <c r="B197" s="1" t="n">
        <v>43623</v>
      </c>
      <c r="C197" s="1" t="n">
        <v>45665</v>
      </c>
      <c r="D197" t="inlineStr">
        <is>
          <t>UPPSALA LÄN</t>
        </is>
      </c>
      <c r="E197" t="inlineStr">
        <is>
          <t>ÖSTHAMMAR</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31106-2019</t>
        </is>
      </c>
      <c r="B198" s="1" t="n">
        <v>43635</v>
      </c>
      <c r="C198" s="1" t="n">
        <v>45665</v>
      </c>
      <c r="D198" t="inlineStr">
        <is>
          <t>UPPSALA LÄN</t>
        </is>
      </c>
      <c r="E198" t="inlineStr">
        <is>
          <t>ÖSTHAMMAR</t>
        </is>
      </c>
      <c r="F198" t="inlineStr">
        <is>
          <t>Övriga statliga verk och myndigheter</t>
        </is>
      </c>
      <c r="G198" t="n">
        <v>1.5</v>
      </c>
      <c r="H198" t="n">
        <v>0</v>
      </c>
      <c r="I198" t="n">
        <v>0</v>
      </c>
      <c r="J198" t="n">
        <v>0</v>
      </c>
      <c r="K198" t="n">
        <v>0</v>
      </c>
      <c r="L198" t="n">
        <v>0</v>
      </c>
      <c r="M198" t="n">
        <v>0</v>
      </c>
      <c r="N198" t="n">
        <v>0</v>
      </c>
      <c r="O198" t="n">
        <v>0</v>
      </c>
      <c r="P198" t="n">
        <v>0</v>
      </c>
      <c r="Q198" t="n">
        <v>0</v>
      </c>
      <c r="R198" s="2" t="inlineStr"/>
    </row>
    <row r="199" ht="15" customHeight="1">
      <c r="A199" t="inlineStr">
        <is>
          <t>A 31716-2019</t>
        </is>
      </c>
      <c r="B199" s="1" t="n">
        <v>43642</v>
      </c>
      <c r="C199" s="1" t="n">
        <v>45665</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31882-2019</t>
        </is>
      </c>
      <c r="B200" s="1" t="n">
        <v>43642</v>
      </c>
      <c r="C200" s="1" t="n">
        <v>45665</v>
      </c>
      <c r="D200" t="inlineStr">
        <is>
          <t>UPPSALA LÄN</t>
        </is>
      </c>
      <c r="E200" t="inlineStr">
        <is>
          <t>ÖSTHAMMAR</t>
        </is>
      </c>
      <c r="G200" t="n">
        <v>3.5</v>
      </c>
      <c r="H200" t="n">
        <v>0</v>
      </c>
      <c r="I200" t="n">
        <v>0</v>
      </c>
      <c r="J200" t="n">
        <v>0</v>
      </c>
      <c r="K200" t="n">
        <v>0</v>
      </c>
      <c r="L200" t="n">
        <v>0</v>
      </c>
      <c r="M200" t="n">
        <v>0</v>
      </c>
      <c r="N200" t="n">
        <v>0</v>
      </c>
      <c r="O200" t="n">
        <v>0</v>
      </c>
      <c r="P200" t="n">
        <v>0</v>
      </c>
      <c r="Q200" t="n">
        <v>0</v>
      </c>
      <c r="R200" s="2" t="inlineStr"/>
    </row>
    <row r="201" ht="15" customHeight="1">
      <c r="A201" t="inlineStr">
        <is>
          <t>A 32718-2019</t>
        </is>
      </c>
      <c r="B201" s="1" t="n">
        <v>43647</v>
      </c>
      <c r="C201" s="1" t="n">
        <v>45665</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33532-2019</t>
        </is>
      </c>
      <c r="B202" s="1" t="n">
        <v>43651</v>
      </c>
      <c r="C202" s="1" t="n">
        <v>45665</v>
      </c>
      <c r="D202" t="inlineStr">
        <is>
          <t>UPPSALA LÄN</t>
        </is>
      </c>
      <c r="E202" t="inlineStr">
        <is>
          <t>ÖSTHAMMAR</t>
        </is>
      </c>
      <c r="G202" t="n">
        <v>1.6</v>
      </c>
      <c r="H202" t="n">
        <v>0</v>
      </c>
      <c r="I202" t="n">
        <v>0</v>
      </c>
      <c r="J202" t="n">
        <v>0</v>
      </c>
      <c r="K202" t="n">
        <v>0</v>
      </c>
      <c r="L202" t="n">
        <v>0</v>
      </c>
      <c r="M202" t="n">
        <v>0</v>
      </c>
      <c r="N202" t="n">
        <v>0</v>
      </c>
      <c r="O202" t="n">
        <v>0</v>
      </c>
      <c r="P202" t="n">
        <v>0</v>
      </c>
      <c r="Q202" t="n">
        <v>0</v>
      </c>
      <c r="R202" s="2" t="inlineStr"/>
    </row>
    <row r="203" ht="15" customHeight="1">
      <c r="A203" t="inlineStr">
        <is>
          <t>A 33544-2019</t>
        </is>
      </c>
      <c r="B203" s="1" t="n">
        <v>43651</v>
      </c>
      <c r="C203" s="1" t="n">
        <v>45665</v>
      </c>
      <c r="D203" t="inlineStr">
        <is>
          <t>UPPSALA LÄN</t>
        </is>
      </c>
      <c r="E203" t="inlineStr">
        <is>
          <t>ÖSTHAMMAR</t>
        </is>
      </c>
      <c r="G203" t="n">
        <v>4.3</v>
      </c>
      <c r="H203" t="n">
        <v>0</v>
      </c>
      <c r="I203" t="n">
        <v>0</v>
      </c>
      <c r="J203" t="n">
        <v>0</v>
      </c>
      <c r="K203" t="n">
        <v>0</v>
      </c>
      <c r="L203" t="n">
        <v>0</v>
      </c>
      <c r="M203" t="n">
        <v>0</v>
      </c>
      <c r="N203" t="n">
        <v>0</v>
      </c>
      <c r="O203" t="n">
        <v>0</v>
      </c>
      <c r="P203" t="n">
        <v>0</v>
      </c>
      <c r="Q203" t="n">
        <v>0</v>
      </c>
      <c r="R203" s="2" t="inlineStr"/>
    </row>
    <row r="204" ht="15" customHeight="1">
      <c r="A204" t="inlineStr">
        <is>
          <t>A 33539-2019</t>
        </is>
      </c>
      <c r="B204" s="1" t="n">
        <v>43651</v>
      </c>
      <c r="C204" s="1" t="n">
        <v>45665</v>
      </c>
      <c r="D204" t="inlineStr">
        <is>
          <t>UPPSALA LÄN</t>
        </is>
      </c>
      <c r="E204" t="inlineStr">
        <is>
          <t>ÖSTHAMMAR</t>
        </is>
      </c>
      <c r="G204" t="n">
        <v>4.6</v>
      </c>
      <c r="H204" t="n">
        <v>0</v>
      </c>
      <c r="I204" t="n">
        <v>0</v>
      </c>
      <c r="J204" t="n">
        <v>0</v>
      </c>
      <c r="K204" t="n">
        <v>0</v>
      </c>
      <c r="L204" t="n">
        <v>0</v>
      </c>
      <c r="M204" t="n">
        <v>0</v>
      </c>
      <c r="N204" t="n">
        <v>0</v>
      </c>
      <c r="O204" t="n">
        <v>0</v>
      </c>
      <c r="P204" t="n">
        <v>0</v>
      </c>
      <c r="Q204" t="n">
        <v>0</v>
      </c>
      <c r="R204" s="2" t="inlineStr"/>
    </row>
    <row r="205" ht="15" customHeight="1">
      <c r="A205" t="inlineStr">
        <is>
          <t>A 33551-2019</t>
        </is>
      </c>
      <c r="B205" s="1" t="n">
        <v>43651</v>
      </c>
      <c r="C205" s="1" t="n">
        <v>45665</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33784-2019</t>
        </is>
      </c>
      <c r="B206" s="1" t="n">
        <v>43651</v>
      </c>
      <c r="C206" s="1" t="n">
        <v>45665</v>
      </c>
      <c r="D206" t="inlineStr">
        <is>
          <t>UPPSALA LÄN</t>
        </is>
      </c>
      <c r="E206" t="inlineStr">
        <is>
          <t>ÖSTHAMMAR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39582-2019</t>
        </is>
      </c>
      <c r="B207" s="1" t="n">
        <v>43686</v>
      </c>
      <c r="C207" s="1" t="n">
        <v>45665</v>
      </c>
      <c r="D207" t="inlineStr">
        <is>
          <t>UPPSALA LÄN</t>
        </is>
      </c>
      <c r="E207" t="inlineStr">
        <is>
          <t>ÖSTHAMMAR</t>
        </is>
      </c>
      <c r="G207" t="n">
        <v>12.2</v>
      </c>
      <c r="H207" t="n">
        <v>0</v>
      </c>
      <c r="I207" t="n">
        <v>0</v>
      </c>
      <c r="J207" t="n">
        <v>0</v>
      </c>
      <c r="K207" t="n">
        <v>0</v>
      </c>
      <c r="L207" t="n">
        <v>0</v>
      </c>
      <c r="M207" t="n">
        <v>0</v>
      </c>
      <c r="N207" t="n">
        <v>0</v>
      </c>
      <c r="O207" t="n">
        <v>0</v>
      </c>
      <c r="P207" t="n">
        <v>0</v>
      </c>
      <c r="Q207" t="n">
        <v>0</v>
      </c>
      <c r="R207" s="2" t="inlineStr"/>
    </row>
    <row r="208" ht="15" customHeight="1">
      <c r="A208" t="inlineStr">
        <is>
          <t>A 39910-2019</t>
        </is>
      </c>
      <c r="B208" s="1" t="n">
        <v>43692</v>
      </c>
      <c r="C208" s="1" t="n">
        <v>45665</v>
      </c>
      <c r="D208" t="inlineStr">
        <is>
          <t>UPPSALA LÄN</t>
        </is>
      </c>
      <c r="E208" t="inlineStr">
        <is>
          <t>ÖSTHAMMAR</t>
        </is>
      </c>
      <c r="G208" t="n">
        <v>3.9</v>
      </c>
      <c r="H208" t="n">
        <v>0</v>
      </c>
      <c r="I208" t="n">
        <v>0</v>
      </c>
      <c r="J208" t="n">
        <v>0</v>
      </c>
      <c r="K208" t="n">
        <v>0</v>
      </c>
      <c r="L208" t="n">
        <v>0</v>
      </c>
      <c r="M208" t="n">
        <v>0</v>
      </c>
      <c r="N208" t="n">
        <v>0</v>
      </c>
      <c r="O208" t="n">
        <v>0</v>
      </c>
      <c r="P208" t="n">
        <v>0</v>
      </c>
      <c r="Q208" t="n">
        <v>0</v>
      </c>
      <c r="R208" s="2" t="inlineStr"/>
    </row>
    <row r="209" ht="15" customHeight="1">
      <c r="A209" t="inlineStr">
        <is>
          <t>A 41697-2019</t>
        </is>
      </c>
      <c r="B209" s="1" t="n">
        <v>43699</v>
      </c>
      <c r="C209" s="1" t="n">
        <v>45665</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41539-2019</t>
        </is>
      </c>
      <c r="B210" s="1" t="n">
        <v>43699</v>
      </c>
      <c r="C210" s="1" t="n">
        <v>45665</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43426-2019</t>
        </is>
      </c>
      <c r="B211" s="1" t="n">
        <v>43706</v>
      </c>
      <c r="C211" s="1" t="n">
        <v>45665</v>
      </c>
      <c r="D211" t="inlineStr">
        <is>
          <t>UPPSALA LÄN</t>
        </is>
      </c>
      <c r="E211" t="inlineStr">
        <is>
          <t>ÖSTHAMMAR</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45140-2019</t>
        </is>
      </c>
      <c r="B212" s="1" t="n">
        <v>43713</v>
      </c>
      <c r="C212" s="1" t="n">
        <v>45665</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45681-2019</t>
        </is>
      </c>
      <c r="B213" s="1" t="n">
        <v>43717</v>
      </c>
      <c r="C213" s="1" t="n">
        <v>45665</v>
      </c>
      <c r="D213" t="inlineStr">
        <is>
          <t>UPPSALA LÄN</t>
        </is>
      </c>
      <c r="E213" t="inlineStr">
        <is>
          <t>ÖSTHAMMAR</t>
        </is>
      </c>
      <c r="F213" t="inlineStr">
        <is>
          <t>Bergvik skog öst AB</t>
        </is>
      </c>
      <c r="G213" t="n">
        <v>3</v>
      </c>
      <c r="H213" t="n">
        <v>0</v>
      </c>
      <c r="I213" t="n">
        <v>0</v>
      </c>
      <c r="J213" t="n">
        <v>0</v>
      </c>
      <c r="K213" t="n">
        <v>0</v>
      </c>
      <c r="L213" t="n">
        <v>0</v>
      </c>
      <c r="M213" t="n">
        <v>0</v>
      </c>
      <c r="N213" t="n">
        <v>0</v>
      </c>
      <c r="O213" t="n">
        <v>0</v>
      </c>
      <c r="P213" t="n">
        <v>0</v>
      </c>
      <c r="Q213" t="n">
        <v>0</v>
      </c>
      <c r="R213" s="2" t="inlineStr"/>
    </row>
    <row r="214" ht="15" customHeight="1">
      <c r="A214" t="inlineStr">
        <is>
          <t>A 47440-2019</t>
        </is>
      </c>
      <c r="B214" s="1" t="n">
        <v>43723</v>
      </c>
      <c r="C214" s="1" t="n">
        <v>45665</v>
      </c>
      <c r="D214" t="inlineStr">
        <is>
          <t>UPPSALA LÄN</t>
        </is>
      </c>
      <c r="E214" t="inlineStr">
        <is>
          <t>ÖSTHAMMAR</t>
        </is>
      </c>
      <c r="G214" t="n">
        <v>0.1</v>
      </c>
      <c r="H214" t="n">
        <v>0</v>
      </c>
      <c r="I214" t="n">
        <v>0</v>
      </c>
      <c r="J214" t="n">
        <v>0</v>
      </c>
      <c r="K214" t="n">
        <v>0</v>
      </c>
      <c r="L214" t="n">
        <v>0</v>
      </c>
      <c r="M214" t="n">
        <v>0</v>
      </c>
      <c r="N214" t="n">
        <v>0</v>
      </c>
      <c r="O214" t="n">
        <v>0</v>
      </c>
      <c r="P214" t="n">
        <v>0</v>
      </c>
      <c r="Q214" t="n">
        <v>0</v>
      </c>
      <c r="R214" s="2" t="inlineStr"/>
    </row>
    <row r="215" ht="15" customHeight="1">
      <c r="A215" t="inlineStr">
        <is>
          <t>A 47436-2019</t>
        </is>
      </c>
      <c r="B215" s="1" t="n">
        <v>43723</v>
      </c>
      <c r="C215" s="1" t="n">
        <v>45665</v>
      </c>
      <c r="D215" t="inlineStr">
        <is>
          <t>UPPSALA LÄN</t>
        </is>
      </c>
      <c r="E215" t="inlineStr">
        <is>
          <t>ÖSTHAMMAR</t>
        </is>
      </c>
      <c r="G215" t="n">
        <v>0.7</v>
      </c>
      <c r="H215" t="n">
        <v>0</v>
      </c>
      <c r="I215" t="n">
        <v>0</v>
      </c>
      <c r="J215" t="n">
        <v>0</v>
      </c>
      <c r="K215" t="n">
        <v>0</v>
      </c>
      <c r="L215" t="n">
        <v>0</v>
      </c>
      <c r="M215" t="n">
        <v>0</v>
      </c>
      <c r="N215" t="n">
        <v>0</v>
      </c>
      <c r="O215" t="n">
        <v>0</v>
      </c>
      <c r="P215" t="n">
        <v>0</v>
      </c>
      <c r="Q215" t="n">
        <v>0</v>
      </c>
      <c r="R215" s="2" t="inlineStr"/>
    </row>
    <row r="216" ht="15" customHeight="1">
      <c r="A216" t="inlineStr">
        <is>
          <t>A 51025-2019</t>
        </is>
      </c>
      <c r="B216" s="1" t="n">
        <v>43739</v>
      </c>
      <c r="C216" s="1" t="n">
        <v>45665</v>
      </c>
      <c r="D216" t="inlineStr">
        <is>
          <t>UPPSALA LÄN</t>
        </is>
      </c>
      <c r="E216" t="inlineStr">
        <is>
          <t>ÖSTHAMMAR</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53442-2019</t>
        </is>
      </c>
      <c r="B217" s="1" t="n">
        <v>43748</v>
      </c>
      <c r="C217" s="1" t="n">
        <v>45665</v>
      </c>
      <c r="D217" t="inlineStr">
        <is>
          <t>UPPSALA LÄN</t>
        </is>
      </c>
      <c r="E217" t="inlineStr">
        <is>
          <t>ÖSTHAMMAR</t>
        </is>
      </c>
      <c r="F217" t="inlineStr">
        <is>
          <t>Bergvik skog öst AB</t>
        </is>
      </c>
      <c r="G217" t="n">
        <v>1.9</v>
      </c>
      <c r="H217" t="n">
        <v>0</v>
      </c>
      <c r="I217" t="n">
        <v>0</v>
      </c>
      <c r="J217" t="n">
        <v>0</v>
      </c>
      <c r="K217" t="n">
        <v>0</v>
      </c>
      <c r="L217" t="n">
        <v>0</v>
      </c>
      <c r="M217" t="n">
        <v>0</v>
      </c>
      <c r="N217" t="n">
        <v>0</v>
      </c>
      <c r="O217" t="n">
        <v>0</v>
      </c>
      <c r="P217" t="n">
        <v>0</v>
      </c>
      <c r="Q217" t="n">
        <v>0</v>
      </c>
      <c r="R217" s="2" t="inlineStr"/>
    </row>
    <row r="218" ht="15" customHeight="1">
      <c r="A218" t="inlineStr">
        <is>
          <t>A 55382-2019</t>
        </is>
      </c>
      <c r="B218" s="1" t="n">
        <v>43755</v>
      </c>
      <c r="C218" s="1" t="n">
        <v>45665</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57686-2019</t>
        </is>
      </c>
      <c r="B219" s="1" t="n">
        <v>43761</v>
      </c>
      <c r="C219" s="1" t="n">
        <v>45665</v>
      </c>
      <c r="D219" t="inlineStr">
        <is>
          <t>UPPSALA LÄN</t>
        </is>
      </c>
      <c r="E219" t="inlineStr">
        <is>
          <t>ÖSTHAMMAR</t>
        </is>
      </c>
      <c r="G219" t="n">
        <v>5.7</v>
      </c>
      <c r="H219" t="n">
        <v>0</v>
      </c>
      <c r="I219" t="n">
        <v>0</v>
      </c>
      <c r="J219" t="n">
        <v>0</v>
      </c>
      <c r="K219" t="n">
        <v>0</v>
      </c>
      <c r="L219" t="n">
        <v>0</v>
      </c>
      <c r="M219" t="n">
        <v>0</v>
      </c>
      <c r="N219" t="n">
        <v>0</v>
      </c>
      <c r="O219" t="n">
        <v>0</v>
      </c>
      <c r="P219" t="n">
        <v>0</v>
      </c>
      <c r="Q219" t="n">
        <v>0</v>
      </c>
      <c r="R219" s="2" t="inlineStr"/>
    </row>
    <row r="220" ht="15" customHeight="1">
      <c r="A220" t="inlineStr">
        <is>
          <t>A 57304-2019</t>
        </is>
      </c>
      <c r="B220" s="1" t="n">
        <v>43767</v>
      </c>
      <c r="C220" s="1" t="n">
        <v>45665</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58665-2019</t>
        </is>
      </c>
      <c r="B221" s="1" t="n">
        <v>43773</v>
      </c>
      <c r="C221" s="1" t="n">
        <v>45665</v>
      </c>
      <c r="D221" t="inlineStr">
        <is>
          <t>UPPSALA LÄN</t>
        </is>
      </c>
      <c r="E221" t="inlineStr">
        <is>
          <t>ÖSTHAMMAR</t>
        </is>
      </c>
      <c r="G221" t="n">
        <v>2</v>
      </c>
      <c r="H221" t="n">
        <v>0</v>
      </c>
      <c r="I221" t="n">
        <v>0</v>
      </c>
      <c r="J221" t="n">
        <v>0</v>
      </c>
      <c r="K221" t="n">
        <v>0</v>
      </c>
      <c r="L221" t="n">
        <v>0</v>
      </c>
      <c r="M221" t="n">
        <v>0</v>
      </c>
      <c r="N221" t="n">
        <v>0</v>
      </c>
      <c r="O221" t="n">
        <v>0</v>
      </c>
      <c r="P221" t="n">
        <v>0</v>
      </c>
      <c r="Q221" t="n">
        <v>0</v>
      </c>
      <c r="R221" s="2" t="inlineStr"/>
    </row>
    <row r="222" ht="15" customHeight="1">
      <c r="A222" t="inlineStr">
        <is>
          <t>A 60977-2019</t>
        </is>
      </c>
      <c r="B222" s="1" t="n">
        <v>43782</v>
      </c>
      <c r="C222" s="1" t="n">
        <v>45665</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61866-2019</t>
        </is>
      </c>
      <c r="B223" s="1" t="n">
        <v>43787</v>
      </c>
      <c r="C223" s="1" t="n">
        <v>45665</v>
      </c>
      <c r="D223" t="inlineStr">
        <is>
          <t>UPPSALA LÄN</t>
        </is>
      </c>
      <c r="E223" t="inlineStr">
        <is>
          <t>ÖSTHAMMAR</t>
        </is>
      </c>
      <c r="F223" t="inlineStr">
        <is>
          <t>Bergvik skog öst AB</t>
        </is>
      </c>
      <c r="G223" t="n">
        <v>6.6</v>
      </c>
      <c r="H223" t="n">
        <v>0</v>
      </c>
      <c r="I223" t="n">
        <v>0</v>
      </c>
      <c r="J223" t="n">
        <v>0</v>
      </c>
      <c r="K223" t="n">
        <v>0</v>
      </c>
      <c r="L223" t="n">
        <v>0</v>
      </c>
      <c r="M223" t="n">
        <v>0</v>
      </c>
      <c r="N223" t="n">
        <v>0</v>
      </c>
      <c r="O223" t="n">
        <v>0</v>
      </c>
      <c r="P223" t="n">
        <v>0</v>
      </c>
      <c r="Q223" t="n">
        <v>0</v>
      </c>
      <c r="R223" s="2" t="inlineStr"/>
    </row>
    <row r="224" ht="15" customHeight="1">
      <c r="A224" t="inlineStr">
        <is>
          <t>A 62808-2019</t>
        </is>
      </c>
      <c r="B224" s="1" t="n">
        <v>43790</v>
      </c>
      <c r="C224" s="1" t="n">
        <v>45665</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63564-2019</t>
        </is>
      </c>
      <c r="B225" s="1" t="n">
        <v>43795</v>
      </c>
      <c r="C225" s="1" t="n">
        <v>45665</v>
      </c>
      <c r="D225" t="inlineStr">
        <is>
          <t>UPPSALA LÄN</t>
        </is>
      </c>
      <c r="E225" t="inlineStr">
        <is>
          <t>ÖSTHAMMAR</t>
        </is>
      </c>
      <c r="F225" t="inlineStr">
        <is>
          <t>Övriga Aktiebolag</t>
        </is>
      </c>
      <c r="G225" t="n">
        <v>4.7</v>
      </c>
      <c r="H225" t="n">
        <v>0</v>
      </c>
      <c r="I225" t="n">
        <v>0</v>
      </c>
      <c r="J225" t="n">
        <v>0</v>
      </c>
      <c r="K225" t="n">
        <v>0</v>
      </c>
      <c r="L225" t="n">
        <v>0</v>
      </c>
      <c r="M225" t="n">
        <v>0</v>
      </c>
      <c r="N225" t="n">
        <v>0</v>
      </c>
      <c r="O225" t="n">
        <v>0</v>
      </c>
      <c r="P225" t="n">
        <v>0</v>
      </c>
      <c r="Q225" t="n">
        <v>0</v>
      </c>
      <c r="R225" s="2" t="inlineStr"/>
    </row>
    <row r="226" ht="15" customHeight="1">
      <c r="A226" t="inlineStr">
        <is>
          <t>A 64344-2019</t>
        </is>
      </c>
      <c r="B226" s="1" t="n">
        <v>43797</v>
      </c>
      <c r="C226" s="1" t="n">
        <v>45665</v>
      </c>
      <c r="D226" t="inlineStr">
        <is>
          <t>UPPSALA LÄN</t>
        </is>
      </c>
      <c r="E226" t="inlineStr">
        <is>
          <t>ÖSTHAMMAR</t>
        </is>
      </c>
      <c r="G226" t="n">
        <v>3.1</v>
      </c>
      <c r="H226" t="n">
        <v>0</v>
      </c>
      <c r="I226" t="n">
        <v>0</v>
      </c>
      <c r="J226" t="n">
        <v>0</v>
      </c>
      <c r="K226" t="n">
        <v>0</v>
      </c>
      <c r="L226" t="n">
        <v>0</v>
      </c>
      <c r="M226" t="n">
        <v>0</v>
      </c>
      <c r="N226" t="n">
        <v>0</v>
      </c>
      <c r="O226" t="n">
        <v>0</v>
      </c>
      <c r="P226" t="n">
        <v>0</v>
      </c>
      <c r="Q226" t="n">
        <v>0</v>
      </c>
      <c r="R226" s="2" t="inlineStr"/>
    </row>
    <row r="227" ht="15" customHeight="1">
      <c r="A227" t="inlineStr">
        <is>
          <t>A 65107-2019</t>
        </is>
      </c>
      <c r="B227" s="1" t="n">
        <v>43802</v>
      </c>
      <c r="C227" s="1" t="n">
        <v>45665</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67647-2019</t>
        </is>
      </c>
      <c r="B228" s="1" t="n">
        <v>43808</v>
      </c>
      <c r="C228" s="1" t="n">
        <v>45665</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66802-2019</t>
        </is>
      </c>
      <c r="B229" s="1" t="n">
        <v>43810</v>
      </c>
      <c r="C229" s="1" t="n">
        <v>45665</v>
      </c>
      <c r="D229" t="inlineStr">
        <is>
          <t>UPPSALA LÄN</t>
        </is>
      </c>
      <c r="E229" t="inlineStr">
        <is>
          <t>ÖSTHAMMAR</t>
        </is>
      </c>
      <c r="F229" t="inlineStr">
        <is>
          <t>Bergvik skog öst AB</t>
        </is>
      </c>
      <c r="G229" t="n">
        <v>34.8</v>
      </c>
      <c r="H229" t="n">
        <v>0</v>
      </c>
      <c r="I229" t="n">
        <v>0</v>
      </c>
      <c r="J229" t="n">
        <v>0</v>
      </c>
      <c r="K229" t="n">
        <v>0</v>
      </c>
      <c r="L229" t="n">
        <v>0</v>
      </c>
      <c r="M229" t="n">
        <v>0</v>
      </c>
      <c r="N229" t="n">
        <v>0</v>
      </c>
      <c r="O229" t="n">
        <v>0</v>
      </c>
      <c r="P229" t="n">
        <v>0</v>
      </c>
      <c r="Q229" t="n">
        <v>0</v>
      </c>
      <c r="R229" s="2" t="inlineStr"/>
    </row>
    <row r="230" ht="15" customHeight="1">
      <c r="A230" t="inlineStr">
        <is>
          <t>A 67254-2019</t>
        </is>
      </c>
      <c r="B230" s="1" t="n">
        <v>43812</v>
      </c>
      <c r="C230" s="1" t="n">
        <v>45665</v>
      </c>
      <c r="D230" t="inlineStr">
        <is>
          <t>UPPSALA LÄN</t>
        </is>
      </c>
      <c r="E230" t="inlineStr">
        <is>
          <t>ÖSTHAMMAR</t>
        </is>
      </c>
      <c r="F230" t="inlineStr">
        <is>
          <t>Allmännings- och besparingsskogar</t>
        </is>
      </c>
      <c r="G230" t="n">
        <v>0.8</v>
      </c>
      <c r="H230" t="n">
        <v>0</v>
      </c>
      <c r="I230" t="n">
        <v>0</v>
      </c>
      <c r="J230" t="n">
        <v>0</v>
      </c>
      <c r="K230" t="n">
        <v>0</v>
      </c>
      <c r="L230" t="n">
        <v>0</v>
      </c>
      <c r="M230" t="n">
        <v>0</v>
      </c>
      <c r="N230" t="n">
        <v>0</v>
      </c>
      <c r="O230" t="n">
        <v>0</v>
      </c>
      <c r="P230" t="n">
        <v>0</v>
      </c>
      <c r="Q230" t="n">
        <v>0</v>
      </c>
      <c r="R230" s="2" t="inlineStr"/>
    </row>
    <row r="231" ht="15" customHeight="1">
      <c r="A231" t="inlineStr">
        <is>
          <t>A 618-2020</t>
        </is>
      </c>
      <c r="B231" s="1" t="n">
        <v>43817</v>
      </c>
      <c r="C231" s="1" t="n">
        <v>45665</v>
      </c>
      <c r="D231" t="inlineStr">
        <is>
          <t>UPPSALA LÄN</t>
        </is>
      </c>
      <c r="E231" t="inlineStr">
        <is>
          <t>ÖSTHAMMAR</t>
        </is>
      </c>
      <c r="G231" t="n">
        <v>3.2</v>
      </c>
      <c r="H231" t="n">
        <v>0</v>
      </c>
      <c r="I231" t="n">
        <v>0</v>
      </c>
      <c r="J231" t="n">
        <v>0</v>
      </c>
      <c r="K231" t="n">
        <v>0</v>
      </c>
      <c r="L231" t="n">
        <v>0</v>
      </c>
      <c r="M231" t="n">
        <v>0</v>
      </c>
      <c r="N231" t="n">
        <v>0</v>
      </c>
      <c r="O231" t="n">
        <v>0</v>
      </c>
      <c r="P231" t="n">
        <v>0</v>
      </c>
      <c r="Q231" t="n">
        <v>0</v>
      </c>
      <c r="R231" s="2" t="inlineStr"/>
    </row>
    <row r="232" ht="15" customHeight="1">
      <c r="A232" t="inlineStr">
        <is>
          <t>A 68870-2019</t>
        </is>
      </c>
      <c r="B232" s="1" t="n">
        <v>43821</v>
      </c>
      <c r="C232" s="1" t="n">
        <v>45665</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68871-2019</t>
        </is>
      </c>
      <c r="B233" s="1" t="n">
        <v>43821</v>
      </c>
      <c r="C233" s="1" t="n">
        <v>45665</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68868-2019</t>
        </is>
      </c>
      <c r="B234" s="1" t="n">
        <v>43821</v>
      </c>
      <c r="C234" s="1" t="n">
        <v>45665</v>
      </c>
      <c r="D234" t="inlineStr">
        <is>
          <t>UPPSALA LÄN</t>
        </is>
      </c>
      <c r="E234" t="inlineStr">
        <is>
          <t>ÖSTHAMMAR</t>
        </is>
      </c>
      <c r="F234" t="inlineStr">
        <is>
          <t>Bergvik skog öst AB</t>
        </is>
      </c>
      <c r="G234" t="n">
        <v>1.7</v>
      </c>
      <c r="H234" t="n">
        <v>0</v>
      </c>
      <c r="I234" t="n">
        <v>0</v>
      </c>
      <c r="J234" t="n">
        <v>0</v>
      </c>
      <c r="K234" t="n">
        <v>0</v>
      </c>
      <c r="L234" t="n">
        <v>0</v>
      </c>
      <c r="M234" t="n">
        <v>0</v>
      </c>
      <c r="N234" t="n">
        <v>0</v>
      </c>
      <c r="O234" t="n">
        <v>0</v>
      </c>
      <c r="P234" t="n">
        <v>0</v>
      </c>
      <c r="Q234" t="n">
        <v>0</v>
      </c>
      <c r="R234" s="2" t="inlineStr"/>
    </row>
    <row r="235" ht="15" customHeight="1">
      <c r="A235" t="inlineStr">
        <is>
          <t>A 685-2020</t>
        </is>
      </c>
      <c r="B235" s="1" t="n">
        <v>43838</v>
      </c>
      <c r="C235" s="1" t="n">
        <v>45665</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1685-2020</t>
        </is>
      </c>
      <c r="B236" s="1" t="n">
        <v>43844</v>
      </c>
      <c r="C236" s="1" t="n">
        <v>45665</v>
      </c>
      <c r="D236" t="inlineStr">
        <is>
          <t>UPPSALA LÄN</t>
        </is>
      </c>
      <c r="E236" t="inlineStr">
        <is>
          <t>ÖSTHAMMAR</t>
        </is>
      </c>
      <c r="F236" t="inlineStr">
        <is>
          <t>Övriga Aktiebolag</t>
        </is>
      </c>
      <c r="G236" t="n">
        <v>4.3</v>
      </c>
      <c r="H236" t="n">
        <v>0</v>
      </c>
      <c r="I236" t="n">
        <v>0</v>
      </c>
      <c r="J236" t="n">
        <v>0</v>
      </c>
      <c r="K236" t="n">
        <v>0</v>
      </c>
      <c r="L236" t="n">
        <v>0</v>
      </c>
      <c r="M236" t="n">
        <v>0</v>
      </c>
      <c r="N236" t="n">
        <v>0</v>
      </c>
      <c r="O236" t="n">
        <v>0</v>
      </c>
      <c r="P236" t="n">
        <v>0</v>
      </c>
      <c r="Q236" t="n">
        <v>0</v>
      </c>
      <c r="R236" s="2" t="inlineStr"/>
    </row>
    <row r="237" ht="15" customHeight="1">
      <c r="A237" t="inlineStr">
        <is>
          <t>A 1681-2020</t>
        </is>
      </c>
      <c r="B237" s="1" t="n">
        <v>43844</v>
      </c>
      <c r="C237" s="1" t="n">
        <v>45665</v>
      </c>
      <c r="D237" t="inlineStr">
        <is>
          <t>UPPSALA LÄN</t>
        </is>
      </c>
      <c r="E237" t="inlineStr">
        <is>
          <t>ÖSTHAMMAR</t>
        </is>
      </c>
      <c r="F237" t="inlineStr">
        <is>
          <t>Övriga Aktiebolag</t>
        </is>
      </c>
      <c r="G237" t="n">
        <v>1.6</v>
      </c>
      <c r="H237" t="n">
        <v>0</v>
      </c>
      <c r="I237" t="n">
        <v>0</v>
      </c>
      <c r="J237" t="n">
        <v>0</v>
      </c>
      <c r="K237" t="n">
        <v>0</v>
      </c>
      <c r="L237" t="n">
        <v>0</v>
      </c>
      <c r="M237" t="n">
        <v>0</v>
      </c>
      <c r="N237" t="n">
        <v>0</v>
      </c>
      <c r="O237" t="n">
        <v>0</v>
      </c>
      <c r="P237" t="n">
        <v>0</v>
      </c>
      <c r="Q237" t="n">
        <v>0</v>
      </c>
      <c r="R237" s="2" t="inlineStr"/>
    </row>
    <row r="238" ht="15" customHeight="1">
      <c r="A238" t="inlineStr">
        <is>
          <t>A 4473-2020</t>
        </is>
      </c>
      <c r="B238" s="1" t="n">
        <v>43850</v>
      </c>
      <c r="C238" s="1" t="n">
        <v>45665</v>
      </c>
      <c r="D238" t="inlineStr">
        <is>
          <t>UPPSALA LÄN</t>
        </is>
      </c>
      <c r="E238" t="inlineStr">
        <is>
          <t>ÖSTHAMMAR</t>
        </is>
      </c>
      <c r="G238" t="n">
        <v>1.4</v>
      </c>
      <c r="H238" t="n">
        <v>0</v>
      </c>
      <c r="I238" t="n">
        <v>0</v>
      </c>
      <c r="J238" t="n">
        <v>0</v>
      </c>
      <c r="K238" t="n">
        <v>0</v>
      </c>
      <c r="L238" t="n">
        <v>0</v>
      </c>
      <c r="M238" t="n">
        <v>0</v>
      </c>
      <c r="N238" t="n">
        <v>0</v>
      </c>
      <c r="O238" t="n">
        <v>0</v>
      </c>
      <c r="P238" t="n">
        <v>0</v>
      </c>
      <c r="Q238" t="n">
        <v>0</v>
      </c>
      <c r="R238" s="2" t="inlineStr"/>
    </row>
    <row r="239" ht="15" customHeight="1">
      <c r="A239" t="inlineStr">
        <is>
          <t>A 3334-2020</t>
        </is>
      </c>
      <c r="B239" s="1" t="n">
        <v>43852</v>
      </c>
      <c r="C239" s="1" t="n">
        <v>45665</v>
      </c>
      <c r="D239" t="inlineStr">
        <is>
          <t>UPPSALA LÄN</t>
        </is>
      </c>
      <c r="E239" t="inlineStr">
        <is>
          <t>ÖSTHAMMAR</t>
        </is>
      </c>
      <c r="G239" t="n">
        <v>2.5</v>
      </c>
      <c r="H239" t="n">
        <v>0</v>
      </c>
      <c r="I239" t="n">
        <v>0</v>
      </c>
      <c r="J239" t="n">
        <v>0</v>
      </c>
      <c r="K239" t="n">
        <v>0</v>
      </c>
      <c r="L239" t="n">
        <v>0</v>
      </c>
      <c r="M239" t="n">
        <v>0</v>
      </c>
      <c r="N239" t="n">
        <v>0</v>
      </c>
      <c r="O239" t="n">
        <v>0</v>
      </c>
      <c r="P239" t="n">
        <v>0</v>
      </c>
      <c r="Q239" t="n">
        <v>0</v>
      </c>
      <c r="R239" s="2" t="inlineStr"/>
    </row>
    <row r="240" ht="15" customHeight="1">
      <c r="A240" t="inlineStr">
        <is>
          <t>A 3984-2020</t>
        </is>
      </c>
      <c r="B240" s="1" t="n">
        <v>43855</v>
      </c>
      <c r="C240" s="1" t="n">
        <v>45665</v>
      </c>
      <c r="D240" t="inlineStr">
        <is>
          <t>UPPSALA LÄN</t>
        </is>
      </c>
      <c r="E240" t="inlineStr">
        <is>
          <t>ÖSTHAMMAR</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6052-2020</t>
        </is>
      </c>
      <c r="B241" s="1" t="n">
        <v>43864</v>
      </c>
      <c r="C241" s="1" t="n">
        <v>45665</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6026-2020</t>
        </is>
      </c>
      <c r="B242" s="1" t="n">
        <v>43865</v>
      </c>
      <c r="C242" s="1" t="n">
        <v>45665</v>
      </c>
      <c r="D242" t="inlineStr">
        <is>
          <t>UPPSALA LÄN</t>
        </is>
      </c>
      <c r="E242" t="inlineStr">
        <is>
          <t>ÖSTHAMMAR</t>
        </is>
      </c>
      <c r="F242" t="inlineStr">
        <is>
          <t>Övriga Aktiebolag</t>
        </is>
      </c>
      <c r="G242" t="n">
        <v>0.3</v>
      </c>
      <c r="H242" t="n">
        <v>0</v>
      </c>
      <c r="I242" t="n">
        <v>0</v>
      </c>
      <c r="J242" t="n">
        <v>0</v>
      </c>
      <c r="K242" t="n">
        <v>0</v>
      </c>
      <c r="L242" t="n">
        <v>0</v>
      </c>
      <c r="M242" t="n">
        <v>0</v>
      </c>
      <c r="N242" t="n">
        <v>0</v>
      </c>
      <c r="O242" t="n">
        <v>0</v>
      </c>
      <c r="P242" t="n">
        <v>0</v>
      </c>
      <c r="Q242" t="n">
        <v>0</v>
      </c>
      <c r="R242" s="2" t="inlineStr"/>
    </row>
    <row r="243" ht="15" customHeight="1">
      <c r="A243" t="inlineStr">
        <is>
          <t>A 6791-2020</t>
        </is>
      </c>
      <c r="B243" s="1" t="n">
        <v>43867</v>
      </c>
      <c r="C243" s="1" t="n">
        <v>45665</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7847-2020</t>
        </is>
      </c>
      <c r="B244" s="1" t="n">
        <v>43873</v>
      </c>
      <c r="C244" s="1" t="n">
        <v>45665</v>
      </c>
      <c r="D244" t="inlineStr">
        <is>
          <t>UPPSALA LÄN</t>
        </is>
      </c>
      <c r="E244" t="inlineStr">
        <is>
          <t>ÖSTHAMMAR</t>
        </is>
      </c>
      <c r="F244" t="inlineStr">
        <is>
          <t>Övriga Aktiebolag</t>
        </is>
      </c>
      <c r="G244" t="n">
        <v>15.3</v>
      </c>
      <c r="H244" t="n">
        <v>0</v>
      </c>
      <c r="I244" t="n">
        <v>0</v>
      </c>
      <c r="J244" t="n">
        <v>0</v>
      </c>
      <c r="K244" t="n">
        <v>0</v>
      </c>
      <c r="L244" t="n">
        <v>0</v>
      </c>
      <c r="M244" t="n">
        <v>0</v>
      </c>
      <c r="N244" t="n">
        <v>0</v>
      </c>
      <c r="O244" t="n">
        <v>0</v>
      </c>
      <c r="P244" t="n">
        <v>0</v>
      </c>
      <c r="Q244" t="n">
        <v>0</v>
      </c>
      <c r="R244" s="2" t="inlineStr"/>
    </row>
    <row r="245" ht="15" customHeight="1">
      <c r="A245" t="inlineStr">
        <is>
          <t>A 10008-2020</t>
        </is>
      </c>
      <c r="B245" s="1" t="n">
        <v>43882</v>
      </c>
      <c r="C245" s="1" t="n">
        <v>45665</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10345-2020</t>
        </is>
      </c>
      <c r="B246" s="1" t="n">
        <v>43885</v>
      </c>
      <c r="C246" s="1" t="n">
        <v>45665</v>
      </c>
      <c r="D246" t="inlineStr">
        <is>
          <t>UPPSALA LÄN</t>
        </is>
      </c>
      <c r="E246" t="inlineStr">
        <is>
          <t>ÖSTHAMMAR</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10347-2020</t>
        </is>
      </c>
      <c r="B247" s="1" t="n">
        <v>43885</v>
      </c>
      <c r="C247" s="1" t="n">
        <v>45665</v>
      </c>
      <c r="D247" t="inlineStr">
        <is>
          <t>UPPSALA LÄN</t>
        </is>
      </c>
      <c r="E247" t="inlineStr">
        <is>
          <t>ÖSTHAMMAR</t>
        </is>
      </c>
      <c r="F247" t="inlineStr">
        <is>
          <t>Allmännings- och besparingsskogar</t>
        </is>
      </c>
      <c r="G247" t="n">
        <v>1.2</v>
      </c>
      <c r="H247" t="n">
        <v>0</v>
      </c>
      <c r="I247" t="n">
        <v>0</v>
      </c>
      <c r="J247" t="n">
        <v>0</v>
      </c>
      <c r="K247" t="n">
        <v>0</v>
      </c>
      <c r="L247" t="n">
        <v>0</v>
      </c>
      <c r="M247" t="n">
        <v>0</v>
      </c>
      <c r="N247" t="n">
        <v>0</v>
      </c>
      <c r="O247" t="n">
        <v>0</v>
      </c>
      <c r="P247" t="n">
        <v>0</v>
      </c>
      <c r="Q247" t="n">
        <v>0</v>
      </c>
      <c r="R247" s="2" t="inlineStr"/>
    </row>
    <row r="248" ht="15" customHeight="1">
      <c r="A248" t="inlineStr">
        <is>
          <t>A 12080-2020</t>
        </is>
      </c>
      <c r="B248" s="1" t="n">
        <v>43895</v>
      </c>
      <c r="C248" s="1" t="n">
        <v>45665</v>
      </c>
      <c r="D248" t="inlineStr">
        <is>
          <t>UPPSALA LÄN</t>
        </is>
      </c>
      <c r="E248" t="inlineStr">
        <is>
          <t>ÖSTHAMMAR</t>
        </is>
      </c>
      <c r="F248" t="inlineStr">
        <is>
          <t>Övriga Aktiebolag</t>
        </is>
      </c>
      <c r="G248" t="n">
        <v>13.9</v>
      </c>
      <c r="H248" t="n">
        <v>0</v>
      </c>
      <c r="I248" t="n">
        <v>0</v>
      </c>
      <c r="J248" t="n">
        <v>0</v>
      </c>
      <c r="K248" t="n">
        <v>0</v>
      </c>
      <c r="L248" t="n">
        <v>0</v>
      </c>
      <c r="M248" t="n">
        <v>0</v>
      </c>
      <c r="N248" t="n">
        <v>0</v>
      </c>
      <c r="O248" t="n">
        <v>0</v>
      </c>
      <c r="P248" t="n">
        <v>0</v>
      </c>
      <c r="Q248" t="n">
        <v>0</v>
      </c>
      <c r="R248" s="2" t="inlineStr"/>
    </row>
    <row r="249" ht="15" customHeight="1">
      <c r="A249" t="inlineStr">
        <is>
          <t>A 13112-2020</t>
        </is>
      </c>
      <c r="B249" s="1" t="n">
        <v>43901</v>
      </c>
      <c r="C249" s="1" t="n">
        <v>45665</v>
      </c>
      <c r="D249" t="inlineStr">
        <is>
          <t>UPPSALA LÄN</t>
        </is>
      </c>
      <c r="E249" t="inlineStr">
        <is>
          <t>ÖSTHAMMAR</t>
        </is>
      </c>
      <c r="F249" t="inlineStr">
        <is>
          <t>Övriga Aktiebolag</t>
        </is>
      </c>
      <c r="G249" t="n">
        <v>6.5</v>
      </c>
      <c r="H249" t="n">
        <v>0</v>
      </c>
      <c r="I249" t="n">
        <v>0</v>
      </c>
      <c r="J249" t="n">
        <v>0</v>
      </c>
      <c r="K249" t="n">
        <v>0</v>
      </c>
      <c r="L249" t="n">
        <v>0</v>
      </c>
      <c r="M249" t="n">
        <v>0</v>
      </c>
      <c r="N249" t="n">
        <v>0</v>
      </c>
      <c r="O249" t="n">
        <v>0</v>
      </c>
      <c r="P249" t="n">
        <v>0</v>
      </c>
      <c r="Q249" t="n">
        <v>0</v>
      </c>
      <c r="R249" s="2" t="inlineStr"/>
    </row>
    <row r="250" ht="15" customHeight="1">
      <c r="A250" t="inlineStr">
        <is>
          <t>A 13310-2020</t>
        </is>
      </c>
      <c r="B250" s="1" t="n">
        <v>43902</v>
      </c>
      <c r="C250" s="1" t="n">
        <v>45665</v>
      </c>
      <c r="D250" t="inlineStr">
        <is>
          <t>UPPSALA LÄN</t>
        </is>
      </c>
      <c r="E250" t="inlineStr">
        <is>
          <t>ÖSTHAMMAR</t>
        </is>
      </c>
      <c r="F250" t="inlineStr">
        <is>
          <t>Bergvik skog öst AB</t>
        </is>
      </c>
      <c r="G250" t="n">
        <v>14.4</v>
      </c>
      <c r="H250" t="n">
        <v>0</v>
      </c>
      <c r="I250" t="n">
        <v>0</v>
      </c>
      <c r="J250" t="n">
        <v>0</v>
      </c>
      <c r="K250" t="n">
        <v>0</v>
      </c>
      <c r="L250" t="n">
        <v>0</v>
      </c>
      <c r="M250" t="n">
        <v>0</v>
      </c>
      <c r="N250" t="n">
        <v>0</v>
      </c>
      <c r="O250" t="n">
        <v>0</v>
      </c>
      <c r="P250" t="n">
        <v>0</v>
      </c>
      <c r="Q250" t="n">
        <v>0</v>
      </c>
      <c r="R250" s="2" t="inlineStr"/>
    </row>
    <row r="251" ht="15" customHeight="1">
      <c r="A251" t="inlineStr">
        <is>
          <t>A 13595-2020</t>
        </is>
      </c>
      <c r="B251" s="1" t="n">
        <v>43903</v>
      </c>
      <c r="C251" s="1" t="n">
        <v>45665</v>
      </c>
      <c r="D251" t="inlineStr">
        <is>
          <t>UPPSALA LÄN</t>
        </is>
      </c>
      <c r="E251" t="inlineStr">
        <is>
          <t>ÖSTHAMMAR</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13945-2020</t>
        </is>
      </c>
      <c r="B252" s="1" t="n">
        <v>43906</v>
      </c>
      <c r="C252" s="1" t="n">
        <v>45665</v>
      </c>
      <c r="D252" t="inlineStr">
        <is>
          <t>UPPSALA LÄN</t>
        </is>
      </c>
      <c r="E252" t="inlineStr">
        <is>
          <t>ÖSTHAMMAR</t>
        </is>
      </c>
      <c r="G252" t="n">
        <v>3.5</v>
      </c>
      <c r="H252" t="n">
        <v>0</v>
      </c>
      <c r="I252" t="n">
        <v>0</v>
      </c>
      <c r="J252" t="n">
        <v>0</v>
      </c>
      <c r="K252" t="n">
        <v>0</v>
      </c>
      <c r="L252" t="n">
        <v>0</v>
      </c>
      <c r="M252" t="n">
        <v>0</v>
      </c>
      <c r="N252" t="n">
        <v>0</v>
      </c>
      <c r="O252" t="n">
        <v>0</v>
      </c>
      <c r="P252" t="n">
        <v>0</v>
      </c>
      <c r="Q252" t="n">
        <v>0</v>
      </c>
      <c r="R252" s="2" t="inlineStr"/>
    </row>
    <row r="253" ht="15" customHeight="1">
      <c r="A253" t="inlineStr">
        <is>
          <t>A 14802-2020</t>
        </is>
      </c>
      <c r="B253" s="1" t="n">
        <v>43909</v>
      </c>
      <c r="C253" s="1" t="n">
        <v>45665</v>
      </c>
      <c r="D253" t="inlineStr">
        <is>
          <t>UPPSALA LÄN</t>
        </is>
      </c>
      <c r="E253" t="inlineStr">
        <is>
          <t>ÖSTHAMMAR</t>
        </is>
      </c>
      <c r="F253" t="inlineStr">
        <is>
          <t>Allmännings- och besparingsskogar</t>
        </is>
      </c>
      <c r="G253" t="n">
        <v>0.9</v>
      </c>
      <c r="H253" t="n">
        <v>0</v>
      </c>
      <c r="I253" t="n">
        <v>0</v>
      </c>
      <c r="J253" t="n">
        <v>0</v>
      </c>
      <c r="K253" t="n">
        <v>0</v>
      </c>
      <c r="L253" t="n">
        <v>0</v>
      </c>
      <c r="M253" t="n">
        <v>0</v>
      </c>
      <c r="N253" t="n">
        <v>0</v>
      </c>
      <c r="O253" t="n">
        <v>0</v>
      </c>
      <c r="P253" t="n">
        <v>0</v>
      </c>
      <c r="Q253" t="n">
        <v>0</v>
      </c>
      <c r="R253" s="2" t="inlineStr"/>
    </row>
    <row r="254" ht="15" customHeight="1">
      <c r="A254" t="inlineStr">
        <is>
          <t>A 14817-2020</t>
        </is>
      </c>
      <c r="B254" s="1" t="n">
        <v>43909</v>
      </c>
      <c r="C254" s="1" t="n">
        <v>45665</v>
      </c>
      <c r="D254" t="inlineStr">
        <is>
          <t>UPPSALA LÄN</t>
        </is>
      </c>
      <c r="E254" t="inlineStr">
        <is>
          <t>ÖSTHAMMAR</t>
        </is>
      </c>
      <c r="F254" t="inlineStr">
        <is>
          <t>Bergvik skog öst AB</t>
        </is>
      </c>
      <c r="G254" t="n">
        <v>3.1</v>
      </c>
      <c r="H254" t="n">
        <v>0</v>
      </c>
      <c r="I254" t="n">
        <v>0</v>
      </c>
      <c r="J254" t="n">
        <v>0</v>
      </c>
      <c r="K254" t="n">
        <v>0</v>
      </c>
      <c r="L254" t="n">
        <v>0</v>
      </c>
      <c r="M254" t="n">
        <v>0</v>
      </c>
      <c r="N254" t="n">
        <v>0</v>
      </c>
      <c r="O254" t="n">
        <v>0</v>
      </c>
      <c r="P254" t="n">
        <v>0</v>
      </c>
      <c r="Q254" t="n">
        <v>0</v>
      </c>
      <c r="R254" s="2" t="inlineStr"/>
    </row>
    <row r="255" ht="15" customHeight="1">
      <c r="A255" t="inlineStr">
        <is>
          <t>A 15067-2020</t>
        </is>
      </c>
      <c r="B255" s="1" t="n">
        <v>43910</v>
      </c>
      <c r="C255" s="1" t="n">
        <v>45665</v>
      </c>
      <c r="D255" t="inlineStr">
        <is>
          <t>UPPSALA LÄN</t>
        </is>
      </c>
      <c r="E255" t="inlineStr">
        <is>
          <t>ÖSTHAMMAR</t>
        </is>
      </c>
      <c r="F255" t="inlineStr">
        <is>
          <t>Bergvik skog öst AB</t>
        </is>
      </c>
      <c r="G255" t="n">
        <v>20.5</v>
      </c>
      <c r="H255" t="n">
        <v>0</v>
      </c>
      <c r="I255" t="n">
        <v>0</v>
      </c>
      <c r="J255" t="n">
        <v>0</v>
      </c>
      <c r="K255" t="n">
        <v>0</v>
      </c>
      <c r="L255" t="n">
        <v>0</v>
      </c>
      <c r="M255" t="n">
        <v>0</v>
      </c>
      <c r="N255" t="n">
        <v>0</v>
      </c>
      <c r="O255" t="n">
        <v>0</v>
      </c>
      <c r="P255" t="n">
        <v>0</v>
      </c>
      <c r="Q255" t="n">
        <v>0</v>
      </c>
      <c r="R255" s="2" t="inlineStr"/>
    </row>
    <row r="256" ht="15" customHeight="1">
      <c r="A256" t="inlineStr">
        <is>
          <t>A 17549-2020</t>
        </is>
      </c>
      <c r="B256" s="1" t="n">
        <v>43920</v>
      </c>
      <c r="C256" s="1" t="n">
        <v>45665</v>
      </c>
      <c r="D256" t="inlineStr">
        <is>
          <t>UPPSALA LÄN</t>
        </is>
      </c>
      <c r="E256" t="inlineStr">
        <is>
          <t>ÖSTHAMMAR</t>
        </is>
      </c>
      <c r="G256" t="n">
        <v>1.5</v>
      </c>
      <c r="H256" t="n">
        <v>0</v>
      </c>
      <c r="I256" t="n">
        <v>0</v>
      </c>
      <c r="J256" t="n">
        <v>0</v>
      </c>
      <c r="K256" t="n">
        <v>0</v>
      </c>
      <c r="L256" t="n">
        <v>0</v>
      </c>
      <c r="M256" t="n">
        <v>0</v>
      </c>
      <c r="N256" t="n">
        <v>0</v>
      </c>
      <c r="O256" t="n">
        <v>0</v>
      </c>
      <c r="P256" t="n">
        <v>0</v>
      </c>
      <c r="Q256" t="n">
        <v>0</v>
      </c>
      <c r="R256" s="2" t="inlineStr"/>
    </row>
    <row r="257" ht="15" customHeight="1">
      <c r="A257" t="inlineStr">
        <is>
          <t>A 19556-2020</t>
        </is>
      </c>
      <c r="B257" s="1" t="n">
        <v>43936</v>
      </c>
      <c r="C257" s="1" t="n">
        <v>45665</v>
      </c>
      <c r="D257" t="inlineStr">
        <is>
          <t>UPPSALA LÄN</t>
        </is>
      </c>
      <c r="E257" t="inlineStr">
        <is>
          <t>ÖSTHAMMAR</t>
        </is>
      </c>
      <c r="G257" t="n">
        <v>6.3</v>
      </c>
      <c r="H257" t="n">
        <v>0</v>
      </c>
      <c r="I257" t="n">
        <v>0</v>
      </c>
      <c r="J257" t="n">
        <v>0</v>
      </c>
      <c r="K257" t="n">
        <v>0</v>
      </c>
      <c r="L257" t="n">
        <v>0</v>
      </c>
      <c r="M257" t="n">
        <v>0</v>
      </c>
      <c r="N257" t="n">
        <v>0</v>
      </c>
      <c r="O257" t="n">
        <v>0</v>
      </c>
      <c r="P257" t="n">
        <v>0</v>
      </c>
      <c r="Q257" t="n">
        <v>0</v>
      </c>
      <c r="R257" s="2" t="inlineStr"/>
    </row>
    <row r="258" ht="15" customHeight="1">
      <c r="A258" t="inlineStr">
        <is>
          <t>A 23621-2020</t>
        </is>
      </c>
      <c r="B258" s="1" t="n">
        <v>43969</v>
      </c>
      <c r="C258" s="1" t="n">
        <v>45665</v>
      </c>
      <c r="D258" t="inlineStr">
        <is>
          <t>UPPSALA LÄN</t>
        </is>
      </c>
      <c r="E258" t="inlineStr">
        <is>
          <t>ÖSTHAMMAR</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26198-2020</t>
        </is>
      </c>
      <c r="B259" s="1" t="n">
        <v>43986</v>
      </c>
      <c r="C259" s="1" t="n">
        <v>45665</v>
      </c>
      <c r="D259" t="inlineStr">
        <is>
          <t>UPPSALA LÄN</t>
        </is>
      </c>
      <c r="E259" t="inlineStr">
        <is>
          <t>ÖSTHAMMAR</t>
        </is>
      </c>
      <c r="F259" t="inlineStr">
        <is>
          <t>Bergvik skog öst AB</t>
        </is>
      </c>
      <c r="G259" t="n">
        <v>0.3</v>
      </c>
      <c r="H259" t="n">
        <v>0</v>
      </c>
      <c r="I259" t="n">
        <v>0</v>
      </c>
      <c r="J259" t="n">
        <v>0</v>
      </c>
      <c r="K259" t="n">
        <v>0</v>
      </c>
      <c r="L259" t="n">
        <v>0</v>
      </c>
      <c r="M259" t="n">
        <v>0</v>
      </c>
      <c r="N259" t="n">
        <v>0</v>
      </c>
      <c r="O259" t="n">
        <v>0</v>
      </c>
      <c r="P259" t="n">
        <v>0</v>
      </c>
      <c r="Q259" t="n">
        <v>0</v>
      </c>
      <c r="R259" s="2" t="inlineStr"/>
    </row>
    <row r="260" ht="15" customHeight="1">
      <c r="A260" t="inlineStr">
        <is>
          <t>A 30338-2020</t>
        </is>
      </c>
      <c r="B260" s="1" t="n">
        <v>44007</v>
      </c>
      <c r="C260" s="1" t="n">
        <v>45665</v>
      </c>
      <c r="D260" t="inlineStr">
        <is>
          <t>UPPSALA LÄN</t>
        </is>
      </c>
      <c r="E260" t="inlineStr">
        <is>
          <t>ÖSTHAMMAR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30419-2020</t>
        </is>
      </c>
      <c r="B261" s="1" t="n">
        <v>44007</v>
      </c>
      <c r="C261" s="1" t="n">
        <v>45665</v>
      </c>
      <c r="D261" t="inlineStr">
        <is>
          <t>UPPSALA LÄN</t>
        </is>
      </c>
      <c r="E261" t="inlineStr">
        <is>
          <t>ÖSTHAMMAR</t>
        </is>
      </c>
      <c r="G261" t="n">
        <v>5.6</v>
      </c>
      <c r="H261" t="n">
        <v>0</v>
      </c>
      <c r="I261" t="n">
        <v>0</v>
      </c>
      <c r="J261" t="n">
        <v>0</v>
      </c>
      <c r="K261" t="n">
        <v>0</v>
      </c>
      <c r="L261" t="n">
        <v>0</v>
      </c>
      <c r="M261" t="n">
        <v>0</v>
      </c>
      <c r="N261" t="n">
        <v>0</v>
      </c>
      <c r="O261" t="n">
        <v>0</v>
      </c>
      <c r="P261" t="n">
        <v>0</v>
      </c>
      <c r="Q261" t="n">
        <v>0</v>
      </c>
      <c r="R261" s="2" t="inlineStr"/>
    </row>
    <row r="262" ht="15" customHeight="1">
      <c r="A262" t="inlineStr">
        <is>
          <t>A 32192-2020</t>
        </is>
      </c>
      <c r="B262" s="1" t="n">
        <v>44015</v>
      </c>
      <c r="C262" s="1" t="n">
        <v>45665</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33098-2020</t>
        </is>
      </c>
      <c r="B263" s="1" t="n">
        <v>44021</v>
      </c>
      <c r="C263" s="1" t="n">
        <v>45665</v>
      </c>
      <c r="D263" t="inlineStr">
        <is>
          <t>UPPSALA LÄN</t>
        </is>
      </c>
      <c r="E263" t="inlineStr">
        <is>
          <t>ÖSTHAMMAR</t>
        </is>
      </c>
      <c r="G263" t="n">
        <v>3.8</v>
      </c>
      <c r="H263" t="n">
        <v>0</v>
      </c>
      <c r="I263" t="n">
        <v>0</v>
      </c>
      <c r="J263" t="n">
        <v>0</v>
      </c>
      <c r="K263" t="n">
        <v>0</v>
      </c>
      <c r="L263" t="n">
        <v>0</v>
      </c>
      <c r="M263" t="n">
        <v>0</v>
      </c>
      <c r="N263" t="n">
        <v>0</v>
      </c>
      <c r="O263" t="n">
        <v>0</v>
      </c>
      <c r="P263" t="n">
        <v>0</v>
      </c>
      <c r="Q263" t="n">
        <v>0</v>
      </c>
      <c r="R263" s="2" t="inlineStr"/>
    </row>
    <row r="264" ht="15" customHeight="1">
      <c r="A264" t="inlineStr">
        <is>
          <t>A 34943-2020</t>
        </is>
      </c>
      <c r="B264" s="1" t="n">
        <v>44038</v>
      </c>
      <c r="C264" s="1" t="n">
        <v>45665</v>
      </c>
      <c r="D264" t="inlineStr">
        <is>
          <t>UPPSALA LÄN</t>
        </is>
      </c>
      <c r="E264" t="inlineStr">
        <is>
          <t>ÖSTHAMMAR</t>
        </is>
      </c>
      <c r="F264" t="inlineStr">
        <is>
          <t>Bergvik skog öst AB</t>
        </is>
      </c>
      <c r="G264" t="n">
        <v>4.2</v>
      </c>
      <c r="H264" t="n">
        <v>0</v>
      </c>
      <c r="I264" t="n">
        <v>0</v>
      </c>
      <c r="J264" t="n">
        <v>0</v>
      </c>
      <c r="K264" t="n">
        <v>0</v>
      </c>
      <c r="L264" t="n">
        <v>0</v>
      </c>
      <c r="M264" t="n">
        <v>0</v>
      </c>
      <c r="N264" t="n">
        <v>0</v>
      </c>
      <c r="O264" t="n">
        <v>0</v>
      </c>
      <c r="P264" t="n">
        <v>0</v>
      </c>
      <c r="Q264" t="n">
        <v>0</v>
      </c>
      <c r="R264" s="2" t="inlineStr"/>
    </row>
    <row r="265" ht="15" customHeight="1">
      <c r="A265" t="inlineStr">
        <is>
          <t>A 34941-2020</t>
        </is>
      </c>
      <c r="B265" s="1" t="n">
        <v>44038</v>
      </c>
      <c r="C265" s="1" t="n">
        <v>45665</v>
      </c>
      <c r="D265" t="inlineStr">
        <is>
          <t>UPPSALA LÄN</t>
        </is>
      </c>
      <c r="E265" t="inlineStr">
        <is>
          <t>ÖSTHAMMAR</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34940-2020</t>
        </is>
      </c>
      <c r="B266" s="1" t="n">
        <v>44038</v>
      </c>
      <c r="C266" s="1" t="n">
        <v>45665</v>
      </c>
      <c r="D266" t="inlineStr">
        <is>
          <t>UPPSALA LÄN</t>
        </is>
      </c>
      <c r="E266" t="inlineStr">
        <is>
          <t>ÖSTHAMMAR</t>
        </is>
      </c>
      <c r="F266" t="inlineStr">
        <is>
          <t>Bergvik skog öst AB</t>
        </is>
      </c>
      <c r="G266" t="n">
        <v>3.5</v>
      </c>
      <c r="H266" t="n">
        <v>0</v>
      </c>
      <c r="I266" t="n">
        <v>0</v>
      </c>
      <c r="J266" t="n">
        <v>0</v>
      </c>
      <c r="K266" t="n">
        <v>0</v>
      </c>
      <c r="L266" t="n">
        <v>0</v>
      </c>
      <c r="M266" t="n">
        <v>0</v>
      </c>
      <c r="N266" t="n">
        <v>0</v>
      </c>
      <c r="O266" t="n">
        <v>0</v>
      </c>
      <c r="P266" t="n">
        <v>0</v>
      </c>
      <c r="Q266" t="n">
        <v>0</v>
      </c>
      <c r="R266" s="2" t="inlineStr"/>
    </row>
    <row r="267" ht="15" customHeight="1">
      <c r="A267" t="inlineStr">
        <is>
          <t>A 35094-2020</t>
        </is>
      </c>
      <c r="B267" s="1" t="n">
        <v>44040</v>
      </c>
      <c r="C267" s="1" t="n">
        <v>45665</v>
      </c>
      <c r="D267" t="inlineStr">
        <is>
          <t>UPPSALA LÄN</t>
        </is>
      </c>
      <c r="E267" t="inlineStr">
        <is>
          <t>ÖSTHAMMAR</t>
        </is>
      </c>
      <c r="F267" t="inlineStr">
        <is>
          <t>Bergvik skog öst AB</t>
        </is>
      </c>
      <c r="G267" t="n">
        <v>14.5</v>
      </c>
      <c r="H267" t="n">
        <v>0</v>
      </c>
      <c r="I267" t="n">
        <v>0</v>
      </c>
      <c r="J267" t="n">
        <v>0</v>
      </c>
      <c r="K267" t="n">
        <v>0</v>
      </c>
      <c r="L267" t="n">
        <v>0</v>
      </c>
      <c r="M267" t="n">
        <v>0</v>
      </c>
      <c r="N267" t="n">
        <v>0</v>
      </c>
      <c r="O267" t="n">
        <v>0</v>
      </c>
      <c r="P267" t="n">
        <v>0</v>
      </c>
      <c r="Q267" t="n">
        <v>0</v>
      </c>
      <c r="R267" s="2" t="inlineStr"/>
    </row>
    <row r="268" ht="15" customHeight="1">
      <c r="A268" t="inlineStr">
        <is>
          <t>A 35096-2020</t>
        </is>
      </c>
      <c r="B268" s="1" t="n">
        <v>44040</v>
      </c>
      <c r="C268" s="1" t="n">
        <v>45665</v>
      </c>
      <c r="D268" t="inlineStr">
        <is>
          <t>UPPSALA LÄN</t>
        </is>
      </c>
      <c r="E268" t="inlineStr">
        <is>
          <t>ÖSTHAMMAR</t>
        </is>
      </c>
      <c r="F268" t="inlineStr">
        <is>
          <t>Bergvik skog öst AB</t>
        </is>
      </c>
      <c r="G268" t="n">
        <v>7.6</v>
      </c>
      <c r="H268" t="n">
        <v>0</v>
      </c>
      <c r="I268" t="n">
        <v>0</v>
      </c>
      <c r="J268" t="n">
        <v>0</v>
      </c>
      <c r="K268" t="n">
        <v>0</v>
      </c>
      <c r="L268" t="n">
        <v>0</v>
      </c>
      <c r="M268" t="n">
        <v>0</v>
      </c>
      <c r="N268" t="n">
        <v>0</v>
      </c>
      <c r="O268" t="n">
        <v>0</v>
      </c>
      <c r="P268" t="n">
        <v>0</v>
      </c>
      <c r="Q268" t="n">
        <v>0</v>
      </c>
      <c r="R268" s="2" t="inlineStr"/>
    </row>
    <row r="269" ht="15" customHeight="1">
      <c r="A269" t="inlineStr">
        <is>
          <t>A 38285-2020</t>
        </is>
      </c>
      <c r="B269" s="1" t="n">
        <v>44060</v>
      </c>
      <c r="C269" s="1" t="n">
        <v>45665</v>
      </c>
      <c r="D269" t="inlineStr">
        <is>
          <t>UPPSALA LÄN</t>
        </is>
      </c>
      <c r="E269" t="inlineStr">
        <is>
          <t>ÖSTHAMMAR</t>
        </is>
      </c>
      <c r="G269" t="n">
        <v>4.7</v>
      </c>
      <c r="H269" t="n">
        <v>0</v>
      </c>
      <c r="I269" t="n">
        <v>0</v>
      </c>
      <c r="J269" t="n">
        <v>0</v>
      </c>
      <c r="K269" t="n">
        <v>0</v>
      </c>
      <c r="L269" t="n">
        <v>0</v>
      </c>
      <c r="M269" t="n">
        <v>0</v>
      </c>
      <c r="N269" t="n">
        <v>0</v>
      </c>
      <c r="O269" t="n">
        <v>0</v>
      </c>
      <c r="P269" t="n">
        <v>0</v>
      </c>
      <c r="Q269" t="n">
        <v>0</v>
      </c>
      <c r="R269" s="2" t="inlineStr"/>
    </row>
    <row r="270" ht="15" customHeight="1">
      <c r="A270" t="inlineStr">
        <is>
          <t>A 38630-2020</t>
        </is>
      </c>
      <c r="B270" s="1" t="n">
        <v>44061</v>
      </c>
      <c r="C270" s="1" t="n">
        <v>45665</v>
      </c>
      <c r="D270" t="inlineStr">
        <is>
          <t>UPPSALA LÄN</t>
        </is>
      </c>
      <c r="E270" t="inlineStr">
        <is>
          <t>ÖSTHAMMAR</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39640-2020</t>
        </is>
      </c>
      <c r="B271" s="1" t="n">
        <v>44064</v>
      </c>
      <c r="C271" s="1" t="n">
        <v>45665</v>
      </c>
      <c r="D271" t="inlineStr">
        <is>
          <t>UPPSALA LÄN</t>
        </is>
      </c>
      <c r="E271" t="inlineStr">
        <is>
          <t>ÖSTHAMMAR</t>
        </is>
      </c>
      <c r="F271" t="inlineStr">
        <is>
          <t>Bergvik skog öst AB</t>
        </is>
      </c>
      <c r="G271" t="n">
        <v>1.2</v>
      </c>
      <c r="H271" t="n">
        <v>0</v>
      </c>
      <c r="I271" t="n">
        <v>0</v>
      </c>
      <c r="J271" t="n">
        <v>0</v>
      </c>
      <c r="K271" t="n">
        <v>0</v>
      </c>
      <c r="L271" t="n">
        <v>0</v>
      </c>
      <c r="M271" t="n">
        <v>0</v>
      </c>
      <c r="N271" t="n">
        <v>0</v>
      </c>
      <c r="O271" t="n">
        <v>0</v>
      </c>
      <c r="P271" t="n">
        <v>0</v>
      </c>
      <c r="Q271" t="n">
        <v>0</v>
      </c>
      <c r="R271" s="2" t="inlineStr"/>
    </row>
    <row r="272" ht="15" customHeight="1">
      <c r="A272" t="inlineStr">
        <is>
          <t>A 41849-2020</t>
        </is>
      </c>
      <c r="B272" s="1" t="n">
        <v>44074</v>
      </c>
      <c r="C272" s="1" t="n">
        <v>45665</v>
      </c>
      <c r="D272" t="inlineStr">
        <is>
          <t>UPPSALA LÄN</t>
        </is>
      </c>
      <c r="E272" t="inlineStr">
        <is>
          <t>ÖSTHAMMAR</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42549-2020</t>
        </is>
      </c>
      <c r="B273" s="1" t="n">
        <v>44077</v>
      </c>
      <c r="C273" s="1" t="n">
        <v>45665</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46311-2020</t>
        </is>
      </c>
      <c r="B274" s="1" t="n">
        <v>44092</v>
      </c>
      <c r="C274" s="1" t="n">
        <v>45665</v>
      </c>
      <c r="D274" t="inlineStr">
        <is>
          <t>UPPSALA LÄN</t>
        </is>
      </c>
      <c r="E274" t="inlineStr">
        <is>
          <t>ÖSTHAMMAR</t>
        </is>
      </c>
      <c r="F274" t="inlineStr">
        <is>
          <t>Bergvik skog öst AB</t>
        </is>
      </c>
      <c r="G274" t="n">
        <v>4</v>
      </c>
      <c r="H274" t="n">
        <v>0</v>
      </c>
      <c r="I274" t="n">
        <v>0</v>
      </c>
      <c r="J274" t="n">
        <v>0</v>
      </c>
      <c r="K274" t="n">
        <v>0</v>
      </c>
      <c r="L274" t="n">
        <v>0</v>
      </c>
      <c r="M274" t="n">
        <v>0</v>
      </c>
      <c r="N274" t="n">
        <v>0</v>
      </c>
      <c r="O274" t="n">
        <v>0</v>
      </c>
      <c r="P274" t="n">
        <v>0</v>
      </c>
      <c r="Q274" t="n">
        <v>0</v>
      </c>
      <c r="R274" s="2" t="inlineStr"/>
    </row>
    <row r="275" ht="15" customHeight="1">
      <c r="A275" t="inlineStr">
        <is>
          <t>A 46423-2020</t>
        </is>
      </c>
      <c r="B275" s="1" t="n">
        <v>44095</v>
      </c>
      <c r="C275" s="1" t="n">
        <v>45665</v>
      </c>
      <c r="D275" t="inlineStr">
        <is>
          <t>UPPSALA LÄN</t>
        </is>
      </c>
      <c r="E275" t="inlineStr">
        <is>
          <t>ÖSTHAMMAR</t>
        </is>
      </c>
      <c r="G275" t="n">
        <v>3</v>
      </c>
      <c r="H275" t="n">
        <v>0</v>
      </c>
      <c r="I275" t="n">
        <v>0</v>
      </c>
      <c r="J275" t="n">
        <v>0</v>
      </c>
      <c r="K275" t="n">
        <v>0</v>
      </c>
      <c r="L275" t="n">
        <v>0</v>
      </c>
      <c r="M275" t="n">
        <v>0</v>
      </c>
      <c r="N275" t="n">
        <v>0</v>
      </c>
      <c r="O275" t="n">
        <v>0</v>
      </c>
      <c r="P275" t="n">
        <v>0</v>
      </c>
      <c r="Q275" t="n">
        <v>0</v>
      </c>
      <c r="R275" s="2" t="inlineStr"/>
    </row>
    <row r="276" ht="15" customHeight="1">
      <c r="A276" t="inlineStr">
        <is>
          <t>A 47481-2020</t>
        </is>
      </c>
      <c r="B276" s="1" t="n">
        <v>44098</v>
      </c>
      <c r="C276" s="1" t="n">
        <v>45665</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49206-2020</t>
        </is>
      </c>
      <c r="B277" s="1" t="n">
        <v>44105</v>
      </c>
      <c r="C277" s="1" t="n">
        <v>45665</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49336-2020</t>
        </is>
      </c>
      <c r="B278" s="1" t="n">
        <v>44105</v>
      </c>
      <c r="C278" s="1" t="n">
        <v>45665</v>
      </c>
      <c r="D278" t="inlineStr">
        <is>
          <t>UPPSALA LÄN</t>
        </is>
      </c>
      <c r="E278" t="inlineStr">
        <is>
          <t>ÖSTHAMMAR</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52432-2020</t>
        </is>
      </c>
      <c r="B279" s="1" t="n">
        <v>44118</v>
      </c>
      <c r="C279" s="1" t="n">
        <v>45665</v>
      </c>
      <c r="D279" t="inlineStr">
        <is>
          <t>UPPSALA LÄN</t>
        </is>
      </c>
      <c r="E279" t="inlineStr">
        <is>
          <t>ÖSTHAMMAR</t>
        </is>
      </c>
      <c r="G279" t="n">
        <v>2.7</v>
      </c>
      <c r="H279" t="n">
        <v>0</v>
      </c>
      <c r="I279" t="n">
        <v>0</v>
      </c>
      <c r="J279" t="n">
        <v>0</v>
      </c>
      <c r="K279" t="n">
        <v>0</v>
      </c>
      <c r="L279" t="n">
        <v>0</v>
      </c>
      <c r="M279" t="n">
        <v>0</v>
      </c>
      <c r="N279" t="n">
        <v>0</v>
      </c>
      <c r="O279" t="n">
        <v>0</v>
      </c>
      <c r="P279" t="n">
        <v>0</v>
      </c>
      <c r="Q279" t="n">
        <v>0</v>
      </c>
      <c r="R279" s="2" t="inlineStr"/>
    </row>
    <row r="280" ht="15" customHeight="1">
      <c r="A280" t="inlineStr">
        <is>
          <t>A 52434-2020</t>
        </is>
      </c>
      <c r="B280" s="1" t="n">
        <v>44118</v>
      </c>
      <c r="C280" s="1" t="n">
        <v>45665</v>
      </c>
      <c r="D280" t="inlineStr">
        <is>
          <t>UPPSALA LÄN</t>
        </is>
      </c>
      <c r="E280" t="inlineStr">
        <is>
          <t>ÖSTHAMMAR</t>
        </is>
      </c>
      <c r="G280" t="n">
        <v>2.8</v>
      </c>
      <c r="H280" t="n">
        <v>0</v>
      </c>
      <c r="I280" t="n">
        <v>0</v>
      </c>
      <c r="J280" t="n">
        <v>0</v>
      </c>
      <c r="K280" t="n">
        <v>0</v>
      </c>
      <c r="L280" t="n">
        <v>0</v>
      </c>
      <c r="M280" t="n">
        <v>0</v>
      </c>
      <c r="N280" t="n">
        <v>0</v>
      </c>
      <c r="O280" t="n">
        <v>0</v>
      </c>
      <c r="P280" t="n">
        <v>0</v>
      </c>
      <c r="Q280" t="n">
        <v>0</v>
      </c>
      <c r="R280" s="2" t="inlineStr"/>
    </row>
    <row r="281" ht="15" customHeight="1">
      <c r="A281" t="inlineStr">
        <is>
          <t>A 53137-2020</t>
        </is>
      </c>
      <c r="B281" s="1" t="n">
        <v>44120</v>
      </c>
      <c r="C281" s="1" t="n">
        <v>45665</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55389-2020</t>
        </is>
      </c>
      <c r="B282" s="1" t="n">
        <v>44131</v>
      </c>
      <c r="C282" s="1" t="n">
        <v>45665</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56041-2020</t>
        </is>
      </c>
      <c r="B283" s="1" t="n">
        <v>44133</v>
      </c>
      <c r="C283" s="1" t="n">
        <v>45665</v>
      </c>
      <c r="D283" t="inlineStr">
        <is>
          <t>UPPSALA LÄN</t>
        </is>
      </c>
      <c r="E283" t="inlineStr">
        <is>
          <t>ÖSTHAMMAR</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56079-2020</t>
        </is>
      </c>
      <c r="B284" s="1" t="n">
        <v>44133</v>
      </c>
      <c r="C284" s="1" t="n">
        <v>45665</v>
      </c>
      <c r="D284" t="inlineStr">
        <is>
          <t>UPPSALA LÄN</t>
        </is>
      </c>
      <c r="E284" t="inlineStr">
        <is>
          <t>ÖSTHAMMAR</t>
        </is>
      </c>
      <c r="F284" t="inlineStr">
        <is>
          <t>Bergvik skog öst AB</t>
        </is>
      </c>
      <c r="G284" t="n">
        <v>2.9</v>
      </c>
      <c r="H284" t="n">
        <v>0</v>
      </c>
      <c r="I284" t="n">
        <v>0</v>
      </c>
      <c r="J284" t="n">
        <v>0</v>
      </c>
      <c r="K284" t="n">
        <v>0</v>
      </c>
      <c r="L284" t="n">
        <v>0</v>
      </c>
      <c r="M284" t="n">
        <v>0</v>
      </c>
      <c r="N284" t="n">
        <v>0</v>
      </c>
      <c r="O284" t="n">
        <v>0</v>
      </c>
      <c r="P284" t="n">
        <v>0</v>
      </c>
      <c r="Q284" t="n">
        <v>0</v>
      </c>
      <c r="R284" s="2" t="inlineStr"/>
    </row>
    <row r="285" ht="15" customHeight="1">
      <c r="A285" t="inlineStr">
        <is>
          <t>A 56089-2020</t>
        </is>
      </c>
      <c r="B285" s="1" t="n">
        <v>44133</v>
      </c>
      <c r="C285" s="1" t="n">
        <v>45665</v>
      </c>
      <c r="D285" t="inlineStr">
        <is>
          <t>UPPSALA LÄN</t>
        </is>
      </c>
      <c r="E285" t="inlineStr">
        <is>
          <t>ÖSTHAMMAR</t>
        </is>
      </c>
      <c r="F285" t="inlineStr">
        <is>
          <t>Bergvik skog öst AB</t>
        </is>
      </c>
      <c r="G285" t="n">
        <v>0.9</v>
      </c>
      <c r="H285" t="n">
        <v>0</v>
      </c>
      <c r="I285" t="n">
        <v>0</v>
      </c>
      <c r="J285" t="n">
        <v>0</v>
      </c>
      <c r="K285" t="n">
        <v>0</v>
      </c>
      <c r="L285" t="n">
        <v>0</v>
      </c>
      <c r="M285" t="n">
        <v>0</v>
      </c>
      <c r="N285" t="n">
        <v>0</v>
      </c>
      <c r="O285" t="n">
        <v>0</v>
      </c>
      <c r="P285" t="n">
        <v>0</v>
      </c>
      <c r="Q285" t="n">
        <v>0</v>
      </c>
      <c r="R285" s="2" t="inlineStr"/>
    </row>
    <row r="286" ht="15" customHeight="1">
      <c r="A286" t="inlineStr">
        <is>
          <t>A 57408-2020</t>
        </is>
      </c>
      <c r="B286" s="1" t="n">
        <v>44140</v>
      </c>
      <c r="C286" s="1" t="n">
        <v>45665</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59432-2020</t>
        </is>
      </c>
      <c r="B287" s="1" t="n">
        <v>44148</v>
      </c>
      <c r="C287" s="1" t="n">
        <v>45665</v>
      </c>
      <c r="D287" t="inlineStr">
        <is>
          <t>UPPSALA LÄN</t>
        </is>
      </c>
      <c r="E287" t="inlineStr">
        <is>
          <t>ÖSTHAMMAR</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59414-2020</t>
        </is>
      </c>
      <c r="B288" s="1" t="n">
        <v>44148</v>
      </c>
      <c r="C288" s="1" t="n">
        <v>45665</v>
      </c>
      <c r="D288" t="inlineStr">
        <is>
          <t>UPPSALA LÄN</t>
        </is>
      </c>
      <c r="E288" t="inlineStr">
        <is>
          <t>ÖSTHAMMAR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59417-2020</t>
        </is>
      </c>
      <c r="B289" s="1" t="n">
        <v>44148</v>
      </c>
      <c r="C289" s="1" t="n">
        <v>45665</v>
      </c>
      <c r="D289" t="inlineStr">
        <is>
          <t>UPPSALA LÄN</t>
        </is>
      </c>
      <c r="E289" t="inlineStr">
        <is>
          <t>ÖSTHAMMAR</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59714-2020</t>
        </is>
      </c>
      <c r="B290" s="1" t="n">
        <v>44151</v>
      </c>
      <c r="C290" s="1" t="n">
        <v>45665</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59807-2020</t>
        </is>
      </c>
      <c r="B291" s="1" t="n">
        <v>44151</v>
      </c>
      <c r="C291" s="1" t="n">
        <v>45665</v>
      </c>
      <c r="D291" t="inlineStr">
        <is>
          <t>UPPSALA LÄN</t>
        </is>
      </c>
      <c r="E291" t="inlineStr">
        <is>
          <t>ÖSTHAMMAR</t>
        </is>
      </c>
      <c r="G291" t="n">
        <v>3.4</v>
      </c>
      <c r="H291" t="n">
        <v>0</v>
      </c>
      <c r="I291" t="n">
        <v>0</v>
      </c>
      <c r="J291" t="n">
        <v>0</v>
      </c>
      <c r="K291" t="n">
        <v>0</v>
      </c>
      <c r="L291" t="n">
        <v>0</v>
      </c>
      <c r="M291" t="n">
        <v>0</v>
      </c>
      <c r="N291" t="n">
        <v>0</v>
      </c>
      <c r="O291" t="n">
        <v>0</v>
      </c>
      <c r="P291" t="n">
        <v>0</v>
      </c>
      <c r="Q291" t="n">
        <v>0</v>
      </c>
      <c r="R291" s="2" t="inlineStr"/>
    </row>
    <row r="292" ht="15" customHeight="1">
      <c r="A292" t="inlineStr">
        <is>
          <t>A 61193-2020</t>
        </is>
      </c>
      <c r="B292" s="1" t="n">
        <v>44155</v>
      </c>
      <c r="C292" s="1" t="n">
        <v>45665</v>
      </c>
      <c r="D292" t="inlineStr">
        <is>
          <t>UPPSALA LÄN</t>
        </is>
      </c>
      <c r="E292" t="inlineStr">
        <is>
          <t>ÖSTHAMMAR</t>
        </is>
      </c>
      <c r="F292" t="inlineStr">
        <is>
          <t>Övriga Aktiebolag</t>
        </is>
      </c>
      <c r="G292" t="n">
        <v>2.1</v>
      </c>
      <c r="H292" t="n">
        <v>0</v>
      </c>
      <c r="I292" t="n">
        <v>0</v>
      </c>
      <c r="J292" t="n">
        <v>0</v>
      </c>
      <c r="K292" t="n">
        <v>0</v>
      </c>
      <c r="L292" t="n">
        <v>0</v>
      </c>
      <c r="M292" t="n">
        <v>0</v>
      </c>
      <c r="N292" t="n">
        <v>0</v>
      </c>
      <c r="O292" t="n">
        <v>0</v>
      </c>
      <c r="P292" t="n">
        <v>0</v>
      </c>
      <c r="Q292" t="n">
        <v>0</v>
      </c>
      <c r="R292" s="2" t="inlineStr"/>
    </row>
    <row r="293" ht="15" customHeight="1">
      <c r="A293" t="inlineStr">
        <is>
          <t>A 62484-2020</t>
        </is>
      </c>
      <c r="B293" s="1" t="n">
        <v>44160</v>
      </c>
      <c r="C293" s="1" t="n">
        <v>45665</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63637-2020</t>
        </is>
      </c>
      <c r="B294" s="1" t="n">
        <v>44162</v>
      </c>
      <c r="C294" s="1" t="n">
        <v>45665</v>
      </c>
      <c r="D294" t="inlineStr">
        <is>
          <t>UPPSALA LÄN</t>
        </is>
      </c>
      <c r="E294" t="inlineStr">
        <is>
          <t>ÖSTHAMMAR</t>
        </is>
      </c>
      <c r="G294" t="n">
        <v>4</v>
      </c>
      <c r="H294" t="n">
        <v>0</v>
      </c>
      <c r="I294" t="n">
        <v>0</v>
      </c>
      <c r="J294" t="n">
        <v>0</v>
      </c>
      <c r="K294" t="n">
        <v>0</v>
      </c>
      <c r="L294" t="n">
        <v>0</v>
      </c>
      <c r="M294" t="n">
        <v>0</v>
      </c>
      <c r="N294" t="n">
        <v>0</v>
      </c>
      <c r="O294" t="n">
        <v>0</v>
      </c>
      <c r="P294" t="n">
        <v>0</v>
      </c>
      <c r="Q294" t="n">
        <v>0</v>
      </c>
      <c r="R294" s="2" t="inlineStr"/>
    </row>
    <row r="295" ht="15" customHeight="1">
      <c r="A295" t="inlineStr">
        <is>
          <t>A 63577-2020</t>
        </is>
      </c>
      <c r="B295" s="1" t="n">
        <v>44165</v>
      </c>
      <c r="C295" s="1" t="n">
        <v>45665</v>
      </c>
      <c r="D295" t="inlineStr">
        <is>
          <t>UPPSALA LÄN</t>
        </is>
      </c>
      <c r="E295" t="inlineStr">
        <is>
          <t>ÖSTHAMMAR</t>
        </is>
      </c>
      <c r="G295" t="n">
        <v>0.9</v>
      </c>
      <c r="H295" t="n">
        <v>0</v>
      </c>
      <c r="I295" t="n">
        <v>0</v>
      </c>
      <c r="J295" t="n">
        <v>0</v>
      </c>
      <c r="K295" t="n">
        <v>0</v>
      </c>
      <c r="L295" t="n">
        <v>0</v>
      </c>
      <c r="M295" t="n">
        <v>0</v>
      </c>
      <c r="N295" t="n">
        <v>0</v>
      </c>
      <c r="O295" t="n">
        <v>0</v>
      </c>
      <c r="P295" t="n">
        <v>0</v>
      </c>
      <c r="Q295" t="n">
        <v>0</v>
      </c>
      <c r="R295" s="2" t="inlineStr"/>
    </row>
    <row r="296" ht="15" customHeight="1">
      <c r="A296" t="inlineStr">
        <is>
          <t>A 63987-2020</t>
        </is>
      </c>
      <c r="B296" s="1" t="n">
        <v>44167</v>
      </c>
      <c r="C296" s="1" t="n">
        <v>45665</v>
      </c>
      <c r="D296" t="inlineStr">
        <is>
          <t>UPPSALA LÄN</t>
        </is>
      </c>
      <c r="E296" t="inlineStr">
        <is>
          <t>ÖSTHAMMAR</t>
        </is>
      </c>
      <c r="G296" t="n">
        <v>5.9</v>
      </c>
      <c r="H296" t="n">
        <v>0</v>
      </c>
      <c r="I296" t="n">
        <v>0</v>
      </c>
      <c r="J296" t="n">
        <v>0</v>
      </c>
      <c r="K296" t="n">
        <v>0</v>
      </c>
      <c r="L296" t="n">
        <v>0</v>
      </c>
      <c r="M296" t="n">
        <v>0</v>
      </c>
      <c r="N296" t="n">
        <v>0</v>
      </c>
      <c r="O296" t="n">
        <v>0</v>
      </c>
      <c r="P296" t="n">
        <v>0</v>
      </c>
      <c r="Q296" t="n">
        <v>0</v>
      </c>
      <c r="R296" s="2" t="inlineStr"/>
    </row>
    <row r="297" ht="15" customHeight="1">
      <c r="A297" t="inlineStr">
        <is>
          <t>A 65361-2020</t>
        </is>
      </c>
      <c r="B297" s="1" t="n">
        <v>44173</v>
      </c>
      <c r="C297" s="1" t="n">
        <v>45665</v>
      </c>
      <c r="D297" t="inlineStr">
        <is>
          <t>UPPSALA LÄN</t>
        </is>
      </c>
      <c r="E297" t="inlineStr">
        <is>
          <t>ÖSTHAMMAR</t>
        </is>
      </c>
      <c r="G297" t="n">
        <v>3.6</v>
      </c>
      <c r="H297" t="n">
        <v>0</v>
      </c>
      <c r="I297" t="n">
        <v>0</v>
      </c>
      <c r="J297" t="n">
        <v>0</v>
      </c>
      <c r="K297" t="n">
        <v>0</v>
      </c>
      <c r="L297" t="n">
        <v>0</v>
      </c>
      <c r="M297" t="n">
        <v>0</v>
      </c>
      <c r="N297" t="n">
        <v>0</v>
      </c>
      <c r="O297" t="n">
        <v>0</v>
      </c>
      <c r="P297" t="n">
        <v>0</v>
      </c>
      <c r="Q297" t="n">
        <v>0</v>
      </c>
      <c r="R297" s="2" t="inlineStr"/>
    </row>
    <row r="298" ht="15" customHeight="1">
      <c r="A298" t="inlineStr">
        <is>
          <t>A 68243-2020</t>
        </is>
      </c>
      <c r="B298" s="1" t="n">
        <v>44183</v>
      </c>
      <c r="C298" s="1" t="n">
        <v>45665</v>
      </c>
      <c r="D298" t="inlineStr">
        <is>
          <t>UPPSALA LÄN</t>
        </is>
      </c>
      <c r="E298" t="inlineStr">
        <is>
          <t>ÖSTHAMMAR</t>
        </is>
      </c>
      <c r="G298" t="n">
        <v>8.5</v>
      </c>
      <c r="H298" t="n">
        <v>0</v>
      </c>
      <c r="I298" t="n">
        <v>0</v>
      </c>
      <c r="J298" t="n">
        <v>0</v>
      </c>
      <c r="K298" t="n">
        <v>0</v>
      </c>
      <c r="L298" t="n">
        <v>0</v>
      </c>
      <c r="M298" t="n">
        <v>0</v>
      </c>
      <c r="N298" t="n">
        <v>0</v>
      </c>
      <c r="O298" t="n">
        <v>0</v>
      </c>
      <c r="P298" t="n">
        <v>0</v>
      </c>
      <c r="Q298" t="n">
        <v>0</v>
      </c>
      <c r="R298" s="2" t="inlineStr"/>
    </row>
    <row r="299" ht="15" customHeight="1">
      <c r="A299" t="inlineStr">
        <is>
          <t>A 68828-2020</t>
        </is>
      </c>
      <c r="B299" s="1" t="n">
        <v>44186</v>
      </c>
      <c r="C299" s="1" t="n">
        <v>45665</v>
      </c>
      <c r="D299" t="inlineStr">
        <is>
          <t>UPPSALA LÄN</t>
        </is>
      </c>
      <c r="E299" t="inlineStr">
        <is>
          <t>ÖSTHAMMAR</t>
        </is>
      </c>
      <c r="G299" t="n">
        <v>1.5</v>
      </c>
      <c r="H299" t="n">
        <v>0</v>
      </c>
      <c r="I299" t="n">
        <v>0</v>
      </c>
      <c r="J299" t="n">
        <v>0</v>
      </c>
      <c r="K299" t="n">
        <v>0</v>
      </c>
      <c r="L299" t="n">
        <v>0</v>
      </c>
      <c r="M299" t="n">
        <v>0</v>
      </c>
      <c r="N299" t="n">
        <v>0</v>
      </c>
      <c r="O299" t="n">
        <v>0</v>
      </c>
      <c r="P299" t="n">
        <v>0</v>
      </c>
      <c r="Q299" t="n">
        <v>0</v>
      </c>
      <c r="R299" s="2" t="inlineStr"/>
    </row>
    <row r="300" ht="15" customHeight="1">
      <c r="A300" t="inlineStr">
        <is>
          <t>A 69681-2020</t>
        </is>
      </c>
      <c r="B300" s="1" t="n">
        <v>44196</v>
      </c>
      <c r="C300" s="1" t="n">
        <v>45665</v>
      </c>
      <c r="D300" t="inlineStr">
        <is>
          <t>UPPSALA LÄN</t>
        </is>
      </c>
      <c r="E300" t="inlineStr">
        <is>
          <t>ÖSTHAMMAR</t>
        </is>
      </c>
      <c r="F300" t="inlineStr">
        <is>
          <t>Bergvik skog öst AB</t>
        </is>
      </c>
      <c r="G300" t="n">
        <v>21.9</v>
      </c>
      <c r="H300" t="n">
        <v>0</v>
      </c>
      <c r="I300" t="n">
        <v>0</v>
      </c>
      <c r="J300" t="n">
        <v>0</v>
      </c>
      <c r="K300" t="n">
        <v>0</v>
      </c>
      <c r="L300" t="n">
        <v>0</v>
      </c>
      <c r="M300" t="n">
        <v>0</v>
      </c>
      <c r="N300" t="n">
        <v>0</v>
      </c>
      <c r="O300" t="n">
        <v>0</v>
      </c>
      <c r="P300" t="n">
        <v>0</v>
      </c>
      <c r="Q300" t="n">
        <v>0</v>
      </c>
      <c r="R300" s="2" t="inlineStr"/>
    </row>
    <row r="301" ht="15" customHeight="1">
      <c r="A301" t="inlineStr">
        <is>
          <t>A 3693-2021</t>
        </is>
      </c>
      <c r="B301" s="1" t="n">
        <v>44221</v>
      </c>
      <c r="C301" s="1" t="n">
        <v>45665</v>
      </c>
      <c r="D301" t="inlineStr">
        <is>
          <t>UPPSALA LÄN</t>
        </is>
      </c>
      <c r="E301" t="inlineStr">
        <is>
          <t>ÖSTHAMMAR</t>
        </is>
      </c>
      <c r="G301" t="n">
        <v>0.3</v>
      </c>
      <c r="H301" t="n">
        <v>0</v>
      </c>
      <c r="I301" t="n">
        <v>0</v>
      </c>
      <c r="J301" t="n">
        <v>0</v>
      </c>
      <c r="K301" t="n">
        <v>0</v>
      </c>
      <c r="L301" t="n">
        <v>0</v>
      </c>
      <c r="M301" t="n">
        <v>0</v>
      </c>
      <c r="N301" t="n">
        <v>0</v>
      </c>
      <c r="O301" t="n">
        <v>0</v>
      </c>
      <c r="P301" t="n">
        <v>0</v>
      </c>
      <c r="Q301" t="n">
        <v>0</v>
      </c>
      <c r="R301" s="2" t="inlineStr"/>
    </row>
    <row r="302" ht="15" customHeight="1">
      <c r="A302" t="inlineStr">
        <is>
          <t>A 4151-2021</t>
        </is>
      </c>
      <c r="B302" s="1" t="n">
        <v>44221</v>
      </c>
      <c r="C302" s="1" t="n">
        <v>45665</v>
      </c>
      <c r="D302" t="inlineStr">
        <is>
          <t>UPPSALA LÄN</t>
        </is>
      </c>
      <c r="E302" t="inlineStr">
        <is>
          <t>ÖSTHAMMAR</t>
        </is>
      </c>
      <c r="G302" t="n">
        <v>2.9</v>
      </c>
      <c r="H302" t="n">
        <v>0</v>
      </c>
      <c r="I302" t="n">
        <v>0</v>
      </c>
      <c r="J302" t="n">
        <v>0</v>
      </c>
      <c r="K302" t="n">
        <v>0</v>
      </c>
      <c r="L302" t="n">
        <v>0</v>
      </c>
      <c r="M302" t="n">
        <v>0</v>
      </c>
      <c r="N302" t="n">
        <v>0</v>
      </c>
      <c r="O302" t="n">
        <v>0</v>
      </c>
      <c r="P302" t="n">
        <v>0</v>
      </c>
      <c r="Q302" t="n">
        <v>0</v>
      </c>
      <c r="R302" s="2" t="inlineStr"/>
    </row>
    <row r="303" ht="15" customHeight="1">
      <c r="A303" t="inlineStr">
        <is>
          <t>A 4590-2021</t>
        </is>
      </c>
      <c r="B303" s="1" t="n">
        <v>44224</v>
      </c>
      <c r="C303" s="1" t="n">
        <v>45665</v>
      </c>
      <c r="D303" t="inlineStr">
        <is>
          <t>UPPSALA LÄN</t>
        </is>
      </c>
      <c r="E303" t="inlineStr">
        <is>
          <t>ÖSTHAMMAR</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6221-2021</t>
        </is>
      </c>
      <c r="B304" s="1" t="n">
        <v>44235</v>
      </c>
      <c r="C304" s="1" t="n">
        <v>45665</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7113-2021</t>
        </is>
      </c>
      <c r="B305" s="1" t="n">
        <v>44238</v>
      </c>
      <c r="C305" s="1" t="n">
        <v>45665</v>
      </c>
      <c r="D305" t="inlineStr">
        <is>
          <t>UPPSALA LÄN</t>
        </is>
      </c>
      <c r="E305" t="inlineStr">
        <is>
          <t>ÖSTHAMMAR</t>
        </is>
      </c>
      <c r="F305" t="inlineStr">
        <is>
          <t>Bergvik skog öst AB</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8009-2021</t>
        </is>
      </c>
      <c r="B306" s="1" t="n">
        <v>44243</v>
      </c>
      <c r="C306" s="1" t="n">
        <v>45665</v>
      </c>
      <c r="D306" t="inlineStr">
        <is>
          <t>UPPSALA LÄN</t>
        </is>
      </c>
      <c r="E306" t="inlineStr">
        <is>
          <t>ÖSTHAMMAR</t>
        </is>
      </c>
      <c r="G306" t="n">
        <v>9.9</v>
      </c>
      <c r="H306" t="n">
        <v>0</v>
      </c>
      <c r="I306" t="n">
        <v>0</v>
      </c>
      <c r="J306" t="n">
        <v>0</v>
      </c>
      <c r="K306" t="n">
        <v>0</v>
      </c>
      <c r="L306" t="n">
        <v>0</v>
      </c>
      <c r="M306" t="n">
        <v>0</v>
      </c>
      <c r="N306" t="n">
        <v>0</v>
      </c>
      <c r="O306" t="n">
        <v>0</v>
      </c>
      <c r="P306" t="n">
        <v>0</v>
      </c>
      <c r="Q306" t="n">
        <v>0</v>
      </c>
      <c r="R306" s="2" t="inlineStr"/>
    </row>
    <row r="307" ht="15" customHeight="1">
      <c r="A307" t="inlineStr">
        <is>
          <t>A 10316-2021</t>
        </is>
      </c>
      <c r="B307" s="1" t="n">
        <v>44257</v>
      </c>
      <c r="C307" s="1" t="n">
        <v>45665</v>
      </c>
      <c r="D307" t="inlineStr">
        <is>
          <t>UPPSALA LÄN</t>
        </is>
      </c>
      <c r="E307" t="inlineStr">
        <is>
          <t>ÖSTHAMMAR</t>
        </is>
      </c>
      <c r="F307" t="inlineStr">
        <is>
          <t>Övriga Aktiebolag</t>
        </is>
      </c>
      <c r="G307" t="n">
        <v>3.3</v>
      </c>
      <c r="H307" t="n">
        <v>0</v>
      </c>
      <c r="I307" t="n">
        <v>0</v>
      </c>
      <c r="J307" t="n">
        <v>0</v>
      </c>
      <c r="K307" t="n">
        <v>0</v>
      </c>
      <c r="L307" t="n">
        <v>0</v>
      </c>
      <c r="M307" t="n">
        <v>0</v>
      </c>
      <c r="N307" t="n">
        <v>0</v>
      </c>
      <c r="O307" t="n">
        <v>0</v>
      </c>
      <c r="P307" t="n">
        <v>0</v>
      </c>
      <c r="Q307" t="n">
        <v>0</v>
      </c>
      <c r="R307" s="2" t="inlineStr"/>
    </row>
    <row r="308" ht="15" customHeight="1">
      <c r="A308" t="inlineStr">
        <is>
          <t>A 10498-2021</t>
        </is>
      </c>
      <c r="B308" s="1" t="n">
        <v>44258</v>
      </c>
      <c r="C308" s="1" t="n">
        <v>45665</v>
      </c>
      <c r="D308" t="inlineStr">
        <is>
          <t>UPPSALA LÄN</t>
        </is>
      </c>
      <c r="E308" t="inlineStr">
        <is>
          <t>ÖSTHAMMAR</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14248-2021</t>
        </is>
      </c>
      <c r="B309" s="1" t="n">
        <v>44278</v>
      </c>
      <c r="C309" s="1" t="n">
        <v>45665</v>
      </c>
      <c r="D309" t="inlineStr">
        <is>
          <t>UPPSALA LÄN</t>
        </is>
      </c>
      <c r="E309" t="inlineStr">
        <is>
          <t>ÖSTHAMMAR</t>
        </is>
      </c>
      <c r="F309" t="inlineStr">
        <is>
          <t>Övriga Aktiebolag</t>
        </is>
      </c>
      <c r="G309" t="n">
        <v>1.2</v>
      </c>
      <c r="H309" t="n">
        <v>0</v>
      </c>
      <c r="I309" t="n">
        <v>0</v>
      </c>
      <c r="J309" t="n">
        <v>0</v>
      </c>
      <c r="K309" t="n">
        <v>0</v>
      </c>
      <c r="L309" t="n">
        <v>0</v>
      </c>
      <c r="M309" t="n">
        <v>0</v>
      </c>
      <c r="N309" t="n">
        <v>0</v>
      </c>
      <c r="O309" t="n">
        <v>0</v>
      </c>
      <c r="P309" t="n">
        <v>0</v>
      </c>
      <c r="Q309" t="n">
        <v>0</v>
      </c>
      <c r="R309" s="2" t="inlineStr"/>
    </row>
    <row r="310" ht="15" customHeight="1">
      <c r="A310" t="inlineStr">
        <is>
          <t>A 14525-2021</t>
        </is>
      </c>
      <c r="B310" s="1" t="n">
        <v>44279</v>
      </c>
      <c r="C310" s="1" t="n">
        <v>45665</v>
      </c>
      <c r="D310" t="inlineStr">
        <is>
          <t>UPPSALA LÄN</t>
        </is>
      </c>
      <c r="E310" t="inlineStr">
        <is>
          <t>ÖSTHAMMAR</t>
        </is>
      </c>
      <c r="F310" t="inlineStr">
        <is>
          <t>Bergvik skog öst AB</t>
        </is>
      </c>
      <c r="G310" t="n">
        <v>2.1</v>
      </c>
      <c r="H310" t="n">
        <v>0</v>
      </c>
      <c r="I310" t="n">
        <v>0</v>
      </c>
      <c r="J310" t="n">
        <v>0</v>
      </c>
      <c r="K310" t="n">
        <v>0</v>
      </c>
      <c r="L310" t="n">
        <v>0</v>
      </c>
      <c r="M310" t="n">
        <v>0</v>
      </c>
      <c r="N310" t="n">
        <v>0</v>
      </c>
      <c r="O310" t="n">
        <v>0</v>
      </c>
      <c r="P310" t="n">
        <v>0</v>
      </c>
      <c r="Q310" t="n">
        <v>0</v>
      </c>
      <c r="R310" s="2" t="inlineStr"/>
    </row>
    <row r="311" ht="15" customHeight="1">
      <c r="A311" t="inlineStr">
        <is>
          <t>A 16212-2021</t>
        </is>
      </c>
      <c r="B311" s="1" t="n">
        <v>44287</v>
      </c>
      <c r="C311" s="1" t="n">
        <v>45665</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16209-2021</t>
        </is>
      </c>
      <c r="B312" s="1" t="n">
        <v>44287</v>
      </c>
      <c r="C312" s="1" t="n">
        <v>45665</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17009-2021</t>
        </is>
      </c>
      <c r="B313" s="1" t="n">
        <v>44295</v>
      </c>
      <c r="C313" s="1" t="n">
        <v>45665</v>
      </c>
      <c r="D313" t="inlineStr">
        <is>
          <t>UPPSALA LÄN</t>
        </is>
      </c>
      <c r="E313" t="inlineStr">
        <is>
          <t>ÖSTHAMMAR</t>
        </is>
      </c>
      <c r="F313" t="inlineStr">
        <is>
          <t>Bergvik skog öst AB</t>
        </is>
      </c>
      <c r="G313" t="n">
        <v>3.2</v>
      </c>
      <c r="H313" t="n">
        <v>0</v>
      </c>
      <c r="I313" t="n">
        <v>0</v>
      </c>
      <c r="J313" t="n">
        <v>0</v>
      </c>
      <c r="K313" t="n">
        <v>0</v>
      </c>
      <c r="L313" t="n">
        <v>0</v>
      </c>
      <c r="M313" t="n">
        <v>0</v>
      </c>
      <c r="N313" t="n">
        <v>0</v>
      </c>
      <c r="O313" t="n">
        <v>0</v>
      </c>
      <c r="P313" t="n">
        <v>0</v>
      </c>
      <c r="Q313" t="n">
        <v>0</v>
      </c>
      <c r="R313" s="2" t="inlineStr"/>
    </row>
    <row r="314" ht="15" customHeight="1">
      <c r="A314" t="inlineStr">
        <is>
          <t>A 17022-2021</t>
        </is>
      </c>
      <c r="B314" s="1" t="n">
        <v>44295</v>
      </c>
      <c r="C314" s="1" t="n">
        <v>45665</v>
      </c>
      <c r="D314" t="inlineStr">
        <is>
          <t>UPPSALA LÄN</t>
        </is>
      </c>
      <c r="E314" t="inlineStr">
        <is>
          <t>ÖSTHAMMAR</t>
        </is>
      </c>
      <c r="F314" t="inlineStr">
        <is>
          <t>Bergvik skog öst AB</t>
        </is>
      </c>
      <c r="G314" t="n">
        <v>0.3</v>
      </c>
      <c r="H314" t="n">
        <v>0</v>
      </c>
      <c r="I314" t="n">
        <v>0</v>
      </c>
      <c r="J314" t="n">
        <v>0</v>
      </c>
      <c r="K314" t="n">
        <v>0</v>
      </c>
      <c r="L314" t="n">
        <v>0</v>
      </c>
      <c r="M314" t="n">
        <v>0</v>
      </c>
      <c r="N314" t="n">
        <v>0</v>
      </c>
      <c r="O314" t="n">
        <v>0</v>
      </c>
      <c r="P314" t="n">
        <v>0</v>
      </c>
      <c r="Q314" t="n">
        <v>0</v>
      </c>
      <c r="R314" s="2" t="inlineStr"/>
    </row>
    <row r="315" ht="15" customHeight="1">
      <c r="A315" t="inlineStr">
        <is>
          <t>A 17033-2021</t>
        </is>
      </c>
      <c r="B315" s="1" t="n">
        <v>44295</v>
      </c>
      <c r="C315" s="1" t="n">
        <v>45665</v>
      </c>
      <c r="D315" t="inlineStr">
        <is>
          <t>UPPSALA LÄN</t>
        </is>
      </c>
      <c r="E315" t="inlineStr">
        <is>
          <t>ÖSTHAMMAR</t>
        </is>
      </c>
      <c r="F315" t="inlineStr">
        <is>
          <t>Bergvik skog öst AB</t>
        </is>
      </c>
      <c r="G315" t="n">
        <v>4.7</v>
      </c>
      <c r="H315" t="n">
        <v>0</v>
      </c>
      <c r="I315" t="n">
        <v>0</v>
      </c>
      <c r="J315" t="n">
        <v>0</v>
      </c>
      <c r="K315" t="n">
        <v>0</v>
      </c>
      <c r="L315" t="n">
        <v>0</v>
      </c>
      <c r="M315" t="n">
        <v>0</v>
      </c>
      <c r="N315" t="n">
        <v>0</v>
      </c>
      <c r="O315" t="n">
        <v>0</v>
      </c>
      <c r="P315" t="n">
        <v>0</v>
      </c>
      <c r="Q315" t="n">
        <v>0</v>
      </c>
      <c r="R315" s="2" t="inlineStr"/>
    </row>
    <row r="316" ht="15" customHeight="1">
      <c r="A316" t="inlineStr">
        <is>
          <t>A 17349-2021</t>
        </is>
      </c>
      <c r="B316" s="1" t="n">
        <v>44298</v>
      </c>
      <c r="C316" s="1" t="n">
        <v>45665</v>
      </c>
      <c r="D316" t="inlineStr">
        <is>
          <t>UPPSALA LÄN</t>
        </is>
      </c>
      <c r="E316" t="inlineStr">
        <is>
          <t>ÖSTHAMMAR</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18944-2021</t>
        </is>
      </c>
      <c r="B317" s="1" t="n">
        <v>44308</v>
      </c>
      <c r="C317" s="1" t="n">
        <v>45665</v>
      </c>
      <c r="D317" t="inlineStr">
        <is>
          <t>UPPSALA LÄN</t>
        </is>
      </c>
      <c r="E317" t="inlineStr">
        <is>
          <t>ÖSTHAMMAR</t>
        </is>
      </c>
      <c r="F317" t="inlineStr">
        <is>
          <t>Bergvik skog öst AB</t>
        </is>
      </c>
      <c r="G317" t="n">
        <v>12.5</v>
      </c>
      <c r="H317" t="n">
        <v>0</v>
      </c>
      <c r="I317" t="n">
        <v>0</v>
      </c>
      <c r="J317" t="n">
        <v>0</v>
      </c>
      <c r="K317" t="n">
        <v>0</v>
      </c>
      <c r="L317" t="n">
        <v>0</v>
      </c>
      <c r="M317" t="n">
        <v>0</v>
      </c>
      <c r="N317" t="n">
        <v>0</v>
      </c>
      <c r="O317" t="n">
        <v>0</v>
      </c>
      <c r="P317" t="n">
        <v>0</v>
      </c>
      <c r="Q317" t="n">
        <v>0</v>
      </c>
      <c r="R317" s="2" t="inlineStr"/>
    </row>
    <row r="318" ht="15" customHeight="1">
      <c r="A318" t="inlineStr">
        <is>
          <t>A 20326-2021</t>
        </is>
      </c>
      <c r="B318" s="1" t="n">
        <v>44308</v>
      </c>
      <c r="C318" s="1" t="n">
        <v>45665</v>
      </c>
      <c r="D318" t="inlineStr">
        <is>
          <t>UPPSALA LÄN</t>
        </is>
      </c>
      <c r="E318" t="inlineStr">
        <is>
          <t>ÖSTHAMMAR</t>
        </is>
      </c>
      <c r="G318" t="n">
        <v>7.8</v>
      </c>
      <c r="H318" t="n">
        <v>0</v>
      </c>
      <c r="I318" t="n">
        <v>0</v>
      </c>
      <c r="J318" t="n">
        <v>0</v>
      </c>
      <c r="K318" t="n">
        <v>0</v>
      </c>
      <c r="L318" t="n">
        <v>0</v>
      </c>
      <c r="M318" t="n">
        <v>0</v>
      </c>
      <c r="N318" t="n">
        <v>0</v>
      </c>
      <c r="O318" t="n">
        <v>0</v>
      </c>
      <c r="P318" t="n">
        <v>0</v>
      </c>
      <c r="Q318" t="n">
        <v>0</v>
      </c>
      <c r="R318" s="2" t="inlineStr"/>
    </row>
    <row r="319" ht="15" customHeight="1">
      <c r="A319" t="inlineStr">
        <is>
          <t>A 20325-2021</t>
        </is>
      </c>
      <c r="B319" s="1" t="n">
        <v>44308</v>
      </c>
      <c r="C319" s="1" t="n">
        <v>45665</v>
      </c>
      <c r="D319" t="inlineStr">
        <is>
          <t>UPPSALA LÄN</t>
        </is>
      </c>
      <c r="E319" t="inlineStr">
        <is>
          <t>ÖSTHAMMAR</t>
        </is>
      </c>
      <c r="G319" t="n">
        <v>5</v>
      </c>
      <c r="H319" t="n">
        <v>0</v>
      </c>
      <c r="I319" t="n">
        <v>0</v>
      </c>
      <c r="J319" t="n">
        <v>0</v>
      </c>
      <c r="K319" t="n">
        <v>0</v>
      </c>
      <c r="L319" t="n">
        <v>0</v>
      </c>
      <c r="M319" t="n">
        <v>0</v>
      </c>
      <c r="N319" t="n">
        <v>0</v>
      </c>
      <c r="O319" t="n">
        <v>0</v>
      </c>
      <c r="P319" t="n">
        <v>0</v>
      </c>
      <c r="Q319" t="n">
        <v>0</v>
      </c>
      <c r="R319" s="2" t="inlineStr"/>
    </row>
    <row r="320" ht="15" customHeight="1">
      <c r="A320" t="inlineStr">
        <is>
          <t>A 20324-2021</t>
        </is>
      </c>
      <c r="B320" s="1" t="n">
        <v>44308</v>
      </c>
      <c r="C320" s="1" t="n">
        <v>45665</v>
      </c>
      <c r="D320" t="inlineStr">
        <is>
          <t>UPPSALA LÄN</t>
        </is>
      </c>
      <c r="E320" t="inlineStr">
        <is>
          <t>ÖSTHAMMAR</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19214-2021</t>
        </is>
      </c>
      <c r="B321" s="1" t="n">
        <v>44309</v>
      </c>
      <c r="C321" s="1" t="n">
        <v>45665</v>
      </c>
      <c r="D321" t="inlineStr">
        <is>
          <t>UPPSALA LÄN</t>
        </is>
      </c>
      <c r="E321" t="inlineStr">
        <is>
          <t>ÖSTHAMMAR</t>
        </is>
      </c>
      <c r="F321" t="inlineStr">
        <is>
          <t>Bergvik skog öst AB</t>
        </is>
      </c>
      <c r="G321" t="n">
        <v>6</v>
      </c>
      <c r="H321" t="n">
        <v>0</v>
      </c>
      <c r="I321" t="n">
        <v>0</v>
      </c>
      <c r="J321" t="n">
        <v>0</v>
      </c>
      <c r="K321" t="n">
        <v>0</v>
      </c>
      <c r="L321" t="n">
        <v>0</v>
      </c>
      <c r="M321" t="n">
        <v>0</v>
      </c>
      <c r="N321" t="n">
        <v>0</v>
      </c>
      <c r="O321" t="n">
        <v>0</v>
      </c>
      <c r="P321" t="n">
        <v>0</v>
      </c>
      <c r="Q321" t="n">
        <v>0</v>
      </c>
      <c r="R321" s="2" t="inlineStr"/>
    </row>
    <row r="322" ht="15" customHeight="1">
      <c r="A322" t="inlineStr">
        <is>
          <t>A 19552-2021</t>
        </is>
      </c>
      <c r="B322" s="1" t="n">
        <v>44312</v>
      </c>
      <c r="C322" s="1" t="n">
        <v>45665</v>
      </c>
      <c r="D322" t="inlineStr">
        <is>
          <t>UPPSALA LÄN</t>
        </is>
      </c>
      <c r="E322" t="inlineStr">
        <is>
          <t>ÖSTHAMMAR</t>
        </is>
      </c>
      <c r="G322" t="n">
        <v>4.5</v>
      </c>
      <c r="H322" t="n">
        <v>0</v>
      </c>
      <c r="I322" t="n">
        <v>0</v>
      </c>
      <c r="J322" t="n">
        <v>0</v>
      </c>
      <c r="K322" t="n">
        <v>0</v>
      </c>
      <c r="L322" t="n">
        <v>0</v>
      </c>
      <c r="M322" t="n">
        <v>0</v>
      </c>
      <c r="N322" t="n">
        <v>0</v>
      </c>
      <c r="O322" t="n">
        <v>0</v>
      </c>
      <c r="P322" t="n">
        <v>0</v>
      </c>
      <c r="Q322" t="n">
        <v>0</v>
      </c>
      <c r="R322" s="2" t="inlineStr"/>
    </row>
    <row r="323" ht="15" customHeight="1">
      <c r="A323" t="inlineStr">
        <is>
          <t>A 22709-2021</t>
        </is>
      </c>
      <c r="B323" s="1" t="n">
        <v>44327</v>
      </c>
      <c r="C323" s="1" t="n">
        <v>45665</v>
      </c>
      <c r="D323" t="inlineStr">
        <is>
          <t>UPPSALA LÄN</t>
        </is>
      </c>
      <c r="E323" t="inlineStr">
        <is>
          <t>ÖSTHAMMAR</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23120-2021</t>
        </is>
      </c>
      <c r="B324" s="1" t="n">
        <v>44330</v>
      </c>
      <c r="C324" s="1" t="n">
        <v>45665</v>
      </c>
      <c r="D324" t="inlineStr">
        <is>
          <t>UPPSALA LÄN</t>
        </is>
      </c>
      <c r="E324" t="inlineStr">
        <is>
          <t>ÖSTHAMMAR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24062-2021</t>
        </is>
      </c>
      <c r="B325" s="1" t="n">
        <v>44336</v>
      </c>
      <c r="C325" s="1" t="n">
        <v>45665</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24316-2021</t>
        </is>
      </c>
      <c r="B326" s="1" t="n">
        <v>44337</v>
      </c>
      <c r="C326" s="1" t="n">
        <v>45665</v>
      </c>
      <c r="D326" t="inlineStr">
        <is>
          <t>UPPSALA LÄN</t>
        </is>
      </c>
      <c r="E326" t="inlineStr">
        <is>
          <t>ÖSTHAMMAR</t>
        </is>
      </c>
      <c r="G326" t="n">
        <v>1.2</v>
      </c>
      <c r="H326" t="n">
        <v>0</v>
      </c>
      <c r="I326" t="n">
        <v>0</v>
      </c>
      <c r="J326" t="n">
        <v>0</v>
      </c>
      <c r="K326" t="n">
        <v>0</v>
      </c>
      <c r="L326" t="n">
        <v>0</v>
      </c>
      <c r="M326" t="n">
        <v>0</v>
      </c>
      <c r="N326" t="n">
        <v>0</v>
      </c>
      <c r="O326" t="n">
        <v>0</v>
      </c>
      <c r="P326" t="n">
        <v>0</v>
      </c>
      <c r="Q326" t="n">
        <v>0</v>
      </c>
      <c r="R326" s="2" t="inlineStr"/>
    </row>
    <row r="327" ht="15" customHeight="1">
      <c r="A327" t="inlineStr">
        <is>
          <t>A 25033-2021</t>
        </is>
      </c>
      <c r="B327" s="1" t="n">
        <v>44341</v>
      </c>
      <c r="C327" s="1" t="n">
        <v>45665</v>
      </c>
      <c r="D327" t="inlineStr">
        <is>
          <t>UPPSALA LÄN</t>
        </is>
      </c>
      <c r="E327" t="inlineStr">
        <is>
          <t>ÖSTHAMMAR</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25378-2021</t>
        </is>
      </c>
      <c r="B328" s="1" t="n">
        <v>44342</v>
      </c>
      <c r="C328" s="1" t="n">
        <v>45665</v>
      </c>
      <c r="D328" t="inlineStr">
        <is>
          <t>UPPSALA LÄN</t>
        </is>
      </c>
      <c r="E328" t="inlineStr">
        <is>
          <t>ÖSTHAMMAR</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25395-2021</t>
        </is>
      </c>
      <c r="B329" s="1" t="n">
        <v>44342</v>
      </c>
      <c r="C329" s="1" t="n">
        <v>45665</v>
      </c>
      <c r="D329" t="inlineStr">
        <is>
          <t>UPPSALA LÄN</t>
        </is>
      </c>
      <c r="E329" t="inlineStr">
        <is>
          <t>ÖSTHAMMAR</t>
        </is>
      </c>
      <c r="F329" t="inlineStr">
        <is>
          <t>Övriga Aktiebolag</t>
        </is>
      </c>
      <c r="G329" t="n">
        <v>0.5</v>
      </c>
      <c r="H329" t="n">
        <v>0</v>
      </c>
      <c r="I329" t="n">
        <v>0</v>
      </c>
      <c r="J329" t="n">
        <v>0</v>
      </c>
      <c r="K329" t="n">
        <v>0</v>
      </c>
      <c r="L329" t="n">
        <v>0</v>
      </c>
      <c r="M329" t="n">
        <v>0</v>
      </c>
      <c r="N329" t="n">
        <v>0</v>
      </c>
      <c r="O329" t="n">
        <v>0</v>
      </c>
      <c r="P329" t="n">
        <v>0</v>
      </c>
      <c r="Q329" t="n">
        <v>0</v>
      </c>
      <c r="R329" s="2" t="inlineStr"/>
    </row>
    <row r="330" ht="15" customHeight="1">
      <c r="A330" t="inlineStr">
        <is>
          <t>A 26257-2021</t>
        </is>
      </c>
      <c r="B330" s="1" t="n">
        <v>44347</v>
      </c>
      <c r="C330" s="1" t="n">
        <v>45665</v>
      </c>
      <c r="D330" t="inlineStr">
        <is>
          <t>UPPSALA LÄN</t>
        </is>
      </c>
      <c r="E330" t="inlineStr">
        <is>
          <t>ÖSTHAMMAR</t>
        </is>
      </c>
      <c r="G330" t="n">
        <v>3.2</v>
      </c>
      <c r="H330" t="n">
        <v>0</v>
      </c>
      <c r="I330" t="n">
        <v>0</v>
      </c>
      <c r="J330" t="n">
        <v>0</v>
      </c>
      <c r="K330" t="n">
        <v>0</v>
      </c>
      <c r="L330" t="n">
        <v>0</v>
      </c>
      <c r="M330" t="n">
        <v>0</v>
      </c>
      <c r="N330" t="n">
        <v>0</v>
      </c>
      <c r="O330" t="n">
        <v>0</v>
      </c>
      <c r="P330" t="n">
        <v>0</v>
      </c>
      <c r="Q330" t="n">
        <v>0</v>
      </c>
      <c r="R330" s="2" t="inlineStr"/>
    </row>
    <row r="331" ht="15" customHeight="1">
      <c r="A331" t="inlineStr">
        <is>
          <t>A 27939-2021</t>
        </is>
      </c>
      <c r="B331" s="1" t="n">
        <v>44354</v>
      </c>
      <c r="C331" s="1" t="n">
        <v>45665</v>
      </c>
      <c r="D331" t="inlineStr">
        <is>
          <t>UPPSALA LÄN</t>
        </is>
      </c>
      <c r="E331" t="inlineStr">
        <is>
          <t>ÖSTHAMMAR</t>
        </is>
      </c>
      <c r="G331" t="n">
        <v>1</v>
      </c>
      <c r="H331" t="n">
        <v>0</v>
      </c>
      <c r="I331" t="n">
        <v>0</v>
      </c>
      <c r="J331" t="n">
        <v>0</v>
      </c>
      <c r="K331" t="n">
        <v>0</v>
      </c>
      <c r="L331" t="n">
        <v>0</v>
      </c>
      <c r="M331" t="n">
        <v>0</v>
      </c>
      <c r="N331" t="n">
        <v>0</v>
      </c>
      <c r="O331" t="n">
        <v>0</v>
      </c>
      <c r="P331" t="n">
        <v>0</v>
      </c>
      <c r="Q331" t="n">
        <v>0</v>
      </c>
      <c r="R331" s="2" t="inlineStr"/>
    </row>
    <row r="332" ht="15" customHeight="1">
      <c r="A332" t="inlineStr">
        <is>
          <t>A 27940-2021</t>
        </is>
      </c>
      <c r="B332" s="1" t="n">
        <v>44354</v>
      </c>
      <c r="C332" s="1" t="n">
        <v>45665</v>
      </c>
      <c r="D332" t="inlineStr">
        <is>
          <t>UPPSALA LÄN</t>
        </is>
      </c>
      <c r="E332" t="inlineStr">
        <is>
          <t>ÖSTHAMMAR</t>
        </is>
      </c>
      <c r="G332" t="n">
        <v>1.6</v>
      </c>
      <c r="H332" t="n">
        <v>0</v>
      </c>
      <c r="I332" t="n">
        <v>0</v>
      </c>
      <c r="J332" t="n">
        <v>0</v>
      </c>
      <c r="K332" t="n">
        <v>0</v>
      </c>
      <c r="L332" t="n">
        <v>0</v>
      </c>
      <c r="M332" t="n">
        <v>0</v>
      </c>
      <c r="N332" t="n">
        <v>0</v>
      </c>
      <c r="O332" t="n">
        <v>0</v>
      </c>
      <c r="P332" t="n">
        <v>0</v>
      </c>
      <c r="Q332" t="n">
        <v>0</v>
      </c>
      <c r="R332" s="2" t="inlineStr"/>
    </row>
    <row r="333" ht="15" customHeight="1">
      <c r="A333" t="inlineStr">
        <is>
          <t>A 29282-2021</t>
        </is>
      </c>
      <c r="B333" s="1" t="n">
        <v>44361</v>
      </c>
      <c r="C333" s="1" t="n">
        <v>45665</v>
      </c>
      <c r="D333" t="inlineStr">
        <is>
          <t>UPPSALA LÄN</t>
        </is>
      </c>
      <c r="E333" t="inlineStr">
        <is>
          <t>ÖSTHAMMAR</t>
        </is>
      </c>
      <c r="G333" t="n">
        <v>2.4</v>
      </c>
      <c r="H333" t="n">
        <v>0</v>
      </c>
      <c r="I333" t="n">
        <v>0</v>
      </c>
      <c r="J333" t="n">
        <v>0</v>
      </c>
      <c r="K333" t="n">
        <v>0</v>
      </c>
      <c r="L333" t="n">
        <v>0</v>
      </c>
      <c r="M333" t="n">
        <v>0</v>
      </c>
      <c r="N333" t="n">
        <v>0</v>
      </c>
      <c r="O333" t="n">
        <v>0</v>
      </c>
      <c r="P333" t="n">
        <v>0</v>
      </c>
      <c r="Q333" t="n">
        <v>0</v>
      </c>
      <c r="R333" s="2" t="inlineStr"/>
    </row>
    <row r="334" ht="15" customHeight="1">
      <c r="A334" t="inlineStr">
        <is>
          <t>A 30927-2021</t>
        </is>
      </c>
      <c r="B334" s="1" t="n">
        <v>44365</v>
      </c>
      <c r="C334" s="1" t="n">
        <v>45665</v>
      </c>
      <c r="D334" t="inlineStr">
        <is>
          <t>UPPSALA LÄN</t>
        </is>
      </c>
      <c r="E334" t="inlineStr">
        <is>
          <t>ÖSTHAMMAR</t>
        </is>
      </c>
      <c r="F334" t="inlineStr">
        <is>
          <t>Bergvik skog öst AB</t>
        </is>
      </c>
      <c r="G334" t="n">
        <v>1.6</v>
      </c>
      <c r="H334" t="n">
        <v>0</v>
      </c>
      <c r="I334" t="n">
        <v>0</v>
      </c>
      <c r="J334" t="n">
        <v>0</v>
      </c>
      <c r="K334" t="n">
        <v>0</v>
      </c>
      <c r="L334" t="n">
        <v>0</v>
      </c>
      <c r="M334" t="n">
        <v>0</v>
      </c>
      <c r="N334" t="n">
        <v>0</v>
      </c>
      <c r="O334" t="n">
        <v>0</v>
      </c>
      <c r="P334" t="n">
        <v>0</v>
      </c>
      <c r="Q334" t="n">
        <v>0</v>
      </c>
      <c r="R334" s="2" t="inlineStr"/>
    </row>
    <row r="335" ht="15" customHeight="1">
      <c r="A335" t="inlineStr">
        <is>
          <t>A 30931-2021</t>
        </is>
      </c>
      <c r="B335" s="1" t="n">
        <v>44365</v>
      </c>
      <c r="C335" s="1" t="n">
        <v>45665</v>
      </c>
      <c r="D335" t="inlineStr">
        <is>
          <t>UPPSALA LÄN</t>
        </is>
      </c>
      <c r="E335" t="inlineStr">
        <is>
          <t>ÖSTHAMMAR</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31263-2021</t>
        </is>
      </c>
      <c r="B336" s="1" t="n">
        <v>44368</v>
      </c>
      <c r="C336" s="1" t="n">
        <v>45665</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32244-2021</t>
        </is>
      </c>
      <c r="B337" s="1" t="n">
        <v>44371</v>
      </c>
      <c r="C337" s="1" t="n">
        <v>45665</v>
      </c>
      <c r="D337" t="inlineStr">
        <is>
          <t>UPPSALA LÄN</t>
        </is>
      </c>
      <c r="E337" t="inlineStr">
        <is>
          <t>ÖSTHAMMAR</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32939-2021</t>
        </is>
      </c>
      <c r="B338" s="1" t="n">
        <v>44376</v>
      </c>
      <c r="C338" s="1" t="n">
        <v>45665</v>
      </c>
      <c r="D338" t="inlineStr">
        <is>
          <t>UPPSALA LÄN</t>
        </is>
      </c>
      <c r="E338" t="inlineStr">
        <is>
          <t>ÖSTHAMMAR</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32948-2021</t>
        </is>
      </c>
      <c r="B339" s="1" t="n">
        <v>44376</v>
      </c>
      <c r="C339" s="1" t="n">
        <v>45665</v>
      </c>
      <c r="D339" t="inlineStr">
        <is>
          <t>UPPSALA LÄN</t>
        </is>
      </c>
      <c r="E339" t="inlineStr">
        <is>
          <t>ÖSTHAMMAR</t>
        </is>
      </c>
      <c r="F339" t="inlineStr">
        <is>
          <t>Bergvik skog öst AB</t>
        </is>
      </c>
      <c r="G339" t="n">
        <v>13.5</v>
      </c>
      <c r="H339" t="n">
        <v>0</v>
      </c>
      <c r="I339" t="n">
        <v>0</v>
      </c>
      <c r="J339" t="n">
        <v>0</v>
      </c>
      <c r="K339" t="n">
        <v>0</v>
      </c>
      <c r="L339" t="n">
        <v>0</v>
      </c>
      <c r="M339" t="n">
        <v>0</v>
      </c>
      <c r="N339" t="n">
        <v>0</v>
      </c>
      <c r="O339" t="n">
        <v>0</v>
      </c>
      <c r="P339" t="n">
        <v>0</v>
      </c>
      <c r="Q339" t="n">
        <v>0</v>
      </c>
      <c r="R339" s="2" t="inlineStr"/>
    </row>
    <row r="340" ht="15" customHeight="1">
      <c r="A340" t="inlineStr">
        <is>
          <t>A 33062-2021</t>
        </is>
      </c>
      <c r="B340" s="1" t="n">
        <v>44376</v>
      </c>
      <c r="C340" s="1" t="n">
        <v>45665</v>
      </c>
      <c r="D340" t="inlineStr">
        <is>
          <t>UPPSALA LÄN</t>
        </is>
      </c>
      <c r="E340" t="inlineStr">
        <is>
          <t>ÖSTHAMMAR</t>
        </is>
      </c>
      <c r="G340" t="n">
        <v>12</v>
      </c>
      <c r="H340" t="n">
        <v>0</v>
      </c>
      <c r="I340" t="n">
        <v>0</v>
      </c>
      <c r="J340" t="n">
        <v>0</v>
      </c>
      <c r="K340" t="n">
        <v>0</v>
      </c>
      <c r="L340" t="n">
        <v>0</v>
      </c>
      <c r="M340" t="n">
        <v>0</v>
      </c>
      <c r="N340" t="n">
        <v>0</v>
      </c>
      <c r="O340" t="n">
        <v>0</v>
      </c>
      <c r="P340" t="n">
        <v>0</v>
      </c>
      <c r="Q340" t="n">
        <v>0</v>
      </c>
      <c r="R340" s="2" t="inlineStr"/>
    </row>
    <row r="341" ht="15" customHeight="1">
      <c r="A341" t="inlineStr">
        <is>
          <t>A 33056-2021</t>
        </is>
      </c>
      <c r="B341" s="1" t="n">
        <v>44376</v>
      </c>
      <c r="C341" s="1" t="n">
        <v>45665</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33271-2021</t>
        </is>
      </c>
      <c r="B342" s="1" t="n">
        <v>44377</v>
      </c>
      <c r="C342" s="1" t="n">
        <v>45665</v>
      </c>
      <c r="D342" t="inlineStr">
        <is>
          <t>UPPSALA LÄN</t>
        </is>
      </c>
      <c r="E342" t="inlineStr">
        <is>
          <t>ÖSTHAMMAR</t>
        </is>
      </c>
      <c r="F342" t="inlineStr">
        <is>
          <t>Bergvik skog öst AB</t>
        </is>
      </c>
      <c r="G342" t="n">
        <v>3.9</v>
      </c>
      <c r="H342" t="n">
        <v>0</v>
      </c>
      <c r="I342" t="n">
        <v>0</v>
      </c>
      <c r="J342" t="n">
        <v>0</v>
      </c>
      <c r="K342" t="n">
        <v>0</v>
      </c>
      <c r="L342" t="n">
        <v>0</v>
      </c>
      <c r="M342" t="n">
        <v>0</v>
      </c>
      <c r="N342" t="n">
        <v>0</v>
      </c>
      <c r="O342" t="n">
        <v>0</v>
      </c>
      <c r="P342" t="n">
        <v>0</v>
      </c>
      <c r="Q342" t="n">
        <v>0</v>
      </c>
      <c r="R342" s="2" t="inlineStr"/>
    </row>
    <row r="343" ht="15" customHeight="1">
      <c r="A343" t="inlineStr">
        <is>
          <t>A 38411-2021</t>
        </is>
      </c>
      <c r="B343" s="1" t="n">
        <v>44406</v>
      </c>
      <c r="C343" s="1" t="n">
        <v>45665</v>
      </c>
      <c r="D343" t="inlineStr">
        <is>
          <t>UPPSALA LÄN</t>
        </is>
      </c>
      <c r="E343" t="inlineStr">
        <is>
          <t>ÖSTHAMMAR</t>
        </is>
      </c>
      <c r="F343" t="inlineStr">
        <is>
          <t>Bergvik skog öst AB</t>
        </is>
      </c>
      <c r="G343" t="n">
        <v>20.6</v>
      </c>
      <c r="H343" t="n">
        <v>0</v>
      </c>
      <c r="I343" t="n">
        <v>0</v>
      </c>
      <c r="J343" t="n">
        <v>0</v>
      </c>
      <c r="K343" t="n">
        <v>0</v>
      </c>
      <c r="L343" t="n">
        <v>0</v>
      </c>
      <c r="M343" t="n">
        <v>0</v>
      </c>
      <c r="N343" t="n">
        <v>0</v>
      </c>
      <c r="O343" t="n">
        <v>0</v>
      </c>
      <c r="P343" t="n">
        <v>0</v>
      </c>
      <c r="Q343" t="n">
        <v>0</v>
      </c>
      <c r="R343" s="2" t="inlineStr"/>
    </row>
    <row r="344" ht="15" customHeight="1">
      <c r="A344" t="inlineStr">
        <is>
          <t>A 40606-2021</t>
        </is>
      </c>
      <c r="B344" s="1" t="n">
        <v>44420</v>
      </c>
      <c r="C344" s="1" t="n">
        <v>45665</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41531-2021</t>
        </is>
      </c>
      <c r="B345" s="1" t="n">
        <v>44425</v>
      </c>
      <c r="C345" s="1" t="n">
        <v>45665</v>
      </c>
      <c r="D345" t="inlineStr">
        <is>
          <t>UPPSALA LÄN</t>
        </is>
      </c>
      <c r="E345" t="inlineStr">
        <is>
          <t>ÖSTHAMMAR</t>
        </is>
      </c>
      <c r="F345" t="inlineStr">
        <is>
          <t>Bergvik skog öst AB</t>
        </is>
      </c>
      <c r="G345" t="n">
        <v>2.8</v>
      </c>
      <c r="H345" t="n">
        <v>0</v>
      </c>
      <c r="I345" t="n">
        <v>0</v>
      </c>
      <c r="J345" t="n">
        <v>0</v>
      </c>
      <c r="K345" t="n">
        <v>0</v>
      </c>
      <c r="L345" t="n">
        <v>0</v>
      </c>
      <c r="M345" t="n">
        <v>0</v>
      </c>
      <c r="N345" t="n">
        <v>0</v>
      </c>
      <c r="O345" t="n">
        <v>0</v>
      </c>
      <c r="P345" t="n">
        <v>0</v>
      </c>
      <c r="Q345" t="n">
        <v>0</v>
      </c>
      <c r="R345" s="2" t="inlineStr"/>
    </row>
    <row r="346" ht="15" customHeight="1">
      <c r="A346" t="inlineStr">
        <is>
          <t>A 41558-2021</t>
        </is>
      </c>
      <c r="B346" s="1" t="n">
        <v>44425</v>
      </c>
      <c r="C346" s="1" t="n">
        <v>45665</v>
      </c>
      <c r="D346" t="inlineStr">
        <is>
          <t>UPPSALA LÄN</t>
        </is>
      </c>
      <c r="E346" t="inlineStr">
        <is>
          <t>ÖSTHAMMAR</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41538-2021</t>
        </is>
      </c>
      <c r="B347" s="1" t="n">
        <v>44425</v>
      </c>
      <c r="C347" s="1" t="n">
        <v>45665</v>
      </c>
      <c r="D347" t="inlineStr">
        <is>
          <t>UPPSALA LÄN</t>
        </is>
      </c>
      <c r="E347" t="inlineStr">
        <is>
          <t>ÖSTHAMMAR</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41744-2021</t>
        </is>
      </c>
      <c r="B348" s="1" t="n">
        <v>44425</v>
      </c>
      <c r="C348" s="1" t="n">
        <v>45665</v>
      </c>
      <c r="D348" t="inlineStr">
        <is>
          <t>UPPSALA LÄN</t>
        </is>
      </c>
      <c r="E348" t="inlineStr">
        <is>
          <t>ÖSTHAMMAR</t>
        </is>
      </c>
      <c r="F348" t="inlineStr">
        <is>
          <t>Bergvik skog öst AB</t>
        </is>
      </c>
      <c r="G348" t="n">
        <v>2.7</v>
      </c>
      <c r="H348" t="n">
        <v>0</v>
      </c>
      <c r="I348" t="n">
        <v>0</v>
      </c>
      <c r="J348" t="n">
        <v>0</v>
      </c>
      <c r="K348" t="n">
        <v>0</v>
      </c>
      <c r="L348" t="n">
        <v>0</v>
      </c>
      <c r="M348" t="n">
        <v>0</v>
      </c>
      <c r="N348" t="n">
        <v>0</v>
      </c>
      <c r="O348" t="n">
        <v>0</v>
      </c>
      <c r="P348" t="n">
        <v>0</v>
      </c>
      <c r="Q348" t="n">
        <v>0</v>
      </c>
      <c r="R348" s="2" t="inlineStr"/>
    </row>
    <row r="349" ht="15" customHeight="1">
      <c r="A349" t="inlineStr">
        <is>
          <t>A 43469-2021</t>
        </is>
      </c>
      <c r="B349" s="1" t="n">
        <v>44432</v>
      </c>
      <c r="C349" s="1" t="n">
        <v>45665</v>
      </c>
      <c r="D349" t="inlineStr">
        <is>
          <t>UPPSALA LÄN</t>
        </is>
      </c>
      <c r="E349" t="inlineStr">
        <is>
          <t>ÖSTHAMMAR</t>
        </is>
      </c>
      <c r="G349" t="n">
        <v>3.9</v>
      </c>
      <c r="H349" t="n">
        <v>0</v>
      </c>
      <c r="I349" t="n">
        <v>0</v>
      </c>
      <c r="J349" t="n">
        <v>0</v>
      </c>
      <c r="K349" t="n">
        <v>0</v>
      </c>
      <c r="L349" t="n">
        <v>0</v>
      </c>
      <c r="M349" t="n">
        <v>0</v>
      </c>
      <c r="N349" t="n">
        <v>0</v>
      </c>
      <c r="O349" t="n">
        <v>0</v>
      </c>
      <c r="P349" t="n">
        <v>0</v>
      </c>
      <c r="Q349" t="n">
        <v>0</v>
      </c>
      <c r="R349" s="2" t="inlineStr"/>
    </row>
    <row r="350" ht="15" customHeight="1">
      <c r="A350" t="inlineStr">
        <is>
          <t>A 48308-2021</t>
        </is>
      </c>
      <c r="B350" s="1" t="n">
        <v>44450</v>
      </c>
      <c r="C350" s="1" t="n">
        <v>45665</v>
      </c>
      <c r="D350" t="inlineStr">
        <is>
          <t>UPPSALA LÄN</t>
        </is>
      </c>
      <c r="E350" t="inlineStr">
        <is>
          <t>ÖSTHAMMAR</t>
        </is>
      </c>
      <c r="G350" t="n">
        <v>3.5</v>
      </c>
      <c r="H350" t="n">
        <v>0</v>
      </c>
      <c r="I350" t="n">
        <v>0</v>
      </c>
      <c r="J350" t="n">
        <v>0</v>
      </c>
      <c r="K350" t="n">
        <v>0</v>
      </c>
      <c r="L350" t="n">
        <v>0</v>
      </c>
      <c r="M350" t="n">
        <v>0</v>
      </c>
      <c r="N350" t="n">
        <v>0</v>
      </c>
      <c r="O350" t="n">
        <v>0</v>
      </c>
      <c r="P350" t="n">
        <v>0</v>
      </c>
      <c r="Q350" t="n">
        <v>0</v>
      </c>
      <c r="R350" s="2" t="inlineStr"/>
    </row>
    <row r="351" ht="15" customHeight="1">
      <c r="A351" t="inlineStr">
        <is>
          <t>A 51010-2021</t>
        </is>
      </c>
      <c r="B351" s="1" t="n">
        <v>44460</v>
      </c>
      <c r="C351" s="1" t="n">
        <v>45665</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51412-2021</t>
        </is>
      </c>
      <c r="B352" s="1" t="n">
        <v>44461</v>
      </c>
      <c r="C352" s="1" t="n">
        <v>45665</v>
      </c>
      <c r="D352" t="inlineStr">
        <is>
          <t>UPPSALA LÄN</t>
        </is>
      </c>
      <c r="E352" t="inlineStr">
        <is>
          <t>ÖSTHAMMAR</t>
        </is>
      </c>
      <c r="G352" t="n">
        <v>1.7</v>
      </c>
      <c r="H352" t="n">
        <v>0</v>
      </c>
      <c r="I352" t="n">
        <v>0</v>
      </c>
      <c r="J352" t="n">
        <v>0</v>
      </c>
      <c r="K352" t="n">
        <v>0</v>
      </c>
      <c r="L352" t="n">
        <v>0</v>
      </c>
      <c r="M352" t="n">
        <v>0</v>
      </c>
      <c r="N352" t="n">
        <v>0</v>
      </c>
      <c r="O352" t="n">
        <v>0</v>
      </c>
      <c r="P352" t="n">
        <v>0</v>
      </c>
      <c r="Q352" t="n">
        <v>0</v>
      </c>
      <c r="R352" s="2" t="inlineStr"/>
    </row>
    <row r="353" ht="15" customHeight="1">
      <c r="A353" t="inlineStr">
        <is>
          <t>A 51364-2021</t>
        </is>
      </c>
      <c r="B353" s="1" t="n">
        <v>44461</v>
      </c>
      <c r="C353" s="1" t="n">
        <v>45665</v>
      </c>
      <c r="D353" t="inlineStr">
        <is>
          <t>UPPSALA LÄN</t>
        </is>
      </c>
      <c r="E353" t="inlineStr">
        <is>
          <t>ÖSTHAMMAR</t>
        </is>
      </c>
      <c r="G353" t="n">
        <v>2.4</v>
      </c>
      <c r="H353" t="n">
        <v>0</v>
      </c>
      <c r="I353" t="n">
        <v>0</v>
      </c>
      <c r="J353" t="n">
        <v>0</v>
      </c>
      <c r="K353" t="n">
        <v>0</v>
      </c>
      <c r="L353" t="n">
        <v>0</v>
      </c>
      <c r="M353" t="n">
        <v>0</v>
      </c>
      <c r="N353" t="n">
        <v>0</v>
      </c>
      <c r="O353" t="n">
        <v>0</v>
      </c>
      <c r="P353" t="n">
        <v>0</v>
      </c>
      <c r="Q353" t="n">
        <v>0</v>
      </c>
      <c r="R353" s="2" t="inlineStr"/>
    </row>
    <row r="354" ht="15" customHeight="1">
      <c r="A354" t="inlineStr">
        <is>
          <t>A 51612-2021</t>
        </is>
      </c>
      <c r="B354" s="1" t="n">
        <v>44462</v>
      </c>
      <c r="C354" s="1" t="n">
        <v>45665</v>
      </c>
      <c r="D354" t="inlineStr">
        <is>
          <t>UPPSALA LÄN</t>
        </is>
      </c>
      <c r="E354" t="inlineStr">
        <is>
          <t>ÖSTHAMMAR</t>
        </is>
      </c>
      <c r="G354" t="n">
        <v>2.7</v>
      </c>
      <c r="H354" t="n">
        <v>0</v>
      </c>
      <c r="I354" t="n">
        <v>0</v>
      </c>
      <c r="J354" t="n">
        <v>0</v>
      </c>
      <c r="K354" t="n">
        <v>0</v>
      </c>
      <c r="L354" t="n">
        <v>0</v>
      </c>
      <c r="M354" t="n">
        <v>0</v>
      </c>
      <c r="N354" t="n">
        <v>0</v>
      </c>
      <c r="O354" t="n">
        <v>0</v>
      </c>
      <c r="P354" t="n">
        <v>0</v>
      </c>
      <c r="Q354" t="n">
        <v>0</v>
      </c>
      <c r="R354" s="2" t="inlineStr"/>
    </row>
    <row r="355" ht="15" customHeight="1">
      <c r="A355" t="inlineStr">
        <is>
          <t>A 52659-2021</t>
        </is>
      </c>
      <c r="B355" s="1" t="n">
        <v>44466</v>
      </c>
      <c r="C355" s="1" t="n">
        <v>45665</v>
      </c>
      <c r="D355" t="inlineStr">
        <is>
          <t>UPPSALA LÄN</t>
        </is>
      </c>
      <c r="E355" t="inlineStr">
        <is>
          <t>ÖSTHAMMAR</t>
        </is>
      </c>
      <c r="G355" t="n">
        <v>13</v>
      </c>
      <c r="H355" t="n">
        <v>0</v>
      </c>
      <c r="I355" t="n">
        <v>0</v>
      </c>
      <c r="J355" t="n">
        <v>0</v>
      </c>
      <c r="K355" t="n">
        <v>0</v>
      </c>
      <c r="L355" t="n">
        <v>0</v>
      </c>
      <c r="M355" t="n">
        <v>0</v>
      </c>
      <c r="N355" t="n">
        <v>0</v>
      </c>
      <c r="O355" t="n">
        <v>0</v>
      </c>
      <c r="P355" t="n">
        <v>0</v>
      </c>
      <c r="Q355" t="n">
        <v>0</v>
      </c>
      <c r="R355" s="2" t="inlineStr"/>
    </row>
    <row r="356" ht="15" customHeight="1">
      <c r="A356" t="inlineStr">
        <is>
          <t>A 52544-2021</t>
        </is>
      </c>
      <c r="B356" s="1" t="n">
        <v>44466</v>
      </c>
      <c r="C356" s="1" t="n">
        <v>45665</v>
      </c>
      <c r="D356" t="inlineStr">
        <is>
          <t>UPPSALA LÄN</t>
        </is>
      </c>
      <c r="E356" t="inlineStr">
        <is>
          <t>ÖSTHAMMAR</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52898-2021</t>
        </is>
      </c>
      <c r="B357" s="1" t="n">
        <v>44467</v>
      </c>
      <c r="C357" s="1" t="n">
        <v>45665</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55646-2021</t>
        </is>
      </c>
      <c r="B358" s="1" t="n">
        <v>44476</v>
      </c>
      <c r="C358" s="1" t="n">
        <v>45665</v>
      </c>
      <c r="D358" t="inlineStr">
        <is>
          <t>UPPSALA LÄN</t>
        </is>
      </c>
      <c r="E358" t="inlineStr">
        <is>
          <t>ÖSTHAMMAR</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55872-2021</t>
        </is>
      </c>
      <c r="B359" s="1" t="n">
        <v>44476</v>
      </c>
      <c r="C359" s="1" t="n">
        <v>45665</v>
      </c>
      <c r="D359" t="inlineStr">
        <is>
          <t>UPPSALA LÄN</t>
        </is>
      </c>
      <c r="E359" t="inlineStr">
        <is>
          <t>ÖSTHAMMAR</t>
        </is>
      </c>
      <c r="F359" t="inlineStr">
        <is>
          <t>Bergvik skog öst AB</t>
        </is>
      </c>
      <c r="G359" t="n">
        <v>13.7</v>
      </c>
      <c r="H359" t="n">
        <v>0</v>
      </c>
      <c r="I359" t="n">
        <v>0</v>
      </c>
      <c r="J359" t="n">
        <v>0</v>
      </c>
      <c r="K359" t="n">
        <v>0</v>
      </c>
      <c r="L359" t="n">
        <v>0</v>
      </c>
      <c r="M359" t="n">
        <v>0</v>
      </c>
      <c r="N359" t="n">
        <v>0</v>
      </c>
      <c r="O359" t="n">
        <v>0</v>
      </c>
      <c r="P359" t="n">
        <v>0</v>
      </c>
      <c r="Q359" t="n">
        <v>0</v>
      </c>
      <c r="R359" s="2" t="inlineStr"/>
    </row>
    <row r="360" ht="15" customHeight="1">
      <c r="A360" t="inlineStr">
        <is>
          <t>A 57003-2021</t>
        </is>
      </c>
      <c r="B360" s="1" t="n">
        <v>44482</v>
      </c>
      <c r="C360" s="1" t="n">
        <v>45665</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57080-2021</t>
        </is>
      </c>
      <c r="B361" s="1" t="n">
        <v>44482</v>
      </c>
      <c r="C361" s="1" t="n">
        <v>45665</v>
      </c>
      <c r="D361" t="inlineStr">
        <is>
          <t>UPPSALA LÄN</t>
        </is>
      </c>
      <c r="E361" t="inlineStr">
        <is>
          <t>ÖSTHAMMAR</t>
        </is>
      </c>
      <c r="F361" t="inlineStr">
        <is>
          <t>Bergvik skog öst AB</t>
        </is>
      </c>
      <c r="G361" t="n">
        <v>13.4</v>
      </c>
      <c r="H361" t="n">
        <v>0</v>
      </c>
      <c r="I361" t="n">
        <v>0</v>
      </c>
      <c r="J361" t="n">
        <v>0</v>
      </c>
      <c r="K361" t="n">
        <v>0</v>
      </c>
      <c r="L361" t="n">
        <v>0</v>
      </c>
      <c r="M361" t="n">
        <v>0</v>
      </c>
      <c r="N361" t="n">
        <v>0</v>
      </c>
      <c r="O361" t="n">
        <v>0</v>
      </c>
      <c r="P361" t="n">
        <v>0</v>
      </c>
      <c r="Q361" t="n">
        <v>0</v>
      </c>
      <c r="R361" s="2" t="inlineStr"/>
    </row>
    <row r="362" ht="15" customHeight="1">
      <c r="A362" t="inlineStr">
        <is>
          <t>A 58334-2021</t>
        </is>
      </c>
      <c r="B362" s="1" t="n">
        <v>44488</v>
      </c>
      <c r="C362" s="1" t="n">
        <v>45665</v>
      </c>
      <c r="D362" t="inlineStr">
        <is>
          <t>UPPSALA LÄN</t>
        </is>
      </c>
      <c r="E362" t="inlineStr">
        <is>
          <t>ÖSTHAMMAR</t>
        </is>
      </c>
      <c r="G362" t="n">
        <v>5.7</v>
      </c>
      <c r="H362" t="n">
        <v>0</v>
      </c>
      <c r="I362" t="n">
        <v>0</v>
      </c>
      <c r="J362" t="n">
        <v>0</v>
      </c>
      <c r="K362" t="n">
        <v>0</v>
      </c>
      <c r="L362" t="n">
        <v>0</v>
      </c>
      <c r="M362" t="n">
        <v>0</v>
      </c>
      <c r="N362" t="n">
        <v>0</v>
      </c>
      <c r="O362" t="n">
        <v>0</v>
      </c>
      <c r="P362" t="n">
        <v>0</v>
      </c>
      <c r="Q362" t="n">
        <v>0</v>
      </c>
      <c r="R362" s="2" t="inlineStr"/>
    </row>
    <row r="363" ht="15" customHeight="1">
      <c r="A363" t="inlineStr">
        <is>
          <t>A 59360-2021</t>
        </is>
      </c>
      <c r="B363" s="1" t="n">
        <v>44491</v>
      </c>
      <c r="C363" s="1" t="n">
        <v>45665</v>
      </c>
      <c r="D363" t="inlineStr">
        <is>
          <t>UPPSALA LÄN</t>
        </is>
      </c>
      <c r="E363" t="inlineStr">
        <is>
          <t>ÖSTHAMMAR</t>
        </is>
      </c>
      <c r="F363" t="inlineStr">
        <is>
          <t>Bergvik skog öst AB</t>
        </is>
      </c>
      <c r="G363" t="n">
        <v>8</v>
      </c>
      <c r="H363" t="n">
        <v>0</v>
      </c>
      <c r="I363" t="n">
        <v>0</v>
      </c>
      <c r="J363" t="n">
        <v>0</v>
      </c>
      <c r="K363" t="n">
        <v>0</v>
      </c>
      <c r="L363" t="n">
        <v>0</v>
      </c>
      <c r="M363" t="n">
        <v>0</v>
      </c>
      <c r="N363" t="n">
        <v>0</v>
      </c>
      <c r="O363" t="n">
        <v>0</v>
      </c>
      <c r="P363" t="n">
        <v>0</v>
      </c>
      <c r="Q363" t="n">
        <v>0</v>
      </c>
      <c r="R363" s="2" t="inlineStr"/>
    </row>
    <row r="364" ht="15" customHeight="1">
      <c r="A364" t="inlineStr">
        <is>
          <t>A 59498-2021</t>
        </is>
      </c>
      <c r="B364" s="1" t="n">
        <v>44491</v>
      </c>
      <c r="C364" s="1" t="n">
        <v>45665</v>
      </c>
      <c r="D364" t="inlineStr">
        <is>
          <t>UPPSALA LÄN</t>
        </is>
      </c>
      <c r="E364" t="inlineStr">
        <is>
          <t>ÖSTHAMMAR</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60047-2021</t>
        </is>
      </c>
      <c r="B365" s="1" t="n">
        <v>44495</v>
      </c>
      <c r="C365" s="1" t="n">
        <v>45665</v>
      </c>
      <c r="D365" t="inlineStr">
        <is>
          <t>UPPSALA LÄN</t>
        </is>
      </c>
      <c r="E365" t="inlineStr">
        <is>
          <t>ÖSTHAMMAR</t>
        </is>
      </c>
      <c r="F365" t="inlineStr">
        <is>
          <t>Övriga Aktiebolag</t>
        </is>
      </c>
      <c r="G365" t="n">
        <v>1.8</v>
      </c>
      <c r="H365" t="n">
        <v>0</v>
      </c>
      <c r="I365" t="n">
        <v>0</v>
      </c>
      <c r="J365" t="n">
        <v>0</v>
      </c>
      <c r="K365" t="n">
        <v>0</v>
      </c>
      <c r="L365" t="n">
        <v>0</v>
      </c>
      <c r="M365" t="n">
        <v>0</v>
      </c>
      <c r="N365" t="n">
        <v>0</v>
      </c>
      <c r="O365" t="n">
        <v>0</v>
      </c>
      <c r="P365" t="n">
        <v>0</v>
      </c>
      <c r="Q365" t="n">
        <v>0</v>
      </c>
      <c r="R365" s="2" t="inlineStr"/>
    </row>
    <row r="366" ht="15" customHeight="1">
      <c r="A366" t="inlineStr">
        <is>
          <t>A 60577-2021</t>
        </is>
      </c>
      <c r="B366" s="1" t="n">
        <v>44496</v>
      </c>
      <c r="C366" s="1" t="n">
        <v>45665</v>
      </c>
      <c r="D366" t="inlineStr">
        <is>
          <t>UPPSALA LÄN</t>
        </is>
      </c>
      <c r="E366" t="inlineStr">
        <is>
          <t>ÖSTHAMMAR</t>
        </is>
      </c>
      <c r="G366" t="n">
        <v>0.5</v>
      </c>
      <c r="H366" t="n">
        <v>0</v>
      </c>
      <c r="I366" t="n">
        <v>0</v>
      </c>
      <c r="J366" t="n">
        <v>0</v>
      </c>
      <c r="K366" t="n">
        <v>0</v>
      </c>
      <c r="L366" t="n">
        <v>0</v>
      </c>
      <c r="M366" t="n">
        <v>0</v>
      </c>
      <c r="N366" t="n">
        <v>0</v>
      </c>
      <c r="O366" t="n">
        <v>0</v>
      </c>
      <c r="P366" t="n">
        <v>0</v>
      </c>
      <c r="Q366" t="n">
        <v>0</v>
      </c>
      <c r="R366" s="2" t="inlineStr"/>
    </row>
    <row r="367" ht="15" customHeight="1">
      <c r="A367" t="inlineStr">
        <is>
          <t>A 60584-2021</t>
        </is>
      </c>
      <c r="B367" s="1" t="n">
        <v>44496</v>
      </c>
      <c r="C367" s="1" t="n">
        <v>45665</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61746-2021</t>
        </is>
      </c>
      <c r="B368" s="1" t="n">
        <v>44498</v>
      </c>
      <c r="C368" s="1" t="n">
        <v>45665</v>
      </c>
      <c r="D368" t="inlineStr">
        <is>
          <t>UPPSALA LÄN</t>
        </is>
      </c>
      <c r="E368" t="inlineStr">
        <is>
          <t>ÖSTHAMMAR</t>
        </is>
      </c>
      <c r="G368" t="n">
        <v>5.6</v>
      </c>
      <c r="H368" t="n">
        <v>0</v>
      </c>
      <c r="I368" t="n">
        <v>0</v>
      </c>
      <c r="J368" t="n">
        <v>0</v>
      </c>
      <c r="K368" t="n">
        <v>0</v>
      </c>
      <c r="L368" t="n">
        <v>0</v>
      </c>
      <c r="M368" t="n">
        <v>0</v>
      </c>
      <c r="N368" t="n">
        <v>0</v>
      </c>
      <c r="O368" t="n">
        <v>0</v>
      </c>
      <c r="P368" t="n">
        <v>0</v>
      </c>
      <c r="Q368" t="n">
        <v>0</v>
      </c>
      <c r="R368" s="2" t="inlineStr"/>
    </row>
    <row r="369" ht="15" customHeight="1">
      <c r="A369" t="inlineStr">
        <is>
          <t>A 61555-2021</t>
        </is>
      </c>
      <c r="B369" s="1" t="n">
        <v>44501</v>
      </c>
      <c r="C369" s="1" t="n">
        <v>45665</v>
      </c>
      <c r="D369" t="inlineStr">
        <is>
          <t>UPPSALA LÄN</t>
        </is>
      </c>
      <c r="E369" t="inlineStr">
        <is>
          <t>ÖSTHAMMAR</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61560-2021</t>
        </is>
      </c>
      <c r="B370" s="1" t="n">
        <v>44501</v>
      </c>
      <c r="C370" s="1" t="n">
        <v>45665</v>
      </c>
      <c r="D370" t="inlineStr">
        <is>
          <t>UPPSALA LÄN</t>
        </is>
      </c>
      <c r="E370" t="inlineStr">
        <is>
          <t>ÖSTHAMMAR</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61817-2021</t>
        </is>
      </c>
      <c r="B371" s="1" t="n">
        <v>44501</v>
      </c>
      <c r="C371" s="1" t="n">
        <v>45665</v>
      </c>
      <c r="D371" t="inlineStr">
        <is>
          <t>UPPSALA LÄN</t>
        </is>
      </c>
      <c r="E371" t="inlineStr">
        <is>
          <t>ÖSTHAMMAR</t>
        </is>
      </c>
      <c r="F371" t="inlineStr">
        <is>
          <t>Bergvik skog öst AB</t>
        </is>
      </c>
      <c r="G371" t="n">
        <v>2.3</v>
      </c>
      <c r="H371" t="n">
        <v>0</v>
      </c>
      <c r="I371" t="n">
        <v>0</v>
      </c>
      <c r="J371" t="n">
        <v>0</v>
      </c>
      <c r="K371" t="n">
        <v>0</v>
      </c>
      <c r="L371" t="n">
        <v>0</v>
      </c>
      <c r="M371" t="n">
        <v>0</v>
      </c>
      <c r="N371" t="n">
        <v>0</v>
      </c>
      <c r="O371" t="n">
        <v>0</v>
      </c>
      <c r="P371" t="n">
        <v>0</v>
      </c>
      <c r="Q371" t="n">
        <v>0</v>
      </c>
      <c r="R371" s="2" t="inlineStr"/>
    </row>
    <row r="372" ht="15" customHeight="1">
      <c r="A372" t="inlineStr">
        <is>
          <t>A 62854-2021</t>
        </is>
      </c>
      <c r="B372" s="1" t="n">
        <v>44504</v>
      </c>
      <c r="C372" s="1" t="n">
        <v>45665</v>
      </c>
      <c r="D372" t="inlineStr">
        <is>
          <t>UPPSALA LÄN</t>
        </is>
      </c>
      <c r="E372" t="inlineStr">
        <is>
          <t>ÖSTHAMMAR</t>
        </is>
      </c>
      <c r="F372" t="inlineStr">
        <is>
          <t>Bergvik skog öst AB</t>
        </is>
      </c>
      <c r="G372" t="n">
        <v>10.3</v>
      </c>
      <c r="H372" t="n">
        <v>0</v>
      </c>
      <c r="I372" t="n">
        <v>0</v>
      </c>
      <c r="J372" t="n">
        <v>0</v>
      </c>
      <c r="K372" t="n">
        <v>0</v>
      </c>
      <c r="L372" t="n">
        <v>0</v>
      </c>
      <c r="M372" t="n">
        <v>0</v>
      </c>
      <c r="N372" t="n">
        <v>0</v>
      </c>
      <c r="O372" t="n">
        <v>0</v>
      </c>
      <c r="P372" t="n">
        <v>0</v>
      </c>
      <c r="Q372" t="n">
        <v>0</v>
      </c>
      <c r="R372" s="2" t="inlineStr"/>
    </row>
    <row r="373" ht="15" customHeight="1">
      <c r="A373" t="inlineStr">
        <is>
          <t>A 62782-2021</t>
        </is>
      </c>
      <c r="B373" s="1" t="n">
        <v>44504</v>
      </c>
      <c r="C373" s="1" t="n">
        <v>45665</v>
      </c>
      <c r="D373" t="inlineStr">
        <is>
          <t>UPPSALA LÄN</t>
        </is>
      </c>
      <c r="E373" t="inlineStr">
        <is>
          <t>ÖSTHAMMAR</t>
        </is>
      </c>
      <c r="G373" t="n">
        <v>2.6</v>
      </c>
      <c r="H373" t="n">
        <v>0</v>
      </c>
      <c r="I373" t="n">
        <v>0</v>
      </c>
      <c r="J373" t="n">
        <v>0</v>
      </c>
      <c r="K373" t="n">
        <v>0</v>
      </c>
      <c r="L373" t="n">
        <v>0</v>
      </c>
      <c r="M373" t="n">
        <v>0</v>
      </c>
      <c r="N373" t="n">
        <v>0</v>
      </c>
      <c r="O373" t="n">
        <v>0</v>
      </c>
      <c r="P373" t="n">
        <v>0</v>
      </c>
      <c r="Q373" t="n">
        <v>0</v>
      </c>
      <c r="R373" s="2" t="inlineStr"/>
    </row>
    <row r="374" ht="15" customHeight="1">
      <c r="A374" t="inlineStr">
        <is>
          <t>A 64586-2021</t>
        </is>
      </c>
      <c r="B374" s="1" t="n">
        <v>44511</v>
      </c>
      <c r="C374" s="1" t="n">
        <v>45665</v>
      </c>
      <c r="D374" t="inlineStr">
        <is>
          <t>UPPSALA LÄN</t>
        </is>
      </c>
      <c r="E374" t="inlineStr">
        <is>
          <t>ÖSTHAMMAR</t>
        </is>
      </c>
      <c r="G374" t="n">
        <v>2</v>
      </c>
      <c r="H374" t="n">
        <v>0</v>
      </c>
      <c r="I374" t="n">
        <v>0</v>
      </c>
      <c r="J374" t="n">
        <v>0</v>
      </c>
      <c r="K374" t="n">
        <v>0</v>
      </c>
      <c r="L374" t="n">
        <v>0</v>
      </c>
      <c r="M374" t="n">
        <v>0</v>
      </c>
      <c r="N374" t="n">
        <v>0</v>
      </c>
      <c r="O374" t="n">
        <v>0</v>
      </c>
      <c r="P374" t="n">
        <v>0</v>
      </c>
      <c r="Q374" t="n">
        <v>0</v>
      </c>
      <c r="R374" s="2" t="inlineStr"/>
    </row>
    <row r="375" ht="15" customHeight="1">
      <c r="A375" t="inlineStr">
        <is>
          <t>A 64811-2021</t>
        </is>
      </c>
      <c r="B375" s="1" t="n">
        <v>44512</v>
      </c>
      <c r="C375" s="1" t="n">
        <v>45665</v>
      </c>
      <c r="D375" t="inlineStr">
        <is>
          <t>UPPSALA LÄN</t>
        </is>
      </c>
      <c r="E375" t="inlineStr">
        <is>
          <t>ÖSTHAMMAR</t>
        </is>
      </c>
      <c r="G375" t="n">
        <v>4.2</v>
      </c>
      <c r="H375" t="n">
        <v>0</v>
      </c>
      <c r="I375" t="n">
        <v>0</v>
      </c>
      <c r="J375" t="n">
        <v>0</v>
      </c>
      <c r="K375" t="n">
        <v>0</v>
      </c>
      <c r="L375" t="n">
        <v>0</v>
      </c>
      <c r="M375" t="n">
        <v>0</v>
      </c>
      <c r="N375" t="n">
        <v>0</v>
      </c>
      <c r="O375" t="n">
        <v>0</v>
      </c>
      <c r="P375" t="n">
        <v>0</v>
      </c>
      <c r="Q375" t="n">
        <v>0</v>
      </c>
      <c r="R375" s="2" t="inlineStr"/>
    </row>
    <row r="376" ht="15" customHeight="1">
      <c r="A376" t="inlineStr">
        <is>
          <t>A 64872-2021</t>
        </is>
      </c>
      <c r="B376" s="1" t="n">
        <v>44512</v>
      </c>
      <c r="C376" s="1" t="n">
        <v>45665</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64885-2021</t>
        </is>
      </c>
      <c r="B377" s="1" t="n">
        <v>44512</v>
      </c>
      <c r="C377" s="1" t="n">
        <v>45665</v>
      </c>
      <c r="D377" t="inlineStr">
        <is>
          <t>UPPSALA LÄN</t>
        </is>
      </c>
      <c r="E377" t="inlineStr">
        <is>
          <t>ÖSTHAMMAR</t>
        </is>
      </c>
      <c r="G377" t="n">
        <v>2.1</v>
      </c>
      <c r="H377" t="n">
        <v>0</v>
      </c>
      <c r="I377" t="n">
        <v>0</v>
      </c>
      <c r="J377" t="n">
        <v>0</v>
      </c>
      <c r="K377" t="n">
        <v>0</v>
      </c>
      <c r="L377" t="n">
        <v>0</v>
      </c>
      <c r="M377" t="n">
        <v>0</v>
      </c>
      <c r="N377" t="n">
        <v>0</v>
      </c>
      <c r="O377" t="n">
        <v>0</v>
      </c>
      <c r="P377" t="n">
        <v>0</v>
      </c>
      <c r="Q377" t="n">
        <v>0</v>
      </c>
      <c r="R377" s="2" t="inlineStr"/>
    </row>
    <row r="378" ht="15" customHeight="1">
      <c r="A378" t="inlineStr">
        <is>
          <t>A 65020-2021</t>
        </is>
      </c>
      <c r="B378" s="1" t="n">
        <v>44515</v>
      </c>
      <c r="C378" s="1" t="n">
        <v>45665</v>
      </c>
      <c r="D378" t="inlineStr">
        <is>
          <t>UPPSALA LÄN</t>
        </is>
      </c>
      <c r="E378" t="inlineStr">
        <is>
          <t>ÖSTHAMMAR</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65165-2021</t>
        </is>
      </c>
      <c r="B379" s="1" t="n">
        <v>44515</v>
      </c>
      <c r="C379" s="1" t="n">
        <v>45665</v>
      </c>
      <c r="D379" t="inlineStr">
        <is>
          <t>UPPSALA LÄN</t>
        </is>
      </c>
      <c r="E379" t="inlineStr">
        <is>
          <t>ÖSTHAMMAR</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65104-2021</t>
        </is>
      </c>
      <c r="B380" s="1" t="n">
        <v>44515</v>
      </c>
      <c r="C380" s="1" t="n">
        <v>45665</v>
      </c>
      <c r="D380" t="inlineStr">
        <is>
          <t>UPPSALA LÄN</t>
        </is>
      </c>
      <c r="E380" t="inlineStr">
        <is>
          <t>ÖSTHAMMAR</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65028-2021</t>
        </is>
      </c>
      <c r="B381" s="1" t="n">
        <v>44515</v>
      </c>
      <c r="C381" s="1" t="n">
        <v>45665</v>
      </c>
      <c r="D381" t="inlineStr">
        <is>
          <t>UPPSALA LÄN</t>
        </is>
      </c>
      <c r="E381" t="inlineStr">
        <is>
          <t>ÖSTHAMMAR</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66549-2021</t>
        </is>
      </c>
      <c r="B382" s="1" t="n">
        <v>44519</v>
      </c>
      <c r="C382" s="1" t="n">
        <v>45665</v>
      </c>
      <c r="D382" t="inlineStr">
        <is>
          <t>UPPSALA LÄN</t>
        </is>
      </c>
      <c r="E382" t="inlineStr">
        <is>
          <t>ÖSTHAMMAR</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66779-2021</t>
        </is>
      </c>
      <c r="B383" s="1" t="n">
        <v>44522</v>
      </c>
      <c r="C383" s="1" t="n">
        <v>45665</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67033-2021</t>
        </is>
      </c>
      <c r="B384" s="1" t="n">
        <v>44522</v>
      </c>
      <c r="C384" s="1" t="n">
        <v>45665</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67030-2021</t>
        </is>
      </c>
      <c r="B385" s="1" t="n">
        <v>44522</v>
      </c>
      <c r="C385" s="1" t="n">
        <v>45665</v>
      </c>
      <c r="D385" t="inlineStr">
        <is>
          <t>UPPSALA LÄN</t>
        </is>
      </c>
      <c r="E385" t="inlineStr">
        <is>
          <t>ÖSTHAMMAR</t>
        </is>
      </c>
      <c r="G385" t="n">
        <v>8.6</v>
      </c>
      <c r="H385" t="n">
        <v>0</v>
      </c>
      <c r="I385" t="n">
        <v>0</v>
      </c>
      <c r="J385" t="n">
        <v>0</v>
      </c>
      <c r="K385" t="n">
        <v>0</v>
      </c>
      <c r="L385" t="n">
        <v>0</v>
      </c>
      <c r="M385" t="n">
        <v>0</v>
      </c>
      <c r="N385" t="n">
        <v>0</v>
      </c>
      <c r="O385" t="n">
        <v>0</v>
      </c>
      <c r="P385" t="n">
        <v>0</v>
      </c>
      <c r="Q385" t="n">
        <v>0</v>
      </c>
      <c r="R385" s="2" t="inlineStr"/>
    </row>
    <row r="386" ht="15" customHeight="1">
      <c r="A386" t="inlineStr">
        <is>
          <t>A 67151-2021</t>
        </is>
      </c>
      <c r="B386" s="1" t="n">
        <v>44523</v>
      </c>
      <c r="C386" s="1" t="n">
        <v>45665</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67199-2021</t>
        </is>
      </c>
      <c r="B387" s="1" t="n">
        <v>44523</v>
      </c>
      <c r="C387" s="1" t="n">
        <v>45665</v>
      </c>
      <c r="D387" t="inlineStr">
        <is>
          <t>UPPSALA LÄN</t>
        </is>
      </c>
      <c r="E387" t="inlineStr">
        <is>
          <t>ÖSTHAMMAR</t>
        </is>
      </c>
      <c r="G387" t="n">
        <v>2.3</v>
      </c>
      <c r="H387" t="n">
        <v>0</v>
      </c>
      <c r="I387" t="n">
        <v>0</v>
      </c>
      <c r="J387" t="n">
        <v>0</v>
      </c>
      <c r="K387" t="n">
        <v>0</v>
      </c>
      <c r="L387" t="n">
        <v>0</v>
      </c>
      <c r="M387" t="n">
        <v>0</v>
      </c>
      <c r="N387" t="n">
        <v>0</v>
      </c>
      <c r="O387" t="n">
        <v>0</v>
      </c>
      <c r="P387" t="n">
        <v>0</v>
      </c>
      <c r="Q387" t="n">
        <v>0</v>
      </c>
      <c r="R387" s="2" t="inlineStr"/>
    </row>
    <row r="388" ht="15" customHeight="1">
      <c r="A388" t="inlineStr">
        <is>
          <t>A 67217-2021</t>
        </is>
      </c>
      <c r="B388" s="1" t="n">
        <v>44523</v>
      </c>
      <c r="C388" s="1" t="n">
        <v>45665</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67859-2021</t>
        </is>
      </c>
      <c r="B389" s="1" t="n">
        <v>44525</v>
      </c>
      <c r="C389" s="1" t="n">
        <v>45665</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67848-2021</t>
        </is>
      </c>
      <c r="B390" s="1" t="n">
        <v>44525</v>
      </c>
      <c r="C390" s="1" t="n">
        <v>45665</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69505-2021</t>
        </is>
      </c>
      <c r="B391" s="1" t="n">
        <v>44531</v>
      </c>
      <c r="C391" s="1" t="n">
        <v>45665</v>
      </c>
      <c r="D391" t="inlineStr">
        <is>
          <t>UPPSALA LÄN</t>
        </is>
      </c>
      <c r="E391" t="inlineStr">
        <is>
          <t>ÖSTHAMMAR</t>
        </is>
      </c>
      <c r="F391" t="inlineStr">
        <is>
          <t>Bergvik skog öst AB</t>
        </is>
      </c>
      <c r="G391" t="n">
        <v>5.4</v>
      </c>
      <c r="H391" t="n">
        <v>0</v>
      </c>
      <c r="I391" t="n">
        <v>0</v>
      </c>
      <c r="J391" t="n">
        <v>0</v>
      </c>
      <c r="K391" t="n">
        <v>0</v>
      </c>
      <c r="L391" t="n">
        <v>0</v>
      </c>
      <c r="M391" t="n">
        <v>0</v>
      </c>
      <c r="N391" t="n">
        <v>0</v>
      </c>
      <c r="O391" t="n">
        <v>0</v>
      </c>
      <c r="P391" t="n">
        <v>0</v>
      </c>
      <c r="Q391" t="n">
        <v>0</v>
      </c>
      <c r="R391" s="2" t="inlineStr"/>
    </row>
    <row r="392" ht="15" customHeight="1">
      <c r="A392" t="inlineStr">
        <is>
          <t>A 69411-2021</t>
        </is>
      </c>
      <c r="B392" s="1" t="n">
        <v>44531</v>
      </c>
      <c r="C392" s="1" t="n">
        <v>45665</v>
      </c>
      <c r="D392" t="inlineStr">
        <is>
          <t>UPPSALA LÄN</t>
        </is>
      </c>
      <c r="E392" t="inlineStr">
        <is>
          <t>ÖSTHAMMAR</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69518-2021</t>
        </is>
      </c>
      <c r="B393" s="1" t="n">
        <v>44531</v>
      </c>
      <c r="C393" s="1" t="n">
        <v>45665</v>
      </c>
      <c r="D393" t="inlineStr">
        <is>
          <t>UPPSALA LÄN</t>
        </is>
      </c>
      <c r="E393" t="inlineStr">
        <is>
          <t>ÖSTHAMMAR</t>
        </is>
      </c>
      <c r="G393" t="n">
        <v>4.5</v>
      </c>
      <c r="H393" t="n">
        <v>0</v>
      </c>
      <c r="I393" t="n">
        <v>0</v>
      </c>
      <c r="J393" t="n">
        <v>0</v>
      </c>
      <c r="K393" t="n">
        <v>0</v>
      </c>
      <c r="L393" t="n">
        <v>0</v>
      </c>
      <c r="M393" t="n">
        <v>0</v>
      </c>
      <c r="N393" t="n">
        <v>0</v>
      </c>
      <c r="O393" t="n">
        <v>0</v>
      </c>
      <c r="P393" t="n">
        <v>0</v>
      </c>
      <c r="Q393" t="n">
        <v>0</v>
      </c>
      <c r="R393" s="2" t="inlineStr"/>
    </row>
    <row r="394" ht="15" customHeight="1">
      <c r="A394" t="inlineStr">
        <is>
          <t>A 70008-2021</t>
        </is>
      </c>
      <c r="B394" s="1" t="n">
        <v>44533</v>
      </c>
      <c r="C394" s="1" t="n">
        <v>45665</v>
      </c>
      <c r="D394" t="inlineStr">
        <is>
          <t>UPPSALA LÄN</t>
        </is>
      </c>
      <c r="E394" t="inlineStr">
        <is>
          <t>ÖSTHAMMAR</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70408-2021</t>
        </is>
      </c>
      <c r="B395" s="1" t="n">
        <v>44536</v>
      </c>
      <c r="C395" s="1" t="n">
        <v>45665</v>
      </c>
      <c r="D395" t="inlineStr">
        <is>
          <t>UPPSALA LÄN</t>
        </is>
      </c>
      <c r="E395" t="inlineStr">
        <is>
          <t>ÖSTHAMMAR</t>
        </is>
      </c>
      <c r="G395" t="n">
        <v>1</v>
      </c>
      <c r="H395" t="n">
        <v>0</v>
      </c>
      <c r="I395" t="n">
        <v>0</v>
      </c>
      <c r="J395" t="n">
        <v>0</v>
      </c>
      <c r="K395" t="n">
        <v>0</v>
      </c>
      <c r="L395" t="n">
        <v>0</v>
      </c>
      <c r="M395" t="n">
        <v>0</v>
      </c>
      <c r="N395" t="n">
        <v>0</v>
      </c>
      <c r="O395" t="n">
        <v>0</v>
      </c>
      <c r="P395" t="n">
        <v>0</v>
      </c>
      <c r="Q395" t="n">
        <v>0</v>
      </c>
      <c r="R395" s="2" t="inlineStr"/>
    </row>
    <row r="396" ht="15" customHeight="1">
      <c r="A396" t="inlineStr">
        <is>
          <t>A 72627-2021</t>
        </is>
      </c>
      <c r="B396" s="1" t="n">
        <v>44546</v>
      </c>
      <c r="C396" s="1" t="n">
        <v>45665</v>
      </c>
      <c r="D396" t="inlineStr">
        <is>
          <t>UPPSALA LÄN</t>
        </is>
      </c>
      <c r="E396" t="inlineStr">
        <is>
          <t>ÖSTHAMMAR</t>
        </is>
      </c>
      <c r="F396" t="inlineStr">
        <is>
          <t>Bergvik skog öst AB</t>
        </is>
      </c>
      <c r="G396" t="n">
        <v>12</v>
      </c>
      <c r="H396" t="n">
        <v>0</v>
      </c>
      <c r="I396" t="n">
        <v>0</v>
      </c>
      <c r="J396" t="n">
        <v>0</v>
      </c>
      <c r="K396" t="n">
        <v>0</v>
      </c>
      <c r="L396" t="n">
        <v>0</v>
      </c>
      <c r="M396" t="n">
        <v>0</v>
      </c>
      <c r="N396" t="n">
        <v>0</v>
      </c>
      <c r="O396" t="n">
        <v>0</v>
      </c>
      <c r="P396" t="n">
        <v>0</v>
      </c>
      <c r="Q396" t="n">
        <v>0</v>
      </c>
      <c r="R396" s="2" t="inlineStr"/>
    </row>
    <row r="397" ht="15" customHeight="1">
      <c r="A397" t="inlineStr">
        <is>
          <t>A 72637-2021</t>
        </is>
      </c>
      <c r="B397" s="1" t="n">
        <v>44546</v>
      </c>
      <c r="C397" s="1" t="n">
        <v>45665</v>
      </c>
      <c r="D397" t="inlineStr">
        <is>
          <t>UPPSALA LÄN</t>
        </is>
      </c>
      <c r="E397" t="inlineStr">
        <is>
          <t>ÖSTHAMMAR</t>
        </is>
      </c>
      <c r="G397" t="n">
        <v>2.5</v>
      </c>
      <c r="H397" t="n">
        <v>0</v>
      </c>
      <c r="I397" t="n">
        <v>0</v>
      </c>
      <c r="J397" t="n">
        <v>0</v>
      </c>
      <c r="K397" t="n">
        <v>0</v>
      </c>
      <c r="L397" t="n">
        <v>0</v>
      </c>
      <c r="M397" t="n">
        <v>0</v>
      </c>
      <c r="N397" t="n">
        <v>0</v>
      </c>
      <c r="O397" t="n">
        <v>0</v>
      </c>
      <c r="P397" t="n">
        <v>0</v>
      </c>
      <c r="Q397" t="n">
        <v>0</v>
      </c>
      <c r="R397" s="2" t="inlineStr"/>
    </row>
    <row r="398" ht="15" customHeight="1">
      <c r="A398" t="inlineStr">
        <is>
          <t>A 72969-2021</t>
        </is>
      </c>
      <c r="B398" s="1" t="n">
        <v>44548</v>
      </c>
      <c r="C398" s="1" t="n">
        <v>45665</v>
      </c>
      <c r="D398" t="inlineStr">
        <is>
          <t>UPPSALA LÄN</t>
        </is>
      </c>
      <c r="E398" t="inlineStr">
        <is>
          <t>ÖSTHAMMAR</t>
        </is>
      </c>
      <c r="F398" t="inlineStr">
        <is>
          <t>Bergvik skog öst AB</t>
        </is>
      </c>
      <c r="G398" t="n">
        <v>8</v>
      </c>
      <c r="H398" t="n">
        <v>0</v>
      </c>
      <c r="I398" t="n">
        <v>0</v>
      </c>
      <c r="J398" t="n">
        <v>0</v>
      </c>
      <c r="K398" t="n">
        <v>0</v>
      </c>
      <c r="L398" t="n">
        <v>0</v>
      </c>
      <c r="M398" t="n">
        <v>0</v>
      </c>
      <c r="N398" t="n">
        <v>0</v>
      </c>
      <c r="O398" t="n">
        <v>0</v>
      </c>
      <c r="P398" t="n">
        <v>0</v>
      </c>
      <c r="Q398" t="n">
        <v>0</v>
      </c>
      <c r="R398" s="2" t="inlineStr"/>
    </row>
    <row r="399" ht="15" customHeight="1">
      <c r="A399" t="inlineStr">
        <is>
          <t>A 73483-2021</t>
        </is>
      </c>
      <c r="B399" s="1" t="n">
        <v>44550</v>
      </c>
      <c r="C399" s="1" t="n">
        <v>45665</v>
      </c>
      <c r="D399" t="inlineStr">
        <is>
          <t>UPPSALA LÄN</t>
        </is>
      </c>
      <c r="E399" t="inlineStr">
        <is>
          <t>ÖSTHAMMAR</t>
        </is>
      </c>
      <c r="G399" t="n">
        <v>2.8</v>
      </c>
      <c r="H399" t="n">
        <v>0</v>
      </c>
      <c r="I399" t="n">
        <v>0</v>
      </c>
      <c r="J399" t="n">
        <v>0</v>
      </c>
      <c r="K399" t="n">
        <v>0</v>
      </c>
      <c r="L399" t="n">
        <v>0</v>
      </c>
      <c r="M399" t="n">
        <v>0</v>
      </c>
      <c r="N399" t="n">
        <v>0</v>
      </c>
      <c r="O399" t="n">
        <v>0</v>
      </c>
      <c r="P399" t="n">
        <v>0</v>
      </c>
      <c r="Q399" t="n">
        <v>0</v>
      </c>
      <c r="R399" s="2" t="inlineStr"/>
    </row>
    <row r="400" ht="15" customHeight="1">
      <c r="A400" t="inlineStr">
        <is>
          <t>A 73592-2021</t>
        </is>
      </c>
      <c r="B400" s="1" t="n">
        <v>44552</v>
      </c>
      <c r="C400" s="1" t="n">
        <v>45665</v>
      </c>
      <c r="D400" t="inlineStr">
        <is>
          <t>UPPSALA LÄN</t>
        </is>
      </c>
      <c r="E400" t="inlineStr">
        <is>
          <t>ÖSTHAMMAR</t>
        </is>
      </c>
      <c r="G400" t="n">
        <v>1.7</v>
      </c>
      <c r="H400" t="n">
        <v>0</v>
      </c>
      <c r="I400" t="n">
        <v>0</v>
      </c>
      <c r="J400" t="n">
        <v>0</v>
      </c>
      <c r="K400" t="n">
        <v>0</v>
      </c>
      <c r="L400" t="n">
        <v>0</v>
      </c>
      <c r="M400" t="n">
        <v>0</v>
      </c>
      <c r="N400" t="n">
        <v>0</v>
      </c>
      <c r="O400" t="n">
        <v>0</v>
      </c>
      <c r="P400" t="n">
        <v>0</v>
      </c>
      <c r="Q400" t="n">
        <v>0</v>
      </c>
      <c r="R400" s="2" t="inlineStr"/>
    </row>
    <row r="401" ht="15" customHeight="1">
      <c r="A401" t="inlineStr">
        <is>
          <t>A 73965-2021</t>
        </is>
      </c>
      <c r="B401" s="1" t="n">
        <v>44553</v>
      </c>
      <c r="C401" s="1" t="n">
        <v>45665</v>
      </c>
      <c r="D401" t="inlineStr">
        <is>
          <t>UPPSALA LÄN</t>
        </is>
      </c>
      <c r="E401" t="inlineStr">
        <is>
          <t>ÖSTHAMMAR</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73982-2021</t>
        </is>
      </c>
      <c r="B402" s="1" t="n">
        <v>44555</v>
      </c>
      <c r="C402" s="1" t="n">
        <v>45665</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73983-2021</t>
        </is>
      </c>
      <c r="B403" s="1" t="n">
        <v>44555</v>
      </c>
      <c r="C403" s="1" t="n">
        <v>45665</v>
      </c>
      <c r="D403" t="inlineStr">
        <is>
          <t>UPPSALA LÄN</t>
        </is>
      </c>
      <c r="E403" t="inlineStr">
        <is>
          <t>ÖSTHAMMAR</t>
        </is>
      </c>
      <c r="G403" t="n">
        <v>0.6</v>
      </c>
      <c r="H403" t="n">
        <v>0</v>
      </c>
      <c r="I403" t="n">
        <v>0</v>
      </c>
      <c r="J403" t="n">
        <v>0</v>
      </c>
      <c r="K403" t="n">
        <v>0</v>
      </c>
      <c r="L403" t="n">
        <v>0</v>
      </c>
      <c r="M403" t="n">
        <v>0</v>
      </c>
      <c r="N403" t="n">
        <v>0</v>
      </c>
      <c r="O403" t="n">
        <v>0</v>
      </c>
      <c r="P403" t="n">
        <v>0</v>
      </c>
      <c r="Q403" t="n">
        <v>0</v>
      </c>
      <c r="R403" s="2" t="inlineStr"/>
    </row>
    <row r="404" ht="15" customHeight="1">
      <c r="A404" t="inlineStr">
        <is>
          <t>A 74429-2021</t>
        </is>
      </c>
      <c r="B404" s="1" t="n">
        <v>44560</v>
      </c>
      <c r="C404" s="1" t="n">
        <v>45665</v>
      </c>
      <c r="D404" t="inlineStr">
        <is>
          <t>UPPSALA LÄN</t>
        </is>
      </c>
      <c r="E404" t="inlineStr">
        <is>
          <t>ÖSTHAMMAR</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74467-2021</t>
        </is>
      </c>
      <c r="B405" s="1" t="n">
        <v>44560</v>
      </c>
      <c r="C405" s="1" t="n">
        <v>45665</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74428-2021</t>
        </is>
      </c>
      <c r="B406" s="1" t="n">
        <v>44560</v>
      </c>
      <c r="C406" s="1" t="n">
        <v>45665</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74436-2021</t>
        </is>
      </c>
      <c r="B407" s="1" t="n">
        <v>44560</v>
      </c>
      <c r="C407" s="1" t="n">
        <v>45665</v>
      </c>
      <c r="D407" t="inlineStr">
        <is>
          <t>UPPSALA LÄN</t>
        </is>
      </c>
      <c r="E407" t="inlineStr">
        <is>
          <t>ÖSTHAMMAR</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1238-2022</t>
        </is>
      </c>
      <c r="B408" s="1" t="n">
        <v>44572</v>
      </c>
      <c r="C408" s="1" t="n">
        <v>45665</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1609-2022</t>
        </is>
      </c>
      <c r="B409" s="1" t="n">
        <v>44573</v>
      </c>
      <c r="C409" s="1" t="n">
        <v>45665</v>
      </c>
      <c r="D409" t="inlineStr">
        <is>
          <t>UPPSALA LÄN</t>
        </is>
      </c>
      <c r="E409" t="inlineStr">
        <is>
          <t>ÖSTHAMMAR</t>
        </is>
      </c>
      <c r="G409" t="n">
        <v>5.3</v>
      </c>
      <c r="H409" t="n">
        <v>0</v>
      </c>
      <c r="I409" t="n">
        <v>0</v>
      </c>
      <c r="J409" t="n">
        <v>0</v>
      </c>
      <c r="K409" t="n">
        <v>0</v>
      </c>
      <c r="L409" t="n">
        <v>0</v>
      </c>
      <c r="M409" t="n">
        <v>0</v>
      </c>
      <c r="N409" t="n">
        <v>0</v>
      </c>
      <c r="O409" t="n">
        <v>0</v>
      </c>
      <c r="P409" t="n">
        <v>0</v>
      </c>
      <c r="Q409" t="n">
        <v>0</v>
      </c>
      <c r="R409" s="2" t="inlineStr"/>
    </row>
    <row r="410" ht="15" customHeight="1">
      <c r="A410" t="inlineStr">
        <is>
          <t>A 2085-2022</t>
        </is>
      </c>
      <c r="B410" s="1" t="n">
        <v>44576</v>
      </c>
      <c r="C410" s="1" t="n">
        <v>45665</v>
      </c>
      <c r="D410" t="inlineStr">
        <is>
          <t>UPPSALA LÄN</t>
        </is>
      </c>
      <c r="E410" t="inlineStr">
        <is>
          <t>ÖSTHAMMAR</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2108-2022</t>
        </is>
      </c>
      <c r="B411" s="1" t="n">
        <v>44577</v>
      </c>
      <c r="C411" s="1" t="n">
        <v>45665</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2168-2022</t>
        </is>
      </c>
      <c r="B412" s="1" t="n">
        <v>44578</v>
      </c>
      <c r="C412" s="1" t="n">
        <v>45665</v>
      </c>
      <c r="D412" t="inlineStr">
        <is>
          <t>UPPSALA LÄN</t>
        </is>
      </c>
      <c r="E412" t="inlineStr">
        <is>
          <t>ÖSTHAMMAR</t>
        </is>
      </c>
      <c r="G412" t="n">
        <v>2.9</v>
      </c>
      <c r="H412" t="n">
        <v>0</v>
      </c>
      <c r="I412" t="n">
        <v>0</v>
      </c>
      <c r="J412" t="n">
        <v>0</v>
      </c>
      <c r="K412" t="n">
        <v>0</v>
      </c>
      <c r="L412" t="n">
        <v>0</v>
      </c>
      <c r="M412" t="n">
        <v>0</v>
      </c>
      <c r="N412" t="n">
        <v>0</v>
      </c>
      <c r="O412" t="n">
        <v>0</v>
      </c>
      <c r="P412" t="n">
        <v>0</v>
      </c>
      <c r="Q412" t="n">
        <v>0</v>
      </c>
      <c r="R412" s="2" t="inlineStr"/>
    </row>
    <row r="413" ht="15" customHeight="1">
      <c r="A413" t="inlineStr">
        <is>
          <t>A 3638-2022</t>
        </is>
      </c>
      <c r="B413" s="1" t="n">
        <v>44578</v>
      </c>
      <c r="C413" s="1" t="n">
        <v>45665</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3725-2022</t>
        </is>
      </c>
      <c r="B414" s="1" t="n">
        <v>44586</v>
      </c>
      <c r="C414" s="1" t="n">
        <v>45665</v>
      </c>
      <c r="D414" t="inlineStr">
        <is>
          <t>UPPSALA LÄN</t>
        </is>
      </c>
      <c r="E414" t="inlineStr">
        <is>
          <t>ÖSTHAMMAR</t>
        </is>
      </c>
      <c r="G414" t="n">
        <v>2</v>
      </c>
      <c r="H414" t="n">
        <v>0</v>
      </c>
      <c r="I414" t="n">
        <v>0</v>
      </c>
      <c r="J414" t="n">
        <v>0</v>
      </c>
      <c r="K414" t="n">
        <v>0</v>
      </c>
      <c r="L414" t="n">
        <v>0</v>
      </c>
      <c r="M414" t="n">
        <v>0</v>
      </c>
      <c r="N414" t="n">
        <v>0</v>
      </c>
      <c r="O414" t="n">
        <v>0</v>
      </c>
      <c r="P414" t="n">
        <v>0</v>
      </c>
      <c r="Q414" t="n">
        <v>0</v>
      </c>
      <c r="R414" s="2" t="inlineStr"/>
    </row>
    <row r="415" ht="15" customHeight="1">
      <c r="A415" t="inlineStr">
        <is>
          <t>A 3732-2022</t>
        </is>
      </c>
      <c r="B415" s="1" t="n">
        <v>44586</v>
      </c>
      <c r="C415" s="1" t="n">
        <v>45665</v>
      </c>
      <c r="D415" t="inlineStr">
        <is>
          <t>UPPSALA LÄN</t>
        </is>
      </c>
      <c r="E415" t="inlineStr">
        <is>
          <t>ÖSTHAMMAR</t>
        </is>
      </c>
      <c r="F415" t="inlineStr">
        <is>
          <t>Bergvik skog öst AB</t>
        </is>
      </c>
      <c r="G415" t="n">
        <v>3.6</v>
      </c>
      <c r="H415" t="n">
        <v>0</v>
      </c>
      <c r="I415" t="n">
        <v>0</v>
      </c>
      <c r="J415" t="n">
        <v>0</v>
      </c>
      <c r="K415" t="n">
        <v>0</v>
      </c>
      <c r="L415" t="n">
        <v>0</v>
      </c>
      <c r="M415" t="n">
        <v>0</v>
      </c>
      <c r="N415" t="n">
        <v>0</v>
      </c>
      <c r="O415" t="n">
        <v>0</v>
      </c>
      <c r="P415" t="n">
        <v>0</v>
      </c>
      <c r="Q415" t="n">
        <v>0</v>
      </c>
      <c r="R415" s="2" t="inlineStr"/>
    </row>
    <row r="416" ht="15" customHeight="1">
      <c r="A416" t="inlineStr">
        <is>
          <t>A 3740-2022</t>
        </is>
      </c>
      <c r="B416" s="1" t="n">
        <v>44586</v>
      </c>
      <c r="C416" s="1" t="n">
        <v>45665</v>
      </c>
      <c r="D416" t="inlineStr">
        <is>
          <t>UPPSALA LÄN</t>
        </is>
      </c>
      <c r="E416" t="inlineStr">
        <is>
          <t>ÖSTHAMMAR</t>
        </is>
      </c>
      <c r="F416" t="inlineStr">
        <is>
          <t>Bergvik skog öst AB</t>
        </is>
      </c>
      <c r="G416" t="n">
        <v>7.7</v>
      </c>
      <c r="H416" t="n">
        <v>0</v>
      </c>
      <c r="I416" t="n">
        <v>0</v>
      </c>
      <c r="J416" t="n">
        <v>0</v>
      </c>
      <c r="K416" t="n">
        <v>0</v>
      </c>
      <c r="L416" t="n">
        <v>0</v>
      </c>
      <c r="M416" t="n">
        <v>0</v>
      </c>
      <c r="N416" t="n">
        <v>0</v>
      </c>
      <c r="O416" t="n">
        <v>0</v>
      </c>
      <c r="P416" t="n">
        <v>0</v>
      </c>
      <c r="Q416" t="n">
        <v>0</v>
      </c>
      <c r="R416" s="2" t="inlineStr"/>
    </row>
    <row r="417" ht="15" customHeight="1">
      <c r="A417" t="inlineStr">
        <is>
          <t>A 3991-2022</t>
        </is>
      </c>
      <c r="B417" s="1" t="n">
        <v>44587</v>
      </c>
      <c r="C417" s="1" t="n">
        <v>45665</v>
      </c>
      <c r="D417" t="inlineStr">
        <is>
          <t>UPPSALA LÄN</t>
        </is>
      </c>
      <c r="E417" t="inlineStr">
        <is>
          <t>ÖSTHAMMAR</t>
        </is>
      </c>
      <c r="F417" t="inlineStr">
        <is>
          <t>Bergvik skog öst AB</t>
        </is>
      </c>
      <c r="G417" t="n">
        <v>3.7</v>
      </c>
      <c r="H417" t="n">
        <v>0</v>
      </c>
      <c r="I417" t="n">
        <v>0</v>
      </c>
      <c r="J417" t="n">
        <v>0</v>
      </c>
      <c r="K417" t="n">
        <v>0</v>
      </c>
      <c r="L417" t="n">
        <v>0</v>
      </c>
      <c r="M417" t="n">
        <v>0</v>
      </c>
      <c r="N417" t="n">
        <v>0</v>
      </c>
      <c r="O417" t="n">
        <v>0</v>
      </c>
      <c r="P417" t="n">
        <v>0</v>
      </c>
      <c r="Q417" t="n">
        <v>0</v>
      </c>
      <c r="R417" s="2" t="inlineStr"/>
    </row>
    <row r="418" ht="15" customHeight="1">
      <c r="A418" t="inlineStr">
        <is>
          <t>A 4101-2022</t>
        </is>
      </c>
      <c r="B418" s="1" t="n">
        <v>44588</v>
      </c>
      <c r="C418" s="1" t="n">
        <v>45665</v>
      </c>
      <c r="D418" t="inlineStr">
        <is>
          <t>UPPSALA LÄN</t>
        </is>
      </c>
      <c r="E418" t="inlineStr">
        <is>
          <t>ÖSTHAMMAR</t>
        </is>
      </c>
      <c r="G418" t="n">
        <v>4.4</v>
      </c>
      <c r="H418" t="n">
        <v>0</v>
      </c>
      <c r="I418" t="n">
        <v>0</v>
      </c>
      <c r="J418" t="n">
        <v>0</v>
      </c>
      <c r="K418" t="n">
        <v>0</v>
      </c>
      <c r="L418" t="n">
        <v>0</v>
      </c>
      <c r="M418" t="n">
        <v>0</v>
      </c>
      <c r="N418" t="n">
        <v>0</v>
      </c>
      <c r="O418" t="n">
        <v>0</v>
      </c>
      <c r="P418" t="n">
        <v>0</v>
      </c>
      <c r="Q418" t="n">
        <v>0</v>
      </c>
      <c r="R418" s="2" t="inlineStr"/>
    </row>
    <row r="419" ht="15" customHeight="1">
      <c r="A419" t="inlineStr">
        <is>
          <t>A 4318-2022</t>
        </is>
      </c>
      <c r="B419" s="1" t="n">
        <v>44588</v>
      </c>
      <c r="C419" s="1" t="n">
        <v>45665</v>
      </c>
      <c r="D419" t="inlineStr">
        <is>
          <t>UPPSALA LÄN</t>
        </is>
      </c>
      <c r="E419" t="inlineStr">
        <is>
          <t>ÖSTHAMMAR</t>
        </is>
      </c>
      <c r="F419" t="inlineStr">
        <is>
          <t>Bergvik skog öst AB</t>
        </is>
      </c>
      <c r="G419" t="n">
        <v>9.6</v>
      </c>
      <c r="H419" t="n">
        <v>0</v>
      </c>
      <c r="I419" t="n">
        <v>0</v>
      </c>
      <c r="J419" t="n">
        <v>0</v>
      </c>
      <c r="K419" t="n">
        <v>0</v>
      </c>
      <c r="L419" t="n">
        <v>0</v>
      </c>
      <c r="M419" t="n">
        <v>0</v>
      </c>
      <c r="N419" t="n">
        <v>0</v>
      </c>
      <c r="O419" t="n">
        <v>0</v>
      </c>
      <c r="P419" t="n">
        <v>0</v>
      </c>
      <c r="Q419" t="n">
        <v>0</v>
      </c>
      <c r="R419" s="2" t="inlineStr"/>
    </row>
    <row r="420" ht="15" customHeight="1">
      <c r="A420" t="inlineStr">
        <is>
          <t>A 4315-2022</t>
        </is>
      </c>
      <c r="B420" s="1" t="n">
        <v>44588</v>
      </c>
      <c r="C420" s="1" t="n">
        <v>45665</v>
      </c>
      <c r="D420" t="inlineStr">
        <is>
          <t>UPPSALA LÄN</t>
        </is>
      </c>
      <c r="E420" t="inlineStr">
        <is>
          <t>ÖSTHAMMAR</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4491-2022</t>
        </is>
      </c>
      <c r="B421" s="1" t="n">
        <v>44589</v>
      </c>
      <c r="C421" s="1" t="n">
        <v>45665</v>
      </c>
      <c r="D421" t="inlineStr">
        <is>
          <t>UPPSALA LÄN</t>
        </is>
      </c>
      <c r="E421" t="inlineStr">
        <is>
          <t>ÖSTHAMMAR</t>
        </is>
      </c>
      <c r="G421" t="n">
        <v>1.4</v>
      </c>
      <c r="H421" t="n">
        <v>0</v>
      </c>
      <c r="I421" t="n">
        <v>0</v>
      </c>
      <c r="J421" t="n">
        <v>0</v>
      </c>
      <c r="K421" t="n">
        <v>0</v>
      </c>
      <c r="L421" t="n">
        <v>0</v>
      </c>
      <c r="M421" t="n">
        <v>0</v>
      </c>
      <c r="N421" t="n">
        <v>0</v>
      </c>
      <c r="O421" t="n">
        <v>0</v>
      </c>
      <c r="P421" t="n">
        <v>0</v>
      </c>
      <c r="Q421" t="n">
        <v>0</v>
      </c>
      <c r="R421" s="2" t="inlineStr"/>
    </row>
    <row r="422" ht="15" customHeight="1">
      <c r="A422" t="inlineStr">
        <is>
          <t>A 4357-2022</t>
        </is>
      </c>
      <c r="B422" s="1" t="n">
        <v>44589</v>
      </c>
      <c r="C422" s="1" t="n">
        <v>45665</v>
      </c>
      <c r="D422" t="inlineStr">
        <is>
          <t>UPPSALA LÄN</t>
        </is>
      </c>
      <c r="E422" t="inlineStr">
        <is>
          <t>ÖSTHAMMAR</t>
        </is>
      </c>
      <c r="G422" t="n">
        <v>0.7</v>
      </c>
      <c r="H422" t="n">
        <v>0</v>
      </c>
      <c r="I422" t="n">
        <v>0</v>
      </c>
      <c r="J422" t="n">
        <v>0</v>
      </c>
      <c r="K422" t="n">
        <v>0</v>
      </c>
      <c r="L422" t="n">
        <v>0</v>
      </c>
      <c r="M422" t="n">
        <v>0</v>
      </c>
      <c r="N422" t="n">
        <v>0</v>
      </c>
      <c r="O422" t="n">
        <v>0</v>
      </c>
      <c r="P422" t="n">
        <v>0</v>
      </c>
      <c r="Q422" t="n">
        <v>0</v>
      </c>
      <c r="R422" s="2" t="inlineStr"/>
    </row>
    <row r="423" ht="15" customHeight="1">
      <c r="A423" t="inlineStr">
        <is>
          <t>A 4563-2022</t>
        </is>
      </c>
      <c r="B423" s="1" t="n">
        <v>44591</v>
      </c>
      <c r="C423" s="1" t="n">
        <v>45665</v>
      </c>
      <c r="D423" t="inlineStr">
        <is>
          <t>UPPSALA LÄN</t>
        </is>
      </c>
      <c r="E423" t="inlineStr">
        <is>
          <t>ÖSTHAMMAR</t>
        </is>
      </c>
      <c r="F423" t="inlineStr">
        <is>
          <t>Bergvik skog öst AB</t>
        </is>
      </c>
      <c r="G423" t="n">
        <v>1.9</v>
      </c>
      <c r="H423" t="n">
        <v>0</v>
      </c>
      <c r="I423" t="n">
        <v>0</v>
      </c>
      <c r="J423" t="n">
        <v>0</v>
      </c>
      <c r="K423" t="n">
        <v>0</v>
      </c>
      <c r="L423" t="n">
        <v>0</v>
      </c>
      <c r="M423" t="n">
        <v>0</v>
      </c>
      <c r="N423" t="n">
        <v>0</v>
      </c>
      <c r="O423" t="n">
        <v>0</v>
      </c>
      <c r="P423" t="n">
        <v>0</v>
      </c>
      <c r="Q423" t="n">
        <v>0</v>
      </c>
      <c r="R423" s="2" t="inlineStr"/>
    </row>
    <row r="424" ht="15" customHeight="1">
      <c r="A424" t="inlineStr">
        <is>
          <t>A 4562-2022</t>
        </is>
      </c>
      <c r="B424" s="1" t="n">
        <v>44591</v>
      </c>
      <c r="C424" s="1" t="n">
        <v>45665</v>
      </c>
      <c r="D424" t="inlineStr">
        <is>
          <t>UPPSALA LÄN</t>
        </is>
      </c>
      <c r="E424" t="inlineStr">
        <is>
          <t>ÖSTHAMMAR</t>
        </is>
      </c>
      <c r="G424" t="n">
        <v>3.4</v>
      </c>
      <c r="H424" t="n">
        <v>0</v>
      </c>
      <c r="I424" t="n">
        <v>0</v>
      </c>
      <c r="J424" t="n">
        <v>0</v>
      </c>
      <c r="K424" t="n">
        <v>0</v>
      </c>
      <c r="L424" t="n">
        <v>0</v>
      </c>
      <c r="M424" t="n">
        <v>0</v>
      </c>
      <c r="N424" t="n">
        <v>0</v>
      </c>
      <c r="O424" t="n">
        <v>0</v>
      </c>
      <c r="P424" t="n">
        <v>0</v>
      </c>
      <c r="Q424" t="n">
        <v>0</v>
      </c>
      <c r="R424" s="2" t="inlineStr"/>
    </row>
    <row r="425" ht="15" customHeight="1">
      <c r="A425" t="inlineStr">
        <is>
          <t>A 4561-2022</t>
        </is>
      </c>
      <c r="B425" s="1" t="n">
        <v>44591</v>
      </c>
      <c r="C425" s="1" t="n">
        <v>45665</v>
      </c>
      <c r="D425" t="inlineStr">
        <is>
          <t>UPPSALA LÄN</t>
        </is>
      </c>
      <c r="E425" t="inlineStr">
        <is>
          <t>ÖSTHAMMAR</t>
        </is>
      </c>
      <c r="F425" t="inlineStr">
        <is>
          <t>Bergvik skog öst AB</t>
        </is>
      </c>
      <c r="G425" t="n">
        <v>1.5</v>
      </c>
      <c r="H425" t="n">
        <v>0</v>
      </c>
      <c r="I425" t="n">
        <v>0</v>
      </c>
      <c r="J425" t="n">
        <v>0</v>
      </c>
      <c r="K425" t="n">
        <v>0</v>
      </c>
      <c r="L425" t="n">
        <v>0</v>
      </c>
      <c r="M425" t="n">
        <v>0</v>
      </c>
      <c r="N425" t="n">
        <v>0</v>
      </c>
      <c r="O425" t="n">
        <v>0</v>
      </c>
      <c r="P425" t="n">
        <v>0</v>
      </c>
      <c r="Q425" t="n">
        <v>0</v>
      </c>
      <c r="R425" s="2" t="inlineStr"/>
    </row>
    <row r="426" ht="15" customHeight="1">
      <c r="A426" t="inlineStr">
        <is>
          <t>A 4559-2022</t>
        </is>
      </c>
      <c r="B426" s="1" t="n">
        <v>44591</v>
      </c>
      <c r="C426" s="1" t="n">
        <v>45665</v>
      </c>
      <c r="D426" t="inlineStr">
        <is>
          <t>UPPSALA LÄN</t>
        </is>
      </c>
      <c r="E426" t="inlineStr">
        <is>
          <t>ÖSTHAMMAR</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4565-2022</t>
        </is>
      </c>
      <c r="B427" s="1" t="n">
        <v>44591</v>
      </c>
      <c r="C427" s="1" t="n">
        <v>45665</v>
      </c>
      <c r="D427" t="inlineStr">
        <is>
          <t>UPPSALA LÄN</t>
        </is>
      </c>
      <c r="E427" t="inlineStr">
        <is>
          <t>ÖSTHAMMAR</t>
        </is>
      </c>
      <c r="F427" t="inlineStr">
        <is>
          <t>Bergvik skog öst AB</t>
        </is>
      </c>
      <c r="G427" t="n">
        <v>5.3</v>
      </c>
      <c r="H427" t="n">
        <v>0</v>
      </c>
      <c r="I427" t="n">
        <v>0</v>
      </c>
      <c r="J427" t="n">
        <v>0</v>
      </c>
      <c r="K427" t="n">
        <v>0</v>
      </c>
      <c r="L427" t="n">
        <v>0</v>
      </c>
      <c r="M427" t="n">
        <v>0</v>
      </c>
      <c r="N427" t="n">
        <v>0</v>
      </c>
      <c r="O427" t="n">
        <v>0</v>
      </c>
      <c r="P427" t="n">
        <v>0</v>
      </c>
      <c r="Q427" t="n">
        <v>0</v>
      </c>
      <c r="R427" s="2" t="inlineStr"/>
    </row>
    <row r="428" ht="15" customHeight="1">
      <c r="A428" t="inlineStr">
        <is>
          <t>A 5855-2022</t>
        </is>
      </c>
      <c r="B428" s="1" t="n">
        <v>44596</v>
      </c>
      <c r="C428" s="1" t="n">
        <v>45665</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5974-2022</t>
        </is>
      </c>
      <c r="B429" s="1" t="n">
        <v>44597</v>
      </c>
      <c r="C429" s="1" t="n">
        <v>45665</v>
      </c>
      <c r="D429" t="inlineStr">
        <is>
          <t>UPPSALA LÄN</t>
        </is>
      </c>
      <c r="E429" t="inlineStr">
        <is>
          <t>ÖSTHAMMAR</t>
        </is>
      </c>
      <c r="G429" t="n">
        <v>1.8</v>
      </c>
      <c r="H429" t="n">
        <v>0</v>
      </c>
      <c r="I429" t="n">
        <v>0</v>
      </c>
      <c r="J429" t="n">
        <v>0</v>
      </c>
      <c r="K429" t="n">
        <v>0</v>
      </c>
      <c r="L429" t="n">
        <v>0</v>
      </c>
      <c r="M429" t="n">
        <v>0</v>
      </c>
      <c r="N429" t="n">
        <v>0</v>
      </c>
      <c r="O429" t="n">
        <v>0</v>
      </c>
      <c r="P429" t="n">
        <v>0</v>
      </c>
      <c r="Q429" t="n">
        <v>0</v>
      </c>
      <c r="R429" s="2" t="inlineStr"/>
    </row>
    <row r="430" ht="15" customHeight="1">
      <c r="A430" t="inlineStr">
        <is>
          <t>A 5933-2022</t>
        </is>
      </c>
      <c r="B430" s="1" t="n">
        <v>44598</v>
      </c>
      <c r="C430" s="1" t="n">
        <v>45665</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5934-2022</t>
        </is>
      </c>
      <c r="B431" s="1" t="n">
        <v>44598</v>
      </c>
      <c r="C431" s="1" t="n">
        <v>45665</v>
      </c>
      <c r="D431" t="inlineStr">
        <is>
          <t>UPPSALA LÄN</t>
        </is>
      </c>
      <c r="E431" t="inlineStr">
        <is>
          <t>ÖSTHAMMAR</t>
        </is>
      </c>
      <c r="F431" t="inlineStr">
        <is>
          <t>Bergvik skog öst AB</t>
        </is>
      </c>
      <c r="G431" t="n">
        <v>2.4</v>
      </c>
      <c r="H431" t="n">
        <v>0</v>
      </c>
      <c r="I431" t="n">
        <v>0</v>
      </c>
      <c r="J431" t="n">
        <v>0</v>
      </c>
      <c r="K431" t="n">
        <v>0</v>
      </c>
      <c r="L431" t="n">
        <v>0</v>
      </c>
      <c r="M431" t="n">
        <v>0</v>
      </c>
      <c r="N431" t="n">
        <v>0</v>
      </c>
      <c r="O431" t="n">
        <v>0</v>
      </c>
      <c r="P431" t="n">
        <v>0</v>
      </c>
      <c r="Q431" t="n">
        <v>0</v>
      </c>
      <c r="R431" s="2" t="inlineStr"/>
    </row>
    <row r="432" ht="15" customHeight="1">
      <c r="A432" t="inlineStr">
        <is>
          <t>A 5932-2022</t>
        </is>
      </c>
      <c r="B432" s="1" t="n">
        <v>44598</v>
      </c>
      <c r="C432" s="1" t="n">
        <v>45665</v>
      </c>
      <c r="D432" t="inlineStr">
        <is>
          <t>UPPSALA LÄN</t>
        </is>
      </c>
      <c r="E432" t="inlineStr">
        <is>
          <t>ÖSTHAMMAR</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5931-2022</t>
        </is>
      </c>
      <c r="B433" s="1" t="n">
        <v>44598</v>
      </c>
      <c r="C433" s="1" t="n">
        <v>45665</v>
      </c>
      <c r="D433" t="inlineStr">
        <is>
          <t>UPPSALA LÄN</t>
        </is>
      </c>
      <c r="E433" t="inlineStr">
        <is>
          <t>ÖSTHAMMAR</t>
        </is>
      </c>
      <c r="F433" t="inlineStr">
        <is>
          <t>Bergvik skog öst AB</t>
        </is>
      </c>
      <c r="G433" t="n">
        <v>0.7</v>
      </c>
      <c r="H433" t="n">
        <v>0</v>
      </c>
      <c r="I433" t="n">
        <v>0</v>
      </c>
      <c r="J433" t="n">
        <v>0</v>
      </c>
      <c r="K433" t="n">
        <v>0</v>
      </c>
      <c r="L433" t="n">
        <v>0</v>
      </c>
      <c r="M433" t="n">
        <v>0</v>
      </c>
      <c r="N433" t="n">
        <v>0</v>
      </c>
      <c r="O433" t="n">
        <v>0</v>
      </c>
      <c r="P433" t="n">
        <v>0</v>
      </c>
      <c r="Q433" t="n">
        <v>0</v>
      </c>
      <c r="R433" s="2" t="inlineStr"/>
    </row>
    <row r="434" ht="15" customHeight="1">
      <c r="A434" t="inlineStr">
        <is>
          <t>A 6143-2022</t>
        </is>
      </c>
      <c r="B434" s="1" t="n">
        <v>44599</v>
      </c>
      <c r="C434" s="1" t="n">
        <v>45665</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6153-2022</t>
        </is>
      </c>
      <c r="B435" s="1" t="n">
        <v>44599</v>
      </c>
      <c r="C435" s="1" t="n">
        <v>45665</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6206-2022</t>
        </is>
      </c>
      <c r="B436" s="1" t="n">
        <v>44600</v>
      </c>
      <c r="C436" s="1" t="n">
        <v>45665</v>
      </c>
      <c r="D436" t="inlineStr">
        <is>
          <t>UPPSALA LÄN</t>
        </is>
      </c>
      <c r="E436" t="inlineStr">
        <is>
          <t>ÖSTHAMMAR</t>
        </is>
      </c>
      <c r="G436" t="n">
        <v>7.4</v>
      </c>
      <c r="H436" t="n">
        <v>0</v>
      </c>
      <c r="I436" t="n">
        <v>0</v>
      </c>
      <c r="J436" t="n">
        <v>0</v>
      </c>
      <c r="K436" t="n">
        <v>0</v>
      </c>
      <c r="L436" t="n">
        <v>0</v>
      </c>
      <c r="M436" t="n">
        <v>0</v>
      </c>
      <c r="N436" t="n">
        <v>0</v>
      </c>
      <c r="O436" t="n">
        <v>0</v>
      </c>
      <c r="P436" t="n">
        <v>0</v>
      </c>
      <c r="Q436" t="n">
        <v>0</v>
      </c>
      <c r="R436" s="2" t="inlineStr"/>
    </row>
    <row r="437" ht="15" customHeight="1">
      <c r="A437" t="inlineStr">
        <is>
          <t>A 6313-2022</t>
        </is>
      </c>
      <c r="B437" s="1" t="n">
        <v>44600</v>
      </c>
      <c r="C437" s="1" t="n">
        <v>45665</v>
      </c>
      <c r="D437" t="inlineStr">
        <is>
          <t>UPPSALA LÄN</t>
        </is>
      </c>
      <c r="E437" t="inlineStr">
        <is>
          <t>ÖSTHAMMAR</t>
        </is>
      </c>
      <c r="G437" t="n">
        <v>4</v>
      </c>
      <c r="H437" t="n">
        <v>0</v>
      </c>
      <c r="I437" t="n">
        <v>0</v>
      </c>
      <c r="J437" t="n">
        <v>0</v>
      </c>
      <c r="K437" t="n">
        <v>0</v>
      </c>
      <c r="L437" t="n">
        <v>0</v>
      </c>
      <c r="M437" t="n">
        <v>0</v>
      </c>
      <c r="N437" t="n">
        <v>0</v>
      </c>
      <c r="O437" t="n">
        <v>0</v>
      </c>
      <c r="P437" t="n">
        <v>0</v>
      </c>
      <c r="Q437" t="n">
        <v>0</v>
      </c>
      <c r="R437" s="2" t="inlineStr"/>
    </row>
    <row r="438" ht="15" customHeight="1">
      <c r="A438" t="inlineStr">
        <is>
          <t>A 6892-2022</t>
        </is>
      </c>
      <c r="B438" s="1" t="n">
        <v>44602</v>
      </c>
      <c r="C438" s="1" t="n">
        <v>45665</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7181-2022</t>
        </is>
      </c>
      <c r="B439" s="1" t="n">
        <v>44605</v>
      </c>
      <c r="C439" s="1" t="n">
        <v>45665</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7302-2022</t>
        </is>
      </c>
      <c r="B440" s="1" t="n">
        <v>44606</v>
      </c>
      <c r="C440" s="1" t="n">
        <v>45665</v>
      </c>
      <c r="D440" t="inlineStr">
        <is>
          <t>UPPSALA LÄN</t>
        </is>
      </c>
      <c r="E440" t="inlineStr">
        <is>
          <t>ÖSTHAMMAR</t>
        </is>
      </c>
      <c r="G440" t="n">
        <v>4</v>
      </c>
      <c r="H440" t="n">
        <v>0</v>
      </c>
      <c r="I440" t="n">
        <v>0</v>
      </c>
      <c r="J440" t="n">
        <v>0</v>
      </c>
      <c r="K440" t="n">
        <v>0</v>
      </c>
      <c r="L440" t="n">
        <v>0</v>
      </c>
      <c r="M440" t="n">
        <v>0</v>
      </c>
      <c r="N440" t="n">
        <v>0</v>
      </c>
      <c r="O440" t="n">
        <v>0</v>
      </c>
      <c r="P440" t="n">
        <v>0</v>
      </c>
      <c r="Q440" t="n">
        <v>0</v>
      </c>
      <c r="R440" s="2" t="inlineStr"/>
    </row>
    <row r="441" ht="15" customHeight="1">
      <c r="A441" t="inlineStr">
        <is>
          <t>A 7475-2022</t>
        </is>
      </c>
      <c r="B441" s="1" t="n">
        <v>44607</v>
      </c>
      <c r="C441" s="1" t="n">
        <v>45665</v>
      </c>
      <c r="D441" t="inlineStr">
        <is>
          <t>UPPSALA LÄN</t>
        </is>
      </c>
      <c r="E441" t="inlineStr">
        <is>
          <t>ÖSTHAMMAR</t>
        </is>
      </c>
      <c r="G441" t="n">
        <v>2.2</v>
      </c>
      <c r="H441" t="n">
        <v>0</v>
      </c>
      <c r="I441" t="n">
        <v>0</v>
      </c>
      <c r="J441" t="n">
        <v>0</v>
      </c>
      <c r="K441" t="n">
        <v>0</v>
      </c>
      <c r="L441" t="n">
        <v>0</v>
      </c>
      <c r="M441" t="n">
        <v>0</v>
      </c>
      <c r="N441" t="n">
        <v>0</v>
      </c>
      <c r="O441" t="n">
        <v>0</v>
      </c>
      <c r="P441" t="n">
        <v>0</v>
      </c>
      <c r="Q441" t="n">
        <v>0</v>
      </c>
      <c r="R441" s="2" t="inlineStr"/>
    </row>
    <row r="442" ht="15" customHeight="1">
      <c r="A442" t="inlineStr">
        <is>
          <t>A 7488-2022</t>
        </is>
      </c>
      <c r="B442" s="1" t="n">
        <v>44607</v>
      </c>
      <c r="C442" s="1" t="n">
        <v>45665</v>
      </c>
      <c r="D442" t="inlineStr">
        <is>
          <t>UPPSALA LÄN</t>
        </is>
      </c>
      <c r="E442" t="inlineStr">
        <is>
          <t>ÖSTHAMMAR</t>
        </is>
      </c>
      <c r="G442" t="n">
        <v>2.3</v>
      </c>
      <c r="H442" t="n">
        <v>0</v>
      </c>
      <c r="I442" t="n">
        <v>0</v>
      </c>
      <c r="J442" t="n">
        <v>0</v>
      </c>
      <c r="K442" t="n">
        <v>0</v>
      </c>
      <c r="L442" t="n">
        <v>0</v>
      </c>
      <c r="M442" t="n">
        <v>0</v>
      </c>
      <c r="N442" t="n">
        <v>0</v>
      </c>
      <c r="O442" t="n">
        <v>0</v>
      </c>
      <c r="P442" t="n">
        <v>0</v>
      </c>
      <c r="Q442" t="n">
        <v>0</v>
      </c>
      <c r="R442" s="2" t="inlineStr"/>
    </row>
    <row r="443" ht="15" customHeight="1">
      <c r="A443" t="inlineStr">
        <is>
          <t>A 7858-2022</t>
        </is>
      </c>
      <c r="B443" s="1" t="n">
        <v>44608</v>
      </c>
      <c r="C443" s="1" t="n">
        <v>45665</v>
      </c>
      <c r="D443" t="inlineStr">
        <is>
          <t>UPPSALA LÄN</t>
        </is>
      </c>
      <c r="E443" t="inlineStr">
        <is>
          <t>ÖSTHAMMAR</t>
        </is>
      </c>
      <c r="G443" t="n">
        <v>1.6</v>
      </c>
      <c r="H443" t="n">
        <v>0</v>
      </c>
      <c r="I443" t="n">
        <v>0</v>
      </c>
      <c r="J443" t="n">
        <v>0</v>
      </c>
      <c r="K443" t="n">
        <v>0</v>
      </c>
      <c r="L443" t="n">
        <v>0</v>
      </c>
      <c r="M443" t="n">
        <v>0</v>
      </c>
      <c r="N443" t="n">
        <v>0</v>
      </c>
      <c r="O443" t="n">
        <v>0</v>
      </c>
      <c r="P443" t="n">
        <v>0</v>
      </c>
      <c r="Q443" t="n">
        <v>0</v>
      </c>
      <c r="R443" s="2" t="inlineStr"/>
    </row>
    <row r="444" ht="15" customHeight="1">
      <c r="A444" t="inlineStr">
        <is>
          <t>A 7871-2022</t>
        </is>
      </c>
      <c r="B444" s="1" t="n">
        <v>44608</v>
      </c>
      <c r="C444" s="1" t="n">
        <v>45665</v>
      </c>
      <c r="D444" t="inlineStr">
        <is>
          <t>UPPSALA LÄN</t>
        </is>
      </c>
      <c r="E444" t="inlineStr">
        <is>
          <t>ÖSTHAMMAR</t>
        </is>
      </c>
      <c r="G444" t="n">
        <v>1.1</v>
      </c>
      <c r="H444" t="n">
        <v>0</v>
      </c>
      <c r="I444" t="n">
        <v>0</v>
      </c>
      <c r="J444" t="n">
        <v>0</v>
      </c>
      <c r="K444" t="n">
        <v>0</v>
      </c>
      <c r="L444" t="n">
        <v>0</v>
      </c>
      <c r="M444" t="n">
        <v>0</v>
      </c>
      <c r="N444" t="n">
        <v>0</v>
      </c>
      <c r="O444" t="n">
        <v>0</v>
      </c>
      <c r="P444" t="n">
        <v>0</v>
      </c>
      <c r="Q444" t="n">
        <v>0</v>
      </c>
      <c r="R444" s="2" t="inlineStr"/>
    </row>
    <row r="445" ht="15" customHeight="1">
      <c r="A445" t="inlineStr">
        <is>
          <t>A 7997-2022</t>
        </is>
      </c>
      <c r="B445" s="1" t="n">
        <v>44609</v>
      </c>
      <c r="C445" s="1" t="n">
        <v>45665</v>
      </c>
      <c r="D445" t="inlineStr">
        <is>
          <t>UPPSALA LÄN</t>
        </is>
      </c>
      <c r="E445" t="inlineStr">
        <is>
          <t>ÖSTHAMMAR</t>
        </is>
      </c>
      <c r="G445" t="n">
        <v>1.8</v>
      </c>
      <c r="H445" t="n">
        <v>0</v>
      </c>
      <c r="I445" t="n">
        <v>0</v>
      </c>
      <c r="J445" t="n">
        <v>0</v>
      </c>
      <c r="K445" t="n">
        <v>0</v>
      </c>
      <c r="L445" t="n">
        <v>0</v>
      </c>
      <c r="M445" t="n">
        <v>0</v>
      </c>
      <c r="N445" t="n">
        <v>0</v>
      </c>
      <c r="O445" t="n">
        <v>0</v>
      </c>
      <c r="P445" t="n">
        <v>0</v>
      </c>
      <c r="Q445" t="n">
        <v>0</v>
      </c>
      <c r="R445" s="2" t="inlineStr"/>
    </row>
    <row r="446" ht="15" customHeight="1">
      <c r="A446" t="inlineStr">
        <is>
          <t>A 8283-2022</t>
        </is>
      </c>
      <c r="B446" s="1" t="n">
        <v>44610</v>
      </c>
      <c r="C446" s="1" t="n">
        <v>45665</v>
      </c>
      <c r="D446" t="inlineStr">
        <is>
          <t>UPPSALA LÄN</t>
        </is>
      </c>
      <c r="E446" t="inlineStr">
        <is>
          <t>ÖSTHAMMAR</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8592-2022</t>
        </is>
      </c>
      <c r="B447" s="1" t="n">
        <v>44613</v>
      </c>
      <c r="C447" s="1" t="n">
        <v>45665</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8708-2022</t>
        </is>
      </c>
      <c r="B448" s="1" t="n">
        <v>44613</v>
      </c>
      <c r="C448" s="1" t="n">
        <v>45665</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8710-2022</t>
        </is>
      </c>
      <c r="B449" s="1" t="n">
        <v>44613</v>
      </c>
      <c r="C449" s="1" t="n">
        <v>45665</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8537-2022</t>
        </is>
      </c>
      <c r="B450" s="1" t="n">
        <v>44613</v>
      </c>
      <c r="C450" s="1" t="n">
        <v>45665</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8554-2022</t>
        </is>
      </c>
      <c r="B451" s="1" t="n">
        <v>44613</v>
      </c>
      <c r="C451" s="1" t="n">
        <v>45665</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8556-2022</t>
        </is>
      </c>
      <c r="B452" s="1" t="n">
        <v>44613</v>
      </c>
      <c r="C452" s="1" t="n">
        <v>45665</v>
      </c>
      <c r="D452" t="inlineStr">
        <is>
          <t>UPPSALA LÄN</t>
        </is>
      </c>
      <c r="E452" t="inlineStr">
        <is>
          <t>ÖSTHAMMAR</t>
        </is>
      </c>
      <c r="G452" t="n">
        <v>0.5</v>
      </c>
      <c r="H452" t="n">
        <v>0</v>
      </c>
      <c r="I452" t="n">
        <v>0</v>
      </c>
      <c r="J452" t="n">
        <v>0</v>
      </c>
      <c r="K452" t="n">
        <v>0</v>
      </c>
      <c r="L452" t="n">
        <v>0</v>
      </c>
      <c r="M452" t="n">
        <v>0</v>
      </c>
      <c r="N452" t="n">
        <v>0</v>
      </c>
      <c r="O452" t="n">
        <v>0</v>
      </c>
      <c r="P452" t="n">
        <v>0</v>
      </c>
      <c r="Q452" t="n">
        <v>0</v>
      </c>
      <c r="R452" s="2" t="inlineStr"/>
    </row>
    <row r="453" ht="15" customHeight="1">
      <c r="A453" t="inlineStr">
        <is>
          <t>A 8775-2022</t>
        </is>
      </c>
      <c r="B453" s="1" t="n">
        <v>44614</v>
      </c>
      <c r="C453" s="1" t="n">
        <v>45665</v>
      </c>
      <c r="D453" t="inlineStr">
        <is>
          <t>UPPSALA LÄN</t>
        </is>
      </c>
      <c r="E453" t="inlineStr">
        <is>
          <t>ÖSTHAMMAR</t>
        </is>
      </c>
      <c r="G453" t="n">
        <v>0.3</v>
      </c>
      <c r="H453" t="n">
        <v>0</v>
      </c>
      <c r="I453" t="n">
        <v>0</v>
      </c>
      <c r="J453" t="n">
        <v>0</v>
      </c>
      <c r="K453" t="n">
        <v>0</v>
      </c>
      <c r="L453" t="n">
        <v>0</v>
      </c>
      <c r="M453" t="n">
        <v>0</v>
      </c>
      <c r="N453" t="n">
        <v>0</v>
      </c>
      <c r="O453" t="n">
        <v>0</v>
      </c>
      <c r="P453" t="n">
        <v>0</v>
      </c>
      <c r="Q453" t="n">
        <v>0</v>
      </c>
      <c r="R453" s="2" t="inlineStr"/>
    </row>
    <row r="454" ht="15" customHeight="1">
      <c r="A454" t="inlineStr">
        <is>
          <t>A 8750-2022</t>
        </is>
      </c>
      <c r="B454" s="1" t="n">
        <v>44614</v>
      </c>
      <c r="C454" s="1" t="n">
        <v>45665</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9755-2022</t>
        </is>
      </c>
      <c r="B455" s="1" t="n">
        <v>44618</v>
      </c>
      <c r="C455" s="1" t="n">
        <v>45665</v>
      </c>
      <c r="D455" t="inlineStr">
        <is>
          <t>UPPSALA LÄN</t>
        </is>
      </c>
      <c r="E455" t="inlineStr">
        <is>
          <t>ÖSTHAMMAR</t>
        </is>
      </c>
      <c r="F455" t="inlineStr">
        <is>
          <t>Bergvik skog öst AB</t>
        </is>
      </c>
      <c r="G455" t="n">
        <v>13.9</v>
      </c>
      <c r="H455" t="n">
        <v>0</v>
      </c>
      <c r="I455" t="n">
        <v>0</v>
      </c>
      <c r="J455" t="n">
        <v>0</v>
      </c>
      <c r="K455" t="n">
        <v>0</v>
      </c>
      <c r="L455" t="n">
        <v>0</v>
      </c>
      <c r="M455" t="n">
        <v>0</v>
      </c>
      <c r="N455" t="n">
        <v>0</v>
      </c>
      <c r="O455" t="n">
        <v>0</v>
      </c>
      <c r="P455" t="n">
        <v>0</v>
      </c>
      <c r="Q455" t="n">
        <v>0</v>
      </c>
      <c r="R455" s="2" t="inlineStr"/>
    </row>
    <row r="456" ht="15" customHeight="1">
      <c r="A456" t="inlineStr">
        <is>
          <t>A 9789-2022</t>
        </is>
      </c>
      <c r="B456" s="1" t="n">
        <v>44620</v>
      </c>
      <c r="C456" s="1" t="n">
        <v>45665</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9795-2022</t>
        </is>
      </c>
      <c r="B457" s="1" t="n">
        <v>44620</v>
      </c>
      <c r="C457" s="1" t="n">
        <v>45665</v>
      </c>
      <c r="D457" t="inlineStr">
        <is>
          <t>UPPSALA LÄN</t>
        </is>
      </c>
      <c r="E457" t="inlineStr">
        <is>
          <t>ÖSTHAMMAR</t>
        </is>
      </c>
      <c r="G457" t="n">
        <v>1.3</v>
      </c>
      <c r="H457" t="n">
        <v>0</v>
      </c>
      <c r="I457" t="n">
        <v>0</v>
      </c>
      <c r="J457" t="n">
        <v>0</v>
      </c>
      <c r="K457" t="n">
        <v>0</v>
      </c>
      <c r="L457" t="n">
        <v>0</v>
      </c>
      <c r="M457" t="n">
        <v>0</v>
      </c>
      <c r="N457" t="n">
        <v>0</v>
      </c>
      <c r="O457" t="n">
        <v>0</v>
      </c>
      <c r="P457" t="n">
        <v>0</v>
      </c>
      <c r="Q457" t="n">
        <v>0</v>
      </c>
      <c r="R457" s="2" t="inlineStr"/>
    </row>
    <row r="458" ht="15" customHeight="1">
      <c r="A458" t="inlineStr">
        <is>
          <t>A 10287-2022</t>
        </is>
      </c>
      <c r="B458" s="1" t="n">
        <v>44622</v>
      </c>
      <c r="C458" s="1" t="n">
        <v>45665</v>
      </c>
      <c r="D458" t="inlineStr">
        <is>
          <t>UPPSALA LÄN</t>
        </is>
      </c>
      <c r="E458" t="inlineStr">
        <is>
          <t>ÖSTHAMMAR</t>
        </is>
      </c>
      <c r="F458" t="inlineStr">
        <is>
          <t>Bergvik skog öst AB</t>
        </is>
      </c>
      <c r="G458" t="n">
        <v>0.2</v>
      </c>
      <c r="H458" t="n">
        <v>0</v>
      </c>
      <c r="I458" t="n">
        <v>0</v>
      </c>
      <c r="J458" t="n">
        <v>0</v>
      </c>
      <c r="K458" t="n">
        <v>0</v>
      </c>
      <c r="L458" t="n">
        <v>0</v>
      </c>
      <c r="M458" t="n">
        <v>0</v>
      </c>
      <c r="N458" t="n">
        <v>0</v>
      </c>
      <c r="O458" t="n">
        <v>0</v>
      </c>
      <c r="P458" t="n">
        <v>0</v>
      </c>
      <c r="Q458" t="n">
        <v>0</v>
      </c>
      <c r="R458" s="2" t="inlineStr"/>
    </row>
    <row r="459" ht="15" customHeight="1">
      <c r="A459" t="inlineStr">
        <is>
          <t>A 10294-2022</t>
        </is>
      </c>
      <c r="B459" s="1" t="n">
        <v>44622</v>
      </c>
      <c r="C459" s="1" t="n">
        <v>45665</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45665</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10298-2022</t>
        </is>
      </c>
      <c r="B461" s="1" t="n">
        <v>44622</v>
      </c>
      <c r="C461" s="1" t="n">
        <v>45665</v>
      </c>
      <c r="D461" t="inlineStr">
        <is>
          <t>UPPSALA LÄN</t>
        </is>
      </c>
      <c r="E461" t="inlineStr">
        <is>
          <t>ÖSTHAMMAR</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10980-2022</t>
        </is>
      </c>
      <c r="B462" s="1" t="n">
        <v>44628</v>
      </c>
      <c r="C462" s="1" t="n">
        <v>45665</v>
      </c>
      <c r="D462" t="inlineStr">
        <is>
          <t>UPPSALA LÄN</t>
        </is>
      </c>
      <c r="E462" t="inlineStr">
        <is>
          <t>ÖSTHAMMAR</t>
        </is>
      </c>
      <c r="G462" t="n">
        <v>7.4</v>
      </c>
      <c r="H462" t="n">
        <v>0</v>
      </c>
      <c r="I462" t="n">
        <v>0</v>
      </c>
      <c r="J462" t="n">
        <v>0</v>
      </c>
      <c r="K462" t="n">
        <v>0</v>
      </c>
      <c r="L462" t="n">
        <v>0</v>
      </c>
      <c r="M462" t="n">
        <v>0</v>
      </c>
      <c r="N462" t="n">
        <v>0</v>
      </c>
      <c r="O462" t="n">
        <v>0</v>
      </c>
      <c r="P462" t="n">
        <v>0</v>
      </c>
      <c r="Q462" t="n">
        <v>0</v>
      </c>
      <c r="R462" s="2" t="inlineStr"/>
    </row>
    <row r="463" ht="15" customHeight="1">
      <c r="A463" t="inlineStr">
        <is>
          <t>A 11547-2022</t>
        </is>
      </c>
      <c r="B463" s="1" t="n">
        <v>44631</v>
      </c>
      <c r="C463" s="1" t="n">
        <v>45665</v>
      </c>
      <c r="D463" t="inlineStr">
        <is>
          <t>UPPSALA LÄN</t>
        </is>
      </c>
      <c r="E463" t="inlineStr">
        <is>
          <t>ÖSTHAMMAR</t>
        </is>
      </c>
      <c r="G463" t="n">
        <v>4.4</v>
      </c>
      <c r="H463" t="n">
        <v>0</v>
      </c>
      <c r="I463" t="n">
        <v>0</v>
      </c>
      <c r="J463" t="n">
        <v>0</v>
      </c>
      <c r="K463" t="n">
        <v>0</v>
      </c>
      <c r="L463" t="n">
        <v>0</v>
      </c>
      <c r="M463" t="n">
        <v>0</v>
      </c>
      <c r="N463" t="n">
        <v>0</v>
      </c>
      <c r="O463" t="n">
        <v>0</v>
      </c>
      <c r="P463" t="n">
        <v>0</v>
      </c>
      <c r="Q463" t="n">
        <v>0</v>
      </c>
      <c r="R463" s="2" t="inlineStr"/>
    </row>
    <row r="464" ht="15" customHeight="1">
      <c r="A464" t="inlineStr">
        <is>
          <t>A 11643-2022</t>
        </is>
      </c>
      <c r="B464" s="1" t="n">
        <v>44631</v>
      </c>
      <c r="C464" s="1" t="n">
        <v>45665</v>
      </c>
      <c r="D464" t="inlineStr">
        <is>
          <t>UPPSALA LÄN</t>
        </is>
      </c>
      <c r="E464" t="inlineStr">
        <is>
          <t>ÖSTHAMMAR</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11884-2022</t>
        </is>
      </c>
      <c r="B465" s="1" t="n">
        <v>44635</v>
      </c>
      <c r="C465" s="1" t="n">
        <v>45665</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11987-2022</t>
        </is>
      </c>
      <c r="B466" s="1" t="n">
        <v>44635</v>
      </c>
      <c r="C466" s="1" t="n">
        <v>45665</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11986-2022</t>
        </is>
      </c>
      <c r="B467" s="1" t="n">
        <v>44635</v>
      </c>
      <c r="C467" s="1" t="n">
        <v>45665</v>
      </c>
      <c r="D467" t="inlineStr">
        <is>
          <t>UPPSALA LÄN</t>
        </is>
      </c>
      <c r="E467" t="inlineStr">
        <is>
          <t>ÖSTHAMMAR</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12176-2022</t>
        </is>
      </c>
      <c r="B468" s="1" t="n">
        <v>44636</v>
      </c>
      <c r="C468" s="1" t="n">
        <v>45665</v>
      </c>
      <c r="D468" t="inlineStr">
        <is>
          <t>UPPSALA LÄN</t>
        </is>
      </c>
      <c r="E468" t="inlineStr">
        <is>
          <t>ÖSTHAMMAR</t>
        </is>
      </c>
      <c r="G468" t="n">
        <v>3.5</v>
      </c>
      <c r="H468" t="n">
        <v>0</v>
      </c>
      <c r="I468" t="n">
        <v>0</v>
      </c>
      <c r="J468" t="n">
        <v>0</v>
      </c>
      <c r="K468" t="n">
        <v>0</v>
      </c>
      <c r="L468" t="n">
        <v>0</v>
      </c>
      <c r="M468" t="n">
        <v>0</v>
      </c>
      <c r="N468" t="n">
        <v>0</v>
      </c>
      <c r="O468" t="n">
        <v>0</v>
      </c>
      <c r="P468" t="n">
        <v>0</v>
      </c>
      <c r="Q468" t="n">
        <v>0</v>
      </c>
      <c r="R468" s="2" t="inlineStr"/>
    </row>
    <row r="469" ht="15" customHeight="1">
      <c r="A469" t="inlineStr">
        <is>
          <t>A 12999-2022</t>
        </is>
      </c>
      <c r="B469" s="1" t="n">
        <v>44643</v>
      </c>
      <c r="C469" s="1" t="n">
        <v>45665</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13044-2022</t>
        </is>
      </c>
      <c r="B470" s="1" t="n">
        <v>44643</v>
      </c>
      <c r="C470" s="1" t="n">
        <v>45665</v>
      </c>
      <c r="D470" t="inlineStr">
        <is>
          <t>UPPSALA LÄN</t>
        </is>
      </c>
      <c r="E470" t="inlineStr">
        <is>
          <t>ÖSTHAMMAR</t>
        </is>
      </c>
      <c r="G470" t="n">
        <v>2.5</v>
      </c>
      <c r="H470" t="n">
        <v>0</v>
      </c>
      <c r="I470" t="n">
        <v>0</v>
      </c>
      <c r="J470" t="n">
        <v>0</v>
      </c>
      <c r="K470" t="n">
        <v>0</v>
      </c>
      <c r="L470" t="n">
        <v>0</v>
      </c>
      <c r="M470" t="n">
        <v>0</v>
      </c>
      <c r="N470" t="n">
        <v>0</v>
      </c>
      <c r="O470" t="n">
        <v>0</v>
      </c>
      <c r="P470" t="n">
        <v>0</v>
      </c>
      <c r="Q470" t="n">
        <v>0</v>
      </c>
      <c r="R470" s="2" t="inlineStr"/>
    </row>
    <row r="471" ht="15" customHeight="1">
      <c r="A471" t="inlineStr">
        <is>
          <t>A 13093-2022</t>
        </is>
      </c>
      <c r="B471" s="1" t="n">
        <v>44643</v>
      </c>
      <c r="C471" s="1" t="n">
        <v>45665</v>
      </c>
      <c r="D471" t="inlineStr">
        <is>
          <t>UPPSALA LÄN</t>
        </is>
      </c>
      <c r="E471" t="inlineStr">
        <is>
          <t>ÖSTHAMMAR</t>
        </is>
      </c>
      <c r="F471" t="inlineStr">
        <is>
          <t>Bergvik skog öst AB</t>
        </is>
      </c>
      <c r="G471" t="n">
        <v>3.2</v>
      </c>
      <c r="H471" t="n">
        <v>0</v>
      </c>
      <c r="I471" t="n">
        <v>0</v>
      </c>
      <c r="J471" t="n">
        <v>0</v>
      </c>
      <c r="K471" t="n">
        <v>0</v>
      </c>
      <c r="L471" t="n">
        <v>0</v>
      </c>
      <c r="M471" t="n">
        <v>0</v>
      </c>
      <c r="N471" t="n">
        <v>0</v>
      </c>
      <c r="O471" t="n">
        <v>0</v>
      </c>
      <c r="P471" t="n">
        <v>0</v>
      </c>
      <c r="Q471" t="n">
        <v>0</v>
      </c>
      <c r="R471" s="2" t="inlineStr"/>
    </row>
    <row r="472" ht="15" customHeight="1">
      <c r="A472" t="inlineStr">
        <is>
          <t>A 13238-2022</t>
        </is>
      </c>
      <c r="B472" s="1" t="n">
        <v>44644</v>
      </c>
      <c r="C472" s="1" t="n">
        <v>45665</v>
      </c>
      <c r="D472" t="inlineStr">
        <is>
          <t>UPPSALA LÄN</t>
        </is>
      </c>
      <c r="E472" t="inlineStr">
        <is>
          <t>ÖSTHAMMAR</t>
        </is>
      </c>
      <c r="G472" t="n">
        <v>6.5</v>
      </c>
      <c r="H472" t="n">
        <v>0</v>
      </c>
      <c r="I472" t="n">
        <v>0</v>
      </c>
      <c r="J472" t="n">
        <v>0</v>
      </c>
      <c r="K472" t="n">
        <v>0</v>
      </c>
      <c r="L472" t="n">
        <v>0</v>
      </c>
      <c r="M472" t="n">
        <v>0</v>
      </c>
      <c r="N472" t="n">
        <v>0</v>
      </c>
      <c r="O472" t="n">
        <v>0</v>
      </c>
      <c r="P472" t="n">
        <v>0</v>
      </c>
      <c r="Q472" t="n">
        <v>0</v>
      </c>
      <c r="R472" s="2" t="inlineStr"/>
    </row>
    <row r="473" ht="15" customHeight="1">
      <c r="A473" t="inlineStr">
        <is>
          <t>A 13279-2022</t>
        </is>
      </c>
      <c r="B473" s="1" t="n">
        <v>44644</v>
      </c>
      <c r="C473" s="1" t="n">
        <v>45665</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13867-2022</t>
        </is>
      </c>
      <c r="B474" s="1" t="n">
        <v>44649</v>
      </c>
      <c r="C474" s="1" t="n">
        <v>45665</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14272-2022</t>
        </is>
      </c>
      <c r="B475" s="1" t="n">
        <v>44651</v>
      </c>
      <c r="C475" s="1" t="n">
        <v>45665</v>
      </c>
      <c r="D475" t="inlineStr">
        <is>
          <t>UPPSALA LÄN</t>
        </is>
      </c>
      <c r="E475" t="inlineStr">
        <is>
          <t>ÖSTHAMMAR</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14124-2022</t>
        </is>
      </c>
      <c r="B476" s="1" t="n">
        <v>44651</v>
      </c>
      <c r="C476" s="1" t="n">
        <v>45665</v>
      </c>
      <c r="D476" t="inlineStr">
        <is>
          <t>UPPSALA LÄN</t>
        </is>
      </c>
      <c r="E476" t="inlineStr">
        <is>
          <t>ÖSTHAMMAR</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14187-2022</t>
        </is>
      </c>
      <c r="B477" s="1" t="n">
        <v>44651</v>
      </c>
      <c r="C477" s="1" t="n">
        <v>45665</v>
      </c>
      <c r="D477" t="inlineStr">
        <is>
          <t>UPPSALA LÄN</t>
        </is>
      </c>
      <c r="E477" t="inlineStr">
        <is>
          <t>ÖSTHAMMAR</t>
        </is>
      </c>
      <c r="F477" t="inlineStr">
        <is>
          <t>Övriga Aktiebolag</t>
        </is>
      </c>
      <c r="G477" t="n">
        <v>14.1</v>
      </c>
      <c r="H477" t="n">
        <v>0</v>
      </c>
      <c r="I477" t="n">
        <v>0</v>
      </c>
      <c r="J477" t="n">
        <v>0</v>
      </c>
      <c r="K477" t="n">
        <v>0</v>
      </c>
      <c r="L477" t="n">
        <v>0</v>
      </c>
      <c r="M477" t="n">
        <v>0</v>
      </c>
      <c r="N477" t="n">
        <v>0</v>
      </c>
      <c r="O477" t="n">
        <v>0</v>
      </c>
      <c r="P477" t="n">
        <v>0</v>
      </c>
      <c r="Q477" t="n">
        <v>0</v>
      </c>
      <c r="R477" s="2" t="inlineStr"/>
    </row>
    <row r="478" ht="15" customHeight="1">
      <c r="A478" t="inlineStr">
        <is>
          <t>A 14271-2022</t>
        </is>
      </c>
      <c r="B478" s="1" t="n">
        <v>44651</v>
      </c>
      <c r="C478" s="1" t="n">
        <v>45665</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14671-2022</t>
        </is>
      </c>
      <c r="B479" s="1" t="n">
        <v>44655</v>
      </c>
      <c r="C479" s="1" t="n">
        <v>45665</v>
      </c>
      <c r="D479" t="inlineStr">
        <is>
          <t>UPPSALA LÄN</t>
        </is>
      </c>
      <c r="E479" t="inlineStr">
        <is>
          <t>ÖSTHAMMAR</t>
        </is>
      </c>
      <c r="G479" t="n">
        <v>1.9</v>
      </c>
      <c r="H479" t="n">
        <v>0</v>
      </c>
      <c r="I479" t="n">
        <v>0</v>
      </c>
      <c r="J479" t="n">
        <v>0</v>
      </c>
      <c r="K479" t="n">
        <v>0</v>
      </c>
      <c r="L479" t="n">
        <v>0</v>
      </c>
      <c r="M479" t="n">
        <v>0</v>
      </c>
      <c r="N479" t="n">
        <v>0</v>
      </c>
      <c r="O479" t="n">
        <v>0</v>
      </c>
      <c r="P479" t="n">
        <v>0</v>
      </c>
      <c r="Q479" t="n">
        <v>0</v>
      </c>
      <c r="R479" s="2" t="inlineStr"/>
    </row>
    <row r="480" ht="15" customHeight="1">
      <c r="A480" t="inlineStr">
        <is>
          <t>A 15064-2022</t>
        </is>
      </c>
      <c r="B480" s="1" t="n">
        <v>44657</v>
      </c>
      <c r="C480" s="1" t="n">
        <v>45665</v>
      </c>
      <c r="D480" t="inlineStr">
        <is>
          <t>UPPSALA LÄN</t>
        </is>
      </c>
      <c r="E480" t="inlineStr">
        <is>
          <t>ÖSTHAMMAR</t>
        </is>
      </c>
      <c r="G480" t="n">
        <v>1.5</v>
      </c>
      <c r="H480" t="n">
        <v>0</v>
      </c>
      <c r="I480" t="n">
        <v>0</v>
      </c>
      <c r="J480" t="n">
        <v>0</v>
      </c>
      <c r="K480" t="n">
        <v>0</v>
      </c>
      <c r="L480" t="n">
        <v>0</v>
      </c>
      <c r="M480" t="n">
        <v>0</v>
      </c>
      <c r="N480" t="n">
        <v>0</v>
      </c>
      <c r="O480" t="n">
        <v>0</v>
      </c>
      <c r="P480" t="n">
        <v>0</v>
      </c>
      <c r="Q480" t="n">
        <v>0</v>
      </c>
      <c r="R480" s="2" t="inlineStr"/>
    </row>
    <row r="481" ht="15" customHeight="1">
      <c r="A481" t="inlineStr">
        <is>
          <t>A 15311-2022</t>
        </is>
      </c>
      <c r="B481" s="1" t="n">
        <v>44659</v>
      </c>
      <c r="C481" s="1" t="n">
        <v>45665</v>
      </c>
      <c r="D481" t="inlineStr">
        <is>
          <t>UPPSALA LÄN</t>
        </is>
      </c>
      <c r="E481" t="inlineStr">
        <is>
          <t>ÖSTHAMMAR</t>
        </is>
      </c>
      <c r="G481" t="n">
        <v>5.5</v>
      </c>
      <c r="H481" t="n">
        <v>0</v>
      </c>
      <c r="I481" t="n">
        <v>0</v>
      </c>
      <c r="J481" t="n">
        <v>0</v>
      </c>
      <c r="K481" t="n">
        <v>0</v>
      </c>
      <c r="L481" t="n">
        <v>0</v>
      </c>
      <c r="M481" t="n">
        <v>0</v>
      </c>
      <c r="N481" t="n">
        <v>0</v>
      </c>
      <c r="O481" t="n">
        <v>0</v>
      </c>
      <c r="P481" t="n">
        <v>0</v>
      </c>
      <c r="Q481" t="n">
        <v>0</v>
      </c>
      <c r="R481" s="2" t="inlineStr"/>
    </row>
    <row r="482" ht="15" customHeight="1">
      <c r="A482" t="inlineStr">
        <is>
          <t>A 15334-2022</t>
        </is>
      </c>
      <c r="B482" s="1" t="n">
        <v>44659</v>
      </c>
      <c r="C482" s="1" t="n">
        <v>45665</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15447-2022</t>
        </is>
      </c>
      <c r="B483" s="1" t="n">
        <v>44660</v>
      </c>
      <c r="C483" s="1" t="n">
        <v>45665</v>
      </c>
      <c r="D483" t="inlineStr">
        <is>
          <t>UPPSALA LÄN</t>
        </is>
      </c>
      <c r="E483" t="inlineStr">
        <is>
          <t>ÖSTHAMMAR</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15445-2022</t>
        </is>
      </c>
      <c r="B484" s="1" t="n">
        <v>44660</v>
      </c>
      <c r="C484" s="1" t="n">
        <v>45665</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15449-2022</t>
        </is>
      </c>
      <c r="B485" s="1" t="n">
        <v>44660</v>
      </c>
      <c r="C485" s="1" t="n">
        <v>45665</v>
      </c>
      <c r="D485" t="inlineStr">
        <is>
          <t>UPPSALA LÄN</t>
        </is>
      </c>
      <c r="E485" t="inlineStr">
        <is>
          <t>ÖSTHAMMAR</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15456-2022</t>
        </is>
      </c>
      <c r="B486" s="1" t="n">
        <v>44661</v>
      </c>
      <c r="C486" s="1" t="n">
        <v>45665</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15457-2022</t>
        </is>
      </c>
      <c r="B487" s="1" t="n">
        <v>44661</v>
      </c>
      <c r="C487" s="1" t="n">
        <v>45665</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15847-2022</t>
        </is>
      </c>
      <c r="B488" s="1" t="n">
        <v>44664</v>
      </c>
      <c r="C488" s="1" t="n">
        <v>45665</v>
      </c>
      <c r="D488" t="inlineStr">
        <is>
          <t>UPPSALA LÄN</t>
        </is>
      </c>
      <c r="E488" t="inlineStr">
        <is>
          <t>ÖSTHAMMAR</t>
        </is>
      </c>
      <c r="G488" t="n">
        <v>0.3</v>
      </c>
      <c r="H488" t="n">
        <v>0</v>
      </c>
      <c r="I488" t="n">
        <v>0</v>
      </c>
      <c r="J488" t="n">
        <v>0</v>
      </c>
      <c r="K488" t="n">
        <v>0</v>
      </c>
      <c r="L488" t="n">
        <v>0</v>
      </c>
      <c r="M488" t="n">
        <v>0</v>
      </c>
      <c r="N488" t="n">
        <v>0</v>
      </c>
      <c r="O488" t="n">
        <v>0</v>
      </c>
      <c r="P488" t="n">
        <v>0</v>
      </c>
      <c r="Q488" t="n">
        <v>0</v>
      </c>
      <c r="R488" s="2" t="inlineStr"/>
    </row>
    <row r="489" ht="15" customHeight="1">
      <c r="A489" t="inlineStr">
        <is>
          <t>A 15845-2022</t>
        </is>
      </c>
      <c r="B489" s="1" t="n">
        <v>44664</v>
      </c>
      <c r="C489" s="1" t="n">
        <v>45665</v>
      </c>
      <c r="D489" t="inlineStr">
        <is>
          <t>UPPSALA LÄN</t>
        </is>
      </c>
      <c r="E489" t="inlineStr">
        <is>
          <t>ÖSTHAMMAR</t>
        </is>
      </c>
      <c r="G489" t="n">
        <v>4.5</v>
      </c>
      <c r="H489" t="n">
        <v>0</v>
      </c>
      <c r="I489" t="n">
        <v>0</v>
      </c>
      <c r="J489" t="n">
        <v>0</v>
      </c>
      <c r="K489" t="n">
        <v>0</v>
      </c>
      <c r="L489" t="n">
        <v>0</v>
      </c>
      <c r="M489" t="n">
        <v>0</v>
      </c>
      <c r="N489" t="n">
        <v>0</v>
      </c>
      <c r="O489" t="n">
        <v>0</v>
      </c>
      <c r="P489" t="n">
        <v>0</v>
      </c>
      <c r="Q489" t="n">
        <v>0</v>
      </c>
      <c r="R489" s="2" t="inlineStr"/>
    </row>
    <row r="490" ht="15" customHeight="1">
      <c r="A490" t="inlineStr">
        <is>
          <t>A 15928-2022</t>
        </is>
      </c>
      <c r="B490" s="1" t="n">
        <v>44664</v>
      </c>
      <c r="C490" s="1" t="n">
        <v>45665</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16141-2022</t>
        </is>
      </c>
      <c r="B491" s="1" t="n">
        <v>44665</v>
      </c>
      <c r="C491" s="1" t="n">
        <v>45665</v>
      </c>
      <c r="D491" t="inlineStr">
        <is>
          <t>UPPSALA LÄN</t>
        </is>
      </c>
      <c r="E491" t="inlineStr">
        <is>
          <t>ÖSTHAMMAR</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16142-2022</t>
        </is>
      </c>
      <c r="B492" s="1" t="n">
        <v>44665</v>
      </c>
      <c r="C492" s="1" t="n">
        <v>45665</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16167-2022</t>
        </is>
      </c>
      <c r="B493" s="1" t="n">
        <v>44667</v>
      </c>
      <c r="C493" s="1" t="n">
        <v>45665</v>
      </c>
      <c r="D493" t="inlineStr">
        <is>
          <t>UPPSALA LÄN</t>
        </is>
      </c>
      <c r="E493" t="inlineStr">
        <is>
          <t>ÖSTHAMMAR</t>
        </is>
      </c>
      <c r="F493" t="inlineStr">
        <is>
          <t>Bergvik skog öst AB</t>
        </is>
      </c>
      <c r="G493" t="n">
        <v>18.7</v>
      </c>
      <c r="H493" t="n">
        <v>0</v>
      </c>
      <c r="I493" t="n">
        <v>0</v>
      </c>
      <c r="J493" t="n">
        <v>0</v>
      </c>
      <c r="K493" t="n">
        <v>0</v>
      </c>
      <c r="L493" t="n">
        <v>0</v>
      </c>
      <c r="M493" t="n">
        <v>0</v>
      </c>
      <c r="N493" t="n">
        <v>0</v>
      </c>
      <c r="O493" t="n">
        <v>0</v>
      </c>
      <c r="P493" t="n">
        <v>0</v>
      </c>
      <c r="Q493" t="n">
        <v>0</v>
      </c>
      <c r="R493" s="2" t="inlineStr"/>
    </row>
    <row r="494" ht="15" customHeight="1">
      <c r="A494" t="inlineStr">
        <is>
          <t>A 16185-2022</t>
        </is>
      </c>
      <c r="B494" s="1" t="n">
        <v>44669</v>
      </c>
      <c r="C494" s="1" t="n">
        <v>45665</v>
      </c>
      <c r="D494" t="inlineStr">
        <is>
          <t>UPPSALA LÄN</t>
        </is>
      </c>
      <c r="E494" t="inlineStr">
        <is>
          <t>ÖSTHAMMAR</t>
        </is>
      </c>
      <c r="F494" t="inlineStr">
        <is>
          <t>Bergvik skog öst AB</t>
        </is>
      </c>
      <c r="G494" t="n">
        <v>0.3</v>
      </c>
      <c r="H494" t="n">
        <v>0</v>
      </c>
      <c r="I494" t="n">
        <v>0</v>
      </c>
      <c r="J494" t="n">
        <v>0</v>
      </c>
      <c r="K494" t="n">
        <v>0</v>
      </c>
      <c r="L494" t="n">
        <v>0</v>
      </c>
      <c r="M494" t="n">
        <v>0</v>
      </c>
      <c r="N494" t="n">
        <v>0</v>
      </c>
      <c r="O494" t="n">
        <v>0</v>
      </c>
      <c r="P494" t="n">
        <v>0</v>
      </c>
      <c r="Q494" t="n">
        <v>0</v>
      </c>
      <c r="R494" s="2" t="inlineStr"/>
    </row>
    <row r="495" ht="15" customHeight="1">
      <c r="A495" t="inlineStr">
        <is>
          <t>A 16184-2022</t>
        </is>
      </c>
      <c r="B495" s="1" t="n">
        <v>44669</v>
      </c>
      <c r="C495" s="1" t="n">
        <v>45665</v>
      </c>
      <c r="D495" t="inlineStr">
        <is>
          <t>UPPSALA LÄN</t>
        </is>
      </c>
      <c r="E495" t="inlineStr">
        <is>
          <t>ÖSTHAMMAR</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16254-2022</t>
        </is>
      </c>
      <c r="B496" s="1" t="n">
        <v>44670</v>
      </c>
      <c r="C496" s="1" t="n">
        <v>45665</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16933-2022</t>
        </is>
      </c>
      <c r="B497" s="1" t="n">
        <v>44676</v>
      </c>
      <c r="C497" s="1" t="n">
        <v>45665</v>
      </c>
      <c r="D497" t="inlineStr">
        <is>
          <t>UPPSALA LÄN</t>
        </is>
      </c>
      <c r="E497" t="inlineStr">
        <is>
          <t>ÖSTHAMMAR</t>
        </is>
      </c>
      <c r="G497" t="n">
        <v>1.3</v>
      </c>
      <c r="H497" t="n">
        <v>0</v>
      </c>
      <c r="I497" t="n">
        <v>0</v>
      </c>
      <c r="J497" t="n">
        <v>0</v>
      </c>
      <c r="K497" t="n">
        <v>0</v>
      </c>
      <c r="L497" t="n">
        <v>0</v>
      </c>
      <c r="M497" t="n">
        <v>0</v>
      </c>
      <c r="N497" t="n">
        <v>0</v>
      </c>
      <c r="O497" t="n">
        <v>0</v>
      </c>
      <c r="P497" t="n">
        <v>0</v>
      </c>
      <c r="Q497" t="n">
        <v>0</v>
      </c>
      <c r="R497" s="2" t="inlineStr"/>
    </row>
    <row r="498" ht="15" customHeight="1">
      <c r="A498" t="inlineStr">
        <is>
          <t>A 17013-2022</t>
        </is>
      </c>
      <c r="B498" s="1" t="n">
        <v>44676</v>
      </c>
      <c r="C498" s="1" t="n">
        <v>45665</v>
      </c>
      <c r="D498" t="inlineStr">
        <is>
          <t>UPPSALA LÄN</t>
        </is>
      </c>
      <c r="E498" t="inlineStr">
        <is>
          <t>ÖSTHAMMAR</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17947-2022</t>
        </is>
      </c>
      <c r="B499" s="1" t="n">
        <v>44683</v>
      </c>
      <c r="C499" s="1" t="n">
        <v>45665</v>
      </c>
      <c r="D499" t="inlineStr">
        <is>
          <t>UPPSALA LÄN</t>
        </is>
      </c>
      <c r="E499" t="inlineStr">
        <is>
          <t>ÖSTHAMMAR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18183-2022</t>
        </is>
      </c>
      <c r="B500" s="1" t="n">
        <v>44684</v>
      </c>
      <c r="C500" s="1" t="n">
        <v>45665</v>
      </c>
      <c r="D500" t="inlineStr">
        <is>
          <t>UPPSALA LÄN</t>
        </is>
      </c>
      <c r="E500" t="inlineStr">
        <is>
          <t>ÖSTHAMMAR</t>
        </is>
      </c>
      <c r="G500" t="n">
        <v>0.2</v>
      </c>
      <c r="H500" t="n">
        <v>0</v>
      </c>
      <c r="I500" t="n">
        <v>0</v>
      </c>
      <c r="J500" t="n">
        <v>0</v>
      </c>
      <c r="K500" t="n">
        <v>0</v>
      </c>
      <c r="L500" t="n">
        <v>0</v>
      </c>
      <c r="M500" t="n">
        <v>0</v>
      </c>
      <c r="N500" t="n">
        <v>0</v>
      </c>
      <c r="O500" t="n">
        <v>0</v>
      </c>
      <c r="P500" t="n">
        <v>0</v>
      </c>
      <c r="Q500" t="n">
        <v>0</v>
      </c>
      <c r="R500" s="2" t="inlineStr"/>
    </row>
    <row r="501" ht="15" customHeight="1">
      <c r="A501" t="inlineStr">
        <is>
          <t>A 18732-2022</t>
        </is>
      </c>
      <c r="B501" s="1" t="n">
        <v>44687</v>
      </c>
      <c r="C501" s="1" t="n">
        <v>45665</v>
      </c>
      <c r="D501" t="inlineStr">
        <is>
          <t>UPPSALA LÄN</t>
        </is>
      </c>
      <c r="E501" t="inlineStr">
        <is>
          <t>ÖSTHAMMAR</t>
        </is>
      </c>
      <c r="G501" t="n">
        <v>10.5</v>
      </c>
      <c r="H501" t="n">
        <v>0</v>
      </c>
      <c r="I501" t="n">
        <v>0</v>
      </c>
      <c r="J501" t="n">
        <v>0</v>
      </c>
      <c r="K501" t="n">
        <v>0</v>
      </c>
      <c r="L501" t="n">
        <v>0</v>
      </c>
      <c r="M501" t="n">
        <v>0</v>
      </c>
      <c r="N501" t="n">
        <v>0</v>
      </c>
      <c r="O501" t="n">
        <v>0</v>
      </c>
      <c r="P501" t="n">
        <v>0</v>
      </c>
      <c r="Q501" t="n">
        <v>0</v>
      </c>
      <c r="R501" s="2" t="inlineStr"/>
    </row>
    <row r="502" ht="15" customHeight="1">
      <c r="A502" t="inlineStr">
        <is>
          <t>A 18727-2022</t>
        </is>
      </c>
      <c r="B502" s="1" t="n">
        <v>44687</v>
      </c>
      <c r="C502" s="1" t="n">
        <v>45665</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18728-2022</t>
        </is>
      </c>
      <c r="B503" s="1" t="n">
        <v>44687</v>
      </c>
      <c r="C503" s="1" t="n">
        <v>45665</v>
      </c>
      <c r="D503" t="inlineStr">
        <is>
          <t>UPPSALA LÄN</t>
        </is>
      </c>
      <c r="E503" t="inlineStr">
        <is>
          <t>ÖSTHAMMAR</t>
        </is>
      </c>
      <c r="G503" t="n">
        <v>8.1</v>
      </c>
      <c r="H503" t="n">
        <v>0</v>
      </c>
      <c r="I503" t="n">
        <v>0</v>
      </c>
      <c r="J503" t="n">
        <v>0</v>
      </c>
      <c r="K503" t="n">
        <v>0</v>
      </c>
      <c r="L503" t="n">
        <v>0</v>
      </c>
      <c r="M503" t="n">
        <v>0</v>
      </c>
      <c r="N503" t="n">
        <v>0</v>
      </c>
      <c r="O503" t="n">
        <v>0</v>
      </c>
      <c r="P503" t="n">
        <v>0</v>
      </c>
      <c r="Q503" t="n">
        <v>0</v>
      </c>
      <c r="R503" s="2" t="inlineStr"/>
    </row>
    <row r="504" ht="15" customHeight="1">
      <c r="A504" t="inlineStr">
        <is>
          <t>A 18734-2022</t>
        </is>
      </c>
      <c r="B504" s="1" t="n">
        <v>44687</v>
      </c>
      <c r="C504" s="1" t="n">
        <v>45665</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18731-2022</t>
        </is>
      </c>
      <c r="B505" s="1" t="n">
        <v>44687</v>
      </c>
      <c r="C505" s="1" t="n">
        <v>45665</v>
      </c>
      <c r="D505" t="inlineStr">
        <is>
          <t>UPPSALA LÄN</t>
        </is>
      </c>
      <c r="E505" t="inlineStr">
        <is>
          <t>ÖSTHAMMAR</t>
        </is>
      </c>
      <c r="G505" t="n">
        <v>4.9</v>
      </c>
      <c r="H505" t="n">
        <v>0</v>
      </c>
      <c r="I505" t="n">
        <v>0</v>
      </c>
      <c r="J505" t="n">
        <v>0</v>
      </c>
      <c r="K505" t="n">
        <v>0</v>
      </c>
      <c r="L505" t="n">
        <v>0</v>
      </c>
      <c r="M505" t="n">
        <v>0</v>
      </c>
      <c r="N505" t="n">
        <v>0</v>
      </c>
      <c r="O505" t="n">
        <v>0</v>
      </c>
      <c r="P505" t="n">
        <v>0</v>
      </c>
      <c r="Q505" t="n">
        <v>0</v>
      </c>
      <c r="R505" s="2" t="inlineStr"/>
    </row>
    <row r="506" ht="15" customHeight="1">
      <c r="A506" t="inlineStr">
        <is>
          <t>A 18736-2022</t>
        </is>
      </c>
      <c r="B506" s="1" t="n">
        <v>44687</v>
      </c>
      <c r="C506" s="1" t="n">
        <v>45665</v>
      </c>
      <c r="D506" t="inlineStr">
        <is>
          <t>UPPSALA LÄN</t>
        </is>
      </c>
      <c r="E506" t="inlineStr">
        <is>
          <t>ÖSTHAMMAR</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19174-2022</t>
        </is>
      </c>
      <c r="B507" s="1" t="n">
        <v>44691</v>
      </c>
      <c r="C507" s="1" t="n">
        <v>45665</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19181-2022</t>
        </is>
      </c>
      <c r="B508" s="1" t="n">
        <v>44691</v>
      </c>
      <c r="C508" s="1" t="n">
        <v>45665</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19287-2022</t>
        </is>
      </c>
      <c r="B509" s="1" t="n">
        <v>44692</v>
      </c>
      <c r="C509" s="1" t="n">
        <v>45665</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19707-2022</t>
        </is>
      </c>
      <c r="B510" s="1" t="n">
        <v>44694</v>
      </c>
      <c r="C510" s="1" t="n">
        <v>45665</v>
      </c>
      <c r="D510" t="inlineStr">
        <is>
          <t>UPPSALA LÄN</t>
        </is>
      </c>
      <c r="E510" t="inlineStr">
        <is>
          <t>ÖSTHAMMAR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20468-2022</t>
        </is>
      </c>
      <c r="B511" s="1" t="n">
        <v>44699</v>
      </c>
      <c r="C511" s="1" t="n">
        <v>45665</v>
      </c>
      <c r="D511" t="inlineStr">
        <is>
          <t>UPPSALA LÄN</t>
        </is>
      </c>
      <c r="E511" t="inlineStr">
        <is>
          <t>ÖSTHAMMAR</t>
        </is>
      </c>
      <c r="G511" t="n">
        <v>3.7</v>
      </c>
      <c r="H511" t="n">
        <v>0</v>
      </c>
      <c r="I511" t="n">
        <v>0</v>
      </c>
      <c r="J511" t="n">
        <v>0</v>
      </c>
      <c r="K511" t="n">
        <v>0</v>
      </c>
      <c r="L511" t="n">
        <v>0</v>
      </c>
      <c r="M511" t="n">
        <v>0</v>
      </c>
      <c r="N511" t="n">
        <v>0</v>
      </c>
      <c r="O511" t="n">
        <v>0</v>
      </c>
      <c r="P511" t="n">
        <v>0</v>
      </c>
      <c r="Q511" t="n">
        <v>0</v>
      </c>
      <c r="R511" s="2" t="inlineStr"/>
    </row>
    <row r="512" ht="15" customHeight="1">
      <c r="A512" t="inlineStr">
        <is>
          <t>A 21522-2022</t>
        </is>
      </c>
      <c r="B512" s="1" t="n">
        <v>44706</v>
      </c>
      <c r="C512" s="1" t="n">
        <v>45665</v>
      </c>
      <c r="D512" t="inlineStr">
        <is>
          <t>UPPSALA LÄN</t>
        </is>
      </c>
      <c r="E512" t="inlineStr">
        <is>
          <t>ÖSTHAMMAR</t>
        </is>
      </c>
      <c r="G512" t="n">
        <v>1.8</v>
      </c>
      <c r="H512" t="n">
        <v>0</v>
      </c>
      <c r="I512" t="n">
        <v>0</v>
      </c>
      <c r="J512" t="n">
        <v>0</v>
      </c>
      <c r="K512" t="n">
        <v>0</v>
      </c>
      <c r="L512" t="n">
        <v>0</v>
      </c>
      <c r="M512" t="n">
        <v>0</v>
      </c>
      <c r="N512" t="n">
        <v>0</v>
      </c>
      <c r="O512" t="n">
        <v>0</v>
      </c>
      <c r="P512" t="n">
        <v>0</v>
      </c>
      <c r="Q512" t="n">
        <v>0</v>
      </c>
      <c r="R512" s="2" t="inlineStr"/>
    </row>
    <row r="513" ht="15" customHeight="1">
      <c r="A513" t="inlineStr">
        <is>
          <t>A 21830-2022</t>
        </is>
      </c>
      <c r="B513" s="1" t="n">
        <v>44710</v>
      </c>
      <c r="C513" s="1" t="n">
        <v>45665</v>
      </c>
      <c r="D513" t="inlineStr">
        <is>
          <t>UPPSALA LÄN</t>
        </is>
      </c>
      <c r="E513" t="inlineStr">
        <is>
          <t>ÖSTHAMMAR</t>
        </is>
      </c>
      <c r="F513" t="inlineStr">
        <is>
          <t>Bergvik skog öst AB</t>
        </is>
      </c>
      <c r="G513" t="n">
        <v>3.6</v>
      </c>
      <c r="H513" t="n">
        <v>0</v>
      </c>
      <c r="I513" t="n">
        <v>0</v>
      </c>
      <c r="J513" t="n">
        <v>0</v>
      </c>
      <c r="K513" t="n">
        <v>0</v>
      </c>
      <c r="L513" t="n">
        <v>0</v>
      </c>
      <c r="M513" t="n">
        <v>0</v>
      </c>
      <c r="N513" t="n">
        <v>0</v>
      </c>
      <c r="O513" t="n">
        <v>0</v>
      </c>
      <c r="P513" t="n">
        <v>0</v>
      </c>
      <c r="Q513" t="n">
        <v>0</v>
      </c>
      <c r="R513" s="2" t="inlineStr"/>
    </row>
    <row r="514" ht="15" customHeight="1">
      <c r="A514" t="inlineStr">
        <is>
          <t>A 21829-2022</t>
        </is>
      </c>
      <c r="B514" s="1" t="n">
        <v>44710</v>
      </c>
      <c r="C514" s="1" t="n">
        <v>45665</v>
      </c>
      <c r="D514" t="inlineStr">
        <is>
          <t>UPPSALA LÄN</t>
        </is>
      </c>
      <c r="E514" t="inlineStr">
        <is>
          <t>ÖSTHAMMAR</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22207-2022</t>
        </is>
      </c>
      <c r="B515" s="1" t="n">
        <v>44712</v>
      </c>
      <c r="C515" s="1" t="n">
        <v>45665</v>
      </c>
      <c r="D515" t="inlineStr">
        <is>
          <t>UPPSALA LÄN</t>
        </is>
      </c>
      <c r="E515" t="inlineStr">
        <is>
          <t>ÖSTHAMMAR</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22619-2022</t>
        </is>
      </c>
      <c r="B516" s="1" t="n">
        <v>44714</v>
      </c>
      <c r="C516" s="1" t="n">
        <v>45665</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22804-2022</t>
        </is>
      </c>
      <c r="B517" s="1" t="n">
        <v>44715</v>
      </c>
      <c r="C517" s="1" t="n">
        <v>45665</v>
      </c>
      <c r="D517" t="inlineStr">
        <is>
          <t>UPPSALA LÄN</t>
        </is>
      </c>
      <c r="E517" t="inlineStr">
        <is>
          <t>ÖSTHAMMAR</t>
        </is>
      </c>
      <c r="G517" t="n">
        <v>2.7</v>
      </c>
      <c r="H517" t="n">
        <v>0</v>
      </c>
      <c r="I517" t="n">
        <v>0</v>
      </c>
      <c r="J517" t="n">
        <v>0</v>
      </c>
      <c r="K517" t="n">
        <v>0</v>
      </c>
      <c r="L517" t="n">
        <v>0</v>
      </c>
      <c r="M517" t="n">
        <v>0</v>
      </c>
      <c r="N517" t="n">
        <v>0</v>
      </c>
      <c r="O517" t="n">
        <v>0</v>
      </c>
      <c r="P517" t="n">
        <v>0</v>
      </c>
      <c r="Q517" t="n">
        <v>0</v>
      </c>
      <c r="R517" s="2" t="inlineStr"/>
    </row>
    <row r="518" ht="15" customHeight="1">
      <c r="A518" t="inlineStr">
        <is>
          <t>A 22887-2022</t>
        </is>
      </c>
      <c r="B518" s="1" t="n">
        <v>44715</v>
      </c>
      <c r="C518" s="1" t="n">
        <v>45665</v>
      </c>
      <c r="D518" t="inlineStr">
        <is>
          <t>UPPSALA LÄN</t>
        </is>
      </c>
      <c r="E518" t="inlineStr">
        <is>
          <t>ÖSTHAMMAR</t>
        </is>
      </c>
      <c r="G518" t="n">
        <v>0.2</v>
      </c>
      <c r="H518" t="n">
        <v>0</v>
      </c>
      <c r="I518" t="n">
        <v>0</v>
      </c>
      <c r="J518" t="n">
        <v>0</v>
      </c>
      <c r="K518" t="n">
        <v>0</v>
      </c>
      <c r="L518" t="n">
        <v>0</v>
      </c>
      <c r="M518" t="n">
        <v>0</v>
      </c>
      <c r="N518" t="n">
        <v>0</v>
      </c>
      <c r="O518" t="n">
        <v>0</v>
      </c>
      <c r="P518" t="n">
        <v>0</v>
      </c>
      <c r="Q518" t="n">
        <v>0</v>
      </c>
      <c r="R518" s="2" t="inlineStr"/>
    </row>
    <row r="519" ht="15" customHeight="1">
      <c r="A519" t="inlineStr">
        <is>
          <t>A 22945-2022</t>
        </is>
      </c>
      <c r="B519" s="1" t="n">
        <v>44715</v>
      </c>
      <c r="C519" s="1" t="n">
        <v>45665</v>
      </c>
      <c r="D519" t="inlineStr">
        <is>
          <t>UPPSALA LÄN</t>
        </is>
      </c>
      <c r="E519" t="inlineStr">
        <is>
          <t>ÖSTHAMMAR</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22993-2022</t>
        </is>
      </c>
      <c r="B520" s="1" t="n">
        <v>44718</v>
      </c>
      <c r="C520" s="1" t="n">
        <v>45665</v>
      </c>
      <c r="D520" t="inlineStr">
        <is>
          <t>UPPSALA LÄN</t>
        </is>
      </c>
      <c r="E520" t="inlineStr">
        <is>
          <t>ÖSTHAMMAR</t>
        </is>
      </c>
      <c r="F520" t="inlineStr">
        <is>
          <t>Bergvik skog öst AB</t>
        </is>
      </c>
      <c r="G520" t="n">
        <v>4.8</v>
      </c>
      <c r="H520" t="n">
        <v>0</v>
      </c>
      <c r="I520" t="n">
        <v>0</v>
      </c>
      <c r="J520" t="n">
        <v>0</v>
      </c>
      <c r="K520" t="n">
        <v>0</v>
      </c>
      <c r="L520" t="n">
        <v>0</v>
      </c>
      <c r="M520" t="n">
        <v>0</v>
      </c>
      <c r="N520" t="n">
        <v>0</v>
      </c>
      <c r="O520" t="n">
        <v>0</v>
      </c>
      <c r="P520" t="n">
        <v>0</v>
      </c>
      <c r="Q520" t="n">
        <v>0</v>
      </c>
      <c r="R520" s="2" t="inlineStr"/>
    </row>
    <row r="521" ht="15" customHeight="1">
      <c r="A521" t="inlineStr">
        <is>
          <t>A 22994-2022</t>
        </is>
      </c>
      <c r="B521" s="1" t="n">
        <v>44718</v>
      </c>
      <c r="C521" s="1" t="n">
        <v>45665</v>
      </c>
      <c r="D521" t="inlineStr">
        <is>
          <t>UPPSALA LÄN</t>
        </is>
      </c>
      <c r="E521" t="inlineStr">
        <is>
          <t>ÖSTHAMMAR</t>
        </is>
      </c>
      <c r="F521" t="inlineStr">
        <is>
          <t>Bergvik skog öst AB</t>
        </is>
      </c>
      <c r="G521" t="n">
        <v>29.9</v>
      </c>
      <c r="H521" t="n">
        <v>0</v>
      </c>
      <c r="I521" t="n">
        <v>0</v>
      </c>
      <c r="J521" t="n">
        <v>0</v>
      </c>
      <c r="K521" t="n">
        <v>0</v>
      </c>
      <c r="L521" t="n">
        <v>0</v>
      </c>
      <c r="M521" t="n">
        <v>0</v>
      </c>
      <c r="N521" t="n">
        <v>0</v>
      </c>
      <c r="O521" t="n">
        <v>0</v>
      </c>
      <c r="P521" t="n">
        <v>0</v>
      </c>
      <c r="Q521" t="n">
        <v>0</v>
      </c>
      <c r="R521" s="2" t="inlineStr"/>
    </row>
    <row r="522" ht="15" customHeight="1">
      <c r="A522" t="inlineStr">
        <is>
          <t>A 23603-2022</t>
        </is>
      </c>
      <c r="B522" s="1" t="n">
        <v>44721</v>
      </c>
      <c r="C522" s="1" t="n">
        <v>45665</v>
      </c>
      <c r="D522" t="inlineStr">
        <is>
          <t>UPPSALA LÄN</t>
        </is>
      </c>
      <c r="E522" t="inlineStr">
        <is>
          <t>ÖSTHAMMAR</t>
        </is>
      </c>
      <c r="F522" t="inlineStr">
        <is>
          <t>Övriga Aktiebolag</t>
        </is>
      </c>
      <c r="G522" t="n">
        <v>1.2</v>
      </c>
      <c r="H522" t="n">
        <v>0</v>
      </c>
      <c r="I522" t="n">
        <v>0</v>
      </c>
      <c r="J522" t="n">
        <v>0</v>
      </c>
      <c r="K522" t="n">
        <v>0</v>
      </c>
      <c r="L522" t="n">
        <v>0</v>
      </c>
      <c r="M522" t="n">
        <v>0</v>
      </c>
      <c r="N522" t="n">
        <v>0</v>
      </c>
      <c r="O522" t="n">
        <v>0</v>
      </c>
      <c r="P522" t="n">
        <v>0</v>
      </c>
      <c r="Q522" t="n">
        <v>0</v>
      </c>
      <c r="R522" s="2" t="inlineStr"/>
    </row>
    <row r="523" ht="15" customHeight="1">
      <c r="A523" t="inlineStr">
        <is>
          <t>A 24138-2022</t>
        </is>
      </c>
      <c r="B523" s="1" t="n">
        <v>44725</v>
      </c>
      <c r="C523" s="1" t="n">
        <v>45665</v>
      </c>
      <c r="D523" t="inlineStr">
        <is>
          <t>UPPSALA LÄN</t>
        </is>
      </c>
      <c r="E523" t="inlineStr">
        <is>
          <t>ÖSTHAMMAR</t>
        </is>
      </c>
      <c r="G523" t="n">
        <v>0.4</v>
      </c>
      <c r="H523" t="n">
        <v>0</v>
      </c>
      <c r="I523" t="n">
        <v>0</v>
      </c>
      <c r="J523" t="n">
        <v>0</v>
      </c>
      <c r="K523" t="n">
        <v>0</v>
      </c>
      <c r="L523" t="n">
        <v>0</v>
      </c>
      <c r="M523" t="n">
        <v>0</v>
      </c>
      <c r="N523" t="n">
        <v>0</v>
      </c>
      <c r="O523" t="n">
        <v>0</v>
      </c>
      <c r="P523" t="n">
        <v>0</v>
      </c>
      <c r="Q523" t="n">
        <v>0</v>
      </c>
      <c r="R523" s="2" t="inlineStr"/>
    </row>
    <row r="524" ht="15" customHeight="1">
      <c r="A524" t="inlineStr">
        <is>
          <t>A 24149-2022</t>
        </is>
      </c>
      <c r="B524" s="1" t="n">
        <v>44725</v>
      </c>
      <c r="C524" s="1" t="n">
        <v>45665</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24181-2022</t>
        </is>
      </c>
      <c r="B525" s="1" t="n">
        <v>44725</v>
      </c>
      <c r="C525" s="1" t="n">
        <v>45665</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24259-2022</t>
        </is>
      </c>
      <c r="B526" s="1" t="n">
        <v>44725</v>
      </c>
      <c r="C526" s="1" t="n">
        <v>45665</v>
      </c>
      <c r="D526" t="inlineStr">
        <is>
          <t>UPPSALA LÄN</t>
        </is>
      </c>
      <c r="E526" t="inlineStr">
        <is>
          <t>ÖSTHAMMAR</t>
        </is>
      </c>
      <c r="G526" t="n">
        <v>2.4</v>
      </c>
      <c r="H526" t="n">
        <v>0</v>
      </c>
      <c r="I526" t="n">
        <v>0</v>
      </c>
      <c r="J526" t="n">
        <v>0</v>
      </c>
      <c r="K526" t="n">
        <v>0</v>
      </c>
      <c r="L526" t="n">
        <v>0</v>
      </c>
      <c r="M526" t="n">
        <v>0</v>
      </c>
      <c r="N526" t="n">
        <v>0</v>
      </c>
      <c r="O526" t="n">
        <v>0</v>
      </c>
      <c r="P526" t="n">
        <v>0</v>
      </c>
      <c r="Q526" t="n">
        <v>0</v>
      </c>
      <c r="R526" s="2" t="inlineStr"/>
    </row>
    <row r="527" ht="15" customHeight="1">
      <c r="A527" t="inlineStr">
        <is>
          <t>A 24447-2022</t>
        </is>
      </c>
      <c r="B527" s="1" t="n">
        <v>44726</v>
      </c>
      <c r="C527" s="1" t="n">
        <v>45665</v>
      </c>
      <c r="D527" t="inlineStr">
        <is>
          <t>UPPSALA LÄN</t>
        </is>
      </c>
      <c r="E527" t="inlineStr">
        <is>
          <t>ÖSTHAMMAR</t>
        </is>
      </c>
      <c r="G527" t="n">
        <v>5.5</v>
      </c>
      <c r="H527" t="n">
        <v>0</v>
      </c>
      <c r="I527" t="n">
        <v>0</v>
      </c>
      <c r="J527" t="n">
        <v>0</v>
      </c>
      <c r="K527" t="n">
        <v>0</v>
      </c>
      <c r="L527" t="n">
        <v>0</v>
      </c>
      <c r="M527" t="n">
        <v>0</v>
      </c>
      <c r="N527" t="n">
        <v>0</v>
      </c>
      <c r="O527" t="n">
        <v>0</v>
      </c>
      <c r="P527" t="n">
        <v>0</v>
      </c>
      <c r="Q527" t="n">
        <v>0</v>
      </c>
      <c r="R527" s="2" t="inlineStr"/>
    </row>
    <row r="528" ht="15" customHeight="1">
      <c r="A528" t="inlineStr">
        <is>
          <t>A 24367-2022</t>
        </is>
      </c>
      <c r="B528" s="1" t="n">
        <v>44726</v>
      </c>
      <c r="C528" s="1" t="n">
        <v>45665</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24817-2022</t>
        </is>
      </c>
      <c r="B529" s="1" t="n">
        <v>44728</v>
      </c>
      <c r="C529" s="1" t="n">
        <v>45665</v>
      </c>
      <c r="D529" t="inlineStr">
        <is>
          <t>UPPSALA LÄN</t>
        </is>
      </c>
      <c r="E529" t="inlineStr">
        <is>
          <t>ÖSTHAMMAR</t>
        </is>
      </c>
      <c r="F529" t="inlineStr">
        <is>
          <t>Sveaskog</t>
        </is>
      </c>
      <c r="G529" t="n">
        <v>0.2</v>
      </c>
      <c r="H529" t="n">
        <v>0</v>
      </c>
      <c r="I529" t="n">
        <v>0</v>
      </c>
      <c r="J529" t="n">
        <v>0</v>
      </c>
      <c r="K529" t="n">
        <v>0</v>
      </c>
      <c r="L529" t="n">
        <v>0</v>
      </c>
      <c r="M529" t="n">
        <v>0</v>
      </c>
      <c r="N529" t="n">
        <v>0</v>
      </c>
      <c r="O529" t="n">
        <v>0</v>
      </c>
      <c r="P529" t="n">
        <v>0</v>
      </c>
      <c r="Q529" t="n">
        <v>0</v>
      </c>
      <c r="R529" s="2" t="inlineStr"/>
    </row>
    <row r="530" ht="15" customHeight="1">
      <c r="A530" t="inlineStr">
        <is>
          <t>A 25076-2022</t>
        </is>
      </c>
      <c r="B530" s="1" t="n">
        <v>44729</v>
      </c>
      <c r="C530" s="1" t="n">
        <v>45665</v>
      </c>
      <c r="D530" t="inlineStr">
        <is>
          <t>UPPSALA LÄN</t>
        </is>
      </c>
      <c r="E530" t="inlineStr">
        <is>
          <t>ÖSTHAMMAR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25418-2022</t>
        </is>
      </c>
      <c r="B531" s="1" t="n">
        <v>44732</v>
      </c>
      <c r="C531" s="1" t="n">
        <v>45665</v>
      </c>
      <c r="D531" t="inlineStr">
        <is>
          <t>UPPSALA LÄN</t>
        </is>
      </c>
      <c r="E531" t="inlineStr">
        <is>
          <t>ÖSTHAMMAR</t>
        </is>
      </c>
      <c r="G531" t="n">
        <v>2.8</v>
      </c>
      <c r="H531" t="n">
        <v>0</v>
      </c>
      <c r="I531" t="n">
        <v>0</v>
      </c>
      <c r="J531" t="n">
        <v>0</v>
      </c>
      <c r="K531" t="n">
        <v>0</v>
      </c>
      <c r="L531" t="n">
        <v>0</v>
      </c>
      <c r="M531" t="n">
        <v>0</v>
      </c>
      <c r="N531" t="n">
        <v>0</v>
      </c>
      <c r="O531" t="n">
        <v>0</v>
      </c>
      <c r="P531" t="n">
        <v>0</v>
      </c>
      <c r="Q531" t="n">
        <v>0</v>
      </c>
      <c r="R531" s="2" t="inlineStr"/>
    </row>
    <row r="532" ht="15" customHeight="1">
      <c r="A532" t="inlineStr">
        <is>
          <t>A 25434-2022</t>
        </is>
      </c>
      <c r="B532" s="1" t="n">
        <v>44732</v>
      </c>
      <c r="C532" s="1" t="n">
        <v>45665</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26008-2022</t>
        </is>
      </c>
      <c r="B533" s="1" t="n">
        <v>44734</v>
      </c>
      <c r="C533" s="1" t="n">
        <v>45665</v>
      </c>
      <c r="D533" t="inlineStr">
        <is>
          <t>UPPSALA LÄN</t>
        </is>
      </c>
      <c r="E533" t="inlineStr">
        <is>
          <t>ÖSTHAMMAR</t>
        </is>
      </c>
      <c r="F533" t="inlineStr">
        <is>
          <t>Bergvik skog öst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25987-2022</t>
        </is>
      </c>
      <c r="B534" s="1" t="n">
        <v>44734</v>
      </c>
      <c r="C534" s="1" t="n">
        <v>45665</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25983-2022</t>
        </is>
      </c>
      <c r="B535" s="1" t="n">
        <v>44734</v>
      </c>
      <c r="C535" s="1" t="n">
        <v>45665</v>
      </c>
      <c r="D535" t="inlineStr">
        <is>
          <t>UPPSALA LÄN</t>
        </is>
      </c>
      <c r="E535" t="inlineStr">
        <is>
          <t>ÖSTHAMMAR</t>
        </is>
      </c>
      <c r="G535" t="n">
        <v>4.7</v>
      </c>
      <c r="H535" t="n">
        <v>0</v>
      </c>
      <c r="I535" t="n">
        <v>0</v>
      </c>
      <c r="J535" t="n">
        <v>0</v>
      </c>
      <c r="K535" t="n">
        <v>0</v>
      </c>
      <c r="L535" t="n">
        <v>0</v>
      </c>
      <c r="M535" t="n">
        <v>0</v>
      </c>
      <c r="N535" t="n">
        <v>0</v>
      </c>
      <c r="O535" t="n">
        <v>0</v>
      </c>
      <c r="P535" t="n">
        <v>0</v>
      </c>
      <c r="Q535" t="n">
        <v>0</v>
      </c>
      <c r="R535" s="2" t="inlineStr"/>
    </row>
    <row r="536" ht="15" customHeight="1">
      <c r="A536" t="inlineStr">
        <is>
          <t>A 26004-2022</t>
        </is>
      </c>
      <c r="B536" s="1" t="n">
        <v>44734</v>
      </c>
      <c r="C536" s="1" t="n">
        <v>45665</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26534-2022</t>
        </is>
      </c>
      <c r="B537" s="1" t="n">
        <v>44739</v>
      </c>
      <c r="C537" s="1" t="n">
        <v>45665</v>
      </c>
      <c r="D537" t="inlineStr">
        <is>
          <t>UPPSALA LÄN</t>
        </is>
      </c>
      <c r="E537" t="inlineStr">
        <is>
          <t>ÖSTHAMMAR</t>
        </is>
      </c>
      <c r="F537" t="inlineStr">
        <is>
          <t>Övriga statliga verk och myndigheter</t>
        </is>
      </c>
      <c r="G537" t="n">
        <v>0.6</v>
      </c>
      <c r="H537" t="n">
        <v>0</v>
      </c>
      <c r="I537" t="n">
        <v>0</v>
      </c>
      <c r="J537" t="n">
        <v>0</v>
      </c>
      <c r="K537" t="n">
        <v>0</v>
      </c>
      <c r="L537" t="n">
        <v>0</v>
      </c>
      <c r="M537" t="n">
        <v>0</v>
      </c>
      <c r="N537" t="n">
        <v>0</v>
      </c>
      <c r="O537" t="n">
        <v>0</v>
      </c>
      <c r="P537" t="n">
        <v>0</v>
      </c>
      <c r="Q537" t="n">
        <v>0</v>
      </c>
      <c r="R537" s="2" t="inlineStr"/>
    </row>
    <row r="538" ht="15" customHeight="1">
      <c r="A538" t="inlineStr">
        <is>
          <t>A 26552-2022</t>
        </is>
      </c>
      <c r="B538" s="1" t="n">
        <v>44739</v>
      </c>
      <c r="C538" s="1" t="n">
        <v>45665</v>
      </c>
      <c r="D538" t="inlineStr">
        <is>
          <t>UPPSALA LÄN</t>
        </is>
      </c>
      <c r="E538" t="inlineStr">
        <is>
          <t>ÖSTHAMMAR</t>
        </is>
      </c>
      <c r="G538" t="n">
        <v>2.2</v>
      </c>
      <c r="H538" t="n">
        <v>0</v>
      </c>
      <c r="I538" t="n">
        <v>0</v>
      </c>
      <c r="J538" t="n">
        <v>0</v>
      </c>
      <c r="K538" t="n">
        <v>0</v>
      </c>
      <c r="L538" t="n">
        <v>0</v>
      </c>
      <c r="M538" t="n">
        <v>0</v>
      </c>
      <c r="N538" t="n">
        <v>0</v>
      </c>
      <c r="O538" t="n">
        <v>0</v>
      </c>
      <c r="P538" t="n">
        <v>0</v>
      </c>
      <c r="Q538" t="n">
        <v>0</v>
      </c>
      <c r="R538" s="2" t="inlineStr"/>
    </row>
    <row r="539" ht="15" customHeight="1">
      <c r="A539" t="inlineStr">
        <is>
          <t>A 26561-2022</t>
        </is>
      </c>
      <c r="B539" s="1" t="n">
        <v>44739</v>
      </c>
      <c r="C539" s="1" t="n">
        <v>45665</v>
      </c>
      <c r="D539" t="inlineStr">
        <is>
          <t>UPPSALA LÄN</t>
        </is>
      </c>
      <c r="E539" t="inlineStr">
        <is>
          <t>ÖSTHAMMAR</t>
        </is>
      </c>
      <c r="G539" t="n">
        <v>3.7</v>
      </c>
      <c r="H539" t="n">
        <v>0</v>
      </c>
      <c r="I539" t="n">
        <v>0</v>
      </c>
      <c r="J539" t="n">
        <v>0</v>
      </c>
      <c r="K539" t="n">
        <v>0</v>
      </c>
      <c r="L539" t="n">
        <v>0</v>
      </c>
      <c r="M539" t="n">
        <v>0</v>
      </c>
      <c r="N539" t="n">
        <v>0</v>
      </c>
      <c r="O539" t="n">
        <v>0</v>
      </c>
      <c r="P539" t="n">
        <v>0</v>
      </c>
      <c r="Q539" t="n">
        <v>0</v>
      </c>
      <c r="R539" s="2" t="inlineStr"/>
    </row>
    <row r="540" ht="15" customHeight="1">
      <c r="A540" t="inlineStr">
        <is>
          <t>A 28228-2022</t>
        </is>
      </c>
      <c r="B540" s="1" t="n">
        <v>44746</v>
      </c>
      <c r="C540" s="1" t="n">
        <v>45665</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29753-2022</t>
        </is>
      </c>
      <c r="B541" s="1" t="n">
        <v>44755</v>
      </c>
      <c r="C541" s="1" t="n">
        <v>45665</v>
      </c>
      <c r="D541" t="inlineStr">
        <is>
          <t>UPPSALA LÄN</t>
        </is>
      </c>
      <c r="E541" t="inlineStr">
        <is>
          <t>ÖSTHAMMAR</t>
        </is>
      </c>
      <c r="G541" t="n">
        <v>9.4</v>
      </c>
      <c r="H541" t="n">
        <v>0</v>
      </c>
      <c r="I541" t="n">
        <v>0</v>
      </c>
      <c r="J541" t="n">
        <v>0</v>
      </c>
      <c r="K541" t="n">
        <v>0</v>
      </c>
      <c r="L541" t="n">
        <v>0</v>
      </c>
      <c r="M541" t="n">
        <v>0</v>
      </c>
      <c r="N541" t="n">
        <v>0</v>
      </c>
      <c r="O541" t="n">
        <v>0</v>
      </c>
      <c r="P541" t="n">
        <v>0</v>
      </c>
      <c r="Q541" t="n">
        <v>0</v>
      </c>
      <c r="R541" s="2" t="inlineStr"/>
    </row>
    <row r="542" ht="15" customHeight="1">
      <c r="A542" t="inlineStr">
        <is>
          <t>A 30212-2022</t>
        </is>
      </c>
      <c r="B542" s="1" t="n">
        <v>44757</v>
      </c>
      <c r="C542" s="1" t="n">
        <v>45665</v>
      </c>
      <c r="D542" t="inlineStr">
        <is>
          <t>UPPSALA LÄN</t>
        </is>
      </c>
      <c r="E542" t="inlineStr">
        <is>
          <t>ÖSTHAMMAR</t>
        </is>
      </c>
      <c r="F542" t="inlineStr">
        <is>
          <t>Bergvik skog öst AB</t>
        </is>
      </c>
      <c r="G542" t="n">
        <v>13.6</v>
      </c>
      <c r="H542" t="n">
        <v>0</v>
      </c>
      <c r="I542" t="n">
        <v>0</v>
      </c>
      <c r="J542" t="n">
        <v>0</v>
      </c>
      <c r="K542" t="n">
        <v>0</v>
      </c>
      <c r="L542" t="n">
        <v>0</v>
      </c>
      <c r="M542" t="n">
        <v>0</v>
      </c>
      <c r="N542" t="n">
        <v>0</v>
      </c>
      <c r="O542" t="n">
        <v>0</v>
      </c>
      <c r="P542" t="n">
        <v>0</v>
      </c>
      <c r="Q542" t="n">
        <v>0</v>
      </c>
      <c r="R542" s="2" t="inlineStr"/>
    </row>
    <row r="543" ht="15" customHeight="1">
      <c r="A543" t="inlineStr">
        <is>
          <t>A 30209-2022</t>
        </is>
      </c>
      <c r="B543" s="1" t="n">
        <v>44757</v>
      </c>
      <c r="C543" s="1" t="n">
        <v>45665</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30549-2022</t>
        </is>
      </c>
      <c r="B544" s="1" t="n">
        <v>44762</v>
      </c>
      <c r="C544" s="1" t="n">
        <v>45665</v>
      </c>
      <c r="D544" t="inlineStr">
        <is>
          <t>UPPSALA LÄN</t>
        </is>
      </c>
      <c r="E544" t="inlineStr">
        <is>
          <t>ÖSTHAMMAR</t>
        </is>
      </c>
      <c r="F544" t="inlineStr">
        <is>
          <t>Bergvik skog öst AB</t>
        </is>
      </c>
      <c r="G544" t="n">
        <v>6.2</v>
      </c>
      <c r="H544" t="n">
        <v>0</v>
      </c>
      <c r="I544" t="n">
        <v>0</v>
      </c>
      <c r="J544" t="n">
        <v>0</v>
      </c>
      <c r="K544" t="n">
        <v>0</v>
      </c>
      <c r="L544" t="n">
        <v>0</v>
      </c>
      <c r="M544" t="n">
        <v>0</v>
      </c>
      <c r="N544" t="n">
        <v>0</v>
      </c>
      <c r="O544" t="n">
        <v>0</v>
      </c>
      <c r="P544" t="n">
        <v>0</v>
      </c>
      <c r="Q544" t="n">
        <v>0</v>
      </c>
      <c r="R544" s="2" t="inlineStr"/>
    </row>
    <row r="545" ht="15" customHeight="1">
      <c r="A545" t="inlineStr">
        <is>
          <t>A 31027-2022</t>
        </is>
      </c>
      <c r="B545" s="1" t="n">
        <v>44768</v>
      </c>
      <c r="C545" s="1" t="n">
        <v>45665</v>
      </c>
      <c r="D545" t="inlineStr">
        <is>
          <t>UPPSALA LÄN</t>
        </is>
      </c>
      <c r="E545" t="inlineStr">
        <is>
          <t>ÖSTHAMMAR</t>
        </is>
      </c>
      <c r="F545" t="inlineStr">
        <is>
          <t>Bergvik skog öst AB</t>
        </is>
      </c>
      <c r="G545" t="n">
        <v>2.4</v>
      </c>
      <c r="H545" t="n">
        <v>0</v>
      </c>
      <c r="I545" t="n">
        <v>0</v>
      </c>
      <c r="J545" t="n">
        <v>0</v>
      </c>
      <c r="K545" t="n">
        <v>0</v>
      </c>
      <c r="L545" t="n">
        <v>0</v>
      </c>
      <c r="M545" t="n">
        <v>0</v>
      </c>
      <c r="N545" t="n">
        <v>0</v>
      </c>
      <c r="O545" t="n">
        <v>0</v>
      </c>
      <c r="P545" t="n">
        <v>0</v>
      </c>
      <c r="Q545" t="n">
        <v>0</v>
      </c>
      <c r="R545" s="2" t="inlineStr"/>
    </row>
    <row r="546" ht="15" customHeight="1">
      <c r="A546" t="inlineStr">
        <is>
          <t>A 31035-2022</t>
        </is>
      </c>
      <c r="B546" s="1" t="n">
        <v>44768</v>
      </c>
      <c r="C546" s="1" t="n">
        <v>45665</v>
      </c>
      <c r="D546" t="inlineStr">
        <is>
          <t>UPPSALA LÄN</t>
        </is>
      </c>
      <c r="E546" t="inlineStr">
        <is>
          <t>ÖSTHAMMAR</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31026-2022</t>
        </is>
      </c>
      <c r="B547" s="1" t="n">
        <v>44768</v>
      </c>
      <c r="C547" s="1" t="n">
        <v>45665</v>
      </c>
      <c r="D547" t="inlineStr">
        <is>
          <t>UPPSALA LÄN</t>
        </is>
      </c>
      <c r="E547" t="inlineStr">
        <is>
          <t>ÖSTHAMMAR</t>
        </is>
      </c>
      <c r="F547" t="inlineStr">
        <is>
          <t>Bergvik skog öst AB</t>
        </is>
      </c>
      <c r="G547" t="n">
        <v>1.8</v>
      </c>
      <c r="H547" t="n">
        <v>0</v>
      </c>
      <c r="I547" t="n">
        <v>0</v>
      </c>
      <c r="J547" t="n">
        <v>0</v>
      </c>
      <c r="K547" t="n">
        <v>0</v>
      </c>
      <c r="L547" t="n">
        <v>0</v>
      </c>
      <c r="M547" t="n">
        <v>0</v>
      </c>
      <c r="N547" t="n">
        <v>0</v>
      </c>
      <c r="O547" t="n">
        <v>0</v>
      </c>
      <c r="P547" t="n">
        <v>0</v>
      </c>
      <c r="Q547" t="n">
        <v>0</v>
      </c>
      <c r="R547" s="2" t="inlineStr"/>
    </row>
    <row r="548" ht="15" customHeight="1">
      <c r="A548" t="inlineStr">
        <is>
          <t>A 31182-2022</t>
        </is>
      </c>
      <c r="B548" s="1" t="n">
        <v>44770</v>
      </c>
      <c r="C548" s="1" t="n">
        <v>45665</v>
      </c>
      <c r="D548" t="inlineStr">
        <is>
          <t>UPPSALA LÄN</t>
        </is>
      </c>
      <c r="E548" t="inlineStr">
        <is>
          <t>ÖSTHAMMAR</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31140-2022</t>
        </is>
      </c>
      <c r="B549" s="1" t="n">
        <v>44770</v>
      </c>
      <c r="C549" s="1" t="n">
        <v>45665</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31137-2022</t>
        </is>
      </c>
      <c r="B550" s="1" t="n">
        <v>44770</v>
      </c>
      <c r="C550" s="1" t="n">
        <v>45665</v>
      </c>
      <c r="D550" t="inlineStr">
        <is>
          <t>UPPSALA LÄN</t>
        </is>
      </c>
      <c r="E550" t="inlineStr">
        <is>
          <t>ÖSTHAMMAR</t>
        </is>
      </c>
      <c r="F550" t="inlineStr">
        <is>
          <t>Bergvik skog öst AB</t>
        </is>
      </c>
      <c r="G550" t="n">
        <v>1.4</v>
      </c>
      <c r="H550" t="n">
        <v>0</v>
      </c>
      <c r="I550" t="n">
        <v>0</v>
      </c>
      <c r="J550" t="n">
        <v>0</v>
      </c>
      <c r="K550" t="n">
        <v>0</v>
      </c>
      <c r="L550" t="n">
        <v>0</v>
      </c>
      <c r="M550" t="n">
        <v>0</v>
      </c>
      <c r="N550" t="n">
        <v>0</v>
      </c>
      <c r="O550" t="n">
        <v>0</v>
      </c>
      <c r="P550" t="n">
        <v>0</v>
      </c>
      <c r="Q550" t="n">
        <v>0</v>
      </c>
      <c r="R550" s="2" t="inlineStr"/>
    </row>
    <row r="551" ht="15" customHeight="1">
      <c r="A551" t="inlineStr">
        <is>
          <t>A 31282-2022</t>
        </is>
      </c>
      <c r="B551" s="1" t="n">
        <v>44771</v>
      </c>
      <c r="C551" s="1" t="n">
        <v>45665</v>
      </c>
      <c r="D551" t="inlineStr">
        <is>
          <t>UPPSALA LÄN</t>
        </is>
      </c>
      <c r="E551" t="inlineStr">
        <is>
          <t>ÖSTHAMMAR</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31574-2022</t>
        </is>
      </c>
      <c r="B552" s="1" t="n">
        <v>44775</v>
      </c>
      <c r="C552" s="1" t="n">
        <v>45665</v>
      </c>
      <c r="D552" t="inlineStr">
        <is>
          <t>UPPSALA LÄN</t>
        </is>
      </c>
      <c r="E552" t="inlineStr">
        <is>
          <t>ÖSTHAMMAR</t>
        </is>
      </c>
      <c r="G552" t="n">
        <v>29.7</v>
      </c>
      <c r="H552" t="n">
        <v>0</v>
      </c>
      <c r="I552" t="n">
        <v>0</v>
      </c>
      <c r="J552" t="n">
        <v>0</v>
      </c>
      <c r="K552" t="n">
        <v>0</v>
      </c>
      <c r="L552" t="n">
        <v>0</v>
      </c>
      <c r="M552" t="n">
        <v>0</v>
      </c>
      <c r="N552" t="n">
        <v>0</v>
      </c>
      <c r="O552" t="n">
        <v>0</v>
      </c>
      <c r="P552" t="n">
        <v>0</v>
      </c>
      <c r="Q552" t="n">
        <v>0</v>
      </c>
      <c r="R552" s="2" t="inlineStr"/>
    </row>
    <row r="553" ht="15" customHeight="1">
      <c r="A553" t="inlineStr">
        <is>
          <t>A 31549-2022</t>
        </is>
      </c>
      <c r="B553" s="1" t="n">
        <v>44775</v>
      </c>
      <c r="C553" s="1" t="n">
        <v>45665</v>
      </c>
      <c r="D553" t="inlineStr">
        <is>
          <t>UPPSALA LÄN</t>
        </is>
      </c>
      <c r="E553" t="inlineStr">
        <is>
          <t>ÖSTHAMMAR</t>
        </is>
      </c>
      <c r="G553" t="n">
        <v>1.5</v>
      </c>
      <c r="H553" t="n">
        <v>0</v>
      </c>
      <c r="I553" t="n">
        <v>0</v>
      </c>
      <c r="J553" t="n">
        <v>0</v>
      </c>
      <c r="K553" t="n">
        <v>0</v>
      </c>
      <c r="L553" t="n">
        <v>0</v>
      </c>
      <c r="M553" t="n">
        <v>0</v>
      </c>
      <c r="N553" t="n">
        <v>0</v>
      </c>
      <c r="O553" t="n">
        <v>0</v>
      </c>
      <c r="P553" t="n">
        <v>0</v>
      </c>
      <c r="Q553" t="n">
        <v>0</v>
      </c>
      <c r="R553" s="2" t="inlineStr"/>
    </row>
    <row r="554" ht="15" customHeight="1">
      <c r="A554" t="inlineStr">
        <is>
          <t>A 31669-2022</t>
        </is>
      </c>
      <c r="B554" s="1" t="n">
        <v>44775</v>
      </c>
      <c r="C554" s="1" t="n">
        <v>45665</v>
      </c>
      <c r="D554" t="inlineStr">
        <is>
          <t>UPPSALA LÄN</t>
        </is>
      </c>
      <c r="E554" t="inlineStr">
        <is>
          <t>ÖSTHAMMAR</t>
        </is>
      </c>
      <c r="G554" t="n">
        <v>6</v>
      </c>
      <c r="H554" t="n">
        <v>0</v>
      </c>
      <c r="I554" t="n">
        <v>0</v>
      </c>
      <c r="J554" t="n">
        <v>0</v>
      </c>
      <c r="K554" t="n">
        <v>0</v>
      </c>
      <c r="L554" t="n">
        <v>0</v>
      </c>
      <c r="M554" t="n">
        <v>0</v>
      </c>
      <c r="N554" t="n">
        <v>0</v>
      </c>
      <c r="O554" t="n">
        <v>0</v>
      </c>
      <c r="P554" t="n">
        <v>0</v>
      </c>
      <c r="Q554" t="n">
        <v>0</v>
      </c>
      <c r="R554" s="2" t="inlineStr"/>
    </row>
    <row r="555" ht="15" customHeight="1">
      <c r="A555" t="inlineStr">
        <is>
          <t>A 32678-2022</t>
        </is>
      </c>
      <c r="B555" s="1" t="n">
        <v>44783</v>
      </c>
      <c r="C555" s="1" t="n">
        <v>45665</v>
      </c>
      <c r="D555" t="inlineStr">
        <is>
          <t>UPPSALA LÄN</t>
        </is>
      </c>
      <c r="E555" t="inlineStr">
        <is>
          <t>ÖSTHAMMAR</t>
        </is>
      </c>
      <c r="G555" t="n">
        <v>1.3</v>
      </c>
      <c r="H555" t="n">
        <v>0</v>
      </c>
      <c r="I555" t="n">
        <v>0</v>
      </c>
      <c r="J555" t="n">
        <v>0</v>
      </c>
      <c r="K555" t="n">
        <v>0</v>
      </c>
      <c r="L555" t="n">
        <v>0</v>
      </c>
      <c r="M555" t="n">
        <v>0</v>
      </c>
      <c r="N555" t="n">
        <v>0</v>
      </c>
      <c r="O555" t="n">
        <v>0</v>
      </c>
      <c r="P555" t="n">
        <v>0</v>
      </c>
      <c r="Q555" t="n">
        <v>0</v>
      </c>
      <c r="R555" s="2" t="inlineStr"/>
    </row>
    <row r="556" ht="15" customHeight="1">
      <c r="A556" t="inlineStr">
        <is>
          <t>A 32742-2022</t>
        </is>
      </c>
      <c r="B556" s="1" t="n">
        <v>44783</v>
      </c>
      <c r="C556" s="1" t="n">
        <v>45665</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32744-2022</t>
        </is>
      </c>
      <c r="B557" s="1" t="n">
        <v>44783</v>
      </c>
      <c r="C557" s="1" t="n">
        <v>45665</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34418-2022</t>
        </is>
      </c>
      <c r="B558" s="1" t="n">
        <v>44792</v>
      </c>
      <c r="C558" s="1" t="n">
        <v>45665</v>
      </c>
      <c r="D558" t="inlineStr">
        <is>
          <t>UPPSALA LÄN</t>
        </is>
      </c>
      <c r="E558" t="inlineStr">
        <is>
          <t>ÖSTHAMMAR</t>
        </is>
      </c>
      <c r="G558" t="n">
        <v>0.3</v>
      </c>
      <c r="H558" t="n">
        <v>0</v>
      </c>
      <c r="I558" t="n">
        <v>0</v>
      </c>
      <c r="J558" t="n">
        <v>0</v>
      </c>
      <c r="K558" t="n">
        <v>0</v>
      </c>
      <c r="L558" t="n">
        <v>0</v>
      </c>
      <c r="M558" t="n">
        <v>0</v>
      </c>
      <c r="N558" t="n">
        <v>0</v>
      </c>
      <c r="O558" t="n">
        <v>0</v>
      </c>
      <c r="P558" t="n">
        <v>0</v>
      </c>
      <c r="Q558" t="n">
        <v>0</v>
      </c>
      <c r="R558" s="2" t="inlineStr"/>
    </row>
    <row r="559" ht="15" customHeight="1">
      <c r="A559" t="inlineStr">
        <is>
          <t>A 34742-2022</t>
        </is>
      </c>
      <c r="B559" s="1" t="n">
        <v>44795</v>
      </c>
      <c r="C559" s="1" t="n">
        <v>45665</v>
      </c>
      <c r="D559" t="inlineStr">
        <is>
          <t>UPPSALA LÄN</t>
        </is>
      </c>
      <c r="E559" t="inlineStr">
        <is>
          <t>ÖSTHAMMAR</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34971-2022</t>
        </is>
      </c>
      <c r="B560" s="1" t="n">
        <v>44796</v>
      </c>
      <c r="C560" s="1" t="n">
        <v>45665</v>
      </c>
      <c r="D560" t="inlineStr">
        <is>
          <t>UPPSALA LÄN</t>
        </is>
      </c>
      <c r="E560" t="inlineStr">
        <is>
          <t>ÖSTHAMMAR</t>
        </is>
      </c>
      <c r="F560" t="inlineStr">
        <is>
          <t>Bergvik skog öst AB</t>
        </is>
      </c>
      <c r="G560" t="n">
        <v>2.3</v>
      </c>
      <c r="H560" t="n">
        <v>0</v>
      </c>
      <c r="I560" t="n">
        <v>0</v>
      </c>
      <c r="J560" t="n">
        <v>0</v>
      </c>
      <c r="K560" t="n">
        <v>0</v>
      </c>
      <c r="L560" t="n">
        <v>0</v>
      </c>
      <c r="M560" t="n">
        <v>0</v>
      </c>
      <c r="N560" t="n">
        <v>0</v>
      </c>
      <c r="O560" t="n">
        <v>0</v>
      </c>
      <c r="P560" t="n">
        <v>0</v>
      </c>
      <c r="Q560" t="n">
        <v>0</v>
      </c>
      <c r="R560" s="2" t="inlineStr"/>
    </row>
    <row r="561" ht="15" customHeight="1">
      <c r="A561" t="inlineStr">
        <is>
          <t>A 34994-2022</t>
        </is>
      </c>
      <c r="B561" s="1" t="n">
        <v>44796</v>
      </c>
      <c r="C561" s="1" t="n">
        <v>45665</v>
      </c>
      <c r="D561" t="inlineStr">
        <is>
          <t>UPPSALA LÄN</t>
        </is>
      </c>
      <c r="E561" t="inlineStr">
        <is>
          <t>ÖSTHAMMAR</t>
        </is>
      </c>
      <c r="F561" t="inlineStr">
        <is>
          <t>Bergvik skog öst AB</t>
        </is>
      </c>
      <c r="G561" t="n">
        <v>3.7</v>
      </c>
      <c r="H561" t="n">
        <v>0</v>
      </c>
      <c r="I561" t="n">
        <v>0</v>
      </c>
      <c r="J561" t="n">
        <v>0</v>
      </c>
      <c r="K561" t="n">
        <v>0</v>
      </c>
      <c r="L561" t="n">
        <v>0</v>
      </c>
      <c r="M561" t="n">
        <v>0</v>
      </c>
      <c r="N561" t="n">
        <v>0</v>
      </c>
      <c r="O561" t="n">
        <v>0</v>
      </c>
      <c r="P561" t="n">
        <v>0</v>
      </c>
      <c r="Q561" t="n">
        <v>0</v>
      </c>
      <c r="R561" s="2" t="inlineStr"/>
    </row>
    <row r="562" ht="15" customHeight="1">
      <c r="A562" t="inlineStr">
        <is>
          <t>A 36343-2022</t>
        </is>
      </c>
      <c r="B562" s="1" t="n">
        <v>44803</v>
      </c>
      <c r="C562" s="1" t="n">
        <v>45665</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36873-2022</t>
        </is>
      </c>
      <c r="B563" s="1" t="n">
        <v>44805</v>
      </c>
      <c r="C563" s="1" t="n">
        <v>45665</v>
      </c>
      <c r="D563" t="inlineStr">
        <is>
          <t>UPPSALA LÄN</t>
        </is>
      </c>
      <c r="E563" t="inlineStr">
        <is>
          <t>ÖSTHAMMAR</t>
        </is>
      </c>
      <c r="G563" t="n">
        <v>2.5</v>
      </c>
      <c r="H563" t="n">
        <v>0</v>
      </c>
      <c r="I563" t="n">
        <v>0</v>
      </c>
      <c r="J563" t="n">
        <v>0</v>
      </c>
      <c r="K563" t="n">
        <v>0</v>
      </c>
      <c r="L563" t="n">
        <v>0</v>
      </c>
      <c r="M563" t="n">
        <v>0</v>
      </c>
      <c r="N563" t="n">
        <v>0</v>
      </c>
      <c r="O563" t="n">
        <v>0</v>
      </c>
      <c r="P563" t="n">
        <v>0</v>
      </c>
      <c r="Q563" t="n">
        <v>0</v>
      </c>
      <c r="R563" s="2" t="inlineStr"/>
    </row>
    <row r="564" ht="15" customHeight="1">
      <c r="A564" t="inlineStr">
        <is>
          <t>A 37545-2022</t>
        </is>
      </c>
      <c r="B564" s="1" t="n">
        <v>44809</v>
      </c>
      <c r="C564" s="1" t="n">
        <v>45665</v>
      </c>
      <c r="D564" t="inlineStr">
        <is>
          <t>UPPSALA LÄN</t>
        </is>
      </c>
      <c r="E564" t="inlineStr">
        <is>
          <t>ÖSTHAMMAR</t>
        </is>
      </c>
      <c r="G564" t="n">
        <v>3.1</v>
      </c>
      <c r="H564" t="n">
        <v>0</v>
      </c>
      <c r="I564" t="n">
        <v>0</v>
      </c>
      <c r="J564" t="n">
        <v>0</v>
      </c>
      <c r="K564" t="n">
        <v>0</v>
      </c>
      <c r="L564" t="n">
        <v>0</v>
      </c>
      <c r="M564" t="n">
        <v>0</v>
      </c>
      <c r="N564" t="n">
        <v>0</v>
      </c>
      <c r="O564" t="n">
        <v>0</v>
      </c>
      <c r="P564" t="n">
        <v>0</v>
      </c>
      <c r="Q564" t="n">
        <v>0</v>
      </c>
      <c r="R564" s="2" t="inlineStr"/>
    </row>
    <row r="565" ht="15" customHeight="1">
      <c r="A565" t="inlineStr">
        <is>
          <t>A 37570-2022</t>
        </is>
      </c>
      <c r="B565" s="1" t="n">
        <v>44809</v>
      </c>
      <c r="C565" s="1" t="n">
        <v>45665</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37813-2022</t>
        </is>
      </c>
      <c r="B566" s="1" t="n">
        <v>44810</v>
      </c>
      <c r="C566" s="1" t="n">
        <v>45665</v>
      </c>
      <c r="D566" t="inlineStr">
        <is>
          <t>UPPSALA LÄN</t>
        </is>
      </c>
      <c r="E566" t="inlineStr">
        <is>
          <t>ÖSTHAMMAR</t>
        </is>
      </c>
      <c r="G566" t="n">
        <v>0.5</v>
      </c>
      <c r="H566" t="n">
        <v>0</v>
      </c>
      <c r="I566" t="n">
        <v>0</v>
      </c>
      <c r="J566" t="n">
        <v>0</v>
      </c>
      <c r="K566" t="n">
        <v>0</v>
      </c>
      <c r="L566" t="n">
        <v>0</v>
      </c>
      <c r="M566" t="n">
        <v>0</v>
      </c>
      <c r="N566" t="n">
        <v>0</v>
      </c>
      <c r="O566" t="n">
        <v>0</v>
      </c>
      <c r="P566" t="n">
        <v>0</v>
      </c>
      <c r="Q566" t="n">
        <v>0</v>
      </c>
      <c r="R566" s="2" t="inlineStr"/>
    </row>
    <row r="567" ht="15" customHeight="1">
      <c r="A567" t="inlineStr">
        <is>
          <t>A 37812-2022</t>
        </is>
      </c>
      <c r="B567" s="1" t="n">
        <v>44810</v>
      </c>
      <c r="C567" s="1" t="n">
        <v>45665</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38501-2022</t>
        </is>
      </c>
      <c r="B568" s="1" t="n">
        <v>44813</v>
      </c>
      <c r="C568" s="1" t="n">
        <v>45665</v>
      </c>
      <c r="D568" t="inlineStr">
        <is>
          <t>UPPSALA LÄN</t>
        </is>
      </c>
      <c r="E568" t="inlineStr">
        <is>
          <t>ÖSTHAMMAR</t>
        </is>
      </c>
      <c r="F568" t="inlineStr">
        <is>
          <t>Bergvik skog öst AB</t>
        </is>
      </c>
      <c r="G568" t="n">
        <v>2.2</v>
      </c>
      <c r="H568" t="n">
        <v>0</v>
      </c>
      <c r="I568" t="n">
        <v>0</v>
      </c>
      <c r="J568" t="n">
        <v>0</v>
      </c>
      <c r="K568" t="n">
        <v>0</v>
      </c>
      <c r="L568" t="n">
        <v>0</v>
      </c>
      <c r="M568" t="n">
        <v>0</v>
      </c>
      <c r="N568" t="n">
        <v>0</v>
      </c>
      <c r="O568" t="n">
        <v>0</v>
      </c>
      <c r="P568" t="n">
        <v>0</v>
      </c>
      <c r="Q568" t="n">
        <v>0</v>
      </c>
      <c r="R568" s="2" t="inlineStr"/>
    </row>
    <row r="569" ht="15" customHeight="1">
      <c r="A569" t="inlineStr">
        <is>
          <t>A 38702-2022</t>
        </is>
      </c>
      <c r="B569" s="1" t="n">
        <v>44814</v>
      </c>
      <c r="C569" s="1" t="n">
        <v>45665</v>
      </c>
      <c r="D569" t="inlineStr">
        <is>
          <t>UPPSALA LÄN</t>
        </is>
      </c>
      <c r="E569" t="inlineStr">
        <is>
          <t>ÖSTHAMMAR</t>
        </is>
      </c>
      <c r="G569" t="n">
        <v>1.2</v>
      </c>
      <c r="H569" t="n">
        <v>0</v>
      </c>
      <c r="I569" t="n">
        <v>0</v>
      </c>
      <c r="J569" t="n">
        <v>0</v>
      </c>
      <c r="K569" t="n">
        <v>0</v>
      </c>
      <c r="L569" t="n">
        <v>0</v>
      </c>
      <c r="M569" t="n">
        <v>0</v>
      </c>
      <c r="N569" t="n">
        <v>0</v>
      </c>
      <c r="O569" t="n">
        <v>0</v>
      </c>
      <c r="P569" t="n">
        <v>0</v>
      </c>
      <c r="Q569" t="n">
        <v>0</v>
      </c>
      <c r="R569" s="2" t="inlineStr"/>
    </row>
    <row r="570" ht="15" customHeight="1">
      <c r="A570" t="inlineStr">
        <is>
          <t>A 39480-2022</t>
        </is>
      </c>
      <c r="B570" s="1" t="n">
        <v>44818</v>
      </c>
      <c r="C570" s="1" t="n">
        <v>45665</v>
      </c>
      <c r="D570" t="inlineStr">
        <is>
          <t>UPPSALA LÄN</t>
        </is>
      </c>
      <c r="E570" t="inlineStr">
        <is>
          <t>ÖSTHAMMAR</t>
        </is>
      </c>
      <c r="F570" t="inlineStr">
        <is>
          <t>Bergvik skog öst AB</t>
        </is>
      </c>
      <c r="G570" t="n">
        <v>2.4</v>
      </c>
      <c r="H570" t="n">
        <v>0</v>
      </c>
      <c r="I570" t="n">
        <v>0</v>
      </c>
      <c r="J570" t="n">
        <v>0</v>
      </c>
      <c r="K570" t="n">
        <v>0</v>
      </c>
      <c r="L570" t="n">
        <v>0</v>
      </c>
      <c r="M570" t="n">
        <v>0</v>
      </c>
      <c r="N570" t="n">
        <v>0</v>
      </c>
      <c r="O570" t="n">
        <v>0</v>
      </c>
      <c r="P570" t="n">
        <v>0</v>
      </c>
      <c r="Q570" t="n">
        <v>0</v>
      </c>
      <c r="R570" s="2" t="inlineStr"/>
    </row>
    <row r="571" ht="15" customHeight="1">
      <c r="A571" t="inlineStr">
        <is>
          <t>A 40336-2022</t>
        </is>
      </c>
      <c r="B571" s="1" t="n">
        <v>44823</v>
      </c>
      <c r="C571" s="1" t="n">
        <v>45665</v>
      </c>
      <c r="D571" t="inlineStr">
        <is>
          <t>UPPSALA LÄN</t>
        </is>
      </c>
      <c r="E571" t="inlineStr">
        <is>
          <t>ÖSTHAMMAR</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40637-2022</t>
        </is>
      </c>
      <c r="B572" s="1" t="n">
        <v>44824</v>
      </c>
      <c r="C572" s="1" t="n">
        <v>45665</v>
      </c>
      <c r="D572" t="inlineStr">
        <is>
          <t>UPPSALA LÄN</t>
        </is>
      </c>
      <c r="E572" t="inlineStr">
        <is>
          <t>ÖSTHAMMAR</t>
        </is>
      </c>
      <c r="F572" t="inlineStr">
        <is>
          <t>Övriga Aktiebolag</t>
        </is>
      </c>
      <c r="G572" t="n">
        <v>3.7</v>
      </c>
      <c r="H572" t="n">
        <v>0</v>
      </c>
      <c r="I572" t="n">
        <v>0</v>
      </c>
      <c r="J572" t="n">
        <v>0</v>
      </c>
      <c r="K572" t="n">
        <v>0</v>
      </c>
      <c r="L572" t="n">
        <v>0</v>
      </c>
      <c r="M572" t="n">
        <v>0</v>
      </c>
      <c r="N572" t="n">
        <v>0</v>
      </c>
      <c r="O572" t="n">
        <v>0</v>
      </c>
      <c r="P572" t="n">
        <v>0</v>
      </c>
      <c r="Q572" t="n">
        <v>0</v>
      </c>
      <c r="R572" s="2" t="inlineStr"/>
    </row>
    <row r="573" ht="15" customHeight="1">
      <c r="A573" t="inlineStr">
        <is>
          <t>A 40681-2022</t>
        </is>
      </c>
      <c r="B573" s="1" t="n">
        <v>44824</v>
      </c>
      <c r="C573" s="1" t="n">
        <v>45665</v>
      </c>
      <c r="D573" t="inlineStr">
        <is>
          <t>UPPSALA LÄN</t>
        </is>
      </c>
      <c r="E573" t="inlineStr">
        <is>
          <t>ÖSTHAMMAR</t>
        </is>
      </c>
      <c r="G573" t="n">
        <v>1.7</v>
      </c>
      <c r="H573" t="n">
        <v>0</v>
      </c>
      <c r="I573" t="n">
        <v>0</v>
      </c>
      <c r="J573" t="n">
        <v>0</v>
      </c>
      <c r="K573" t="n">
        <v>0</v>
      </c>
      <c r="L573" t="n">
        <v>0</v>
      </c>
      <c r="M573" t="n">
        <v>0</v>
      </c>
      <c r="N573" t="n">
        <v>0</v>
      </c>
      <c r="O573" t="n">
        <v>0</v>
      </c>
      <c r="P573" t="n">
        <v>0</v>
      </c>
      <c r="Q573" t="n">
        <v>0</v>
      </c>
      <c r="R573" s="2" t="inlineStr"/>
    </row>
    <row r="574" ht="15" customHeight="1">
      <c r="A574" t="inlineStr">
        <is>
          <t>A 41033-2022</t>
        </is>
      </c>
      <c r="B574" s="1" t="n">
        <v>44825</v>
      </c>
      <c r="C574" s="1" t="n">
        <v>45665</v>
      </c>
      <c r="D574" t="inlineStr">
        <is>
          <t>UPPSALA LÄN</t>
        </is>
      </c>
      <c r="E574" t="inlineStr">
        <is>
          <t>ÖSTHAMMAR</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41423-2022</t>
        </is>
      </c>
      <c r="B575" s="1" t="n">
        <v>44826</v>
      </c>
      <c r="C575" s="1" t="n">
        <v>45665</v>
      </c>
      <c r="D575" t="inlineStr">
        <is>
          <t>UPPSALA LÄN</t>
        </is>
      </c>
      <c r="E575" t="inlineStr">
        <is>
          <t>ÖSTHAMMAR</t>
        </is>
      </c>
      <c r="F575" t="inlineStr">
        <is>
          <t>Övriga Aktiebolag</t>
        </is>
      </c>
      <c r="G575" t="n">
        <v>1.6</v>
      </c>
      <c r="H575" t="n">
        <v>0</v>
      </c>
      <c r="I575" t="n">
        <v>0</v>
      </c>
      <c r="J575" t="n">
        <v>0</v>
      </c>
      <c r="K575" t="n">
        <v>0</v>
      </c>
      <c r="L575" t="n">
        <v>0</v>
      </c>
      <c r="M575" t="n">
        <v>0</v>
      </c>
      <c r="N575" t="n">
        <v>0</v>
      </c>
      <c r="O575" t="n">
        <v>0</v>
      </c>
      <c r="P575" t="n">
        <v>0</v>
      </c>
      <c r="Q575" t="n">
        <v>0</v>
      </c>
      <c r="R575" s="2" t="inlineStr"/>
    </row>
    <row r="576" ht="15" customHeight="1">
      <c r="A576" t="inlineStr">
        <is>
          <t>A 44020-2022</t>
        </is>
      </c>
      <c r="B576" s="1" t="n">
        <v>44838</v>
      </c>
      <c r="C576" s="1" t="n">
        <v>45665</v>
      </c>
      <c r="D576" t="inlineStr">
        <is>
          <t>UPPSALA LÄN</t>
        </is>
      </c>
      <c r="E576" t="inlineStr">
        <is>
          <t>ÖSTHAMMAR</t>
        </is>
      </c>
      <c r="F576" t="inlineStr">
        <is>
          <t>Bergvik skog öst AB</t>
        </is>
      </c>
      <c r="G576" t="n">
        <v>12.1</v>
      </c>
      <c r="H576" t="n">
        <v>0</v>
      </c>
      <c r="I576" t="n">
        <v>0</v>
      </c>
      <c r="J576" t="n">
        <v>0</v>
      </c>
      <c r="K576" t="n">
        <v>0</v>
      </c>
      <c r="L576" t="n">
        <v>0</v>
      </c>
      <c r="M576" t="n">
        <v>0</v>
      </c>
      <c r="N576" t="n">
        <v>0</v>
      </c>
      <c r="O576" t="n">
        <v>0</v>
      </c>
      <c r="P576" t="n">
        <v>0</v>
      </c>
      <c r="Q576" t="n">
        <v>0</v>
      </c>
      <c r="R576" s="2" t="inlineStr"/>
    </row>
    <row r="577" ht="15" customHeight="1">
      <c r="A577" t="inlineStr">
        <is>
          <t>A 44019-2022</t>
        </is>
      </c>
      <c r="B577" s="1" t="n">
        <v>44838</v>
      </c>
      <c r="C577" s="1" t="n">
        <v>45665</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44354-2022</t>
        </is>
      </c>
      <c r="B578" s="1" t="n">
        <v>44839</v>
      </c>
      <c r="C578" s="1" t="n">
        <v>45665</v>
      </c>
      <c r="D578" t="inlineStr">
        <is>
          <t>UPPSALA LÄN</t>
        </is>
      </c>
      <c r="E578" t="inlineStr">
        <is>
          <t>ÖSTHAMMAR</t>
        </is>
      </c>
      <c r="G578" t="n">
        <v>5.4</v>
      </c>
      <c r="H578" t="n">
        <v>0</v>
      </c>
      <c r="I578" t="n">
        <v>0</v>
      </c>
      <c r="J578" t="n">
        <v>0</v>
      </c>
      <c r="K578" t="n">
        <v>0</v>
      </c>
      <c r="L578" t="n">
        <v>0</v>
      </c>
      <c r="M578" t="n">
        <v>0</v>
      </c>
      <c r="N578" t="n">
        <v>0</v>
      </c>
      <c r="O578" t="n">
        <v>0</v>
      </c>
      <c r="P578" t="n">
        <v>0</v>
      </c>
      <c r="Q578" t="n">
        <v>0</v>
      </c>
      <c r="R578" s="2" t="inlineStr"/>
    </row>
    <row r="579" ht="15" customHeight="1">
      <c r="A579" t="inlineStr">
        <is>
          <t>A 44366-2022</t>
        </is>
      </c>
      <c r="B579" s="1" t="n">
        <v>44839</v>
      </c>
      <c r="C579" s="1" t="n">
        <v>45665</v>
      </c>
      <c r="D579" t="inlineStr">
        <is>
          <t>UPPSALA LÄN</t>
        </is>
      </c>
      <c r="E579" t="inlineStr">
        <is>
          <t>ÖSTHAMMAR</t>
        </is>
      </c>
      <c r="G579" t="n">
        <v>8.1</v>
      </c>
      <c r="H579" t="n">
        <v>0</v>
      </c>
      <c r="I579" t="n">
        <v>0</v>
      </c>
      <c r="J579" t="n">
        <v>0</v>
      </c>
      <c r="K579" t="n">
        <v>0</v>
      </c>
      <c r="L579" t="n">
        <v>0</v>
      </c>
      <c r="M579" t="n">
        <v>0</v>
      </c>
      <c r="N579" t="n">
        <v>0</v>
      </c>
      <c r="O579" t="n">
        <v>0</v>
      </c>
      <c r="P579" t="n">
        <v>0</v>
      </c>
      <c r="Q579" t="n">
        <v>0</v>
      </c>
      <c r="R579" s="2" t="inlineStr"/>
    </row>
    <row r="580" ht="15" customHeight="1">
      <c r="A580" t="inlineStr">
        <is>
          <t>A 44184-2022</t>
        </is>
      </c>
      <c r="B580" s="1" t="n">
        <v>44839</v>
      </c>
      <c r="C580" s="1" t="n">
        <v>45665</v>
      </c>
      <c r="D580" t="inlineStr">
        <is>
          <t>UPPSALA LÄN</t>
        </is>
      </c>
      <c r="E580" t="inlineStr">
        <is>
          <t>ÖSTHAMMAR</t>
        </is>
      </c>
      <c r="G580" t="n">
        <v>4.2</v>
      </c>
      <c r="H580" t="n">
        <v>0</v>
      </c>
      <c r="I580" t="n">
        <v>0</v>
      </c>
      <c r="J580" t="n">
        <v>0</v>
      </c>
      <c r="K580" t="n">
        <v>0</v>
      </c>
      <c r="L580" t="n">
        <v>0</v>
      </c>
      <c r="M580" t="n">
        <v>0</v>
      </c>
      <c r="N580" t="n">
        <v>0</v>
      </c>
      <c r="O580" t="n">
        <v>0</v>
      </c>
      <c r="P580" t="n">
        <v>0</v>
      </c>
      <c r="Q580" t="n">
        <v>0</v>
      </c>
      <c r="R580" s="2" t="inlineStr"/>
    </row>
    <row r="581" ht="15" customHeight="1">
      <c r="A581" t="inlineStr">
        <is>
          <t>A 44617-2022</t>
        </is>
      </c>
      <c r="B581" s="1" t="n">
        <v>44840</v>
      </c>
      <c r="C581" s="1" t="n">
        <v>45665</v>
      </c>
      <c r="D581" t="inlineStr">
        <is>
          <t>UPPSALA LÄN</t>
        </is>
      </c>
      <c r="E581" t="inlineStr">
        <is>
          <t>ÖSTHAMMAR</t>
        </is>
      </c>
      <c r="G581" t="n">
        <v>1.3</v>
      </c>
      <c r="H581" t="n">
        <v>0</v>
      </c>
      <c r="I581" t="n">
        <v>0</v>
      </c>
      <c r="J581" t="n">
        <v>0</v>
      </c>
      <c r="K581" t="n">
        <v>0</v>
      </c>
      <c r="L581" t="n">
        <v>0</v>
      </c>
      <c r="M581" t="n">
        <v>0</v>
      </c>
      <c r="N581" t="n">
        <v>0</v>
      </c>
      <c r="O581" t="n">
        <v>0</v>
      </c>
      <c r="P581" t="n">
        <v>0</v>
      </c>
      <c r="Q581" t="n">
        <v>0</v>
      </c>
      <c r="R581" s="2" t="inlineStr"/>
    </row>
    <row r="582" ht="15" customHeight="1">
      <c r="A582" t="inlineStr">
        <is>
          <t>A 44945-2022</t>
        </is>
      </c>
      <c r="B582" s="1" t="n">
        <v>44841</v>
      </c>
      <c r="C582" s="1" t="n">
        <v>45665</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44815-2022</t>
        </is>
      </c>
      <c r="B583" s="1" t="n">
        <v>44841</v>
      </c>
      <c r="C583" s="1" t="n">
        <v>45665</v>
      </c>
      <c r="D583" t="inlineStr">
        <is>
          <t>UPPSALA LÄN</t>
        </is>
      </c>
      <c r="E583" t="inlineStr">
        <is>
          <t>ÖSTHAMMAR</t>
        </is>
      </c>
      <c r="G583" t="n">
        <v>1.8</v>
      </c>
      <c r="H583" t="n">
        <v>0</v>
      </c>
      <c r="I583" t="n">
        <v>0</v>
      </c>
      <c r="J583" t="n">
        <v>0</v>
      </c>
      <c r="K583" t="n">
        <v>0</v>
      </c>
      <c r="L583" t="n">
        <v>0</v>
      </c>
      <c r="M583" t="n">
        <v>0</v>
      </c>
      <c r="N583" t="n">
        <v>0</v>
      </c>
      <c r="O583" t="n">
        <v>0</v>
      </c>
      <c r="P583" t="n">
        <v>0</v>
      </c>
      <c r="Q583" t="n">
        <v>0</v>
      </c>
      <c r="R583" s="2" t="inlineStr"/>
    </row>
    <row r="584" ht="15" customHeight="1">
      <c r="A584" t="inlineStr">
        <is>
          <t>A 45788-2022</t>
        </is>
      </c>
      <c r="B584" s="1" t="n">
        <v>44846</v>
      </c>
      <c r="C584" s="1" t="n">
        <v>45665</v>
      </c>
      <c r="D584" t="inlineStr">
        <is>
          <t>UPPSALA LÄN</t>
        </is>
      </c>
      <c r="E584" t="inlineStr">
        <is>
          <t>ÖSTHAMMAR</t>
        </is>
      </c>
      <c r="F584" t="inlineStr">
        <is>
          <t>Övriga Aktiebolag</t>
        </is>
      </c>
      <c r="G584" t="n">
        <v>3.3</v>
      </c>
      <c r="H584" t="n">
        <v>0</v>
      </c>
      <c r="I584" t="n">
        <v>0</v>
      </c>
      <c r="J584" t="n">
        <v>0</v>
      </c>
      <c r="K584" t="n">
        <v>0</v>
      </c>
      <c r="L584" t="n">
        <v>0</v>
      </c>
      <c r="M584" t="n">
        <v>0</v>
      </c>
      <c r="N584" t="n">
        <v>0</v>
      </c>
      <c r="O584" t="n">
        <v>0</v>
      </c>
      <c r="P584" t="n">
        <v>0</v>
      </c>
      <c r="Q584" t="n">
        <v>0</v>
      </c>
      <c r="R584" s="2" t="inlineStr"/>
    </row>
    <row r="585" ht="15" customHeight="1">
      <c r="A585" t="inlineStr">
        <is>
          <t>A 46448-2022</t>
        </is>
      </c>
      <c r="B585" s="1" t="n">
        <v>44848</v>
      </c>
      <c r="C585" s="1" t="n">
        <v>45665</v>
      </c>
      <c r="D585" t="inlineStr">
        <is>
          <t>UPPSALA LÄN</t>
        </is>
      </c>
      <c r="E585" t="inlineStr">
        <is>
          <t>ÖSTHAMMAR</t>
        </is>
      </c>
      <c r="G585" t="n">
        <v>2.6</v>
      </c>
      <c r="H585" t="n">
        <v>0</v>
      </c>
      <c r="I585" t="n">
        <v>0</v>
      </c>
      <c r="J585" t="n">
        <v>0</v>
      </c>
      <c r="K585" t="n">
        <v>0</v>
      </c>
      <c r="L585" t="n">
        <v>0</v>
      </c>
      <c r="M585" t="n">
        <v>0</v>
      </c>
      <c r="N585" t="n">
        <v>0</v>
      </c>
      <c r="O585" t="n">
        <v>0</v>
      </c>
      <c r="P585" t="n">
        <v>0</v>
      </c>
      <c r="Q585" t="n">
        <v>0</v>
      </c>
      <c r="R585" s="2" t="inlineStr"/>
    </row>
    <row r="586" ht="15" customHeight="1">
      <c r="A586" t="inlineStr">
        <is>
          <t>A 46915-2022</t>
        </is>
      </c>
      <c r="B586" s="1" t="n">
        <v>44851</v>
      </c>
      <c r="C586" s="1" t="n">
        <v>45665</v>
      </c>
      <c r="D586" t="inlineStr">
        <is>
          <t>UPPSALA LÄN</t>
        </is>
      </c>
      <c r="E586" t="inlineStr">
        <is>
          <t>ÖSTHAMMAR</t>
        </is>
      </c>
      <c r="F586" t="inlineStr">
        <is>
          <t>Bergvik skog öst AB</t>
        </is>
      </c>
      <c r="G586" t="n">
        <v>7.9</v>
      </c>
      <c r="H586" t="n">
        <v>0</v>
      </c>
      <c r="I586" t="n">
        <v>0</v>
      </c>
      <c r="J586" t="n">
        <v>0</v>
      </c>
      <c r="K586" t="n">
        <v>0</v>
      </c>
      <c r="L586" t="n">
        <v>0</v>
      </c>
      <c r="M586" t="n">
        <v>0</v>
      </c>
      <c r="N586" t="n">
        <v>0</v>
      </c>
      <c r="O586" t="n">
        <v>0</v>
      </c>
      <c r="P586" t="n">
        <v>0</v>
      </c>
      <c r="Q586" t="n">
        <v>0</v>
      </c>
      <c r="R586" s="2" t="inlineStr"/>
    </row>
    <row r="587" ht="15" customHeight="1">
      <c r="A587" t="inlineStr">
        <is>
          <t>A 47163-2022</t>
        </is>
      </c>
      <c r="B587" s="1" t="n">
        <v>44852</v>
      </c>
      <c r="C587" s="1" t="n">
        <v>45665</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48191-2022</t>
        </is>
      </c>
      <c r="B588" s="1" t="n">
        <v>44858</v>
      </c>
      <c r="C588" s="1" t="n">
        <v>45665</v>
      </c>
      <c r="D588" t="inlineStr">
        <is>
          <t>UPPSALA LÄN</t>
        </is>
      </c>
      <c r="E588" t="inlineStr">
        <is>
          <t>ÖSTHAMMAR</t>
        </is>
      </c>
      <c r="G588" t="n">
        <v>3.4</v>
      </c>
      <c r="H588" t="n">
        <v>0</v>
      </c>
      <c r="I588" t="n">
        <v>0</v>
      </c>
      <c r="J588" t="n">
        <v>0</v>
      </c>
      <c r="K588" t="n">
        <v>0</v>
      </c>
      <c r="L588" t="n">
        <v>0</v>
      </c>
      <c r="M588" t="n">
        <v>0</v>
      </c>
      <c r="N588" t="n">
        <v>0</v>
      </c>
      <c r="O588" t="n">
        <v>0</v>
      </c>
      <c r="P588" t="n">
        <v>0</v>
      </c>
      <c r="Q588" t="n">
        <v>0</v>
      </c>
      <c r="R588" s="2" t="inlineStr"/>
    </row>
    <row r="589" ht="15" customHeight="1">
      <c r="A589" t="inlineStr">
        <is>
          <t>A 48231-2022</t>
        </is>
      </c>
      <c r="B589" s="1" t="n">
        <v>44858</v>
      </c>
      <c r="C589" s="1" t="n">
        <v>45665</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49097-2022</t>
        </is>
      </c>
      <c r="B590" s="1" t="n">
        <v>44860</v>
      </c>
      <c r="C590" s="1" t="n">
        <v>45665</v>
      </c>
      <c r="D590" t="inlineStr">
        <is>
          <t>UPPSALA LÄN</t>
        </is>
      </c>
      <c r="E590" t="inlineStr">
        <is>
          <t>ÖSTHAMMAR</t>
        </is>
      </c>
      <c r="G590" t="n">
        <v>6.9</v>
      </c>
      <c r="H590" t="n">
        <v>0</v>
      </c>
      <c r="I590" t="n">
        <v>0</v>
      </c>
      <c r="J590" t="n">
        <v>0</v>
      </c>
      <c r="K590" t="n">
        <v>0</v>
      </c>
      <c r="L590" t="n">
        <v>0</v>
      </c>
      <c r="M590" t="n">
        <v>0</v>
      </c>
      <c r="N590" t="n">
        <v>0</v>
      </c>
      <c r="O590" t="n">
        <v>0</v>
      </c>
      <c r="P590" t="n">
        <v>0</v>
      </c>
      <c r="Q590" t="n">
        <v>0</v>
      </c>
      <c r="R590" s="2" t="inlineStr"/>
    </row>
    <row r="591" ht="15" customHeight="1">
      <c r="A591" t="inlineStr">
        <is>
          <t>A 49334-2022</t>
        </is>
      </c>
      <c r="B591" s="1" t="n">
        <v>44861</v>
      </c>
      <c r="C591" s="1" t="n">
        <v>45665</v>
      </c>
      <c r="D591" t="inlineStr">
        <is>
          <t>UPPSALA LÄN</t>
        </is>
      </c>
      <c r="E591" t="inlineStr">
        <is>
          <t>ÖSTHAMMAR</t>
        </is>
      </c>
      <c r="G591" t="n">
        <v>3.5</v>
      </c>
      <c r="H591" t="n">
        <v>0</v>
      </c>
      <c r="I591" t="n">
        <v>0</v>
      </c>
      <c r="J591" t="n">
        <v>0</v>
      </c>
      <c r="K591" t="n">
        <v>0</v>
      </c>
      <c r="L591" t="n">
        <v>0</v>
      </c>
      <c r="M591" t="n">
        <v>0</v>
      </c>
      <c r="N591" t="n">
        <v>0</v>
      </c>
      <c r="O591" t="n">
        <v>0</v>
      </c>
      <c r="P591" t="n">
        <v>0</v>
      </c>
      <c r="Q591" t="n">
        <v>0</v>
      </c>
      <c r="R591" s="2" t="inlineStr"/>
    </row>
    <row r="592" ht="15" customHeight="1">
      <c r="A592" t="inlineStr">
        <is>
          <t>A 49914-2022</t>
        </is>
      </c>
      <c r="B592" s="1" t="n">
        <v>44865</v>
      </c>
      <c r="C592" s="1" t="n">
        <v>45665</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50576-2022</t>
        </is>
      </c>
      <c r="B593" s="1" t="n">
        <v>44866</v>
      </c>
      <c r="C593" s="1" t="n">
        <v>45665</v>
      </c>
      <c r="D593" t="inlineStr">
        <is>
          <t>UPPSALA LÄN</t>
        </is>
      </c>
      <c r="E593" t="inlineStr">
        <is>
          <t>ÖSTHAMMAR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51055-2022</t>
        </is>
      </c>
      <c r="B594" s="1" t="n">
        <v>44868</v>
      </c>
      <c r="C594" s="1" t="n">
        <v>45665</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51696-2022</t>
        </is>
      </c>
      <c r="B595" s="1" t="n">
        <v>44872</v>
      </c>
      <c r="C595" s="1" t="n">
        <v>45665</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51906-2022</t>
        </is>
      </c>
      <c r="B596" s="1" t="n">
        <v>44872</v>
      </c>
      <c r="C596" s="1" t="n">
        <v>45665</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52265-2022</t>
        </is>
      </c>
      <c r="B597" s="1" t="n">
        <v>44873</v>
      </c>
      <c r="C597" s="1" t="n">
        <v>45665</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52255-2022</t>
        </is>
      </c>
      <c r="B598" s="1" t="n">
        <v>44873</v>
      </c>
      <c r="C598" s="1" t="n">
        <v>45665</v>
      </c>
      <c r="D598" t="inlineStr">
        <is>
          <t>UPPSALA LÄN</t>
        </is>
      </c>
      <c r="E598" t="inlineStr">
        <is>
          <t>ÖSTHAMMAR</t>
        </is>
      </c>
      <c r="G598" t="n">
        <v>1.2</v>
      </c>
      <c r="H598" t="n">
        <v>0</v>
      </c>
      <c r="I598" t="n">
        <v>0</v>
      </c>
      <c r="J598" t="n">
        <v>0</v>
      </c>
      <c r="K598" t="n">
        <v>0</v>
      </c>
      <c r="L598" t="n">
        <v>0</v>
      </c>
      <c r="M598" t="n">
        <v>0</v>
      </c>
      <c r="N598" t="n">
        <v>0</v>
      </c>
      <c r="O598" t="n">
        <v>0</v>
      </c>
      <c r="P598" t="n">
        <v>0</v>
      </c>
      <c r="Q598" t="n">
        <v>0</v>
      </c>
      <c r="R598" s="2" t="inlineStr"/>
    </row>
    <row r="599" ht="15" customHeight="1">
      <c r="A599" t="inlineStr">
        <is>
          <t>A 52295-2022</t>
        </is>
      </c>
      <c r="B599" s="1" t="n">
        <v>44873</v>
      </c>
      <c r="C599" s="1" t="n">
        <v>45665</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52652-2022</t>
        </is>
      </c>
      <c r="B600" s="1" t="n">
        <v>44874</v>
      </c>
      <c r="C600" s="1" t="n">
        <v>45665</v>
      </c>
      <c r="D600" t="inlineStr">
        <is>
          <t>UPPSALA LÄN</t>
        </is>
      </c>
      <c r="E600" t="inlineStr">
        <is>
          <t>ÖSTHAMMAR</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52389-2022</t>
        </is>
      </c>
      <c r="B601" s="1" t="n">
        <v>44874</v>
      </c>
      <c r="C601" s="1" t="n">
        <v>45665</v>
      </c>
      <c r="D601" t="inlineStr">
        <is>
          <t>UPPSALA LÄN</t>
        </is>
      </c>
      <c r="E601" t="inlineStr">
        <is>
          <t>ÖSTHAMMAR</t>
        </is>
      </c>
      <c r="G601" t="n">
        <v>3.1</v>
      </c>
      <c r="H601" t="n">
        <v>0</v>
      </c>
      <c r="I601" t="n">
        <v>0</v>
      </c>
      <c r="J601" t="n">
        <v>0</v>
      </c>
      <c r="K601" t="n">
        <v>0</v>
      </c>
      <c r="L601" t="n">
        <v>0</v>
      </c>
      <c r="M601" t="n">
        <v>0</v>
      </c>
      <c r="N601" t="n">
        <v>0</v>
      </c>
      <c r="O601" t="n">
        <v>0</v>
      </c>
      <c r="P601" t="n">
        <v>0</v>
      </c>
      <c r="Q601" t="n">
        <v>0</v>
      </c>
      <c r="R601" s="2" t="inlineStr"/>
    </row>
    <row r="602" ht="15" customHeight="1">
      <c r="A602" t="inlineStr">
        <is>
          <t>A 52663-2022</t>
        </is>
      </c>
      <c r="B602" s="1" t="n">
        <v>44874</v>
      </c>
      <c r="C602" s="1" t="n">
        <v>45665</v>
      </c>
      <c r="D602" t="inlineStr">
        <is>
          <t>UPPSALA LÄN</t>
        </is>
      </c>
      <c r="E602" t="inlineStr">
        <is>
          <t>ÖSTHAMMAR</t>
        </is>
      </c>
      <c r="F602" t="inlineStr">
        <is>
          <t>Bergvik skog öst AB</t>
        </is>
      </c>
      <c r="G602" t="n">
        <v>2.6</v>
      </c>
      <c r="H602" t="n">
        <v>0</v>
      </c>
      <c r="I602" t="n">
        <v>0</v>
      </c>
      <c r="J602" t="n">
        <v>0</v>
      </c>
      <c r="K602" t="n">
        <v>0</v>
      </c>
      <c r="L602" t="n">
        <v>0</v>
      </c>
      <c r="M602" t="n">
        <v>0</v>
      </c>
      <c r="N602" t="n">
        <v>0</v>
      </c>
      <c r="O602" t="n">
        <v>0</v>
      </c>
      <c r="P602" t="n">
        <v>0</v>
      </c>
      <c r="Q602" t="n">
        <v>0</v>
      </c>
      <c r="R602" s="2" t="inlineStr"/>
    </row>
    <row r="603" ht="15" customHeight="1">
      <c r="A603" t="inlineStr">
        <is>
          <t>A 52650-2022</t>
        </is>
      </c>
      <c r="B603" s="1" t="n">
        <v>44874</v>
      </c>
      <c r="C603" s="1" t="n">
        <v>45665</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52661-2022</t>
        </is>
      </c>
      <c r="B604" s="1" t="n">
        <v>44874</v>
      </c>
      <c r="C604" s="1" t="n">
        <v>45665</v>
      </c>
      <c r="D604" t="inlineStr">
        <is>
          <t>UPPSALA LÄN</t>
        </is>
      </c>
      <c r="E604" t="inlineStr">
        <is>
          <t>ÖSTHAMMAR</t>
        </is>
      </c>
      <c r="F604" t="inlineStr">
        <is>
          <t>Bergvik skog öst AB</t>
        </is>
      </c>
      <c r="G604" t="n">
        <v>0.2</v>
      </c>
      <c r="H604" t="n">
        <v>0</v>
      </c>
      <c r="I604" t="n">
        <v>0</v>
      </c>
      <c r="J604" t="n">
        <v>0</v>
      </c>
      <c r="K604" t="n">
        <v>0</v>
      </c>
      <c r="L604" t="n">
        <v>0</v>
      </c>
      <c r="M604" t="n">
        <v>0</v>
      </c>
      <c r="N604" t="n">
        <v>0</v>
      </c>
      <c r="O604" t="n">
        <v>0</v>
      </c>
      <c r="P604" t="n">
        <v>0</v>
      </c>
      <c r="Q604" t="n">
        <v>0</v>
      </c>
      <c r="R604" s="2" t="inlineStr"/>
    </row>
    <row r="605" ht="15" customHeight="1">
      <c r="A605" t="inlineStr">
        <is>
          <t>A 53180-2022</t>
        </is>
      </c>
      <c r="B605" s="1" t="n">
        <v>44876</v>
      </c>
      <c r="C605" s="1" t="n">
        <v>45665</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54666-2022</t>
        </is>
      </c>
      <c r="B606" s="1" t="n">
        <v>44883</v>
      </c>
      <c r="C606" s="1" t="n">
        <v>45665</v>
      </c>
      <c r="D606" t="inlineStr">
        <is>
          <t>UPPSALA LÄN</t>
        </is>
      </c>
      <c r="E606" t="inlineStr">
        <is>
          <t>ÖSTHAMMAR</t>
        </is>
      </c>
      <c r="G606" t="n">
        <v>14.3</v>
      </c>
      <c r="H606" t="n">
        <v>0</v>
      </c>
      <c r="I606" t="n">
        <v>0</v>
      </c>
      <c r="J606" t="n">
        <v>0</v>
      </c>
      <c r="K606" t="n">
        <v>0</v>
      </c>
      <c r="L606" t="n">
        <v>0</v>
      </c>
      <c r="M606" t="n">
        <v>0</v>
      </c>
      <c r="N606" t="n">
        <v>0</v>
      </c>
      <c r="O606" t="n">
        <v>0</v>
      </c>
      <c r="P606" t="n">
        <v>0</v>
      </c>
      <c r="Q606" t="n">
        <v>0</v>
      </c>
      <c r="R606" s="2" t="inlineStr"/>
    </row>
    <row r="607" ht="15" customHeight="1">
      <c r="A607" t="inlineStr">
        <is>
          <t>A 56260-2022</t>
        </is>
      </c>
      <c r="B607" s="1" t="n">
        <v>44890</v>
      </c>
      <c r="C607" s="1" t="n">
        <v>45665</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56969-2022</t>
        </is>
      </c>
      <c r="B608" s="1" t="n">
        <v>44894</v>
      </c>
      <c r="C608" s="1" t="n">
        <v>45665</v>
      </c>
      <c r="D608" t="inlineStr">
        <is>
          <t>UPPSALA LÄN</t>
        </is>
      </c>
      <c r="E608" t="inlineStr">
        <is>
          <t>ÖSTHAMMAR</t>
        </is>
      </c>
      <c r="G608" t="n">
        <v>5.5</v>
      </c>
      <c r="H608" t="n">
        <v>0</v>
      </c>
      <c r="I608" t="n">
        <v>0</v>
      </c>
      <c r="J608" t="n">
        <v>0</v>
      </c>
      <c r="K608" t="n">
        <v>0</v>
      </c>
      <c r="L608" t="n">
        <v>0</v>
      </c>
      <c r="M608" t="n">
        <v>0</v>
      </c>
      <c r="N608" t="n">
        <v>0</v>
      </c>
      <c r="O608" t="n">
        <v>0</v>
      </c>
      <c r="P608" t="n">
        <v>0</v>
      </c>
      <c r="Q608" t="n">
        <v>0</v>
      </c>
      <c r="R608" s="2" t="inlineStr"/>
    </row>
    <row r="609" ht="15" customHeight="1">
      <c r="A609" t="inlineStr">
        <is>
          <t>A 57462-2022</t>
        </is>
      </c>
      <c r="B609" s="1" t="n">
        <v>44896</v>
      </c>
      <c r="C609" s="1" t="n">
        <v>45665</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57453-2022</t>
        </is>
      </c>
      <c r="B610" s="1" t="n">
        <v>44896</v>
      </c>
      <c r="C610" s="1" t="n">
        <v>45665</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58127-2022</t>
        </is>
      </c>
      <c r="B611" s="1" t="n">
        <v>44900</v>
      </c>
      <c r="C611" s="1" t="n">
        <v>45665</v>
      </c>
      <c r="D611" t="inlineStr">
        <is>
          <t>UPPSALA LÄN</t>
        </is>
      </c>
      <c r="E611" t="inlineStr">
        <is>
          <t>ÖSTHAMMAR</t>
        </is>
      </c>
      <c r="F611" t="inlineStr">
        <is>
          <t>Bergvik skog öst AB</t>
        </is>
      </c>
      <c r="G611" t="n">
        <v>6.4</v>
      </c>
      <c r="H611" t="n">
        <v>0</v>
      </c>
      <c r="I611" t="n">
        <v>0</v>
      </c>
      <c r="J611" t="n">
        <v>0</v>
      </c>
      <c r="K611" t="n">
        <v>0</v>
      </c>
      <c r="L611" t="n">
        <v>0</v>
      </c>
      <c r="M611" t="n">
        <v>0</v>
      </c>
      <c r="N611" t="n">
        <v>0</v>
      </c>
      <c r="O611" t="n">
        <v>0</v>
      </c>
      <c r="P611" t="n">
        <v>0</v>
      </c>
      <c r="Q611" t="n">
        <v>0</v>
      </c>
      <c r="R611" s="2" t="inlineStr"/>
    </row>
    <row r="612" ht="15" customHeight="1">
      <c r="A612" t="inlineStr">
        <is>
          <t>A 58367-2022</t>
        </is>
      </c>
      <c r="B612" s="1" t="n">
        <v>44901</v>
      </c>
      <c r="C612" s="1" t="n">
        <v>45665</v>
      </c>
      <c r="D612" t="inlineStr">
        <is>
          <t>UPPSALA LÄN</t>
        </is>
      </c>
      <c r="E612" t="inlineStr">
        <is>
          <t>ÖSTHAMMAR</t>
        </is>
      </c>
      <c r="F612" t="inlineStr">
        <is>
          <t>Bergvik skog öst AB</t>
        </is>
      </c>
      <c r="G612" t="n">
        <v>2</v>
      </c>
      <c r="H612" t="n">
        <v>0</v>
      </c>
      <c r="I612" t="n">
        <v>0</v>
      </c>
      <c r="J612" t="n">
        <v>0</v>
      </c>
      <c r="K612" t="n">
        <v>0</v>
      </c>
      <c r="L612" t="n">
        <v>0</v>
      </c>
      <c r="M612" t="n">
        <v>0</v>
      </c>
      <c r="N612" t="n">
        <v>0</v>
      </c>
      <c r="O612" t="n">
        <v>0</v>
      </c>
      <c r="P612" t="n">
        <v>0</v>
      </c>
      <c r="Q612" t="n">
        <v>0</v>
      </c>
      <c r="R612" s="2" t="inlineStr"/>
    </row>
    <row r="613" ht="15" customHeight="1">
      <c r="A613" t="inlineStr">
        <is>
          <t>A 58878-2022</t>
        </is>
      </c>
      <c r="B613" s="1" t="n">
        <v>44903</v>
      </c>
      <c r="C613" s="1" t="n">
        <v>45665</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60258-2022</t>
        </is>
      </c>
      <c r="B614" s="1" t="n">
        <v>44903</v>
      </c>
      <c r="C614" s="1" t="n">
        <v>45665</v>
      </c>
      <c r="D614" t="inlineStr">
        <is>
          <t>UPPSALA LÄN</t>
        </is>
      </c>
      <c r="E614" t="inlineStr">
        <is>
          <t>ÖSTHAMMAR</t>
        </is>
      </c>
      <c r="G614" t="n">
        <v>2.5</v>
      </c>
      <c r="H614" t="n">
        <v>0</v>
      </c>
      <c r="I614" t="n">
        <v>0</v>
      </c>
      <c r="J614" t="n">
        <v>0</v>
      </c>
      <c r="K614" t="n">
        <v>0</v>
      </c>
      <c r="L614" t="n">
        <v>0</v>
      </c>
      <c r="M614" t="n">
        <v>0</v>
      </c>
      <c r="N614" t="n">
        <v>0</v>
      </c>
      <c r="O614" t="n">
        <v>0</v>
      </c>
      <c r="P614" t="n">
        <v>0</v>
      </c>
      <c r="Q614" t="n">
        <v>0</v>
      </c>
      <c r="R614" s="2" t="inlineStr"/>
    </row>
    <row r="615" ht="15" customHeight="1">
      <c r="A615" t="inlineStr">
        <is>
          <t>A 59382-2022</t>
        </is>
      </c>
      <c r="B615" s="1" t="n">
        <v>44905</v>
      </c>
      <c r="C615" s="1" t="n">
        <v>45665</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59563-2022</t>
        </is>
      </c>
      <c r="B616" s="1" t="n">
        <v>44907</v>
      </c>
      <c r="C616" s="1" t="n">
        <v>45665</v>
      </c>
      <c r="D616" t="inlineStr">
        <is>
          <t>UPPSALA LÄN</t>
        </is>
      </c>
      <c r="E616" t="inlineStr">
        <is>
          <t>ÖSTHAMMAR</t>
        </is>
      </c>
      <c r="G616" t="n">
        <v>2.8</v>
      </c>
      <c r="H616" t="n">
        <v>0</v>
      </c>
      <c r="I616" t="n">
        <v>0</v>
      </c>
      <c r="J616" t="n">
        <v>0</v>
      </c>
      <c r="K616" t="n">
        <v>0</v>
      </c>
      <c r="L616" t="n">
        <v>0</v>
      </c>
      <c r="M616" t="n">
        <v>0</v>
      </c>
      <c r="N616" t="n">
        <v>0</v>
      </c>
      <c r="O616" t="n">
        <v>0</v>
      </c>
      <c r="P616" t="n">
        <v>0</v>
      </c>
      <c r="Q616" t="n">
        <v>0</v>
      </c>
      <c r="R616" s="2" t="inlineStr"/>
    </row>
    <row r="617" ht="15" customHeight="1">
      <c r="A617" t="inlineStr">
        <is>
          <t>A 59880-2022</t>
        </is>
      </c>
      <c r="B617" s="1" t="n">
        <v>44908</v>
      </c>
      <c r="C617" s="1" t="n">
        <v>45665</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60079-2022</t>
        </is>
      </c>
      <c r="B618" s="1" t="n">
        <v>44909</v>
      </c>
      <c r="C618" s="1" t="n">
        <v>45665</v>
      </c>
      <c r="D618" t="inlineStr">
        <is>
          <t>UPPSALA LÄN</t>
        </is>
      </c>
      <c r="E618" t="inlineStr">
        <is>
          <t>ÖSTHAMMAR</t>
        </is>
      </c>
      <c r="G618" t="n">
        <v>9.6</v>
      </c>
      <c r="H618" t="n">
        <v>0</v>
      </c>
      <c r="I618" t="n">
        <v>0</v>
      </c>
      <c r="J618" t="n">
        <v>0</v>
      </c>
      <c r="K618" t="n">
        <v>0</v>
      </c>
      <c r="L618" t="n">
        <v>0</v>
      </c>
      <c r="M618" t="n">
        <v>0</v>
      </c>
      <c r="N618" t="n">
        <v>0</v>
      </c>
      <c r="O618" t="n">
        <v>0</v>
      </c>
      <c r="P618" t="n">
        <v>0</v>
      </c>
      <c r="Q618" t="n">
        <v>0</v>
      </c>
      <c r="R618" s="2" t="inlineStr"/>
    </row>
    <row r="619" ht="15" customHeight="1">
      <c r="A619" t="inlineStr">
        <is>
          <t>A 60597-2022</t>
        </is>
      </c>
      <c r="B619" s="1" t="n">
        <v>44911</v>
      </c>
      <c r="C619" s="1" t="n">
        <v>45665</v>
      </c>
      <c r="D619" t="inlineStr">
        <is>
          <t>UPPSALA LÄN</t>
        </is>
      </c>
      <c r="E619" t="inlineStr">
        <is>
          <t>ÖSTHAMMAR</t>
        </is>
      </c>
      <c r="G619" t="n">
        <v>1.5</v>
      </c>
      <c r="H619" t="n">
        <v>0</v>
      </c>
      <c r="I619" t="n">
        <v>0</v>
      </c>
      <c r="J619" t="n">
        <v>0</v>
      </c>
      <c r="K619" t="n">
        <v>0</v>
      </c>
      <c r="L619" t="n">
        <v>0</v>
      </c>
      <c r="M619" t="n">
        <v>0</v>
      </c>
      <c r="N619" t="n">
        <v>0</v>
      </c>
      <c r="O619" t="n">
        <v>0</v>
      </c>
      <c r="P619" t="n">
        <v>0</v>
      </c>
      <c r="Q619" t="n">
        <v>0</v>
      </c>
      <c r="R619" s="2" t="inlineStr"/>
    </row>
    <row r="620" ht="15" customHeight="1">
      <c r="A620" t="inlineStr">
        <is>
          <t>A 61261-2022</t>
        </is>
      </c>
      <c r="B620" s="1" t="n">
        <v>44915</v>
      </c>
      <c r="C620" s="1" t="n">
        <v>45665</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61216-2022</t>
        </is>
      </c>
      <c r="B621" s="1" t="n">
        <v>44915</v>
      </c>
      <c r="C621" s="1" t="n">
        <v>45665</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61257-2022</t>
        </is>
      </c>
      <c r="B622" s="1" t="n">
        <v>44915</v>
      </c>
      <c r="C622" s="1" t="n">
        <v>45665</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62295-2022</t>
        </is>
      </c>
      <c r="B623" s="1" t="n">
        <v>44916</v>
      </c>
      <c r="C623" s="1" t="n">
        <v>45665</v>
      </c>
      <c r="D623" t="inlineStr">
        <is>
          <t>UPPSALA LÄN</t>
        </is>
      </c>
      <c r="E623" t="inlineStr">
        <is>
          <t>ÖSTHAMMAR</t>
        </is>
      </c>
      <c r="G623" t="n">
        <v>3.3</v>
      </c>
      <c r="H623" t="n">
        <v>0</v>
      </c>
      <c r="I623" t="n">
        <v>0</v>
      </c>
      <c r="J623" t="n">
        <v>0</v>
      </c>
      <c r="K623" t="n">
        <v>0</v>
      </c>
      <c r="L623" t="n">
        <v>0</v>
      </c>
      <c r="M623" t="n">
        <v>0</v>
      </c>
      <c r="N623" t="n">
        <v>0</v>
      </c>
      <c r="O623" t="n">
        <v>0</v>
      </c>
      <c r="P623" t="n">
        <v>0</v>
      </c>
      <c r="Q623" t="n">
        <v>0</v>
      </c>
      <c r="R623" s="2" t="inlineStr"/>
    </row>
    <row r="624" ht="15" customHeight="1">
      <c r="A624" t="inlineStr">
        <is>
          <t>A 62394-2022</t>
        </is>
      </c>
      <c r="B624" s="1" t="n">
        <v>44923</v>
      </c>
      <c r="C624" s="1" t="n">
        <v>45665</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62393-2022</t>
        </is>
      </c>
      <c r="B625" s="1" t="n">
        <v>44923</v>
      </c>
      <c r="C625" s="1" t="n">
        <v>45665</v>
      </c>
      <c r="D625" t="inlineStr">
        <is>
          <t>UPPSALA LÄN</t>
        </is>
      </c>
      <c r="E625" t="inlineStr">
        <is>
          <t>ÖSTHAMMAR</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62392-2022</t>
        </is>
      </c>
      <c r="B626" s="1" t="n">
        <v>44923</v>
      </c>
      <c r="C626" s="1" t="n">
        <v>45665</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62391-2022</t>
        </is>
      </c>
      <c r="B627" s="1" t="n">
        <v>44923</v>
      </c>
      <c r="C627" s="1" t="n">
        <v>45665</v>
      </c>
      <c r="D627" t="inlineStr">
        <is>
          <t>UPPSALA LÄN</t>
        </is>
      </c>
      <c r="E627" t="inlineStr">
        <is>
          <t>ÖSTHAMMAR</t>
        </is>
      </c>
      <c r="F627" t="inlineStr">
        <is>
          <t>Bergvik skog öst AB</t>
        </is>
      </c>
      <c r="G627" t="n">
        <v>1</v>
      </c>
      <c r="H627" t="n">
        <v>0</v>
      </c>
      <c r="I627" t="n">
        <v>0</v>
      </c>
      <c r="J627" t="n">
        <v>0</v>
      </c>
      <c r="K627" t="n">
        <v>0</v>
      </c>
      <c r="L627" t="n">
        <v>0</v>
      </c>
      <c r="M627" t="n">
        <v>0</v>
      </c>
      <c r="N627" t="n">
        <v>0</v>
      </c>
      <c r="O627" t="n">
        <v>0</v>
      </c>
      <c r="P627" t="n">
        <v>0</v>
      </c>
      <c r="Q627" t="n">
        <v>0</v>
      </c>
      <c r="R627" s="2" t="inlineStr"/>
    </row>
    <row r="628" ht="15" customHeight="1">
      <c r="A628" t="inlineStr">
        <is>
          <t>A 57-2023</t>
        </is>
      </c>
      <c r="B628" s="1" t="n">
        <v>44928</v>
      </c>
      <c r="C628" s="1" t="n">
        <v>45665</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59-2023</t>
        </is>
      </c>
      <c r="B629" s="1" t="n">
        <v>44928</v>
      </c>
      <c r="C629" s="1" t="n">
        <v>45665</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390-2023</t>
        </is>
      </c>
      <c r="B630" s="1" t="n">
        <v>44929</v>
      </c>
      <c r="C630" s="1" t="n">
        <v>45665</v>
      </c>
      <c r="D630" t="inlineStr">
        <is>
          <t>UPPSALA LÄN</t>
        </is>
      </c>
      <c r="E630" t="inlineStr">
        <is>
          <t>ÖSTHAMMAR</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1791-2023</t>
        </is>
      </c>
      <c r="B631" s="1" t="n">
        <v>44938</v>
      </c>
      <c r="C631" s="1" t="n">
        <v>45665</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1800-2023</t>
        </is>
      </c>
      <c r="B632" s="1" t="n">
        <v>44938</v>
      </c>
      <c r="C632" s="1" t="n">
        <v>45665</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1796-2023</t>
        </is>
      </c>
      <c r="B633" s="1" t="n">
        <v>44938</v>
      </c>
      <c r="C633" s="1" t="n">
        <v>45665</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2733-2023</t>
        </is>
      </c>
      <c r="B634" s="1" t="n">
        <v>44943</v>
      </c>
      <c r="C634" s="1" t="n">
        <v>45665</v>
      </c>
      <c r="D634" t="inlineStr">
        <is>
          <t>UPPSALA LÄN</t>
        </is>
      </c>
      <c r="E634" t="inlineStr">
        <is>
          <t>ÖSTHAMMAR</t>
        </is>
      </c>
      <c r="G634" t="n">
        <v>2.6</v>
      </c>
      <c r="H634" t="n">
        <v>0</v>
      </c>
      <c r="I634" t="n">
        <v>0</v>
      </c>
      <c r="J634" t="n">
        <v>0</v>
      </c>
      <c r="K634" t="n">
        <v>0</v>
      </c>
      <c r="L634" t="n">
        <v>0</v>
      </c>
      <c r="M634" t="n">
        <v>0</v>
      </c>
      <c r="N634" t="n">
        <v>0</v>
      </c>
      <c r="O634" t="n">
        <v>0</v>
      </c>
      <c r="P634" t="n">
        <v>0</v>
      </c>
      <c r="Q634" t="n">
        <v>0</v>
      </c>
      <c r="R634" s="2" t="inlineStr"/>
    </row>
    <row r="635" ht="15" customHeight="1">
      <c r="A635" t="inlineStr">
        <is>
          <t>A 2967-2023</t>
        </is>
      </c>
      <c r="B635" s="1" t="n">
        <v>44945</v>
      </c>
      <c r="C635" s="1" t="n">
        <v>45665</v>
      </c>
      <c r="D635" t="inlineStr">
        <is>
          <t>UPPSALA LÄN</t>
        </is>
      </c>
      <c r="E635" t="inlineStr">
        <is>
          <t>ÖSTHAMMAR</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3005-2023</t>
        </is>
      </c>
      <c r="B636" s="1" t="n">
        <v>44945</v>
      </c>
      <c r="C636" s="1" t="n">
        <v>45665</v>
      </c>
      <c r="D636" t="inlineStr">
        <is>
          <t>UPPSALA LÄN</t>
        </is>
      </c>
      <c r="E636" t="inlineStr">
        <is>
          <t>ÖSTHAMMAR</t>
        </is>
      </c>
      <c r="F636" t="inlineStr">
        <is>
          <t>Bergvik skog öst AB</t>
        </is>
      </c>
      <c r="G636" t="n">
        <v>6.5</v>
      </c>
      <c r="H636" t="n">
        <v>0</v>
      </c>
      <c r="I636" t="n">
        <v>0</v>
      </c>
      <c r="J636" t="n">
        <v>0</v>
      </c>
      <c r="K636" t="n">
        <v>0</v>
      </c>
      <c r="L636" t="n">
        <v>0</v>
      </c>
      <c r="M636" t="n">
        <v>0</v>
      </c>
      <c r="N636" t="n">
        <v>0</v>
      </c>
      <c r="O636" t="n">
        <v>0</v>
      </c>
      <c r="P636" t="n">
        <v>0</v>
      </c>
      <c r="Q636" t="n">
        <v>0</v>
      </c>
      <c r="R636" s="2" t="inlineStr"/>
    </row>
    <row r="637" ht="15" customHeight="1">
      <c r="A637" t="inlineStr">
        <is>
          <t>A 3743-2023</t>
        </is>
      </c>
      <c r="B637" s="1" t="n">
        <v>44948</v>
      </c>
      <c r="C637" s="1" t="n">
        <v>45665</v>
      </c>
      <c r="D637" t="inlineStr">
        <is>
          <t>UPPSALA LÄN</t>
        </is>
      </c>
      <c r="E637" t="inlineStr">
        <is>
          <t>ÖSTHAMMAR</t>
        </is>
      </c>
      <c r="G637" t="n">
        <v>3.1</v>
      </c>
      <c r="H637" t="n">
        <v>0</v>
      </c>
      <c r="I637" t="n">
        <v>0</v>
      </c>
      <c r="J637" t="n">
        <v>0</v>
      </c>
      <c r="K637" t="n">
        <v>0</v>
      </c>
      <c r="L637" t="n">
        <v>0</v>
      </c>
      <c r="M637" t="n">
        <v>0</v>
      </c>
      <c r="N637" t="n">
        <v>0</v>
      </c>
      <c r="O637" t="n">
        <v>0</v>
      </c>
      <c r="P637" t="n">
        <v>0</v>
      </c>
      <c r="Q637" t="n">
        <v>0</v>
      </c>
      <c r="R637" s="2" t="inlineStr"/>
    </row>
    <row r="638" ht="15" customHeight="1">
      <c r="A638" t="inlineStr">
        <is>
          <t>A 3327-2023</t>
        </is>
      </c>
      <c r="B638" s="1" t="n">
        <v>44949</v>
      </c>
      <c r="C638" s="1" t="n">
        <v>45665</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3514-2023</t>
        </is>
      </c>
      <c r="B639" s="1" t="n">
        <v>44950</v>
      </c>
      <c r="C639" s="1" t="n">
        <v>45665</v>
      </c>
      <c r="D639" t="inlineStr">
        <is>
          <t>UPPSALA LÄN</t>
        </is>
      </c>
      <c r="E639" t="inlineStr">
        <is>
          <t>ÖSTHAMMAR</t>
        </is>
      </c>
      <c r="F639" t="inlineStr">
        <is>
          <t>Övriga Aktiebolag</t>
        </is>
      </c>
      <c r="G639" t="n">
        <v>1.9</v>
      </c>
      <c r="H639" t="n">
        <v>0</v>
      </c>
      <c r="I639" t="n">
        <v>0</v>
      </c>
      <c r="J639" t="n">
        <v>0</v>
      </c>
      <c r="K639" t="n">
        <v>0</v>
      </c>
      <c r="L639" t="n">
        <v>0</v>
      </c>
      <c r="M639" t="n">
        <v>0</v>
      </c>
      <c r="N639" t="n">
        <v>0</v>
      </c>
      <c r="O639" t="n">
        <v>0</v>
      </c>
      <c r="P639" t="n">
        <v>0</v>
      </c>
      <c r="Q639" t="n">
        <v>0</v>
      </c>
      <c r="R639" s="2" t="inlineStr"/>
    </row>
    <row r="640" ht="15" customHeight="1">
      <c r="A640" t="inlineStr">
        <is>
          <t>A 4004-2023</t>
        </is>
      </c>
      <c r="B640" s="1" t="n">
        <v>44952</v>
      </c>
      <c r="C640" s="1" t="n">
        <v>45665</v>
      </c>
      <c r="D640" t="inlineStr">
        <is>
          <t>UPPSALA LÄN</t>
        </is>
      </c>
      <c r="E640" t="inlineStr">
        <is>
          <t>ÖSTHAMMAR</t>
        </is>
      </c>
      <c r="G640" t="n">
        <v>4.1</v>
      </c>
      <c r="H640" t="n">
        <v>0</v>
      </c>
      <c r="I640" t="n">
        <v>0</v>
      </c>
      <c r="J640" t="n">
        <v>0</v>
      </c>
      <c r="K640" t="n">
        <v>0</v>
      </c>
      <c r="L640" t="n">
        <v>0</v>
      </c>
      <c r="M640" t="n">
        <v>0</v>
      </c>
      <c r="N640" t="n">
        <v>0</v>
      </c>
      <c r="O640" t="n">
        <v>0</v>
      </c>
      <c r="P640" t="n">
        <v>0</v>
      </c>
      <c r="Q640" t="n">
        <v>0</v>
      </c>
      <c r="R640" s="2" t="inlineStr"/>
    </row>
    <row r="641" ht="15" customHeight="1">
      <c r="A641" t="inlineStr">
        <is>
          <t>A 4233-2023</t>
        </is>
      </c>
      <c r="B641" s="1" t="n">
        <v>44953</v>
      </c>
      <c r="C641" s="1" t="n">
        <v>45665</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4228-2023</t>
        </is>
      </c>
      <c r="B642" s="1" t="n">
        <v>44953</v>
      </c>
      <c r="C642" s="1" t="n">
        <v>45665</v>
      </c>
      <c r="D642" t="inlineStr">
        <is>
          <t>UPPSALA LÄN</t>
        </is>
      </c>
      <c r="E642" t="inlineStr">
        <is>
          <t>ÖSTHAMMAR</t>
        </is>
      </c>
      <c r="G642" t="n">
        <v>1</v>
      </c>
      <c r="H642" t="n">
        <v>0</v>
      </c>
      <c r="I642" t="n">
        <v>0</v>
      </c>
      <c r="J642" t="n">
        <v>0</v>
      </c>
      <c r="K642" t="n">
        <v>0</v>
      </c>
      <c r="L642" t="n">
        <v>0</v>
      </c>
      <c r="M642" t="n">
        <v>0</v>
      </c>
      <c r="N642" t="n">
        <v>0</v>
      </c>
      <c r="O642" t="n">
        <v>0</v>
      </c>
      <c r="P642" t="n">
        <v>0</v>
      </c>
      <c r="Q642" t="n">
        <v>0</v>
      </c>
      <c r="R642" s="2" t="inlineStr"/>
    </row>
    <row r="643" ht="15" customHeight="1">
      <c r="A643" t="inlineStr">
        <is>
          <t>A 4361-2023</t>
        </is>
      </c>
      <c r="B643" s="1" t="n">
        <v>44954</v>
      </c>
      <c r="C643" s="1" t="n">
        <v>45665</v>
      </c>
      <c r="D643" t="inlineStr">
        <is>
          <t>UPPSALA LÄN</t>
        </is>
      </c>
      <c r="E643" t="inlineStr">
        <is>
          <t>ÖSTHAMMAR</t>
        </is>
      </c>
      <c r="F643" t="inlineStr">
        <is>
          <t>Bergvik skog öst AB</t>
        </is>
      </c>
      <c r="G643" t="n">
        <v>18.3</v>
      </c>
      <c r="H643" t="n">
        <v>0</v>
      </c>
      <c r="I643" t="n">
        <v>0</v>
      </c>
      <c r="J643" t="n">
        <v>0</v>
      </c>
      <c r="K643" t="n">
        <v>0</v>
      </c>
      <c r="L643" t="n">
        <v>0</v>
      </c>
      <c r="M643" t="n">
        <v>0</v>
      </c>
      <c r="N643" t="n">
        <v>0</v>
      </c>
      <c r="O643" t="n">
        <v>0</v>
      </c>
      <c r="P643" t="n">
        <v>0</v>
      </c>
      <c r="Q643" t="n">
        <v>0</v>
      </c>
      <c r="R643" s="2" t="inlineStr"/>
    </row>
    <row r="644" ht="15" customHeight="1">
      <c r="A644" t="inlineStr">
        <is>
          <t>A 5404-2023</t>
        </is>
      </c>
      <c r="B644" s="1" t="n">
        <v>44957</v>
      </c>
      <c r="C644" s="1" t="n">
        <v>45665</v>
      </c>
      <c r="D644" t="inlineStr">
        <is>
          <t>UPPSALA LÄN</t>
        </is>
      </c>
      <c r="E644" t="inlineStr">
        <is>
          <t>ÖSTHAMMAR</t>
        </is>
      </c>
      <c r="G644" t="n">
        <v>2.5</v>
      </c>
      <c r="H644" t="n">
        <v>0</v>
      </c>
      <c r="I644" t="n">
        <v>0</v>
      </c>
      <c r="J644" t="n">
        <v>0</v>
      </c>
      <c r="K644" t="n">
        <v>0</v>
      </c>
      <c r="L644" t="n">
        <v>0</v>
      </c>
      <c r="M644" t="n">
        <v>0</v>
      </c>
      <c r="N644" t="n">
        <v>0</v>
      </c>
      <c r="O644" t="n">
        <v>0</v>
      </c>
      <c r="P644" t="n">
        <v>0</v>
      </c>
      <c r="Q644" t="n">
        <v>0</v>
      </c>
      <c r="R644" s="2" t="inlineStr"/>
    </row>
    <row r="645" ht="15" customHeight="1">
      <c r="A645" t="inlineStr">
        <is>
          <t>A 5429-2023</t>
        </is>
      </c>
      <c r="B645" s="1" t="n">
        <v>44959</v>
      </c>
      <c r="C645" s="1" t="n">
        <v>45665</v>
      </c>
      <c r="D645" t="inlineStr">
        <is>
          <t>UPPSALA LÄN</t>
        </is>
      </c>
      <c r="E645" t="inlineStr">
        <is>
          <t>ÖSTHAMMAR</t>
        </is>
      </c>
      <c r="F645" t="inlineStr">
        <is>
          <t>Bergvik skog öst AB</t>
        </is>
      </c>
      <c r="G645" t="n">
        <v>0.4</v>
      </c>
      <c r="H645" t="n">
        <v>0</v>
      </c>
      <c r="I645" t="n">
        <v>0</v>
      </c>
      <c r="J645" t="n">
        <v>0</v>
      </c>
      <c r="K645" t="n">
        <v>0</v>
      </c>
      <c r="L645" t="n">
        <v>0</v>
      </c>
      <c r="M645" t="n">
        <v>0</v>
      </c>
      <c r="N645" t="n">
        <v>0</v>
      </c>
      <c r="O645" t="n">
        <v>0</v>
      </c>
      <c r="P645" t="n">
        <v>0</v>
      </c>
      <c r="Q645" t="n">
        <v>0</v>
      </c>
      <c r="R645" s="2" t="inlineStr"/>
    </row>
    <row r="646" ht="15" customHeight="1">
      <c r="A646" t="inlineStr">
        <is>
          <t>A 5430-2023</t>
        </is>
      </c>
      <c r="B646" s="1" t="n">
        <v>44959</v>
      </c>
      <c r="C646" s="1" t="n">
        <v>45665</v>
      </c>
      <c r="D646" t="inlineStr">
        <is>
          <t>UPPSALA LÄN</t>
        </is>
      </c>
      <c r="E646" t="inlineStr">
        <is>
          <t>ÖSTHAMMAR</t>
        </is>
      </c>
      <c r="F646" t="inlineStr">
        <is>
          <t>Bergvik skog öst AB</t>
        </is>
      </c>
      <c r="G646" t="n">
        <v>18.4</v>
      </c>
      <c r="H646" t="n">
        <v>0</v>
      </c>
      <c r="I646" t="n">
        <v>0</v>
      </c>
      <c r="J646" t="n">
        <v>0</v>
      </c>
      <c r="K646" t="n">
        <v>0</v>
      </c>
      <c r="L646" t="n">
        <v>0</v>
      </c>
      <c r="M646" t="n">
        <v>0</v>
      </c>
      <c r="N646" t="n">
        <v>0</v>
      </c>
      <c r="O646" t="n">
        <v>0</v>
      </c>
      <c r="P646" t="n">
        <v>0</v>
      </c>
      <c r="Q646" t="n">
        <v>0</v>
      </c>
      <c r="R646" s="2" t="inlineStr"/>
    </row>
    <row r="647" ht="15" customHeight="1">
      <c r="A647" t="inlineStr">
        <is>
          <t>A 5643-2023</t>
        </is>
      </c>
      <c r="B647" s="1" t="n">
        <v>44960</v>
      </c>
      <c r="C647" s="1" t="n">
        <v>45665</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6629-2023</t>
        </is>
      </c>
      <c r="B648" s="1" t="n">
        <v>44960</v>
      </c>
      <c r="C648" s="1" t="n">
        <v>45665</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6635-2023</t>
        </is>
      </c>
      <c r="B649" s="1" t="n">
        <v>44960</v>
      </c>
      <c r="C649" s="1" t="n">
        <v>45665</v>
      </c>
      <c r="D649" t="inlineStr">
        <is>
          <t>UPPSALA LÄN</t>
        </is>
      </c>
      <c r="E649" t="inlineStr">
        <is>
          <t>ÖSTHAMMAR</t>
        </is>
      </c>
      <c r="G649" t="n">
        <v>4.6</v>
      </c>
      <c r="H649" t="n">
        <v>0</v>
      </c>
      <c r="I649" t="n">
        <v>0</v>
      </c>
      <c r="J649" t="n">
        <v>0</v>
      </c>
      <c r="K649" t="n">
        <v>0</v>
      </c>
      <c r="L649" t="n">
        <v>0</v>
      </c>
      <c r="M649" t="n">
        <v>0</v>
      </c>
      <c r="N649" t="n">
        <v>0</v>
      </c>
      <c r="O649" t="n">
        <v>0</v>
      </c>
      <c r="P649" t="n">
        <v>0</v>
      </c>
      <c r="Q649" t="n">
        <v>0</v>
      </c>
      <c r="R649" s="2" t="inlineStr"/>
    </row>
    <row r="650" ht="15" customHeight="1">
      <c r="A650" t="inlineStr">
        <is>
          <t>A 5832-2023</t>
        </is>
      </c>
      <c r="B650" s="1" t="n">
        <v>44963</v>
      </c>
      <c r="C650" s="1" t="n">
        <v>45665</v>
      </c>
      <c r="D650" t="inlineStr">
        <is>
          <t>UPPSALA LÄN</t>
        </is>
      </c>
      <c r="E650" t="inlineStr">
        <is>
          <t>ÖSTHAMMAR</t>
        </is>
      </c>
      <c r="G650" t="n">
        <v>3.1</v>
      </c>
      <c r="H650" t="n">
        <v>0</v>
      </c>
      <c r="I650" t="n">
        <v>0</v>
      </c>
      <c r="J650" t="n">
        <v>0</v>
      </c>
      <c r="K650" t="n">
        <v>0</v>
      </c>
      <c r="L650" t="n">
        <v>0</v>
      </c>
      <c r="M650" t="n">
        <v>0</v>
      </c>
      <c r="N650" t="n">
        <v>0</v>
      </c>
      <c r="O650" t="n">
        <v>0</v>
      </c>
      <c r="P650" t="n">
        <v>0</v>
      </c>
      <c r="Q650" t="n">
        <v>0</v>
      </c>
      <c r="R650" s="2" t="inlineStr"/>
    </row>
    <row r="651" ht="15" customHeight="1">
      <c r="A651" t="inlineStr">
        <is>
          <t>A 5836-2023</t>
        </is>
      </c>
      <c r="B651" s="1" t="n">
        <v>44963</v>
      </c>
      <c r="C651" s="1" t="n">
        <v>45665</v>
      </c>
      <c r="D651" t="inlineStr">
        <is>
          <t>UPPSALA LÄN</t>
        </is>
      </c>
      <c r="E651" t="inlineStr">
        <is>
          <t>ÖSTHAMMAR</t>
        </is>
      </c>
      <c r="G651" t="n">
        <v>1.7</v>
      </c>
      <c r="H651" t="n">
        <v>0</v>
      </c>
      <c r="I651" t="n">
        <v>0</v>
      </c>
      <c r="J651" t="n">
        <v>0</v>
      </c>
      <c r="K651" t="n">
        <v>0</v>
      </c>
      <c r="L651" t="n">
        <v>0</v>
      </c>
      <c r="M651" t="n">
        <v>0</v>
      </c>
      <c r="N651" t="n">
        <v>0</v>
      </c>
      <c r="O651" t="n">
        <v>0</v>
      </c>
      <c r="P651" t="n">
        <v>0</v>
      </c>
      <c r="Q651" t="n">
        <v>0</v>
      </c>
      <c r="R651" s="2" t="inlineStr"/>
    </row>
    <row r="652" ht="15" customHeight="1">
      <c r="A652" t="inlineStr">
        <is>
          <t>A 5831-2023</t>
        </is>
      </c>
      <c r="B652" s="1" t="n">
        <v>44963</v>
      </c>
      <c r="C652" s="1" t="n">
        <v>45665</v>
      </c>
      <c r="D652" t="inlineStr">
        <is>
          <t>UPPSALA LÄN</t>
        </is>
      </c>
      <c r="E652" t="inlineStr">
        <is>
          <t>ÖSTHAMMAR</t>
        </is>
      </c>
      <c r="G652" t="n">
        <v>8.1</v>
      </c>
      <c r="H652" t="n">
        <v>0</v>
      </c>
      <c r="I652" t="n">
        <v>0</v>
      </c>
      <c r="J652" t="n">
        <v>0</v>
      </c>
      <c r="K652" t="n">
        <v>0</v>
      </c>
      <c r="L652" t="n">
        <v>0</v>
      </c>
      <c r="M652" t="n">
        <v>0</v>
      </c>
      <c r="N652" t="n">
        <v>0</v>
      </c>
      <c r="O652" t="n">
        <v>0</v>
      </c>
      <c r="P652" t="n">
        <v>0</v>
      </c>
      <c r="Q652" t="n">
        <v>0</v>
      </c>
      <c r="R652" s="2" t="inlineStr"/>
    </row>
    <row r="653" ht="15" customHeight="1">
      <c r="A653" t="inlineStr">
        <is>
          <t>A 5857-2023</t>
        </is>
      </c>
      <c r="B653" s="1" t="n">
        <v>44963</v>
      </c>
      <c r="C653" s="1" t="n">
        <v>45665</v>
      </c>
      <c r="D653" t="inlineStr">
        <is>
          <t>UPPSALA LÄN</t>
        </is>
      </c>
      <c r="E653" t="inlineStr">
        <is>
          <t>ÖSTHAMMAR</t>
        </is>
      </c>
      <c r="G653" t="n">
        <v>1.6</v>
      </c>
      <c r="H653" t="n">
        <v>0</v>
      </c>
      <c r="I653" t="n">
        <v>0</v>
      </c>
      <c r="J653" t="n">
        <v>0</v>
      </c>
      <c r="K653" t="n">
        <v>0</v>
      </c>
      <c r="L653" t="n">
        <v>0</v>
      </c>
      <c r="M653" t="n">
        <v>0</v>
      </c>
      <c r="N653" t="n">
        <v>0</v>
      </c>
      <c r="O653" t="n">
        <v>0</v>
      </c>
      <c r="P653" t="n">
        <v>0</v>
      </c>
      <c r="Q653" t="n">
        <v>0</v>
      </c>
      <c r="R653" s="2" t="inlineStr"/>
    </row>
    <row r="654" ht="15" customHeight="1">
      <c r="A654" t="inlineStr">
        <is>
          <t>A 5884-2023</t>
        </is>
      </c>
      <c r="B654" s="1" t="n">
        <v>44963</v>
      </c>
      <c r="C654" s="1" t="n">
        <v>45665</v>
      </c>
      <c r="D654" t="inlineStr">
        <is>
          <t>UPPSALA LÄN</t>
        </is>
      </c>
      <c r="E654" t="inlineStr">
        <is>
          <t>ÖSTHAMMAR</t>
        </is>
      </c>
      <c r="G654" t="n">
        <v>0.6</v>
      </c>
      <c r="H654" t="n">
        <v>0</v>
      </c>
      <c r="I654" t="n">
        <v>0</v>
      </c>
      <c r="J654" t="n">
        <v>0</v>
      </c>
      <c r="K654" t="n">
        <v>0</v>
      </c>
      <c r="L654" t="n">
        <v>0</v>
      </c>
      <c r="M654" t="n">
        <v>0</v>
      </c>
      <c r="N654" t="n">
        <v>0</v>
      </c>
      <c r="O654" t="n">
        <v>0</v>
      </c>
      <c r="P654" t="n">
        <v>0</v>
      </c>
      <c r="Q654" t="n">
        <v>0</v>
      </c>
      <c r="R654" s="2" t="inlineStr"/>
    </row>
    <row r="655" ht="15" customHeight="1">
      <c r="A655" t="inlineStr">
        <is>
          <t>A 5877-2023</t>
        </is>
      </c>
      <c r="B655" s="1" t="n">
        <v>44963</v>
      </c>
      <c r="C655" s="1" t="n">
        <v>45665</v>
      </c>
      <c r="D655" t="inlineStr">
        <is>
          <t>UPPSALA LÄN</t>
        </is>
      </c>
      <c r="E655" t="inlineStr">
        <is>
          <t>ÖSTHAMMAR</t>
        </is>
      </c>
      <c r="G655" t="n">
        <v>0.7</v>
      </c>
      <c r="H655" t="n">
        <v>0</v>
      </c>
      <c r="I655" t="n">
        <v>0</v>
      </c>
      <c r="J655" t="n">
        <v>0</v>
      </c>
      <c r="K655" t="n">
        <v>0</v>
      </c>
      <c r="L655" t="n">
        <v>0</v>
      </c>
      <c r="M655" t="n">
        <v>0</v>
      </c>
      <c r="N655" t="n">
        <v>0</v>
      </c>
      <c r="O655" t="n">
        <v>0</v>
      </c>
      <c r="P655" t="n">
        <v>0</v>
      </c>
      <c r="Q655" t="n">
        <v>0</v>
      </c>
      <c r="R655" s="2" t="inlineStr"/>
    </row>
    <row r="656" ht="15" customHeight="1">
      <c r="A656" t="inlineStr">
        <is>
          <t>A 7195-2023</t>
        </is>
      </c>
      <c r="B656" s="1" t="n">
        <v>44970</v>
      </c>
      <c r="C656" s="1" t="n">
        <v>45665</v>
      </c>
      <c r="D656" t="inlineStr">
        <is>
          <t>UPPSALA LÄN</t>
        </is>
      </c>
      <c r="E656" t="inlineStr">
        <is>
          <t>ÖSTHAMMAR</t>
        </is>
      </c>
      <c r="G656" t="n">
        <v>1.3</v>
      </c>
      <c r="H656" t="n">
        <v>0</v>
      </c>
      <c r="I656" t="n">
        <v>0</v>
      </c>
      <c r="J656" t="n">
        <v>0</v>
      </c>
      <c r="K656" t="n">
        <v>0</v>
      </c>
      <c r="L656" t="n">
        <v>0</v>
      </c>
      <c r="M656" t="n">
        <v>0</v>
      </c>
      <c r="N656" t="n">
        <v>0</v>
      </c>
      <c r="O656" t="n">
        <v>0</v>
      </c>
      <c r="P656" t="n">
        <v>0</v>
      </c>
      <c r="Q656" t="n">
        <v>0</v>
      </c>
      <c r="R656" s="2" t="inlineStr"/>
    </row>
    <row r="657" ht="15" customHeight="1">
      <c r="A657" t="inlineStr">
        <is>
          <t>A 7206-2023</t>
        </is>
      </c>
      <c r="B657" s="1" t="n">
        <v>44970</v>
      </c>
      <c r="C657" s="1" t="n">
        <v>45665</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7118-2023</t>
        </is>
      </c>
      <c r="B658" s="1" t="n">
        <v>44970</v>
      </c>
      <c r="C658" s="1" t="n">
        <v>45665</v>
      </c>
      <c r="D658" t="inlineStr">
        <is>
          <t>UPPSALA LÄN</t>
        </is>
      </c>
      <c r="E658" t="inlineStr">
        <is>
          <t>ÖSTHAMMAR</t>
        </is>
      </c>
      <c r="G658" t="n">
        <v>2.1</v>
      </c>
      <c r="H658" t="n">
        <v>0</v>
      </c>
      <c r="I658" t="n">
        <v>0</v>
      </c>
      <c r="J658" t="n">
        <v>0</v>
      </c>
      <c r="K658" t="n">
        <v>0</v>
      </c>
      <c r="L658" t="n">
        <v>0</v>
      </c>
      <c r="M658" t="n">
        <v>0</v>
      </c>
      <c r="N658" t="n">
        <v>0</v>
      </c>
      <c r="O658" t="n">
        <v>0</v>
      </c>
      <c r="P658" t="n">
        <v>0</v>
      </c>
      <c r="Q658" t="n">
        <v>0</v>
      </c>
      <c r="R658" s="2" t="inlineStr"/>
    </row>
    <row r="659" ht="15" customHeight="1">
      <c r="A659" t="inlineStr">
        <is>
          <t>A 7546-2023</t>
        </is>
      </c>
      <c r="B659" s="1" t="n">
        <v>44972</v>
      </c>
      <c r="C659" s="1" t="n">
        <v>45665</v>
      </c>
      <c r="D659" t="inlineStr">
        <is>
          <t>UPPSALA LÄN</t>
        </is>
      </c>
      <c r="E659" t="inlineStr">
        <is>
          <t>ÖSTHAMMAR</t>
        </is>
      </c>
      <c r="F659" t="inlineStr">
        <is>
          <t>Bergvik skog öst AB</t>
        </is>
      </c>
      <c r="G659" t="n">
        <v>3.2</v>
      </c>
      <c r="H659" t="n">
        <v>0</v>
      </c>
      <c r="I659" t="n">
        <v>0</v>
      </c>
      <c r="J659" t="n">
        <v>0</v>
      </c>
      <c r="K659" t="n">
        <v>0</v>
      </c>
      <c r="L659" t="n">
        <v>0</v>
      </c>
      <c r="M659" t="n">
        <v>0</v>
      </c>
      <c r="N659" t="n">
        <v>0</v>
      </c>
      <c r="O659" t="n">
        <v>0</v>
      </c>
      <c r="P659" t="n">
        <v>0</v>
      </c>
      <c r="Q659" t="n">
        <v>0</v>
      </c>
      <c r="R659" s="2" t="inlineStr"/>
    </row>
    <row r="660" ht="15" customHeight="1">
      <c r="A660" t="inlineStr">
        <is>
          <t>A 7543-2023</t>
        </is>
      </c>
      <c r="B660" s="1" t="n">
        <v>44972</v>
      </c>
      <c r="C660" s="1" t="n">
        <v>45665</v>
      </c>
      <c r="D660" t="inlineStr">
        <is>
          <t>UPPSALA LÄN</t>
        </is>
      </c>
      <c r="E660" t="inlineStr">
        <is>
          <t>ÖSTHAMMAR</t>
        </is>
      </c>
      <c r="F660" t="inlineStr">
        <is>
          <t>Bergvik skog öst AB</t>
        </is>
      </c>
      <c r="G660" t="n">
        <v>13.3</v>
      </c>
      <c r="H660" t="n">
        <v>0</v>
      </c>
      <c r="I660" t="n">
        <v>0</v>
      </c>
      <c r="J660" t="n">
        <v>0</v>
      </c>
      <c r="K660" t="n">
        <v>0</v>
      </c>
      <c r="L660" t="n">
        <v>0</v>
      </c>
      <c r="M660" t="n">
        <v>0</v>
      </c>
      <c r="N660" t="n">
        <v>0</v>
      </c>
      <c r="O660" t="n">
        <v>0</v>
      </c>
      <c r="P660" t="n">
        <v>0</v>
      </c>
      <c r="Q660" t="n">
        <v>0</v>
      </c>
      <c r="R660" s="2" t="inlineStr"/>
    </row>
    <row r="661" ht="15" customHeight="1">
      <c r="A661" t="inlineStr">
        <is>
          <t>A 7560-2023</t>
        </is>
      </c>
      <c r="B661" s="1" t="n">
        <v>44972</v>
      </c>
      <c r="C661" s="1" t="n">
        <v>45665</v>
      </c>
      <c r="D661" t="inlineStr">
        <is>
          <t>UPPSALA LÄN</t>
        </is>
      </c>
      <c r="E661" t="inlineStr">
        <is>
          <t>ÖSTHAMMAR</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7876-2023</t>
        </is>
      </c>
      <c r="B662" s="1" t="n">
        <v>44973</v>
      </c>
      <c r="C662" s="1" t="n">
        <v>45665</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7944-2023</t>
        </is>
      </c>
      <c r="B663" s="1" t="n">
        <v>44973</v>
      </c>
      <c r="C663" s="1" t="n">
        <v>45665</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7975-2023</t>
        </is>
      </c>
      <c r="B664" s="1" t="n">
        <v>44973</v>
      </c>
      <c r="C664" s="1" t="n">
        <v>45665</v>
      </c>
      <c r="D664" t="inlineStr">
        <is>
          <t>UPPSALA LÄN</t>
        </is>
      </c>
      <c r="E664" t="inlineStr">
        <is>
          <t>ÖSTHAMMAR</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8006-2023</t>
        </is>
      </c>
      <c r="B665" s="1" t="n">
        <v>44973</v>
      </c>
      <c r="C665" s="1" t="n">
        <v>45665</v>
      </c>
      <c r="D665" t="inlineStr">
        <is>
          <t>UPPSALA LÄN</t>
        </is>
      </c>
      <c r="E665" t="inlineStr">
        <is>
          <t>ÖSTHAMMAR</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8616-2023</t>
        </is>
      </c>
      <c r="B666" s="1" t="n">
        <v>44977</v>
      </c>
      <c r="C666" s="1" t="n">
        <v>45665</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8826-2023</t>
        </is>
      </c>
      <c r="B667" s="1" t="n">
        <v>44978</v>
      </c>
      <c r="C667" s="1" t="n">
        <v>45665</v>
      </c>
      <c r="D667" t="inlineStr">
        <is>
          <t>UPPSALA LÄN</t>
        </is>
      </c>
      <c r="E667" t="inlineStr">
        <is>
          <t>ÖSTHAMMAR</t>
        </is>
      </c>
      <c r="F667" t="inlineStr">
        <is>
          <t>Bergvik skog öst AB</t>
        </is>
      </c>
      <c r="G667" t="n">
        <v>4.3</v>
      </c>
      <c r="H667" t="n">
        <v>0</v>
      </c>
      <c r="I667" t="n">
        <v>0</v>
      </c>
      <c r="J667" t="n">
        <v>0</v>
      </c>
      <c r="K667" t="n">
        <v>0</v>
      </c>
      <c r="L667" t="n">
        <v>0</v>
      </c>
      <c r="M667" t="n">
        <v>0</v>
      </c>
      <c r="N667" t="n">
        <v>0</v>
      </c>
      <c r="O667" t="n">
        <v>0</v>
      </c>
      <c r="P667" t="n">
        <v>0</v>
      </c>
      <c r="Q667" t="n">
        <v>0</v>
      </c>
      <c r="R667" s="2" t="inlineStr"/>
    </row>
    <row r="668" ht="15" customHeight="1">
      <c r="A668" t="inlineStr">
        <is>
          <t>A 8830-2023</t>
        </is>
      </c>
      <c r="B668" s="1" t="n">
        <v>44978</v>
      </c>
      <c r="C668" s="1" t="n">
        <v>45665</v>
      </c>
      <c r="D668" t="inlineStr">
        <is>
          <t>UPPSALA LÄN</t>
        </is>
      </c>
      <c r="E668" t="inlineStr">
        <is>
          <t>ÖSTHAMMAR</t>
        </is>
      </c>
      <c r="F668" t="inlineStr">
        <is>
          <t>Bergvik skog öst AB</t>
        </is>
      </c>
      <c r="G668" t="n">
        <v>1.6</v>
      </c>
      <c r="H668" t="n">
        <v>0</v>
      </c>
      <c r="I668" t="n">
        <v>0</v>
      </c>
      <c r="J668" t="n">
        <v>0</v>
      </c>
      <c r="K668" t="n">
        <v>0</v>
      </c>
      <c r="L668" t="n">
        <v>0</v>
      </c>
      <c r="M668" t="n">
        <v>0</v>
      </c>
      <c r="N668" t="n">
        <v>0</v>
      </c>
      <c r="O668" t="n">
        <v>0</v>
      </c>
      <c r="P668" t="n">
        <v>0</v>
      </c>
      <c r="Q668" t="n">
        <v>0</v>
      </c>
      <c r="R668" s="2" t="inlineStr"/>
    </row>
    <row r="669" ht="15" customHeight="1">
      <c r="A669" t="inlineStr">
        <is>
          <t>A 9052-2023</t>
        </is>
      </c>
      <c r="B669" s="1" t="n">
        <v>44979</v>
      </c>
      <c r="C669" s="1" t="n">
        <v>45665</v>
      </c>
      <c r="D669" t="inlineStr">
        <is>
          <t>UPPSALA LÄN</t>
        </is>
      </c>
      <c r="E669" t="inlineStr">
        <is>
          <t>ÖSTHAMMAR</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9543-2023</t>
        </is>
      </c>
      <c r="B670" s="1" t="n">
        <v>44981</v>
      </c>
      <c r="C670" s="1" t="n">
        <v>45665</v>
      </c>
      <c r="D670" t="inlineStr">
        <is>
          <t>UPPSALA LÄN</t>
        </is>
      </c>
      <c r="E670" t="inlineStr">
        <is>
          <t>ÖSTHAMMAR</t>
        </is>
      </c>
      <c r="F670" t="inlineStr">
        <is>
          <t>Bergvik skog öst AB</t>
        </is>
      </c>
      <c r="G670" t="n">
        <v>5.9</v>
      </c>
      <c r="H670" t="n">
        <v>0</v>
      </c>
      <c r="I670" t="n">
        <v>0</v>
      </c>
      <c r="J670" t="n">
        <v>0</v>
      </c>
      <c r="K670" t="n">
        <v>0</v>
      </c>
      <c r="L670" t="n">
        <v>0</v>
      </c>
      <c r="M670" t="n">
        <v>0</v>
      </c>
      <c r="N670" t="n">
        <v>0</v>
      </c>
      <c r="O670" t="n">
        <v>0</v>
      </c>
      <c r="P670" t="n">
        <v>0</v>
      </c>
      <c r="Q670" t="n">
        <v>0</v>
      </c>
      <c r="R670" s="2" t="inlineStr"/>
    </row>
    <row r="671" ht="15" customHeight="1">
      <c r="A671" t="inlineStr">
        <is>
          <t>A 9542-2023</t>
        </is>
      </c>
      <c r="B671" s="1" t="n">
        <v>44981</v>
      </c>
      <c r="C671" s="1" t="n">
        <v>45665</v>
      </c>
      <c r="D671" t="inlineStr">
        <is>
          <t>UPPSALA LÄN</t>
        </is>
      </c>
      <c r="E671" t="inlineStr">
        <is>
          <t>ÖSTHAMMAR</t>
        </is>
      </c>
      <c r="F671" t="inlineStr">
        <is>
          <t>Bergvik skog öst AB</t>
        </is>
      </c>
      <c r="G671" t="n">
        <v>0.4</v>
      </c>
      <c r="H671" t="n">
        <v>0</v>
      </c>
      <c r="I671" t="n">
        <v>0</v>
      </c>
      <c r="J671" t="n">
        <v>0</v>
      </c>
      <c r="K671" t="n">
        <v>0</v>
      </c>
      <c r="L671" t="n">
        <v>0</v>
      </c>
      <c r="M671" t="n">
        <v>0</v>
      </c>
      <c r="N671" t="n">
        <v>0</v>
      </c>
      <c r="O671" t="n">
        <v>0</v>
      </c>
      <c r="P671" t="n">
        <v>0</v>
      </c>
      <c r="Q671" t="n">
        <v>0</v>
      </c>
      <c r="R671" s="2" t="inlineStr"/>
    </row>
    <row r="672" ht="15" customHeight="1">
      <c r="A672" t="inlineStr">
        <is>
          <t>A 10449-2023</t>
        </is>
      </c>
      <c r="B672" s="1" t="n">
        <v>44987</v>
      </c>
      <c r="C672" s="1" t="n">
        <v>45665</v>
      </c>
      <c r="D672" t="inlineStr">
        <is>
          <t>UPPSALA LÄN</t>
        </is>
      </c>
      <c r="E672" t="inlineStr">
        <is>
          <t>ÖSTHAMMAR</t>
        </is>
      </c>
      <c r="G672" t="n">
        <v>3.1</v>
      </c>
      <c r="H672" t="n">
        <v>0</v>
      </c>
      <c r="I672" t="n">
        <v>0</v>
      </c>
      <c r="J672" t="n">
        <v>0</v>
      </c>
      <c r="K672" t="n">
        <v>0</v>
      </c>
      <c r="L672" t="n">
        <v>0</v>
      </c>
      <c r="M672" t="n">
        <v>0</v>
      </c>
      <c r="N672" t="n">
        <v>0</v>
      </c>
      <c r="O672" t="n">
        <v>0</v>
      </c>
      <c r="P672" t="n">
        <v>0</v>
      </c>
      <c r="Q672" t="n">
        <v>0</v>
      </c>
      <c r="R672" s="2" t="inlineStr"/>
    </row>
    <row r="673" ht="15" customHeight="1">
      <c r="A673" t="inlineStr">
        <is>
          <t>A 11017-2023</t>
        </is>
      </c>
      <c r="B673" s="1" t="n">
        <v>44991</v>
      </c>
      <c r="C673" s="1" t="n">
        <v>45665</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10982-2023</t>
        </is>
      </c>
      <c r="B674" s="1" t="n">
        <v>44991</v>
      </c>
      <c r="C674" s="1" t="n">
        <v>45665</v>
      </c>
      <c r="D674" t="inlineStr">
        <is>
          <t>UPPSALA LÄN</t>
        </is>
      </c>
      <c r="E674" t="inlineStr">
        <is>
          <t>ÖSTHAMMAR</t>
        </is>
      </c>
      <c r="G674" t="n">
        <v>1.2</v>
      </c>
      <c r="H674" t="n">
        <v>0</v>
      </c>
      <c r="I674" t="n">
        <v>0</v>
      </c>
      <c r="J674" t="n">
        <v>0</v>
      </c>
      <c r="K674" t="n">
        <v>0</v>
      </c>
      <c r="L674" t="n">
        <v>0</v>
      </c>
      <c r="M674" t="n">
        <v>0</v>
      </c>
      <c r="N674" t="n">
        <v>0</v>
      </c>
      <c r="O674" t="n">
        <v>0</v>
      </c>
      <c r="P674" t="n">
        <v>0</v>
      </c>
      <c r="Q674" t="n">
        <v>0</v>
      </c>
      <c r="R674" s="2" t="inlineStr"/>
    </row>
    <row r="675" ht="15" customHeight="1">
      <c r="A675" t="inlineStr">
        <is>
          <t>A 11008-2023</t>
        </is>
      </c>
      <c r="B675" s="1" t="n">
        <v>44991</v>
      </c>
      <c r="C675" s="1" t="n">
        <v>45665</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11015-2023</t>
        </is>
      </c>
      <c r="B676" s="1" t="n">
        <v>44991</v>
      </c>
      <c r="C676" s="1" t="n">
        <v>45665</v>
      </c>
      <c r="D676" t="inlineStr">
        <is>
          <t>UPPSALA LÄN</t>
        </is>
      </c>
      <c r="E676" t="inlineStr">
        <is>
          <t>ÖSTHAMMAR</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11036-2023</t>
        </is>
      </c>
      <c r="B677" s="1" t="n">
        <v>44991</v>
      </c>
      <c r="C677" s="1" t="n">
        <v>45665</v>
      </c>
      <c r="D677" t="inlineStr">
        <is>
          <t>UPPSALA LÄN</t>
        </is>
      </c>
      <c r="E677" t="inlineStr">
        <is>
          <t>ÖSTHAMMAR</t>
        </is>
      </c>
      <c r="F677" t="inlineStr">
        <is>
          <t>Bergvik skog öst AB</t>
        </is>
      </c>
      <c r="G677" t="n">
        <v>3</v>
      </c>
      <c r="H677" t="n">
        <v>0</v>
      </c>
      <c r="I677" t="n">
        <v>0</v>
      </c>
      <c r="J677" t="n">
        <v>0</v>
      </c>
      <c r="K677" t="n">
        <v>0</v>
      </c>
      <c r="L677" t="n">
        <v>0</v>
      </c>
      <c r="M677" t="n">
        <v>0</v>
      </c>
      <c r="N677" t="n">
        <v>0</v>
      </c>
      <c r="O677" t="n">
        <v>0</v>
      </c>
      <c r="P677" t="n">
        <v>0</v>
      </c>
      <c r="Q677" t="n">
        <v>0</v>
      </c>
      <c r="R677" s="2" t="inlineStr"/>
    </row>
    <row r="678" ht="15" customHeight="1">
      <c r="A678" t="inlineStr">
        <is>
          <t>A 11009-2023</t>
        </is>
      </c>
      <c r="B678" s="1" t="n">
        <v>44991</v>
      </c>
      <c r="C678" s="1" t="n">
        <v>45665</v>
      </c>
      <c r="D678" t="inlineStr">
        <is>
          <t>UPPSALA LÄN</t>
        </is>
      </c>
      <c r="E678" t="inlineStr">
        <is>
          <t>ÖSTHAMMAR</t>
        </is>
      </c>
      <c r="F678" t="inlineStr">
        <is>
          <t>Bergvik skog öst AB</t>
        </is>
      </c>
      <c r="G678" t="n">
        <v>1</v>
      </c>
      <c r="H678" t="n">
        <v>0</v>
      </c>
      <c r="I678" t="n">
        <v>0</v>
      </c>
      <c r="J678" t="n">
        <v>0</v>
      </c>
      <c r="K678" t="n">
        <v>0</v>
      </c>
      <c r="L678" t="n">
        <v>0</v>
      </c>
      <c r="M678" t="n">
        <v>0</v>
      </c>
      <c r="N678" t="n">
        <v>0</v>
      </c>
      <c r="O678" t="n">
        <v>0</v>
      </c>
      <c r="P678" t="n">
        <v>0</v>
      </c>
      <c r="Q678" t="n">
        <v>0</v>
      </c>
      <c r="R678" s="2" t="inlineStr"/>
    </row>
    <row r="679" ht="15" customHeight="1">
      <c r="A679" t="inlineStr">
        <is>
          <t>A 11033-2023</t>
        </is>
      </c>
      <c r="B679" s="1" t="n">
        <v>44991</v>
      </c>
      <c r="C679" s="1" t="n">
        <v>45665</v>
      </c>
      <c r="D679" t="inlineStr">
        <is>
          <t>UPPSALA LÄN</t>
        </is>
      </c>
      <c r="E679" t="inlineStr">
        <is>
          <t>ÖSTHAMMAR</t>
        </is>
      </c>
      <c r="F679" t="inlineStr">
        <is>
          <t>Bergvik skog öst AB</t>
        </is>
      </c>
      <c r="G679" t="n">
        <v>1.4</v>
      </c>
      <c r="H679" t="n">
        <v>0</v>
      </c>
      <c r="I679" t="n">
        <v>0</v>
      </c>
      <c r="J679" t="n">
        <v>0</v>
      </c>
      <c r="K679" t="n">
        <v>0</v>
      </c>
      <c r="L679" t="n">
        <v>0</v>
      </c>
      <c r="M679" t="n">
        <v>0</v>
      </c>
      <c r="N679" t="n">
        <v>0</v>
      </c>
      <c r="O679" t="n">
        <v>0</v>
      </c>
      <c r="P679" t="n">
        <v>0</v>
      </c>
      <c r="Q679" t="n">
        <v>0</v>
      </c>
      <c r="R679" s="2" t="inlineStr"/>
    </row>
    <row r="680" ht="15" customHeight="1">
      <c r="A680" t="inlineStr">
        <is>
          <t>A 11282-2023</t>
        </is>
      </c>
      <c r="B680" s="1" t="n">
        <v>44992</v>
      </c>
      <c r="C680" s="1" t="n">
        <v>45665</v>
      </c>
      <c r="D680" t="inlineStr">
        <is>
          <t>UPPSALA LÄN</t>
        </is>
      </c>
      <c r="E680" t="inlineStr">
        <is>
          <t>ÖSTHAMMAR</t>
        </is>
      </c>
      <c r="F680" t="inlineStr">
        <is>
          <t>Bergvik skog öst AB</t>
        </is>
      </c>
      <c r="G680" t="n">
        <v>12.3</v>
      </c>
      <c r="H680" t="n">
        <v>0</v>
      </c>
      <c r="I680" t="n">
        <v>0</v>
      </c>
      <c r="J680" t="n">
        <v>0</v>
      </c>
      <c r="K680" t="n">
        <v>0</v>
      </c>
      <c r="L680" t="n">
        <v>0</v>
      </c>
      <c r="M680" t="n">
        <v>0</v>
      </c>
      <c r="N680" t="n">
        <v>0</v>
      </c>
      <c r="O680" t="n">
        <v>0</v>
      </c>
      <c r="P680" t="n">
        <v>0</v>
      </c>
      <c r="Q680" t="n">
        <v>0</v>
      </c>
      <c r="R680" s="2" t="inlineStr"/>
    </row>
    <row r="681" ht="15" customHeight="1">
      <c r="A681" t="inlineStr">
        <is>
          <t>A 11281-2023</t>
        </is>
      </c>
      <c r="B681" s="1" t="n">
        <v>44992</v>
      </c>
      <c r="C681" s="1" t="n">
        <v>45665</v>
      </c>
      <c r="D681" t="inlineStr">
        <is>
          <t>UPPSALA LÄN</t>
        </is>
      </c>
      <c r="E681" t="inlineStr">
        <is>
          <t>ÖSTHAMMAR</t>
        </is>
      </c>
      <c r="F681" t="inlineStr">
        <is>
          <t>Bergvik skog öst AB</t>
        </is>
      </c>
      <c r="G681" t="n">
        <v>0.8</v>
      </c>
      <c r="H681" t="n">
        <v>0</v>
      </c>
      <c r="I681" t="n">
        <v>0</v>
      </c>
      <c r="J681" t="n">
        <v>0</v>
      </c>
      <c r="K681" t="n">
        <v>0</v>
      </c>
      <c r="L681" t="n">
        <v>0</v>
      </c>
      <c r="M681" t="n">
        <v>0</v>
      </c>
      <c r="N681" t="n">
        <v>0</v>
      </c>
      <c r="O681" t="n">
        <v>0</v>
      </c>
      <c r="P681" t="n">
        <v>0</v>
      </c>
      <c r="Q681" t="n">
        <v>0</v>
      </c>
      <c r="R681" s="2" t="inlineStr"/>
    </row>
    <row r="682" ht="15" customHeight="1">
      <c r="A682" t="inlineStr">
        <is>
          <t>A 11469-2023</t>
        </is>
      </c>
      <c r="B682" s="1" t="n">
        <v>44993</v>
      </c>
      <c r="C682" s="1" t="n">
        <v>45665</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12190-2023</t>
        </is>
      </c>
      <c r="B683" s="1" t="n">
        <v>44995</v>
      </c>
      <c r="C683" s="1" t="n">
        <v>45665</v>
      </c>
      <c r="D683" t="inlineStr">
        <is>
          <t>UPPSALA LÄN</t>
        </is>
      </c>
      <c r="E683" t="inlineStr">
        <is>
          <t>ÖSTHAMMAR</t>
        </is>
      </c>
      <c r="G683" t="n">
        <v>1.6</v>
      </c>
      <c r="H683" t="n">
        <v>0</v>
      </c>
      <c r="I683" t="n">
        <v>0</v>
      </c>
      <c r="J683" t="n">
        <v>0</v>
      </c>
      <c r="K683" t="n">
        <v>0</v>
      </c>
      <c r="L683" t="n">
        <v>0</v>
      </c>
      <c r="M683" t="n">
        <v>0</v>
      </c>
      <c r="N683" t="n">
        <v>0</v>
      </c>
      <c r="O683" t="n">
        <v>0</v>
      </c>
      <c r="P683" t="n">
        <v>0</v>
      </c>
      <c r="Q683" t="n">
        <v>0</v>
      </c>
      <c r="R683" s="2" t="inlineStr"/>
    </row>
    <row r="684" ht="15" customHeight="1">
      <c r="A684" t="inlineStr">
        <is>
          <t>A 12186-2023</t>
        </is>
      </c>
      <c r="B684" s="1" t="n">
        <v>44995</v>
      </c>
      <c r="C684" s="1" t="n">
        <v>45665</v>
      </c>
      <c r="D684" t="inlineStr">
        <is>
          <t>UPPSALA LÄN</t>
        </is>
      </c>
      <c r="E684" t="inlineStr">
        <is>
          <t>ÖSTHAMMAR</t>
        </is>
      </c>
      <c r="G684" t="n">
        <v>5.7</v>
      </c>
      <c r="H684" t="n">
        <v>0</v>
      </c>
      <c r="I684" t="n">
        <v>0</v>
      </c>
      <c r="J684" t="n">
        <v>0</v>
      </c>
      <c r="K684" t="n">
        <v>0</v>
      </c>
      <c r="L684" t="n">
        <v>0</v>
      </c>
      <c r="M684" t="n">
        <v>0</v>
      </c>
      <c r="N684" t="n">
        <v>0</v>
      </c>
      <c r="O684" t="n">
        <v>0</v>
      </c>
      <c r="P684" t="n">
        <v>0</v>
      </c>
      <c r="Q684" t="n">
        <v>0</v>
      </c>
      <c r="R684" s="2" t="inlineStr"/>
    </row>
    <row r="685" ht="15" customHeight="1">
      <c r="A685" t="inlineStr">
        <is>
          <t>A 12262-2023</t>
        </is>
      </c>
      <c r="B685" s="1" t="n">
        <v>44998</v>
      </c>
      <c r="C685" s="1" t="n">
        <v>45665</v>
      </c>
      <c r="D685" t="inlineStr">
        <is>
          <t>UPPSALA LÄN</t>
        </is>
      </c>
      <c r="E685" t="inlineStr">
        <is>
          <t>ÖSTHAMMAR</t>
        </is>
      </c>
      <c r="G685" t="n">
        <v>4.1</v>
      </c>
      <c r="H685" t="n">
        <v>0</v>
      </c>
      <c r="I685" t="n">
        <v>0</v>
      </c>
      <c r="J685" t="n">
        <v>0</v>
      </c>
      <c r="K685" t="n">
        <v>0</v>
      </c>
      <c r="L685" t="n">
        <v>0</v>
      </c>
      <c r="M685" t="n">
        <v>0</v>
      </c>
      <c r="N685" t="n">
        <v>0</v>
      </c>
      <c r="O685" t="n">
        <v>0</v>
      </c>
      <c r="P685" t="n">
        <v>0</v>
      </c>
      <c r="Q685" t="n">
        <v>0</v>
      </c>
      <c r="R685" s="2" t="inlineStr"/>
    </row>
    <row r="686" ht="15" customHeight="1">
      <c r="A686" t="inlineStr">
        <is>
          <t>A 12215-2023</t>
        </is>
      </c>
      <c r="B686" s="1" t="n">
        <v>44998</v>
      </c>
      <c r="C686" s="1" t="n">
        <v>45665</v>
      </c>
      <c r="D686" t="inlineStr">
        <is>
          <t>UPPSALA LÄN</t>
        </is>
      </c>
      <c r="E686" t="inlineStr">
        <is>
          <t>ÖSTHAMMAR</t>
        </is>
      </c>
      <c r="G686" t="n">
        <v>5.1</v>
      </c>
      <c r="H686" t="n">
        <v>0</v>
      </c>
      <c r="I686" t="n">
        <v>0</v>
      </c>
      <c r="J686" t="n">
        <v>0</v>
      </c>
      <c r="K686" t="n">
        <v>0</v>
      </c>
      <c r="L686" t="n">
        <v>0</v>
      </c>
      <c r="M686" t="n">
        <v>0</v>
      </c>
      <c r="N686" t="n">
        <v>0</v>
      </c>
      <c r="O686" t="n">
        <v>0</v>
      </c>
      <c r="P686" t="n">
        <v>0</v>
      </c>
      <c r="Q686" t="n">
        <v>0</v>
      </c>
      <c r="R686" s="2" t="inlineStr"/>
    </row>
    <row r="687" ht="15" customHeight="1">
      <c r="A687" t="inlineStr">
        <is>
          <t>A 12497-2023</t>
        </is>
      </c>
      <c r="B687" s="1" t="n">
        <v>44999</v>
      </c>
      <c r="C687" s="1" t="n">
        <v>45665</v>
      </c>
      <c r="D687" t="inlineStr">
        <is>
          <t>UPPSALA LÄN</t>
        </is>
      </c>
      <c r="E687" t="inlineStr">
        <is>
          <t>ÖSTHAMMAR</t>
        </is>
      </c>
      <c r="F687" t="inlineStr">
        <is>
          <t>Bergvik skog öst AB</t>
        </is>
      </c>
      <c r="G687" t="n">
        <v>3.6</v>
      </c>
      <c r="H687" t="n">
        <v>0</v>
      </c>
      <c r="I687" t="n">
        <v>0</v>
      </c>
      <c r="J687" t="n">
        <v>0</v>
      </c>
      <c r="K687" t="n">
        <v>0</v>
      </c>
      <c r="L687" t="n">
        <v>0</v>
      </c>
      <c r="M687" t="n">
        <v>0</v>
      </c>
      <c r="N687" t="n">
        <v>0</v>
      </c>
      <c r="O687" t="n">
        <v>0</v>
      </c>
      <c r="P687" t="n">
        <v>0</v>
      </c>
      <c r="Q687" t="n">
        <v>0</v>
      </c>
      <c r="R687" s="2" t="inlineStr"/>
    </row>
    <row r="688" ht="15" customHeight="1">
      <c r="A688" t="inlineStr">
        <is>
          <t>A 13336-2023</t>
        </is>
      </c>
      <c r="B688" s="1" t="n">
        <v>45005</v>
      </c>
      <c r="C688" s="1" t="n">
        <v>45665</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13352-2023</t>
        </is>
      </c>
      <c r="B689" s="1" t="n">
        <v>45005</v>
      </c>
      <c r="C689" s="1" t="n">
        <v>45665</v>
      </c>
      <c r="D689" t="inlineStr">
        <is>
          <t>UPPSALA LÄN</t>
        </is>
      </c>
      <c r="E689" t="inlineStr">
        <is>
          <t>ÖSTHAMMAR</t>
        </is>
      </c>
      <c r="G689" t="n">
        <v>1.8</v>
      </c>
      <c r="H689" t="n">
        <v>0</v>
      </c>
      <c r="I689" t="n">
        <v>0</v>
      </c>
      <c r="J689" t="n">
        <v>0</v>
      </c>
      <c r="K689" t="n">
        <v>0</v>
      </c>
      <c r="L689" t="n">
        <v>0</v>
      </c>
      <c r="M689" t="n">
        <v>0</v>
      </c>
      <c r="N689" t="n">
        <v>0</v>
      </c>
      <c r="O689" t="n">
        <v>0</v>
      </c>
      <c r="P689" t="n">
        <v>0</v>
      </c>
      <c r="Q689" t="n">
        <v>0</v>
      </c>
      <c r="R689" s="2" t="inlineStr"/>
    </row>
    <row r="690" ht="15" customHeight="1">
      <c r="A690" t="inlineStr">
        <is>
          <t>A 13643-2023</t>
        </is>
      </c>
      <c r="B690" s="1" t="n">
        <v>45006</v>
      </c>
      <c r="C690" s="1" t="n">
        <v>45665</v>
      </c>
      <c r="D690" t="inlineStr">
        <is>
          <t>UPPSALA LÄN</t>
        </is>
      </c>
      <c r="E690" t="inlineStr">
        <is>
          <t>ÖSTHAMMAR</t>
        </is>
      </c>
      <c r="G690" t="n">
        <v>2.8</v>
      </c>
      <c r="H690" t="n">
        <v>0</v>
      </c>
      <c r="I690" t="n">
        <v>0</v>
      </c>
      <c r="J690" t="n">
        <v>0</v>
      </c>
      <c r="K690" t="n">
        <v>0</v>
      </c>
      <c r="L690" t="n">
        <v>0</v>
      </c>
      <c r="M690" t="n">
        <v>0</v>
      </c>
      <c r="N690" t="n">
        <v>0</v>
      </c>
      <c r="O690" t="n">
        <v>0</v>
      </c>
      <c r="P690" t="n">
        <v>0</v>
      </c>
      <c r="Q690" t="n">
        <v>0</v>
      </c>
      <c r="R690" s="2" t="inlineStr"/>
    </row>
    <row r="691" ht="15" customHeight="1">
      <c r="A691" t="inlineStr">
        <is>
          <t>A 13580-2023</t>
        </is>
      </c>
      <c r="B691" s="1" t="n">
        <v>45006</v>
      </c>
      <c r="C691" s="1" t="n">
        <v>45665</v>
      </c>
      <c r="D691" t="inlineStr">
        <is>
          <t>UPPSALA LÄN</t>
        </is>
      </c>
      <c r="E691" t="inlineStr">
        <is>
          <t>ÖSTHAMMAR</t>
        </is>
      </c>
      <c r="F691" t="inlineStr">
        <is>
          <t>Övriga Aktiebolag</t>
        </is>
      </c>
      <c r="G691" t="n">
        <v>2.6</v>
      </c>
      <c r="H691" t="n">
        <v>0</v>
      </c>
      <c r="I691" t="n">
        <v>0</v>
      </c>
      <c r="J691" t="n">
        <v>0</v>
      </c>
      <c r="K691" t="n">
        <v>0</v>
      </c>
      <c r="L691" t="n">
        <v>0</v>
      </c>
      <c r="M691" t="n">
        <v>0</v>
      </c>
      <c r="N691" t="n">
        <v>0</v>
      </c>
      <c r="O691" t="n">
        <v>0</v>
      </c>
      <c r="P691" t="n">
        <v>0</v>
      </c>
      <c r="Q691" t="n">
        <v>0</v>
      </c>
      <c r="R691" s="2" t="inlineStr"/>
    </row>
    <row r="692" ht="15" customHeight="1">
      <c r="A692" t="inlineStr">
        <is>
          <t>A 13584-2023</t>
        </is>
      </c>
      <c r="B692" s="1" t="n">
        <v>45006</v>
      </c>
      <c r="C692" s="1" t="n">
        <v>45665</v>
      </c>
      <c r="D692" t="inlineStr">
        <is>
          <t>UPPSALA LÄN</t>
        </is>
      </c>
      <c r="E692" t="inlineStr">
        <is>
          <t>ÖSTHAMMAR</t>
        </is>
      </c>
      <c r="F692" t="inlineStr">
        <is>
          <t>Övriga Aktiebolag</t>
        </is>
      </c>
      <c r="G692" t="n">
        <v>2.7</v>
      </c>
      <c r="H692" t="n">
        <v>0</v>
      </c>
      <c r="I692" t="n">
        <v>0</v>
      </c>
      <c r="J692" t="n">
        <v>0</v>
      </c>
      <c r="K692" t="n">
        <v>0</v>
      </c>
      <c r="L692" t="n">
        <v>0</v>
      </c>
      <c r="M692" t="n">
        <v>0</v>
      </c>
      <c r="N692" t="n">
        <v>0</v>
      </c>
      <c r="O692" t="n">
        <v>0</v>
      </c>
      <c r="P692" t="n">
        <v>0</v>
      </c>
      <c r="Q692" t="n">
        <v>0</v>
      </c>
      <c r="R692" s="2" t="inlineStr"/>
    </row>
    <row r="693" ht="15" customHeight="1">
      <c r="A693" t="inlineStr">
        <is>
          <t>A 13738-2023</t>
        </is>
      </c>
      <c r="B693" s="1" t="n">
        <v>45007</v>
      </c>
      <c r="C693" s="1" t="n">
        <v>45665</v>
      </c>
      <c r="D693" t="inlineStr">
        <is>
          <t>UPPSALA LÄN</t>
        </is>
      </c>
      <c r="E693" t="inlineStr">
        <is>
          <t>ÖSTHAMMAR</t>
        </is>
      </c>
      <c r="G693" t="n">
        <v>0.7</v>
      </c>
      <c r="H693" t="n">
        <v>0</v>
      </c>
      <c r="I693" t="n">
        <v>0</v>
      </c>
      <c r="J693" t="n">
        <v>0</v>
      </c>
      <c r="K693" t="n">
        <v>0</v>
      </c>
      <c r="L693" t="n">
        <v>0</v>
      </c>
      <c r="M693" t="n">
        <v>0</v>
      </c>
      <c r="N693" t="n">
        <v>0</v>
      </c>
      <c r="O693" t="n">
        <v>0</v>
      </c>
      <c r="P693" t="n">
        <v>0</v>
      </c>
      <c r="Q693" t="n">
        <v>0</v>
      </c>
      <c r="R693" s="2" t="inlineStr"/>
    </row>
    <row r="694" ht="15" customHeight="1">
      <c r="A694" t="inlineStr">
        <is>
          <t>A 13767-2023</t>
        </is>
      </c>
      <c r="B694" s="1" t="n">
        <v>45007</v>
      </c>
      <c r="C694" s="1" t="n">
        <v>45665</v>
      </c>
      <c r="D694" t="inlineStr">
        <is>
          <t>UPPSALA LÄN</t>
        </is>
      </c>
      <c r="E694" t="inlineStr">
        <is>
          <t>ÖSTHAMMAR</t>
        </is>
      </c>
      <c r="G694" t="n">
        <v>5.5</v>
      </c>
      <c r="H694" t="n">
        <v>0</v>
      </c>
      <c r="I694" t="n">
        <v>0</v>
      </c>
      <c r="J694" t="n">
        <v>0</v>
      </c>
      <c r="K694" t="n">
        <v>0</v>
      </c>
      <c r="L694" t="n">
        <v>0</v>
      </c>
      <c r="M694" t="n">
        <v>0</v>
      </c>
      <c r="N694" t="n">
        <v>0</v>
      </c>
      <c r="O694" t="n">
        <v>0</v>
      </c>
      <c r="P694" t="n">
        <v>0</v>
      </c>
      <c r="Q694" t="n">
        <v>0</v>
      </c>
      <c r="R694" s="2" t="inlineStr"/>
    </row>
    <row r="695" ht="15" customHeight="1">
      <c r="A695" t="inlineStr">
        <is>
          <t>A 13755-2023</t>
        </is>
      </c>
      <c r="B695" s="1" t="n">
        <v>45007</v>
      </c>
      <c r="C695" s="1" t="n">
        <v>45665</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13771-2023</t>
        </is>
      </c>
      <c r="B696" s="1" t="n">
        <v>45007</v>
      </c>
      <c r="C696" s="1" t="n">
        <v>45665</v>
      </c>
      <c r="D696" t="inlineStr">
        <is>
          <t>UPPSALA LÄN</t>
        </is>
      </c>
      <c r="E696" t="inlineStr">
        <is>
          <t>ÖSTHAMMAR</t>
        </is>
      </c>
      <c r="G696" t="n">
        <v>2.7</v>
      </c>
      <c r="H696" t="n">
        <v>0</v>
      </c>
      <c r="I696" t="n">
        <v>0</v>
      </c>
      <c r="J696" t="n">
        <v>0</v>
      </c>
      <c r="K696" t="n">
        <v>0</v>
      </c>
      <c r="L696" t="n">
        <v>0</v>
      </c>
      <c r="M696" t="n">
        <v>0</v>
      </c>
      <c r="N696" t="n">
        <v>0</v>
      </c>
      <c r="O696" t="n">
        <v>0</v>
      </c>
      <c r="P696" t="n">
        <v>0</v>
      </c>
      <c r="Q696" t="n">
        <v>0</v>
      </c>
      <c r="R696" s="2" t="inlineStr"/>
    </row>
    <row r="697" ht="15" customHeight="1">
      <c r="A697" t="inlineStr">
        <is>
          <t>A 13736-2023</t>
        </is>
      </c>
      <c r="B697" s="1" t="n">
        <v>45007</v>
      </c>
      <c r="C697" s="1" t="n">
        <v>45665</v>
      </c>
      <c r="D697" t="inlineStr">
        <is>
          <t>UPPSALA LÄN</t>
        </is>
      </c>
      <c r="E697" t="inlineStr">
        <is>
          <t>ÖSTHAMMAR</t>
        </is>
      </c>
      <c r="G697" t="n">
        <v>3.7</v>
      </c>
      <c r="H697" t="n">
        <v>0</v>
      </c>
      <c r="I697" t="n">
        <v>0</v>
      </c>
      <c r="J697" t="n">
        <v>0</v>
      </c>
      <c r="K697" t="n">
        <v>0</v>
      </c>
      <c r="L697" t="n">
        <v>0</v>
      </c>
      <c r="M697" t="n">
        <v>0</v>
      </c>
      <c r="N697" t="n">
        <v>0</v>
      </c>
      <c r="O697" t="n">
        <v>0</v>
      </c>
      <c r="P697" t="n">
        <v>0</v>
      </c>
      <c r="Q697" t="n">
        <v>0</v>
      </c>
      <c r="R697" s="2" t="inlineStr"/>
    </row>
    <row r="698" ht="15" customHeight="1">
      <c r="A698" t="inlineStr">
        <is>
          <t>A 14505-2023</t>
        </is>
      </c>
      <c r="B698" s="1" t="n">
        <v>45012</v>
      </c>
      <c r="C698" s="1" t="n">
        <v>45665</v>
      </c>
      <c r="D698" t="inlineStr">
        <is>
          <t>UPPSALA LÄN</t>
        </is>
      </c>
      <c r="E698" t="inlineStr">
        <is>
          <t>ÖSTHAMMAR</t>
        </is>
      </c>
      <c r="F698" t="inlineStr">
        <is>
          <t>Bergvik skog öst AB</t>
        </is>
      </c>
      <c r="G698" t="n">
        <v>1.1</v>
      </c>
      <c r="H698" t="n">
        <v>0</v>
      </c>
      <c r="I698" t="n">
        <v>0</v>
      </c>
      <c r="J698" t="n">
        <v>0</v>
      </c>
      <c r="K698" t="n">
        <v>0</v>
      </c>
      <c r="L698" t="n">
        <v>0</v>
      </c>
      <c r="M698" t="n">
        <v>0</v>
      </c>
      <c r="N698" t="n">
        <v>0</v>
      </c>
      <c r="O698" t="n">
        <v>0</v>
      </c>
      <c r="P698" t="n">
        <v>0</v>
      </c>
      <c r="Q698" t="n">
        <v>0</v>
      </c>
      <c r="R698" s="2" t="inlineStr"/>
    </row>
    <row r="699" ht="15" customHeight="1">
      <c r="A699" t="inlineStr">
        <is>
          <t>A 14510-2023</t>
        </is>
      </c>
      <c r="B699" s="1" t="n">
        <v>45012</v>
      </c>
      <c r="C699" s="1" t="n">
        <v>45665</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14595-2023</t>
        </is>
      </c>
      <c r="B700" s="1" t="n">
        <v>45013</v>
      </c>
      <c r="C700" s="1" t="n">
        <v>45665</v>
      </c>
      <c r="D700" t="inlineStr">
        <is>
          <t>UPPSALA LÄN</t>
        </is>
      </c>
      <c r="E700" t="inlineStr">
        <is>
          <t>ÖSTHAMMAR</t>
        </is>
      </c>
      <c r="G700" t="n">
        <v>5</v>
      </c>
      <c r="H700" t="n">
        <v>0</v>
      </c>
      <c r="I700" t="n">
        <v>0</v>
      </c>
      <c r="J700" t="n">
        <v>0</v>
      </c>
      <c r="K700" t="n">
        <v>0</v>
      </c>
      <c r="L700" t="n">
        <v>0</v>
      </c>
      <c r="M700" t="n">
        <v>0</v>
      </c>
      <c r="N700" t="n">
        <v>0</v>
      </c>
      <c r="O700" t="n">
        <v>0</v>
      </c>
      <c r="P700" t="n">
        <v>0</v>
      </c>
      <c r="Q700" t="n">
        <v>0</v>
      </c>
      <c r="R700" s="2" t="inlineStr"/>
    </row>
    <row r="701" ht="15" customHeight="1">
      <c r="A701" t="inlineStr">
        <is>
          <t>A 14822-2023</t>
        </is>
      </c>
      <c r="B701" s="1" t="n">
        <v>45014</v>
      </c>
      <c r="C701" s="1" t="n">
        <v>45665</v>
      </c>
      <c r="D701" t="inlineStr">
        <is>
          <t>UPPSALA LÄN</t>
        </is>
      </c>
      <c r="E701" t="inlineStr">
        <is>
          <t>ÖSTHAMMAR</t>
        </is>
      </c>
      <c r="G701" t="n">
        <v>6.2</v>
      </c>
      <c r="H701" t="n">
        <v>0</v>
      </c>
      <c r="I701" t="n">
        <v>0</v>
      </c>
      <c r="J701" t="n">
        <v>0</v>
      </c>
      <c r="K701" t="n">
        <v>0</v>
      </c>
      <c r="L701" t="n">
        <v>0</v>
      </c>
      <c r="M701" t="n">
        <v>0</v>
      </c>
      <c r="N701" t="n">
        <v>0</v>
      </c>
      <c r="O701" t="n">
        <v>0</v>
      </c>
      <c r="P701" t="n">
        <v>0</v>
      </c>
      <c r="Q701" t="n">
        <v>0</v>
      </c>
      <c r="R701" s="2" t="inlineStr"/>
    </row>
    <row r="702" ht="15" customHeight="1">
      <c r="A702" t="inlineStr">
        <is>
          <t>A 14835-2023</t>
        </is>
      </c>
      <c r="B702" s="1" t="n">
        <v>45014</v>
      </c>
      <c r="C702" s="1" t="n">
        <v>45665</v>
      </c>
      <c r="D702" t="inlineStr">
        <is>
          <t>UPPSALA LÄN</t>
        </is>
      </c>
      <c r="E702" t="inlineStr">
        <is>
          <t>ÖSTHAMMAR</t>
        </is>
      </c>
      <c r="G702" t="n">
        <v>9.5</v>
      </c>
      <c r="H702" t="n">
        <v>0</v>
      </c>
      <c r="I702" t="n">
        <v>0</v>
      </c>
      <c r="J702" t="n">
        <v>0</v>
      </c>
      <c r="K702" t="n">
        <v>0</v>
      </c>
      <c r="L702" t="n">
        <v>0</v>
      </c>
      <c r="M702" t="n">
        <v>0</v>
      </c>
      <c r="N702" t="n">
        <v>0</v>
      </c>
      <c r="O702" t="n">
        <v>0</v>
      </c>
      <c r="P702" t="n">
        <v>0</v>
      </c>
      <c r="Q702" t="n">
        <v>0</v>
      </c>
      <c r="R702" s="2" t="inlineStr"/>
    </row>
    <row r="703" ht="15" customHeight="1">
      <c r="A703" t="inlineStr">
        <is>
          <t>A 14889-2023</t>
        </is>
      </c>
      <c r="B703" s="1" t="n">
        <v>45015</v>
      </c>
      <c r="C703" s="1" t="n">
        <v>45665</v>
      </c>
      <c r="D703" t="inlineStr">
        <is>
          <t>UPPSALA LÄN</t>
        </is>
      </c>
      <c r="E703" t="inlineStr">
        <is>
          <t>ÖSTHAMMAR</t>
        </is>
      </c>
      <c r="F703" t="inlineStr">
        <is>
          <t>Bergvik skog öst AB</t>
        </is>
      </c>
      <c r="G703" t="n">
        <v>7.6</v>
      </c>
      <c r="H703" t="n">
        <v>0</v>
      </c>
      <c r="I703" t="n">
        <v>0</v>
      </c>
      <c r="J703" t="n">
        <v>0</v>
      </c>
      <c r="K703" t="n">
        <v>0</v>
      </c>
      <c r="L703" t="n">
        <v>0</v>
      </c>
      <c r="M703" t="n">
        <v>0</v>
      </c>
      <c r="N703" t="n">
        <v>0</v>
      </c>
      <c r="O703" t="n">
        <v>0</v>
      </c>
      <c r="P703" t="n">
        <v>0</v>
      </c>
      <c r="Q703" t="n">
        <v>0</v>
      </c>
      <c r="R703" s="2" t="inlineStr"/>
    </row>
    <row r="704" ht="15" customHeight="1">
      <c r="A704" t="inlineStr">
        <is>
          <t>A 14888-2023</t>
        </is>
      </c>
      <c r="B704" s="1" t="n">
        <v>45015</v>
      </c>
      <c r="C704" s="1" t="n">
        <v>45665</v>
      </c>
      <c r="D704" t="inlineStr">
        <is>
          <t>UPPSALA LÄN</t>
        </is>
      </c>
      <c r="E704" t="inlineStr">
        <is>
          <t>ÖSTHAMMAR</t>
        </is>
      </c>
      <c r="F704" t="inlineStr">
        <is>
          <t>Bergvik skog öst AB</t>
        </is>
      </c>
      <c r="G704" t="n">
        <v>0.5</v>
      </c>
      <c r="H704" t="n">
        <v>0</v>
      </c>
      <c r="I704" t="n">
        <v>0</v>
      </c>
      <c r="J704" t="n">
        <v>0</v>
      </c>
      <c r="K704" t="n">
        <v>0</v>
      </c>
      <c r="L704" t="n">
        <v>0</v>
      </c>
      <c r="M704" t="n">
        <v>0</v>
      </c>
      <c r="N704" t="n">
        <v>0</v>
      </c>
      <c r="O704" t="n">
        <v>0</v>
      </c>
      <c r="P704" t="n">
        <v>0</v>
      </c>
      <c r="Q704" t="n">
        <v>0</v>
      </c>
      <c r="R704" s="2" t="inlineStr"/>
    </row>
    <row r="705" ht="15" customHeight="1">
      <c r="A705" t="inlineStr">
        <is>
          <t>A 14976-2023</t>
        </is>
      </c>
      <c r="B705" s="1" t="n">
        <v>45015</v>
      </c>
      <c r="C705" s="1" t="n">
        <v>45665</v>
      </c>
      <c r="D705" t="inlineStr">
        <is>
          <t>UPPSALA LÄN</t>
        </is>
      </c>
      <c r="E705" t="inlineStr">
        <is>
          <t>ÖSTHAMMAR</t>
        </is>
      </c>
      <c r="G705" t="n">
        <v>3.2</v>
      </c>
      <c r="H705" t="n">
        <v>0</v>
      </c>
      <c r="I705" t="n">
        <v>0</v>
      </c>
      <c r="J705" t="n">
        <v>0</v>
      </c>
      <c r="K705" t="n">
        <v>0</v>
      </c>
      <c r="L705" t="n">
        <v>0</v>
      </c>
      <c r="M705" t="n">
        <v>0</v>
      </c>
      <c r="N705" t="n">
        <v>0</v>
      </c>
      <c r="O705" t="n">
        <v>0</v>
      </c>
      <c r="P705" t="n">
        <v>0</v>
      </c>
      <c r="Q705" t="n">
        <v>0</v>
      </c>
      <c r="R705" s="2" t="inlineStr"/>
    </row>
    <row r="706" ht="15" customHeight="1">
      <c r="A706" t="inlineStr">
        <is>
          <t>A 15554-2023</t>
        </is>
      </c>
      <c r="B706" s="1" t="n">
        <v>45019</v>
      </c>
      <c r="C706" s="1" t="n">
        <v>45665</v>
      </c>
      <c r="D706" t="inlineStr">
        <is>
          <t>UPPSALA LÄN</t>
        </is>
      </c>
      <c r="E706" t="inlineStr">
        <is>
          <t>ÖSTHAMMAR</t>
        </is>
      </c>
      <c r="G706" t="n">
        <v>5.3</v>
      </c>
      <c r="H706" t="n">
        <v>0</v>
      </c>
      <c r="I706" t="n">
        <v>0</v>
      </c>
      <c r="J706" t="n">
        <v>0</v>
      </c>
      <c r="K706" t="n">
        <v>0</v>
      </c>
      <c r="L706" t="n">
        <v>0</v>
      </c>
      <c r="M706" t="n">
        <v>0</v>
      </c>
      <c r="N706" t="n">
        <v>0</v>
      </c>
      <c r="O706" t="n">
        <v>0</v>
      </c>
      <c r="P706" t="n">
        <v>0</v>
      </c>
      <c r="Q706" t="n">
        <v>0</v>
      </c>
      <c r="R706" s="2" t="inlineStr"/>
    </row>
    <row r="707" ht="15" customHeight="1">
      <c r="A707" t="inlineStr">
        <is>
          <t>A 16112-2023</t>
        </is>
      </c>
      <c r="B707" s="1" t="n">
        <v>45027</v>
      </c>
      <c r="C707" s="1" t="n">
        <v>45665</v>
      </c>
      <c r="D707" t="inlineStr">
        <is>
          <t>UPPSALA LÄN</t>
        </is>
      </c>
      <c r="E707" t="inlineStr">
        <is>
          <t>ÖSTHAMMAR</t>
        </is>
      </c>
      <c r="G707" t="n">
        <v>2</v>
      </c>
      <c r="H707" t="n">
        <v>0</v>
      </c>
      <c r="I707" t="n">
        <v>0</v>
      </c>
      <c r="J707" t="n">
        <v>0</v>
      </c>
      <c r="K707" t="n">
        <v>0</v>
      </c>
      <c r="L707" t="n">
        <v>0</v>
      </c>
      <c r="M707" t="n">
        <v>0</v>
      </c>
      <c r="N707" t="n">
        <v>0</v>
      </c>
      <c r="O707" t="n">
        <v>0</v>
      </c>
      <c r="P707" t="n">
        <v>0</v>
      </c>
      <c r="Q707" t="n">
        <v>0</v>
      </c>
      <c r="R707" s="2" t="inlineStr"/>
    </row>
    <row r="708" ht="15" customHeight="1">
      <c r="A708" t="inlineStr">
        <is>
          <t>A 16345-2023</t>
        </is>
      </c>
      <c r="B708" s="1" t="n">
        <v>45028</v>
      </c>
      <c r="C708" s="1" t="n">
        <v>45665</v>
      </c>
      <c r="D708" t="inlineStr">
        <is>
          <t>UPPSALA LÄN</t>
        </is>
      </c>
      <c r="E708" t="inlineStr">
        <is>
          <t>ÖSTHAMMAR</t>
        </is>
      </c>
      <c r="F708" t="inlineStr">
        <is>
          <t>Övriga Aktiebolag</t>
        </is>
      </c>
      <c r="G708" t="n">
        <v>10.1</v>
      </c>
      <c r="H708" t="n">
        <v>0</v>
      </c>
      <c r="I708" t="n">
        <v>0</v>
      </c>
      <c r="J708" t="n">
        <v>0</v>
      </c>
      <c r="K708" t="n">
        <v>0</v>
      </c>
      <c r="L708" t="n">
        <v>0</v>
      </c>
      <c r="M708" t="n">
        <v>0</v>
      </c>
      <c r="N708" t="n">
        <v>0</v>
      </c>
      <c r="O708" t="n">
        <v>0</v>
      </c>
      <c r="P708" t="n">
        <v>0</v>
      </c>
      <c r="Q708" t="n">
        <v>0</v>
      </c>
      <c r="R708" s="2" t="inlineStr"/>
    </row>
    <row r="709" ht="15" customHeight="1">
      <c r="A709" t="inlineStr">
        <is>
          <t>A 16701-2023</t>
        </is>
      </c>
      <c r="B709" s="1" t="n">
        <v>45030</v>
      </c>
      <c r="C709" s="1" t="n">
        <v>45665</v>
      </c>
      <c r="D709" t="inlineStr">
        <is>
          <t>UPPSALA LÄN</t>
        </is>
      </c>
      <c r="E709" t="inlineStr">
        <is>
          <t>ÖSTHAMMAR</t>
        </is>
      </c>
      <c r="G709" t="n">
        <v>2.5</v>
      </c>
      <c r="H709" t="n">
        <v>0</v>
      </c>
      <c r="I709" t="n">
        <v>0</v>
      </c>
      <c r="J709" t="n">
        <v>0</v>
      </c>
      <c r="K709" t="n">
        <v>0</v>
      </c>
      <c r="L709" t="n">
        <v>0</v>
      </c>
      <c r="M709" t="n">
        <v>0</v>
      </c>
      <c r="N709" t="n">
        <v>0</v>
      </c>
      <c r="O709" t="n">
        <v>0</v>
      </c>
      <c r="P709" t="n">
        <v>0</v>
      </c>
      <c r="Q709" t="n">
        <v>0</v>
      </c>
      <c r="R709" s="2" t="inlineStr"/>
    </row>
    <row r="710" ht="15" customHeight="1">
      <c r="A710" t="inlineStr">
        <is>
          <t>A 16954-2023</t>
        </is>
      </c>
      <c r="B710" s="1" t="n">
        <v>45033</v>
      </c>
      <c r="C710" s="1" t="n">
        <v>45665</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16948-2023</t>
        </is>
      </c>
      <c r="B711" s="1" t="n">
        <v>45033</v>
      </c>
      <c r="C711" s="1" t="n">
        <v>45665</v>
      </c>
      <c r="D711" t="inlineStr">
        <is>
          <t>UPPSALA LÄN</t>
        </is>
      </c>
      <c r="E711" t="inlineStr">
        <is>
          <t>ÖSTHAMMAR</t>
        </is>
      </c>
      <c r="G711" t="n">
        <v>1.8</v>
      </c>
      <c r="H711" t="n">
        <v>0</v>
      </c>
      <c r="I711" t="n">
        <v>0</v>
      </c>
      <c r="J711" t="n">
        <v>0</v>
      </c>
      <c r="K711" t="n">
        <v>0</v>
      </c>
      <c r="L711" t="n">
        <v>0</v>
      </c>
      <c r="M711" t="n">
        <v>0</v>
      </c>
      <c r="N711" t="n">
        <v>0</v>
      </c>
      <c r="O711" t="n">
        <v>0</v>
      </c>
      <c r="P711" t="n">
        <v>0</v>
      </c>
      <c r="Q711" t="n">
        <v>0</v>
      </c>
      <c r="R711" s="2" t="inlineStr"/>
    </row>
    <row r="712" ht="15" customHeight="1">
      <c r="A712" t="inlineStr">
        <is>
          <t>A 16966-2023</t>
        </is>
      </c>
      <c r="B712" s="1" t="n">
        <v>45033</v>
      </c>
      <c r="C712" s="1" t="n">
        <v>45665</v>
      </c>
      <c r="D712" t="inlineStr">
        <is>
          <t>UPPSALA LÄN</t>
        </is>
      </c>
      <c r="E712" t="inlineStr">
        <is>
          <t>ÖSTHAMMAR</t>
        </is>
      </c>
      <c r="G712" t="n">
        <v>0.9</v>
      </c>
      <c r="H712" t="n">
        <v>0</v>
      </c>
      <c r="I712" t="n">
        <v>0</v>
      </c>
      <c r="J712" t="n">
        <v>0</v>
      </c>
      <c r="K712" t="n">
        <v>0</v>
      </c>
      <c r="L712" t="n">
        <v>0</v>
      </c>
      <c r="M712" t="n">
        <v>0</v>
      </c>
      <c r="N712" t="n">
        <v>0</v>
      </c>
      <c r="O712" t="n">
        <v>0</v>
      </c>
      <c r="P712" t="n">
        <v>0</v>
      </c>
      <c r="Q712" t="n">
        <v>0</v>
      </c>
      <c r="R712" s="2" t="inlineStr"/>
    </row>
    <row r="713" ht="15" customHeight="1">
      <c r="A713" t="inlineStr">
        <is>
          <t>A 17028-2023</t>
        </is>
      </c>
      <c r="B713" s="1" t="n">
        <v>45034</v>
      </c>
      <c r="C713" s="1" t="n">
        <v>45665</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17631-2023</t>
        </is>
      </c>
      <c r="B714" s="1" t="n">
        <v>45036</v>
      </c>
      <c r="C714" s="1" t="n">
        <v>45665</v>
      </c>
      <c r="D714" t="inlineStr">
        <is>
          <t>UPPSALA LÄN</t>
        </is>
      </c>
      <c r="E714" t="inlineStr">
        <is>
          <t>ÖSTHAMMAR</t>
        </is>
      </c>
      <c r="G714" t="n">
        <v>5.1</v>
      </c>
      <c r="H714" t="n">
        <v>0</v>
      </c>
      <c r="I714" t="n">
        <v>0</v>
      </c>
      <c r="J714" t="n">
        <v>0</v>
      </c>
      <c r="K714" t="n">
        <v>0</v>
      </c>
      <c r="L714" t="n">
        <v>0</v>
      </c>
      <c r="M714" t="n">
        <v>0</v>
      </c>
      <c r="N714" t="n">
        <v>0</v>
      </c>
      <c r="O714" t="n">
        <v>0</v>
      </c>
      <c r="P714" t="n">
        <v>0</v>
      </c>
      <c r="Q714" t="n">
        <v>0</v>
      </c>
      <c r="R714" s="2" t="inlineStr"/>
    </row>
    <row r="715" ht="15" customHeight="1">
      <c r="A715" t="inlineStr">
        <is>
          <t>A 17850-2023</t>
        </is>
      </c>
      <c r="B715" s="1" t="n">
        <v>45037</v>
      </c>
      <c r="C715" s="1" t="n">
        <v>45665</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17851-2023</t>
        </is>
      </c>
      <c r="B716" s="1" t="n">
        <v>45037</v>
      </c>
      <c r="C716" s="1" t="n">
        <v>45665</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17854-2023</t>
        </is>
      </c>
      <c r="B717" s="1" t="n">
        <v>45037</v>
      </c>
      <c r="C717" s="1" t="n">
        <v>45665</v>
      </c>
      <c r="D717" t="inlineStr">
        <is>
          <t>UPPSALA LÄN</t>
        </is>
      </c>
      <c r="E717" t="inlineStr">
        <is>
          <t>ÖSTHAMMAR</t>
        </is>
      </c>
      <c r="G717" t="n">
        <v>5.6</v>
      </c>
      <c r="H717" t="n">
        <v>0</v>
      </c>
      <c r="I717" t="n">
        <v>0</v>
      </c>
      <c r="J717" t="n">
        <v>0</v>
      </c>
      <c r="K717" t="n">
        <v>0</v>
      </c>
      <c r="L717" t="n">
        <v>0</v>
      </c>
      <c r="M717" t="n">
        <v>0</v>
      </c>
      <c r="N717" t="n">
        <v>0</v>
      </c>
      <c r="O717" t="n">
        <v>0</v>
      </c>
      <c r="P717" t="n">
        <v>0</v>
      </c>
      <c r="Q717" t="n">
        <v>0</v>
      </c>
      <c r="R717" s="2" t="inlineStr"/>
    </row>
    <row r="718" ht="15" customHeight="1">
      <c r="A718" t="inlineStr">
        <is>
          <t>A 18091-2023</t>
        </is>
      </c>
      <c r="B718" s="1" t="n">
        <v>45040</v>
      </c>
      <c r="C718" s="1" t="n">
        <v>45665</v>
      </c>
      <c r="D718" t="inlineStr">
        <is>
          <t>UPPSALA LÄN</t>
        </is>
      </c>
      <c r="E718" t="inlineStr">
        <is>
          <t>ÖSTHAMMAR</t>
        </is>
      </c>
      <c r="G718" t="n">
        <v>2.4</v>
      </c>
      <c r="H718" t="n">
        <v>0</v>
      </c>
      <c r="I718" t="n">
        <v>0</v>
      </c>
      <c r="J718" t="n">
        <v>0</v>
      </c>
      <c r="K718" t="n">
        <v>0</v>
      </c>
      <c r="L718" t="n">
        <v>0</v>
      </c>
      <c r="M718" t="n">
        <v>0</v>
      </c>
      <c r="N718" t="n">
        <v>0</v>
      </c>
      <c r="O718" t="n">
        <v>0</v>
      </c>
      <c r="P718" t="n">
        <v>0</v>
      </c>
      <c r="Q718" t="n">
        <v>0</v>
      </c>
      <c r="R718" s="2" t="inlineStr"/>
    </row>
    <row r="719" ht="15" customHeight="1">
      <c r="A719" t="inlineStr">
        <is>
          <t>A 17970-2023</t>
        </is>
      </c>
      <c r="B719" s="1" t="n">
        <v>45040</v>
      </c>
      <c r="C719" s="1" t="n">
        <v>45665</v>
      </c>
      <c r="D719" t="inlineStr">
        <is>
          <t>UPPSALA LÄN</t>
        </is>
      </c>
      <c r="E719" t="inlineStr">
        <is>
          <t>ÖSTHAMMAR</t>
        </is>
      </c>
      <c r="G719" t="n">
        <v>3.3</v>
      </c>
      <c r="H719" t="n">
        <v>0</v>
      </c>
      <c r="I719" t="n">
        <v>0</v>
      </c>
      <c r="J719" t="n">
        <v>0</v>
      </c>
      <c r="K719" t="n">
        <v>0</v>
      </c>
      <c r="L719" t="n">
        <v>0</v>
      </c>
      <c r="M719" t="n">
        <v>0</v>
      </c>
      <c r="N719" t="n">
        <v>0</v>
      </c>
      <c r="O719" t="n">
        <v>0</v>
      </c>
      <c r="P719" t="n">
        <v>0</v>
      </c>
      <c r="Q719" t="n">
        <v>0</v>
      </c>
      <c r="R719" s="2" t="inlineStr"/>
    </row>
    <row r="720" ht="15" customHeight="1">
      <c r="A720" t="inlineStr">
        <is>
          <t>A 18074-2023</t>
        </is>
      </c>
      <c r="B720" s="1" t="n">
        <v>45040</v>
      </c>
      <c r="C720" s="1" t="n">
        <v>45665</v>
      </c>
      <c r="D720" t="inlineStr">
        <is>
          <t>UPPSALA LÄN</t>
        </is>
      </c>
      <c r="E720" t="inlineStr">
        <is>
          <t>ÖSTHAMMAR</t>
        </is>
      </c>
      <c r="G720" t="n">
        <v>3.7</v>
      </c>
      <c r="H720" t="n">
        <v>0</v>
      </c>
      <c r="I720" t="n">
        <v>0</v>
      </c>
      <c r="J720" t="n">
        <v>0</v>
      </c>
      <c r="K720" t="n">
        <v>0</v>
      </c>
      <c r="L720" t="n">
        <v>0</v>
      </c>
      <c r="M720" t="n">
        <v>0</v>
      </c>
      <c r="N720" t="n">
        <v>0</v>
      </c>
      <c r="O720" t="n">
        <v>0</v>
      </c>
      <c r="P720" t="n">
        <v>0</v>
      </c>
      <c r="Q720" t="n">
        <v>0</v>
      </c>
      <c r="R720" s="2" t="inlineStr"/>
    </row>
    <row r="721" ht="15" customHeight="1">
      <c r="A721" t="inlineStr">
        <is>
          <t>A 18113-2023</t>
        </is>
      </c>
      <c r="B721" s="1" t="n">
        <v>45040</v>
      </c>
      <c r="C721" s="1" t="n">
        <v>45665</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17969-2023</t>
        </is>
      </c>
      <c r="B722" s="1" t="n">
        <v>45040</v>
      </c>
      <c r="C722" s="1" t="n">
        <v>45665</v>
      </c>
      <c r="D722" t="inlineStr">
        <is>
          <t>UPPSALA LÄN</t>
        </is>
      </c>
      <c r="E722" t="inlineStr">
        <is>
          <t>ÖSTHAMMAR</t>
        </is>
      </c>
      <c r="G722" t="n">
        <v>5.4</v>
      </c>
      <c r="H722" t="n">
        <v>0</v>
      </c>
      <c r="I722" t="n">
        <v>0</v>
      </c>
      <c r="J722" t="n">
        <v>0</v>
      </c>
      <c r="K722" t="n">
        <v>0</v>
      </c>
      <c r="L722" t="n">
        <v>0</v>
      </c>
      <c r="M722" t="n">
        <v>0</v>
      </c>
      <c r="N722" t="n">
        <v>0</v>
      </c>
      <c r="O722" t="n">
        <v>0</v>
      </c>
      <c r="P722" t="n">
        <v>0</v>
      </c>
      <c r="Q722" t="n">
        <v>0</v>
      </c>
      <c r="R722" s="2" t="inlineStr"/>
    </row>
    <row r="723" ht="15" customHeight="1">
      <c r="A723" t="inlineStr">
        <is>
          <t>A 18219-2023</t>
        </is>
      </c>
      <c r="B723" s="1" t="n">
        <v>45041</v>
      </c>
      <c r="C723" s="1" t="n">
        <v>45665</v>
      </c>
      <c r="D723" t="inlineStr">
        <is>
          <t>UPPSALA LÄN</t>
        </is>
      </c>
      <c r="E723" t="inlineStr">
        <is>
          <t>ÖSTHAMMAR</t>
        </is>
      </c>
      <c r="G723" t="n">
        <v>0.6</v>
      </c>
      <c r="H723" t="n">
        <v>0</v>
      </c>
      <c r="I723" t="n">
        <v>0</v>
      </c>
      <c r="J723" t="n">
        <v>0</v>
      </c>
      <c r="K723" t="n">
        <v>0</v>
      </c>
      <c r="L723" t="n">
        <v>0</v>
      </c>
      <c r="M723" t="n">
        <v>0</v>
      </c>
      <c r="N723" t="n">
        <v>0</v>
      </c>
      <c r="O723" t="n">
        <v>0</v>
      </c>
      <c r="P723" t="n">
        <v>0</v>
      </c>
      <c r="Q723" t="n">
        <v>0</v>
      </c>
      <c r="R723" s="2" t="inlineStr"/>
    </row>
    <row r="724" ht="15" customHeight="1">
      <c r="A724" t="inlineStr">
        <is>
          <t>A 18536-2023</t>
        </is>
      </c>
      <c r="B724" s="1" t="n">
        <v>45042</v>
      </c>
      <c r="C724" s="1" t="n">
        <v>45665</v>
      </c>
      <c r="D724" t="inlineStr">
        <is>
          <t>UPPSALA LÄN</t>
        </is>
      </c>
      <c r="E724" t="inlineStr">
        <is>
          <t>ÖSTHAMMAR</t>
        </is>
      </c>
      <c r="F724" t="inlineStr">
        <is>
          <t>Bergvik skog öst AB</t>
        </is>
      </c>
      <c r="G724" t="n">
        <v>0.7</v>
      </c>
      <c r="H724" t="n">
        <v>0</v>
      </c>
      <c r="I724" t="n">
        <v>0</v>
      </c>
      <c r="J724" t="n">
        <v>0</v>
      </c>
      <c r="K724" t="n">
        <v>0</v>
      </c>
      <c r="L724" t="n">
        <v>0</v>
      </c>
      <c r="M724" t="n">
        <v>0</v>
      </c>
      <c r="N724" t="n">
        <v>0</v>
      </c>
      <c r="O724" t="n">
        <v>0</v>
      </c>
      <c r="P724" t="n">
        <v>0</v>
      </c>
      <c r="Q724" t="n">
        <v>0</v>
      </c>
      <c r="R724" s="2" t="inlineStr"/>
    </row>
    <row r="725" ht="15" customHeight="1">
      <c r="A725" t="inlineStr">
        <is>
          <t>A 18386-2023</t>
        </is>
      </c>
      <c r="B725" s="1" t="n">
        <v>45042</v>
      </c>
      <c r="C725" s="1" t="n">
        <v>45665</v>
      </c>
      <c r="D725" t="inlineStr">
        <is>
          <t>UPPSALA LÄN</t>
        </is>
      </c>
      <c r="E725" t="inlineStr">
        <is>
          <t>ÖSTHAMMAR</t>
        </is>
      </c>
      <c r="F725" t="inlineStr">
        <is>
          <t>Bergvik skog öst AB</t>
        </is>
      </c>
      <c r="G725" t="n">
        <v>2.9</v>
      </c>
      <c r="H725" t="n">
        <v>0</v>
      </c>
      <c r="I725" t="n">
        <v>0</v>
      </c>
      <c r="J725" t="n">
        <v>0</v>
      </c>
      <c r="K725" t="n">
        <v>0</v>
      </c>
      <c r="L725" t="n">
        <v>0</v>
      </c>
      <c r="M725" t="n">
        <v>0</v>
      </c>
      <c r="N725" t="n">
        <v>0</v>
      </c>
      <c r="O725" t="n">
        <v>0</v>
      </c>
      <c r="P725" t="n">
        <v>0</v>
      </c>
      <c r="Q725" t="n">
        <v>0</v>
      </c>
      <c r="R725" s="2" t="inlineStr"/>
    </row>
    <row r="726" ht="15" customHeight="1">
      <c r="A726" t="inlineStr">
        <is>
          <t>A 18535-2023</t>
        </is>
      </c>
      <c r="B726" s="1" t="n">
        <v>45042</v>
      </c>
      <c r="C726" s="1" t="n">
        <v>45665</v>
      </c>
      <c r="D726" t="inlineStr">
        <is>
          <t>UPPSALA LÄN</t>
        </is>
      </c>
      <c r="E726" t="inlineStr">
        <is>
          <t>ÖSTHAMMAR</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18534-2023</t>
        </is>
      </c>
      <c r="B727" s="1" t="n">
        <v>45042</v>
      </c>
      <c r="C727" s="1" t="n">
        <v>45665</v>
      </c>
      <c r="D727" t="inlineStr">
        <is>
          <t>UPPSALA LÄN</t>
        </is>
      </c>
      <c r="E727" t="inlineStr">
        <is>
          <t>ÖSTHAMMAR</t>
        </is>
      </c>
      <c r="F727" t="inlineStr">
        <is>
          <t>Bergvik skog öst AB</t>
        </is>
      </c>
      <c r="G727" t="n">
        <v>2.1</v>
      </c>
      <c r="H727" t="n">
        <v>0</v>
      </c>
      <c r="I727" t="n">
        <v>0</v>
      </c>
      <c r="J727" t="n">
        <v>0</v>
      </c>
      <c r="K727" t="n">
        <v>0</v>
      </c>
      <c r="L727" t="n">
        <v>0</v>
      </c>
      <c r="M727" t="n">
        <v>0</v>
      </c>
      <c r="N727" t="n">
        <v>0</v>
      </c>
      <c r="O727" t="n">
        <v>0</v>
      </c>
      <c r="P727" t="n">
        <v>0</v>
      </c>
      <c r="Q727" t="n">
        <v>0</v>
      </c>
      <c r="R727" s="2" t="inlineStr"/>
    </row>
    <row r="728" ht="15" customHeight="1">
      <c r="A728" t="inlineStr">
        <is>
          <t>A 18538-2023</t>
        </is>
      </c>
      <c r="B728" s="1" t="n">
        <v>45042</v>
      </c>
      <c r="C728" s="1" t="n">
        <v>45665</v>
      </c>
      <c r="D728" t="inlineStr">
        <is>
          <t>UPPSALA LÄN</t>
        </is>
      </c>
      <c r="E728" t="inlineStr">
        <is>
          <t>ÖSTHAMMAR</t>
        </is>
      </c>
      <c r="F728" t="inlineStr">
        <is>
          <t>Bergvik skog öst AB</t>
        </is>
      </c>
      <c r="G728" t="n">
        <v>2.4</v>
      </c>
      <c r="H728" t="n">
        <v>0</v>
      </c>
      <c r="I728" t="n">
        <v>0</v>
      </c>
      <c r="J728" t="n">
        <v>0</v>
      </c>
      <c r="K728" t="n">
        <v>0</v>
      </c>
      <c r="L728" t="n">
        <v>0</v>
      </c>
      <c r="M728" t="n">
        <v>0</v>
      </c>
      <c r="N728" t="n">
        <v>0</v>
      </c>
      <c r="O728" t="n">
        <v>0</v>
      </c>
      <c r="P728" t="n">
        <v>0</v>
      </c>
      <c r="Q728" t="n">
        <v>0</v>
      </c>
      <c r="R728" s="2" t="inlineStr"/>
    </row>
    <row r="729" ht="15" customHeight="1">
      <c r="A729" t="inlineStr">
        <is>
          <t>A 18838-2023</t>
        </is>
      </c>
      <c r="B729" s="1" t="n">
        <v>45044</v>
      </c>
      <c r="C729" s="1" t="n">
        <v>45665</v>
      </c>
      <c r="D729" t="inlineStr">
        <is>
          <t>UPPSALA LÄN</t>
        </is>
      </c>
      <c r="E729" t="inlineStr">
        <is>
          <t>ÖSTHAMMAR</t>
        </is>
      </c>
      <c r="G729" t="n">
        <v>2.8</v>
      </c>
      <c r="H729" t="n">
        <v>0</v>
      </c>
      <c r="I729" t="n">
        <v>0</v>
      </c>
      <c r="J729" t="n">
        <v>0</v>
      </c>
      <c r="K729" t="n">
        <v>0</v>
      </c>
      <c r="L729" t="n">
        <v>0</v>
      </c>
      <c r="M729" t="n">
        <v>0</v>
      </c>
      <c r="N729" t="n">
        <v>0</v>
      </c>
      <c r="O729" t="n">
        <v>0</v>
      </c>
      <c r="P729" t="n">
        <v>0</v>
      </c>
      <c r="Q729" t="n">
        <v>0</v>
      </c>
      <c r="R729" s="2" t="inlineStr"/>
    </row>
    <row r="730" ht="15" customHeight="1">
      <c r="A730" t="inlineStr">
        <is>
          <t>A 18839-2023</t>
        </is>
      </c>
      <c r="B730" s="1" t="n">
        <v>45044</v>
      </c>
      <c r="C730" s="1" t="n">
        <v>45665</v>
      </c>
      <c r="D730" t="inlineStr">
        <is>
          <t>UPPSALA LÄN</t>
        </is>
      </c>
      <c r="E730" t="inlineStr">
        <is>
          <t>ÖSTHAMMAR</t>
        </is>
      </c>
      <c r="G730" t="n">
        <v>2.5</v>
      </c>
      <c r="H730" t="n">
        <v>0</v>
      </c>
      <c r="I730" t="n">
        <v>0</v>
      </c>
      <c r="J730" t="n">
        <v>0</v>
      </c>
      <c r="K730" t="n">
        <v>0</v>
      </c>
      <c r="L730" t="n">
        <v>0</v>
      </c>
      <c r="M730" t="n">
        <v>0</v>
      </c>
      <c r="N730" t="n">
        <v>0</v>
      </c>
      <c r="O730" t="n">
        <v>0</v>
      </c>
      <c r="P730" t="n">
        <v>0</v>
      </c>
      <c r="Q730" t="n">
        <v>0</v>
      </c>
      <c r="R730" s="2" t="inlineStr"/>
    </row>
    <row r="731" ht="15" customHeight="1">
      <c r="A731" t="inlineStr">
        <is>
          <t>A 18841-2023</t>
        </is>
      </c>
      <c r="B731" s="1" t="n">
        <v>45044</v>
      </c>
      <c r="C731" s="1" t="n">
        <v>45665</v>
      </c>
      <c r="D731" t="inlineStr">
        <is>
          <t>UPPSALA LÄN</t>
        </is>
      </c>
      <c r="E731" t="inlineStr">
        <is>
          <t>ÖSTHAMMAR</t>
        </is>
      </c>
      <c r="G731" t="n">
        <v>3.9</v>
      </c>
      <c r="H731" t="n">
        <v>0</v>
      </c>
      <c r="I731" t="n">
        <v>0</v>
      </c>
      <c r="J731" t="n">
        <v>0</v>
      </c>
      <c r="K731" t="n">
        <v>0</v>
      </c>
      <c r="L731" t="n">
        <v>0</v>
      </c>
      <c r="M731" t="n">
        <v>0</v>
      </c>
      <c r="N731" t="n">
        <v>0</v>
      </c>
      <c r="O731" t="n">
        <v>0</v>
      </c>
      <c r="P731" t="n">
        <v>0</v>
      </c>
      <c r="Q731" t="n">
        <v>0</v>
      </c>
      <c r="R731" s="2" t="inlineStr"/>
    </row>
    <row r="732" ht="15" customHeight="1">
      <c r="A732" t="inlineStr">
        <is>
          <t>A 18945-2023</t>
        </is>
      </c>
      <c r="B732" s="1" t="n">
        <v>45044</v>
      </c>
      <c r="C732" s="1" t="n">
        <v>45665</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18946-2023</t>
        </is>
      </c>
      <c r="B733" s="1" t="n">
        <v>45044</v>
      </c>
      <c r="C733" s="1" t="n">
        <v>45665</v>
      </c>
      <c r="D733" t="inlineStr">
        <is>
          <t>UPPSALA LÄN</t>
        </is>
      </c>
      <c r="E733" t="inlineStr">
        <is>
          <t>ÖSTHAMMAR</t>
        </is>
      </c>
      <c r="G733" t="n">
        <v>4.9</v>
      </c>
      <c r="H733" t="n">
        <v>0</v>
      </c>
      <c r="I733" t="n">
        <v>0</v>
      </c>
      <c r="J733" t="n">
        <v>0</v>
      </c>
      <c r="K733" t="n">
        <v>0</v>
      </c>
      <c r="L733" t="n">
        <v>0</v>
      </c>
      <c r="M733" t="n">
        <v>0</v>
      </c>
      <c r="N733" t="n">
        <v>0</v>
      </c>
      <c r="O733" t="n">
        <v>0</v>
      </c>
      <c r="P733" t="n">
        <v>0</v>
      </c>
      <c r="Q733" t="n">
        <v>0</v>
      </c>
      <c r="R733" s="2" t="inlineStr"/>
    </row>
    <row r="734" ht="15" customHeight="1">
      <c r="A734" t="inlineStr">
        <is>
          <t>A 19012-2023</t>
        </is>
      </c>
      <c r="B734" s="1" t="n">
        <v>45045</v>
      </c>
      <c r="C734" s="1" t="n">
        <v>45665</v>
      </c>
      <c r="D734" t="inlineStr">
        <is>
          <t>UPPSALA LÄN</t>
        </is>
      </c>
      <c r="E734" t="inlineStr">
        <is>
          <t>ÖSTHAMMAR</t>
        </is>
      </c>
      <c r="F734" t="inlineStr">
        <is>
          <t>Bergvik skog öst AB</t>
        </is>
      </c>
      <c r="G734" t="n">
        <v>5.7</v>
      </c>
      <c r="H734" t="n">
        <v>0</v>
      </c>
      <c r="I734" t="n">
        <v>0</v>
      </c>
      <c r="J734" t="n">
        <v>0</v>
      </c>
      <c r="K734" t="n">
        <v>0</v>
      </c>
      <c r="L734" t="n">
        <v>0</v>
      </c>
      <c r="M734" t="n">
        <v>0</v>
      </c>
      <c r="N734" t="n">
        <v>0</v>
      </c>
      <c r="O734" t="n">
        <v>0</v>
      </c>
      <c r="P734" t="n">
        <v>0</v>
      </c>
      <c r="Q734" t="n">
        <v>0</v>
      </c>
      <c r="R734" s="2" t="inlineStr"/>
    </row>
    <row r="735" ht="15" customHeight="1">
      <c r="A735" t="inlineStr">
        <is>
          <t>A 19015-2023</t>
        </is>
      </c>
      <c r="B735" s="1" t="n">
        <v>45045</v>
      </c>
      <c r="C735" s="1" t="n">
        <v>45665</v>
      </c>
      <c r="D735" t="inlineStr">
        <is>
          <t>UPPSALA LÄN</t>
        </is>
      </c>
      <c r="E735" t="inlineStr">
        <is>
          <t>ÖSTHAMMAR</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19010-2023</t>
        </is>
      </c>
      <c r="B736" s="1" t="n">
        <v>45045</v>
      </c>
      <c r="C736" s="1" t="n">
        <v>45665</v>
      </c>
      <c r="D736" t="inlineStr">
        <is>
          <t>UPPSALA LÄN</t>
        </is>
      </c>
      <c r="E736" t="inlineStr">
        <is>
          <t>ÖSTHAMMAR</t>
        </is>
      </c>
      <c r="F736" t="inlineStr">
        <is>
          <t>Bergvik skog öst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19014-2023</t>
        </is>
      </c>
      <c r="B737" s="1" t="n">
        <v>45045</v>
      </c>
      <c r="C737" s="1" t="n">
        <v>45665</v>
      </c>
      <c r="D737" t="inlineStr">
        <is>
          <t>UPPSALA LÄN</t>
        </is>
      </c>
      <c r="E737" t="inlineStr">
        <is>
          <t>ÖSTHAMMAR</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19009-2023</t>
        </is>
      </c>
      <c r="B738" s="1" t="n">
        <v>45045</v>
      </c>
      <c r="C738" s="1" t="n">
        <v>45665</v>
      </c>
      <c r="D738" t="inlineStr">
        <is>
          <t>UPPSALA LÄN</t>
        </is>
      </c>
      <c r="E738" t="inlineStr">
        <is>
          <t>ÖSTHAMMAR</t>
        </is>
      </c>
      <c r="F738" t="inlineStr">
        <is>
          <t>Bergvik skog öst AB</t>
        </is>
      </c>
      <c r="G738" t="n">
        <v>0.2</v>
      </c>
      <c r="H738" t="n">
        <v>0</v>
      </c>
      <c r="I738" t="n">
        <v>0</v>
      </c>
      <c r="J738" t="n">
        <v>0</v>
      </c>
      <c r="K738" t="n">
        <v>0</v>
      </c>
      <c r="L738" t="n">
        <v>0</v>
      </c>
      <c r="M738" t="n">
        <v>0</v>
      </c>
      <c r="N738" t="n">
        <v>0</v>
      </c>
      <c r="O738" t="n">
        <v>0</v>
      </c>
      <c r="P738" t="n">
        <v>0</v>
      </c>
      <c r="Q738" t="n">
        <v>0</v>
      </c>
      <c r="R738" s="2" t="inlineStr"/>
    </row>
    <row r="739" ht="15" customHeight="1">
      <c r="A739" t="inlineStr">
        <is>
          <t>A 19041-2023</t>
        </is>
      </c>
      <c r="B739" s="1" t="n">
        <v>45047</v>
      </c>
      <c r="C739" s="1" t="n">
        <v>45665</v>
      </c>
      <c r="D739" t="inlineStr">
        <is>
          <t>UPPSALA LÄN</t>
        </is>
      </c>
      <c r="E739" t="inlineStr">
        <is>
          <t>ÖSTHAMMAR</t>
        </is>
      </c>
      <c r="F739" t="inlineStr">
        <is>
          <t>Bergvik skog öst AB</t>
        </is>
      </c>
      <c r="G739" t="n">
        <v>3.9</v>
      </c>
      <c r="H739" t="n">
        <v>0</v>
      </c>
      <c r="I739" t="n">
        <v>0</v>
      </c>
      <c r="J739" t="n">
        <v>0</v>
      </c>
      <c r="K739" t="n">
        <v>0</v>
      </c>
      <c r="L739" t="n">
        <v>0</v>
      </c>
      <c r="M739" t="n">
        <v>0</v>
      </c>
      <c r="N739" t="n">
        <v>0</v>
      </c>
      <c r="O739" t="n">
        <v>0</v>
      </c>
      <c r="P739" t="n">
        <v>0</v>
      </c>
      <c r="Q739" t="n">
        <v>0</v>
      </c>
      <c r="R739" s="2" t="inlineStr"/>
    </row>
    <row r="740" ht="15" customHeight="1">
      <c r="A740" t="inlineStr">
        <is>
          <t>A 19040-2023</t>
        </is>
      </c>
      <c r="B740" s="1" t="n">
        <v>45047</v>
      </c>
      <c r="C740" s="1" t="n">
        <v>45665</v>
      </c>
      <c r="D740" t="inlineStr">
        <is>
          <t>UPPSALA LÄN</t>
        </is>
      </c>
      <c r="E740" t="inlineStr">
        <is>
          <t>ÖSTHAMMAR</t>
        </is>
      </c>
      <c r="F740" t="inlineStr">
        <is>
          <t>Bergvik skog öst AB</t>
        </is>
      </c>
      <c r="G740" t="n">
        <v>1.7</v>
      </c>
      <c r="H740" t="n">
        <v>0</v>
      </c>
      <c r="I740" t="n">
        <v>0</v>
      </c>
      <c r="J740" t="n">
        <v>0</v>
      </c>
      <c r="K740" t="n">
        <v>0</v>
      </c>
      <c r="L740" t="n">
        <v>0</v>
      </c>
      <c r="M740" t="n">
        <v>0</v>
      </c>
      <c r="N740" t="n">
        <v>0</v>
      </c>
      <c r="O740" t="n">
        <v>0</v>
      </c>
      <c r="P740" t="n">
        <v>0</v>
      </c>
      <c r="Q740" t="n">
        <v>0</v>
      </c>
      <c r="R740" s="2" t="inlineStr"/>
    </row>
    <row r="741" ht="15" customHeight="1">
      <c r="A741" t="inlineStr">
        <is>
          <t>A 19102-2023</t>
        </is>
      </c>
      <c r="B741" s="1" t="n">
        <v>45048</v>
      </c>
      <c r="C741" s="1" t="n">
        <v>45665</v>
      </c>
      <c r="D741" t="inlineStr">
        <is>
          <t>UPPSALA LÄN</t>
        </is>
      </c>
      <c r="E741" t="inlineStr">
        <is>
          <t>ÖSTHAMMAR</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19099-2023</t>
        </is>
      </c>
      <c r="B742" s="1" t="n">
        <v>45048</v>
      </c>
      <c r="C742" s="1" t="n">
        <v>45665</v>
      </c>
      <c r="D742" t="inlineStr">
        <is>
          <t>UPPSALA LÄN</t>
        </is>
      </c>
      <c r="E742" t="inlineStr">
        <is>
          <t>ÖSTHAMMAR</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19097-2023</t>
        </is>
      </c>
      <c r="B743" s="1" t="n">
        <v>45048</v>
      </c>
      <c r="C743" s="1" t="n">
        <v>45665</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19215-2023</t>
        </is>
      </c>
      <c r="B744" s="1" t="n">
        <v>45048</v>
      </c>
      <c r="C744" s="1" t="n">
        <v>45665</v>
      </c>
      <c r="D744" t="inlineStr">
        <is>
          <t>UPPSALA LÄN</t>
        </is>
      </c>
      <c r="E744" t="inlineStr">
        <is>
          <t>ÖSTHAMMAR</t>
        </is>
      </c>
      <c r="G744" t="n">
        <v>2.3</v>
      </c>
      <c r="H744" t="n">
        <v>0</v>
      </c>
      <c r="I744" t="n">
        <v>0</v>
      </c>
      <c r="J744" t="n">
        <v>0</v>
      </c>
      <c r="K744" t="n">
        <v>0</v>
      </c>
      <c r="L744" t="n">
        <v>0</v>
      </c>
      <c r="M744" t="n">
        <v>0</v>
      </c>
      <c r="N744" t="n">
        <v>0</v>
      </c>
      <c r="O744" t="n">
        <v>0</v>
      </c>
      <c r="P744" t="n">
        <v>0</v>
      </c>
      <c r="Q744" t="n">
        <v>0</v>
      </c>
      <c r="R744" s="2" t="inlineStr"/>
    </row>
    <row r="745" ht="15" customHeight="1">
      <c r="A745" t="inlineStr">
        <is>
          <t>A 19216-2023</t>
        </is>
      </c>
      <c r="B745" s="1" t="n">
        <v>45048</v>
      </c>
      <c r="C745" s="1" t="n">
        <v>45665</v>
      </c>
      <c r="D745" t="inlineStr">
        <is>
          <t>UPPSALA LÄN</t>
        </is>
      </c>
      <c r="E745" t="inlineStr">
        <is>
          <t>ÖSTHAMMAR</t>
        </is>
      </c>
      <c r="G745" t="n">
        <v>11.3</v>
      </c>
      <c r="H745" t="n">
        <v>0</v>
      </c>
      <c r="I745" t="n">
        <v>0</v>
      </c>
      <c r="J745" t="n">
        <v>0</v>
      </c>
      <c r="K745" t="n">
        <v>0</v>
      </c>
      <c r="L745" t="n">
        <v>0</v>
      </c>
      <c r="M745" t="n">
        <v>0</v>
      </c>
      <c r="N745" t="n">
        <v>0</v>
      </c>
      <c r="O745" t="n">
        <v>0</v>
      </c>
      <c r="P745" t="n">
        <v>0</v>
      </c>
      <c r="Q745" t="n">
        <v>0</v>
      </c>
      <c r="R745" s="2" t="inlineStr"/>
    </row>
    <row r="746" ht="15" customHeight="1">
      <c r="A746" t="inlineStr">
        <is>
          <t>A 19784-2023</t>
        </is>
      </c>
      <c r="B746" s="1" t="n">
        <v>45051</v>
      </c>
      <c r="C746" s="1" t="n">
        <v>45665</v>
      </c>
      <c r="D746" t="inlineStr">
        <is>
          <t>UPPSALA LÄN</t>
        </is>
      </c>
      <c r="E746" t="inlineStr">
        <is>
          <t>ÖSTHAMMAR</t>
        </is>
      </c>
      <c r="G746" t="n">
        <v>4.2</v>
      </c>
      <c r="H746" t="n">
        <v>0</v>
      </c>
      <c r="I746" t="n">
        <v>0</v>
      </c>
      <c r="J746" t="n">
        <v>0</v>
      </c>
      <c r="K746" t="n">
        <v>0</v>
      </c>
      <c r="L746" t="n">
        <v>0</v>
      </c>
      <c r="M746" t="n">
        <v>0</v>
      </c>
      <c r="N746" t="n">
        <v>0</v>
      </c>
      <c r="O746" t="n">
        <v>0</v>
      </c>
      <c r="P746" t="n">
        <v>0</v>
      </c>
      <c r="Q746" t="n">
        <v>0</v>
      </c>
      <c r="R746" s="2" t="inlineStr"/>
    </row>
    <row r="747" ht="15" customHeight="1">
      <c r="A747" t="inlineStr">
        <is>
          <t>A 19801-2023</t>
        </is>
      </c>
      <c r="B747" s="1" t="n">
        <v>45051</v>
      </c>
      <c r="C747" s="1" t="n">
        <v>45665</v>
      </c>
      <c r="D747" t="inlineStr">
        <is>
          <t>UPPSALA LÄN</t>
        </is>
      </c>
      <c r="E747" t="inlineStr">
        <is>
          <t>ÖSTHAMMAR</t>
        </is>
      </c>
      <c r="G747" t="n">
        <v>1.3</v>
      </c>
      <c r="H747" t="n">
        <v>0</v>
      </c>
      <c r="I747" t="n">
        <v>0</v>
      </c>
      <c r="J747" t="n">
        <v>0</v>
      </c>
      <c r="K747" t="n">
        <v>0</v>
      </c>
      <c r="L747" t="n">
        <v>0</v>
      </c>
      <c r="M747" t="n">
        <v>0</v>
      </c>
      <c r="N747" t="n">
        <v>0</v>
      </c>
      <c r="O747" t="n">
        <v>0</v>
      </c>
      <c r="P747" t="n">
        <v>0</v>
      </c>
      <c r="Q747" t="n">
        <v>0</v>
      </c>
      <c r="R747" s="2" t="inlineStr"/>
    </row>
    <row r="748" ht="15" customHeight="1">
      <c r="A748" t="inlineStr">
        <is>
          <t>A 19968-2023</t>
        </is>
      </c>
      <c r="B748" s="1" t="n">
        <v>45054</v>
      </c>
      <c r="C748" s="1" t="n">
        <v>45665</v>
      </c>
      <c r="D748" t="inlineStr">
        <is>
          <t>UPPSALA LÄN</t>
        </is>
      </c>
      <c r="E748" t="inlineStr">
        <is>
          <t>ÖSTHAMMAR</t>
        </is>
      </c>
      <c r="G748" t="n">
        <v>5.8</v>
      </c>
      <c r="H748" t="n">
        <v>0</v>
      </c>
      <c r="I748" t="n">
        <v>0</v>
      </c>
      <c r="J748" t="n">
        <v>0</v>
      </c>
      <c r="K748" t="n">
        <v>0</v>
      </c>
      <c r="L748" t="n">
        <v>0</v>
      </c>
      <c r="M748" t="n">
        <v>0</v>
      </c>
      <c r="N748" t="n">
        <v>0</v>
      </c>
      <c r="O748" t="n">
        <v>0</v>
      </c>
      <c r="P748" t="n">
        <v>0</v>
      </c>
      <c r="Q748" t="n">
        <v>0</v>
      </c>
      <c r="R748" s="2" t="inlineStr"/>
    </row>
    <row r="749" ht="15" customHeight="1">
      <c r="A749" t="inlineStr">
        <is>
          <t>A 20038-2023</t>
        </is>
      </c>
      <c r="B749" s="1" t="n">
        <v>45054</v>
      </c>
      <c r="C749" s="1" t="n">
        <v>45665</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20046-2023</t>
        </is>
      </c>
      <c r="B750" s="1" t="n">
        <v>45054</v>
      </c>
      <c r="C750" s="1" t="n">
        <v>45665</v>
      </c>
      <c r="D750" t="inlineStr">
        <is>
          <t>UPPSALA LÄN</t>
        </is>
      </c>
      <c r="E750" t="inlineStr">
        <is>
          <t>ÖSTHAMMAR</t>
        </is>
      </c>
      <c r="G750" t="n">
        <v>0.4</v>
      </c>
      <c r="H750" t="n">
        <v>0</v>
      </c>
      <c r="I750" t="n">
        <v>0</v>
      </c>
      <c r="J750" t="n">
        <v>0</v>
      </c>
      <c r="K750" t="n">
        <v>0</v>
      </c>
      <c r="L750" t="n">
        <v>0</v>
      </c>
      <c r="M750" t="n">
        <v>0</v>
      </c>
      <c r="N750" t="n">
        <v>0</v>
      </c>
      <c r="O750" t="n">
        <v>0</v>
      </c>
      <c r="P750" t="n">
        <v>0</v>
      </c>
      <c r="Q750" t="n">
        <v>0</v>
      </c>
      <c r="R750" s="2" t="inlineStr"/>
    </row>
    <row r="751" ht="15" customHeight="1">
      <c r="A751" t="inlineStr">
        <is>
          <t>A 20029-2023</t>
        </is>
      </c>
      <c r="B751" s="1" t="n">
        <v>45054</v>
      </c>
      <c r="C751" s="1" t="n">
        <v>45665</v>
      </c>
      <c r="D751" t="inlineStr">
        <is>
          <t>UPPSALA LÄN</t>
        </is>
      </c>
      <c r="E751" t="inlineStr">
        <is>
          <t>ÖSTHAMMAR</t>
        </is>
      </c>
      <c r="G751" t="n">
        <v>4.8</v>
      </c>
      <c r="H751" t="n">
        <v>0</v>
      </c>
      <c r="I751" t="n">
        <v>0</v>
      </c>
      <c r="J751" t="n">
        <v>0</v>
      </c>
      <c r="K751" t="n">
        <v>0</v>
      </c>
      <c r="L751" t="n">
        <v>0</v>
      </c>
      <c r="M751" t="n">
        <v>0</v>
      </c>
      <c r="N751" t="n">
        <v>0</v>
      </c>
      <c r="O751" t="n">
        <v>0</v>
      </c>
      <c r="P751" t="n">
        <v>0</v>
      </c>
      <c r="Q751" t="n">
        <v>0</v>
      </c>
      <c r="R751" s="2" t="inlineStr"/>
    </row>
    <row r="752" ht="15" customHeight="1">
      <c r="A752" t="inlineStr">
        <is>
          <t>A 20366-2023</t>
        </is>
      </c>
      <c r="B752" s="1" t="n">
        <v>45056</v>
      </c>
      <c r="C752" s="1" t="n">
        <v>45665</v>
      </c>
      <c r="D752" t="inlineStr">
        <is>
          <t>UPPSALA LÄN</t>
        </is>
      </c>
      <c r="E752" t="inlineStr">
        <is>
          <t>ÖSTHAMMAR</t>
        </is>
      </c>
      <c r="G752" t="n">
        <v>1.6</v>
      </c>
      <c r="H752" t="n">
        <v>0</v>
      </c>
      <c r="I752" t="n">
        <v>0</v>
      </c>
      <c r="J752" t="n">
        <v>0</v>
      </c>
      <c r="K752" t="n">
        <v>0</v>
      </c>
      <c r="L752" t="n">
        <v>0</v>
      </c>
      <c r="M752" t="n">
        <v>0</v>
      </c>
      <c r="N752" t="n">
        <v>0</v>
      </c>
      <c r="O752" t="n">
        <v>0</v>
      </c>
      <c r="P752" t="n">
        <v>0</v>
      </c>
      <c r="Q752" t="n">
        <v>0</v>
      </c>
      <c r="R752" s="2" t="inlineStr"/>
    </row>
    <row r="753" ht="15" customHeight="1">
      <c r="A753" t="inlineStr">
        <is>
          <t>A 20572-2023</t>
        </is>
      </c>
      <c r="B753" s="1" t="n">
        <v>45057</v>
      </c>
      <c r="C753" s="1" t="n">
        <v>45665</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20657-2023</t>
        </is>
      </c>
      <c r="B754" s="1" t="n">
        <v>45058</v>
      </c>
      <c r="C754" s="1" t="n">
        <v>45665</v>
      </c>
      <c r="D754" t="inlineStr">
        <is>
          <t>UPPSALA LÄN</t>
        </is>
      </c>
      <c r="E754" t="inlineStr">
        <is>
          <t>ÖSTHAMMAR</t>
        </is>
      </c>
      <c r="G754" t="n">
        <v>0.7</v>
      </c>
      <c r="H754" t="n">
        <v>0</v>
      </c>
      <c r="I754" t="n">
        <v>0</v>
      </c>
      <c r="J754" t="n">
        <v>0</v>
      </c>
      <c r="K754" t="n">
        <v>0</v>
      </c>
      <c r="L754" t="n">
        <v>0</v>
      </c>
      <c r="M754" t="n">
        <v>0</v>
      </c>
      <c r="N754" t="n">
        <v>0</v>
      </c>
      <c r="O754" t="n">
        <v>0</v>
      </c>
      <c r="P754" t="n">
        <v>0</v>
      </c>
      <c r="Q754" t="n">
        <v>0</v>
      </c>
      <c r="R754" s="2" t="inlineStr"/>
    </row>
    <row r="755" ht="15" customHeight="1">
      <c r="A755" t="inlineStr">
        <is>
          <t>A 20664-2023</t>
        </is>
      </c>
      <c r="B755" s="1" t="n">
        <v>45058</v>
      </c>
      <c r="C755" s="1" t="n">
        <v>45665</v>
      </c>
      <c r="D755" t="inlineStr">
        <is>
          <t>UPPSALA LÄN</t>
        </is>
      </c>
      <c r="E755" t="inlineStr">
        <is>
          <t>ÖSTHAMMAR</t>
        </is>
      </c>
      <c r="G755" t="n">
        <v>0.6</v>
      </c>
      <c r="H755" t="n">
        <v>0</v>
      </c>
      <c r="I755" t="n">
        <v>0</v>
      </c>
      <c r="J755" t="n">
        <v>0</v>
      </c>
      <c r="K755" t="n">
        <v>0</v>
      </c>
      <c r="L755" t="n">
        <v>0</v>
      </c>
      <c r="M755" t="n">
        <v>0</v>
      </c>
      <c r="N755" t="n">
        <v>0</v>
      </c>
      <c r="O755" t="n">
        <v>0</v>
      </c>
      <c r="P755" t="n">
        <v>0</v>
      </c>
      <c r="Q755" t="n">
        <v>0</v>
      </c>
      <c r="R755" s="2" t="inlineStr"/>
    </row>
    <row r="756" ht="15" customHeight="1">
      <c r="A756" t="inlineStr">
        <is>
          <t>A 20680-2023</t>
        </is>
      </c>
      <c r="B756" s="1" t="n">
        <v>45058</v>
      </c>
      <c r="C756" s="1" t="n">
        <v>45665</v>
      </c>
      <c r="D756" t="inlineStr">
        <is>
          <t>UPPSALA LÄN</t>
        </is>
      </c>
      <c r="E756" t="inlineStr">
        <is>
          <t>ÖSTHAMMAR</t>
        </is>
      </c>
      <c r="F756" t="inlineStr">
        <is>
          <t>Bergvik skog öst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20677-2023</t>
        </is>
      </c>
      <c r="B757" s="1" t="n">
        <v>45058</v>
      </c>
      <c r="C757" s="1" t="n">
        <v>45665</v>
      </c>
      <c r="D757" t="inlineStr">
        <is>
          <t>UPPSALA LÄN</t>
        </is>
      </c>
      <c r="E757" t="inlineStr">
        <is>
          <t>ÖSTHAMMAR</t>
        </is>
      </c>
      <c r="F757" t="inlineStr">
        <is>
          <t>Bergvik skog öst AB</t>
        </is>
      </c>
      <c r="G757" t="n">
        <v>4</v>
      </c>
      <c r="H757" t="n">
        <v>0</v>
      </c>
      <c r="I757" t="n">
        <v>0</v>
      </c>
      <c r="J757" t="n">
        <v>0</v>
      </c>
      <c r="K757" t="n">
        <v>0</v>
      </c>
      <c r="L757" t="n">
        <v>0</v>
      </c>
      <c r="M757" t="n">
        <v>0</v>
      </c>
      <c r="N757" t="n">
        <v>0</v>
      </c>
      <c r="O757" t="n">
        <v>0</v>
      </c>
      <c r="P757" t="n">
        <v>0</v>
      </c>
      <c r="Q757" t="n">
        <v>0</v>
      </c>
      <c r="R757" s="2" t="inlineStr"/>
    </row>
    <row r="758" ht="15" customHeight="1">
      <c r="A758" t="inlineStr">
        <is>
          <t>A 21478-2023</t>
        </is>
      </c>
      <c r="B758" s="1" t="n">
        <v>45063</v>
      </c>
      <c r="C758" s="1" t="n">
        <v>45665</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21615-2023</t>
        </is>
      </c>
      <c r="B759" s="1" t="n">
        <v>45063</v>
      </c>
      <c r="C759" s="1" t="n">
        <v>45665</v>
      </c>
      <c r="D759" t="inlineStr">
        <is>
          <t>UPPSALA LÄN</t>
        </is>
      </c>
      <c r="E759" t="inlineStr">
        <is>
          <t>ÖSTHAMMAR</t>
        </is>
      </c>
      <c r="G759" t="n">
        <v>3.3</v>
      </c>
      <c r="H759" t="n">
        <v>0</v>
      </c>
      <c r="I759" t="n">
        <v>0</v>
      </c>
      <c r="J759" t="n">
        <v>0</v>
      </c>
      <c r="K759" t="n">
        <v>0</v>
      </c>
      <c r="L759" t="n">
        <v>0</v>
      </c>
      <c r="M759" t="n">
        <v>0</v>
      </c>
      <c r="N759" t="n">
        <v>0</v>
      </c>
      <c r="O759" t="n">
        <v>0</v>
      </c>
      <c r="P759" t="n">
        <v>0</v>
      </c>
      <c r="Q759" t="n">
        <v>0</v>
      </c>
      <c r="R759" s="2" t="inlineStr"/>
    </row>
    <row r="760" ht="15" customHeight="1">
      <c r="A760" t="inlineStr">
        <is>
          <t>A 21624-2023</t>
        </is>
      </c>
      <c r="B760" s="1" t="n">
        <v>45063</v>
      </c>
      <c r="C760" s="1" t="n">
        <v>45665</v>
      </c>
      <c r="D760" t="inlineStr">
        <is>
          <t>UPPSALA LÄN</t>
        </is>
      </c>
      <c r="E760" t="inlineStr">
        <is>
          <t>ÖSTHAMMAR</t>
        </is>
      </c>
      <c r="F760" t="inlineStr">
        <is>
          <t>Sveaskog</t>
        </is>
      </c>
      <c r="G760" t="n">
        <v>1.5</v>
      </c>
      <c r="H760" t="n">
        <v>0</v>
      </c>
      <c r="I760" t="n">
        <v>0</v>
      </c>
      <c r="J760" t="n">
        <v>0</v>
      </c>
      <c r="K760" t="n">
        <v>0</v>
      </c>
      <c r="L760" t="n">
        <v>0</v>
      </c>
      <c r="M760" t="n">
        <v>0</v>
      </c>
      <c r="N760" t="n">
        <v>0</v>
      </c>
      <c r="O760" t="n">
        <v>0</v>
      </c>
      <c r="P760" t="n">
        <v>0</v>
      </c>
      <c r="Q760" t="n">
        <v>0</v>
      </c>
      <c r="R760" s="2" t="inlineStr"/>
    </row>
    <row r="761" ht="15" customHeight="1">
      <c r="A761" t="inlineStr">
        <is>
          <t>A 21862-2023</t>
        </is>
      </c>
      <c r="B761" s="1" t="n">
        <v>45068</v>
      </c>
      <c r="C761" s="1" t="n">
        <v>45665</v>
      </c>
      <c r="D761" t="inlineStr">
        <is>
          <t>UPPSALA LÄN</t>
        </is>
      </c>
      <c r="E761" t="inlineStr">
        <is>
          <t>ÖSTHAMMAR</t>
        </is>
      </c>
      <c r="G761" t="n">
        <v>0.5</v>
      </c>
      <c r="H761" t="n">
        <v>0</v>
      </c>
      <c r="I761" t="n">
        <v>0</v>
      </c>
      <c r="J761" t="n">
        <v>0</v>
      </c>
      <c r="K761" t="n">
        <v>0</v>
      </c>
      <c r="L761" t="n">
        <v>0</v>
      </c>
      <c r="M761" t="n">
        <v>0</v>
      </c>
      <c r="N761" t="n">
        <v>0</v>
      </c>
      <c r="O761" t="n">
        <v>0</v>
      </c>
      <c r="P761" t="n">
        <v>0</v>
      </c>
      <c r="Q761" t="n">
        <v>0</v>
      </c>
      <c r="R761" s="2" t="inlineStr"/>
    </row>
    <row r="762" ht="15" customHeight="1">
      <c r="A762" t="inlineStr">
        <is>
          <t>A 22405-2023</t>
        </is>
      </c>
      <c r="B762" s="1" t="n">
        <v>45070</v>
      </c>
      <c r="C762" s="1" t="n">
        <v>45665</v>
      </c>
      <c r="D762" t="inlineStr">
        <is>
          <t>UPPSALA LÄN</t>
        </is>
      </c>
      <c r="E762" t="inlineStr">
        <is>
          <t>ÖSTHAMMAR</t>
        </is>
      </c>
      <c r="F762" t="inlineStr">
        <is>
          <t>Bergvik skog öst AB</t>
        </is>
      </c>
      <c r="G762" t="n">
        <v>0.4</v>
      </c>
      <c r="H762" t="n">
        <v>0</v>
      </c>
      <c r="I762" t="n">
        <v>0</v>
      </c>
      <c r="J762" t="n">
        <v>0</v>
      </c>
      <c r="K762" t="n">
        <v>0</v>
      </c>
      <c r="L762" t="n">
        <v>0</v>
      </c>
      <c r="M762" t="n">
        <v>0</v>
      </c>
      <c r="N762" t="n">
        <v>0</v>
      </c>
      <c r="O762" t="n">
        <v>0</v>
      </c>
      <c r="P762" t="n">
        <v>0</v>
      </c>
      <c r="Q762" t="n">
        <v>0</v>
      </c>
      <c r="R762" s="2" t="inlineStr"/>
    </row>
    <row r="763" ht="15" customHeight="1">
      <c r="A763" t="inlineStr">
        <is>
          <t>A 22413-2023</t>
        </is>
      </c>
      <c r="B763" s="1" t="n">
        <v>45070</v>
      </c>
      <c r="C763" s="1" t="n">
        <v>45665</v>
      </c>
      <c r="D763" t="inlineStr">
        <is>
          <t>UPPSALA LÄN</t>
        </is>
      </c>
      <c r="E763" t="inlineStr">
        <is>
          <t>ÖSTHAMMAR</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22322-2023</t>
        </is>
      </c>
      <c r="B764" s="1" t="n">
        <v>45070</v>
      </c>
      <c r="C764" s="1" t="n">
        <v>45665</v>
      </c>
      <c r="D764" t="inlineStr">
        <is>
          <t>UPPSALA LÄN</t>
        </is>
      </c>
      <c r="E764" t="inlineStr">
        <is>
          <t>ÖSTHAMMAR</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22701-2023</t>
        </is>
      </c>
      <c r="B765" s="1" t="n">
        <v>45071</v>
      </c>
      <c r="C765" s="1" t="n">
        <v>45665</v>
      </c>
      <c r="D765" t="inlineStr">
        <is>
          <t>UPPSALA LÄN</t>
        </is>
      </c>
      <c r="E765" t="inlineStr">
        <is>
          <t>ÖSTHAMMAR</t>
        </is>
      </c>
      <c r="G765" t="n">
        <v>2.1</v>
      </c>
      <c r="H765" t="n">
        <v>0</v>
      </c>
      <c r="I765" t="n">
        <v>0</v>
      </c>
      <c r="J765" t="n">
        <v>0</v>
      </c>
      <c r="K765" t="n">
        <v>0</v>
      </c>
      <c r="L765" t="n">
        <v>0</v>
      </c>
      <c r="M765" t="n">
        <v>0</v>
      </c>
      <c r="N765" t="n">
        <v>0</v>
      </c>
      <c r="O765" t="n">
        <v>0</v>
      </c>
      <c r="P765" t="n">
        <v>0</v>
      </c>
      <c r="Q765" t="n">
        <v>0</v>
      </c>
      <c r="R765" s="2" t="inlineStr"/>
    </row>
    <row r="766" ht="15" customHeight="1">
      <c r="A766" t="inlineStr">
        <is>
          <t>A 22794-2023</t>
        </is>
      </c>
      <c r="B766" s="1" t="n">
        <v>45072</v>
      </c>
      <c r="C766" s="1" t="n">
        <v>45665</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22798-2023</t>
        </is>
      </c>
      <c r="B767" s="1" t="n">
        <v>45072</v>
      </c>
      <c r="C767" s="1" t="n">
        <v>45665</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22796-2023</t>
        </is>
      </c>
      <c r="B768" s="1" t="n">
        <v>45072</v>
      </c>
      <c r="C768" s="1" t="n">
        <v>45665</v>
      </c>
      <c r="D768" t="inlineStr">
        <is>
          <t>UPPSALA LÄN</t>
        </is>
      </c>
      <c r="E768" t="inlineStr">
        <is>
          <t>ÖSTHAMMAR</t>
        </is>
      </c>
      <c r="G768" t="n">
        <v>0.8</v>
      </c>
      <c r="H768" t="n">
        <v>0</v>
      </c>
      <c r="I768" t="n">
        <v>0</v>
      </c>
      <c r="J768" t="n">
        <v>0</v>
      </c>
      <c r="K768" t="n">
        <v>0</v>
      </c>
      <c r="L768" t="n">
        <v>0</v>
      </c>
      <c r="M768" t="n">
        <v>0</v>
      </c>
      <c r="N768" t="n">
        <v>0</v>
      </c>
      <c r="O768" t="n">
        <v>0</v>
      </c>
      <c r="P768" t="n">
        <v>0</v>
      </c>
      <c r="Q768" t="n">
        <v>0</v>
      </c>
      <c r="R768" s="2" t="inlineStr"/>
    </row>
    <row r="769" ht="15" customHeight="1">
      <c r="A769" t="inlineStr">
        <is>
          <t>A 23083-2023</t>
        </is>
      </c>
      <c r="B769" s="1" t="n">
        <v>45075</v>
      </c>
      <c r="C769" s="1" t="n">
        <v>45665</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23064-2023</t>
        </is>
      </c>
      <c r="B770" s="1" t="n">
        <v>45075</v>
      </c>
      <c r="C770" s="1" t="n">
        <v>45665</v>
      </c>
      <c r="D770" t="inlineStr">
        <is>
          <t>UPPSALA LÄN</t>
        </is>
      </c>
      <c r="E770" t="inlineStr">
        <is>
          <t>ÖSTHAMMAR</t>
        </is>
      </c>
      <c r="F770" t="inlineStr">
        <is>
          <t>Kyrkan</t>
        </is>
      </c>
      <c r="G770" t="n">
        <v>16.6</v>
      </c>
      <c r="H770" t="n">
        <v>0</v>
      </c>
      <c r="I770" t="n">
        <v>0</v>
      </c>
      <c r="J770" t="n">
        <v>0</v>
      </c>
      <c r="K770" t="n">
        <v>0</v>
      </c>
      <c r="L770" t="n">
        <v>0</v>
      </c>
      <c r="M770" t="n">
        <v>0</v>
      </c>
      <c r="N770" t="n">
        <v>0</v>
      </c>
      <c r="O770" t="n">
        <v>0</v>
      </c>
      <c r="P770" t="n">
        <v>0</v>
      </c>
      <c r="Q770" t="n">
        <v>0</v>
      </c>
      <c r="R770" s="2" t="inlineStr"/>
    </row>
    <row r="771" ht="15" customHeight="1">
      <c r="A771" t="inlineStr">
        <is>
          <t>A 23197-2023</t>
        </is>
      </c>
      <c r="B771" s="1" t="n">
        <v>45075</v>
      </c>
      <c r="C771" s="1" t="n">
        <v>45665</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23142-2023</t>
        </is>
      </c>
      <c r="B772" s="1" t="n">
        <v>45075</v>
      </c>
      <c r="C772" s="1" t="n">
        <v>45665</v>
      </c>
      <c r="D772" t="inlineStr">
        <is>
          <t>UPPSALA LÄN</t>
        </is>
      </c>
      <c r="E772" t="inlineStr">
        <is>
          <t>ÖSTHAMMAR</t>
        </is>
      </c>
      <c r="G772" t="n">
        <v>2.3</v>
      </c>
      <c r="H772" t="n">
        <v>0</v>
      </c>
      <c r="I772" t="n">
        <v>0</v>
      </c>
      <c r="J772" t="n">
        <v>0</v>
      </c>
      <c r="K772" t="n">
        <v>0</v>
      </c>
      <c r="L772" t="n">
        <v>0</v>
      </c>
      <c r="M772" t="n">
        <v>0</v>
      </c>
      <c r="N772" t="n">
        <v>0</v>
      </c>
      <c r="O772" t="n">
        <v>0</v>
      </c>
      <c r="P772" t="n">
        <v>0</v>
      </c>
      <c r="Q772" t="n">
        <v>0</v>
      </c>
      <c r="R772" s="2" t="inlineStr"/>
    </row>
    <row r="773" ht="15" customHeight="1">
      <c r="A773" t="inlineStr">
        <is>
          <t>A 23059-2023</t>
        </is>
      </c>
      <c r="B773" s="1" t="n">
        <v>45075</v>
      </c>
      <c r="C773" s="1" t="n">
        <v>45665</v>
      </c>
      <c r="D773" t="inlineStr">
        <is>
          <t>UPPSALA LÄN</t>
        </is>
      </c>
      <c r="E773" t="inlineStr">
        <is>
          <t>ÖSTHAMMAR</t>
        </is>
      </c>
      <c r="G773" t="n">
        <v>1</v>
      </c>
      <c r="H773" t="n">
        <v>0</v>
      </c>
      <c r="I773" t="n">
        <v>0</v>
      </c>
      <c r="J773" t="n">
        <v>0</v>
      </c>
      <c r="K773" t="n">
        <v>0</v>
      </c>
      <c r="L773" t="n">
        <v>0</v>
      </c>
      <c r="M773" t="n">
        <v>0</v>
      </c>
      <c r="N773" t="n">
        <v>0</v>
      </c>
      <c r="O773" t="n">
        <v>0</v>
      </c>
      <c r="P773" t="n">
        <v>0</v>
      </c>
      <c r="Q773" t="n">
        <v>0</v>
      </c>
      <c r="R773" s="2" t="inlineStr"/>
    </row>
    <row r="774" ht="15" customHeight="1">
      <c r="A774" t="inlineStr">
        <is>
          <t>A 23363-2023</t>
        </is>
      </c>
      <c r="B774" s="1" t="n">
        <v>45076</v>
      </c>
      <c r="C774" s="1" t="n">
        <v>45665</v>
      </c>
      <c r="D774" t="inlineStr">
        <is>
          <t>UPPSALA LÄN</t>
        </is>
      </c>
      <c r="E774" t="inlineStr">
        <is>
          <t>ÖSTHAMMAR</t>
        </is>
      </c>
      <c r="G774" t="n">
        <v>3</v>
      </c>
      <c r="H774" t="n">
        <v>0</v>
      </c>
      <c r="I774" t="n">
        <v>0</v>
      </c>
      <c r="J774" t="n">
        <v>0</v>
      </c>
      <c r="K774" t="n">
        <v>0</v>
      </c>
      <c r="L774" t="n">
        <v>0</v>
      </c>
      <c r="M774" t="n">
        <v>0</v>
      </c>
      <c r="N774" t="n">
        <v>0</v>
      </c>
      <c r="O774" t="n">
        <v>0</v>
      </c>
      <c r="P774" t="n">
        <v>0</v>
      </c>
      <c r="Q774" t="n">
        <v>0</v>
      </c>
      <c r="R774" s="2" t="inlineStr"/>
    </row>
    <row r="775" ht="15" customHeight="1">
      <c r="A775" t="inlineStr">
        <is>
          <t>A 23495-2023</t>
        </is>
      </c>
      <c r="B775" s="1" t="n">
        <v>45076</v>
      </c>
      <c r="C775" s="1" t="n">
        <v>45665</v>
      </c>
      <c r="D775" t="inlineStr">
        <is>
          <t>UPPSALA LÄN</t>
        </is>
      </c>
      <c r="E775" t="inlineStr">
        <is>
          <t>ÖSTHAMMAR</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24033-2023</t>
        </is>
      </c>
      <c r="B776" s="1" t="n">
        <v>45078</v>
      </c>
      <c r="C776" s="1" t="n">
        <v>45665</v>
      </c>
      <c r="D776" t="inlineStr">
        <is>
          <t>UPPSALA LÄN</t>
        </is>
      </c>
      <c r="E776" t="inlineStr">
        <is>
          <t>ÖSTHAMMAR</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24128-2023</t>
        </is>
      </c>
      <c r="B777" s="1" t="n">
        <v>45079</v>
      </c>
      <c r="C777" s="1" t="n">
        <v>45665</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24325-2023</t>
        </is>
      </c>
      <c r="B778" s="1" t="n">
        <v>45080</v>
      </c>
      <c r="C778" s="1" t="n">
        <v>45665</v>
      </c>
      <c r="D778" t="inlineStr">
        <is>
          <t>UPPSALA LÄN</t>
        </is>
      </c>
      <c r="E778" t="inlineStr">
        <is>
          <t>ÖSTHAMMAR</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24324-2023</t>
        </is>
      </c>
      <c r="B779" s="1" t="n">
        <v>45080</v>
      </c>
      <c r="C779" s="1" t="n">
        <v>45665</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24428-2023</t>
        </is>
      </c>
      <c r="B780" s="1" t="n">
        <v>45082</v>
      </c>
      <c r="C780" s="1" t="n">
        <v>45665</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24493-2023</t>
        </is>
      </c>
      <c r="B781" s="1" t="n">
        <v>45082</v>
      </c>
      <c r="C781" s="1" t="n">
        <v>45665</v>
      </c>
      <c r="D781" t="inlineStr">
        <is>
          <t>UPPSALA LÄN</t>
        </is>
      </c>
      <c r="E781" t="inlineStr">
        <is>
          <t>ÖSTHAMMAR</t>
        </is>
      </c>
      <c r="G781" t="n">
        <v>1.9</v>
      </c>
      <c r="H781" t="n">
        <v>0</v>
      </c>
      <c r="I781" t="n">
        <v>0</v>
      </c>
      <c r="J781" t="n">
        <v>0</v>
      </c>
      <c r="K781" t="n">
        <v>0</v>
      </c>
      <c r="L781" t="n">
        <v>0</v>
      </c>
      <c r="M781" t="n">
        <v>0</v>
      </c>
      <c r="N781" t="n">
        <v>0</v>
      </c>
      <c r="O781" t="n">
        <v>0</v>
      </c>
      <c r="P781" t="n">
        <v>0</v>
      </c>
      <c r="Q781" t="n">
        <v>0</v>
      </c>
      <c r="R781" s="2" t="inlineStr"/>
    </row>
    <row r="782" ht="15" customHeight="1">
      <c r="A782" t="inlineStr">
        <is>
          <t>A 24491-2023</t>
        </is>
      </c>
      <c r="B782" s="1" t="n">
        <v>45082</v>
      </c>
      <c r="C782" s="1" t="n">
        <v>45665</v>
      </c>
      <c r="D782" t="inlineStr">
        <is>
          <t>UPPSALA LÄN</t>
        </is>
      </c>
      <c r="E782" t="inlineStr">
        <is>
          <t>ÖSTHAMMAR</t>
        </is>
      </c>
      <c r="G782" t="n">
        <v>5.3</v>
      </c>
      <c r="H782" t="n">
        <v>0</v>
      </c>
      <c r="I782" t="n">
        <v>0</v>
      </c>
      <c r="J782" t="n">
        <v>0</v>
      </c>
      <c r="K782" t="n">
        <v>0</v>
      </c>
      <c r="L782" t="n">
        <v>0</v>
      </c>
      <c r="M782" t="n">
        <v>0</v>
      </c>
      <c r="N782" t="n">
        <v>0</v>
      </c>
      <c r="O782" t="n">
        <v>0</v>
      </c>
      <c r="P782" t="n">
        <v>0</v>
      </c>
      <c r="Q782" t="n">
        <v>0</v>
      </c>
      <c r="R782" s="2" t="inlineStr"/>
    </row>
    <row r="783" ht="15" customHeight="1">
      <c r="A783" t="inlineStr">
        <is>
          <t>A 24587-2023</t>
        </is>
      </c>
      <c r="B783" s="1" t="n">
        <v>45083</v>
      </c>
      <c r="C783" s="1" t="n">
        <v>45665</v>
      </c>
      <c r="D783" t="inlineStr">
        <is>
          <t>UPPSALA LÄN</t>
        </is>
      </c>
      <c r="E783" t="inlineStr">
        <is>
          <t>ÖSTHAMMAR</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24642-2023</t>
        </is>
      </c>
      <c r="B784" s="1" t="n">
        <v>45084</v>
      </c>
      <c r="C784" s="1" t="n">
        <v>45665</v>
      </c>
      <c r="D784" t="inlineStr">
        <is>
          <t>UPPSALA LÄN</t>
        </is>
      </c>
      <c r="E784" t="inlineStr">
        <is>
          <t>ÖSTHAMMAR</t>
        </is>
      </c>
      <c r="F784" t="inlineStr">
        <is>
          <t>Bergvik skog öst AB</t>
        </is>
      </c>
      <c r="G784" t="n">
        <v>7.2</v>
      </c>
      <c r="H784" t="n">
        <v>0</v>
      </c>
      <c r="I784" t="n">
        <v>0</v>
      </c>
      <c r="J784" t="n">
        <v>0</v>
      </c>
      <c r="K784" t="n">
        <v>0</v>
      </c>
      <c r="L784" t="n">
        <v>0</v>
      </c>
      <c r="M784" t="n">
        <v>0</v>
      </c>
      <c r="N784" t="n">
        <v>0</v>
      </c>
      <c r="O784" t="n">
        <v>0</v>
      </c>
      <c r="P784" t="n">
        <v>0</v>
      </c>
      <c r="Q784" t="n">
        <v>0</v>
      </c>
      <c r="R784" s="2" t="inlineStr"/>
    </row>
    <row r="785" ht="15" customHeight="1">
      <c r="A785" t="inlineStr">
        <is>
          <t>A 24648-2023</t>
        </is>
      </c>
      <c r="B785" s="1" t="n">
        <v>45084</v>
      </c>
      <c r="C785" s="1" t="n">
        <v>45665</v>
      </c>
      <c r="D785" t="inlineStr">
        <is>
          <t>UPPSALA LÄN</t>
        </is>
      </c>
      <c r="E785" t="inlineStr">
        <is>
          <t>ÖSTHAMMAR</t>
        </is>
      </c>
      <c r="F785" t="inlineStr">
        <is>
          <t>Bergvik skog öst AB</t>
        </is>
      </c>
      <c r="G785" t="n">
        <v>12.5</v>
      </c>
      <c r="H785" t="n">
        <v>0</v>
      </c>
      <c r="I785" t="n">
        <v>0</v>
      </c>
      <c r="J785" t="n">
        <v>0</v>
      </c>
      <c r="K785" t="n">
        <v>0</v>
      </c>
      <c r="L785" t="n">
        <v>0</v>
      </c>
      <c r="M785" t="n">
        <v>0</v>
      </c>
      <c r="N785" t="n">
        <v>0</v>
      </c>
      <c r="O785" t="n">
        <v>0</v>
      </c>
      <c r="P785" t="n">
        <v>0</v>
      </c>
      <c r="Q785" t="n">
        <v>0</v>
      </c>
      <c r="R785" s="2" t="inlineStr"/>
    </row>
    <row r="786" ht="15" customHeight="1">
      <c r="A786" t="inlineStr">
        <is>
          <t>A 24751-2023</t>
        </is>
      </c>
      <c r="B786" s="1" t="n">
        <v>45084</v>
      </c>
      <c r="C786" s="1" t="n">
        <v>45665</v>
      </c>
      <c r="D786" t="inlineStr">
        <is>
          <t>UPPSALA LÄN</t>
        </is>
      </c>
      <c r="E786" t="inlineStr">
        <is>
          <t>ÖSTHAMMAR</t>
        </is>
      </c>
      <c r="F786" t="inlineStr">
        <is>
          <t>Bergvik skog öst AB</t>
        </is>
      </c>
      <c r="G786" t="n">
        <v>6.2</v>
      </c>
      <c r="H786" t="n">
        <v>0</v>
      </c>
      <c r="I786" t="n">
        <v>0</v>
      </c>
      <c r="J786" t="n">
        <v>0</v>
      </c>
      <c r="K786" t="n">
        <v>0</v>
      </c>
      <c r="L786" t="n">
        <v>0</v>
      </c>
      <c r="M786" t="n">
        <v>0</v>
      </c>
      <c r="N786" t="n">
        <v>0</v>
      </c>
      <c r="O786" t="n">
        <v>0</v>
      </c>
      <c r="P786" t="n">
        <v>0</v>
      </c>
      <c r="Q786" t="n">
        <v>0</v>
      </c>
      <c r="R786" s="2" t="inlineStr"/>
    </row>
    <row r="787" ht="15" customHeight="1">
      <c r="A787" t="inlineStr">
        <is>
          <t>A 25194-2023</t>
        </is>
      </c>
      <c r="B787" s="1" t="n">
        <v>45086</v>
      </c>
      <c r="C787" s="1" t="n">
        <v>45665</v>
      </c>
      <c r="D787" t="inlineStr">
        <is>
          <t>UPPSALA LÄN</t>
        </is>
      </c>
      <c r="E787" t="inlineStr">
        <is>
          <t>ÖSTHAMMAR</t>
        </is>
      </c>
      <c r="G787" t="n">
        <v>0.7</v>
      </c>
      <c r="H787" t="n">
        <v>0</v>
      </c>
      <c r="I787" t="n">
        <v>0</v>
      </c>
      <c r="J787" t="n">
        <v>0</v>
      </c>
      <c r="K787" t="n">
        <v>0</v>
      </c>
      <c r="L787" t="n">
        <v>0</v>
      </c>
      <c r="M787" t="n">
        <v>0</v>
      </c>
      <c r="N787" t="n">
        <v>0</v>
      </c>
      <c r="O787" t="n">
        <v>0</v>
      </c>
      <c r="P787" t="n">
        <v>0</v>
      </c>
      <c r="Q787" t="n">
        <v>0</v>
      </c>
      <c r="R787" s="2" t="inlineStr"/>
    </row>
    <row r="788" ht="15" customHeight="1">
      <c r="A788" t="inlineStr">
        <is>
          <t>A 26612-2023</t>
        </is>
      </c>
      <c r="B788" s="1" t="n">
        <v>45089</v>
      </c>
      <c r="C788" s="1" t="n">
        <v>45665</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26610-2023</t>
        </is>
      </c>
      <c r="B789" s="1" t="n">
        <v>45089</v>
      </c>
      <c r="C789" s="1" t="n">
        <v>45665</v>
      </c>
      <c r="D789" t="inlineStr">
        <is>
          <t>UPPSALA LÄN</t>
        </is>
      </c>
      <c r="E789" t="inlineStr">
        <is>
          <t>ÖSTHAMMAR</t>
        </is>
      </c>
      <c r="G789" t="n">
        <v>4.1</v>
      </c>
      <c r="H789" t="n">
        <v>0</v>
      </c>
      <c r="I789" t="n">
        <v>0</v>
      </c>
      <c r="J789" t="n">
        <v>0</v>
      </c>
      <c r="K789" t="n">
        <v>0</v>
      </c>
      <c r="L789" t="n">
        <v>0</v>
      </c>
      <c r="M789" t="n">
        <v>0</v>
      </c>
      <c r="N789" t="n">
        <v>0</v>
      </c>
      <c r="O789" t="n">
        <v>0</v>
      </c>
      <c r="P789" t="n">
        <v>0</v>
      </c>
      <c r="Q789" t="n">
        <v>0</v>
      </c>
      <c r="R789" s="2" t="inlineStr"/>
    </row>
    <row r="790" ht="15" customHeight="1">
      <c r="A790" t="inlineStr">
        <is>
          <t>A 25897-2023</t>
        </is>
      </c>
      <c r="B790" s="1" t="n">
        <v>45090</v>
      </c>
      <c r="C790" s="1" t="n">
        <v>45665</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25903-2023</t>
        </is>
      </c>
      <c r="B791" s="1" t="n">
        <v>45090</v>
      </c>
      <c r="C791" s="1" t="n">
        <v>45665</v>
      </c>
      <c r="D791" t="inlineStr">
        <is>
          <t>UPPSALA LÄN</t>
        </is>
      </c>
      <c r="E791" t="inlineStr">
        <is>
          <t>ÖSTHAMMAR</t>
        </is>
      </c>
      <c r="F791" t="inlineStr">
        <is>
          <t>Bergvik skog öst AB</t>
        </is>
      </c>
      <c r="G791" t="n">
        <v>29.2</v>
      </c>
      <c r="H791" t="n">
        <v>0</v>
      </c>
      <c r="I791" t="n">
        <v>0</v>
      </c>
      <c r="J791" t="n">
        <v>0</v>
      </c>
      <c r="K791" t="n">
        <v>0</v>
      </c>
      <c r="L791" t="n">
        <v>0</v>
      </c>
      <c r="M791" t="n">
        <v>0</v>
      </c>
      <c r="N791" t="n">
        <v>0</v>
      </c>
      <c r="O791" t="n">
        <v>0</v>
      </c>
      <c r="P791" t="n">
        <v>0</v>
      </c>
      <c r="Q791" t="n">
        <v>0</v>
      </c>
      <c r="R791" s="2" t="inlineStr"/>
    </row>
    <row r="792" ht="15" customHeight="1">
      <c r="A792" t="inlineStr">
        <is>
          <t>A 25970-2023</t>
        </is>
      </c>
      <c r="B792" s="1" t="n">
        <v>45090</v>
      </c>
      <c r="C792" s="1" t="n">
        <v>45665</v>
      </c>
      <c r="D792" t="inlineStr">
        <is>
          <t>UPPSALA LÄN</t>
        </is>
      </c>
      <c r="E792" t="inlineStr">
        <is>
          <t>ÖSTHAMMAR</t>
        </is>
      </c>
      <c r="F792" t="inlineStr">
        <is>
          <t>Sveaskog</t>
        </is>
      </c>
      <c r="G792" t="n">
        <v>5.2</v>
      </c>
      <c r="H792" t="n">
        <v>0</v>
      </c>
      <c r="I792" t="n">
        <v>0</v>
      </c>
      <c r="J792" t="n">
        <v>0</v>
      </c>
      <c r="K792" t="n">
        <v>0</v>
      </c>
      <c r="L792" t="n">
        <v>0</v>
      </c>
      <c r="M792" t="n">
        <v>0</v>
      </c>
      <c r="N792" t="n">
        <v>0</v>
      </c>
      <c r="O792" t="n">
        <v>0</v>
      </c>
      <c r="P792" t="n">
        <v>0</v>
      </c>
      <c r="Q792" t="n">
        <v>0</v>
      </c>
      <c r="R792" s="2" t="inlineStr"/>
    </row>
    <row r="793" ht="15" customHeight="1">
      <c r="A793" t="inlineStr">
        <is>
          <t>A 25968-2023</t>
        </is>
      </c>
      <c r="B793" s="1" t="n">
        <v>45090</v>
      </c>
      <c r="C793" s="1" t="n">
        <v>45665</v>
      </c>
      <c r="D793" t="inlineStr">
        <is>
          <t>UPPSALA LÄN</t>
        </is>
      </c>
      <c r="E793" t="inlineStr">
        <is>
          <t>ÖSTHAMMAR</t>
        </is>
      </c>
      <c r="F793" t="inlineStr">
        <is>
          <t>Sveaskog</t>
        </is>
      </c>
      <c r="G793" t="n">
        <v>3.8</v>
      </c>
      <c r="H793" t="n">
        <v>0</v>
      </c>
      <c r="I793" t="n">
        <v>0</v>
      </c>
      <c r="J793" t="n">
        <v>0</v>
      </c>
      <c r="K793" t="n">
        <v>0</v>
      </c>
      <c r="L793" t="n">
        <v>0</v>
      </c>
      <c r="M793" t="n">
        <v>0</v>
      </c>
      <c r="N793" t="n">
        <v>0</v>
      </c>
      <c r="O793" t="n">
        <v>0</v>
      </c>
      <c r="P793" t="n">
        <v>0</v>
      </c>
      <c r="Q793" t="n">
        <v>0</v>
      </c>
      <c r="R793" s="2" t="inlineStr"/>
    </row>
    <row r="794" ht="15" customHeight="1">
      <c r="A794" t="inlineStr">
        <is>
          <t>A 25969-2023</t>
        </is>
      </c>
      <c r="B794" s="1" t="n">
        <v>45090</v>
      </c>
      <c r="C794" s="1" t="n">
        <v>45665</v>
      </c>
      <c r="D794" t="inlineStr">
        <is>
          <t>UPPSALA LÄN</t>
        </is>
      </c>
      <c r="E794" t="inlineStr">
        <is>
          <t>ÖSTHAMMAR</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26774-2023</t>
        </is>
      </c>
      <c r="B795" s="1" t="n">
        <v>45093</v>
      </c>
      <c r="C795" s="1" t="n">
        <v>45665</v>
      </c>
      <c r="D795" t="inlineStr">
        <is>
          <t>UPPSALA LÄN</t>
        </is>
      </c>
      <c r="E795" t="inlineStr">
        <is>
          <t>ÖSTHAMMAR</t>
        </is>
      </c>
      <c r="F795" t="inlineStr">
        <is>
          <t>Bergvik skog öst AB</t>
        </is>
      </c>
      <c r="G795" t="n">
        <v>2.1</v>
      </c>
      <c r="H795" t="n">
        <v>0</v>
      </c>
      <c r="I795" t="n">
        <v>0</v>
      </c>
      <c r="J795" t="n">
        <v>0</v>
      </c>
      <c r="K795" t="n">
        <v>0</v>
      </c>
      <c r="L795" t="n">
        <v>0</v>
      </c>
      <c r="M795" t="n">
        <v>0</v>
      </c>
      <c r="N795" t="n">
        <v>0</v>
      </c>
      <c r="O795" t="n">
        <v>0</v>
      </c>
      <c r="P795" t="n">
        <v>0</v>
      </c>
      <c r="Q795" t="n">
        <v>0</v>
      </c>
      <c r="R795" s="2" t="inlineStr"/>
    </row>
    <row r="796" ht="15" customHeight="1">
      <c r="A796" t="inlineStr">
        <is>
          <t>A 26734-2023</t>
        </is>
      </c>
      <c r="B796" s="1" t="n">
        <v>45093</v>
      </c>
      <c r="C796" s="1" t="n">
        <v>45665</v>
      </c>
      <c r="D796" t="inlineStr">
        <is>
          <t>UPPSALA LÄN</t>
        </is>
      </c>
      <c r="E796" t="inlineStr">
        <is>
          <t>ÖSTHAMMAR</t>
        </is>
      </c>
      <c r="F796" t="inlineStr">
        <is>
          <t>Bergvik skog öst AB</t>
        </is>
      </c>
      <c r="G796" t="n">
        <v>25.5</v>
      </c>
      <c r="H796" t="n">
        <v>0</v>
      </c>
      <c r="I796" t="n">
        <v>0</v>
      </c>
      <c r="J796" t="n">
        <v>0</v>
      </c>
      <c r="K796" t="n">
        <v>0</v>
      </c>
      <c r="L796" t="n">
        <v>0</v>
      </c>
      <c r="M796" t="n">
        <v>0</v>
      </c>
      <c r="N796" t="n">
        <v>0</v>
      </c>
      <c r="O796" t="n">
        <v>0</v>
      </c>
      <c r="P796" t="n">
        <v>0</v>
      </c>
      <c r="Q796" t="n">
        <v>0</v>
      </c>
      <c r="R796" s="2" t="inlineStr"/>
    </row>
    <row r="797" ht="15" customHeight="1">
      <c r="A797" t="inlineStr">
        <is>
          <t>A 28170-2023</t>
        </is>
      </c>
      <c r="B797" s="1" t="n">
        <v>45093</v>
      </c>
      <c r="C797" s="1" t="n">
        <v>45665</v>
      </c>
      <c r="D797" t="inlineStr">
        <is>
          <t>UPPSALA LÄN</t>
        </is>
      </c>
      <c r="E797" t="inlineStr">
        <is>
          <t>ÖSTHAMMAR</t>
        </is>
      </c>
      <c r="G797" t="n">
        <v>7.2</v>
      </c>
      <c r="H797" t="n">
        <v>0</v>
      </c>
      <c r="I797" t="n">
        <v>0</v>
      </c>
      <c r="J797" t="n">
        <v>0</v>
      </c>
      <c r="K797" t="n">
        <v>0</v>
      </c>
      <c r="L797" t="n">
        <v>0</v>
      </c>
      <c r="M797" t="n">
        <v>0</v>
      </c>
      <c r="N797" t="n">
        <v>0</v>
      </c>
      <c r="O797" t="n">
        <v>0</v>
      </c>
      <c r="P797" t="n">
        <v>0</v>
      </c>
      <c r="Q797" t="n">
        <v>0</v>
      </c>
      <c r="R797" s="2" t="inlineStr"/>
    </row>
    <row r="798" ht="15" customHeight="1">
      <c r="A798" t="inlineStr">
        <is>
          <t>A 27150-2023</t>
        </is>
      </c>
      <c r="B798" s="1" t="n">
        <v>45096</v>
      </c>
      <c r="C798" s="1" t="n">
        <v>45665</v>
      </c>
      <c r="D798" t="inlineStr">
        <is>
          <t>UPPSALA LÄN</t>
        </is>
      </c>
      <c r="E798" t="inlineStr">
        <is>
          <t>ÖSTHAMMAR</t>
        </is>
      </c>
      <c r="F798" t="inlineStr">
        <is>
          <t>Bergvik skog öst AB</t>
        </is>
      </c>
      <c r="G798" t="n">
        <v>5</v>
      </c>
      <c r="H798" t="n">
        <v>0</v>
      </c>
      <c r="I798" t="n">
        <v>0</v>
      </c>
      <c r="J798" t="n">
        <v>0</v>
      </c>
      <c r="K798" t="n">
        <v>0</v>
      </c>
      <c r="L798" t="n">
        <v>0</v>
      </c>
      <c r="M798" t="n">
        <v>0</v>
      </c>
      <c r="N798" t="n">
        <v>0</v>
      </c>
      <c r="O798" t="n">
        <v>0</v>
      </c>
      <c r="P798" t="n">
        <v>0</v>
      </c>
      <c r="Q798" t="n">
        <v>0</v>
      </c>
      <c r="R798" s="2" t="inlineStr"/>
    </row>
    <row r="799" ht="15" customHeight="1">
      <c r="A799" t="inlineStr">
        <is>
          <t>A 27154-2023</t>
        </is>
      </c>
      <c r="B799" s="1" t="n">
        <v>45096</v>
      </c>
      <c r="C799" s="1" t="n">
        <v>45665</v>
      </c>
      <c r="D799" t="inlineStr">
        <is>
          <t>UPPSALA LÄN</t>
        </is>
      </c>
      <c r="E799" t="inlineStr">
        <is>
          <t>ÖSTHAMMAR</t>
        </is>
      </c>
      <c r="F799" t="inlineStr">
        <is>
          <t>Bergvik skog öst AB</t>
        </is>
      </c>
      <c r="G799" t="n">
        <v>0.6</v>
      </c>
      <c r="H799" t="n">
        <v>0</v>
      </c>
      <c r="I799" t="n">
        <v>0</v>
      </c>
      <c r="J799" t="n">
        <v>0</v>
      </c>
      <c r="K799" t="n">
        <v>0</v>
      </c>
      <c r="L799" t="n">
        <v>0</v>
      </c>
      <c r="M799" t="n">
        <v>0</v>
      </c>
      <c r="N799" t="n">
        <v>0</v>
      </c>
      <c r="O799" t="n">
        <v>0</v>
      </c>
      <c r="P799" t="n">
        <v>0</v>
      </c>
      <c r="Q799" t="n">
        <v>0</v>
      </c>
      <c r="R799" s="2" t="inlineStr"/>
    </row>
    <row r="800" ht="15" customHeight="1">
      <c r="A800" t="inlineStr">
        <is>
          <t>A 27308-2023</t>
        </is>
      </c>
      <c r="B800" s="1" t="n">
        <v>45096</v>
      </c>
      <c r="C800" s="1" t="n">
        <v>45665</v>
      </c>
      <c r="D800" t="inlineStr">
        <is>
          <t>UPPSALA LÄN</t>
        </is>
      </c>
      <c r="E800" t="inlineStr">
        <is>
          <t>ÖSTHAMMAR</t>
        </is>
      </c>
      <c r="F800" t="inlineStr">
        <is>
          <t>Bergvik skog öst AB</t>
        </is>
      </c>
      <c r="G800" t="n">
        <v>2.4</v>
      </c>
      <c r="H800" t="n">
        <v>0</v>
      </c>
      <c r="I800" t="n">
        <v>0</v>
      </c>
      <c r="J800" t="n">
        <v>0</v>
      </c>
      <c r="K800" t="n">
        <v>0</v>
      </c>
      <c r="L800" t="n">
        <v>0</v>
      </c>
      <c r="M800" t="n">
        <v>0</v>
      </c>
      <c r="N800" t="n">
        <v>0</v>
      </c>
      <c r="O800" t="n">
        <v>0</v>
      </c>
      <c r="P800" t="n">
        <v>0</v>
      </c>
      <c r="Q800" t="n">
        <v>0</v>
      </c>
      <c r="R800" s="2" t="inlineStr"/>
    </row>
    <row r="801" ht="15" customHeight="1">
      <c r="A801" t="inlineStr">
        <is>
          <t>A 27660-2023</t>
        </is>
      </c>
      <c r="B801" s="1" t="n">
        <v>45097</v>
      </c>
      <c r="C801" s="1" t="n">
        <v>45665</v>
      </c>
      <c r="D801" t="inlineStr">
        <is>
          <t>UPPSALA LÄN</t>
        </is>
      </c>
      <c r="E801" t="inlineStr">
        <is>
          <t>ÖSTHAMMAR</t>
        </is>
      </c>
      <c r="G801" t="n">
        <v>2.8</v>
      </c>
      <c r="H801" t="n">
        <v>0</v>
      </c>
      <c r="I801" t="n">
        <v>0</v>
      </c>
      <c r="J801" t="n">
        <v>0</v>
      </c>
      <c r="K801" t="n">
        <v>0</v>
      </c>
      <c r="L801" t="n">
        <v>0</v>
      </c>
      <c r="M801" t="n">
        <v>0</v>
      </c>
      <c r="N801" t="n">
        <v>0</v>
      </c>
      <c r="O801" t="n">
        <v>0</v>
      </c>
      <c r="P801" t="n">
        <v>0</v>
      </c>
      <c r="Q801" t="n">
        <v>0</v>
      </c>
      <c r="R801" s="2" t="inlineStr"/>
    </row>
    <row r="802" ht="15" customHeight="1">
      <c r="A802" t="inlineStr">
        <is>
          <t>A 27659-2023</t>
        </is>
      </c>
      <c r="B802" s="1" t="n">
        <v>45097</v>
      </c>
      <c r="C802" s="1" t="n">
        <v>45665</v>
      </c>
      <c r="D802" t="inlineStr">
        <is>
          <t>UPPSALA LÄN</t>
        </is>
      </c>
      <c r="E802" t="inlineStr">
        <is>
          <t>ÖSTHAMMAR</t>
        </is>
      </c>
      <c r="G802" t="n">
        <v>2.6</v>
      </c>
      <c r="H802" t="n">
        <v>0</v>
      </c>
      <c r="I802" t="n">
        <v>0</v>
      </c>
      <c r="J802" t="n">
        <v>0</v>
      </c>
      <c r="K802" t="n">
        <v>0</v>
      </c>
      <c r="L802" t="n">
        <v>0</v>
      </c>
      <c r="M802" t="n">
        <v>0</v>
      </c>
      <c r="N802" t="n">
        <v>0</v>
      </c>
      <c r="O802" t="n">
        <v>0</v>
      </c>
      <c r="P802" t="n">
        <v>0</v>
      </c>
      <c r="Q802" t="n">
        <v>0</v>
      </c>
      <c r="R802" s="2" t="inlineStr"/>
    </row>
    <row r="803" ht="15" customHeight="1">
      <c r="A803" t="inlineStr">
        <is>
          <t>A 27801-2023</t>
        </is>
      </c>
      <c r="B803" s="1" t="n">
        <v>45098</v>
      </c>
      <c r="C803" s="1" t="n">
        <v>45665</v>
      </c>
      <c r="D803" t="inlineStr">
        <is>
          <t>UPPSALA LÄN</t>
        </is>
      </c>
      <c r="E803" t="inlineStr">
        <is>
          <t>ÖSTHAMMAR</t>
        </is>
      </c>
      <c r="F803" t="inlineStr">
        <is>
          <t>Kyrkan</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28422-2023</t>
        </is>
      </c>
      <c r="B804" s="1" t="n">
        <v>45102</v>
      </c>
      <c r="C804" s="1" t="n">
        <v>45665</v>
      </c>
      <c r="D804" t="inlineStr">
        <is>
          <t>UPPSALA LÄN</t>
        </is>
      </c>
      <c r="E804" t="inlineStr">
        <is>
          <t>ÖSTHAMMAR</t>
        </is>
      </c>
      <c r="F804" t="inlineStr">
        <is>
          <t>Bergvik skog öst AB</t>
        </is>
      </c>
      <c r="G804" t="n">
        <v>3.1</v>
      </c>
      <c r="H804" t="n">
        <v>0</v>
      </c>
      <c r="I804" t="n">
        <v>0</v>
      </c>
      <c r="J804" t="n">
        <v>0</v>
      </c>
      <c r="K804" t="n">
        <v>0</v>
      </c>
      <c r="L804" t="n">
        <v>0</v>
      </c>
      <c r="M804" t="n">
        <v>0</v>
      </c>
      <c r="N804" t="n">
        <v>0</v>
      </c>
      <c r="O804" t="n">
        <v>0</v>
      </c>
      <c r="P804" t="n">
        <v>0</v>
      </c>
      <c r="Q804" t="n">
        <v>0</v>
      </c>
      <c r="R804" s="2" t="inlineStr"/>
    </row>
    <row r="805" ht="15" customHeight="1">
      <c r="A805" t="inlineStr">
        <is>
          <t>A 28430-2023</t>
        </is>
      </c>
      <c r="B805" s="1" t="n">
        <v>45102</v>
      </c>
      <c r="C805" s="1" t="n">
        <v>45665</v>
      </c>
      <c r="D805" t="inlineStr">
        <is>
          <t>UPPSALA LÄN</t>
        </is>
      </c>
      <c r="E805" t="inlineStr">
        <is>
          <t>ÖSTHAMMAR</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28434-2023</t>
        </is>
      </c>
      <c r="B806" s="1" t="n">
        <v>45102</v>
      </c>
      <c r="C806" s="1" t="n">
        <v>45665</v>
      </c>
      <c r="D806" t="inlineStr">
        <is>
          <t>UPPSALA LÄN</t>
        </is>
      </c>
      <c r="E806" t="inlineStr">
        <is>
          <t>ÖSTHAMMAR</t>
        </is>
      </c>
      <c r="F806" t="inlineStr">
        <is>
          <t>Bergvik skog öst AB</t>
        </is>
      </c>
      <c r="G806" t="n">
        <v>8.9</v>
      </c>
      <c r="H806" t="n">
        <v>0</v>
      </c>
      <c r="I806" t="n">
        <v>0</v>
      </c>
      <c r="J806" t="n">
        <v>0</v>
      </c>
      <c r="K806" t="n">
        <v>0</v>
      </c>
      <c r="L806" t="n">
        <v>0</v>
      </c>
      <c r="M806" t="n">
        <v>0</v>
      </c>
      <c r="N806" t="n">
        <v>0</v>
      </c>
      <c r="O806" t="n">
        <v>0</v>
      </c>
      <c r="P806" t="n">
        <v>0</v>
      </c>
      <c r="Q806" t="n">
        <v>0</v>
      </c>
      <c r="R806" s="2" t="inlineStr"/>
    </row>
    <row r="807" ht="15" customHeight="1">
      <c r="A807" t="inlineStr">
        <is>
          <t>A 28420-2023</t>
        </is>
      </c>
      <c r="B807" s="1" t="n">
        <v>45102</v>
      </c>
      <c r="C807" s="1" t="n">
        <v>45665</v>
      </c>
      <c r="D807" t="inlineStr">
        <is>
          <t>UPPSALA LÄN</t>
        </is>
      </c>
      <c r="E807" t="inlineStr">
        <is>
          <t>ÖSTHAMMAR</t>
        </is>
      </c>
      <c r="F807" t="inlineStr">
        <is>
          <t>Bergvik skog öst AB</t>
        </is>
      </c>
      <c r="G807" t="n">
        <v>3.2</v>
      </c>
      <c r="H807" t="n">
        <v>0</v>
      </c>
      <c r="I807" t="n">
        <v>0</v>
      </c>
      <c r="J807" t="n">
        <v>0</v>
      </c>
      <c r="K807" t="n">
        <v>0</v>
      </c>
      <c r="L807" t="n">
        <v>0</v>
      </c>
      <c r="M807" t="n">
        <v>0</v>
      </c>
      <c r="N807" t="n">
        <v>0</v>
      </c>
      <c r="O807" t="n">
        <v>0</v>
      </c>
      <c r="P807" t="n">
        <v>0</v>
      </c>
      <c r="Q807" t="n">
        <v>0</v>
      </c>
      <c r="R807" s="2" t="inlineStr"/>
    </row>
    <row r="808" ht="15" customHeight="1">
      <c r="A808" t="inlineStr">
        <is>
          <t>A 28432-2023</t>
        </is>
      </c>
      <c r="B808" s="1" t="n">
        <v>45102</v>
      </c>
      <c r="C808" s="1" t="n">
        <v>45665</v>
      </c>
      <c r="D808" t="inlineStr">
        <is>
          <t>UPPSALA LÄN</t>
        </is>
      </c>
      <c r="E808" t="inlineStr">
        <is>
          <t>ÖSTHAMMAR</t>
        </is>
      </c>
      <c r="F808" t="inlineStr">
        <is>
          <t>Bergvik skog öst AB</t>
        </is>
      </c>
      <c r="G808" t="n">
        <v>3.9</v>
      </c>
      <c r="H808" t="n">
        <v>0</v>
      </c>
      <c r="I808" t="n">
        <v>0</v>
      </c>
      <c r="J808" t="n">
        <v>0</v>
      </c>
      <c r="K808" t="n">
        <v>0</v>
      </c>
      <c r="L808" t="n">
        <v>0</v>
      </c>
      <c r="M808" t="n">
        <v>0</v>
      </c>
      <c r="N808" t="n">
        <v>0</v>
      </c>
      <c r="O808" t="n">
        <v>0</v>
      </c>
      <c r="P808" t="n">
        <v>0</v>
      </c>
      <c r="Q808" t="n">
        <v>0</v>
      </c>
      <c r="R808" s="2" t="inlineStr"/>
    </row>
    <row r="809" ht="15" customHeight="1">
      <c r="A809" t="inlineStr">
        <is>
          <t>A 28421-2023</t>
        </is>
      </c>
      <c r="B809" s="1" t="n">
        <v>45102</v>
      </c>
      <c r="C809" s="1" t="n">
        <v>45665</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28429-2023</t>
        </is>
      </c>
      <c r="B810" s="1" t="n">
        <v>45102</v>
      </c>
      <c r="C810" s="1" t="n">
        <v>45665</v>
      </c>
      <c r="D810" t="inlineStr">
        <is>
          <t>UPPSALA LÄN</t>
        </is>
      </c>
      <c r="E810" t="inlineStr">
        <is>
          <t>ÖSTHAMMAR</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28482-2023</t>
        </is>
      </c>
      <c r="B811" s="1" t="n">
        <v>45103</v>
      </c>
      <c r="C811" s="1" t="n">
        <v>45665</v>
      </c>
      <c r="D811" t="inlineStr">
        <is>
          <t>UPPSALA LÄN</t>
        </is>
      </c>
      <c r="E811" t="inlineStr">
        <is>
          <t>ÖSTHAMMAR</t>
        </is>
      </c>
      <c r="F811" t="inlineStr">
        <is>
          <t>Naturvårdsverket</t>
        </is>
      </c>
      <c r="G811" t="n">
        <v>8.9</v>
      </c>
      <c r="H811" t="n">
        <v>0</v>
      </c>
      <c r="I811" t="n">
        <v>0</v>
      </c>
      <c r="J811" t="n">
        <v>0</v>
      </c>
      <c r="K811" t="n">
        <v>0</v>
      </c>
      <c r="L811" t="n">
        <v>0</v>
      </c>
      <c r="M811" t="n">
        <v>0</v>
      </c>
      <c r="N811" t="n">
        <v>0</v>
      </c>
      <c r="O811" t="n">
        <v>0</v>
      </c>
      <c r="P811" t="n">
        <v>0</v>
      </c>
      <c r="Q811" t="n">
        <v>0</v>
      </c>
      <c r="R811" s="2" t="inlineStr"/>
    </row>
    <row r="812" ht="15" customHeight="1">
      <c r="A812" t="inlineStr">
        <is>
          <t>A 29564-2023</t>
        </is>
      </c>
      <c r="B812" s="1" t="n">
        <v>45106</v>
      </c>
      <c r="C812" s="1" t="n">
        <v>45665</v>
      </c>
      <c r="D812" t="inlineStr">
        <is>
          <t>UPPSALA LÄN</t>
        </is>
      </c>
      <c r="E812" t="inlineStr">
        <is>
          <t>ÖSTHAMMAR</t>
        </is>
      </c>
      <c r="F812" t="inlineStr">
        <is>
          <t>Naturvårdsverket</t>
        </is>
      </c>
      <c r="G812" t="n">
        <v>1.2</v>
      </c>
      <c r="H812" t="n">
        <v>0</v>
      </c>
      <c r="I812" t="n">
        <v>0</v>
      </c>
      <c r="J812" t="n">
        <v>0</v>
      </c>
      <c r="K812" t="n">
        <v>0</v>
      </c>
      <c r="L812" t="n">
        <v>0</v>
      </c>
      <c r="M812" t="n">
        <v>0</v>
      </c>
      <c r="N812" t="n">
        <v>0</v>
      </c>
      <c r="O812" t="n">
        <v>0</v>
      </c>
      <c r="P812" t="n">
        <v>0</v>
      </c>
      <c r="Q812" t="n">
        <v>0</v>
      </c>
      <c r="R812" s="2" t="inlineStr"/>
    </row>
    <row r="813" ht="15" customHeight="1">
      <c r="A813" t="inlineStr">
        <is>
          <t>A 29873-2023</t>
        </is>
      </c>
      <c r="B813" s="1" t="n">
        <v>45107</v>
      </c>
      <c r="C813" s="1" t="n">
        <v>45665</v>
      </c>
      <c r="D813" t="inlineStr">
        <is>
          <t>UPPSALA LÄN</t>
        </is>
      </c>
      <c r="E813" t="inlineStr">
        <is>
          <t>ÖSTHAMMAR</t>
        </is>
      </c>
      <c r="F813" t="inlineStr">
        <is>
          <t>Naturvårdsverket</t>
        </is>
      </c>
      <c r="G813" t="n">
        <v>7.8</v>
      </c>
      <c r="H813" t="n">
        <v>0</v>
      </c>
      <c r="I813" t="n">
        <v>0</v>
      </c>
      <c r="J813" t="n">
        <v>0</v>
      </c>
      <c r="K813" t="n">
        <v>0</v>
      </c>
      <c r="L813" t="n">
        <v>0</v>
      </c>
      <c r="M813" t="n">
        <v>0</v>
      </c>
      <c r="N813" t="n">
        <v>0</v>
      </c>
      <c r="O813" t="n">
        <v>0</v>
      </c>
      <c r="P813" t="n">
        <v>0</v>
      </c>
      <c r="Q813" t="n">
        <v>0</v>
      </c>
      <c r="R813" s="2" t="inlineStr"/>
    </row>
    <row r="814" ht="15" customHeight="1">
      <c r="A814" t="inlineStr">
        <is>
          <t>A 29824-2023</t>
        </is>
      </c>
      <c r="B814" s="1" t="n">
        <v>45107</v>
      </c>
      <c r="C814" s="1" t="n">
        <v>45665</v>
      </c>
      <c r="D814" t="inlineStr">
        <is>
          <t>UPPSALA LÄN</t>
        </is>
      </c>
      <c r="E814" t="inlineStr">
        <is>
          <t>ÖSTHAMMAR</t>
        </is>
      </c>
      <c r="F814" t="inlineStr">
        <is>
          <t>Naturvårdsverket</t>
        </is>
      </c>
      <c r="G814" t="n">
        <v>1.6</v>
      </c>
      <c r="H814" t="n">
        <v>0</v>
      </c>
      <c r="I814" t="n">
        <v>0</v>
      </c>
      <c r="J814" t="n">
        <v>0</v>
      </c>
      <c r="K814" t="n">
        <v>0</v>
      </c>
      <c r="L814" t="n">
        <v>0</v>
      </c>
      <c r="M814" t="n">
        <v>0</v>
      </c>
      <c r="N814" t="n">
        <v>0</v>
      </c>
      <c r="O814" t="n">
        <v>0</v>
      </c>
      <c r="P814" t="n">
        <v>0</v>
      </c>
      <c r="Q814" t="n">
        <v>0</v>
      </c>
      <c r="R814" s="2" t="inlineStr"/>
    </row>
    <row r="815" ht="15" customHeight="1">
      <c r="A815" t="inlineStr">
        <is>
          <t>A 30086-2023</t>
        </is>
      </c>
      <c r="B815" s="1" t="n">
        <v>45110</v>
      </c>
      <c r="C815" s="1" t="n">
        <v>45665</v>
      </c>
      <c r="D815" t="inlineStr">
        <is>
          <t>UPPSALA LÄN</t>
        </is>
      </c>
      <c r="E815" t="inlineStr">
        <is>
          <t>ÖSTHAMMAR</t>
        </is>
      </c>
      <c r="G815" t="n">
        <v>3.5</v>
      </c>
      <c r="H815" t="n">
        <v>0</v>
      </c>
      <c r="I815" t="n">
        <v>0</v>
      </c>
      <c r="J815" t="n">
        <v>0</v>
      </c>
      <c r="K815" t="n">
        <v>0</v>
      </c>
      <c r="L815" t="n">
        <v>0</v>
      </c>
      <c r="M815" t="n">
        <v>0</v>
      </c>
      <c r="N815" t="n">
        <v>0</v>
      </c>
      <c r="O815" t="n">
        <v>0</v>
      </c>
      <c r="P815" t="n">
        <v>0</v>
      </c>
      <c r="Q815" t="n">
        <v>0</v>
      </c>
      <c r="R815" s="2" t="inlineStr"/>
    </row>
    <row r="816" ht="15" customHeight="1">
      <c r="A816" t="inlineStr">
        <is>
          <t>A 30470-2023</t>
        </is>
      </c>
      <c r="B816" s="1" t="n">
        <v>45111</v>
      </c>
      <c r="C816" s="1" t="n">
        <v>45665</v>
      </c>
      <c r="D816" t="inlineStr">
        <is>
          <t>UPPSALA LÄN</t>
        </is>
      </c>
      <c r="E816" t="inlineStr">
        <is>
          <t>ÖSTHAMMAR</t>
        </is>
      </c>
      <c r="G816" t="n">
        <v>0.8</v>
      </c>
      <c r="H816" t="n">
        <v>0</v>
      </c>
      <c r="I816" t="n">
        <v>0</v>
      </c>
      <c r="J816" t="n">
        <v>0</v>
      </c>
      <c r="K816" t="n">
        <v>0</v>
      </c>
      <c r="L816" t="n">
        <v>0</v>
      </c>
      <c r="M816" t="n">
        <v>0</v>
      </c>
      <c r="N816" t="n">
        <v>0</v>
      </c>
      <c r="O816" t="n">
        <v>0</v>
      </c>
      <c r="P816" t="n">
        <v>0</v>
      </c>
      <c r="Q816" t="n">
        <v>0</v>
      </c>
      <c r="R816" s="2" t="inlineStr"/>
    </row>
    <row r="817" ht="15" customHeight="1">
      <c r="A817" t="inlineStr">
        <is>
          <t>A 30498-2023</t>
        </is>
      </c>
      <c r="B817" s="1" t="n">
        <v>45111</v>
      </c>
      <c r="C817" s="1" t="n">
        <v>45665</v>
      </c>
      <c r="D817" t="inlineStr">
        <is>
          <t>UPPSALA LÄN</t>
        </is>
      </c>
      <c r="E817" t="inlineStr">
        <is>
          <t>ÖSTHAMMAR</t>
        </is>
      </c>
      <c r="G817" t="n">
        <v>0.7</v>
      </c>
      <c r="H817" t="n">
        <v>0</v>
      </c>
      <c r="I817" t="n">
        <v>0</v>
      </c>
      <c r="J817" t="n">
        <v>0</v>
      </c>
      <c r="K817" t="n">
        <v>0</v>
      </c>
      <c r="L817" t="n">
        <v>0</v>
      </c>
      <c r="M817" t="n">
        <v>0</v>
      </c>
      <c r="N817" t="n">
        <v>0</v>
      </c>
      <c r="O817" t="n">
        <v>0</v>
      </c>
      <c r="P817" t="n">
        <v>0</v>
      </c>
      <c r="Q817" t="n">
        <v>0</v>
      </c>
      <c r="R817" s="2" t="inlineStr"/>
    </row>
    <row r="818" ht="15" customHeight="1">
      <c r="A818" t="inlineStr">
        <is>
          <t>A 30809-2023</t>
        </is>
      </c>
      <c r="B818" s="1" t="n">
        <v>45112</v>
      </c>
      <c r="C818" s="1" t="n">
        <v>45665</v>
      </c>
      <c r="D818" t="inlineStr">
        <is>
          <t>UPPSALA LÄN</t>
        </is>
      </c>
      <c r="E818" t="inlineStr">
        <is>
          <t>ÖSTHAMMAR</t>
        </is>
      </c>
      <c r="F818" t="inlineStr">
        <is>
          <t>Bergvik skog öst AB</t>
        </is>
      </c>
      <c r="G818" t="n">
        <v>1.7</v>
      </c>
      <c r="H818" t="n">
        <v>0</v>
      </c>
      <c r="I818" t="n">
        <v>0</v>
      </c>
      <c r="J818" t="n">
        <v>0</v>
      </c>
      <c r="K818" t="n">
        <v>0</v>
      </c>
      <c r="L818" t="n">
        <v>0</v>
      </c>
      <c r="M818" t="n">
        <v>0</v>
      </c>
      <c r="N818" t="n">
        <v>0</v>
      </c>
      <c r="O818" t="n">
        <v>0</v>
      </c>
      <c r="P818" t="n">
        <v>0</v>
      </c>
      <c r="Q818" t="n">
        <v>0</v>
      </c>
      <c r="R818" s="2" t="inlineStr"/>
    </row>
    <row r="819" ht="15" customHeight="1">
      <c r="A819" t="inlineStr">
        <is>
          <t>A 30808-2023</t>
        </is>
      </c>
      <c r="B819" s="1" t="n">
        <v>45112</v>
      </c>
      <c r="C819" s="1" t="n">
        <v>45665</v>
      </c>
      <c r="D819" t="inlineStr">
        <is>
          <t>UPPSALA LÄN</t>
        </is>
      </c>
      <c r="E819" t="inlineStr">
        <is>
          <t>ÖSTHAMMAR</t>
        </is>
      </c>
      <c r="F819" t="inlineStr">
        <is>
          <t>Bergvik skog öst AB</t>
        </is>
      </c>
      <c r="G819" t="n">
        <v>3.3</v>
      </c>
      <c r="H819" t="n">
        <v>0</v>
      </c>
      <c r="I819" t="n">
        <v>0</v>
      </c>
      <c r="J819" t="n">
        <v>0</v>
      </c>
      <c r="K819" t="n">
        <v>0</v>
      </c>
      <c r="L819" t="n">
        <v>0</v>
      </c>
      <c r="M819" t="n">
        <v>0</v>
      </c>
      <c r="N819" t="n">
        <v>0</v>
      </c>
      <c r="O819" t="n">
        <v>0</v>
      </c>
      <c r="P819" t="n">
        <v>0</v>
      </c>
      <c r="Q819" t="n">
        <v>0</v>
      </c>
      <c r="R819" s="2" t="inlineStr"/>
    </row>
    <row r="820" ht="15" customHeight="1">
      <c r="A820" t="inlineStr">
        <is>
          <t>A 30812-2023</t>
        </is>
      </c>
      <c r="B820" s="1" t="n">
        <v>45112</v>
      </c>
      <c r="C820" s="1" t="n">
        <v>45665</v>
      </c>
      <c r="D820" t="inlineStr">
        <is>
          <t>UPPSALA LÄN</t>
        </is>
      </c>
      <c r="E820" t="inlineStr">
        <is>
          <t>ÖSTHAMMAR</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30810-2023</t>
        </is>
      </c>
      <c r="B821" s="1" t="n">
        <v>45112</v>
      </c>
      <c r="C821" s="1" t="n">
        <v>45665</v>
      </c>
      <c r="D821" t="inlineStr">
        <is>
          <t>UPPSALA LÄN</t>
        </is>
      </c>
      <c r="E821" t="inlineStr">
        <is>
          <t>ÖSTHAMMAR</t>
        </is>
      </c>
      <c r="F821" t="inlineStr">
        <is>
          <t>Bergvik skog öst AB</t>
        </is>
      </c>
      <c r="G821" t="n">
        <v>2</v>
      </c>
      <c r="H821" t="n">
        <v>0</v>
      </c>
      <c r="I821" t="n">
        <v>0</v>
      </c>
      <c r="J821" t="n">
        <v>0</v>
      </c>
      <c r="K821" t="n">
        <v>0</v>
      </c>
      <c r="L821" t="n">
        <v>0</v>
      </c>
      <c r="M821" t="n">
        <v>0</v>
      </c>
      <c r="N821" t="n">
        <v>0</v>
      </c>
      <c r="O821" t="n">
        <v>0</v>
      </c>
      <c r="P821" t="n">
        <v>0</v>
      </c>
      <c r="Q821" t="n">
        <v>0</v>
      </c>
      <c r="R821" s="2" t="inlineStr"/>
    </row>
    <row r="822" ht="15" customHeight="1">
      <c r="A822" t="inlineStr">
        <is>
          <t>A 30811-2023</t>
        </is>
      </c>
      <c r="B822" s="1" t="n">
        <v>45112</v>
      </c>
      <c r="C822" s="1" t="n">
        <v>45665</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31480-2023</t>
        </is>
      </c>
      <c r="B823" s="1" t="n">
        <v>45114</v>
      </c>
      <c r="C823" s="1" t="n">
        <v>45665</v>
      </c>
      <c r="D823" t="inlineStr">
        <is>
          <t>UPPSALA LÄN</t>
        </is>
      </c>
      <c r="E823" t="inlineStr">
        <is>
          <t>ÖSTHAMMAR</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31484-2023</t>
        </is>
      </c>
      <c r="B824" s="1" t="n">
        <v>45114</v>
      </c>
      <c r="C824" s="1" t="n">
        <v>45665</v>
      </c>
      <c r="D824" t="inlineStr">
        <is>
          <t>UPPSALA LÄN</t>
        </is>
      </c>
      <c r="E824" t="inlineStr">
        <is>
          <t>ÖSTHAMMAR</t>
        </is>
      </c>
      <c r="F824" t="inlineStr">
        <is>
          <t>Bergvik skog öst AB</t>
        </is>
      </c>
      <c r="G824" t="n">
        <v>2.6</v>
      </c>
      <c r="H824" t="n">
        <v>0</v>
      </c>
      <c r="I824" t="n">
        <v>0</v>
      </c>
      <c r="J824" t="n">
        <v>0</v>
      </c>
      <c r="K824" t="n">
        <v>0</v>
      </c>
      <c r="L824" t="n">
        <v>0</v>
      </c>
      <c r="M824" t="n">
        <v>0</v>
      </c>
      <c r="N824" t="n">
        <v>0</v>
      </c>
      <c r="O824" t="n">
        <v>0</v>
      </c>
      <c r="P824" t="n">
        <v>0</v>
      </c>
      <c r="Q824" t="n">
        <v>0</v>
      </c>
      <c r="R824" s="2" t="inlineStr"/>
    </row>
    <row r="825" ht="15" customHeight="1">
      <c r="A825" t="inlineStr">
        <is>
          <t>A 31479-2023</t>
        </is>
      </c>
      <c r="B825" s="1" t="n">
        <v>45114</v>
      </c>
      <c r="C825" s="1" t="n">
        <v>45665</v>
      </c>
      <c r="D825" t="inlineStr">
        <is>
          <t>UPPSALA LÄN</t>
        </is>
      </c>
      <c r="E825" t="inlineStr">
        <is>
          <t>ÖSTHAMMAR</t>
        </is>
      </c>
      <c r="F825" t="inlineStr">
        <is>
          <t>Bergvik skog öst AB</t>
        </is>
      </c>
      <c r="G825" t="n">
        <v>1.9</v>
      </c>
      <c r="H825" t="n">
        <v>0</v>
      </c>
      <c r="I825" t="n">
        <v>0</v>
      </c>
      <c r="J825" t="n">
        <v>0</v>
      </c>
      <c r="K825" t="n">
        <v>0</v>
      </c>
      <c r="L825" t="n">
        <v>0</v>
      </c>
      <c r="M825" t="n">
        <v>0</v>
      </c>
      <c r="N825" t="n">
        <v>0</v>
      </c>
      <c r="O825" t="n">
        <v>0</v>
      </c>
      <c r="P825" t="n">
        <v>0</v>
      </c>
      <c r="Q825" t="n">
        <v>0</v>
      </c>
      <c r="R825" s="2" t="inlineStr"/>
    </row>
    <row r="826" ht="15" customHeight="1">
      <c r="A826" t="inlineStr">
        <is>
          <t>A 31483-2023</t>
        </is>
      </c>
      <c r="B826" s="1" t="n">
        <v>45114</v>
      </c>
      <c r="C826" s="1" t="n">
        <v>45665</v>
      </c>
      <c r="D826" t="inlineStr">
        <is>
          <t>UPPSALA LÄN</t>
        </is>
      </c>
      <c r="E826" t="inlineStr">
        <is>
          <t>ÖSTHAMMAR</t>
        </is>
      </c>
      <c r="F826" t="inlineStr">
        <is>
          <t>Bergvik skog öst AB</t>
        </is>
      </c>
      <c r="G826" t="n">
        <v>4.5</v>
      </c>
      <c r="H826" t="n">
        <v>0</v>
      </c>
      <c r="I826" t="n">
        <v>0</v>
      </c>
      <c r="J826" t="n">
        <v>0</v>
      </c>
      <c r="K826" t="n">
        <v>0</v>
      </c>
      <c r="L826" t="n">
        <v>0</v>
      </c>
      <c r="M826" t="n">
        <v>0</v>
      </c>
      <c r="N826" t="n">
        <v>0</v>
      </c>
      <c r="O826" t="n">
        <v>0</v>
      </c>
      <c r="P826" t="n">
        <v>0</v>
      </c>
      <c r="Q826" t="n">
        <v>0</v>
      </c>
      <c r="R826" s="2" t="inlineStr"/>
    </row>
    <row r="827" ht="15" customHeight="1">
      <c r="A827" t="inlineStr">
        <is>
          <t>A 31482-2023</t>
        </is>
      </c>
      <c r="B827" s="1" t="n">
        <v>45114</v>
      </c>
      <c r="C827" s="1" t="n">
        <v>45665</v>
      </c>
      <c r="D827" t="inlineStr">
        <is>
          <t>UPPSALA LÄN</t>
        </is>
      </c>
      <c r="E827" t="inlineStr">
        <is>
          <t>ÖSTHAMMAR</t>
        </is>
      </c>
      <c r="F827" t="inlineStr">
        <is>
          <t>Bergvik skog öst AB</t>
        </is>
      </c>
      <c r="G827" t="n">
        <v>4.2</v>
      </c>
      <c r="H827" t="n">
        <v>0</v>
      </c>
      <c r="I827" t="n">
        <v>0</v>
      </c>
      <c r="J827" t="n">
        <v>0</v>
      </c>
      <c r="K827" t="n">
        <v>0</v>
      </c>
      <c r="L827" t="n">
        <v>0</v>
      </c>
      <c r="M827" t="n">
        <v>0</v>
      </c>
      <c r="N827" t="n">
        <v>0</v>
      </c>
      <c r="O827" t="n">
        <v>0</v>
      </c>
      <c r="P827" t="n">
        <v>0</v>
      </c>
      <c r="Q827" t="n">
        <v>0</v>
      </c>
      <c r="R827" s="2" t="inlineStr"/>
    </row>
    <row r="828" ht="15" customHeight="1">
      <c r="A828" t="inlineStr">
        <is>
          <t>A 31486-2023</t>
        </is>
      </c>
      <c r="B828" s="1" t="n">
        <v>45114</v>
      </c>
      <c r="C828" s="1" t="n">
        <v>45665</v>
      </c>
      <c r="D828" t="inlineStr">
        <is>
          <t>UPPSALA LÄN</t>
        </is>
      </c>
      <c r="E828" t="inlineStr">
        <is>
          <t>ÖSTHAMMAR</t>
        </is>
      </c>
      <c r="F828" t="inlineStr">
        <is>
          <t>Bergvik skog öst AB</t>
        </is>
      </c>
      <c r="G828" t="n">
        <v>1.3</v>
      </c>
      <c r="H828" t="n">
        <v>0</v>
      </c>
      <c r="I828" t="n">
        <v>0</v>
      </c>
      <c r="J828" t="n">
        <v>0</v>
      </c>
      <c r="K828" t="n">
        <v>0</v>
      </c>
      <c r="L828" t="n">
        <v>0</v>
      </c>
      <c r="M828" t="n">
        <v>0</v>
      </c>
      <c r="N828" t="n">
        <v>0</v>
      </c>
      <c r="O828" t="n">
        <v>0</v>
      </c>
      <c r="P828" t="n">
        <v>0</v>
      </c>
      <c r="Q828" t="n">
        <v>0</v>
      </c>
      <c r="R828" s="2" t="inlineStr"/>
    </row>
    <row r="829" ht="15" customHeight="1">
      <c r="A829" t="inlineStr">
        <is>
          <t>A 31481-2023</t>
        </is>
      </c>
      <c r="B829" s="1" t="n">
        <v>45114</v>
      </c>
      <c r="C829" s="1" t="n">
        <v>45665</v>
      </c>
      <c r="D829" t="inlineStr">
        <is>
          <t>UPPSALA LÄN</t>
        </is>
      </c>
      <c r="E829" t="inlineStr">
        <is>
          <t>ÖSTHAMMAR</t>
        </is>
      </c>
      <c r="F829" t="inlineStr">
        <is>
          <t>Bergvik skog öst AB</t>
        </is>
      </c>
      <c r="G829" t="n">
        <v>2.3</v>
      </c>
      <c r="H829" t="n">
        <v>0</v>
      </c>
      <c r="I829" t="n">
        <v>0</v>
      </c>
      <c r="J829" t="n">
        <v>0</v>
      </c>
      <c r="K829" t="n">
        <v>0</v>
      </c>
      <c r="L829" t="n">
        <v>0</v>
      </c>
      <c r="M829" t="n">
        <v>0</v>
      </c>
      <c r="N829" t="n">
        <v>0</v>
      </c>
      <c r="O829" t="n">
        <v>0</v>
      </c>
      <c r="P829" t="n">
        <v>0</v>
      </c>
      <c r="Q829" t="n">
        <v>0</v>
      </c>
      <c r="R829" s="2" t="inlineStr"/>
    </row>
    <row r="830" ht="15" customHeight="1">
      <c r="A830" t="inlineStr">
        <is>
          <t>A 31485-2023</t>
        </is>
      </c>
      <c r="B830" s="1" t="n">
        <v>45114</v>
      </c>
      <c r="C830" s="1" t="n">
        <v>45665</v>
      </c>
      <c r="D830" t="inlineStr">
        <is>
          <t>UPPSALA LÄN</t>
        </is>
      </c>
      <c r="E830" t="inlineStr">
        <is>
          <t>ÖSTHAMMAR</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31688-2023</t>
        </is>
      </c>
      <c r="B831" s="1" t="n">
        <v>45117</v>
      </c>
      <c r="C831" s="1" t="n">
        <v>45665</v>
      </c>
      <c r="D831" t="inlineStr">
        <is>
          <t>UPPSALA LÄN</t>
        </is>
      </c>
      <c r="E831" t="inlineStr">
        <is>
          <t>ÖSTHAMMAR</t>
        </is>
      </c>
      <c r="F831" t="inlineStr">
        <is>
          <t>Bergvik skog öst AB</t>
        </is>
      </c>
      <c r="G831" t="n">
        <v>4.9</v>
      </c>
      <c r="H831" t="n">
        <v>0</v>
      </c>
      <c r="I831" t="n">
        <v>0</v>
      </c>
      <c r="J831" t="n">
        <v>0</v>
      </c>
      <c r="K831" t="n">
        <v>0</v>
      </c>
      <c r="L831" t="n">
        <v>0</v>
      </c>
      <c r="M831" t="n">
        <v>0</v>
      </c>
      <c r="N831" t="n">
        <v>0</v>
      </c>
      <c r="O831" t="n">
        <v>0</v>
      </c>
      <c r="P831" t="n">
        <v>0</v>
      </c>
      <c r="Q831" t="n">
        <v>0</v>
      </c>
      <c r="R831" s="2" t="inlineStr"/>
    </row>
    <row r="832" ht="15" customHeight="1">
      <c r="A832" t="inlineStr">
        <is>
          <t>A 32194-2023</t>
        </is>
      </c>
      <c r="B832" s="1" t="n">
        <v>45119</v>
      </c>
      <c r="C832" s="1" t="n">
        <v>45665</v>
      </c>
      <c r="D832" t="inlineStr">
        <is>
          <t>UPPSALA LÄN</t>
        </is>
      </c>
      <c r="E832" t="inlineStr">
        <is>
          <t>ÖSTHAMMAR</t>
        </is>
      </c>
      <c r="F832" t="inlineStr">
        <is>
          <t>Bergvik skog öst AB</t>
        </is>
      </c>
      <c r="G832" t="n">
        <v>2.1</v>
      </c>
      <c r="H832" t="n">
        <v>0</v>
      </c>
      <c r="I832" t="n">
        <v>0</v>
      </c>
      <c r="J832" t="n">
        <v>0</v>
      </c>
      <c r="K832" t="n">
        <v>0</v>
      </c>
      <c r="L832" t="n">
        <v>0</v>
      </c>
      <c r="M832" t="n">
        <v>0</v>
      </c>
      <c r="N832" t="n">
        <v>0</v>
      </c>
      <c r="O832" t="n">
        <v>0</v>
      </c>
      <c r="P832" t="n">
        <v>0</v>
      </c>
      <c r="Q832" t="n">
        <v>0</v>
      </c>
      <c r="R832" s="2" t="inlineStr"/>
    </row>
    <row r="833" ht="15" customHeight="1">
      <c r="A833" t="inlineStr">
        <is>
          <t>A 32195-2023</t>
        </is>
      </c>
      <c r="B833" s="1" t="n">
        <v>45119</v>
      </c>
      <c r="C833" s="1" t="n">
        <v>45665</v>
      </c>
      <c r="D833" t="inlineStr">
        <is>
          <t>UPPSALA LÄN</t>
        </is>
      </c>
      <c r="E833" t="inlineStr">
        <is>
          <t>ÖSTHAMMAR</t>
        </is>
      </c>
      <c r="F833" t="inlineStr">
        <is>
          <t>Bergvik skog öst AB</t>
        </is>
      </c>
      <c r="G833" t="n">
        <v>1.2</v>
      </c>
      <c r="H833" t="n">
        <v>0</v>
      </c>
      <c r="I833" t="n">
        <v>0</v>
      </c>
      <c r="J833" t="n">
        <v>0</v>
      </c>
      <c r="K833" t="n">
        <v>0</v>
      </c>
      <c r="L833" t="n">
        <v>0</v>
      </c>
      <c r="M833" t="n">
        <v>0</v>
      </c>
      <c r="N833" t="n">
        <v>0</v>
      </c>
      <c r="O833" t="n">
        <v>0</v>
      </c>
      <c r="P833" t="n">
        <v>0</v>
      </c>
      <c r="Q833" t="n">
        <v>0</v>
      </c>
      <c r="R833" s="2" t="inlineStr"/>
    </row>
    <row r="834" ht="15" customHeight="1">
      <c r="A834" t="inlineStr">
        <is>
          <t>A 32197-2023</t>
        </is>
      </c>
      <c r="B834" s="1" t="n">
        <v>45119</v>
      </c>
      <c r="C834" s="1" t="n">
        <v>45665</v>
      </c>
      <c r="D834" t="inlineStr">
        <is>
          <t>UPPSALA LÄN</t>
        </is>
      </c>
      <c r="E834" t="inlineStr">
        <is>
          <t>ÖSTHAMMAR</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32196-2023</t>
        </is>
      </c>
      <c r="B835" s="1" t="n">
        <v>45119</v>
      </c>
      <c r="C835" s="1" t="n">
        <v>45665</v>
      </c>
      <c r="D835" t="inlineStr">
        <is>
          <t>UPPSALA LÄN</t>
        </is>
      </c>
      <c r="E835" t="inlineStr">
        <is>
          <t>ÖSTHAMMAR</t>
        </is>
      </c>
      <c r="F835" t="inlineStr">
        <is>
          <t>Bergvik skog öst AB</t>
        </is>
      </c>
      <c r="G835" t="n">
        <v>1.5</v>
      </c>
      <c r="H835" t="n">
        <v>0</v>
      </c>
      <c r="I835" t="n">
        <v>0</v>
      </c>
      <c r="J835" t="n">
        <v>0</v>
      </c>
      <c r="K835" t="n">
        <v>0</v>
      </c>
      <c r="L835" t="n">
        <v>0</v>
      </c>
      <c r="M835" t="n">
        <v>0</v>
      </c>
      <c r="N835" t="n">
        <v>0</v>
      </c>
      <c r="O835" t="n">
        <v>0</v>
      </c>
      <c r="P835" t="n">
        <v>0</v>
      </c>
      <c r="Q835" t="n">
        <v>0</v>
      </c>
      <c r="R835" s="2" t="inlineStr"/>
    </row>
    <row r="836" ht="15" customHeight="1">
      <c r="A836" t="inlineStr">
        <is>
          <t>A 32390-2023</t>
        </is>
      </c>
      <c r="B836" s="1" t="n">
        <v>45120</v>
      </c>
      <c r="C836" s="1" t="n">
        <v>45665</v>
      </c>
      <c r="D836" t="inlineStr">
        <is>
          <t>UPPSALA LÄN</t>
        </is>
      </c>
      <c r="E836" t="inlineStr">
        <is>
          <t>ÖSTHAMMAR</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32693-2023</t>
        </is>
      </c>
      <c r="B837" s="1" t="n">
        <v>45121</v>
      </c>
      <c r="C837" s="1" t="n">
        <v>45665</v>
      </c>
      <c r="D837" t="inlineStr">
        <is>
          <t>UPPSALA LÄN</t>
        </is>
      </c>
      <c r="E837" t="inlineStr">
        <is>
          <t>ÖSTHAMMAR</t>
        </is>
      </c>
      <c r="F837" t="inlineStr">
        <is>
          <t>Bergvik skog öst AB</t>
        </is>
      </c>
      <c r="G837" t="n">
        <v>2.8</v>
      </c>
      <c r="H837" t="n">
        <v>0</v>
      </c>
      <c r="I837" t="n">
        <v>0</v>
      </c>
      <c r="J837" t="n">
        <v>0</v>
      </c>
      <c r="K837" t="n">
        <v>0</v>
      </c>
      <c r="L837" t="n">
        <v>0</v>
      </c>
      <c r="M837" t="n">
        <v>0</v>
      </c>
      <c r="N837" t="n">
        <v>0</v>
      </c>
      <c r="O837" t="n">
        <v>0</v>
      </c>
      <c r="P837" t="n">
        <v>0</v>
      </c>
      <c r="Q837" t="n">
        <v>0</v>
      </c>
      <c r="R837" s="2" t="inlineStr"/>
    </row>
    <row r="838" ht="15" customHeight="1">
      <c r="A838" t="inlineStr">
        <is>
          <t>A 32691-2023</t>
        </is>
      </c>
      <c r="B838" s="1" t="n">
        <v>45121</v>
      </c>
      <c r="C838" s="1" t="n">
        <v>45665</v>
      </c>
      <c r="D838" t="inlineStr">
        <is>
          <t>UPPSALA LÄN</t>
        </is>
      </c>
      <c r="E838" t="inlineStr">
        <is>
          <t>ÖSTHAMMAR</t>
        </is>
      </c>
      <c r="F838" t="inlineStr">
        <is>
          <t>Bergvik skog öst AB</t>
        </is>
      </c>
      <c r="G838" t="n">
        <v>20.2</v>
      </c>
      <c r="H838" t="n">
        <v>0</v>
      </c>
      <c r="I838" t="n">
        <v>0</v>
      </c>
      <c r="J838" t="n">
        <v>0</v>
      </c>
      <c r="K838" t="n">
        <v>0</v>
      </c>
      <c r="L838" t="n">
        <v>0</v>
      </c>
      <c r="M838" t="n">
        <v>0</v>
      </c>
      <c r="N838" t="n">
        <v>0</v>
      </c>
      <c r="O838" t="n">
        <v>0</v>
      </c>
      <c r="P838" t="n">
        <v>0</v>
      </c>
      <c r="Q838" t="n">
        <v>0</v>
      </c>
      <c r="R838" s="2" t="inlineStr"/>
    </row>
    <row r="839" ht="15" customHeight="1">
      <c r="A839" t="inlineStr">
        <is>
          <t>A 32752-2023</t>
        </is>
      </c>
      <c r="B839" s="1" t="n">
        <v>45122</v>
      </c>
      <c r="C839" s="1" t="n">
        <v>45665</v>
      </c>
      <c r="D839" t="inlineStr">
        <is>
          <t>UPPSALA LÄN</t>
        </is>
      </c>
      <c r="E839" t="inlineStr">
        <is>
          <t>ÖSTHAMMAR</t>
        </is>
      </c>
      <c r="F839" t="inlineStr">
        <is>
          <t>Bergvik skog öst AB</t>
        </is>
      </c>
      <c r="G839" t="n">
        <v>0.9</v>
      </c>
      <c r="H839" t="n">
        <v>0</v>
      </c>
      <c r="I839" t="n">
        <v>0</v>
      </c>
      <c r="J839" t="n">
        <v>0</v>
      </c>
      <c r="K839" t="n">
        <v>0</v>
      </c>
      <c r="L839" t="n">
        <v>0</v>
      </c>
      <c r="M839" t="n">
        <v>0</v>
      </c>
      <c r="N839" t="n">
        <v>0</v>
      </c>
      <c r="O839" t="n">
        <v>0</v>
      </c>
      <c r="P839" t="n">
        <v>0</v>
      </c>
      <c r="Q839" t="n">
        <v>0</v>
      </c>
      <c r="R839" s="2" t="inlineStr"/>
    </row>
    <row r="840" ht="15" customHeight="1">
      <c r="A840" t="inlineStr">
        <is>
          <t>A 32779-2023</t>
        </is>
      </c>
      <c r="B840" s="1" t="n">
        <v>45123</v>
      </c>
      <c r="C840" s="1" t="n">
        <v>45665</v>
      </c>
      <c r="D840" t="inlineStr">
        <is>
          <t>UPPSALA LÄN</t>
        </is>
      </c>
      <c r="E840" t="inlineStr">
        <is>
          <t>ÖSTHAMMAR</t>
        </is>
      </c>
      <c r="F840" t="inlineStr">
        <is>
          <t>Bergvik skog öst AB</t>
        </is>
      </c>
      <c r="G840" t="n">
        <v>0.5</v>
      </c>
      <c r="H840" t="n">
        <v>0</v>
      </c>
      <c r="I840" t="n">
        <v>0</v>
      </c>
      <c r="J840" t="n">
        <v>0</v>
      </c>
      <c r="K840" t="n">
        <v>0</v>
      </c>
      <c r="L840" t="n">
        <v>0</v>
      </c>
      <c r="M840" t="n">
        <v>0</v>
      </c>
      <c r="N840" t="n">
        <v>0</v>
      </c>
      <c r="O840" t="n">
        <v>0</v>
      </c>
      <c r="P840" t="n">
        <v>0</v>
      </c>
      <c r="Q840" t="n">
        <v>0</v>
      </c>
      <c r="R840" s="2" t="inlineStr"/>
    </row>
    <row r="841" ht="15" customHeight="1">
      <c r="A841" t="inlineStr">
        <is>
          <t>A 32778-2023</t>
        </is>
      </c>
      <c r="B841" s="1" t="n">
        <v>45123</v>
      </c>
      <c r="C841" s="1" t="n">
        <v>45665</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32895-2023</t>
        </is>
      </c>
      <c r="B842" s="1" t="n">
        <v>45124</v>
      </c>
      <c r="C842" s="1" t="n">
        <v>45665</v>
      </c>
      <c r="D842" t="inlineStr">
        <is>
          <t>UPPSALA LÄN</t>
        </is>
      </c>
      <c r="E842" t="inlineStr">
        <is>
          <t>ÖSTHAMMAR</t>
        </is>
      </c>
      <c r="F842" t="inlineStr">
        <is>
          <t>Bergvik skog öst AB</t>
        </is>
      </c>
      <c r="G842" t="n">
        <v>1.4</v>
      </c>
      <c r="H842" t="n">
        <v>0</v>
      </c>
      <c r="I842" t="n">
        <v>0</v>
      </c>
      <c r="J842" t="n">
        <v>0</v>
      </c>
      <c r="K842" t="n">
        <v>0</v>
      </c>
      <c r="L842" t="n">
        <v>0</v>
      </c>
      <c r="M842" t="n">
        <v>0</v>
      </c>
      <c r="N842" t="n">
        <v>0</v>
      </c>
      <c r="O842" t="n">
        <v>0</v>
      </c>
      <c r="P842" t="n">
        <v>0</v>
      </c>
      <c r="Q842" t="n">
        <v>0</v>
      </c>
      <c r="R842" s="2" t="inlineStr"/>
    </row>
    <row r="843" ht="15" customHeight="1">
      <c r="A843" t="inlineStr">
        <is>
          <t>A 34108-2023</t>
        </is>
      </c>
      <c r="B843" s="1" t="n">
        <v>45135</v>
      </c>
      <c r="C843" s="1" t="n">
        <v>45665</v>
      </c>
      <c r="D843" t="inlineStr">
        <is>
          <t>UPPSALA LÄN</t>
        </is>
      </c>
      <c r="E843" t="inlineStr">
        <is>
          <t>ÖSTHAMMAR</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34607-2023</t>
        </is>
      </c>
      <c r="B844" s="1" t="n">
        <v>45138</v>
      </c>
      <c r="C844" s="1" t="n">
        <v>45665</v>
      </c>
      <c r="D844" t="inlineStr">
        <is>
          <t>UPPSALA LÄN</t>
        </is>
      </c>
      <c r="E844" t="inlineStr">
        <is>
          <t>ÖSTHAMMAR</t>
        </is>
      </c>
      <c r="G844" t="n">
        <v>4.7</v>
      </c>
      <c r="H844" t="n">
        <v>0</v>
      </c>
      <c r="I844" t="n">
        <v>0</v>
      </c>
      <c r="J844" t="n">
        <v>0</v>
      </c>
      <c r="K844" t="n">
        <v>0</v>
      </c>
      <c r="L844" t="n">
        <v>0</v>
      </c>
      <c r="M844" t="n">
        <v>0</v>
      </c>
      <c r="N844" t="n">
        <v>0</v>
      </c>
      <c r="O844" t="n">
        <v>0</v>
      </c>
      <c r="P844" t="n">
        <v>0</v>
      </c>
      <c r="Q844" t="n">
        <v>0</v>
      </c>
      <c r="R844" s="2" t="inlineStr"/>
    </row>
    <row r="845" ht="15" customHeight="1">
      <c r="A845" t="inlineStr">
        <is>
          <t>A 34412-2023</t>
        </is>
      </c>
      <c r="B845" s="1" t="n">
        <v>45139</v>
      </c>
      <c r="C845" s="1" t="n">
        <v>45665</v>
      </c>
      <c r="D845" t="inlineStr">
        <is>
          <t>UPPSALA LÄN</t>
        </is>
      </c>
      <c r="E845" t="inlineStr">
        <is>
          <t>ÖSTHAMMAR</t>
        </is>
      </c>
      <c r="F845" t="inlineStr">
        <is>
          <t>Bergvik skog öst AB</t>
        </is>
      </c>
      <c r="G845" t="n">
        <v>4</v>
      </c>
      <c r="H845" t="n">
        <v>0</v>
      </c>
      <c r="I845" t="n">
        <v>0</v>
      </c>
      <c r="J845" t="n">
        <v>0</v>
      </c>
      <c r="K845" t="n">
        <v>0</v>
      </c>
      <c r="L845" t="n">
        <v>0</v>
      </c>
      <c r="M845" t="n">
        <v>0</v>
      </c>
      <c r="N845" t="n">
        <v>0</v>
      </c>
      <c r="O845" t="n">
        <v>0</v>
      </c>
      <c r="P845" t="n">
        <v>0</v>
      </c>
      <c r="Q845" t="n">
        <v>0</v>
      </c>
      <c r="R845" s="2" t="inlineStr"/>
    </row>
    <row r="846" ht="15" customHeight="1">
      <c r="A846" t="inlineStr">
        <is>
          <t>A 34471-2023</t>
        </is>
      </c>
      <c r="B846" s="1" t="n">
        <v>45139</v>
      </c>
      <c r="C846" s="1" t="n">
        <v>45665</v>
      </c>
      <c r="D846" t="inlineStr">
        <is>
          <t>UPPSALA LÄN</t>
        </is>
      </c>
      <c r="E846" t="inlineStr">
        <is>
          <t>ÖSTHAMMAR</t>
        </is>
      </c>
      <c r="F846" t="inlineStr">
        <is>
          <t>Bergvik skog öst AB</t>
        </is>
      </c>
      <c r="G846" t="n">
        <v>4.5</v>
      </c>
      <c r="H846" t="n">
        <v>0</v>
      </c>
      <c r="I846" t="n">
        <v>0</v>
      </c>
      <c r="J846" t="n">
        <v>0</v>
      </c>
      <c r="K846" t="n">
        <v>0</v>
      </c>
      <c r="L846" t="n">
        <v>0</v>
      </c>
      <c r="M846" t="n">
        <v>0</v>
      </c>
      <c r="N846" t="n">
        <v>0</v>
      </c>
      <c r="O846" t="n">
        <v>0</v>
      </c>
      <c r="P846" t="n">
        <v>0</v>
      </c>
      <c r="Q846" t="n">
        <v>0</v>
      </c>
      <c r="R846" s="2" t="inlineStr"/>
    </row>
    <row r="847" ht="15" customHeight="1">
      <c r="A847" t="inlineStr">
        <is>
          <t>A 34920-2023</t>
        </is>
      </c>
      <c r="B847" s="1" t="n">
        <v>45142</v>
      </c>
      <c r="C847" s="1" t="n">
        <v>45665</v>
      </c>
      <c r="D847" t="inlineStr">
        <is>
          <t>UPPSALA LÄN</t>
        </is>
      </c>
      <c r="E847" t="inlineStr">
        <is>
          <t>ÖSTHAMMAR</t>
        </is>
      </c>
      <c r="F847" t="inlineStr">
        <is>
          <t>Bergvik skog öst AB</t>
        </is>
      </c>
      <c r="G847" t="n">
        <v>1.6</v>
      </c>
      <c r="H847" t="n">
        <v>0</v>
      </c>
      <c r="I847" t="n">
        <v>0</v>
      </c>
      <c r="J847" t="n">
        <v>0</v>
      </c>
      <c r="K847" t="n">
        <v>0</v>
      </c>
      <c r="L847" t="n">
        <v>0</v>
      </c>
      <c r="M847" t="n">
        <v>0</v>
      </c>
      <c r="N847" t="n">
        <v>0</v>
      </c>
      <c r="O847" t="n">
        <v>0</v>
      </c>
      <c r="P847" t="n">
        <v>0</v>
      </c>
      <c r="Q847" t="n">
        <v>0</v>
      </c>
      <c r="R847" s="2" t="inlineStr"/>
    </row>
    <row r="848" ht="15" customHeight="1">
      <c r="A848" t="inlineStr">
        <is>
          <t>A 34923-2023</t>
        </is>
      </c>
      <c r="B848" s="1" t="n">
        <v>45142</v>
      </c>
      <c r="C848" s="1" t="n">
        <v>45665</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34951-2023</t>
        </is>
      </c>
      <c r="B849" s="1" t="n">
        <v>45142</v>
      </c>
      <c r="C849" s="1" t="n">
        <v>45665</v>
      </c>
      <c r="D849" t="inlineStr">
        <is>
          <t>UPPSALA LÄN</t>
        </is>
      </c>
      <c r="E849" t="inlineStr">
        <is>
          <t>ÖSTHAMMAR</t>
        </is>
      </c>
      <c r="F849" t="inlineStr">
        <is>
          <t>Naturvårdsverket</t>
        </is>
      </c>
      <c r="G849" t="n">
        <v>4.8</v>
      </c>
      <c r="H849" t="n">
        <v>0</v>
      </c>
      <c r="I849" t="n">
        <v>0</v>
      </c>
      <c r="J849" t="n">
        <v>0</v>
      </c>
      <c r="K849" t="n">
        <v>0</v>
      </c>
      <c r="L849" t="n">
        <v>0</v>
      </c>
      <c r="M849" t="n">
        <v>0</v>
      </c>
      <c r="N849" t="n">
        <v>0</v>
      </c>
      <c r="O849" t="n">
        <v>0</v>
      </c>
      <c r="P849" t="n">
        <v>0</v>
      </c>
      <c r="Q849" t="n">
        <v>0</v>
      </c>
      <c r="R849" s="2" t="inlineStr"/>
    </row>
    <row r="850" ht="15" customHeight="1">
      <c r="A850" t="inlineStr">
        <is>
          <t>A 34922-2023</t>
        </is>
      </c>
      <c r="B850" s="1" t="n">
        <v>45142</v>
      </c>
      <c r="C850" s="1" t="n">
        <v>45665</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35403-2023</t>
        </is>
      </c>
      <c r="B851" s="1" t="n">
        <v>45146</v>
      </c>
      <c r="C851" s="1" t="n">
        <v>45665</v>
      </c>
      <c r="D851" t="inlineStr">
        <is>
          <t>UPPSALA LÄN</t>
        </is>
      </c>
      <c r="E851" t="inlineStr">
        <is>
          <t>ÖSTHAMMAR</t>
        </is>
      </c>
      <c r="F851" t="inlineStr">
        <is>
          <t>Bergvik skog öst AB</t>
        </is>
      </c>
      <c r="G851" t="n">
        <v>3.6</v>
      </c>
      <c r="H851" t="n">
        <v>0</v>
      </c>
      <c r="I851" t="n">
        <v>0</v>
      </c>
      <c r="J851" t="n">
        <v>0</v>
      </c>
      <c r="K851" t="n">
        <v>0</v>
      </c>
      <c r="L851" t="n">
        <v>0</v>
      </c>
      <c r="M851" t="n">
        <v>0</v>
      </c>
      <c r="N851" t="n">
        <v>0</v>
      </c>
      <c r="O851" t="n">
        <v>0</v>
      </c>
      <c r="P851" t="n">
        <v>0</v>
      </c>
      <c r="Q851" t="n">
        <v>0</v>
      </c>
      <c r="R851" s="2" t="inlineStr"/>
    </row>
    <row r="852" ht="15" customHeight="1">
      <c r="A852" t="inlineStr">
        <is>
          <t>A 35309-2023</t>
        </is>
      </c>
      <c r="B852" s="1" t="n">
        <v>45146</v>
      </c>
      <c r="C852" s="1" t="n">
        <v>45665</v>
      </c>
      <c r="D852" t="inlineStr">
        <is>
          <t>UPPSALA LÄN</t>
        </is>
      </c>
      <c r="E852" t="inlineStr">
        <is>
          <t>ÖSTHAMMAR</t>
        </is>
      </c>
      <c r="G852" t="n">
        <v>1.3</v>
      </c>
      <c r="H852" t="n">
        <v>0</v>
      </c>
      <c r="I852" t="n">
        <v>0</v>
      </c>
      <c r="J852" t="n">
        <v>0</v>
      </c>
      <c r="K852" t="n">
        <v>0</v>
      </c>
      <c r="L852" t="n">
        <v>0</v>
      </c>
      <c r="M852" t="n">
        <v>0</v>
      </c>
      <c r="N852" t="n">
        <v>0</v>
      </c>
      <c r="O852" t="n">
        <v>0</v>
      </c>
      <c r="P852" t="n">
        <v>0</v>
      </c>
      <c r="Q852" t="n">
        <v>0</v>
      </c>
      <c r="R852" s="2" t="inlineStr"/>
    </row>
    <row r="853" ht="15" customHeight="1">
      <c r="A853" t="inlineStr">
        <is>
          <t>A 35413-2023</t>
        </is>
      </c>
      <c r="B853" s="1" t="n">
        <v>45146</v>
      </c>
      <c r="C853" s="1" t="n">
        <v>45665</v>
      </c>
      <c r="D853" t="inlineStr">
        <is>
          <t>UPPSALA LÄN</t>
        </is>
      </c>
      <c r="E853" t="inlineStr">
        <is>
          <t>ÖSTHAMMAR</t>
        </is>
      </c>
      <c r="F853" t="inlineStr">
        <is>
          <t>Bergvik skog öst AB</t>
        </is>
      </c>
      <c r="G853" t="n">
        <v>26.1</v>
      </c>
      <c r="H853" t="n">
        <v>0</v>
      </c>
      <c r="I853" t="n">
        <v>0</v>
      </c>
      <c r="J853" t="n">
        <v>0</v>
      </c>
      <c r="K853" t="n">
        <v>0</v>
      </c>
      <c r="L853" t="n">
        <v>0</v>
      </c>
      <c r="M853" t="n">
        <v>0</v>
      </c>
      <c r="N853" t="n">
        <v>0</v>
      </c>
      <c r="O853" t="n">
        <v>0</v>
      </c>
      <c r="P853" t="n">
        <v>0</v>
      </c>
      <c r="Q853" t="n">
        <v>0</v>
      </c>
      <c r="R853" s="2" t="inlineStr"/>
    </row>
    <row r="854" ht="15" customHeight="1">
      <c r="A854" t="inlineStr">
        <is>
          <t>A 35406-2023</t>
        </is>
      </c>
      <c r="B854" s="1" t="n">
        <v>45146</v>
      </c>
      <c r="C854" s="1" t="n">
        <v>45665</v>
      </c>
      <c r="D854" t="inlineStr">
        <is>
          <t>UPPSALA LÄN</t>
        </is>
      </c>
      <c r="E854" t="inlineStr">
        <is>
          <t>ÖSTHAMMAR</t>
        </is>
      </c>
      <c r="F854" t="inlineStr">
        <is>
          <t>Bergvik skog öst AB</t>
        </is>
      </c>
      <c r="G854" t="n">
        <v>1.7</v>
      </c>
      <c r="H854" t="n">
        <v>0</v>
      </c>
      <c r="I854" t="n">
        <v>0</v>
      </c>
      <c r="J854" t="n">
        <v>0</v>
      </c>
      <c r="K854" t="n">
        <v>0</v>
      </c>
      <c r="L854" t="n">
        <v>0</v>
      </c>
      <c r="M854" t="n">
        <v>0</v>
      </c>
      <c r="N854" t="n">
        <v>0</v>
      </c>
      <c r="O854" t="n">
        <v>0</v>
      </c>
      <c r="P854" t="n">
        <v>0</v>
      </c>
      <c r="Q854" t="n">
        <v>0</v>
      </c>
      <c r="R854" s="2" t="inlineStr"/>
    </row>
    <row r="855" ht="15" customHeight="1">
      <c r="A855" t="inlineStr">
        <is>
          <t>A 35410-2023</t>
        </is>
      </c>
      <c r="B855" s="1" t="n">
        <v>45146</v>
      </c>
      <c r="C855" s="1" t="n">
        <v>45665</v>
      </c>
      <c r="D855" t="inlineStr">
        <is>
          <t>UPPSALA LÄN</t>
        </is>
      </c>
      <c r="E855" t="inlineStr">
        <is>
          <t>ÖSTHAMMAR</t>
        </is>
      </c>
      <c r="F855" t="inlineStr">
        <is>
          <t>Bergvik skog öst AB</t>
        </is>
      </c>
      <c r="G855" t="n">
        <v>2.4</v>
      </c>
      <c r="H855" t="n">
        <v>0</v>
      </c>
      <c r="I855" t="n">
        <v>0</v>
      </c>
      <c r="J855" t="n">
        <v>0</v>
      </c>
      <c r="K855" t="n">
        <v>0</v>
      </c>
      <c r="L855" t="n">
        <v>0</v>
      </c>
      <c r="M855" t="n">
        <v>0</v>
      </c>
      <c r="N855" t="n">
        <v>0</v>
      </c>
      <c r="O855" t="n">
        <v>0</v>
      </c>
      <c r="P855" t="n">
        <v>0</v>
      </c>
      <c r="Q855" t="n">
        <v>0</v>
      </c>
      <c r="R855" s="2" t="inlineStr"/>
    </row>
    <row r="856" ht="15" customHeight="1">
      <c r="A856" t="inlineStr">
        <is>
          <t>A 35474-2023</t>
        </is>
      </c>
      <c r="B856" s="1" t="n">
        <v>45146</v>
      </c>
      <c r="C856" s="1" t="n">
        <v>45665</v>
      </c>
      <c r="D856" t="inlineStr">
        <is>
          <t>UPPSALA LÄN</t>
        </is>
      </c>
      <c r="E856" t="inlineStr">
        <is>
          <t>ÖSTHAMMAR</t>
        </is>
      </c>
      <c r="F856" t="inlineStr">
        <is>
          <t>Sveaskog</t>
        </is>
      </c>
      <c r="G856" t="n">
        <v>1.7</v>
      </c>
      <c r="H856" t="n">
        <v>0</v>
      </c>
      <c r="I856" t="n">
        <v>0</v>
      </c>
      <c r="J856" t="n">
        <v>0</v>
      </c>
      <c r="K856" t="n">
        <v>0</v>
      </c>
      <c r="L856" t="n">
        <v>0</v>
      </c>
      <c r="M856" t="n">
        <v>0</v>
      </c>
      <c r="N856" t="n">
        <v>0</v>
      </c>
      <c r="O856" t="n">
        <v>0</v>
      </c>
      <c r="P856" t="n">
        <v>0</v>
      </c>
      <c r="Q856" t="n">
        <v>0</v>
      </c>
      <c r="R856" s="2" t="inlineStr"/>
    </row>
    <row r="857" ht="15" customHeight="1">
      <c r="A857" t="inlineStr">
        <is>
          <t>A 35476-2023</t>
        </is>
      </c>
      <c r="B857" s="1" t="n">
        <v>45146</v>
      </c>
      <c r="C857" s="1" t="n">
        <v>45665</v>
      </c>
      <c r="D857" t="inlineStr">
        <is>
          <t>UPPSALA LÄN</t>
        </is>
      </c>
      <c r="E857" t="inlineStr">
        <is>
          <t>ÖSTHAMMAR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35539-2023</t>
        </is>
      </c>
      <c r="B858" s="1" t="n">
        <v>45147</v>
      </c>
      <c r="C858" s="1" t="n">
        <v>45665</v>
      </c>
      <c r="D858" t="inlineStr">
        <is>
          <t>UPPSALA LÄN</t>
        </is>
      </c>
      <c r="E858" t="inlineStr">
        <is>
          <t>ÖSTHAMMAR</t>
        </is>
      </c>
      <c r="G858" t="n">
        <v>1.4</v>
      </c>
      <c r="H858" t="n">
        <v>0</v>
      </c>
      <c r="I858" t="n">
        <v>0</v>
      </c>
      <c r="J858" t="n">
        <v>0</v>
      </c>
      <c r="K858" t="n">
        <v>0</v>
      </c>
      <c r="L858" t="n">
        <v>0</v>
      </c>
      <c r="M858" t="n">
        <v>0</v>
      </c>
      <c r="N858" t="n">
        <v>0</v>
      </c>
      <c r="O858" t="n">
        <v>0</v>
      </c>
      <c r="P858" t="n">
        <v>0</v>
      </c>
      <c r="Q858" t="n">
        <v>0</v>
      </c>
      <c r="R858" s="2" t="inlineStr"/>
    </row>
    <row r="859" ht="15" customHeight="1">
      <c r="A859" t="inlineStr">
        <is>
          <t>A 35918-2023</t>
        </is>
      </c>
      <c r="B859" s="1" t="n">
        <v>45148</v>
      </c>
      <c r="C859" s="1" t="n">
        <v>45665</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36020-2023</t>
        </is>
      </c>
      <c r="B860" s="1" t="n">
        <v>45149</v>
      </c>
      <c r="C860" s="1" t="n">
        <v>45665</v>
      </c>
      <c r="D860" t="inlineStr">
        <is>
          <t>UPPSALA LÄN</t>
        </is>
      </c>
      <c r="E860" t="inlineStr">
        <is>
          <t>ÖSTHAMMAR</t>
        </is>
      </c>
      <c r="F860" t="inlineStr">
        <is>
          <t>Bergvik skog öst AB</t>
        </is>
      </c>
      <c r="G860" t="n">
        <v>6.8</v>
      </c>
      <c r="H860" t="n">
        <v>0</v>
      </c>
      <c r="I860" t="n">
        <v>0</v>
      </c>
      <c r="J860" t="n">
        <v>0</v>
      </c>
      <c r="K860" t="n">
        <v>0</v>
      </c>
      <c r="L860" t="n">
        <v>0</v>
      </c>
      <c r="M860" t="n">
        <v>0</v>
      </c>
      <c r="N860" t="n">
        <v>0</v>
      </c>
      <c r="O860" t="n">
        <v>0</v>
      </c>
      <c r="P860" t="n">
        <v>0</v>
      </c>
      <c r="Q860" t="n">
        <v>0</v>
      </c>
      <c r="R860" s="2" t="inlineStr"/>
    </row>
    <row r="861" ht="15" customHeight="1">
      <c r="A861" t="inlineStr">
        <is>
          <t>A 36301-2023</t>
        </is>
      </c>
      <c r="B861" s="1" t="n">
        <v>45152</v>
      </c>
      <c r="C861" s="1" t="n">
        <v>45665</v>
      </c>
      <c r="D861" t="inlineStr">
        <is>
          <t>UPPSALA LÄN</t>
        </is>
      </c>
      <c r="E861" t="inlineStr">
        <is>
          <t>ÖSTHAMMAR</t>
        </is>
      </c>
      <c r="G861" t="n">
        <v>0.9</v>
      </c>
      <c r="H861" t="n">
        <v>0</v>
      </c>
      <c r="I861" t="n">
        <v>0</v>
      </c>
      <c r="J861" t="n">
        <v>0</v>
      </c>
      <c r="K861" t="n">
        <v>0</v>
      </c>
      <c r="L861" t="n">
        <v>0</v>
      </c>
      <c r="M861" t="n">
        <v>0</v>
      </c>
      <c r="N861" t="n">
        <v>0</v>
      </c>
      <c r="O861" t="n">
        <v>0</v>
      </c>
      <c r="P861" t="n">
        <v>0</v>
      </c>
      <c r="Q861" t="n">
        <v>0</v>
      </c>
      <c r="R861" s="2" t="inlineStr"/>
    </row>
    <row r="862" ht="15" customHeight="1">
      <c r="A862" t="inlineStr">
        <is>
          <t>A 36447-2023</t>
        </is>
      </c>
      <c r="B862" s="1" t="n">
        <v>45152</v>
      </c>
      <c r="C862" s="1" t="n">
        <v>45665</v>
      </c>
      <c r="D862" t="inlineStr">
        <is>
          <t>UPPSALA LÄN</t>
        </is>
      </c>
      <c r="E862" t="inlineStr">
        <is>
          <t>ÖSTHAMMAR</t>
        </is>
      </c>
      <c r="F862" t="inlineStr">
        <is>
          <t>Bergvik skog öst AB</t>
        </is>
      </c>
      <c r="G862" t="n">
        <v>6.5</v>
      </c>
      <c r="H862" t="n">
        <v>0</v>
      </c>
      <c r="I862" t="n">
        <v>0</v>
      </c>
      <c r="J862" t="n">
        <v>0</v>
      </c>
      <c r="K862" t="n">
        <v>0</v>
      </c>
      <c r="L862" t="n">
        <v>0</v>
      </c>
      <c r="M862" t="n">
        <v>0</v>
      </c>
      <c r="N862" t="n">
        <v>0</v>
      </c>
      <c r="O862" t="n">
        <v>0</v>
      </c>
      <c r="P862" t="n">
        <v>0</v>
      </c>
      <c r="Q862" t="n">
        <v>0</v>
      </c>
      <c r="R862" s="2" t="inlineStr"/>
    </row>
    <row r="863" ht="15" customHeight="1">
      <c r="A863" t="inlineStr">
        <is>
          <t>A 36861-2023</t>
        </is>
      </c>
      <c r="B863" s="1" t="n">
        <v>45154</v>
      </c>
      <c r="C863" s="1" t="n">
        <v>45665</v>
      </c>
      <c r="D863" t="inlineStr">
        <is>
          <t>UPPSALA LÄN</t>
        </is>
      </c>
      <c r="E863" t="inlineStr">
        <is>
          <t>ÖSTHAMMAR</t>
        </is>
      </c>
      <c r="G863" t="n">
        <v>1.2</v>
      </c>
      <c r="H863" t="n">
        <v>0</v>
      </c>
      <c r="I863" t="n">
        <v>0</v>
      </c>
      <c r="J863" t="n">
        <v>0</v>
      </c>
      <c r="K863" t="n">
        <v>0</v>
      </c>
      <c r="L863" t="n">
        <v>0</v>
      </c>
      <c r="M863" t="n">
        <v>0</v>
      </c>
      <c r="N863" t="n">
        <v>0</v>
      </c>
      <c r="O863" t="n">
        <v>0</v>
      </c>
      <c r="P863" t="n">
        <v>0</v>
      </c>
      <c r="Q863" t="n">
        <v>0</v>
      </c>
      <c r="R863" s="2" t="inlineStr"/>
    </row>
    <row r="864" ht="15" customHeight="1">
      <c r="A864" t="inlineStr">
        <is>
          <t>A 36857-2023</t>
        </is>
      </c>
      <c r="B864" s="1" t="n">
        <v>45154</v>
      </c>
      <c r="C864" s="1" t="n">
        <v>45665</v>
      </c>
      <c r="D864" t="inlineStr">
        <is>
          <t>UPPSALA LÄN</t>
        </is>
      </c>
      <c r="E864" t="inlineStr">
        <is>
          <t>ÖSTHAMMAR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36904-2023</t>
        </is>
      </c>
      <c r="B865" s="1" t="n">
        <v>45154</v>
      </c>
      <c r="C865" s="1" t="n">
        <v>45665</v>
      </c>
      <c r="D865" t="inlineStr">
        <is>
          <t>UPPSALA LÄN</t>
        </is>
      </c>
      <c r="E865" t="inlineStr">
        <is>
          <t>ÖSTHAMMAR</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37021-2023</t>
        </is>
      </c>
      <c r="B866" s="1" t="n">
        <v>45155</v>
      </c>
      <c r="C866" s="1" t="n">
        <v>45665</v>
      </c>
      <c r="D866" t="inlineStr">
        <is>
          <t>UPPSALA LÄN</t>
        </is>
      </c>
      <c r="E866" t="inlineStr">
        <is>
          <t>ÖSTHAMMAR</t>
        </is>
      </c>
      <c r="F866" t="inlineStr">
        <is>
          <t>Övriga Aktiebolag</t>
        </is>
      </c>
      <c r="G866" t="n">
        <v>3.8</v>
      </c>
      <c r="H866" t="n">
        <v>0</v>
      </c>
      <c r="I866" t="n">
        <v>0</v>
      </c>
      <c r="J866" t="n">
        <v>0</v>
      </c>
      <c r="K866" t="n">
        <v>0</v>
      </c>
      <c r="L866" t="n">
        <v>0</v>
      </c>
      <c r="M866" t="n">
        <v>0</v>
      </c>
      <c r="N866" t="n">
        <v>0</v>
      </c>
      <c r="O866" t="n">
        <v>0</v>
      </c>
      <c r="P866" t="n">
        <v>0</v>
      </c>
      <c r="Q866" t="n">
        <v>0</v>
      </c>
      <c r="R866" s="2" t="inlineStr"/>
    </row>
    <row r="867" ht="15" customHeight="1">
      <c r="A867" t="inlineStr">
        <is>
          <t>A 37296-2023</t>
        </is>
      </c>
      <c r="B867" s="1" t="n">
        <v>45156</v>
      </c>
      <c r="C867" s="1" t="n">
        <v>45665</v>
      </c>
      <c r="D867" t="inlineStr">
        <is>
          <t>UPPSALA LÄN</t>
        </is>
      </c>
      <c r="E867" t="inlineStr">
        <is>
          <t>ÖSTHAMMAR</t>
        </is>
      </c>
      <c r="G867" t="n">
        <v>4.7</v>
      </c>
      <c r="H867" t="n">
        <v>0</v>
      </c>
      <c r="I867" t="n">
        <v>0</v>
      </c>
      <c r="J867" t="n">
        <v>0</v>
      </c>
      <c r="K867" t="n">
        <v>0</v>
      </c>
      <c r="L867" t="n">
        <v>0</v>
      </c>
      <c r="M867" t="n">
        <v>0</v>
      </c>
      <c r="N867" t="n">
        <v>0</v>
      </c>
      <c r="O867" t="n">
        <v>0</v>
      </c>
      <c r="P867" t="n">
        <v>0</v>
      </c>
      <c r="Q867" t="n">
        <v>0</v>
      </c>
      <c r="R867" s="2" t="inlineStr"/>
    </row>
    <row r="868" ht="15" customHeight="1">
      <c r="A868" t="inlineStr">
        <is>
          <t>A 37478-2023</t>
        </is>
      </c>
      <c r="B868" s="1" t="n">
        <v>45157</v>
      </c>
      <c r="C868" s="1" t="n">
        <v>45665</v>
      </c>
      <c r="D868" t="inlineStr">
        <is>
          <t>UPPSALA LÄN</t>
        </is>
      </c>
      <c r="E868" t="inlineStr">
        <is>
          <t>ÖSTHAMMAR</t>
        </is>
      </c>
      <c r="F868" t="inlineStr">
        <is>
          <t>Bergvik skog öst AB</t>
        </is>
      </c>
      <c r="G868" t="n">
        <v>2</v>
      </c>
      <c r="H868" t="n">
        <v>0</v>
      </c>
      <c r="I868" t="n">
        <v>0</v>
      </c>
      <c r="J868" t="n">
        <v>0</v>
      </c>
      <c r="K868" t="n">
        <v>0</v>
      </c>
      <c r="L868" t="n">
        <v>0</v>
      </c>
      <c r="M868" t="n">
        <v>0</v>
      </c>
      <c r="N868" t="n">
        <v>0</v>
      </c>
      <c r="O868" t="n">
        <v>0</v>
      </c>
      <c r="P868" t="n">
        <v>0</v>
      </c>
      <c r="Q868" t="n">
        <v>0</v>
      </c>
      <c r="R868" s="2" t="inlineStr"/>
    </row>
    <row r="869" ht="15" customHeight="1">
      <c r="A869" t="inlineStr">
        <is>
          <t>A 37493-2023</t>
        </is>
      </c>
      <c r="B869" s="1" t="n">
        <v>45157</v>
      </c>
      <c r="C869" s="1" t="n">
        <v>45665</v>
      </c>
      <c r="D869" t="inlineStr">
        <is>
          <t>UPPSALA LÄN</t>
        </is>
      </c>
      <c r="E869" t="inlineStr">
        <is>
          <t>ÖSTHAMMAR</t>
        </is>
      </c>
      <c r="F869" t="inlineStr">
        <is>
          <t>Bergvik skog öst AB</t>
        </is>
      </c>
      <c r="G869" t="n">
        <v>3.3</v>
      </c>
      <c r="H869" t="n">
        <v>0</v>
      </c>
      <c r="I869" t="n">
        <v>0</v>
      </c>
      <c r="J869" t="n">
        <v>0</v>
      </c>
      <c r="K869" t="n">
        <v>0</v>
      </c>
      <c r="L869" t="n">
        <v>0</v>
      </c>
      <c r="M869" t="n">
        <v>0</v>
      </c>
      <c r="N869" t="n">
        <v>0</v>
      </c>
      <c r="O869" t="n">
        <v>0</v>
      </c>
      <c r="P869" t="n">
        <v>0</v>
      </c>
      <c r="Q869" t="n">
        <v>0</v>
      </c>
      <c r="R869" s="2" t="inlineStr"/>
    </row>
    <row r="870" ht="15" customHeight="1">
      <c r="A870" t="inlineStr">
        <is>
          <t>A 37494-2023</t>
        </is>
      </c>
      <c r="B870" s="1" t="n">
        <v>45157</v>
      </c>
      <c r="C870" s="1" t="n">
        <v>45665</v>
      </c>
      <c r="D870" t="inlineStr">
        <is>
          <t>UPPSALA LÄN</t>
        </is>
      </c>
      <c r="E870" t="inlineStr">
        <is>
          <t>ÖSTHAMMAR</t>
        </is>
      </c>
      <c r="F870" t="inlineStr">
        <is>
          <t>Bergvik skog öst AB</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37863-2023</t>
        </is>
      </c>
      <c r="B871" s="1" t="n">
        <v>45160</v>
      </c>
      <c r="C871" s="1" t="n">
        <v>45665</v>
      </c>
      <c r="D871" t="inlineStr">
        <is>
          <t>UPPSALA LÄN</t>
        </is>
      </c>
      <c r="E871" t="inlineStr">
        <is>
          <t>ÖSTHAMMAR</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37865-2023</t>
        </is>
      </c>
      <c r="B872" s="1" t="n">
        <v>45160</v>
      </c>
      <c r="C872" s="1" t="n">
        <v>45665</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38039-2023</t>
        </is>
      </c>
      <c r="B873" s="1" t="n">
        <v>45160</v>
      </c>
      <c r="C873" s="1" t="n">
        <v>45665</v>
      </c>
      <c r="D873" t="inlineStr">
        <is>
          <t>UPPSALA LÄN</t>
        </is>
      </c>
      <c r="E873" t="inlineStr">
        <is>
          <t>ÖSTHAMMAR</t>
        </is>
      </c>
      <c r="F873" t="inlineStr">
        <is>
          <t>Bergvik skog öst AB</t>
        </is>
      </c>
      <c r="G873" t="n">
        <v>6.2</v>
      </c>
      <c r="H873" t="n">
        <v>0</v>
      </c>
      <c r="I873" t="n">
        <v>0</v>
      </c>
      <c r="J873" t="n">
        <v>0</v>
      </c>
      <c r="K873" t="n">
        <v>0</v>
      </c>
      <c r="L873" t="n">
        <v>0</v>
      </c>
      <c r="M873" t="n">
        <v>0</v>
      </c>
      <c r="N873" t="n">
        <v>0</v>
      </c>
      <c r="O873" t="n">
        <v>0</v>
      </c>
      <c r="P873" t="n">
        <v>0</v>
      </c>
      <c r="Q873" t="n">
        <v>0</v>
      </c>
      <c r="R873" s="2" t="inlineStr"/>
    </row>
    <row r="874" ht="15" customHeight="1">
      <c r="A874" t="inlineStr">
        <is>
          <t>A 38228-2023</t>
        </is>
      </c>
      <c r="B874" s="1" t="n">
        <v>45160</v>
      </c>
      <c r="C874" s="1" t="n">
        <v>45665</v>
      </c>
      <c r="D874" t="inlineStr">
        <is>
          <t>UPPSALA LÄN</t>
        </is>
      </c>
      <c r="E874" t="inlineStr">
        <is>
          <t>ÖSTHAMMAR</t>
        </is>
      </c>
      <c r="G874" t="n">
        <v>19.2</v>
      </c>
      <c r="H874" t="n">
        <v>0</v>
      </c>
      <c r="I874" t="n">
        <v>0</v>
      </c>
      <c r="J874" t="n">
        <v>0</v>
      </c>
      <c r="K874" t="n">
        <v>0</v>
      </c>
      <c r="L874" t="n">
        <v>0</v>
      </c>
      <c r="M874" t="n">
        <v>0</v>
      </c>
      <c r="N874" t="n">
        <v>0</v>
      </c>
      <c r="O874" t="n">
        <v>0</v>
      </c>
      <c r="P874" t="n">
        <v>0</v>
      </c>
      <c r="Q874" t="n">
        <v>0</v>
      </c>
      <c r="R874" s="2" t="inlineStr"/>
    </row>
    <row r="875" ht="15" customHeight="1">
      <c r="A875" t="inlineStr">
        <is>
          <t>A 38127-2023</t>
        </is>
      </c>
      <c r="B875" s="1" t="n">
        <v>45161</v>
      </c>
      <c r="C875" s="1" t="n">
        <v>45665</v>
      </c>
      <c r="D875" t="inlineStr">
        <is>
          <t>UPPSALA LÄN</t>
        </is>
      </c>
      <c r="E875" t="inlineStr">
        <is>
          <t>ÖSTHAMMAR</t>
        </is>
      </c>
      <c r="G875" t="n">
        <v>1.5</v>
      </c>
      <c r="H875" t="n">
        <v>0</v>
      </c>
      <c r="I875" t="n">
        <v>0</v>
      </c>
      <c r="J875" t="n">
        <v>0</v>
      </c>
      <c r="K875" t="n">
        <v>0</v>
      </c>
      <c r="L875" t="n">
        <v>0</v>
      </c>
      <c r="M875" t="n">
        <v>0</v>
      </c>
      <c r="N875" t="n">
        <v>0</v>
      </c>
      <c r="O875" t="n">
        <v>0</v>
      </c>
      <c r="P875" t="n">
        <v>0</v>
      </c>
      <c r="Q875" t="n">
        <v>0</v>
      </c>
      <c r="R875" s="2" t="inlineStr"/>
    </row>
    <row r="876" ht="15" customHeight="1">
      <c r="A876" t="inlineStr">
        <is>
          <t>A 38162-2023</t>
        </is>
      </c>
      <c r="B876" s="1" t="n">
        <v>45161</v>
      </c>
      <c r="C876" s="1" t="n">
        <v>45665</v>
      </c>
      <c r="D876" t="inlineStr">
        <is>
          <t>UPPSALA LÄN</t>
        </is>
      </c>
      <c r="E876" t="inlineStr">
        <is>
          <t>ÖSTHAMMAR</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38128-2023</t>
        </is>
      </c>
      <c r="B877" s="1" t="n">
        <v>45161</v>
      </c>
      <c r="C877" s="1" t="n">
        <v>45665</v>
      </c>
      <c r="D877" t="inlineStr">
        <is>
          <t>UPPSALA LÄN</t>
        </is>
      </c>
      <c r="E877" t="inlineStr">
        <is>
          <t>ÖSTHAMMAR</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38600-2023</t>
        </is>
      </c>
      <c r="B878" s="1" t="n">
        <v>45162</v>
      </c>
      <c r="C878" s="1" t="n">
        <v>45665</v>
      </c>
      <c r="D878" t="inlineStr">
        <is>
          <t>UPPSALA LÄN</t>
        </is>
      </c>
      <c r="E878" t="inlineStr">
        <is>
          <t>ÖSTHAMMAR</t>
        </is>
      </c>
      <c r="F878" t="inlineStr">
        <is>
          <t>Bergvik skog väst AB</t>
        </is>
      </c>
      <c r="G878" t="n">
        <v>0.1</v>
      </c>
      <c r="H878" t="n">
        <v>0</v>
      </c>
      <c r="I878" t="n">
        <v>0</v>
      </c>
      <c r="J878" t="n">
        <v>0</v>
      </c>
      <c r="K878" t="n">
        <v>0</v>
      </c>
      <c r="L878" t="n">
        <v>0</v>
      </c>
      <c r="M878" t="n">
        <v>0</v>
      </c>
      <c r="N878" t="n">
        <v>0</v>
      </c>
      <c r="O878" t="n">
        <v>0</v>
      </c>
      <c r="P878" t="n">
        <v>0</v>
      </c>
      <c r="Q878" t="n">
        <v>0</v>
      </c>
      <c r="R878" s="2" t="inlineStr"/>
    </row>
    <row r="879" ht="15" customHeight="1">
      <c r="A879" t="inlineStr">
        <is>
          <t>A 38610-2023</t>
        </is>
      </c>
      <c r="B879" s="1" t="n">
        <v>45162</v>
      </c>
      <c r="C879" s="1" t="n">
        <v>45665</v>
      </c>
      <c r="D879" t="inlineStr">
        <is>
          <t>UPPSALA LÄN</t>
        </is>
      </c>
      <c r="E879" t="inlineStr">
        <is>
          <t>ÖSTHAMMAR</t>
        </is>
      </c>
      <c r="F879" t="inlineStr">
        <is>
          <t>Bergvik skog öst AB</t>
        </is>
      </c>
      <c r="G879" t="n">
        <v>3.5</v>
      </c>
      <c r="H879" t="n">
        <v>0</v>
      </c>
      <c r="I879" t="n">
        <v>0</v>
      </c>
      <c r="J879" t="n">
        <v>0</v>
      </c>
      <c r="K879" t="n">
        <v>0</v>
      </c>
      <c r="L879" t="n">
        <v>0</v>
      </c>
      <c r="M879" t="n">
        <v>0</v>
      </c>
      <c r="N879" t="n">
        <v>0</v>
      </c>
      <c r="O879" t="n">
        <v>0</v>
      </c>
      <c r="P879" t="n">
        <v>0</v>
      </c>
      <c r="Q879" t="n">
        <v>0</v>
      </c>
      <c r="R879" s="2" t="inlineStr"/>
    </row>
    <row r="880" ht="15" customHeight="1">
      <c r="A880" t="inlineStr">
        <is>
          <t>A 38571-2023</t>
        </is>
      </c>
      <c r="B880" s="1" t="n">
        <v>45162</v>
      </c>
      <c r="C880" s="1" t="n">
        <v>45665</v>
      </c>
      <c r="D880" t="inlineStr">
        <is>
          <t>UPPSALA LÄN</t>
        </is>
      </c>
      <c r="E880" t="inlineStr">
        <is>
          <t>ÖSTHAMMAR</t>
        </is>
      </c>
      <c r="F880" t="inlineStr">
        <is>
          <t>Bergvik skog öst AB</t>
        </is>
      </c>
      <c r="G880" t="n">
        <v>1.1</v>
      </c>
      <c r="H880" t="n">
        <v>0</v>
      </c>
      <c r="I880" t="n">
        <v>0</v>
      </c>
      <c r="J880" t="n">
        <v>0</v>
      </c>
      <c r="K880" t="n">
        <v>0</v>
      </c>
      <c r="L880" t="n">
        <v>0</v>
      </c>
      <c r="M880" t="n">
        <v>0</v>
      </c>
      <c r="N880" t="n">
        <v>0</v>
      </c>
      <c r="O880" t="n">
        <v>0</v>
      </c>
      <c r="P880" t="n">
        <v>0</v>
      </c>
      <c r="Q880" t="n">
        <v>0</v>
      </c>
      <c r="R880" s="2" t="inlineStr"/>
    </row>
    <row r="881" ht="15" customHeight="1">
      <c r="A881" t="inlineStr">
        <is>
          <t>A 38711-2023</t>
        </is>
      </c>
      <c r="B881" s="1" t="n">
        <v>45163</v>
      </c>
      <c r="C881" s="1" t="n">
        <v>45665</v>
      </c>
      <c r="D881" t="inlineStr">
        <is>
          <t>UPPSALA LÄN</t>
        </is>
      </c>
      <c r="E881" t="inlineStr">
        <is>
          <t>ÖSTHAMMAR</t>
        </is>
      </c>
      <c r="G881" t="n">
        <v>5.4</v>
      </c>
      <c r="H881" t="n">
        <v>0</v>
      </c>
      <c r="I881" t="n">
        <v>0</v>
      </c>
      <c r="J881" t="n">
        <v>0</v>
      </c>
      <c r="K881" t="n">
        <v>0</v>
      </c>
      <c r="L881" t="n">
        <v>0</v>
      </c>
      <c r="M881" t="n">
        <v>0</v>
      </c>
      <c r="N881" t="n">
        <v>0</v>
      </c>
      <c r="O881" t="n">
        <v>0</v>
      </c>
      <c r="P881" t="n">
        <v>0</v>
      </c>
      <c r="Q881" t="n">
        <v>0</v>
      </c>
      <c r="R881" s="2" t="inlineStr"/>
    </row>
    <row r="882" ht="15" customHeight="1">
      <c r="A882" t="inlineStr">
        <is>
          <t>A 40176-2023</t>
        </is>
      </c>
      <c r="B882" s="1" t="n">
        <v>45169</v>
      </c>
      <c r="C882" s="1" t="n">
        <v>45665</v>
      </c>
      <c r="D882" t="inlineStr">
        <is>
          <t>UPPSALA LÄN</t>
        </is>
      </c>
      <c r="E882" t="inlineStr">
        <is>
          <t>ÖSTHAMMAR</t>
        </is>
      </c>
      <c r="F882" t="inlineStr">
        <is>
          <t>Bergvik skog öst AB</t>
        </is>
      </c>
      <c r="G882" t="n">
        <v>29.9</v>
      </c>
      <c r="H882" t="n">
        <v>0</v>
      </c>
      <c r="I882" t="n">
        <v>0</v>
      </c>
      <c r="J882" t="n">
        <v>0</v>
      </c>
      <c r="K882" t="n">
        <v>0</v>
      </c>
      <c r="L882" t="n">
        <v>0</v>
      </c>
      <c r="M882" t="n">
        <v>0</v>
      </c>
      <c r="N882" t="n">
        <v>0</v>
      </c>
      <c r="O882" t="n">
        <v>0</v>
      </c>
      <c r="P882" t="n">
        <v>0</v>
      </c>
      <c r="Q882" t="n">
        <v>0</v>
      </c>
      <c r="R882" s="2" t="inlineStr"/>
    </row>
    <row r="883" ht="15" customHeight="1">
      <c r="A883" t="inlineStr">
        <is>
          <t>A 40547-2023</t>
        </is>
      </c>
      <c r="B883" s="1" t="n">
        <v>45170</v>
      </c>
      <c r="C883" s="1" t="n">
        <v>45665</v>
      </c>
      <c r="D883" t="inlineStr">
        <is>
          <t>UPPSALA LÄN</t>
        </is>
      </c>
      <c r="E883" t="inlineStr">
        <is>
          <t>ÖSTHAMMAR</t>
        </is>
      </c>
      <c r="G883" t="n">
        <v>2.1</v>
      </c>
      <c r="H883" t="n">
        <v>0</v>
      </c>
      <c r="I883" t="n">
        <v>0</v>
      </c>
      <c r="J883" t="n">
        <v>0</v>
      </c>
      <c r="K883" t="n">
        <v>0</v>
      </c>
      <c r="L883" t="n">
        <v>0</v>
      </c>
      <c r="M883" t="n">
        <v>0</v>
      </c>
      <c r="N883" t="n">
        <v>0</v>
      </c>
      <c r="O883" t="n">
        <v>0</v>
      </c>
      <c r="P883" t="n">
        <v>0</v>
      </c>
      <c r="Q883" t="n">
        <v>0</v>
      </c>
      <c r="R883" s="2" t="inlineStr"/>
    </row>
    <row r="884" ht="15" customHeight="1">
      <c r="A884" t="inlineStr">
        <is>
          <t>A 40837-2023</t>
        </is>
      </c>
      <c r="B884" s="1" t="n">
        <v>45172</v>
      </c>
      <c r="C884" s="1" t="n">
        <v>45665</v>
      </c>
      <c r="D884" t="inlineStr">
        <is>
          <t>UPPSALA LÄN</t>
        </is>
      </c>
      <c r="E884" t="inlineStr">
        <is>
          <t>ÖSTHAMMAR</t>
        </is>
      </c>
      <c r="G884" t="n">
        <v>1.3</v>
      </c>
      <c r="H884" t="n">
        <v>0</v>
      </c>
      <c r="I884" t="n">
        <v>0</v>
      </c>
      <c r="J884" t="n">
        <v>0</v>
      </c>
      <c r="K884" t="n">
        <v>0</v>
      </c>
      <c r="L884" t="n">
        <v>0</v>
      </c>
      <c r="M884" t="n">
        <v>0</v>
      </c>
      <c r="N884" t="n">
        <v>0</v>
      </c>
      <c r="O884" t="n">
        <v>0</v>
      </c>
      <c r="P884" t="n">
        <v>0</v>
      </c>
      <c r="Q884" t="n">
        <v>0</v>
      </c>
      <c r="R884" s="2" t="inlineStr"/>
    </row>
    <row r="885" ht="15" customHeight="1">
      <c r="A885" t="inlineStr">
        <is>
          <t>A 40938-2023</t>
        </is>
      </c>
      <c r="B885" s="1" t="n">
        <v>45173</v>
      </c>
      <c r="C885" s="1" t="n">
        <v>45665</v>
      </c>
      <c r="D885" t="inlineStr">
        <is>
          <t>UPPSALA LÄN</t>
        </is>
      </c>
      <c r="E885" t="inlineStr">
        <is>
          <t>ÖSTHAMMAR</t>
        </is>
      </c>
      <c r="F885" t="inlineStr">
        <is>
          <t>Bergvik skog öst AB</t>
        </is>
      </c>
      <c r="G885" t="n">
        <v>0.9</v>
      </c>
      <c r="H885" t="n">
        <v>0</v>
      </c>
      <c r="I885" t="n">
        <v>0</v>
      </c>
      <c r="J885" t="n">
        <v>0</v>
      </c>
      <c r="K885" t="n">
        <v>0</v>
      </c>
      <c r="L885" t="n">
        <v>0</v>
      </c>
      <c r="M885" t="n">
        <v>0</v>
      </c>
      <c r="N885" t="n">
        <v>0</v>
      </c>
      <c r="O885" t="n">
        <v>0</v>
      </c>
      <c r="P885" t="n">
        <v>0</v>
      </c>
      <c r="Q885" t="n">
        <v>0</v>
      </c>
      <c r="R885" s="2" t="inlineStr"/>
    </row>
    <row r="886" ht="15" customHeight="1">
      <c r="A886" t="inlineStr">
        <is>
          <t>A 40946-2023</t>
        </is>
      </c>
      <c r="B886" s="1" t="n">
        <v>45173</v>
      </c>
      <c r="C886" s="1" t="n">
        <v>45665</v>
      </c>
      <c r="D886" t="inlineStr">
        <is>
          <t>UPPSALA LÄN</t>
        </is>
      </c>
      <c r="E886" t="inlineStr">
        <is>
          <t>ÖSTHAMMAR</t>
        </is>
      </c>
      <c r="F886" t="inlineStr">
        <is>
          <t>Bergvik skog öst AB</t>
        </is>
      </c>
      <c r="G886" t="n">
        <v>4</v>
      </c>
      <c r="H886" t="n">
        <v>0</v>
      </c>
      <c r="I886" t="n">
        <v>0</v>
      </c>
      <c r="J886" t="n">
        <v>0</v>
      </c>
      <c r="K886" t="n">
        <v>0</v>
      </c>
      <c r="L886" t="n">
        <v>0</v>
      </c>
      <c r="M886" t="n">
        <v>0</v>
      </c>
      <c r="N886" t="n">
        <v>0</v>
      </c>
      <c r="O886" t="n">
        <v>0</v>
      </c>
      <c r="P886" t="n">
        <v>0</v>
      </c>
      <c r="Q886" t="n">
        <v>0</v>
      </c>
      <c r="R886" s="2" t="inlineStr"/>
    </row>
    <row r="887" ht="15" customHeight="1">
      <c r="A887" t="inlineStr">
        <is>
          <t>A 40952-2023</t>
        </is>
      </c>
      <c r="B887" s="1" t="n">
        <v>45173</v>
      </c>
      <c r="C887" s="1" t="n">
        <v>45665</v>
      </c>
      <c r="D887" t="inlineStr">
        <is>
          <t>UPPSALA LÄN</t>
        </is>
      </c>
      <c r="E887" t="inlineStr">
        <is>
          <t>ÖSTHAMMAR</t>
        </is>
      </c>
      <c r="F887" t="inlineStr">
        <is>
          <t>Bergvik skog öst AB</t>
        </is>
      </c>
      <c r="G887" t="n">
        <v>4.4</v>
      </c>
      <c r="H887" t="n">
        <v>0</v>
      </c>
      <c r="I887" t="n">
        <v>0</v>
      </c>
      <c r="J887" t="n">
        <v>0</v>
      </c>
      <c r="K887" t="n">
        <v>0</v>
      </c>
      <c r="L887" t="n">
        <v>0</v>
      </c>
      <c r="M887" t="n">
        <v>0</v>
      </c>
      <c r="N887" t="n">
        <v>0</v>
      </c>
      <c r="O887" t="n">
        <v>0</v>
      </c>
      <c r="P887" t="n">
        <v>0</v>
      </c>
      <c r="Q887" t="n">
        <v>0</v>
      </c>
      <c r="R887" s="2" t="inlineStr"/>
    </row>
    <row r="888" ht="15" customHeight="1">
      <c r="A888" t="inlineStr">
        <is>
          <t>A 41308-2023</t>
        </is>
      </c>
      <c r="B888" s="1" t="n">
        <v>45174</v>
      </c>
      <c r="C888" s="1" t="n">
        <v>45665</v>
      </c>
      <c r="D888" t="inlineStr">
        <is>
          <t>UPPSALA LÄN</t>
        </is>
      </c>
      <c r="E888" t="inlineStr">
        <is>
          <t>ÖSTHAMMAR</t>
        </is>
      </c>
      <c r="F888" t="inlineStr">
        <is>
          <t>Övriga Aktiebolag</t>
        </is>
      </c>
      <c r="G888" t="n">
        <v>2.8</v>
      </c>
      <c r="H888" t="n">
        <v>0</v>
      </c>
      <c r="I888" t="n">
        <v>0</v>
      </c>
      <c r="J888" t="n">
        <v>0</v>
      </c>
      <c r="K888" t="n">
        <v>0</v>
      </c>
      <c r="L888" t="n">
        <v>0</v>
      </c>
      <c r="M888" t="n">
        <v>0</v>
      </c>
      <c r="N888" t="n">
        <v>0</v>
      </c>
      <c r="O888" t="n">
        <v>0</v>
      </c>
      <c r="P888" t="n">
        <v>0</v>
      </c>
      <c r="Q888" t="n">
        <v>0</v>
      </c>
      <c r="R888" s="2" t="inlineStr"/>
    </row>
    <row r="889" ht="15" customHeight="1">
      <c r="A889" t="inlineStr">
        <is>
          <t>A 41489-2023</t>
        </is>
      </c>
      <c r="B889" s="1" t="n">
        <v>45175</v>
      </c>
      <c r="C889" s="1" t="n">
        <v>45665</v>
      </c>
      <c r="D889" t="inlineStr">
        <is>
          <t>UPPSALA LÄN</t>
        </is>
      </c>
      <c r="E889" t="inlineStr">
        <is>
          <t>ÖSTHAMMAR</t>
        </is>
      </c>
      <c r="F889" t="inlineStr">
        <is>
          <t>Bergvik skog öst AB</t>
        </is>
      </c>
      <c r="G889" t="n">
        <v>4.2</v>
      </c>
      <c r="H889" t="n">
        <v>0</v>
      </c>
      <c r="I889" t="n">
        <v>0</v>
      </c>
      <c r="J889" t="n">
        <v>0</v>
      </c>
      <c r="K889" t="n">
        <v>0</v>
      </c>
      <c r="L889" t="n">
        <v>0</v>
      </c>
      <c r="M889" t="n">
        <v>0</v>
      </c>
      <c r="N889" t="n">
        <v>0</v>
      </c>
      <c r="O889" t="n">
        <v>0</v>
      </c>
      <c r="P889" t="n">
        <v>0</v>
      </c>
      <c r="Q889" t="n">
        <v>0</v>
      </c>
      <c r="R889" s="2" t="inlineStr"/>
    </row>
    <row r="890" ht="15" customHeight="1">
      <c r="A890" t="inlineStr">
        <is>
          <t>A 41821-2023</t>
        </is>
      </c>
      <c r="B890" s="1" t="n">
        <v>45176</v>
      </c>
      <c r="C890" s="1" t="n">
        <v>45665</v>
      </c>
      <c r="D890" t="inlineStr">
        <is>
          <t>UPPSALA LÄN</t>
        </is>
      </c>
      <c r="E890" t="inlineStr">
        <is>
          <t>ÖSTHAMMAR</t>
        </is>
      </c>
      <c r="G890" t="n">
        <v>0.9</v>
      </c>
      <c r="H890" t="n">
        <v>0</v>
      </c>
      <c r="I890" t="n">
        <v>0</v>
      </c>
      <c r="J890" t="n">
        <v>0</v>
      </c>
      <c r="K890" t="n">
        <v>0</v>
      </c>
      <c r="L890" t="n">
        <v>0</v>
      </c>
      <c r="M890" t="n">
        <v>0</v>
      </c>
      <c r="N890" t="n">
        <v>0</v>
      </c>
      <c r="O890" t="n">
        <v>0</v>
      </c>
      <c r="P890" t="n">
        <v>0</v>
      </c>
      <c r="Q890" t="n">
        <v>0</v>
      </c>
      <c r="R890" s="2" t="inlineStr"/>
    </row>
    <row r="891" ht="15" customHeight="1">
      <c r="A891" t="inlineStr">
        <is>
          <t>A 41829-2023</t>
        </is>
      </c>
      <c r="B891" s="1" t="n">
        <v>45176</v>
      </c>
      <c r="C891" s="1" t="n">
        <v>45665</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43732-2023</t>
        </is>
      </c>
      <c r="B892" s="1" t="n">
        <v>45187</v>
      </c>
      <c r="C892" s="1" t="n">
        <v>45665</v>
      </c>
      <c r="D892" t="inlineStr">
        <is>
          <t>UPPSALA LÄN</t>
        </is>
      </c>
      <c r="E892" t="inlineStr">
        <is>
          <t>ÖSTHAMMAR</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43925-2023</t>
        </is>
      </c>
      <c r="B893" s="1" t="n">
        <v>45187</v>
      </c>
      <c r="C893" s="1" t="n">
        <v>45665</v>
      </c>
      <c r="D893" t="inlineStr">
        <is>
          <t>UPPSALA LÄN</t>
        </is>
      </c>
      <c r="E893" t="inlineStr">
        <is>
          <t>ÖSTHAMMAR</t>
        </is>
      </c>
      <c r="F893" t="inlineStr">
        <is>
          <t>Allmännings- och besparingsskogar</t>
        </is>
      </c>
      <c r="G893" t="n">
        <v>20.8</v>
      </c>
      <c r="H893" t="n">
        <v>0</v>
      </c>
      <c r="I893" t="n">
        <v>0</v>
      </c>
      <c r="J893" t="n">
        <v>0</v>
      </c>
      <c r="K893" t="n">
        <v>0</v>
      </c>
      <c r="L893" t="n">
        <v>0</v>
      </c>
      <c r="M893" t="n">
        <v>0</v>
      </c>
      <c r="N893" t="n">
        <v>0</v>
      </c>
      <c r="O893" t="n">
        <v>0</v>
      </c>
      <c r="P893" t="n">
        <v>0</v>
      </c>
      <c r="Q893" t="n">
        <v>0</v>
      </c>
      <c r="R893" s="2" t="inlineStr"/>
    </row>
    <row r="894" ht="15" customHeight="1">
      <c r="A894" t="inlineStr">
        <is>
          <t>A 43915-2023</t>
        </is>
      </c>
      <c r="B894" s="1" t="n">
        <v>45187</v>
      </c>
      <c r="C894" s="1" t="n">
        <v>45665</v>
      </c>
      <c r="D894" t="inlineStr">
        <is>
          <t>UPPSALA LÄN</t>
        </is>
      </c>
      <c r="E894" t="inlineStr">
        <is>
          <t>ÖSTHAMMAR</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43838-2023</t>
        </is>
      </c>
      <c r="B895" s="1" t="n">
        <v>45187</v>
      </c>
      <c r="C895" s="1" t="n">
        <v>45665</v>
      </c>
      <c r="D895" t="inlineStr">
        <is>
          <t>UPPSALA LÄN</t>
        </is>
      </c>
      <c r="E895" t="inlineStr">
        <is>
          <t>ÖSTHAMMAR</t>
        </is>
      </c>
      <c r="G895" t="n">
        <v>1.5</v>
      </c>
      <c r="H895" t="n">
        <v>0</v>
      </c>
      <c r="I895" t="n">
        <v>0</v>
      </c>
      <c r="J895" t="n">
        <v>0</v>
      </c>
      <c r="K895" t="n">
        <v>0</v>
      </c>
      <c r="L895" t="n">
        <v>0</v>
      </c>
      <c r="M895" t="n">
        <v>0</v>
      </c>
      <c r="N895" t="n">
        <v>0</v>
      </c>
      <c r="O895" t="n">
        <v>0</v>
      </c>
      <c r="P895" t="n">
        <v>0</v>
      </c>
      <c r="Q895" t="n">
        <v>0</v>
      </c>
      <c r="R895" s="2" t="inlineStr"/>
    </row>
    <row r="896" ht="15" customHeight="1">
      <c r="A896" t="inlineStr">
        <is>
          <t>A 44636-2023</t>
        </is>
      </c>
      <c r="B896" s="1" t="n">
        <v>45189</v>
      </c>
      <c r="C896" s="1" t="n">
        <v>45665</v>
      </c>
      <c r="D896" t="inlineStr">
        <is>
          <t>UPPSALA LÄN</t>
        </is>
      </c>
      <c r="E896" t="inlineStr">
        <is>
          <t>ÖSTHAMMAR</t>
        </is>
      </c>
      <c r="G896" t="n">
        <v>0.5</v>
      </c>
      <c r="H896" t="n">
        <v>0</v>
      </c>
      <c r="I896" t="n">
        <v>0</v>
      </c>
      <c r="J896" t="n">
        <v>0</v>
      </c>
      <c r="K896" t="n">
        <v>0</v>
      </c>
      <c r="L896" t="n">
        <v>0</v>
      </c>
      <c r="M896" t="n">
        <v>0</v>
      </c>
      <c r="N896" t="n">
        <v>0</v>
      </c>
      <c r="O896" t="n">
        <v>0</v>
      </c>
      <c r="P896" t="n">
        <v>0</v>
      </c>
      <c r="Q896" t="n">
        <v>0</v>
      </c>
      <c r="R896" s="2" t="inlineStr"/>
    </row>
    <row r="897" ht="15" customHeight="1">
      <c r="A897" t="inlineStr">
        <is>
          <t>A 44614-2023</t>
        </is>
      </c>
      <c r="B897" s="1" t="n">
        <v>45189</v>
      </c>
      <c r="C897" s="1" t="n">
        <v>45665</v>
      </c>
      <c r="D897" t="inlineStr">
        <is>
          <t>UPPSALA LÄN</t>
        </is>
      </c>
      <c r="E897" t="inlineStr">
        <is>
          <t>ÖSTHAMMAR</t>
        </is>
      </c>
      <c r="F897" t="inlineStr">
        <is>
          <t>Övriga Aktiebolag</t>
        </is>
      </c>
      <c r="G897" t="n">
        <v>17.8</v>
      </c>
      <c r="H897" t="n">
        <v>0</v>
      </c>
      <c r="I897" t="n">
        <v>0</v>
      </c>
      <c r="J897" t="n">
        <v>0</v>
      </c>
      <c r="K897" t="n">
        <v>0</v>
      </c>
      <c r="L897" t="n">
        <v>0</v>
      </c>
      <c r="M897" t="n">
        <v>0</v>
      </c>
      <c r="N897" t="n">
        <v>0</v>
      </c>
      <c r="O897" t="n">
        <v>0</v>
      </c>
      <c r="P897" t="n">
        <v>0</v>
      </c>
      <c r="Q897" t="n">
        <v>0</v>
      </c>
      <c r="R897" s="2" t="inlineStr"/>
    </row>
    <row r="898" ht="15" customHeight="1">
      <c r="A898" t="inlineStr">
        <is>
          <t>A 45307-2023</t>
        </is>
      </c>
      <c r="B898" s="1" t="n">
        <v>45191</v>
      </c>
      <c r="C898" s="1" t="n">
        <v>45665</v>
      </c>
      <c r="D898" t="inlineStr">
        <is>
          <t>UPPSALA LÄN</t>
        </is>
      </c>
      <c r="E898" t="inlineStr">
        <is>
          <t>ÖSTHAMMAR</t>
        </is>
      </c>
      <c r="F898" t="inlineStr">
        <is>
          <t>Bergvik skog öst AB</t>
        </is>
      </c>
      <c r="G898" t="n">
        <v>0.6</v>
      </c>
      <c r="H898" t="n">
        <v>0</v>
      </c>
      <c r="I898" t="n">
        <v>0</v>
      </c>
      <c r="J898" t="n">
        <v>0</v>
      </c>
      <c r="K898" t="n">
        <v>0</v>
      </c>
      <c r="L898" t="n">
        <v>0</v>
      </c>
      <c r="M898" t="n">
        <v>0</v>
      </c>
      <c r="N898" t="n">
        <v>0</v>
      </c>
      <c r="O898" t="n">
        <v>0</v>
      </c>
      <c r="P898" t="n">
        <v>0</v>
      </c>
      <c r="Q898" t="n">
        <v>0</v>
      </c>
      <c r="R898" s="2" t="inlineStr"/>
    </row>
    <row r="899" ht="15" customHeight="1">
      <c r="A899" t="inlineStr">
        <is>
          <t>A 45550-2023</t>
        </is>
      </c>
      <c r="B899" s="1" t="n">
        <v>45194</v>
      </c>
      <c r="C899" s="1" t="n">
        <v>45665</v>
      </c>
      <c r="D899" t="inlineStr">
        <is>
          <t>UPPSALA LÄN</t>
        </is>
      </c>
      <c r="E899" t="inlineStr">
        <is>
          <t>ÖSTHAMMAR</t>
        </is>
      </c>
      <c r="F899" t="inlineStr">
        <is>
          <t>Bergvik skog öst AB</t>
        </is>
      </c>
      <c r="G899" t="n">
        <v>0.4</v>
      </c>
      <c r="H899" t="n">
        <v>0</v>
      </c>
      <c r="I899" t="n">
        <v>0</v>
      </c>
      <c r="J899" t="n">
        <v>0</v>
      </c>
      <c r="K899" t="n">
        <v>0</v>
      </c>
      <c r="L899" t="n">
        <v>0</v>
      </c>
      <c r="M899" t="n">
        <v>0</v>
      </c>
      <c r="N899" t="n">
        <v>0</v>
      </c>
      <c r="O899" t="n">
        <v>0</v>
      </c>
      <c r="P899" t="n">
        <v>0</v>
      </c>
      <c r="Q899" t="n">
        <v>0</v>
      </c>
      <c r="R899" s="2" t="inlineStr"/>
    </row>
    <row r="900" ht="15" customHeight="1">
      <c r="A900" t="inlineStr">
        <is>
          <t>A 45580-2023</t>
        </is>
      </c>
      <c r="B900" s="1" t="n">
        <v>45194</v>
      </c>
      <c r="C900" s="1" t="n">
        <v>45665</v>
      </c>
      <c r="D900" t="inlineStr">
        <is>
          <t>UPPSALA LÄN</t>
        </is>
      </c>
      <c r="E900" t="inlineStr">
        <is>
          <t>ÖSTHAMMAR</t>
        </is>
      </c>
      <c r="F900" t="inlineStr">
        <is>
          <t>Bergvik skog öst AB</t>
        </is>
      </c>
      <c r="G900" t="n">
        <v>1.5</v>
      </c>
      <c r="H900" t="n">
        <v>0</v>
      </c>
      <c r="I900" t="n">
        <v>0</v>
      </c>
      <c r="J900" t="n">
        <v>0</v>
      </c>
      <c r="K900" t="n">
        <v>0</v>
      </c>
      <c r="L900" t="n">
        <v>0</v>
      </c>
      <c r="M900" t="n">
        <v>0</v>
      </c>
      <c r="N900" t="n">
        <v>0</v>
      </c>
      <c r="O900" t="n">
        <v>0</v>
      </c>
      <c r="P900" t="n">
        <v>0</v>
      </c>
      <c r="Q900" t="n">
        <v>0</v>
      </c>
      <c r="R900" s="2" t="inlineStr"/>
    </row>
    <row r="901" ht="15" customHeight="1">
      <c r="A901" t="inlineStr">
        <is>
          <t>A 45655-2023</t>
        </is>
      </c>
      <c r="B901" s="1" t="n">
        <v>45194</v>
      </c>
      <c r="C901" s="1" t="n">
        <v>45665</v>
      </c>
      <c r="D901" t="inlineStr">
        <is>
          <t>UPPSALA LÄN</t>
        </is>
      </c>
      <c r="E901" t="inlineStr">
        <is>
          <t>ÖSTHAMMAR</t>
        </is>
      </c>
      <c r="F901" t="inlineStr">
        <is>
          <t>Bergvik skog öst AB</t>
        </is>
      </c>
      <c r="G901" t="n">
        <v>6.4</v>
      </c>
      <c r="H901" t="n">
        <v>0</v>
      </c>
      <c r="I901" t="n">
        <v>0</v>
      </c>
      <c r="J901" t="n">
        <v>0</v>
      </c>
      <c r="K901" t="n">
        <v>0</v>
      </c>
      <c r="L901" t="n">
        <v>0</v>
      </c>
      <c r="M901" t="n">
        <v>0</v>
      </c>
      <c r="N901" t="n">
        <v>0</v>
      </c>
      <c r="O901" t="n">
        <v>0</v>
      </c>
      <c r="P901" t="n">
        <v>0</v>
      </c>
      <c r="Q901" t="n">
        <v>0</v>
      </c>
      <c r="R901" s="2" t="inlineStr"/>
    </row>
    <row r="902" ht="15" customHeight="1">
      <c r="A902" t="inlineStr">
        <is>
          <t>A 45561-2023</t>
        </is>
      </c>
      <c r="B902" s="1" t="n">
        <v>45194</v>
      </c>
      <c r="C902" s="1" t="n">
        <v>45665</v>
      </c>
      <c r="D902" t="inlineStr">
        <is>
          <t>UPPSALA LÄN</t>
        </is>
      </c>
      <c r="E902" t="inlineStr">
        <is>
          <t>ÖSTHAMMAR</t>
        </is>
      </c>
      <c r="F902" t="inlineStr">
        <is>
          <t>Bergvik skog öst AB</t>
        </is>
      </c>
      <c r="G902" t="n">
        <v>0.7</v>
      </c>
      <c r="H902" t="n">
        <v>0</v>
      </c>
      <c r="I902" t="n">
        <v>0</v>
      </c>
      <c r="J902" t="n">
        <v>0</v>
      </c>
      <c r="K902" t="n">
        <v>0</v>
      </c>
      <c r="L902" t="n">
        <v>0</v>
      </c>
      <c r="M902" t="n">
        <v>0</v>
      </c>
      <c r="N902" t="n">
        <v>0</v>
      </c>
      <c r="O902" t="n">
        <v>0</v>
      </c>
      <c r="P902" t="n">
        <v>0</v>
      </c>
      <c r="Q902" t="n">
        <v>0</v>
      </c>
      <c r="R902" s="2" t="inlineStr"/>
    </row>
    <row r="903" ht="15" customHeight="1">
      <c r="A903" t="inlineStr">
        <is>
          <t>A 45618-2023</t>
        </is>
      </c>
      <c r="B903" s="1" t="n">
        <v>45194</v>
      </c>
      <c r="C903" s="1" t="n">
        <v>45665</v>
      </c>
      <c r="D903" t="inlineStr">
        <is>
          <t>UPPSALA LÄN</t>
        </is>
      </c>
      <c r="E903" t="inlineStr">
        <is>
          <t>ÖSTHAMMAR</t>
        </is>
      </c>
      <c r="F903" t="inlineStr">
        <is>
          <t>Bergvik skog öst AB</t>
        </is>
      </c>
      <c r="G903" t="n">
        <v>1.8</v>
      </c>
      <c r="H903" t="n">
        <v>0</v>
      </c>
      <c r="I903" t="n">
        <v>0</v>
      </c>
      <c r="J903" t="n">
        <v>0</v>
      </c>
      <c r="K903" t="n">
        <v>0</v>
      </c>
      <c r="L903" t="n">
        <v>0</v>
      </c>
      <c r="M903" t="n">
        <v>0</v>
      </c>
      <c r="N903" t="n">
        <v>0</v>
      </c>
      <c r="O903" t="n">
        <v>0</v>
      </c>
      <c r="P903" t="n">
        <v>0</v>
      </c>
      <c r="Q903" t="n">
        <v>0</v>
      </c>
      <c r="R903" s="2" t="inlineStr"/>
    </row>
    <row r="904" ht="15" customHeight="1">
      <c r="A904" t="inlineStr">
        <is>
          <t>A 45635-2023</t>
        </is>
      </c>
      <c r="B904" s="1" t="n">
        <v>45194</v>
      </c>
      <c r="C904" s="1" t="n">
        <v>45665</v>
      </c>
      <c r="D904" t="inlineStr">
        <is>
          <t>UPPSALA LÄN</t>
        </is>
      </c>
      <c r="E904" t="inlineStr">
        <is>
          <t>ÖSTHAMMAR</t>
        </is>
      </c>
      <c r="F904" t="inlineStr">
        <is>
          <t>Bergvik skog öst AB</t>
        </is>
      </c>
      <c r="G904" t="n">
        <v>2.3</v>
      </c>
      <c r="H904" t="n">
        <v>0</v>
      </c>
      <c r="I904" t="n">
        <v>0</v>
      </c>
      <c r="J904" t="n">
        <v>0</v>
      </c>
      <c r="K904" t="n">
        <v>0</v>
      </c>
      <c r="L904" t="n">
        <v>0</v>
      </c>
      <c r="M904" t="n">
        <v>0</v>
      </c>
      <c r="N904" t="n">
        <v>0</v>
      </c>
      <c r="O904" t="n">
        <v>0</v>
      </c>
      <c r="P904" t="n">
        <v>0</v>
      </c>
      <c r="Q904" t="n">
        <v>0</v>
      </c>
      <c r="R904" s="2" t="inlineStr"/>
    </row>
    <row r="905" ht="15" customHeight="1">
      <c r="A905" t="inlineStr">
        <is>
          <t>A 45646-2023</t>
        </is>
      </c>
      <c r="B905" s="1" t="n">
        <v>45194</v>
      </c>
      <c r="C905" s="1" t="n">
        <v>45665</v>
      </c>
      <c r="D905" t="inlineStr">
        <is>
          <t>UPPSALA LÄN</t>
        </is>
      </c>
      <c r="E905" t="inlineStr">
        <is>
          <t>ÖSTHAMMAR</t>
        </is>
      </c>
      <c r="F905" t="inlineStr">
        <is>
          <t>Bergvik skog öst AB</t>
        </is>
      </c>
      <c r="G905" t="n">
        <v>3.5</v>
      </c>
      <c r="H905" t="n">
        <v>0</v>
      </c>
      <c r="I905" t="n">
        <v>0</v>
      </c>
      <c r="J905" t="n">
        <v>0</v>
      </c>
      <c r="K905" t="n">
        <v>0</v>
      </c>
      <c r="L905" t="n">
        <v>0</v>
      </c>
      <c r="M905" t="n">
        <v>0</v>
      </c>
      <c r="N905" t="n">
        <v>0</v>
      </c>
      <c r="O905" t="n">
        <v>0</v>
      </c>
      <c r="P905" t="n">
        <v>0</v>
      </c>
      <c r="Q905" t="n">
        <v>0</v>
      </c>
      <c r="R905" s="2" t="inlineStr"/>
    </row>
    <row r="906" ht="15" customHeight="1">
      <c r="A906" t="inlineStr">
        <is>
          <t>A 46485-2023</t>
        </is>
      </c>
      <c r="B906" s="1" t="n">
        <v>45194</v>
      </c>
      <c r="C906" s="1" t="n">
        <v>45665</v>
      </c>
      <c r="D906" t="inlineStr">
        <is>
          <t>UPPSALA LÄN</t>
        </is>
      </c>
      <c r="E906" t="inlineStr">
        <is>
          <t>ÖSTHAMMAR</t>
        </is>
      </c>
      <c r="G906" t="n">
        <v>1</v>
      </c>
      <c r="H906" t="n">
        <v>0</v>
      </c>
      <c r="I906" t="n">
        <v>0</v>
      </c>
      <c r="J906" t="n">
        <v>0</v>
      </c>
      <c r="K906" t="n">
        <v>0</v>
      </c>
      <c r="L906" t="n">
        <v>0</v>
      </c>
      <c r="M906" t="n">
        <v>0</v>
      </c>
      <c r="N906" t="n">
        <v>0</v>
      </c>
      <c r="O906" t="n">
        <v>0</v>
      </c>
      <c r="P906" t="n">
        <v>0</v>
      </c>
      <c r="Q906" t="n">
        <v>0</v>
      </c>
      <c r="R906" s="2" t="inlineStr"/>
    </row>
    <row r="907" ht="15" customHeight="1">
      <c r="A907" t="inlineStr">
        <is>
          <t>A 45795-2023</t>
        </is>
      </c>
      <c r="B907" s="1" t="n">
        <v>45195</v>
      </c>
      <c r="C907" s="1" t="n">
        <v>45665</v>
      </c>
      <c r="D907" t="inlineStr">
        <is>
          <t>UPPSALA LÄN</t>
        </is>
      </c>
      <c r="E907" t="inlineStr">
        <is>
          <t>ÖSTHAMMAR</t>
        </is>
      </c>
      <c r="G907" t="n">
        <v>4</v>
      </c>
      <c r="H907" t="n">
        <v>0</v>
      </c>
      <c r="I907" t="n">
        <v>0</v>
      </c>
      <c r="J907" t="n">
        <v>0</v>
      </c>
      <c r="K907" t="n">
        <v>0</v>
      </c>
      <c r="L907" t="n">
        <v>0</v>
      </c>
      <c r="M907" t="n">
        <v>0</v>
      </c>
      <c r="N907" t="n">
        <v>0</v>
      </c>
      <c r="O907" t="n">
        <v>0</v>
      </c>
      <c r="P907" t="n">
        <v>0</v>
      </c>
      <c r="Q907" t="n">
        <v>0</v>
      </c>
      <c r="R907" s="2" t="inlineStr"/>
    </row>
    <row r="908" ht="15" customHeight="1">
      <c r="A908" t="inlineStr">
        <is>
          <t>A 46005-2023</t>
        </is>
      </c>
      <c r="B908" s="1" t="n">
        <v>45196</v>
      </c>
      <c r="C908" s="1" t="n">
        <v>45665</v>
      </c>
      <c r="D908" t="inlineStr">
        <is>
          <t>UPPSALA LÄN</t>
        </is>
      </c>
      <c r="E908" t="inlineStr">
        <is>
          <t>ÖSTHAMMAR</t>
        </is>
      </c>
      <c r="G908" t="n">
        <v>1.7</v>
      </c>
      <c r="H908" t="n">
        <v>0</v>
      </c>
      <c r="I908" t="n">
        <v>0</v>
      </c>
      <c r="J908" t="n">
        <v>0</v>
      </c>
      <c r="K908" t="n">
        <v>0</v>
      </c>
      <c r="L908" t="n">
        <v>0</v>
      </c>
      <c r="M908" t="n">
        <v>0</v>
      </c>
      <c r="N908" t="n">
        <v>0</v>
      </c>
      <c r="O908" t="n">
        <v>0</v>
      </c>
      <c r="P908" t="n">
        <v>0</v>
      </c>
      <c r="Q908" t="n">
        <v>0</v>
      </c>
      <c r="R908" s="2" t="inlineStr"/>
    </row>
    <row r="909" ht="15" customHeight="1">
      <c r="A909" t="inlineStr">
        <is>
          <t>A 46157-2023</t>
        </is>
      </c>
      <c r="B909" s="1" t="n">
        <v>45196</v>
      </c>
      <c r="C909" s="1" t="n">
        <v>45665</v>
      </c>
      <c r="D909" t="inlineStr">
        <is>
          <t>UPPSALA LÄN</t>
        </is>
      </c>
      <c r="E909" t="inlineStr">
        <is>
          <t>ÖSTHAMMAR</t>
        </is>
      </c>
      <c r="F909" t="inlineStr">
        <is>
          <t>Övriga Aktiebolag</t>
        </is>
      </c>
      <c r="G909" t="n">
        <v>19</v>
      </c>
      <c r="H909" t="n">
        <v>0</v>
      </c>
      <c r="I909" t="n">
        <v>0</v>
      </c>
      <c r="J909" t="n">
        <v>0</v>
      </c>
      <c r="K909" t="n">
        <v>0</v>
      </c>
      <c r="L909" t="n">
        <v>0</v>
      </c>
      <c r="M909" t="n">
        <v>0</v>
      </c>
      <c r="N909" t="n">
        <v>0</v>
      </c>
      <c r="O909" t="n">
        <v>0</v>
      </c>
      <c r="P909" t="n">
        <v>0</v>
      </c>
      <c r="Q909" t="n">
        <v>0</v>
      </c>
      <c r="R909" s="2" t="inlineStr"/>
    </row>
    <row r="910" ht="15" customHeight="1">
      <c r="A910" t="inlineStr">
        <is>
          <t>A 46399-2023</t>
        </is>
      </c>
      <c r="B910" s="1" t="n">
        <v>45197</v>
      </c>
      <c r="C910" s="1" t="n">
        <v>45665</v>
      </c>
      <c r="D910" t="inlineStr">
        <is>
          <t>UPPSALA LÄN</t>
        </is>
      </c>
      <c r="E910" t="inlineStr">
        <is>
          <t>ÖSTHAMMAR</t>
        </is>
      </c>
      <c r="G910" t="n">
        <v>5.8</v>
      </c>
      <c r="H910" t="n">
        <v>0</v>
      </c>
      <c r="I910" t="n">
        <v>0</v>
      </c>
      <c r="J910" t="n">
        <v>0</v>
      </c>
      <c r="K910" t="n">
        <v>0</v>
      </c>
      <c r="L910" t="n">
        <v>0</v>
      </c>
      <c r="M910" t="n">
        <v>0</v>
      </c>
      <c r="N910" t="n">
        <v>0</v>
      </c>
      <c r="O910" t="n">
        <v>0</v>
      </c>
      <c r="P910" t="n">
        <v>0</v>
      </c>
      <c r="Q910" t="n">
        <v>0</v>
      </c>
      <c r="R910" s="2" t="inlineStr"/>
    </row>
    <row r="911" ht="15" customHeight="1">
      <c r="A911" t="inlineStr">
        <is>
          <t>A 46785-2023</t>
        </is>
      </c>
      <c r="B911" s="1" t="n">
        <v>45198</v>
      </c>
      <c r="C911" s="1" t="n">
        <v>45665</v>
      </c>
      <c r="D911" t="inlineStr">
        <is>
          <t>UPPSALA LÄN</t>
        </is>
      </c>
      <c r="E911" t="inlineStr">
        <is>
          <t>ÖSTHAMMAR</t>
        </is>
      </c>
      <c r="G911" t="n">
        <v>1.6</v>
      </c>
      <c r="H911" t="n">
        <v>0</v>
      </c>
      <c r="I911" t="n">
        <v>0</v>
      </c>
      <c r="J911" t="n">
        <v>0</v>
      </c>
      <c r="K911" t="n">
        <v>0</v>
      </c>
      <c r="L911" t="n">
        <v>0</v>
      </c>
      <c r="M911" t="n">
        <v>0</v>
      </c>
      <c r="N911" t="n">
        <v>0</v>
      </c>
      <c r="O911" t="n">
        <v>0</v>
      </c>
      <c r="P911" t="n">
        <v>0</v>
      </c>
      <c r="Q911" t="n">
        <v>0</v>
      </c>
      <c r="R911" s="2" t="inlineStr"/>
    </row>
    <row r="912" ht="15" customHeight="1">
      <c r="A912" t="inlineStr">
        <is>
          <t>A 47114-2023</t>
        </is>
      </c>
      <c r="B912" s="1" t="n">
        <v>45201</v>
      </c>
      <c r="C912" s="1" t="n">
        <v>45665</v>
      </c>
      <c r="D912" t="inlineStr">
        <is>
          <t>UPPSALA LÄN</t>
        </is>
      </c>
      <c r="E912" t="inlineStr">
        <is>
          <t>ÖSTHAMMAR</t>
        </is>
      </c>
      <c r="F912" t="inlineStr">
        <is>
          <t>Bergvik skog öst AB</t>
        </is>
      </c>
      <c r="G912" t="n">
        <v>7</v>
      </c>
      <c r="H912" t="n">
        <v>0</v>
      </c>
      <c r="I912" t="n">
        <v>0</v>
      </c>
      <c r="J912" t="n">
        <v>0</v>
      </c>
      <c r="K912" t="n">
        <v>0</v>
      </c>
      <c r="L912" t="n">
        <v>0</v>
      </c>
      <c r="M912" t="n">
        <v>0</v>
      </c>
      <c r="N912" t="n">
        <v>0</v>
      </c>
      <c r="O912" t="n">
        <v>0</v>
      </c>
      <c r="P912" t="n">
        <v>0</v>
      </c>
      <c r="Q912" t="n">
        <v>0</v>
      </c>
      <c r="R912" s="2" t="inlineStr"/>
    </row>
    <row r="913" ht="15" customHeight="1">
      <c r="A913" t="inlineStr">
        <is>
          <t>A 48515-2023</t>
        </is>
      </c>
      <c r="B913" s="1" t="n">
        <v>45201</v>
      </c>
      <c r="C913" s="1" t="n">
        <v>45665</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47390-2023</t>
        </is>
      </c>
      <c r="B914" s="1" t="n">
        <v>45202</v>
      </c>
      <c r="C914" s="1" t="n">
        <v>45665</v>
      </c>
      <c r="D914" t="inlineStr">
        <is>
          <t>UPPSALA LÄN</t>
        </is>
      </c>
      <c r="E914" t="inlineStr">
        <is>
          <t>ÖSTHAMMAR</t>
        </is>
      </c>
      <c r="G914" t="n">
        <v>3.7</v>
      </c>
      <c r="H914" t="n">
        <v>0</v>
      </c>
      <c r="I914" t="n">
        <v>0</v>
      </c>
      <c r="J914" t="n">
        <v>0</v>
      </c>
      <c r="K914" t="n">
        <v>0</v>
      </c>
      <c r="L914" t="n">
        <v>0</v>
      </c>
      <c r="M914" t="n">
        <v>0</v>
      </c>
      <c r="N914" t="n">
        <v>0</v>
      </c>
      <c r="O914" t="n">
        <v>0</v>
      </c>
      <c r="P914" t="n">
        <v>0</v>
      </c>
      <c r="Q914" t="n">
        <v>0</v>
      </c>
      <c r="R914" s="2" t="inlineStr"/>
    </row>
    <row r="915" ht="15" customHeight="1">
      <c r="A915" t="inlineStr">
        <is>
          <t>A 47374-2023</t>
        </is>
      </c>
      <c r="B915" s="1" t="n">
        <v>45202</v>
      </c>
      <c r="C915" s="1" t="n">
        <v>45665</v>
      </c>
      <c r="D915" t="inlineStr">
        <is>
          <t>UPPSALA LÄN</t>
        </is>
      </c>
      <c r="E915" t="inlineStr">
        <is>
          <t>ÖSTHAMMAR</t>
        </is>
      </c>
      <c r="F915" t="inlineStr">
        <is>
          <t>Bergvik skog öst AB</t>
        </is>
      </c>
      <c r="G915" t="n">
        <v>2</v>
      </c>
      <c r="H915" t="n">
        <v>0</v>
      </c>
      <c r="I915" t="n">
        <v>0</v>
      </c>
      <c r="J915" t="n">
        <v>0</v>
      </c>
      <c r="K915" t="n">
        <v>0</v>
      </c>
      <c r="L915" t="n">
        <v>0</v>
      </c>
      <c r="M915" t="n">
        <v>0</v>
      </c>
      <c r="N915" t="n">
        <v>0</v>
      </c>
      <c r="O915" t="n">
        <v>0</v>
      </c>
      <c r="P915" t="n">
        <v>0</v>
      </c>
      <c r="Q915" t="n">
        <v>0</v>
      </c>
      <c r="R915" s="2" t="inlineStr"/>
    </row>
    <row r="916" ht="15" customHeight="1">
      <c r="A916" t="inlineStr">
        <is>
          <t>A 47341-2023</t>
        </is>
      </c>
      <c r="B916" s="1" t="n">
        <v>45202</v>
      </c>
      <c r="C916" s="1" t="n">
        <v>45665</v>
      </c>
      <c r="D916" t="inlineStr">
        <is>
          <t>UPPSALA LÄN</t>
        </is>
      </c>
      <c r="E916" t="inlineStr">
        <is>
          <t>ÖSTHAMMAR</t>
        </is>
      </c>
      <c r="G916" t="n">
        <v>4.9</v>
      </c>
      <c r="H916" t="n">
        <v>0</v>
      </c>
      <c r="I916" t="n">
        <v>0</v>
      </c>
      <c r="J916" t="n">
        <v>0</v>
      </c>
      <c r="K916" t="n">
        <v>0</v>
      </c>
      <c r="L916" t="n">
        <v>0</v>
      </c>
      <c r="M916" t="n">
        <v>0</v>
      </c>
      <c r="N916" t="n">
        <v>0</v>
      </c>
      <c r="O916" t="n">
        <v>0</v>
      </c>
      <c r="P916" t="n">
        <v>0</v>
      </c>
      <c r="Q916" t="n">
        <v>0</v>
      </c>
      <c r="R916" s="2" t="inlineStr"/>
    </row>
    <row r="917" ht="15" customHeight="1">
      <c r="A917" t="inlineStr">
        <is>
          <t>A 47522-2023</t>
        </is>
      </c>
      <c r="B917" s="1" t="n">
        <v>45203</v>
      </c>
      <c r="C917" s="1" t="n">
        <v>45665</v>
      </c>
      <c r="D917" t="inlineStr">
        <is>
          <t>UPPSALA LÄN</t>
        </is>
      </c>
      <c r="E917" t="inlineStr">
        <is>
          <t>ÖSTHAMMAR</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48032-2023</t>
        </is>
      </c>
      <c r="B918" s="1" t="n">
        <v>45204</v>
      </c>
      <c r="C918" s="1" t="n">
        <v>45665</v>
      </c>
      <c r="D918" t="inlineStr">
        <is>
          <t>UPPSALA LÄN</t>
        </is>
      </c>
      <c r="E918" t="inlineStr">
        <is>
          <t>ÖSTHAMMAR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48171-2023</t>
        </is>
      </c>
      <c r="B919" s="1" t="n">
        <v>45205</v>
      </c>
      <c r="C919" s="1" t="n">
        <v>45665</v>
      </c>
      <c r="D919" t="inlineStr">
        <is>
          <t>UPPSALA LÄN</t>
        </is>
      </c>
      <c r="E919" t="inlineStr">
        <is>
          <t>ÖSTHAMMAR</t>
        </is>
      </c>
      <c r="F919" t="inlineStr">
        <is>
          <t>Bergvik skog öst AB</t>
        </is>
      </c>
      <c r="G919" t="n">
        <v>5.3</v>
      </c>
      <c r="H919" t="n">
        <v>0</v>
      </c>
      <c r="I919" t="n">
        <v>0</v>
      </c>
      <c r="J919" t="n">
        <v>0</v>
      </c>
      <c r="K919" t="n">
        <v>0</v>
      </c>
      <c r="L919" t="n">
        <v>0</v>
      </c>
      <c r="M919" t="n">
        <v>0</v>
      </c>
      <c r="N919" t="n">
        <v>0</v>
      </c>
      <c r="O919" t="n">
        <v>0</v>
      </c>
      <c r="P919" t="n">
        <v>0</v>
      </c>
      <c r="Q919" t="n">
        <v>0</v>
      </c>
      <c r="R919" s="2" t="inlineStr"/>
    </row>
    <row r="920" ht="15" customHeight="1">
      <c r="A920" t="inlineStr">
        <is>
          <t>A 48719-2023</t>
        </is>
      </c>
      <c r="B920" s="1" t="n">
        <v>45208</v>
      </c>
      <c r="C920" s="1" t="n">
        <v>45665</v>
      </c>
      <c r="D920" t="inlineStr">
        <is>
          <t>UPPSALA LÄN</t>
        </is>
      </c>
      <c r="E920" t="inlineStr">
        <is>
          <t>ÖSTHAMMAR</t>
        </is>
      </c>
      <c r="G920" t="n">
        <v>0.6</v>
      </c>
      <c r="H920" t="n">
        <v>0</v>
      </c>
      <c r="I920" t="n">
        <v>0</v>
      </c>
      <c r="J920" t="n">
        <v>0</v>
      </c>
      <c r="K920" t="n">
        <v>0</v>
      </c>
      <c r="L920" t="n">
        <v>0</v>
      </c>
      <c r="M920" t="n">
        <v>0</v>
      </c>
      <c r="N920" t="n">
        <v>0</v>
      </c>
      <c r="O920" t="n">
        <v>0</v>
      </c>
      <c r="P920" t="n">
        <v>0</v>
      </c>
      <c r="Q920" t="n">
        <v>0</v>
      </c>
      <c r="R920" s="2" t="inlineStr"/>
    </row>
    <row r="921" ht="15" customHeight="1">
      <c r="A921" t="inlineStr">
        <is>
          <t>A 48989-2023</t>
        </is>
      </c>
      <c r="B921" s="1" t="n">
        <v>45209</v>
      </c>
      <c r="C921" s="1" t="n">
        <v>45665</v>
      </c>
      <c r="D921" t="inlineStr">
        <is>
          <t>UPPSALA LÄN</t>
        </is>
      </c>
      <c r="E921" t="inlineStr">
        <is>
          <t>ÖSTHAMMAR</t>
        </is>
      </c>
      <c r="F921" t="inlineStr">
        <is>
          <t>Övriga Aktiebolag</t>
        </is>
      </c>
      <c r="G921" t="n">
        <v>3.2</v>
      </c>
      <c r="H921" t="n">
        <v>0</v>
      </c>
      <c r="I921" t="n">
        <v>0</v>
      </c>
      <c r="J921" t="n">
        <v>0</v>
      </c>
      <c r="K921" t="n">
        <v>0</v>
      </c>
      <c r="L921" t="n">
        <v>0</v>
      </c>
      <c r="M921" t="n">
        <v>0</v>
      </c>
      <c r="N921" t="n">
        <v>0</v>
      </c>
      <c r="O921" t="n">
        <v>0</v>
      </c>
      <c r="P921" t="n">
        <v>0</v>
      </c>
      <c r="Q921" t="n">
        <v>0</v>
      </c>
      <c r="R921" s="2" t="inlineStr"/>
    </row>
    <row r="922" ht="15" customHeight="1">
      <c r="A922" t="inlineStr">
        <is>
          <t>A 49248-2023</t>
        </is>
      </c>
      <c r="B922" s="1" t="n">
        <v>45210</v>
      </c>
      <c r="C922" s="1" t="n">
        <v>45665</v>
      </c>
      <c r="D922" t="inlineStr">
        <is>
          <t>UPPSALA LÄN</t>
        </is>
      </c>
      <c r="E922" t="inlineStr">
        <is>
          <t>ÖSTHAMMAR</t>
        </is>
      </c>
      <c r="G922" t="n">
        <v>2.5</v>
      </c>
      <c r="H922" t="n">
        <v>0</v>
      </c>
      <c r="I922" t="n">
        <v>0</v>
      </c>
      <c r="J922" t="n">
        <v>0</v>
      </c>
      <c r="K922" t="n">
        <v>0</v>
      </c>
      <c r="L922" t="n">
        <v>0</v>
      </c>
      <c r="M922" t="n">
        <v>0</v>
      </c>
      <c r="N922" t="n">
        <v>0</v>
      </c>
      <c r="O922" t="n">
        <v>0</v>
      </c>
      <c r="P922" t="n">
        <v>0</v>
      </c>
      <c r="Q922" t="n">
        <v>0</v>
      </c>
      <c r="R922" s="2" t="inlineStr"/>
    </row>
    <row r="923" ht="15" customHeight="1">
      <c r="A923" t="inlineStr">
        <is>
          <t>A 49066-2023</t>
        </is>
      </c>
      <c r="B923" s="1" t="n">
        <v>45210</v>
      </c>
      <c r="C923" s="1" t="n">
        <v>45665</v>
      </c>
      <c r="D923" t="inlineStr">
        <is>
          <t>UPPSALA LÄN</t>
        </is>
      </c>
      <c r="E923" t="inlineStr">
        <is>
          <t>ÖSTHAMMAR</t>
        </is>
      </c>
      <c r="F923" t="inlineStr">
        <is>
          <t>Bergvik skog öst AB</t>
        </is>
      </c>
      <c r="G923" t="n">
        <v>13.1</v>
      </c>
      <c r="H923" t="n">
        <v>0</v>
      </c>
      <c r="I923" t="n">
        <v>0</v>
      </c>
      <c r="J923" t="n">
        <v>0</v>
      </c>
      <c r="K923" t="n">
        <v>0</v>
      </c>
      <c r="L923" t="n">
        <v>0</v>
      </c>
      <c r="M923" t="n">
        <v>0</v>
      </c>
      <c r="N923" t="n">
        <v>0</v>
      </c>
      <c r="O923" t="n">
        <v>0</v>
      </c>
      <c r="P923" t="n">
        <v>0</v>
      </c>
      <c r="Q923" t="n">
        <v>0</v>
      </c>
      <c r="R923" s="2" t="inlineStr"/>
    </row>
    <row r="924" ht="15" customHeight="1">
      <c r="A924" t="inlineStr">
        <is>
          <t>A 49172-2023</t>
        </is>
      </c>
      <c r="B924" s="1" t="n">
        <v>45210</v>
      </c>
      <c r="C924" s="1" t="n">
        <v>45665</v>
      </c>
      <c r="D924" t="inlineStr">
        <is>
          <t>UPPSALA LÄN</t>
        </is>
      </c>
      <c r="E924" t="inlineStr">
        <is>
          <t>ÖSTHAMMAR</t>
        </is>
      </c>
      <c r="F924" t="inlineStr">
        <is>
          <t>Övriga Aktiebolag</t>
        </is>
      </c>
      <c r="G924" t="n">
        <v>13.1</v>
      </c>
      <c r="H924" t="n">
        <v>0</v>
      </c>
      <c r="I924" t="n">
        <v>0</v>
      </c>
      <c r="J924" t="n">
        <v>0</v>
      </c>
      <c r="K924" t="n">
        <v>0</v>
      </c>
      <c r="L924" t="n">
        <v>0</v>
      </c>
      <c r="M924" t="n">
        <v>0</v>
      </c>
      <c r="N924" t="n">
        <v>0</v>
      </c>
      <c r="O924" t="n">
        <v>0</v>
      </c>
      <c r="P924" t="n">
        <v>0</v>
      </c>
      <c r="Q924" t="n">
        <v>0</v>
      </c>
      <c r="R924" s="2" t="inlineStr"/>
    </row>
    <row r="925" ht="15" customHeight="1">
      <c r="A925" t="inlineStr">
        <is>
          <t>A 49266-2023</t>
        </is>
      </c>
      <c r="B925" s="1" t="n">
        <v>45210</v>
      </c>
      <c r="C925" s="1" t="n">
        <v>45665</v>
      </c>
      <c r="D925" t="inlineStr">
        <is>
          <t>UPPSALA LÄN</t>
        </is>
      </c>
      <c r="E925" t="inlineStr">
        <is>
          <t>ÖSTHAMMAR</t>
        </is>
      </c>
      <c r="G925" t="n">
        <v>0.8</v>
      </c>
      <c r="H925" t="n">
        <v>0</v>
      </c>
      <c r="I925" t="n">
        <v>0</v>
      </c>
      <c r="J925" t="n">
        <v>0</v>
      </c>
      <c r="K925" t="n">
        <v>0</v>
      </c>
      <c r="L925" t="n">
        <v>0</v>
      </c>
      <c r="M925" t="n">
        <v>0</v>
      </c>
      <c r="N925" t="n">
        <v>0</v>
      </c>
      <c r="O925" t="n">
        <v>0</v>
      </c>
      <c r="P925" t="n">
        <v>0</v>
      </c>
      <c r="Q925" t="n">
        <v>0</v>
      </c>
      <c r="R925" s="2" t="inlineStr"/>
    </row>
    <row r="926" ht="15" customHeight="1">
      <c r="A926" t="inlineStr">
        <is>
          <t>A 49829-2023</t>
        </is>
      </c>
      <c r="B926" s="1" t="n">
        <v>45212</v>
      </c>
      <c r="C926" s="1" t="n">
        <v>45665</v>
      </c>
      <c r="D926" t="inlineStr">
        <is>
          <t>UPPSALA LÄN</t>
        </is>
      </c>
      <c r="E926" t="inlineStr">
        <is>
          <t>ÖSTHAMMAR</t>
        </is>
      </c>
      <c r="F926" t="inlineStr">
        <is>
          <t>Bergvik skog öst AB</t>
        </is>
      </c>
      <c r="G926" t="n">
        <v>13.8</v>
      </c>
      <c r="H926" t="n">
        <v>0</v>
      </c>
      <c r="I926" t="n">
        <v>0</v>
      </c>
      <c r="J926" t="n">
        <v>0</v>
      </c>
      <c r="K926" t="n">
        <v>0</v>
      </c>
      <c r="L926" t="n">
        <v>0</v>
      </c>
      <c r="M926" t="n">
        <v>0</v>
      </c>
      <c r="N926" t="n">
        <v>0</v>
      </c>
      <c r="O926" t="n">
        <v>0</v>
      </c>
      <c r="P926" t="n">
        <v>0</v>
      </c>
      <c r="Q926" t="n">
        <v>0</v>
      </c>
      <c r="R926" s="2" t="inlineStr"/>
    </row>
    <row r="927" ht="15" customHeight="1">
      <c r="A927" t="inlineStr">
        <is>
          <t>A 49833-2023</t>
        </is>
      </c>
      <c r="B927" s="1" t="n">
        <v>45212</v>
      </c>
      <c r="C927" s="1" t="n">
        <v>45665</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49831-2023</t>
        </is>
      </c>
      <c r="B928" s="1" t="n">
        <v>45212</v>
      </c>
      <c r="C928" s="1" t="n">
        <v>45665</v>
      </c>
      <c r="D928" t="inlineStr">
        <is>
          <t>UPPSALA LÄN</t>
        </is>
      </c>
      <c r="E928" t="inlineStr">
        <is>
          <t>ÖSTHAMMAR</t>
        </is>
      </c>
      <c r="F928" t="inlineStr">
        <is>
          <t>Bergvik skog öst AB</t>
        </is>
      </c>
      <c r="G928" t="n">
        <v>0.4</v>
      </c>
      <c r="H928" t="n">
        <v>0</v>
      </c>
      <c r="I928" t="n">
        <v>0</v>
      </c>
      <c r="J928" t="n">
        <v>0</v>
      </c>
      <c r="K928" t="n">
        <v>0</v>
      </c>
      <c r="L928" t="n">
        <v>0</v>
      </c>
      <c r="M928" t="n">
        <v>0</v>
      </c>
      <c r="N928" t="n">
        <v>0</v>
      </c>
      <c r="O928" t="n">
        <v>0</v>
      </c>
      <c r="P928" t="n">
        <v>0</v>
      </c>
      <c r="Q928" t="n">
        <v>0</v>
      </c>
      <c r="R928" s="2" t="inlineStr"/>
    </row>
    <row r="929" ht="15" customHeight="1">
      <c r="A929" t="inlineStr">
        <is>
          <t>A 49897-2023</t>
        </is>
      </c>
      <c r="B929" s="1" t="n">
        <v>45213</v>
      </c>
      <c r="C929" s="1" t="n">
        <v>45665</v>
      </c>
      <c r="D929" t="inlineStr">
        <is>
          <t>UPPSALA LÄN</t>
        </is>
      </c>
      <c r="E929" t="inlineStr">
        <is>
          <t>ÖSTHAMMAR</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49899-2023</t>
        </is>
      </c>
      <c r="B930" s="1" t="n">
        <v>45213</v>
      </c>
      <c r="C930" s="1" t="n">
        <v>45665</v>
      </c>
      <c r="D930" t="inlineStr">
        <is>
          <t>UPPSALA LÄN</t>
        </is>
      </c>
      <c r="E930" t="inlineStr">
        <is>
          <t>ÖSTHAMMAR</t>
        </is>
      </c>
      <c r="G930" t="n">
        <v>6.2</v>
      </c>
      <c r="H930" t="n">
        <v>0</v>
      </c>
      <c r="I930" t="n">
        <v>0</v>
      </c>
      <c r="J930" t="n">
        <v>0</v>
      </c>
      <c r="K930" t="n">
        <v>0</v>
      </c>
      <c r="L930" t="n">
        <v>0</v>
      </c>
      <c r="M930" t="n">
        <v>0</v>
      </c>
      <c r="N930" t="n">
        <v>0</v>
      </c>
      <c r="O930" t="n">
        <v>0</v>
      </c>
      <c r="P930" t="n">
        <v>0</v>
      </c>
      <c r="Q930" t="n">
        <v>0</v>
      </c>
      <c r="R930" s="2" t="inlineStr"/>
    </row>
    <row r="931" ht="15" customHeight="1">
      <c r="A931" t="inlineStr">
        <is>
          <t>A 49892-2023</t>
        </is>
      </c>
      <c r="B931" s="1" t="n">
        <v>45213</v>
      </c>
      <c r="C931" s="1" t="n">
        <v>45665</v>
      </c>
      <c r="D931" t="inlineStr">
        <is>
          <t>UPPSALA LÄN</t>
        </is>
      </c>
      <c r="E931" t="inlineStr">
        <is>
          <t>ÖSTHAMMAR</t>
        </is>
      </c>
      <c r="F931" t="inlineStr">
        <is>
          <t>Bergvik skog öst AB</t>
        </is>
      </c>
      <c r="G931" t="n">
        <v>3.8</v>
      </c>
      <c r="H931" t="n">
        <v>0</v>
      </c>
      <c r="I931" t="n">
        <v>0</v>
      </c>
      <c r="J931" t="n">
        <v>0</v>
      </c>
      <c r="K931" t="n">
        <v>0</v>
      </c>
      <c r="L931" t="n">
        <v>0</v>
      </c>
      <c r="M931" t="n">
        <v>0</v>
      </c>
      <c r="N931" t="n">
        <v>0</v>
      </c>
      <c r="O931" t="n">
        <v>0</v>
      </c>
      <c r="P931" t="n">
        <v>0</v>
      </c>
      <c r="Q931" t="n">
        <v>0</v>
      </c>
      <c r="R931" s="2" t="inlineStr"/>
    </row>
    <row r="932" ht="15" customHeight="1">
      <c r="A932" t="inlineStr">
        <is>
          <t>A 50128-2023</t>
        </is>
      </c>
      <c r="B932" s="1" t="n">
        <v>45215</v>
      </c>
      <c r="C932" s="1" t="n">
        <v>45665</v>
      </c>
      <c r="D932" t="inlineStr">
        <is>
          <t>UPPSALA LÄN</t>
        </is>
      </c>
      <c r="E932" t="inlineStr">
        <is>
          <t>ÖSTHAMMAR</t>
        </is>
      </c>
      <c r="G932" t="n">
        <v>7.8</v>
      </c>
      <c r="H932" t="n">
        <v>0</v>
      </c>
      <c r="I932" t="n">
        <v>0</v>
      </c>
      <c r="J932" t="n">
        <v>0</v>
      </c>
      <c r="K932" t="n">
        <v>0</v>
      </c>
      <c r="L932" t="n">
        <v>0</v>
      </c>
      <c r="M932" t="n">
        <v>0</v>
      </c>
      <c r="N932" t="n">
        <v>0</v>
      </c>
      <c r="O932" t="n">
        <v>0</v>
      </c>
      <c r="P932" t="n">
        <v>0</v>
      </c>
      <c r="Q932" t="n">
        <v>0</v>
      </c>
      <c r="R932" s="2" t="inlineStr"/>
    </row>
    <row r="933" ht="15" customHeight="1">
      <c r="A933" t="inlineStr">
        <is>
          <t>A 50189-2023</t>
        </is>
      </c>
      <c r="B933" s="1" t="n">
        <v>45215</v>
      </c>
      <c r="C933" s="1" t="n">
        <v>45665</v>
      </c>
      <c r="D933" t="inlineStr">
        <is>
          <t>UPPSALA LÄN</t>
        </is>
      </c>
      <c r="E933" t="inlineStr">
        <is>
          <t>ÖSTHAMMAR</t>
        </is>
      </c>
      <c r="F933" t="inlineStr">
        <is>
          <t>Bergvik skog öst AB</t>
        </is>
      </c>
      <c r="G933" t="n">
        <v>1.7</v>
      </c>
      <c r="H933" t="n">
        <v>0</v>
      </c>
      <c r="I933" t="n">
        <v>0</v>
      </c>
      <c r="J933" t="n">
        <v>0</v>
      </c>
      <c r="K933" t="n">
        <v>0</v>
      </c>
      <c r="L933" t="n">
        <v>0</v>
      </c>
      <c r="M933" t="n">
        <v>0</v>
      </c>
      <c r="N933" t="n">
        <v>0</v>
      </c>
      <c r="O933" t="n">
        <v>0</v>
      </c>
      <c r="P933" t="n">
        <v>0</v>
      </c>
      <c r="Q933" t="n">
        <v>0</v>
      </c>
      <c r="R933" s="2" t="inlineStr"/>
    </row>
    <row r="934" ht="15" customHeight="1">
      <c r="A934" t="inlineStr">
        <is>
          <t>A 50120-2023</t>
        </is>
      </c>
      <c r="B934" s="1" t="n">
        <v>45215</v>
      </c>
      <c r="C934" s="1" t="n">
        <v>45665</v>
      </c>
      <c r="D934" t="inlineStr">
        <is>
          <t>UPPSALA LÄN</t>
        </is>
      </c>
      <c r="E934" t="inlineStr">
        <is>
          <t>ÖSTHAMMAR</t>
        </is>
      </c>
      <c r="F934" t="inlineStr">
        <is>
          <t>Övriga Aktiebolag</t>
        </is>
      </c>
      <c r="G934" t="n">
        <v>14.2</v>
      </c>
      <c r="H934" t="n">
        <v>0</v>
      </c>
      <c r="I934" t="n">
        <v>0</v>
      </c>
      <c r="J934" t="n">
        <v>0</v>
      </c>
      <c r="K934" t="n">
        <v>0</v>
      </c>
      <c r="L934" t="n">
        <v>0</v>
      </c>
      <c r="M934" t="n">
        <v>0</v>
      </c>
      <c r="N934" t="n">
        <v>0</v>
      </c>
      <c r="O934" t="n">
        <v>0</v>
      </c>
      <c r="P934" t="n">
        <v>0</v>
      </c>
      <c r="Q934" t="n">
        <v>0</v>
      </c>
      <c r="R934" s="2" t="inlineStr"/>
    </row>
    <row r="935" ht="15" customHeight="1">
      <c r="A935" t="inlineStr">
        <is>
          <t>A 50188-2023</t>
        </is>
      </c>
      <c r="B935" s="1" t="n">
        <v>45215</v>
      </c>
      <c r="C935" s="1" t="n">
        <v>45665</v>
      </c>
      <c r="D935" t="inlineStr">
        <is>
          <t>UPPSALA LÄN</t>
        </is>
      </c>
      <c r="E935" t="inlineStr">
        <is>
          <t>ÖSTHAMMAR</t>
        </is>
      </c>
      <c r="F935" t="inlineStr">
        <is>
          <t>Bergvik skog öst AB</t>
        </is>
      </c>
      <c r="G935" t="n">
        <v>8.4</v>
      </c>
      <c r="H935" t="n">
        <v>0</v>
      </c>
      <c r="I935" t="n">
        <v>0</v>
      </c>
      <c r="J935" t="n">
        <v>0</v>
      </c>
      <c r="K935" t="n">
        <v>0</v>
      </c>
      <c r="L935" t="n">
        <v>0</v>
      </c>
      <c r="M935" t="n">
        <v>0</v>
      </c>
      <c r="N935" t="n">
        <v>0</v>
      </c>
      <c r="O935" t="n">
        <v>0</v>
      </c>
      <c r="P935" t="n">
        <v>0</v>
      </c>
      <c r="Q935" t="n">
        <v>0</v>
      </c>
      <c r="R935" s="2" t="inlineStr"/>
    </row>
    <row r="936" ht="15" customHeight="1">
      <c r="A936" t="inlineStr">
        <is>
          <t>A 50998-2023</t>
        </is>
      </c>
      <c r="B936" s="1" t="n">
        <v>45218</v>
      </c>
      <c r="C936" s="1" t="n">
        <v>45665</v>
      </c>
      <c r="D936" t="inlineStr">
        <is>
          <t>UPPSALA LÄN</t>
        </is>
      </c>
      <c r="E936" t="inlineStr">
        <is>
          <t>ÖSTHAMMAR</t>
        </is>
      </c>
      <c r="G936" t="n">
        <v>3.6</v>
      </c>
      <c r="H936" t="n">
        <v>0</v>
      </c>
      <c r="I936" t="n">
        <v>0</v>
      </c>
      <c r="J936" t="n">
        <v>0</v>
      </c>
      <c r="K936" t="n">
        <v>0</v>
      </c>
      <c r="L936" t="n">
        <v>0</v>
      </c>
      <c r="M936" t="n">
        <v>0</v>
      </c>
      <c r="N936" t="n">
        <v>0</v>
      </c>
      <c r="O936" t="n">
        <v>0</v>
      </c>
      <c r="P936" t="n">
        <v>0</v>
      </c>
      <c r="Q936" t="n">
        <v>0</v>
      </c>
      <c r="R936" s="2" t="inlineStr"/>
    </row>
    <row r="937" ht="15" customHeight="1">
      <c r="A937" t="inlineStr">
        <is>
          <t>A 52695-2023</t>
        </is>
      </c>
      <c r="B937" s="1" t="n">
        <v>45225</v>
      </c>
      <c r="C937" s="1" t="n">
        <v>45665</v>
      </c>
      <c r="D937" t="inlineStr">
        <is>
          <t>UPPSALA LÄN</t>
        </is>
      </c>
      <c r="E937" t="inlineStr">
        <is>
          <t>ÖSTHAMMAR</t>
        </is>
      </c>
      <c r="G937" t="n">
        <v>1.7</v>
      </c>
      <c r="H937" t="n">
        <v>0</v>
      </c>
      <c r="I937" t="n">
        <v>0</v>
      </c>
      <c r="J937" t="n">
        <v>0</v>
      </c>
      <c r="K937" t="n">
        <v>0</v>
      </c>
      <c r="L937" t="n">
        <v>0</v>
      </c>
      <c r="M937" t="n">
        <v>0</v>
      </c>
      <c r="N937" t="n">
        <v>0</v>
      </c>
      <c r="O937" t="n">
        <v>0</v>
      </c>
      <c r="P937" t="n">
        <v>0</v>
      </c>
      <c r="Q937" t="n">
        <v>0</v>
      </c>
      <c r="R937" s="2" t="inlineStr"/>
    </row>
    <row r="938" ht="15" customHeight="1">
      <c r="A938" t="inlineStr">
        <is>
          <t>A 52629-2023</t>
        </is>
      </c>
      <c r="B938" s="1" t="n">
        <v>45225</v>
      </c>
      <c r="C938" s="1" t="n">
        <v>45665</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52698-2023</t>
        </is>
      </c>
      <c r="B939" s="1" t="n">
        <v>45225</v>
      </c>
      <c r="C939" s="1" t="n">
        <v>45665</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52694-2023</t>
        </is>
      </c>
      <c r="B940" s="1" t="n">
        <v>45225</v>
      </c>
      <c r="C940" s="1" t="n">
        <v>45665</v>
      </c>
      <c r="D940" t="inlineStr">
        <is>
          <t>UPPSALA LÄN</t>
        </is>
      </c>
      <c r="E940" t="inlineStr">
        <is>
          <t>ÖSTHAMMAR</t>
        </is>
      </c>
      <c r="G940" t="n">
        <v>0.8</v>
      </c>
      <c r="H940" t="n">
        <v>0</v>
      </c>
      <c r="I940" t="n">
        <v>0</v>
      </c>
      <c r="J940" t="n">
        <v>0</v>
      </c>
      <c r="K940" t="n">
        <v>0</v>
      </c>
      <c r="L940" t="n">
        <v>0</v>
      </c>
      <c r="M940" t="n">
        <v>0</v>
      </c>
      <c r="N940" t="n">
        <v>0</v>
      </c>
      <c r="O940" t="n">
        <v>0</v>
      </c>
      <c r="P940" t="n">
        <v>0</v>
      </c>
      <c r="Q940" t="n">
        <v>0</v>
      </c>
      <c r="R940" s="2" t="inlineStr"/>
    </row>
    <row r="941" ht="15" customHeight="1">
      <c r="A941" t="inlineStr">
        <is>
          <t>A 52699-2023</t>
        </is>
      </c>
      <c r="B941" s="1" t="n">
        <v>45225</v>
      </c>
      <c r="C941" s="1" t="n">
        <v>45665</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54314-2023</t>
        </is>
      </c>
      <c r="B942" s="1" t="n">
        <v>45225</v>
      </c>
      <c r="C942" s="1" t="n">
        <v>45665</v>
      </c>
      <c r="D942" t="inlineStr">
        <is>
          <t>UPPSALA LÄN</t>
        </is>
      </c>
      <c r="E942" t="inlineStr">
        <is>
          <t>ÖSTHAMMAR</t>
        </is>
      </c>
      <c r="G942" t="n">
        <v>5.1</v>
      </c>
      <c r="H942" t="n">
        <v>0</v>
      </c>
      <c r="I942" t="n">
        <v>0</v>
      </c>
      <c r="J942" t="n">
        <v>0</v>
      </c>
      <c r="K942" t="n">
        <v>0</v>
      </c>
      <c r="L942" t="n">
        <v>0</v>
      </c>
      <c r="M942" t="n">
        <v>0</v>
      </c>
      <c r="N942" t="n">
        <v>0</v>
      </c>
      <c r="O942" t="n">
        <v>0</v>
      </c>
      <c r="P942" t="n">
        <v>0</v>
      </c>
      <c r="Q942" t="n">
        <v>0</v>
      </c>
      <c r="R942" s="2" t="inlineStr"/>
    </row>
    <row r="943" ht="15" customHeight="1">
      <c r="A943" t="inlineStr">
        <is>
          <t>A 53467-2023</t>
        </is>
      </c>
      <c r="B943" s="1" t="n">
        <v>45229</v>
      </c>
      <c r="C943" s="1" t="n">
        <v>45665</v>
      </c>
      <c r="D943" t="inlineStr">
        <is>
          <t>UPPSALA LÄN</t>
        </is>
      </c>
      <c r="E943" t="inlineStr">
        <is>
          <t>ÖSTHAMMAR</t>
        </is>
      </c>
      <c r="G943" t="n">
        <v>26.1</v>
      </c>
      <c r="H943" t="n">
        <v>0</v>
      </c>
      <c r="I943" t="n">
        <v>0</v>
      </c>
      <c r="J943" t="n">
        <v>0</v>
      </c>
      <c r="K943" t="n">
        <v>0</v>
      </c>
      <c r="L943" t="n">
        <v>0</v>
      </c>
      <c r="M943" t="n">
        <v>0</v>
      </c>
      <c r="N943" t="n">
        <v>0</v>
      </c>
      <c r="O943" t="n">
        <v>0</v>
      </c>
      <c r="P943" t="n">
        <v>0</v>
      </c>
      <c r="Q943" t="n">
        <v>0</v>
      </c>
      <c r="R943" s="2" t="inlineStr"/>
    </row>
    <row r="944" ht="15" customHeight="1">
      <c r="A944" t="inlineStr">
        <is>
          <t>A 53360-2023</t>
        </is>
      </c>
      <c r="B944" s="1" t="n">
        <v>45229</v>
      </c>
      <c r="C944" s="1" t="n">
        <v>45665</v>
      </c>
      <c r="D944" t="inlineStr">
        <is>
          <t>UPPSALA LÄN</t>
        </is>
      </c>
      <c r="E944" t="inlineStr">
        <is>
          <t>ÖSTHAMMAR</t>
        </is>
      </c>
      <c r="G944" t="n">
        <v>4.8</v>
      </c>
      <c r="H944" t="n">
        <v>0</v>
      </c>
      <c r="I944" t="n">
        <v>0</v>
      </c>
      <c r="J944" t="n">
        <v>0</v>
      </c>
      <c r="K944" t="n">
        <v>0</v>
      </c>
      <c r="L944" t="n">
        <v>0</v>
      </c>
      <c r="M944" t="n">
        <v>0</v>
      </c>
      <c r="N944" t="n">
        <v>0</v>
      </c>
      <c r="O944" t="n">
        <v>0</v>
      </c>
      <c r="P944" t="n">
        <v>0</v>
      </c>
      <c r="Q944" t="n">
        <v>0</v>
      </c>
      <c r="R944" s="2" t="inlineStr"/>
    </row>
    <row r="945" ht="15" customHeight="1">
      <c r="A945" t="inlineStr">
        <is>
          <t>A 53735-2023</t>
        </is>
      </c>
      <c r="B945" s="1" t="n">
        <v>45230</v>
      </c>
      <c r="C945" s="1" t="n">
        <v>45665</v>
      </c>
      <c r="D945" t="inlineStr">
        <is>
          <t>UPPSALA LÄN</t>
        </is>
      </c>
      <c r="E945" t="inlineStr">
        <is>
          <t>ÖSTHAMMAR</t>
        </is>
      </c>
      <c r="G945" t="n">
        <v>1.1</v>
      </c>
      <c r="H945" t="n">
        <v>0</v>
      </c>
      <c r="I945" t="n">
        <v>0</v>
      </c>
      <c r="J945" t="n">
        <v>0</v>
      </c>
      <c r="K945" t="n">
        <v>0</v>
      </c>
      <c r="L945" t="n">
        <v>0</v>
      </c>
      <c r="M945" t="n">
        <v>0</v>
      </c>
      <c r="N945" t="n">
        <v>0</v>
      </c>
      <c r="O945" t="n">
        <v>0</v>
      </c>
      <c r="P945" t="n">
        <v>0</v>
      </c>
      <c r="Q945" t="n">
        <v>0</v>
      </c>
      <c r="R945" s="2" t="inlineStr"/>
    </row>
    <row r="946" ht="15" customHeight="1">
      <c r="A946" t="inlineStr">
        <is>
          <t>A 53732-2023</t>
        </is>
      </c>
      <c r="B946" s="1" t="n">
        <v>45230</v>
      </c>
      <c r="C946" s="1" t="n">
        <v>45665</v>
      </c>
      <c r="D946" t="inlineStr">
        <is>
          <t>UPPSALA LÄN</t>
        </is>
      </c>
      <c r="E946" t="inlineStr">
        <is>
          <t>ÖSTHAMMAR</t>
        </is>
      </c>
      <c r="G946" t="n">
        <v>1.5</v>
      </c>
      <c r="H946" t="n">
        <v>0</v>
      </c>
      <c r="I946" t="n">
        <v>0</v>
      </c>
      <c r="J946" t="n">
        <v>0</v>
      </c>
      <c r="K946" t="n">
        <v>0</v>
      </c>
      <c r="L946" t="n">
        <v>0</v>
      </c>
      <c r="M946" t="n">
        <v>0</v>
      </c>
      <c r="N946" t="n">
        <v>0</v>
      </c>
      <c r="O946" t="n">
        <v>0</v>
      </c>
      <c r="P946" t="n">
        <v>0</v>
      </c>
      <c r="Q946" t="n">
        <v>0</v>
      </c>
      <c r="R946" s="2" t="inlineStr"/>
    </row>
    <row r="947" ht="15" customHeight="1">
      <c r="A947" t="inlineStr">
        <is>
          <t>A 53670-2023</t>
        </is>
      </c>
      <c r="B947" s="1" t="n">
        <v>45230</v>
      </c>
      <c r="C947" s="1" t="n">
        <v>45665</v>
      </c>
      <c r="D947" t="inlineStr">
        <is>
          <t>UPPSALA LÄN</t>
        </is>
      </c>
      <c r="E947" t="inlineStr">
        <is>
          <t>ÖSTHAMMAR</t>
        </is>
      </c>
      <c r="F947" t="inlineStr">
        <is>
          <t>Bergvik skog öst AB</t>
        </is>
      </c>
      <c r="G947" t="n">
        <v>0.8</v>
      </c>
      <c r="H947" t="n">
        <v>0</v>
      </c>
      <c r="I947" t="n">
        <v>0</v>
      </c>
      <c r="J947" t="n">
        <v>0</v>
      </c>
      <c r="K947" t="n">
        <v>0</v>
      </c>
      <c r="L947" t="n">
        <v>0</v>
      </c>
      <c r="M947" t="n">
        <v>0</v>
      </c>
      <c r="N947" t="n">
        <v>0</v>
      </c>
      <c r="O947" t="n">
        <v>0</v>
      </c>
      <c r="P947" t="n">
        <v>0</v>
      </c>
      <c r="Q947" t="n">
        <v>0</v>
      </c>
      <c r="R947" s="2" t="inlineStr"/>
    </row>
    <row r="948" ht="15" customHeight="1">
      <c r="A948" t="inlineStr">
        <is>
          <t>A 53733-2023</t>
        </is>
      </c>
      <c r="B948" s="1" t="n">
        <v>45230</v>
      </c>
      <c r="C948" s="1" t="n">
        <v>45665</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53737-2023</t>
        </is>
      </c>
      <c r="B949" s="1" t="n">
        <v>45230</v>
      </c>
      <c r="C949" s="1" t="n">
        <v>45665</v>
      </c>
      <c r="D949" t="inlineStr">
        <is>
          <t>UPPSALA LÄN</t>
        </is>
      </c>
      <c r="E949" t="inlineStr">
        <is>
          <t>ÖSTHAMMAR</t>
        </is>
      </c>
      <c r="G949" t="n">
        <v>1.4</v>
      </c>
      <c r="H949" t="n">
        <v>0</v>
      </c>
      <c r="I949" t="n">
        <v>0</v>
      </c>
      <c r="J949" t="n">
        <v>0</v>
      </c>
      <c r="K949" t="n">
        <v>0</v>
      </c>
      <c r="L949" t="n">
        <v>0</v>
      </c>
      <c r="M949" t="n">
        <v>0</v>
      </c>
      <c r="N949" t="n">
        <v>0</v>
      </c>
      <c r="O949" t="n">
        <v>0</v>
      </c>
      <c r="P949" t="n">
        <v>0</v>
      </c>
      <c r="Q949" t="n">
        <v>0</v>
      </c>
      <c r="R949" s="2" t="inlineStr"/>
    </row>
    <row r="950" ht="15" customHeight="1">
      <c r="A950" t="inlineStr">
        <is>
          <t>A 53702-2023</t>
        </is>
      </c>
      <c r="B950" s="1" t="n">
        <v>45230</v>
      </c>
      <c r="C950" s="1" t="n">
        <v>45665</v>
      </c>
      <c r="D950" t="inlineStr">
        <is>
          <t>UPPSALA LÄN</t>
        </is>
      </c>
      <c r="E950" t="inlineStr">
        <is>
          <t>ÖSTHAMMAR</t>
        </is>
      </c>
      <c r="F950" t="inlineStr">
        <is>
          <t>Övriga Aktiebolag</t>
        </is>
      </c>
      <c r="G950" t="n">
        <v>6.6</v>
      </c>
      <c r="H950" t="n">
        <v>0</v>
      </c>
      <c r="I950" t="n">
        <v>0</v>
      </c>
      <c r="J950" t="n">
        <v>0</v>
      </c>
      <c r="K950" t="n">
        <v>0</v>
      </c>
      <c r="L950" t="n">
        <v>0</v>
      </c>
      <c r="M950" t="n">
        <v>0</v>
      </c>
      <c r="N950" t="n">
        <v>0</v>
      </c>
      <c r="O950" t="n">
        <v>0</v>
      </c>
      <c r="P950" t="n">
        <v>0</v>
      </c>
      <c r="Q950" t="n">
        <v>0</v>
      </c>
      <c r="R950" s="2" t="inlineStr"/>
    </row>
    <row r="951" ht="15" customHeight="1">
      <c r="A951" t="inlineStr">
        <is>
          <t>A 53676-2023</t>
        </is>
      </c>
      <c r="B951" s="1" t="n">
        <v>45230</v>
      </c>
      <c r="C951" s="1" t="n">
        <v>45665</v>
      </c>
      <c r="D951" t="inlineStr">
        <is>
          <t>UPPSALA LÄN</t>
        </is>
      </c>
      <c r="E951" t="inlineStr">
        <is>
          <t>ÖSTHAMMAR</t>
        </is>
      </c>
      <c r="F951" t="inlineStr">
        <is>
          <t>Bergvik skog öst AB</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54228-2023</t>
        </is>
      </c>
      <c r="B952" s="1" t="n">
        <v>45232</v>
      </c>
      <c r="C952" s="1" t="n">
        <v>45665</v>
      </c>
      <c r="D952" t="inlineStr">
        <is>
          <t>UPPSALA LÄN</t>
        </is>
      </c>
      <c r="E952" t="inlineStr">
        <is>
          <t>ÖSTHAMMAR</t>
        </is>
      </c>
      <c r="G952" t="n">
        <v>4</v>
      </c>
      <c r="H952" t="n">
        <v>0</v>
      </c>
      <c r="I952" t="n">
        <v>0</v>
      </c>
      <c r="J952" t="n">
        <v>0</v>
      </c>
      <c r="K952" t="n">
        <v>0</v>
      </c>
      <c r="L952" t="n">
        <v>0</v>
      </c>
      <c r="M952" t="n">
        <v>0</v>
      </c>
      <c r="N952" t="n">
        <v>0</v>
      </c>
      <c r="O952" t="n">
        <v>0</v>
      </c>
      <c r="P952" t="n">
        <v>0</v>
      </c>
      <c r="Q952" t="n">
        <v>0</v>
      </c>
      <c r="R952" s="2" t="inlineStr"/>
    </row>
    <row r="953" ht="15" customHeight="1">
      <c r="A953" t="inlineStr">
        <is>
          <t>A 54366-2023</t>
        </is>
      </c>
      <c r="B953" s="1" t="n">
        <v>45233</v>
      </c>
      <c r="C953" s="1" t="n">
        <v>45665</v>
      </c>
      <c r="D953" t="inlineStr">
        <is>
          <t>UPPSALA LÄN</t>
        </is>
      </c>
      <c r="E953" t="inlineStr">
        <is>
          <t>ÖSTHAMMAR</t>
        </is>
      </c>
      <c r="F953" t="inlineStr">
        <is>
          <t>Bergvik skog öst AB</t>
        </is>
      </c>
      <c r="G953" t="n">
        <v>2.9</v>
      </c>
      <c r="H953" t="n">
        <v>0</v>
      </c>
      <c r="I953" t="n">
        <v>0</v>
      </c>
      <c r="J953" t="n">
        <v>0</v>
      </c>
      <c r="K953" t="n">
        <v>0</v>
      </c>
      <c r="L953" t="n">
        <v>0</v>
      </c>
      <c r="M953" t="n">
        <v>0</v>
      </c>
      <c r="N953" t="n">
        <v>0</v>
      </c>
      <c r="O953" t="n">
        <v>0</v>
      </c>
      <c r="P953" t="n">
        <v>0</v>
      </c>
      <c r="Q953" t="n">
        <v>0</v>
      </c>
      <c r="R953" s="2" t="inlineStr"/>
    </row>
    <row r="954" ht="15" customHeight="1">
      <c r="A954" t="inlineStr">
        <is>
          <t>A 54369-2023</t>
        </is>
      </c>
      <c r="B954" s="1" t="n">
        <v>45233</v>
      </c>
      <c r="C954" s="1" t="n">
        <v>45665</v>
      </c>
      <c r="D954" t="inlineStr">
        <is>
          <t>UPPSALA LÄN</t>
        </is>
      </c>
      <c r="E954" t="inlineStr">
        <is>
          <t>ÖSTHAMMAR</t>
        </is>
      </c>
      <c r="F954" t="inlineStr">
        <is>
          <t>Bergvik skog öst AB</t>
        </is>
      </c>
      <c r="G954" t="n">
        <v>3.1</v>
      </c>
      <c r="H954" t="n">
        <v>0</v>
      </c>
      <c r="I954" t="n">
        <v>0</v>
      </c>
      <c r="J954" t="n">
        <v>0</v>
      </c>
      <c r="K954" t="n">
        <v>0</v>
      </c>
      <c r="L954" t="n">
        <v>0</v>
      </c>
      <c r="M954" t="n">
        <v>0</v>
      </c>
      <c r="N954" t="n">
        <v>0</v>
      </c>
      <c r="O954" t="n">
        <v>0</v>
      </c>
      <c r="P954" t="n">
        <v>0</v>
      </c>
      <c r="Q954" t="n">
        <v>0</v>
      </c>
      <c r="R954" s="2" t="inlineStr"/>
    </row>
    <row r="955" ht="15" customHeight="1">
      <c r="A955" t="inlineStr">
        <is>
          <t>A 54368-2023</t>
        </is>
      </c>
      <c r="B955" s="1" t="n">
        <v>45233</v>
      </c>
      <c r="C955" s="1" t="n">
        <v>45665</v>
      </c>
      <c r="D955" t="inlineStr">
        <is>
          <t>UPPSALA LÄN</t>
        </is>
      </c>
      <c r="E955" t="inlineStr">
        <is>
          <t>ÖSTHAMMAR</t>
        </is>
      </c>
      <c r="F955" t="inlineStr">
        <is>
          <t>Bergvik skog öst AB</t>
        </is>
      </c>
      <c r="G955" t="n">
        <v>3</v>
      </c>
      <c r="H955" t="n">
        <v>0</v>
      </c>
      <c r="I955" t="n">
        <v>0</v>
      </c>
      <c r="J955" t="n">
        <v>0</v>
      </c>
      <c r="K955" t="n">
        <v>0</v>
      </c>
      <c r="L955" t="n">
        <v>0</v>
      </c>
      <c r="M955" t="n">
        <v>0</v>
      </c>
      <c r="N955" t="n">
        <v>0</v>
      </c>
      <c r="O955" t="n">
        <v>0</v>
      </c>
      <c r="P955" t="n">
        <v>0</v>
      </c>
      <c r="Q955" t="n">
        <v>0</v>
      </c>
      <c r="R955" s="2" t="inlineStr"/>
    </row>
    <row r="956" ht="15" customHeight="1">
      <c r="A956" t="inlineStr">
        <is>
          <t>A 55230-2023</t>
        </is>
      </c>
      <c r="B956" s="1" t="n">
        <v>45237</v>
      </c>
      <c r="C956" s="1" t="n">
        <v>45665</v>
      </c>
      <c r="D956" t="inlineStr">
        <is>
          <t>UPPSALA LÄN</t>
        </is>
      </c>
      <c r="E956" t="inlineStr">
        <is>
          <t>ÖSTHAMMAR</t>
        </is>
      </c>
      <c r="F956" t="inlineStr">
        <is>
          <t>Övriga Aktiebolag</t>
        </is>
      </c>
      <c r="G956" t="n">
        <v>19.7</v>
      </c>
      <c r="H956" t="n">
        <v>0</v>
      </c>
      <c r="I956" t="n">
        <v>0</v>
      </c>
      <c r="J956" t="n">
        <v>0</v>
      </c>
      <c r="K956" t="n">
        <v>0</v>
      </c>
      <c r="L956" t="n">
        <v>0</v>
      </c>
      <c r="M956" t="n">
        <v>0</v>
      </c>
      <c r="N956" t="n">
        <v>0</v>
      </c>
      <c r="O956" t="n">
        <v>0</v>
      </c>
      <c r="P956" t="n">
        <v>0</v>
      </c>
      <c r="Q956" t="n">
        <v>0</v>
      </c>
      <c r="R956" s="2" t="inlineStr"/>
    </row>
    <row r="957" ht="15" customHeight="1">
      <c r="A957" t="inlineStr">
        <is>
          <t>A 55387-2023</t>
        </is>
      </c>
      <c r="B957" s="1" t="n">
        <v>45238</v>
      </c>
      <c r="C957" s="1" t="n">
        <v>45665</v>
      </c>
      <c r="D957" t="inlineStr">
        <is>
          <t>UPPSALA LÄN</t>
        </is>
      </c>
      <c r="E957" t="inlineStr">
        <is>
          <t>ÖSTHAMMAR</t>
        </is>
      </c>
      <c r="F957" t="inlineStr">
        <is>
          <t>Bergvik skog öst AB</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55837-2023</t>
        </is>
      </c>
      <c r="B958" s="1" t="n">
        <v>45239</v>
      </c>
      <c r="C958" s="1" t="n">
        <v>45665</v>
      </c>
      <c r="D958" t="inlineStr">
        <is>
          <t>UPPSALA LÄN</t>
        </is>
      </c>
      <c r="E958" t="inlineStr">
        <is>
          <t>ÖSTHAMMAR</t>
        </is>
      </c>
      <c r="G958" t="n">
        <v>0.5</v>
      </c>
      <c r="H958" t="n">
        <v>0</v>
      </c>
      <c r="I958" t="n">
        <v>0</v>
      </c>
      <c r="J958" t="n">
        <v>0</v>
      </c>
      <c r="K958" t="n">
        <v>0</v>
      </c>
      <c r="L958" t="n">
        <v>0</v>
      </c>
      <c r="M958" t="n">
        <v>0</v>
      </c>
      <c r="N958" t="n">
        <v>0</v>
      </c>
      <c r="O958" t="n">
        <v>0</v>
      </c>
      <c r="P958" t="n">
        <v>0</v>
      </c>
      <c r="Q958" t="n">
        <v>0</v>
      </c>
      <c r="R958" s="2" t="inlineStr"/>
    </row>
    <row r="959" ht="15" customHeight="1">
      <c r="A959" t="inlineStr">
        <is>
          <t>A 56102-2023</t>
        </is>
      </c>
      <c r="B959" s="1" t="n">
        <v>45240</v>
      </c>
      <c r="C959" s="1" t="n">
        <v>45665</v>
      </c>
      <c r="D959" t="inlineStr">
        <is>
          <t>UPPSALA LÄN</t>
        </is>
      </c>
      <c r="E959" t="inlineStr">
        <is>
          <t>ÖSTHAMMAR</t>
        </is>
      </c>
      <c r="F959" t="inlineStr">
        <is>
          <t>Bergvik skog öst AB</t>
        </is>
      </c>
      <c r="G959" t="n">
        <v>0.9</v>
      </c>
      <c r="H959" t="n">
        <v>0</v>
      </c>
      <c r="I959" t="n">
        <v>0</v>
      </c>
      <c r="J959" t="n">
        <v>0</v>
      </c>
      <c r="K959" t="n">
        <v>0</v>
      </c>
      <c r="L959" t="n">
        <v>0</v>
      </c>
      <c r="M959" t="n">
        <v>0</v>
      </c>
      <c r="N959" t="n">
        <v>0</v>
      </c>
      <c r="O959" t="n">
        <v>0</v>
      </c>
      <c r="P959" t="n">
        <v>0</v>
      </c>
      <c r="Q959" t="n">
        <v>0</v>
      </c>
      <c r="R959" s="2" t="inlineStr"/>
    </row>
    <row r="960" ht="15" customHeight="1">
      <c r="A960" t="inlineStr">
        <is>
          <t>A 56418-2023</t>
        </is>
      </c>
      <c r="B960" s="1" t="n">
        <v>45243</v>
      </c>
      <c r="C960" s="1" t="n">
        <v>45665</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56434-2023</t>
        </is>
      </c>
      <c r="B961" s="1" t="n">
        <v>45243</v>
      </c>
      <c r="C961" s="1" t="n">
        <v>45665</v>
      </c>
      <c r="D961" t="inlineStr">
        <is>
          <t>UPPSALA LÄN</t>
        </is>
      </c>
      <c r="E961" t="inlineStr">
        <is>
          <t>ÖSTHAMMAR</t>
        </is>
      </c>
      <c r="F961" t="inlineStr">
        <is>
          <t>Bergvik skog öst AB</t>
        </is>
      </c>
      <c r="G961" t="n">
        <v>5.7</v>
      </c>
      <c r="H961" t="n">
        <v>0</v>
      </c>
      <c r="I961" t="n">
        <v>0</v>
      </c>
      <c r="J961" t="n">
        <v>0</v>
      </c>
      <c r="K961" t="n">
        <v>0</v>
      </c>
      <c r="L961" t="n">
        <v>0</v>
      </c>
      <c r="M961" t="n">
        <v>0</v>
      </c>
      <c r="N961" t="n">
        <v>0</v>
      </c>
      <c r="O961" t="n">
        <v>0</v>
      </c>
      <c r="P961" t="n">
        <v>0</v>
      </c>
      <c r="Q961" t="n">
        <v>0</v>
      </c>
      <c r="R961" s="2" t="inlineStr"/>
    </row>
    <row r="962" ht="15" customHeight="1">
      <c r="A962" t="inlineStr">
        <is>
          <t>A 56790-2023</t>
        </is>
      </c>
      <c r="B962" s="1" t="n">
        <v>45244</v>
      </c>
      <c r="C962" s="1" t="n">
        <v>45665</v>
      </c>
      <c r="D962" t="inlineStr">
        <is>
          <t>UPPSALA LÄN</t>
        </is>
      </c>
      <c r="E962" t="inlineStr">
        <is>
          <t>ÖSTHAMMAR</t>
        </is>
      </c>
      <c r="G962" t="n">
        <v>0.7</v>
      </c>
      <c r="H962" t="n">
        <v>0</v>
      </c>
      <c r="I962" t="n">
        <v>0</v>
      </c>
      <c r="J962" t="n">
        <v>0</v>
      </c>
      <c r="K962" t="n">
        <v>0</v>
      </c>
      <c r="L962" t="n">
        <v>0</v>
      </c>
      <c r="M962" t="n">
        <v>0</v>
      </c>
      <c r="N962" t="n">
        <v>0</v>
      </c>
      <c r="O962" t="n">
        <v>0</v>
      </c>
      <c r="P962" t="n">
        <v>0</v>
      </c>
      <c r="Q962" t="n">
        <v>0</v>
      </c>
      <c r="R962" s="2" t="inlineStr"/>
    </row>
    <row r="963" ht="15" customHeight="1">
      <c r="A963" t="inlineStr">
        <is>
          <t>A 56798-2023</t>
        </is>
      </c>
      <c r="B963" s="1" t="n">
        <v>45244</v>
      </c>
      <c r="C963" s="1" t="n">
        <v>45665</v>
      </c>
      <c r="D963" t="inlineStr">
        <is>
          <t>UPPSALA LÄN</t>
        </is>
      </c>
      <c r="E963" t="inlineStr">
        <is>
          <t>ÖSTHAMMAR</t>
        </is>
      </c>
      <c r="G963" t="n">
        <v>2.6</v>
      </c>
      <c r="H963" t="n">
        <v>0</v>
      </c>
      <c r="I963" t="n">
        <v>0</v>
      </c>
      <c r="J963" t="n">
        <v>0</v>
      </c>
      <c r="K963" t="n">
        <v>0</v>
      </c>
      <c r="L963" t="n">
        <v>0</v>
      </c>
      <c r="M963" t="n">
        <v>0</v>
      </c>
      <c r="N963" t="n">
        <v>0</v>
      </c>
      <c r="O963" t="n">
        <v>0</v>
      </c>
      <c r="P963" t="n">
        <v>0</v>
      </c>
      <c r="Q963" t="n">
        <v>0</v>
      </c>
      <c r="R963" s="2" t="inlineStr"/>
    </row>
    <row r="964" ht="15" customHeight="1">
      <c r="A964" t="inlineStr">
        <is>
          <t>A 56903-2023</t>
        </is>
      </c>
      <c r="B964" s="1" t="n">
        <v>45244</v>
      </c>
      <c r="C964" s="1" t="n">
        <v>45665</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56920-2023</t>
        </is>
      </c>
      <c r="B965" s="1" t="n">
        <v>45244</v>
      </c>
      <c r="C965" s="1" t="n">
        <v>45665</v>
      </c>
      <c r="D965" t="inlineStr">
        <is>
          <t>UPPSALA LÄN</t>
        </is>
      </c>
      <c r="E965" t="inlineStr">
        <is>
          <t>ÖSTHAMMAR</t>
        </is>
      </c>
      <c r="G965" t="n">
        <v>2</v>
      </c>
      <c r="H965" t="n">
        <v>0</v>
      </c>
      <c r="I965" t="n">
        <v>0</v>
      </c>
      <c r="J965" t="n">
        <v>0</v>
      </c>
      <c r="K965" t="n">
        <v>0</v>
      </c>
      <c r="L965" t="n">
        <v>0</v>
      </c>
      <c r="M965" t="n">
        <v>0</v>
      </c>
      <c r="N965" t="n">
        <v>0</v>
      </c>
      <c r="O965" t="n">
        <v>0</v>
      </c>
      <c r="P965" t="n">
        <v>0</v>
      </c>
      <c r="Q965" t="n">
        <v>0</v>
      </c>
      <c r="R965" s="2" t="inlineStr"/>
    </row>
    <row r="966" ht="15" customHeight="1">
      <c r="A966" t="inlineStr">
        <is>
          <t>A 56959-2023</t>
        </is>
      </c>
      <c r="B966" s="1" t="n">
        <v>45244</v>
      </c>
      <c r="C966" s="1" t="n">
        <v>45665</v>
      </c>
      <c r="D966" t="inlineStr">
        <is>
          <t>UPPSALA LÄN</t>
        </is>
      </c>
      <c r="E966" t="inlineStr">
        <is>
          <t>ÖSTHAMMAR</t>
        </is>
      </c>
      <c r="G966" t="n">
        <v>5</v>
      </c>
      <c r="H966" t="n">
        <v>0</v>
      </c>
      <c r="I966" t="n">
        <v>0</v>
      </c>
      <c r="J966" t="n">
        <v>0</v>
      </c>
      <c r="K966" t="n">
        <v>0</v>
      </c>
      <c r="L966" t="n">
        <v>0</v>
      </c>
      <c r="M966" t="n">
        <v>0</v>
      </c>
      <c r="N966" t="n">
        <v>0</v>
      </c>
      <c r="O966" t="n">
        <v>0</v>
      </c>
      <c r="P966" t="n">
        <v>0</v>
      </c>
      <c r="Q966" t="n">
        <v>0</v>
      </c>
      <c r="R966" s="2" t="inlineStr"/>
    </row>
    <row r="967" ht="15" customHeight="1">
      <c r="A967" t="inlineStr">
        <is>
          <t>A 58176-2023</t>
        </is>
      </c>
      <c r="B967" s="1" t="n">
        <v>45250</v>
      </c>
      <c r="C967" s="1" t="n">
        <v>45665</v>
      </c>
      <c r="D967" t="inlineStr">
        <is>
          <t>UPPSALA LÄN</t>
        </is>
      </c>
      <c r="E967" t="inlineStr">
        <is>
          <t>ÖSTHAMMAR</t>
        </is>
      </c>
      <c r="F967" t="inlineStr">
        <is>
          <t>Allmännings- och besparingsskogar</t>
        </is>
      </c>
      <c r="G967" t="n">
        <v>0.9</v>
      </c>
      <c r="H967" t="n">
        <v>0</v>
      </c>
      <c r="I967" t="n">
        <v>0</v>
      </c>
      <c r="J967" t="n">
        <v>0</v>
      </c>
      <c r="K967" t="n">
        <v>0</v>
      </c>
      <c r="L967" t="n">
        <v>0</v>
      </c>
      <c r="M967" t="n">
        <v>0</v>
      </c>
      <c r="N967" t="n">
        <v>0</v>
      </c>
      <c r="O967" t="n">
        <v>0</v>
      </c>
      <c r="P967" t="n">
        <v>0</v>
      </c>
      <c r="Q967" t="n">
        <v>0</v>
      </c>
      <c r="R967" s="2" t="inlineStr"/>
    </row>
    <row r="968" ht="15" customHeight="1">
      <c r="A968" t="inlineStr">
        <is>
          <t>A 58295-2023</t>
        </is>
      </c>
      <c r="B968" s="1" t="n">
        <v>45250</v>
      </c>
      <c r="C968" s="1" t="n">
        <v>45665</v>
      </c>
      <c r="D968" t="inlineStr">
        <is>
          <t>UPPSALA LÄN</t>
        </is>
      </c>
      <c r="E968" t="inlineStr">
        <is>
          <t>ÖSTHAMMAR</t>
        </is>
      </c>
      <c r="G968" t="n">
        <v>1.7</v>
      </c>
      <c r="H968" t="n">
        <v>0</v>
      </c>
      <c r="I968" t="n">
        <v>0</v>
      </c>
      <c r="J968" t="n">
        <v>0</v>
      </c>
      <c r="K968" t="n">
        <v>0</v>
      </c>
      <c r="L968" t="n">
        <v>0</v>
      </c>
      <c r="M968" t="n">
        <v>0</v>
      </c>
      <c r="N968" t="n">
        <v>0</v>
      </c>
      <c r="O968" t="n">
        <v>0</v>
      </c>
      <c r="P968" t="n">
        <v>0</v>
      </c>
      <c r="Q968" t="n">
        <v>0</v>
      </c>
      <c r="R968" s="2" t="inlineStr"/>
    </row>
    <row r="969" ht="15" customHeight="1">
      <c r="A969" t="inlineStr">
        <is>
          <t>A 58270-2023</t>
        </is>
      </c>
      <c r="B969" s="1" t="n">
        <v>45250</v>
      </c>
      <c r="C969" s="1" t="n">
        <v>45665</v>
      </c>
      <c r="D969" t="inlineStr">
        <is>
          <t>UPPSALA LÄN</t>
        </is>
      </c>
      <c r="E969" t="inlineStr">
        <is>
          <t>ÖSTHAMMAR</t>
        </is>
      </c>
      <c r="G969" t="n">
        <v>1.3</v>
      </c>
      <c r="H969" t="n">
        <v>0</v>
      </c>
      <c r="I969" t="n">
        <v>0</v>
      </c>
      <c r="J969" t="n">
        <v>0</v>
      </c>
      <c r="K969" t="n">
        <v>0</v>
      </c>
      <c r="L969" t="n">
        <v>0</v>
      </c>
      <c r="M969" t="n">
        <v>0</v>
      </c>
      <c r="N969" t="n">
        <v>0</v>
      </c>
      <c r="O969" t="n">
        <v>0</v>
      </c>
      <c r="P969" t="n">
        <v>0</v>
      </c>
      <c r="Q969" t="n">
        <v>0</v>
      </c>
      <c r="R969" s="2" t="inlineStr"/>
    </row>
    <row r="970" ht="15" customHeight="1">
      <c r="A970" t="inlineStr">
        <is>
          <t>A 58301-2023</t>
        </is>
      </c>
      <c r="B970" s="1" t="n">
        <v>45250</v>
      </c>
      <c r="C970" s="1" t="n">
        <v>45665</v>
      </c>
      <c r="D970" t="inlineStr">
        <is>
          <t>UPPSALA LÄN</t>
        </is>
      </c>
      <c r="E970" t="inlineStr">
        <is>
          <t>ÖSTHAMMAR</t>
        </is>
      </c>
      <c r="G970" t="n">
        <v>5.9</v>
      </c>
      <c r="H970" t="n">
        <v>0</v>
      </c>
      <c r="I970" t="n">
        <v>0</v>
      </c>
      <c r="J970" t="n">
        <v>0</v>
      </c>
      <c r="K970" t="n">
        <v>0</v>
      </c>
      <c r="L970" t="n">
        <v>0</v>
      </c>
      <c r="M970" t="n">
        <v>0</v>
      </c>
      <c r="N970" t="n">
        <v>0</v>
      </c>
      <c r="O970" t="n">
        <v>0</v>
      </c>
      <c r="P970" t="n">
        <v>0</v>
      </c>
      <c r="Q970" t="n">
        <v>0</v>
      </c>
      <c r="R970" s="2" t="inlineStr"/>
    </row>
    <row r="971" ht="15" customHeight="1">
      <c r="A971" t="inlineStr">
        <is>
          <t>A 58324-2023</t>
        </is>
      </c>
      <c r="B971" s="1" t="n">
        <v>45250</v>
      </c>
      <c r="C971" s="1" t="n">
        <v>45665</v>
      </c>
      <c r="D971" t="inlineStr">
        <is>
          <t>UPPSALA LÄN</t>
        </is>
      </c>
      <c r="E971" t="inlineStr">
        <is>
          <t>ÖSTHAMMAR</t>
        </is>
      </c>
      <c r="G971" t="n">
        <v>5.1</v>
      </c>
      <c r="H971" t="n">
        <v>0</v>
      </c>
      <c r="I971" t="n">
        <v>0</v>
      </c>
      <c r="J971" t="n">
        <v>0</v>
      </c>
      <c r="K971" t="n">
        <v>0</v>
      </c>
      <c r="L971" t="n">
        <v>0</v>
      </c>
      <c r="M971" t="n">
        <v>0</v>
      </c>
      <c r="N971" t="n">
        <v>0</v>
      </c>
      <c r="O971" t="n">
        <v>0</v>
      </c>
      <c r="P971" t="n">
        <v>0</v>
      </c>
      <c r="Q971" t="n">
        <v>0</v>
      </c>
      <c r="R971" s="2" t="inlineStr"/>
    </row>
    <row r="972" ht="15" customHeight="1">
      <c r="A972" t="inlineStr">
        <is>
          <t>A 58431-2023</t>
        </is>
      </c>
      <c r="B972" s="1" t="n">
        <v>45250</v>
      </c>
      <c r="C972" s="1" t="n">
        <v>45665</v>
      </c>
      <c r="D972" t="inlineStr">
        <is>
          <t>UPPSALA LÄN</t>
        </is>
      </c>
      <c r="E972" t="inlineStr">
        <is>
          <t>ÖSTHAMMAR</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58855-2023</t>
        </is>
      </c>
      <c r="B973" s="1" t="n">
        <v>45252</v>
      </c>
      <c r="C973" s="1" t="n">
        <v>45665</v>
      </c>
      <c r="D973" t="inlineStr">
        <is>
          <t>UPPSALA LÄN</t>
        </is>
      </c>
      <c r="E973" t="inlineStr">
        <is>
          <t>ÖSTHAMMAR</t>
        </is>
      </c>
      <c r="G973" t="n">
        <v>1.5</v>
      </c>
      <c r="H973" t="n">
        <v>0</v>
      </c>
      <c r="I973" t="n">
        <v>0</v>
      </c>
      <c r="J973" t="n">
        <v>0</v>
      </c>
      <c r="K973" t="n">
        <v>0</v>
      </c>
      <c r="L973" t="n">
        <v>0</v>
      </c>
      <c r="M973" t="n">
        <v>0</v>
      </c>
      <c r="N973" t="n">
        <v>0</v>
      </c>
      <c r="O973" t="n">
        <v>0</v>
      </c>
      <c r="P973" t="n">
        <v>0</v>
      </c>
      <c r="Q973" t="n">
        <v>0</v>
      </c>
      <c r="R973" s="2" t="inlineStr"/>
    </row>
    <row r="974" ht="15" customHeight="1">
      <c r="A974" t="inlineStr">
        <is>
          <t>A 58854-2023</t>
        </is>
      </c>
      <c r="B974" s="1" t="n">
        <v>45252</v>
      </c>
      <c r="C974" s="1" t="n">
        <v>45665</v>
      </c>
      <c r="D974" t="inlineStr">
        <is>
          <t>UPPSALA LÄN</t>
        </is>
      </c>
      <c r="E974" t="inlineStr">
        <is>
          <t>ÖSTHAMMAR</t>
        </is>
      </c>
      <c r="G974" t="n">
        <v>3.9</v>
      </c>
      <c r="H974" t="n">
        <v>0</v>
      </c>
      <c r="I974" t="n">
        <v>0</v>
      </c>
      <c r="J974" t="n">
        <v>0</v>
      </c>
      <c r="K974" t="n">
        <v>0</v>
      </c>
      <c r="L974" t="n">
        <v>0</v>
      </c>
      <c r="M974" t="n">
        <v>0</v>
      </c>
      <c r="N974" t="n">
        <v>0</v>
      </c>
      <c r="O974" t="n">
        <v>0</v>
      </c>
      <c r="P974" t="n">
        <v>0</v>
      </c>
      <c r="Q974" t="n">
        <v>0</v>
      </c>
      <c r="R974" s="2" t="inlineStr"/>
    </row>
    <row r="975" ht="15" customHeight="1">
      <c r="A975" t="inlineStr">
        <is>
          <t>A 58859-2023</t>
        </is>
      </c>
      <c r="B975" s="1" t="n">
        <v>45252</v>
      </c>
      <c r="C975" s="1" t="n">
        <v>45665</v>
      </c>
      <c r="D975" t="inlineStr">
        <is>
          <t>UPPSALA LÄN</t>
        </is>
      </c>
      <c r="E975" t="inlineStr">
        <is>
          <t>ÖSTHAMMAR</t>
        </is>
      </c>
      <c r="G975" t="n">
        <v>0.9</v>
      </c>
      <c r="H975" t="n">
        <v>0</v>
      </c>
      <c r="I975" t="n">
        <v>0</v>
      </c>
      <c r="J975" t="n">
        <v>0</v>
      </c>
      <c r="K975" t="n">
        <v>0</v>
      </c>
      <c r="L975" t="n">
        <v>0</v>
      </c>
      <c r="M975" t="n">
        <v>0</v>
      </c>
      <c r="N975" t="n">
        <v>0</v>
      </c>
      <c r="O975" t="n">
        <v>0</v>
      </c>
      <c r="P975" t="n">
        <v>0</v>
      </c>
      <c r="Q975" t="n">
        <v>0</v>
      </c>
      <c r="R975" s="2" t="inlineStr"/>
    </row>
    <row r="976" ht="15" customHeight="1">
      <c r="A976" t="inlineStr">
        <is>
          <t>A 59244-2023</t>
        </is>
      </c>
      <c r="B976" s="1" t="n">
        <v>45253</v>
      </c>
      <c r="C976" s="1" t="n">
        <v>45665</v>
      </c>
      <c r="D976" t="inlineStr">
        <is>
          <t>UPPSALA LÄN</t>
        </is>
      </c>
      <c r="E976" t="inlineStr">
        <is>
          <t>ÖSTHAMMAR</t>
        </is>
      </c>
      <c r="G976" t="n">
        <v>12.9</v>
      </c>
      <c r="H976" t="n">
        <v>0</v>
      </c>
      <c r="I976" t="n">
        <v>0</v>
      </c>
      <c r="J976" t="n">
        <v>0</v>
      </c>
      <c r="K976" t="n">
        <v>0</v>
      </c>
      <c r="L976" t="n">
        <v>0</v>
      </c>
      <c r="M976" t="n">
        <v>0</v>
      </c>
      <c r="N976" t="n">
        <v>0</v>
      </c>
      <c r="O976" t="n">
        <v>0</v>
      </c>
      <c r="P976" t="n">
        <v>0</v>
      </c>
      <c r="Q976" t="n">
        <v>0</v>
      </c>
      <c r="R976" s="2" t="inlineStr"/>
    </row>
    <row r="977" ht="15" customHeight="1">
      <c r="A977" t="inlineStr">
        <is>
          <t>A 59288-2023</t>
        </is>
      </c>
      <c r="B977" s="1" t="n">
        <v>45253</v>
      </c>
      <c r="C977" s="1" t="n">
        <v>45665</v>
      </c>
      <c r="D977" t="inlineStr">
        <is>
          <t>UPPSALA LÄN</t>
        </is>
      </c>
      <c r="E977" t="inlineStr">
        <is>
          <t>ÖSTHAMMAR</t>
        </is>
      </c>
      <c r="G977" t="n">
        <v>7</v>
      </c>
      <c r="H977" t="n">
        <v>0</v>
      </c>
      <c r="I977" t="n">
        <v>0</v>
      </c>
      <c r="J977" t="n">
        <v>0</v>
      </c>
      <c r="K977" t="n">
        <v>0</v>
      </c>
      <c r="L977" t="n">
        <v>0</v>
      </c>
      <c r="M977" t="n">
        <v>0</v>
      </c>
      <c r="N977" t="n">
        <v>0</v>
      </c>
      <c r="O977" t="n">
        <v>0</v>
      </c>
      <c r="P977" t="n">
        <v>0</v>
      </c>
      <c r="Q977" t="n">
        <v>0</v>
      </c>
      <c r="R977" s="2" t="inlineStr"/>
    </row>
    <row r="978" ht="15" customHeight="1">
      <c r="A978" t="inlineStr">
        <is>
          <t>A 59314-2023</t>
        </is>
      </c>
      <c r="B978" s="1" t="n">
        <v>45253</v>
      </c>
      <c r="C978" s="1" t="n">
        <v>45665</v>
      </c>
      <c r="D978" t="inlineStr">
        <is>
          <t>UPPSALA LÄN</t>
        </is>
      </c>
      <c r="E978" t="inlineStr">
        <is>
          <t>ÖSTHAMMAR</t>
        </is>
      </c>
      <c r="G978" t="n">
        <v>1</v>
      </c>
      <c r="H978" t="n">
        <v>0</v>
      </c>
      <c r="I978" t="n">
        <v>0</v>
      </c>
      <c r="J978" t="n">
        <v>0</v>
      </c>
      <c r="K978" t="n">
        <v>0</v>
      </c>
      <c r="L978" t="n">
        <v>0</v>
      </c>
      <c r="M978" t="n">
        <v>0</v>
      </c>
      <c r="N978" t="n">
        <v>0</v>
      </c>
      <c r="O978" t="n">
        <v>0</v>
      </c>
      <c r="P978" t="n">
        <v>0</v>
      </c>
      <c r="Q978" t="n">
        <v>0</v>
      </c>
      <c r="R978" s="2" t="inlineStr"/>
    </row>
    <row r="979" ht="15" customHeight="1">
      <c r="A979" t="inlineStr">
        <is>
          <t>A 59318-2023</t>
        </is>
      </c>
      <c r="B979" s="1" t="n">
        <v>45253</v>
      </c>
      <c r="C979" s="1" t="n">
        <v>45665</v>
      </c>
      <c r="D979" t="inlineStr">
        <is>
          <t>UPPSALA LÄN</t>
        </is>
      </c>
      <c r="E979" t="inlineStr">
        <is>
          <t>ÖSTHAMMAR</t>
        </is>
      </c>
      <c r="G979" t="n">
        <v>0.6</v>
      </c>
      <c r="H979" t="n">
        <v>0</v>
      </c>
      <c r="I979" t="n">
        <v>0</v>
      </c>
      <c r="J979" t="n">
        <v>0</v>
      </c>
      <c r="K979" t="n">
        <v>0</v>
      </c>
      <c r="L979" t="n">
        <v>0</v>
      </c>
      <c r="M979" t="n">
        <v>0</v>
      </c>
      <c r="N979" t="n">
        <v>0</v>
      </c>
      <c r="O979" t="n">
        <v>0</v>
      </c>
      <c r="P979" t="n">
        <v>0</v>
      </c>
      <c r="Q979" t="n">
        <v>0</v>
      </c>
      <c r="R979" s="2" t="inlineStr"/>
    </row>
    <row r="980" ht="15" customHeight="1">
      <c r="A980" t="inlineStr">
        <is>
          <t>A 59327-2023</t>
        </is>
      </c>
      <c r="B980" s="1" t="n">
        <v>45253</v>
      </c>
      <c r="C980" s="1" t="n">
        <v>45665</v>
      </c>
      <c r="D980" t="inlineStr">
        <is>
          <t>UPPSALA LÄN</t>
        </is>
      </c>
      <c r="E980" t="inlineStr">
        <is>
          <t>ÖSTHAMMAR</t>
        </is>
      </c>
      <c r="G980" t="n">
        <v>3.1</v>
      </c>
      <c r="H980" t="n">
        <v>0</v>
      </c>
      <c r="I980" t="n">
        <v>0</v>
      </c>
      <c r="J980" t="n">
        <v>0</v>
      </c>
      <c r="K980" t="n">
        <v>0</v>
      </c>
      <c r="L980" t="n">
        <v>0</v>
      </c>
      <c r="M980" t="n">
        <v>0</v>
      </c>
      <c r="N980" t="n">
        <v>0</v>
      </c>
      <c r="O980" t="n">
        <v>0</v>
      </c>
      <c r="P980" t="n">
        <v>0</v>
      </c>
      <c r="Q980" t="n">
        <v>0</v>
      </c>
      <c r="R980" s="2" t="inlineStr"/>
    </row>
    <row r="981" ht="15" customHeight="1">
      <c r="A981" t="inlineStr">
        <is>
          <t>A 59291-2023</t>
        </is>
      </c>
      <c r="B981" s="1" t="n">
        <v>45253</v>
      </c>
      <c r="C981" s="1" t="n">
        <v>45665</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59731-2023</t>
        </is>
      </c>
      <c r="B982" s="1" t="n">
        <v>45257</v>
      </c>
      <c r="C982" s="1" t="n">
        <v>45665</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60303-2023</t>
        </is>
      </c>
      <c r="B983" s="1" t="n">
        <v>45258</v>
      </c>
      <c r="C983" s="1" t="n">
        <v>45665</v>
      </c>
      <c r="D983" t="inlineStr">
        <is>
          <t>UPPSALA LÄN</t>
        </is>
      </c>
      <c r="E983" t="inlineStr">
        <is>
          <t>ÖSTHAMMAR</t>
        </is>
      </c>
      <c r="F983" t="inlineStr">
        <is>
          <t>Bergvik skog öst AB</t>
        </is>
      </c>
      <c r="G983" t="n">
        <v>10.8</v>
      </c>
      <c r="H983" t="n">
        <v>0</v>
      </c>
      <c r="I983" t="n">
        <v>0</v>
      </c>
      <c r="J983" t="n">
        <v>0</v>
      </c>
      <c r="K983" t="n">
        <v>0</v>
      </c>
      <c r="L983" t="n">
        <v>0</v>
      </c>
      <c r="M983" t="n">
        <v>0</v>
      </c>
      <c r="N983" t="n">
        <v>0</v>
      </c>
      <c r="O983" t="n">
        <v>0</v>
      </c>
      <c r="P983" t="n">
        <v>0</v>
      </c>
      <c r="Q983" t="n">
        <v>0</v>
      </c>
      <c r="R983" s="2" t="inlineStr"/>
    </row>
    <row r="984" ht="15" customHeight="1">
      <c r="A984" t="inlineStr">
        <is>
          <t>A 60555-2023</t>
        </is>
      </c>
      <c r="B984" s="1" t="n">
        <v>45259</v>
      </c>
      <c r="C984" s="1" t="n">
        <v>45665</v>
      </c>
      <c r="D984" t="inlineStr">
        <is>
          <t>UPPSALA LÄN</t>
        </is>
      </c>
      <c r="E984" t="inlineStr">
        <is>
          <t>ÖSTHAMMAR</t>
        </is>
      </c>
      <c r="G984" t="n">
        <v>2</v>
      </c>
      <c r="H984" t="n">
        <v>0</v>
      </c>
      <c r="I984" t="n">
        <v>0</v>
      </c>
      <c r="J984" t="n">
        <v>0</v>
      </c>
      <c r="K984" t="n">
        <v>0</v>
      </c>
      <c r="L984" t="n">
        <v>0</v>
      </c>
      <c r="M984" t="n">
        <v>0</v>
      </c>
      <c r="N984" t="n">
        <v>0</v>
      </c>
      <c r="O984" t="n">
        <v>0</v>
      </c>
      <c r="P984" t="n">
        <v>0</v>
      </c>
      <c r="Q984" t="n">
        <v>0</v>
      </c>
      <c r="R984" s="2" t="inlineStr"/>
    </row>
    <row r="985" ht="15" customHeight="1">
      <c r="A985" t="inlineStr">
        <is>
          <t>A 61062-2023</t>
        </is>
      </c>
      <c r="B985" s="1" t="n">
        <v>45259</v>
      </c>
      <c r="C985" s="1" t="n">
        <v>45665</v>
      </c>
      <c r="D985" t="inlineStr">
        <is>
          <t>UPPSALA LÄN</t>
        </is>
      </c>
      <c r="E985" t="inlineStr">
        <is>
          <t>ÖSTHAMMAR</t>
        </is>
      </c>
      <c r="G985" t="n">
        <v>5.3</v>
      </c>
      <c r="H985" t="n">
        <v>0</v>
      </c>
      <c r="I985" t="n">
        <v>0</v>
      </c>
      <c r="J985" t="n">
        <v>0</v>
      </c>
      <c r="K985" t="n">
        <v>0</v>
      </c>
      <c r="L985" t="n">
        <v>0</v>
      </c>
      <c r="M985" t="n">
        <v>0</v>
      </c>
      <c r="N985" t="n">
        <v>0</v>
      </c>
      <c r="O985" t="n">
        <v>0</v>
      </c>
      <c r="P985" t="n">
        <v>0</v>
      </c>
      <c r="Q985" t="n">
        <v>0</v>
      </c>
      <c r="R985" s="2" t="inlineStr"/>
    </row>
    <row r="986" ht="15" customHeight="1">
      <c r="A986" t="inlineStr">
        <is>
          <t>A 61063-2023</t>
        </is>
      </c>
      <c r="B986" s="1" t="n">
        <v>45259</v>
      </c>
      <c r="C986" s="1" t="n">
        <v>45665</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60722-2023</t>
        </is>
      </c>
      <c r="B987" s="1" t="n">
        <v>45260</v>
      </c>
      <c r="C987" s="1" t="n">
        <v>45665</v>
      </c>
      <c r="D987" t="inlineStr">
        <is>
          <t>UPPSALA LÄN</t>
        </is>
      </c>
      <c r="E987" t="inlineStr">
        <is>
          <t>ÖSTHAMMAR</t>
        </is>
      </c>
      <c r="G987" t="n">
        <v>1.8</v>
      </c>
      <c r="H987" t="n">
        <v>0</v>
      </c>
      <c r="I987" t="n">
        <v>0</v>
      </c>
      <c r="J987" t="n">
        <v>0</v>
      </c>
      <c r="K987" t="n">
        <v>0</v>
      </c>
      <c r="L987" t="n">
        <v>0</v>
      </c>
      <c r="M987" t="n">
        <v>0</v>
      </c>
      <c r="N987" t="n">
        <v>0</v>
      </c>
      <c r="O987" t="n">
        <v>0</v>
      </c>
      <c r="P987" t="n">
        <v>0</v>
      </c>
      <c r="Q987" t="n">
        <v>0</v>
      </c>
      <c r="R987" s="2" t="inlineStr"/>
    </row>
    <row r="988" ht="15" customHeight="1">
      <c r="A988" t="inlineStr">
        <is>
          <t>A 61109-2023</t>
        </is>
      </c>
      <c r="B988" s="1" t="n">
        <v>45261</v>
      </c>
      <c r="C988" s="1" t="n">
        <v>45665</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61246-2023</t>
        </is>
      </c>
      <c r="B989" s="1" t="n">
        <v>45264</v>
      </c>
      <c r="C989" s="1" t="n">
        <v>45665</v>
      </c>
      <c r="D989" t="inlineStr">
        <is>
          <t>UPPSALA LÄN</t>
        </is>
      </c>
      <c r="E989" t="inlineStr">
        <is>
          <t>ÖSTHAMMAR</t>
        </is>
      </c>
      <c r="F989" t="inlineStr">
        <is>
          <t>Allmännings- och besparingsskogar</t>
        </is>
      </c>
      <c r="G989" t="n">
        <v>1</v>
      </c>
      <c r="H989" t="n">
        <v>0</v>
      </c>
      <c r="I989" t="n">
        <v>0</v>
      </c>
      <c r="J989" t="n">
        <v>0</v>
      </c>
      <c r="K989" t="n">
        <v>0</v>
      </c>
      <c r="L989" t="n">
        <v>0</v>
      </c>
      <c r="M989" t="n">
        <v>0</v>
      </c>
      <c r="N989" t="n">
        <v>0</v>
      </c>
      <c r="O989" t="n">
        <v>0</v>
      </c>
      <c r="P989" t="n">
        <v>0</v>
      </c>
      <c r="Q989" t="n">
        <v>0</v>
      </c>
      <c r="R989" s="2" t="inlineStr"/>
    </row>
    <row r="990" ht="15" customHeight="1">
      <c r="A990" t="inlineStr">
        <is>
          <t>A 61428-2023</t>
        </is>
      </c>
      <c r="B990" s="1" t="n">
        <v>45264</v>
      </c>
      <c r="C990" s="1" t="n">
        <v>45665</v>
      </c>
      <c r="D990" t="inlineStr">
        <is>
          <t>UPPSALA LÄN</t>
        </is>
      </c>
      <c r="E990" t="inlineStr">
        <is>
          <t>ÖSTHAMMAR</t>
        </is>
      </c>
      <c r="F990" t="inlineStr">
        <is>
          <t>Allmännings- och besparingsskogar</t>
        </is>
      </c>
      <c r="G990" t="n">
        <v>1.2</v>
      </c>
      <c r="H990" t="n">
        <v>0</v>
      </c>
      <c r="I990" t="n">
        <v>0</v>
      </c>
      <c r="J990" t="n">
        <v>0</v>
      </c>
      <c r="K990" t="n">
        <v>0</v>
      </c>
      <c r="L990" t="n">
        <v>0</v>
      </c>
      <c r="M990" t="n">
        <v>0</v>
      </c>
      <c r="N990" t="n">
        <v>0</v>
      </c>
      <c r="O990" t="n">
        <v>0</v>
      </c>
      <c r="P990" t="n">
        <v>0</v>
      </c>
      <c r="Q990" t="n">
        <v>0</v>
      </c>
      <c r="R990" s="2" t="inlineStr"/>
    </row>
    <row r="991" ht="15" customHeight="1">
      <c r="A991" t="inlineStr">
        <is>
          <t>A 62695-2023</t>
        </is>
      </c>
      <c r="B991" s="1" t="n">
        <v>45271</v>
      </c>
      <c r="C991" s="1" t="n">
        <v>45665</v>
      </c>
      <c r="D991" t="inlineStr">
        <is>
          <t>UPPSALA LÄN</t>
        </is>
      </c>
      <c r="E991" t="inlineStr">
        <is>
          <t>ÖSTHAMMAR</t>
        </is>
      </c>
      <c r="G991" t="n">
        <v>5.3</v>
      </c>
      <c r="H991" t="n">
        <v>0</v>
      </c>
      <c r="I991" t="n">
        <v>0</v>
      </c>
      <c r="J991" t="n">
        <v>0</v>
      </c>
      <c r="K991" t="n">
        <v>0</v>
      </c>
      <c r="L991" t="n">
        <v>0</v>
      </c>
      <c r="M991" t="n">
        <v>0</v>
      </c>
      <c r="N991" t="n">
        <v>0</v>
      </c>
      <c r="O991" t="n">
        <v>0</v>
      </c>
      <c r="P991" t="n">
        <v>0</v>
      </c>
      <c r="Q991" t="n">
        <v>0</v>
      </c>
      <c r="R991" s="2" t="inlineStr"/>
    </row>
    <row r="992" ht="15" customHeight="1">
      <c r="A992" t="inlineStr">
        <is>
          <t>A 64774-2023</t>
        </is>
      </c>
      <c r="B992" s="1" t="n">
        <v>45282</v>
      </c>
      <c r="C992" s="1" t="n">
        <v>45665</v>
      </c>
      <c r="D992" t="inlineStr">
        <is>
          <t>UPPSALA LÄN</t>
        </is>
      </c>
      <c r="E992" t="inlineStr">
        <is>
          <t>ÖSTHAMMAR</t>
        </is>
      </c>
      <c r="F992" t="inlineStr">
        <is>
          <t>Övriga Aktiebolag</t>
        </is>
      </c>
      <c r="G992" t="n">
        <v>3.7</v>
      </c>
      <c r="H992" t="n">
        <v>0</v>
      </c>
      <c r="I992" t="n">
        <v>0</v>
      </c>
      <c r="J992" t="n">
        <v>0</v>
      </c>
      <c r="K992" t="n">
        <v>0</v>
      </c>
      <c r="L992" t="n">
        <v>0</v>
      </c>
      <c r="M992" t="n">
        <v>0</v>
      </c>
      <c r="N992" t="n">
        <v>0</v>
      </c>
      <c r="O992" t="n">
        <v>0</v>
      </c>
      <c r="P992" t="n">
        <v>0</v>
      </c>
      <c r="Q992" t="n">
        <v>0</v>
      </c>
      <c r="R992" s="2" t="inlineStr"/>
    </row>
    <row r="993" ht="15" customHeight="1">
      <c r="A993" t="inlineStr">
        <is>
          <t>A 2462-2024</t>
        </is>
      </c>
      <c r="B993" s="1" t="n">
        <v>45313</v>
      </c>
      <c r="C993" s="1" t="n">
        <v>45665</v>
      </c>
      <c r="D993" t="inlineStr">
        <is>
          <t>UPPSALA LÄN</t>
        </is>
      </c>
      <c r="E993" t="inlineStr">
        <is>
          <t>ÖSTHAMMAR</t>
        </is>
      </c>
      <c r="G993" t="n">
        <v>2.4</v>
      </c>
      <c r="H993" t="n">
        <v>0</v>
      </c>
      <c r="I993" t="n">
        <v>0</v>
      </c>
      <c r="J993" t="n">
        <v>0</v>
      </c>
      <c r="K993" t="n">
        <v>0</v>
      </c>
      <c r="L993" t="n">
        <v>0</v>
      </c>
      <c r="M993" t="n">
        <v>0</v>
      </c>
      <c r="N993" t="n">
        <v>0</v>
      </c>
      <c r="O993" t="n">
        <v>0</v>
      </c>
      <c r="P993" t="n">
        <v>0</v>
      </c>
      <c r="Q993" t="n">
        <v>0</v>
      </c>
      <c r="R993" s="2" t="inlineStr"/>
    </row>
    <row r="994" ht="15" customHeight="1">
      <c r="A994" t="inlineStr">
        <is>
          <t>A 2920-2024</t>
        </is>
      </c>
      <c r="B994" s="1" t="n">
        <v>45315</v>
      </c>
      <c r="C994" s="1" t="n">
        <v>45665</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4984-2024</t>
        </is>
      </c>
      <c r="B995" s="1" t="n">
        <v>45329</v>
      </c>
      <c r="C995" s="1" t="n">
        <v>45665</v>
      </c>
      <c r="D995" t="inlineStr">
        <is>
          <t>UPPSALA LÄN</t>
        </is>
      </c>
      <c r="E995" t="inlineStr">
        <is>
          <t>ÖSTHAMMAR</t>
        </is>
      </c>
      <c r="G995" t="n">
        <v>2.2</v>
      </c>
      <c r="H995" t="n">
        <v>0</v>
      </c>
      <c r="I995" t="n">
        <v>0</v>
      </c>
      <c r="J995" t="n">
        <v>0</v>
      </c>
      <c r="K995" t="n">
        <v>0</v>
      </c>
      <c r="L995" t="n">
        <v>0</v>
      </c>
      <c r="M995" t="n">
        <v>0</v>
      </c>
      <c r="N995" t="n">
        <v>0</v>
      </c>
      <c r="O995" t="n">
        <v>0</v>
      </c>
      <c r="P995" t="n">
        <v>0</v>
      </c>
      <c r="Q995" t="n">
        <v>0</v>
      </c>
      <c r="R995" s="2" t="inlineStr"/>
    </row>
    <row r="996" ht="15" customHeight="1">
      <c r="A996" t="inlineStr">
        <is>
          <t>A 5042-2024</t>
        </is>
      </c>
      <c r="B996" s="1" t="n">
        <v>45329</v>
      </c>
      <c r="C996" s="1" t="n">
        <v>45665</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5149-2024</t>
        </is>
      </c>
      <c r="B997" s="1" t="n">
        <v>45330</v>
      </c>
      <c r="C997" s="1" t="n">
        <v>45665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5198-2024</t>
        </is>
      </c>
      <c r="B998" s="1" t="n">
        <v>45330</v>
      </c>
      <c r="C998" s="1" t="n">
        <v>45665</v>
      </c>
      <c r="D998" t="inlineStr">
        <is>
          <t>UPPSALA LÄN</t>
        </is>
      </c>
      <c r="E998" t="inlineStr">
        <is>
          <t>ÖSTHAMMAR</t>
        </is>
      </c>
      <c r="F998" t="inlineStr">
        <is>
          <t>Övriga Aktiebolag</t>
        </is>
      </c>
      <c r="G998" t="n">
        <v>2.4</v>
      </c>
      <c r="H998" t="n">
        <v>0</v>
      </c>
      <c r="I998" t="n">
        <v>0</v>
      </c>
      <c r="J998" t="n">
        <v>0</v>
      </c>
      <c r="K998" t="n">
        <v>0</v>
      </c>
      <c r="L998" t="n">
        <v>0</v>
      </c>
      <c r="M998" t="n">
        <v>0</v>
      </c>
      <c r="N998" t="n">
        <v>0</v>
      </c>
      <c r="O998" t="n">
        <v>0</v>
      </c>
      <c r="P998" t="n">
        <v>0</v>
      </c>
      <c r="Q998" t="n">
        <v>0</v>
      </c>
      <c r="R998" s="2" t="inlineStr"/>
    </row>
    <row r="999" ht="15" customHeight="1">
      <c r="A999" t="inlineStr">
        <is>
          <t>A 5216-2024</t>
        </is>
      </c>
      <c r="B999" s="1" t="n">
        <v>45330</v>
      </c>
      <c r="C999" s="1" t="n">
        <v>45665</v>
      </c>
      <c r="D999" t="inlineStr">
        <is>
          <t>UPPSALA LÄN</t>
        </is>
      </c>
      <c r="E999" t="inlineStr">
        <is>
          <t>ÖSTHAMMAR</t>
        </is>
      </c>
      <c r="G999" t="n">
        <v>2.6</v>
      </c>
      <c r="H999" t="n">
        <v>0</v>
      </c>
      <c r="I999" t="n">
        <v>0</v>
      </c>
      <c r="J999" t="n">
        <v>0</v>
      </c>
      <c r="K999" t="n">
        <v>0</v>
      </c>
      <c r="L999" t="n">
        <v>0</v>
      </c>
      <c r="M999" t="n">
        <v>0</v>
      </c>
      <c r="N999" t="n">
        <v>0</v>
      </c>
      <c r="O999" t="n">
        <v>0</v>
      </c>
      <c r="P999" t="n">
        <v>0</v>
      </c>
      <c r="Q999" t="n">
        <v>0</v>
      </c>
      <c r="R999" s="2" t="inlineStr"/>
    </row>
    <row r="1000" ht="15" customHeight="1">
      <c r="A1000" t="inlineStr">
        <is>
          <t>A 5161-2024</t>
        </is>
      </c>
      <c r="B1000" s="1" t="n">
        <v>45330</v>
      </c>
      <c r="C1000" s="1" t="n">
        <v>45665</v>
      </c>
      <c r="D1000" t="inlineStr">
        <is>
          <t>UPPSALA LÄN</t>
        </is>
      </c>
      <c r="E1000" t="inlineStr">
        <is>
          <t>ÖSTHAMMAR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5223-2024</t>
        </is>
      </c>
      <c r="B1001" s="1" t="n">
        <v>45330</v>
      </c>
      <c r="C1001" s="1" t="n">
        <v>45665</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5851-2024</t>
        </is>
      </c>
      <c r="B1002" s="1" t="n">
        <v>45335</v>
      </c>
      <c r="C1002" s="1" t="n">
        <v>45665</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5860-2024</t>
        </is>
      </c>
      <c r="B1003" s="1" t="n">
        <v>45335</v>
      </c>
      <c r="C1003" s="1" t="n">
        <v>45665</v>
      </c>
      <c r="D1003" t="inlineStr">
        <is>
          <t>UPPSALA LÄN</t>
        </is>
      </c>
      <c r="E1003" t="inlineStr">
        <is>
          <t>ÖSTHAMMAR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6120-2024</t>
        </is>
      </c>
      <c r="B1004" s="1" t="n">
        <v>45337</v>
      </c>
      <c r="C1004" s="1" t="n">
        <v>45665</v>
      </c>
      <c r="D1004" t="inlineStr">
        <is>
          <t>UPPSALA LÄN</t>
        </is>
      </c>
      <c r="E1004" t="inlineStr">
        <is>
          <t>ÖSTHAMMAR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6102-2024</t>
        </is>
      </c>
      <c r="B1005" s="1" t="n">
        <v>45337</v>
      </c>
      <c r="C1005" s="1" t="n">
        <v>45665</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6106-2024</t>
        </is>
      </c>
      <c r="B1006" s="1" t="n">
        <v>45337</v>
      </c>
      <c r="C1006" s="1" t="n">
        <v>45665</v>
      </c>
      <c r="D1006" t="inlineStr">
        <is>
          <t>UPPSALA LÄN</t>
        </is>
      </c>
      <c r="E1006" t="inlineStr">
        <is>
          <t>ÖSTHAMMAR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6143-2024</t>
        </is>
      </c>
      <c r="B1007" s="1" t="n">
        <v>45337</v>
      </c>
      <c r="C1007" s="1" t="n">
        <v>45665</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6121-2024</t>
        </is>
      </c>
      <c r="B1008" s="1" t="n">
        <v>45337</v>
      </c>
      <c r="C1008" s="1" t="n">
        <v>45665</v>
      </c>
      <c r="D1008" t="inlineStr">
        <is>
          <t>UPPSALA LÄN</t>
        </is>
      </c>
      <c r="E1008" t="inlineStr">
        <is>
          <t>ÖSTHAMMAR</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6418-2024</t>
        </is>
      </c>
      <c r="B1009" s="1" t="n">
        <v>45338</v>
      </c>
      <c r="C1009" s="1" t="n">
        <v>45665</v>
      </c>
      <c r="D1009" t="inlineStr">
        <is>
          <t>UPPSALA LÄN</t>
        </is>
      </c>
      <c r="E1009" t="inlineStr">
        <is>
          <t>ÖSTHAMMAR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6656-2024</t>
        </is>
      </c>
      <c r="B1010" s="1" t="n">
        <v>45341</v>
      </c>
      <c r="C1010" s="1" t="n">
        <v>45665</v>
      </c>
      <c r="D1010" t="inlineStr">
        <is>
          <t>UPPSALA LÄN</t>
        </is>
      </c>
      <c r="E1010" t="inlineStr">
        <is>
          <t>ÖSTHAMMAR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6661-2024</t>
        </is>
      </c>
      <c r="B1011" s="1" t="n">
        <v>45341</v>
      </c>
      <c r="C1011" s="1" t="n">
        <v>45665</v>
      </c>
      <c r="D1011" t="inlineStr">
        <is>
          <t>UPPSALA LÄN</t>
        </is>
      </c>
      <c r="E1011" t="inlineStr">
        <is>
          <t>ÖSTHAMMAR</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8673-2024</t>
        </is>
      </c>
      <c r="B1012" s="1" t="n">
        <v>45356</v>
      </c>
      <c r="C1012" s="1" t="n">
        <v>45665</v>
      </c>
      <c r="D1012" t="inlineStr">
        <is>
          <t>UPPSALA LÄN</t>
        </is>
      </c>
      <c r="E1012" t="inlineStr">
        <is>
          <t>ÖSTHAMMAR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9264-2024</t>
        </is>
      </c>
      <c r="B1013" s="1" t="n">
        <v>45358</v>
      </c>
      <c r="C1013" s="1" t="n">
        <v>45665</v>
      </c>
      <c r="D1013" t="inlineStr">
        <is>
          <t>UPPSALA LÄN</t>
        </is>
      </c>
      <c r="E1013" t="inlineStr">
        <is>
          <t>ÖSTHAMMAR</t>
        </is>
      </c>
      <c r="F1013" t="inlineStr">
        <is>
          <t>Bergvik skog öst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9267-2024</t>
        </is>
      </c>
      <c r="B1014" s="1" t="n">
        <v>45358</v>
      </c>
      <c r="C1014" s="1" t="n">
        <v>45665</v>
      </c>
      <c r="D1014" t="inlineStr">
        <is>
          <t>UPPSALA LÄN</t>
        </is>
      </c>
      <c r="E1014" t="inlineStr">
        <is>
          <t>ÖSTHAMMAR</t>
        </is>
      </c>
      <c r="F1014" t="inlineStr">
        <is>
          <t>Bergvik skog öst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9291-2024</t>
        </is>
      </c>
      <c r="B1015" s="1" t="n">
        <v>45358</v>
      </c>
      <c r="C1015" s="1" t="n">
        <v>45665</v>
      </c>
      <c r="D1015" t="inlineStr">
        <is>
          <t>UPPSALA LÄN</t>
        </is>
      </c>
      <c r="E1015" t="inlineStr">
        <is>
          <t>ÖSTHAMMAR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9642-2024</t>
        </is>
      </c>
      <c r="B1016" s="1" t="n">
        <v>45362</v>
      </c>
      <c r="C1016" s="1" t="n">
        <v>45665</v>
      </c>
      <c r="D1016" t="inlineStr">
        <is>
          <t>UPPSALA LÄN</t>
        </is>
      </c>
      <c r="E1016" t="inlineStr">
        <is>
          <t>ÖSTHAMMAR</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9927-2024</t>
        </is>
      </c>
      <c r="B1017" s="1" t="n">
        <v>45363</v>
      </c>
      <c r="C1017" s="1" t="n">
        <v>45665</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10430-2024</t>
        </is>
      </c>
      <c r="B1018" s="1" t="n">
        <v>45365</v>
      </c>
      <c r="C1018" s="1" t="n">
        <v>45665</v>
      </c>
      <c r="D1018" t="inlineStr">
        <is>
          <t>UPPSALA LÄN</t>
        </is>
      </c>
      <c r="E1018" t="inlineStr">
        <is>
          <t>ÖSTHAMMAR</t>
        </is>
      </c>
      <c r="F1018" t="inlineStr">
        <is>
          <t>Bergvik skog öst AB</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10429-2024</t>
        </is>
      </c>
      <c r="B1019" s="1" t="n">
        <v>45365</v>
      </c>
      <c r="C1019" s="1" t="n">
        <v>45665</v>
      </c>
      <c r="D1019" t="inlineStr">
        <is>
          <t>UPPSALA LÄN</t>
        </is>
      </c>
      <c r="E1019" t="inlineStr">
        <is>
          <t>ÖSTHAMMAR</t>
        </is>
      </c>
      <c r="F1019" t="inlineStr">
        <is>
          <t>Bergvik skog öst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10431-2024</t>
        </is>
      </c>
      <c r="B1020" s="1" t="n">
        <v>45365</v>
      </c>
      <c r="C1020" s="1" t="n">
        <v>45665</v>
      </c>
      <c r="D1020" t="inlineStr">
        <is>
          <t>UPPSALA LÄN</t>
        </is>
      </c>
      <c r="E1020" t="inlineStr">
        <is>
          <t>ÖSTHAMMAR</t>
        </is>
      </c>
      <c r="F1020" t="inlineStr">
        <is>
          <t>Bergvik skog öst AB</t>
        </is>
      </c>
      <c r="G1020" t="n">
        <v>13.2</v>
      </c>
      <c r="H1020" t="n">
        <v>0</v>
      </c>
      <c r="I1020" t="n">
        <v>0</v>
      </c>
      <c r="J1020" t="n">
        <v>0</v>
      </c>
      <c r="K1020" t="n">
        <v>0</v>
      </c>
      <c r="L1020" t="n">
        <v>0</v>
      </c>
      <c r="M1020" t="n">
        <v>0</v>
      </c>
      <c r="N1020" t="n">
        <v>0</v>
      </c>
      <c r="O1020" t="n">
        <v>0</v>
      </c>
      <c r="P1020" t="n">
        <v>0</v>
      </c>
      <c r="Q1020" t="n">
        <v>0</v>
      </c>
      <c r="R1020" s="2" t="inlineStr"/>
    </row>
    <row r="1021" ht="15" customHeight="1">
      <c r="A1021" t="inlineStr">
        <is>
          <t>A 10638-2024</t>
        </is>
      </c>
      <c r="B1021" s="1" t="n">
        <v>45367</v>
      </c>
      <c r="C1021" s="1" t="n">
        <v>45665</v>
      </c>
      <c r="D1021" t="inlineStr">
        <is>
          <t>UPPSALA LÄN</t>
        </is>
      </c>
      <c r="E1021" t="inlineStr">
        <is>
          <t>ÖSTHAMMAR</t>
        </is>
      </c>
      <c r="F1021" t="inlineStr">
        <is>
          <t>Bergvik skog öst AB</t>
        </is>
      </c>
      <c r="G1021" t="n">
        <v>9.800000000000001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10983-2024</t>
        </is>
      </c>
      <c r="B1022" s="1" t="n">
        <v>45370</v>
      </c>
      <c r="C1022" s="1" t="n">
        <v>45665</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10960-2024</t>
        </is>
      </c>
      <c r="B1023" s="1" t="n">
        <v>45370</v>
      </c>
      <c r="C1023" s="1" t="n">
        <v>45665</v>
      </c>
      <c r="D1023" t="inlineStr">
        <is>
          <t>UPPSALA LÄN</t>
        </is>
      </c>
      <c r="E1023" t="inlineStr">
        <is>
          <t>ÖSTHAMMAR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11367-2024</t>
        </is>
      </c>
      <c r="B1024" s="1" t="n">
        <v>45372</v>
      </c>
      <c r="C1024" s="1" t="n">
        <v>45665</v>
      </c>
      <c r="D1024" t="inlineStr">
        <is>
          <t>UPPSALA LÄN</t>
        </is>
      </c>
      <c r="E1024" t="inlineStr">
        <is>
          <t>ÖSTHAMMAR</t>
        </is>
      </c>
      <c r="F1024" t="inlineStr">
        <is>
          <t>Bergvik skog öst AB</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11385-2024</t>
        </is>
      </c>
      <c r="B1025" s="1" t="n">
        <v>45372</v>
      </c>
      <c r="C1025" s="1" t="n">
        <v>45665</v>
      </c>
      <c r="D1025" t="inlineStr">
        <is>
          <t>UPPSALA LÄN</t>
        </is>
      </c>
      <c r="E1025" t="inlineStr">
        <is>
          <t>ÖSTHAMMAR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11498-2024</t>
        </is>
      </c>
      <c r="B1026" s="1" t="n">
        <v>45372</v>
      </c>
      <c r="C1026" s="1" t="n">
        <v>45665</v>
      </c>
      <c r="D1026" t="inlineStr">
        <is>
          <t>UPPSALA LÄN</t>
        </is>
      </c>
      <c r="E1026" t="inlineStr">
        <is>
          <t>ÖSTHAMMAR</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11472-2024</t>
        </is>
      </c>
      <c r="B1027" s="1" t="n">
        <v>45372</v>
      </c>
      <c r="C1027" s="1" t="n">
        <v>45665</v>
      </c>
      <c r="D1027" t="inlineStr">
        <is>
          <t>UPPSALA LÄN</t>
        </is>
      </c>
      <c r="E1027" t="inlineStr">
        <is>
          <t>ÖSTHAMMAR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11656-2024</t>
        </is>
      </c>
      <c r="B1028" s="1" t="n">
        <v>45373</v>
      </c>
      <c r="C1028" s="1" t="n">
        <v>45665</v>
      </c>
      <c r="D1028" t="inlineStr">
        <is>
          <t>UPPSALA LÄN</t>
        </is>
      </c>
      <c r="E1028" t="inlineStr">
        <is>
          <t>ÖSTHAMMAR</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11798-2024</t>
        </is>
      </c>
      <c r="B1029" s="1" t="n">
        <v>45375</v>
      </c>
      <c r="C1029" s="1" t="n">
        <v>45665</v>
      </c>
      <c r="D1029" t="inlineStr">
        <is>
          <t>UPPSALA LÄN</t>
        </is>
      </c>
      <c r="E1029" t="inlineStr">
        <is>
          <t>ÖSTHAMMAR</t>
        </is>
      </c>
      <c r="F1029" t="inlineStr">
        <is>
          <t>Bergvik skog öst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11799-2024</t>
        </is>
      </c>
      <c r="B1030" s="1" t="n">
        <v>45375</v>
      </c>
      <c r="C1030" s="1" t="n">
        <v>45665</v>
      </c>
      <c r="D1030" t="inlineStr">
        <is>
          <t>UPPSALA LÄN</t>
        </is>
      </c>
      <c r="E1030" t="inlineStr">
        <is>
          <t>ÖSTHAMMAR</t>
        </is>
      </c>
      <c r="F1030" t="inlineStr">
        <is>
          <t>Bergvik skog öst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12028-2024</t>
        </is>
      </c>
      <c r="B1031" s="1" t="n">
        <v>45377</v>
      </c>
      <c r="C1031" s="1" t="n">
        <v>45665</v>
      </c>
      <c r="D1031" t="inlineStr">
        <is>
          <t>UPPSALA LÄN</t>
        </is>
      </c>
      <c r="E1031" t="inlineStr">
        <is>
          <t>ÖSTHAMMAR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12278-2024</t>
        </is>
      </c>
      <c r="B1032" s="1" t="n">
        <v>45378</v>
      </c>
      <c r="C1032" s="1" t="n">
        <v>45665</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12487-2024</t>
        </is>
      </c>
      <c r="B1033" s="1" t="n">
        <v>45379</v>
      </c>
      <c r="C1033" s="1" t="n">
        <v>45665</v>
      </c>
      <c r="D1033" t="inlineStr">
        <is>
          <t>UPPSALA LÄN</t>
        </is>
      </c>
      <c r="E1033" t="inlineStr">
        <is>
          <t>ÖSTHAMMAR</t>
        </is>
      </c>
      <c r="F1033" t="inlineStr">
        <is>
          <t>Bergvik skog öst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12486-2024</t>
        </is>
      </c>
      <c r="B1034" s="1" t="n">
        <v>45379</v>
      </c>
      <c r="C1034" s="1" t="n">
        <v>45665</v>
      </c>
      <c r="D1034" t="inlineStr">
        <is>
          <t>UPPSALA LÄN</t>
        </is>
      </c>
      <c r="E1034" t="inlineStr">
        <is>
          <t>ÖSTHAMMAR</t>
        </is>
      </c>
      <c r="F1034" t="inlineStr">
        <is>
          <t>Bergvik skog öst AB</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12498-2024</t>
        </is>
      </c>
      <c r="B1035" s="1" t="n">
        <v>45379</v>
      </c>
      <c r="C1035" s="1" t="n">
        <v>45665</v>
      </c>
      <c r="D1035" t="inlineStr">
        <is>
          <t>UPPSALA LÄN</t>
        </is>
      </c>
      <c r="E1035" t="inlineStr">
        <is>
          <t>ÖSTHAMMAR</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12534-2024</t>
        </is>
      </c>
      <c r="B1036" s="1" t="n">
        <v>45379</v>
      </c>
      <c r="C1036" s="1" t="n">
        <v>45665</v>
      </c>
      <c r="D1036" t="inlineStr">
        <is>
          <t>UPPSALA LÄN</t>
        </is>
      </c>
      <c r="E1036" t="inlineStr">
        <is>
          <t>ÖSTHAMMAR</t>
        </is>
      </c>
      <c r="F1036" t="inlineStr">
        <is>
          <t>Bergvik skog öst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12531-2024</t>
        </is>
      </c>
      <c r="B1037" s="1" t="n">
        <v>45379</v>
      </c>
      <c r="C1037" s="1" t="n">
        <v>45665</v>
      </c>
      <c r="D1037" t="inlineStr">
        <is>
          <t>UPPSALA LÄN</t>
        </is>
      </c>
      <c r="E1037" t="inlineStr">
        <is>
          <t>ÖSTHAMMAR</t>
        </is>
      </c>
      <c r="F1037" t="inlineStr">
        <is>
          <t>Bergvik skog öst AB</t>
        </is>
      </c>
      <c r="G1037" t="n">
        <v>17.3</v>
      </c>
      <c r="H1037" t="n">
        <v>0</v>
      </c>
      <c r="I1037" t="n">
        <v>0</v>
      </c>
      <c r="J1037" t="n">
        <v>0</v>
      </c>
      <c r="K1037" t="n">
        <v>0</v>
      </c>
      <c r="L1037" t="n">
        <v>0</v>
      </c>
      <c r="M1037" t="n">
        <v>0</v>
      </c>
      <c r="N1037" t="n">
        <v>0</v>
      </c>
      <c r="O1037" t="n">
        <v>0</v>
      </c>
      <c r="P1037" t="n">
        <v>0</v>
      </c>
      <c r="Q1037" t="n">
        <v>0</v>
      </c>
      <c r="R1037" s="2" t="inlineStr"/>
    </row>
    <row r="1038" ht="15" customHeight="1">
      <c r="A1038" t="inlineStr">
        <is>
          <t>A 12528-2024</t>
        </is>
      </c>
      <c r="B1038" s="1" t="n">
        <v>45379</v>
      </c>
      <c r="C1038" s="1" t="n">
        <v>45665</v>
      </c>
      <c r="D1038" t="inlineStr">
        <is>
          <t>UPPSALA LÄN</t>
        </is>
      </c>
      <c r="E1038" t="inlineStr">
        <is>
          <t>ÖSTHAMMAR</t>
        </is>
      </c>
      <c r="F1038" t="inlineStr">
        <is>
          <t>Bergvik skog öst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12649-2024</t>
        </is>
      </c>
      <c r="B1039" s="1" t="n">
        <v>45384</v>
      </c>
      <c r="C1039" s="1" t="n">
        <v>45665</v>
      </c>
      <c r="D1039" t="inlineStr">
        <is>
          <t>UPPSALA LÄN</t>
        </is>
      </c>
      <c r="E1039" t="inlineStr">
        <is>
          <t>ÖSTHAMMAR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12676-2024</t>
        </is>
      </c>
      <c r="B1040" s="1" t="n">
        <v>45384</v>
      </c>
      <c r="C1040" s="1" t="n">
        <v>45665</v>
      </c>
      <c r="D1040" t="inlineStr">
        <is>
          <t>UPPSALA LÄN</t>
        </is>
      </c>
      <c r="E1040" t="inlineStr">
        <is>
          <t>ÖSTHAMMAR</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12756-2024</t>
        </is>
      </c>
      <c r="B1041" s="1" t="n">
        <v>45384</v>
      </c>
      <c r="C1041" s="1" t="n">
        <v>45665</v>
      </c>
      <c r="D1041" t="inlineStr">
        <is>
          <t>UPPSALA LÄN</t>
        </is>
      </c>
      <c r="E1041" t="inlineStr">
        <is>
          <t>ÖSTHAMMAR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12812-2024</t>
        </is>
      </c>
      <c r="B1042" s="1" t="n">
        <v>45384</v>
      </c>
      <c r="C1042" s="1" t="n">
        <v>45665</v>
      </c>
      <c r="D1042" t="inlineStr">
        <is>
          <t>UPPSALA LÄN</t>
        </is>
      </c>
      <c r="E1042" t="inlineStr">
        <is>
          <t>ÖSTHAMMAR</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13059-2024</t>
        </is>
      </c>
      <c r="B1043" s="1" t="n">
        <v>45385</v>
      </c>
      <c r="C1043" s="1" t="n">
        <v>45665</v>
      </c>
      <c r="D1043" t="inlineStr">
        <is>
          <t>UPPSALA LÄN</t>
        </is>
      </c>
      <c r="E1043" t="inlineStr">
        <is>
          <t>ÖSTHAMMAR</t>
        </is>
      </c>
      <c r="F1043" t="inlineStr">
        <is>
          <t>Bergvik skog öst AB</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12947-2024</t>
        </is>
      </c>
      <c r="B1044" s="1" t="n">
        <v>45385</v>
      </c>
      <c r="C1044" s="1" t="n">
        <v>45665</v>
      </c>
      <c r="D1044" t="inlineStr">
        <is>
          <t>UPPSALA LÄN</t>
        </is>
      </c>
      <c r="E1044" t="inlineStr">
        <is>
          <t>ÖSTHAMMAR</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13113-2024</t>
        </is>
      </c>
      <c r="B1045" s="1" t="n">
        <v>45385</v>
      </c>
      <c r="C1045" s="1" t="n">
        <v>45665</v>
      </c>
      <c r="D1045" t="inlineStr">
        <is>
          <t>UPPSALA LÄN</t>
        </is>
      </c>
      <c r="E1045" t="inlineStr">
        <is>
          <t>ÖSTHAMMAR</t>
        </is>
      </c>
      <c r="F1045" t="inlineStr">
        <is>
          <t>Bergvik skog öst AB</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13114-2024</t>
        </is>
      </c>
      <c r="B1046" s="1" t="n">
        <v>45385</v>
      </c>
      <c r="C1046" s="1" t="n">
        <v>45665</v>
      </c>
      <c r="D1046" t="inlineStr">
        <is>
          <t>UPPSALA LÄN</t>
        </is>
      </c>
      <c r="E1046" t="inlineStr">
        <is>
          <t>ÖSTHAMMAR</t>
        </is>
      </c>
      <c r="F1046" t="inlineStr">
        <is>
          <t>Bergvik skog öst AB</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13315-2024</t>
        </is>
      </c>
      <c r="B1047" s="1" t="n">
        <v>45386</v>
      </c>
      <c r="C1047" s="1" t="n">
        <v>45665</v>
      </c>
      <c r="D1047" t="inlineStr">
        <is>
          <t>UPPSALA LÄN</t>
        </is>
      </c>
      <c r="E1047" t="inlineStr">
        <is>
          <t>ÖSTHAMMAR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13312-2024</t>
        </is>
      </c>
      <c r="B1048" s="1" t="n">
        <v>45386</v>
      </c>
      <c r="C1048" s="1" t="n">
        <v>45665</v>
      </c>
      <c r="D1048" t="inlineStr">
        <is>
          <t>UPPSALA LÄN</t>
        </is>
      </c>
      <c r="E1048" t="inlineStr">
        <is>
          <t>ÖSTHAMMAR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13729-2024</t>
        </is>
      </c>
      <c r="B1049" s="1" t="n">
        <v>45387</v>
      </c>
      <c r="C1049" s="1" t="n">
        <v>45665</v>
      </c>
      <c r="D1049" t="inlineStr">
        <is>
          <t>UPPSALA LÄN</t>
        </is>
      </c>
      <c r="E1049" t="inlineStr">
        <is>
          <t>ÖSTHAMMAR</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13358-2024</t>
        </is>
      </c>
      <c r="B1050" s="1" t="n">
        <v>45387</v>
      </c>
      <c r="C1050" s="1" t="n">
        <v>45665</v>
      </c>
      <c r="D1050" t="inlineStr">
        <is>
          <t>UPPSALA LÄN</t>
        </is>
      </c>
      <c r="E1050" t="inlineStr">
        <is>
          <t>ÖSTHAMMAR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13393-2024</t>
        </is>
      </c>
      <c r="B1051" s="1" t="n">
        <v>45387</v>
      </c>
      <c r="C1051" s="1" t="n">
        <v>45665</v>
      </c>
      <c r="D1051" t="inlineStr">
        <is>
          <t>UPPSALA LÄN</t>
        </is>
      </c>
      <c r="E1051" t="inlineStr">
        <is>
          <t>ÖSTHAMMAR</t>
        </is>
      </c>
      <c r="F1051" t="inlineStr">
        <is>
          <t>Kyrkan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13613-2024</t>
        </is>
      </c>
      <c r="B1052" s="1" t="n">
        <v>45390</v>
      </c>
      <c r="C1052" s="1" t="n">
        <v>45665</v>
      </c>
      <c r="D1052" t="inlineStr">
        <is>
          <t>UPPSALA LÄN</t>
        </is>
      </c>
      <c r="E1052" t="inlineStr">
        <is>
          <t>ÖSTHAMMAR</t>
        </is>
      </c>
      <c r="F1052" t="inlineStr">
        <is>
          <t>Övriga Aktiebolag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13616-2024</t>
        </is>
      </c>
      <c r="B1053" s="1" t="n">
        <v>45390</v>
      </c>
      <c r="C1053" s="1" t="n">
        <v>45665</v>
      </c>
      <c r="D1053" t="inlineStr">
        <is>
          <t>UPPSALA LÄN</t>
        </is>
      </c>
      <c r="E1053" t="inlineStr">
        <is>
          <t>ÖSTHAMMAR</t>
        </is>
      </c>
      <c r="F1053" t="inlineStr">
        <is>
          <t>Övriga Aktiebolag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13615-2024</t>
        </is>
      </c>
      <c r="B1054" s="1" t="n">
        <v>45390</v>
      </c>
      <c r="C1054" s="1" t="n">
        <v>45665</v>
      </c>
      <c r="D1054" t="inlineStr">
        <is>
          <t>UPPSALA LÄN</t>
        </is>
      </c>
      <c r="E1054" t="inlineStr">
        <is>
          <t>ÖSTHAMMAR</t>
        </is>
      </c>
      <c r="F1054" t="inlineStr">
        <is>
          <t>Övriga Aktiebolag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13618-2024</t>
        </is>
      </c>
      <c r="B1055" s="1" t="n">
        <v>45390</v>
      </c>
      <c r="C1055" s="1" t="n">
        <v>45665</v>
      </c>
      <c r="D1055" t="inlineStr">
        <is>
          <t>UPPSALA LÄN</t>
        </is>
      </c>
      <c r="E1055" t="inlineStr">
        <is>
          <t>ÖSTHAMMAR</t>
        </is>
      </c>
      <c r="F1055" t="inlineStr">
        <is>
          <t>Övriga Aktiebolag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13879-2024</t>
        </is>
      </c>
      <c r="B1056" s="1" t="n">
        <v>45391</v>
      </c>
      <c r="C1056" s="1" t="n">
        <v>45665</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13779-2024</t>
        </is>
      </c>
      <c r="B1057" s="1" t="n">
        <v>45391</v>
      </c>
      <c r="C1057" s="1" t="n">
        <v>45665</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14516-2024</t>
        </is>
      </c>
      <c r="B1058" s="1" t="n">
        <v>45394</v>
      </c>
      <c r="C1058" s="1" t="n">
        <v>45665</v>
      </c>
      <c r="D1058" t="inlineStr">
        <is>
          <t>UPPSALA LÄN</t>
        </is>
      </c>
      <c r="E1058" t="inlineStr">
        <is>
          <t>ÖSTHAMMAR</t>
        </is>
      </c>
      <c r="F1058" t="inlineStr">
        <is>
          <t>Bergvik skog öst AB</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14509-2024</t>
        </is>
      </c>
      <c r="B1059" s="1" t="n">
        <v>45394</v>
      </c>
      <c r="C1059" s="1" t="n">
        <v>45665</v>
      </c>
      <c r="D1059" t="inlineStr">
        <is>
          <t>UPPSALA LÄN</t>
        </is>
      </c>
      <c r="E1059" t="inlineStr">
        <is>
          <t>ÖSTHAMMAR</t>
        </is>
      </c>
      <c r="F1059" t="inlineStr">
        <is>
          <t>Naturvårdsverket</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14433-2024</t>
        </is>
      </c>
      <c r="B1060" s="1" t="n">
        <v>45394</v>
      </c>
      <c r="C1060" s="1" t="n">
        <v>45665</v>
      </c>
      <c r="D1060" t="inlineStr">
        <is>
          <t>UPPSALA LÄN</t>
        </is>
      </c>
      <c r="E1060" t="inlineStr">
        <is>
          <t>ÖSTHAMMAR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15165-2024</t>
        </is>
      </c>
      <c r="B1061" s="1" t="n">
        <v>45400</v>
      </c>
      <c r="C1061" s="1" t="n">
        <v>45665</v>
      </c>
      <c r="D1061" t="inlineStr">
        <is>
          <t>UPPSALA LÄN</t>
        </is>
      </c>
      <c r="E1061" t="inlineStr">
        <is>
          <t>ÖSTHAMMAR</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15169-2024</t>
        </is>
      </c>
      <c r="B1062" s="1" t="n">
        <v>45400</v>
      </c>
      <c r="C1062" s="1" t="n">
        <v>45665</v>
      </c>
      <c r="D1062" t="inlineStr">
        <is>
          <t>UPPSALA LÄN</t>
        </is>
      </c>
      <c r="E1062" t="inlineStr">
        <is>
          <t>ÖSTHAMMAR</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15166-2024</t>
        </is>
      </c>
      <c r="B1063" s="1" t="n">
        <v>45400</v>
      </c>
      <c r="C1063" s="1" t="n">
        <v>45665</v>
      </c>
      <c r="D1063" t="inlineStr">
        <is>
          <t>UPPSALA LÄN</t>
        </is>
      </c>
      <c r="E1063" t="inlineStr">
        <is>
          <t>ÖSTHAMMAR</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15575-2024</t>
        </is>
      </c>
      <c r="B1064" s="1" t="n">
        <v>45401</v>
      </c>
      <c r="C1064" s="1" t="n">
        <v>45665</v>
      </c>
      <c r="D1064" t="inlineStr">
        <is>
          <t>UPPSALA LÄN</t>
        </is>
      </c>
      <c r="E1064" t="inlineStr">
        <is>
          <t>ÖSTHAMMAR</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16497-2024</t>
        </is>
      </c>
      <c r="B1065" s="1" t="n">
        <v>45408</v>
      </c>
      <c r="C1065" s="1" t="n">
        <v>45665</v>
      </c>
      <c r="D1065" t="inlineStr">
        <is>
          <t>UPPSALA LÄN</t>
        </is>
      </c>
      <c r="E1065" t="inlineStr">
        <is>
          <t>ÖSTHAMMAR</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16736-2024</t>
        </is>
      </c>
      <c r="B1066" s="1" t="n">
        <v>45410</v>
      </c>
      <c r="C1066" s="1" t="n">
        <v>45665</v>
      </c>
      <c r="D1066" t="inlineStr">
        <is>
          <t>UPPSALA LÄN</t>
        </is>
      </c>
      <c r="E1066" t="inlineStr">
        <is>
          <t>ÖSTHAMMAR</t>
        </is>
      </c>
      <c r="F1066" t="inlineStr">
        <is>
          <t>Bergvik skog öst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16737-2024</t>
        </is>
      </c>
      <c r="B1067" s="1" t="n">
        <v>45410</v>
      </c>
      <c r="C1067" s="1" t="n">
        <v>45665</v>
      </c>
      <c r="D1067" t="inlineStr">
        <is>
          <t>UPPSALA LÄN</t>
        </is>
      </c>
      <c r="E1067" t="inlineStr">
        <is>
          <t>ÖSTHAMMAR</t>
        </is>
      </c>
      <c r="F1067" t="inlineStr">
        <is>
          <t>Bergvik skog öst AB</t>
        </is>
      </c>
      <c r="G1067" t="n">
        <v>13.2</v>
      </c>
      <c r="H1067" t="n">
        <v>0</v>
      </c>
      <c r="I1067" t="n">
        <v>0</v>
      </c>
      <c r="J1067" t="n">
        <v>0</v>
      </c>
      <c r="K1067" t="n">
        <v>0</v>
      </c>
      <c r="L1067" t="n">
        <v>0</v>
      </c>
      <c r="M1067" t="n">
        <v>0</v>
      </c>
      <c r="N1067" t="n">
        <v>0</v>
      </c>
      <c r="O1067" t="n">
        <v>0</v>
      </c>
      <c r="P1067" t="n">
        <v>0</v>
      </c>
      <c r="Q1067" t="n">
        <v>0</v>
      </c>
      <c r="R1067" s="2" t="inlineStr"/>
    </row>
    <row r="1068" ht="15" customHeight="1">
      <c r="A1068" t="inlineStr">
        <is>
          <t>A 16735-2024</t>
        </is>
      </c>
      <c r="B1068" s="1" t="n">
        <v>45410</v>
      </c>
      <c r="C1068" s="1" t="n">
        <v>45665</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16734-2024</t>
        </is>
      </c>
      <c r="B1069" s="1" t="n">
        <v>45410</v>
      </c>
      <c r="C1069" s="1" t="n">
        <v>45665</v>
      </c>
      <c r="D1069" t="inlineStr">
        <is>
          <t>UPPSALA LÄN</t>
        </is>
      </c>
      <c r="E1069" t="inlineStr">
        <is>
          <t>ÖSTHAMMAR</t>
        </is>
      </c>
      <c r="F1069" t="inlineStr">
        <is>
          <t>Bergvik skog öst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16983-2024</t>
        </is>
      </c>
      <c r="B1070" s="1" t="n">
        <v>45412</v>
      </c>
      <c r="C1070" s="1" t="n">
        <v>45665</v>
      </c>
      <c r="D1070" t="inlineStr">
        <is>
          <t>UPPSALA LÄN</t>
        </is>
      </c>
      <c r="E1070" t="inlineStr">
        <is>
          <t>ÖSTHAMMAR</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17776-2024</t>
        </is>
      </c>
      <c r="B1071" s="1" t="n">
        <v>45418</v>
      </c>
      <c r="C1071" s="1" t="n">
        <v>45665</v>
      </c>
      <c r="D1071" t="inlineStr">
        <is>
          <t>UPPSALA LÄN</t>
        </is>
      </c>
      <c r="E1071" t="inlineStr">
        <is>
          <t>ÖSTHAMMAR</t>
        </is>
      </c>
      <c r="F1071" t="inlineStr">
        <is>
          <t>Bergvik skog öst AB</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17867-2024</t>
        </is>
      </c>
      <c r="B1072" s="1" t="n">
        <v>45419</v>
      </c>
      <c r="C1072" s="1" t="n">
        <v>45665</v>
      </c>
      <c r="D1072" t="inlineStr">
        <is>
          <t>UPPSALA LÄN</t>
        </is>
      </c>
      <c r="E1072" t="inlineStr">
        <is>
          <t>ÖSTHAMMAR</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18693-2024</t>
        </is>
      </c>
      <c r="B1073" s="1" t="n">
        <v>45426</v>
      </c>
      <c r="C1073" s="1" t="n">
        <v>45665</v>
      </c>
      <c r="D1073" t="inlineStr">
        <is>
          <t>UPPSALA LÄN</t>
        </is>
      </c>
      <c r="E1073" t="inlineStr">
        <is>
          <t>ÖSTHAMMAR</t>
        </is>
      </c>
      <c r="F1073" t="inlineStr">
        <is>
          <t>Bergvik skog öst AB</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18691-2024</t>
        </is>
      </c>
      <c r="B1074" s="1" t="n">
        <v>45426</v>
      </c>
      <c r="C1074" s="1" t="n">
        <v>45665</v>
      </c>
      <c r="D1074" t="inlineStr">
        <is>
          <t>UPPSALA LÄN</t>
        </is>
      </c>
      <c r="E1074" t="inlineStr">
        <is>
          <t>ÖSTHAMMAR</t>
        </is>
      </c>
      <c r="F1074" t="inlineStr">
        <is>
          <t>Bergvik skog öst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18705-2024</t>
        </is>
      </c>
      <c r="B1075" s="1" t="n">
        <v>45426</v>
      </c>
      <c r="C1075" s="1" t="n">
        <v>45665</v>
      </c>
      <c r="D1075" t="inlineStr">
        <is>
          <t>UPPSALA LÄN</t>
        </is>
      </c>
      <c r="E1075" t="inlineStr">
        <is>
          <t>ÖSTHAMMAR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19056-2024</t>
        </is>
      </c>
      <c r="B1076" s="1" t="n">
        <v>45427</v>
      </c>
      <c r="C1076" s="1" t="n">
        <v>45665</v>
      </c>
      <c r="D1076" t="inlineStr">
        <is>
          <t>UPPSALA LÄN</t>
        </is>
      </c>
      <c r="E1076" t="inlineStr">
        <is>
          <t>ÖSTHAMMAR</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18956-2024</t>
        </is>
      </c>
      <c r="B1077" s="1" t="n">
        <v>45427</v>
      </c>
      <c r="C1077" s="1" t="n">
        <v>45665</v>
      </c>
      <c r="D1077" t="inlineStr">
        <is>
          <t>UPPSALA LÄN</t>
        </is>
      </c>
      <c r="E1077" t="inlineStr">
        <is>
          <t>ÖSTHAMMAR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19375-2024</t>
        </is>
      </c>
      <c r="B1078" s="1" t="n">
        <v>45429</v>
      </c>
      <c r="C1078" s="1" t="n">
        <v>45665</v>
      </c>
      <c r="D1078" t="inlineStr">
        <is>
          <t>UPPSALA LÄN</t>
        </is>
      </c>
      <c r="E1078" t="inlineStr">
        <is>
          <t>ÖSTHAMMAR</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19662-2024</t>
        </is>
      </c>
      <c r="B1079" s="1" t="n">
        <v>45432</v>
      </c>
      <c r="C1079" s="1" t="n">
        <v>45665</v>
      </c>
      <c r="D1079" t="inlineStr">
        <is>
          <t>UPPSALA LÄN</t>
        </is>
      </c>
      <c r="E1079" t="inlineStr">
        <is>
          <t>ÖSTHAMMAR</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19667-2024</t>
        </is>
      </c>
      <c r="B1080" s="1" t="n">
        <v>45432</v>
      </c>
      <c r="C1080" s="1" t="n">
        <v>45665</v>
      </c>
      <c r="D1080" t="inlineStr">
        <is>
          <t>UPPSALA LÄN</t>
        </is>
      </c>
      <c r="E1080" t="inlineStr">
        <is>
          <t>ÖSTHAMMAR</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19908-2024</t>
        </is>
      </c>
      <c r="B1081" s="1" t="n">
        <v>45433</v>
      </c>
      <c r="C1081" s="1" t="n">
        <v>45665</v>
      </c>
      <c r="D1081" t="inlineStr">
        <is>
          <t>UPPSALA LÄN</t>
        </is>
      </c>
      <c r="E1081" t="inlineStr">
        <is>
          <t>ÖSTHAMMAR</t>
        </is>
      </c>
      <c r="F1081" t="inlineStr">
        <is>
          <t>Bergvik skog öst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19950-2024</t>
        </is>
      </c>
      <c r="B1082" s="1" t="n">
        <v>45433</v>
      </c>
      <c r="C1082" s="1" t="n">
        <v>45665</v>
      </c>
      <c r="D1082" t="inlineStr">
        <is>
          <t>UPPSALA LÄN</t>
        </is>
      </c>
      <c r="E1082" t="inlineStr">
        <is>
          <t>ÖSTHAMMAR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19947-2024</t>
        </is>
      </c>
      <c r="B1083" s="1" t="n">
        <v>45433</v>
      </c>
      <c r="C1083" s="1" t="n">
        <v>45665</v>
      </c>
      <c r="D1083" t="inlineStr">
        <is>
          <t>UPPSALA LÄN</t>
        </is>
      </c>
      <c r="E1083" t="inlineStr">
        <is>
          <t>ÖSTHAMMAR</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19945-2024</t>
        </is>
      </c>
      <c r="B1084" s="1" t="n">
        <v>45433</v>
      </c>
      <c r="C1084" s="1" t="n">
        <v>45665</v>
      </c>
      <c r="D1084" t="inlineStr">
        <is>
          <t>UPPSALA LÄN</t>
        </is>
      </c>
      <c r="E1084" t="inlineStr">
        <is>
          <t>ÖSTHAMMAR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20316-2024</t>
        </is>
      </c>
      <c r="B1085" s="1" t="n">
        <v>45435</v>
      </c>
      <c r="C1085" s="1" t="n">
        <v>45665</v>
      </c>
      <c r="D1085" t="inlineStr">
        <is>
          <t>UPPSALA LÄN</t>
        </is>
      </c>
      <c r="E1085" t="inlineStr">
        <is>
          <t>ÖSTHAMMAR</t>
        </is>
      </c>
      <c r="F1085" t="inlineStr">
        <is>
          <t>Bergvik skog öst AB</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20419-2024</t>
        </is>
      </c>
      <c r="B1086" s="1" t="n">
        <v>45435</v>
      </c>
      <c r="C1086" s="1" t="n">
        <v>45665</v>
      </c>
      <c r="D1086" t="inlineStr">
        <is>
          <t>UPPSALA LÄN</t>
        </is>
      </c>
      <c r="E1086" t="inlineStr">
        <is>
          <t>ÖSTHAMMAR</t>
        </is>
      </c>
      <c r="F1086" t="inlineStr">
        <is>
          <t>Bergvik skog öst AB</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20634-2024</t>
        </is>
      </c>
      <c r="B1087" s="1" t="n">
        <v>45436</v>
      </c>
      <c r="C1087" s="1" t="n">
        <v>45665</v>
      </c>
      <c r="D1087" t="inlineStr">
        <is>
          <t>UPPSALA LÄN</t>
        </is>
      </c>
      <c r="E1087" t="inlineStr">
        <is>
          <t>ÖSTHAMMAR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21231-2024</t>
        </is>
      </c>
      <c r="B1088" s="1" t="n">
        <v>45440</v>
      </c>
      <c r="C1088" s="1" t="n">
        <v>45665</v>
      </c>
      <c r="D1088" t="inlineStr">
        <is>
          <t>UPPSALA LÄN</t>
        </is>
      </c>
      <c r="E1088" t="inlineStr">
        <is>
          <t>ÖSTHAMMAR</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21424-2024</t>
        </is>
      </c>
      <c r="B1089" s="1" t="n">
        <v>45441</v>
      </c>
      <c r="C1089" s="1" t="n">
        <v>45665</v>
      </c>
      <c r="D1089" t="inlineStr">
        <is>
          <t>UPPSALA LÄN</t>
        </is>
      </c>
      <c r="E1089" t="inlineStr">
        <is>
          <t>ÖSTHAMMAR</t>
        </is>
      </c>
      <c r="F1089" t="inlineStr">
        <is>
          <t>Bergvik skog öst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21413-2024</t>
        </is>
      </c>
      <c r="B1090" s="1" t="n">
        <v>45441</v>
      </c>
      <c r="C1090" s="1" t="n">
        <v>45665</v>
      </c>
      <c r="D1090" t="inlineStr">
        <is>
          <t>UPPSALA LÄN</t>
        </is>
      </c>
      <c r="E1090" t="inlineStr">
        <is>
          <t>ÖSTHAMMAR</t>
        </is>
      </c>
      <c r="F1090" t="inlineStr">
        <is>
          <t>Bergvik skog öst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21547-2024</t>
        </is>
      </c>
      <c r="B1091" s="1" t="n">
        <v>45441</v>
      </c>
      <c r="C1091" s="1" t="n">
        <v>45665</v>
      </c>
      <c r="D1091" t="inlineStr">
        <is>
          <t>UPPSALA LÄN</t>
        </is>
      </c>
      <c r="E1091" t="inlineStr">
        <is>
          <t>ÖSTHAMMAR</t>
        </is>
      </c>
      <c r="F1091" t="inlineStr">
        <is>
          <t>Bergvik skog öst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21505-2024</t>
        </is>
      </c>
      <c r="B1092" s="1" t="n">
        <v>45441</v>
      </c>
      <c r="C1092" s="1" t="n">
        <v>45665</v>
      </c>
      <c r="D1092" t="inlineStr">
        <is>
          <t>UPPSALA LÄN</t>
        </is>
      </c>
      <c r="E1092" t="inlineStr">
        <is>
          <t>ÖSTHAMMAR</t>
        </is>
      </c>
      <c r="F1092" t="inlineStr">
        <is>
          <t>Bergvik skog öst AB</t>
        </is>
      </c>
      <c r="G1092" t="n">
        <v>21.7</v>
      </c>
      <c r="H1092" t="n">
        <v>0</v>
      </c>
      <c r="I1092" t="n">
        <v>0</v>
      </c>
      <c r="J1092" t="n">
        <v>0</v>
      </c>
      <c r="K1092" t="n">
        <v>0</v>
      </c>
      <c r="L1092" t="n">
        <v>0</v>
      </c>
      <c r="M1092" t="n">
        <v>0</v>
      </c>
      <c r="N1092" t="n">
        <v>0</v>
      </c>
      <c r="O1092" t="n">
        <v>0</v>
      </c>
      <c r="P1092" t="n">
        <v>0</v>
      </c>
      <c r="Q1092" t="n">
        <v>0</v>
      </c>
      <c r="R1092" s="2" t="inlineStr"/>
    </row>
    <row r="1093" ht="15" customHeight="1">
      <c r="A1093" t="inlineStr">
        <is>
          <t>A 21655-2024</t>
        </is>
      </c>
      <c r="B1093" s="1" t="n">
        <v>45442</v>
      </c>
      <c r="C1093" s="1" t="n">
        <v>45665</v>
      </c>
      <c r="D1093" t="inlineStr">
        <is>
          <t>UPPSALA LÄN</t>
        </is>
      </c>
      <c r="E1093" t="inlineStr">
        <is>
          <t>ÖSTHAMMAR</t>
        </is>
      </c>
      <c r="F1093" t="inlineStr">
        <is>
          <t>Bergvik skog öst AB</t>
        </is>
      </c>
      <c r="G1093" t="n">
        <v>15.2</v>
      </c>
      <c r="H1093" t="n">
        <v>0</v>
      </c>
      <c r="I1093" t="n">
        <v>0</v>
      </c>
      <c r="J1093" t="n">
        <v>0</v>
      </c>
      <c r="K1093" t="n">
        <v>0</v>
      </c>
      <c r="L1093" t="n">
        <v>0</v>
      </c>
      <c r="M1093" t="n">
        <v>0</v>
      </c>
      <c r="N1093" t="n">
        <v>0</v>
      </c>
      <c r="O1093" t="n">
        <v>0</v>
      </c>
      <c r="P1093" t="n">
        <v>0</v>
      </c>
      <c r="Q1093" t="n">
        <v>0</v>
      </c>
      <c r="R1093" s="2" t="inlineStr"/>
    </row>
    <row r="1094" ht="15" customHeight="1">
      <c r="A1094" t="inlineStr">
        <is>
          <t>A 22057-2024</t>
        </is>
      </c>
      <c r="B1094" s="1" t="n">
        <v>45443</v>
      </c>
      <c r="C1094" s="1" t="n">
        <v>45665</v>
      </c>
      <c r="D1094" t="inlineStr">
        <is>
          <t>UPPSALA LÄN</t>
        </is>
      </c>
      <c r="E1094" t="inlineStr">
        <is>
          <t>ÖSTHAMMAR</t>
        </is>
      </c>
      <c r="F1094" t="inlineStr">
        <is>
          <t>Bergvik skog öst AB</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22217-2024</t>
        </is>
      </c>
      <c r="B1095" s="1" t="n">
        <v>45446</v>
      </c>
      <c r="C1095" s="1" t="n">
        <v>45665</v>
      </c>
      <c r="D1095" t="inlineStr">
        <is>
          <t>UPPSALA LÄN</t>
        </is>
      </c>
      <c r="E1095" t="inlineStr">
        <is>
          <t>ÖSTHAMMAR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22372-2024</t>
        </is>
      </c>
      <c r="B1096" s="1" t="n">
        <v>45446</v>
      </c>
      <c r="C1096" s="1" t="n">
        <v>45665</v>
      </c>
      <c r="D1096" t="inlineStr">
        <is>
          <t>UPPSALA LÄN</t>
        </is>
      </c>
      <c r="E1096" t="inlineStr">
        <is>
          <t>ÖSTHAMMAR</t>
        </is>
      </c>
      <c r="F1096" t="inlineStr">
        <is>
          <t>Bergvik skog öst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22373-2024</t>
        </is>
      </c>
      <c r="B1097" s="1" t="n">
        <v>45446</v>
      </c>
      <c r="C1097" s="1" t="n">
        <v>45665</v>
      </c>
      <c r="D1097" t="inlineStr">
        <is>
          <t>UPPSALA LÄN</t>
        </is>
      </c>
      <c r="E1097" t="inlineStr">
        <is>
          <t>ÖSTHAMMAR</t>
        </is>
      </c>
      <c r="F1097" t="inlineStr">
        <is>
          <t>Bergvik skog öst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22371-2024</t>
        </is>
      </c>
      <c r="B1098" s="1" t="n">
        <v>45446</v>
      </c>
      <c r="C1098" s="1" t="n">
        <v>45665</v>
      </c>
      <c r="D1098" t="inlineStr">
        <is>
          <t>UPPSALA LÄN</t>
        </is>
      </c>
      <c r="E1098" t="inlineStr">
        <is>
          <t>ÖSTHAMMAR</t>
        </is>
      </c>
      <c r="F1098" t="inlineStr">
        <is>
          <t>Bergvik skog öst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22884-2024</t>
        </is>
      </c>
      <c r="B1099" s="1" t="n">
        <v>45448</v>
      </c>
      <c r="C1099" s="1" t="n">
        <v>45665</v>
      </c>
      <c r="D1099" t="inlineStr">
        <is>
          <t>UPPSALA LÄN</t>
        </is>
      </c>
      <c r="E1099" t="inlineStr">
        <is>
          <t>ÖSTHAMMAR</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22725-2024</t>
        </is>
      </c>
      <c r="B1100" s="1" t="n">
        <v>45448</v>
      </c>
      <c r="C1100" s="1" t="n">
        <v>45665</v>
      </c>
      <c r="D1100" t="inlineStr">
        <is>
          <t>UPPSALA LÄN</t>
        </is>
      </c>
      <c r="E1100" t="inlineStr">
        <is>
          <t>ÖSTHAMMAR</t>
        </is>
      </c>
      <c r="F1100" t="inlineStr">
        <is>
          <t>Bergvik skog öst AB</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22915-2024</t>
        </is>
      </c>
      <c r="B1101" s="1" t="n">
        <v>45448</v>
      </c>
      <c r="C1101" s="1" t="n">
        <v>45665</v>
      </c>
      <c r="D1101" t="inlineStr">
        <is>
          <t>UPPSALA LÄN</t>
        </is>
      </c>
      <c r="E1101" t="inlineStr">
        <is>
          <t>ÖSTHAMMAR</t>
        </is>
      </c>
      <c r="F1101" t="inlineStr">
        <is>
          <t>Bergvik skog öst AB</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22919-2024</t>
        </is>
      </c>
      <c r="B1102" s="1" t="n">
        <v>45448</v>
      </c>
      <c r="C1102" s="1" t="n">
        <v>45665</v>
      </c>
      <c r="D1102" t="inlineStr">
        <is>
          <t>UPPSALA LÄN</t>
        </is>
      </c>
      <c r="E1102" t="inlineStr">
        <is>
          <t>ÖSTHAMMAR</t>
        </is>
      </c>
      <c r="F1102" t="inlineStr">
        <is>
          <t>Bergvik skog öst AB</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23652-2024</t>
        </is>
      </c>
      <c r="B1103" s="1" t="n">
        <v>45454</v>
      </c>
      <c r="C1103" s="1" t="n">
        <v>45665</v>
      </c>
      <c r="D1103" t="inlineStr">
        <is>
          <t>UPPSALA LÄN</t>
        </is>
      </c>
      <c r="E1103" t="inlineStr">
        <is>
          <t>ÖSTHAMMAR</t>
        </is>
      </c>
      <c r="F1103" t="inlineStr">
        <is>
          <t>Bergvik skog öst AB</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23740-2024</t>
        </is>
      </c>
      <c r="B1104" s="1" t="n">
        <v>45455</v>
      </c>
      <c r="C1104" s="1" t="n">
        <v>45665</v>
      </c>
      <c r="D1104" t="inlineStr">
        <is>
          <t>UPPSALA LÄN</t>
        </is>
      </c>
      <c r="E1104" t="inlineStr">
        <is>
          <t>ÖSTHAMMAR</t>
        </is>
      </c>
      <c r="F1104" t="inlineStr">
        <is>
          <t>Bergvik skog öst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23742-2024</t>
        </is>
      </c>
      <c r="B1105" s="1" t="n">
        <v>45455</v>
      </c>
      <c r="C1105" s="1" t="n">
        <v>45665</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23741-2024</t>
        </is>
      </c>
      <c r="B1106" s="1" t="n">
        <v>45455</v>
      </c>
      <c r="C1106" s="1" t="n">
        <v>45665</v>
      </c>
      <c r="D1106" t="inlineStr">
        <is>
          <t>UPPSALA LÄN</t>
        </is>
      </c>
      <c r="E1106" t="inlineStr">
        <is>
          <t>ÖSTHAMMAR</t>
        </is>
      </c>
      <c r="F1106" t="inlineStr">
        <is>
          <t>Bergvik skog öst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24160-2024</t>
        </is>
      </c>
      <c r="B1107" s="1" t="n">
        <v>45456</v>
      </c>
      <c r="C1107" s="1" t="n">
        <v>45665</v>
      </c>
      <c r="D1107" t="inlineStr">
        <is>
          <t>UPPSALA LÄN</t>
        </is>
      </c>
      <c r="E1107" t="inlineStr">
        <is>
          <t>ÖSTHAMMAR</t>
        </is>
      </c>
      <c r="F1107" t="inlineStr">
        <is>
          <t>Bergvik skog öst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24161-2024</t>
        </is>
      </c>
      <c r="B1108" s="1" t="n">
        <v>45456</v>
      </c>
      <c r="C1108" s="1" t="n">
        <v>45665</v>
      </c>
      <c r="D1108" t="inlineStr">
        <is>
          <t>UPPSALA LÄN</t>
        </is>
      </c>
      <c r="E1108" t="inlineStr">
        <is>
          <t>ÖSTHAMMAR</t>
        </is>
      </c>
      <c r="F1108" t="inlineStr">
        <is>
          <t>Bergvik skog öst AB</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24472-2024</t>
        </is>
      </c>
      <c r="B1109" s="1" t="n">
        <v>45458</v>
      </c>
      <c r="C1109" s="1" t="n">
        <v>45665</v>
      </c>
      <c r="D1109" t="inlineStr">
        <is>
          <t>UPPSALA LÄN</t>
        </is>
      </c>
      <c r="E1109" t="inlineStr">
        <is>
          <t>ÖSTHAMMAR</t>
        </is>
      </c>
      <c r="F1109" t="inlineStr">
        <is>
          <t>Bergvik skog öst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24476-2024</t>
        </is>
      </c>
      <c r="B1110" s="1" t="n">
        <v>45458</v>
      </c>
      <c r="C1110" s="1" t="n">
        <v>45665</v>
      </c>
      <c r="D1110" t="inlineStr">
        <is>
          <t>UPPSALA LÄN</t>
        </is>
      </c>
      <c r="E1110" t="inlineStr">
        <is>
          <t>ÖSTHAMMAR</t>
        </is>
      </c>
      <c r="F1110" t="inlineStr">
        <is>
          <t>Bergvik skog öst AB</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24471-2024</t>
        </is>
      </c>
      <c r="B1111" s="1" t="n">
        <v>45458</v>
      </c>
      <c r="C1111" s="1" t="n">
        <v>45665</v>
      </c>
      <c r="D1111" t="inlineStr">
        <is>
          <t>UPPSALA LÄN</t>
        </is>
      </c>
      <c r="E1111" t="inlineStr">
        <is>
          <t>ÖSTHAMMAR</t>
        </is>
      </c>
      <c r="F1111" t="inlineStr">
        <is>
          <t>Bergvik skog öst AB</t>
        </is>
      </c>
      <c r="G1111" t="n">
        <v>22.7</v>
      </c>
      <c r="H1111" t="n">
        <v>0</v>
      </c>
      <c r="I1111" t="n">
        <v>0</v>
      </c>
      <c r="J1111" t="n">
        <v>0</v>
      </c>
      <c r="K1111" t="n">
        <v>0</v>
      </c>
      <c r="L1111" t="n">
        <v>0</v>
      </c>
      <c r="M1111" t="n">
        <v>0</v>
      </c>
      <c r="N1111" t="n">
        <v>0</v>
      </c>
      <c r="O1111" t="n">
        <v>0</v>
      </c>
      <c r="P1111" t="n">
        <v>0</v>
      </c>
      <c r="Q1111" t="n">
        <v>0</v>
      </c>
      <c r="R1111" s="2" t="inlineStr"/>
    </row>
    <row r="1112" ht="15" customHeight="1">
      <c r="A1112" t="inlineStr">
        <is>
          <t>A 24475-2024</t>
        </is>
      </c>
      <c r="B1112" s="1" t="n">
        <v>45458</v>
      </c>
      <c r="C1112" s="1" t="n">
        <v>45665</v>
      </c>
      <c r="D1112" t="inlineStr">
        <is>
          <t>UPPSALA LÄN</t>
        </is>
      </c>
      <c r="E1112" t="inlineStr">
        <is>
          <t>ÖSTHAMMAR</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24770-2024</t>
        </is>
      </c>
      <c r="B1113" s="1" t="n">
        <v>45460</v>
      </c>
      <c r="C1113" s="1" t="n">
        <v>45665</v>
      </c>
      <c r="D1113" t="inlineStr">
        <is>
          <t>UPPSALA LÄN</t>
        </is>
      </c>
      <c r="E1113" t="inlineStr">
        <is>
          <t>ÖSTHAMMAR</t>
        </is>
      </c>
      <c r="F1113" t="inlineStr">
        <is>
          <t>Bergvik skog öst AB</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24747-2024</t>
        </is>
      </c>
      <c r="B1114" s="1" t="n">
        <v>45460</v>
      </c>
      <c r="C1114" s="1" t="n">
        <v>45665</v>
      </c>
      <c r="D1114" t="inlineStr">
        <is>
          <t>UPPSALA LÄN</t>
        </is>
      </c>
      <c r="E1114" t="inlineStr">
        <is>
          <t>ÖSTHAMMAR</t>
        </is>
      </c>
      <c r="F1114" t="inlineStr">
        <is>
          <t>Bergvik skog öst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24588-2024</t>
        </is>
      </c>
      <c r="B1115" s="1" t="n">
        <v>45460</v>
      </c>
      <c r="C1115" s="1" t="n">
        <v>45665</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24606-2024</t>
        </is>
      </c>
      <c r="B1116" s="1" t="n">
        <v>45460</v>
      </c>
      <c r="C1116" s="1" t="n">
        <v>45665</v>
      </c>
      <c r="D1116" t="inlineStr">
        <is>
          <t>UPPSALA LÄN</t>
        </is>
      </c>
      <c r="E1116" t="inlineStr">
        <is>
          <t>ÖSTHAMMAR</t>
        </is>
      </c>
      <c r="F1116" t="inlineStr">
        <is>
          <t>Bergvik skog öst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24560-2024</t>
        </is>
      </c>
      <c r="B1117" s="1" t="n">
        <v>45460</v>
      </c>
      <c r="C1117" s="1" t="n">
        <v>45665</v>
      </c>
      <c r="D1117" t="inlineStr">
        <is>
          <t>UPPSALA LÄN</t>
        </is>
      </c>
      <c r="E1117" t="inlineStr">
        <is>
          <t>ÖSTHAMMAR</t>
        </is>
      </c>
      <c r="F1117" t="inlineStr">
        <is>
          <t>Bergvik skog öst AB</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24589-2024</t>
        </is>
      </c>
      <c r="B1118" s="1" t="n">
        <v>45460</v>
      </c>
      <c r="C1118" s="1" t="n">
        <v>45665</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24853-2024</t>
        </is>
      </c>
      <c r="B1119" s="1" t="n">
        <v>45461</v>
      </c>
      <c r="C1119" s="1" t="n">
        <v>45665</v>
      </c>
      <c r="D1119" t="inlineStr">
        <is>
          <t>UPPSALA LÄN</t>
        </is>
      </c>
      <c r="E1119" t="inlineStr">
        <is>
          <t>ÖSTHAMMAR</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25289-2024</t>
        </is>
      </c>
      <c r="B1120" s="1" t="n">
        <v>45462</v>
      </c>
      <c r="C1120" s="1" t="n">
        <v>45665</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25269-2024</t>
        </is>
      </c>
      <c r="B1121" s="1" t="n">
        <v>45462</v>
      </c>
      <c r="C1121" s="1" t="n">
        <v>45665</v>
      </c>
      <c r="D1121" t="inlineStr">
        <is>
          <t>UPPSALA LÄN</t>
        </is>
      </c>
      <c r="E1121" t="inlineStr">
        <is>
          <t>ÖSTHAMMAR</t>
        </is>
      </c>
      <c r="F1121" t="inlineStr">
        <is>
          <t>Bergvik skog öst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25252-2024</t>
        </is>
      </c>
      <c r="B1122" s="1" t="n">
        <v>45462</v>
      </c>
      <c r="C1122" s="1" t="n">
        <v>45665</v>
      </c>
      <c r="D1122" t="inlineStr">
        <is>
          <t>UPPSALA LÄN</t>
        </is>
      </c>
      <c r="E1122" t="inlineStr">
        <is>
          <t>ÖSTHAMMAR</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25772-2024</t>
        </is>
      </c>
      <c r="B1123" s="1" t="n">
        <v>45466</v>
      </c>
      <c r="C1123" s="1" t="n">
        <v>45665</v>
      </c>
      <c r="D1123" t="inlineStr">
        <is>
          <t>UPPSALA LÄN</t>
        </is>
      </c>
      <c r="E1123" t="inlineStr">
        <is>
          <t>ÖSTHAMMAR</t>
        </is>
      </c>
      <c r="F1123" t="inlineStr">
        <is>
          <t>Bergvik skog öst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25770-2024</t>
        </is>
      </c>
      <c r="B1124" s="1" t="n">
        <v>45466</v>
      </c>
      <c r="C1124" s="1" t="n">
        <v>45665</v>
      </c>
      <c r="D1124" t="inlineStr">
        <is>
          <t>UPPSALA LÄN</t>
        </is>
      </c>
      <c r="E1124" t="inlineStr">
        <is>
          <t>ÖSTHAMMAR</t>
        </is>
      </c>
      <c r="F1124" t="inlineStr">
        <is>
          <t>Bergvik skog öst AB</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25771-2024</t>
        </is>
      </c>
      <c r="B1125" s="1" t="n">
        <v>45466</v>
      </c>
      <c r="C1125" s="1" t="n">
        <v>45665</v>
      </c>
      <c r="D1125" t="inlineStr">
        <is>
          <t>UPPSALA LÄN</t>
        </is>
      </c>
      <c r="E1125" t="inlineStr">
        <is>
          <t>ÖSTHAMMAR</t>
        </is>
      </c>
      <c r="F1125" t="inlineStr">
        <is>
          <t>Bergvik skog öst AB</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25938-2024</t>
        </is>
      </c>
      <c r="B1126" s="1" t="n">
        <v>45467</v>
      </c>
      <c r="C1126" s="1" t="n">
        <v>45665</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25859-2024</t>
        </is>
      </c>
      <c r="B1127" s="1" t="n">
        <v>45467</v>
      </c>
      <c r="C1127" s="1" t="n">
        <v>45665</v>
      </c>
      <c r="D1127" t="inlineStr">
        <is>
          <t>UPPSALA LÄN</t>
        </is>
      </c>
      <c r="E1127" t="inlineStr">
        <is>
          <t>ÖSTHAMMAR</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25953-2024</t>
        </is>
      </c>
      <c r="B1128" s="1" t="n">
        <v>45467</v>
      </c>
      <c r="C1128" s="1" t="n">
        <v>45665</v>
      </c>
      <c r="D1128" t="inlineStr">
        <is>
          <t>UPPSALA LÄN</t>
        </is>
      </c>
      <c r="E1128" t="inlineStr">
        <is>
          <t>ÖSTHAMMAR</t>
        </is>
      </c>
      <c r="F1128" t="inlineStr">
        <is>
          <t>Bergvik skog öst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26303-2024</t>
        </is>
      </c>
      <c r="B1129" s="1" t="n">
        <v>45468</v>
      </c>
      <c r="C1129" s="1" t="n">
        <v>45665</v>
      </c>
      <c r="D1129" t="inlineStr">
        <is>
          <t>UPPSALA LÄN</t>
        </is>
      </c>
      <c r="E1129" t="inlineStr">
        <is>
          <t>ÖSTHAMMAR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26305-2024</t>
        </is>
      </c>
      <c r="B1130" s="1" t="n">
        <v>45468</v>
      </c>
      <c r="C1130" s="1" t="n">
        <v>45665</v>
      </c>
      <c r="D1130" t="inlineStr">
        <is>
          <t>UPPSALA LÄN</t>
        </is>
      </c>
      <c r="E1130" t="inlineStr">
        <is>
          <t>ÖSTHAMMAR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26272-2024</t>
        </is>
      </c>
      <c r="B1131" s="1" t="n">
        <v>45468</v>
      </c>
      <c r="C1131" s="1" t="n">
        <v>45665</v>
      </c>
      <c r="D1131" t="inlineStr">
        <is>
          <t>UPPSALA LÄN</t>
        </is>
      </c>
      <c r="E1131" t="inlineStr">
        <is>
          <t>ÖSTHAMMAR</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26426-2024</t>
        </is>
      </c>
      <c r="B1132" s="1" t="n">
        <v>45469</v>
      </c>
      <c r="C1132" s="1" t="n">
        <v>45665</v>
      </c>
      <c r="D1132" t="inlineStr">
        <is>
          <t>UPPSALA LÄN</t>
        </is>
      </c>
      <c r="E1132" t="inlineStr">
        <is>
          <t>ÖSTHAMMAR</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26436-2024</t>
        </is>
      </c>
      <c r="B1133" s="1" t="n">
        <v>45469</v>
      </c>
      <c r="C1133" s="1" t="n">
        <v>45665</v>
      </c>
      <c r="D1133" t="inlineStr">
        <is>
          <t>UPPSALA LÄN</t>
        </is>
      </c>
      <c r="E1133" t="inlineStr">
        <is>
          <t>ÖSTHAMMAR</t>
        </is>
      </c>
      <c r="F1133" t="inlineStr">
        <is>
          <t>Kyrkan</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26983-2024</t>
        </is>
      </c>
      <c r="B1134" s="1" t="n">
        <v>45471</v>
      </c>
      <c r="C1134" s="1" t="n">
        <v>45665</v>
      </c>
      <c r="D1134" t="inlineStr">
        <is>
          <t>UPPSALA LÄN</t>
        </is>
      </c>
      <c r="E1134" t="inlineStr">
        <is>
          <t>ÖSTHAMMAR</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27534-2024</t>
        </is>
      </c>
      <c r="B1135" s="1" t="n">
        <v>45474</v>
      </c>
      <c r="C1135" s="1" t="n">
        <v>45665</v>
      </c>
      <c r="D1135" t="inlineStr">
        <is>
          <t>UPPSALA LÄN</t>
        </is>
      </c>
      <c r="E1135" t="inlineStr">
        <is>
          <t>ÖSTHAMMAR</t>
        </is>
      </c>
      <c r="F1135" t="inlineStr">
        <is>
          <t>Bergvik skog öst AB</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27748-2024</t>
        </is>
      </c>
      <c r="B1136" s="1" t="n">
        <v>45475</v>
      </c>
      <c r="C1136" s="1" t="n">
        <v>45665</v>
      </c>
      <c r="D1136" t="inlineStr">
        <is>
          <t>UPPSALA LÄN</t>
        </is>
      </c>
      <c r="E1136" t="inlineStr">
        <is>
          <t>ÖSTHAMMAR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28151-2024</t>
        </is>
      </c>
      <c r="B1137" s="1" t="n">
        <v>45476</v>
      </c>
      <c r="C1137" s="1" t="n">
        <v>45665</v>
      </c>
      <c r="D1137" t="inlineStr">
        <is>
          <t>UPPSALA LÄN</t>
        </is>
      </c>
      <c r="E1137" t="inlineStr">
        <is>
          <t>ÖSTHAMMAR</t>
        </is>
      </c>
      <c r="F1137" t="inlineStr">
        <is>
          <t>Bergvik skog öst AB</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28152-2024</t>
        </is>
      </c>
      <c r="B1138" s="1" t="n">
        <v>45476</v>
      </c>
      <c r="C1138" s="1" t="n">
        <v>45665</v>
      </c>
      <c r="D1138" t="inlineStr">
        <is>
          <t>UPPSALA LÄN</t>
        </is>
      </c>
      <c r="E1138" t="inlineStr">
        <is>
          <t>ÖSTHAMMAR</t>
        </is>
      </c>
      <c r="F1138" t="inlineStr">
        <is>
          <t>Bergvik skog öst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28154-2024</t>
        </is>
      </c>
      <c r="B1139" s="1" t="n">
        <v>45476</v>
      </c>
      <c r="C1139" s="1" t="n">
        <v>45665</v>
      </c>
      <c r="D1139" t="inlineStr">
        <is>
          <t>UPPSALA LÄN</t>
        </is>
      </c>
      <c r="E1139" t="inlineStr">
        <is>
          <t>ÖSTHAMMAR</t>
        </is>
      </c>
      <c r="F1139" t="inlineStr">
        <is>
          <t>Bergvik skog öst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28153-2024</t>
        </is>
      </c>
      <c r="B1140" s="1" t="n">
        <v>45476</v>
      </c>
      <c r="C1140" s="1" t="n">
        <v>45665</v>
      </c>
      <c r="D1140" t="inlineStr">
        <is>
          <t>UPPSALA LÄN</t>
        </is>
      </c>
      <c r="E1140" t="inlineStr">
        <is>
          <t>ÖSTHAMMAR</t>
        </is>
      </c>
      <c r="F1140" t="inlineStr">
        <is>
          <t>Bergvik skog öst AB</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28914-2024</t>
        </is>
      </c>
      <c r="B1141" s="1" t="n">
        <v>45480</v>
      </c>
      <c r="C1141" s="1" t="n">
        <v>45665</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28915-2024</t>
        </is>
      </c>
      <c r="B1142" s="1" t="n">
        <v>45480</v>
      </c>
      <c r="C1142" s="1" t="n">
        <v>45665</v>
      </c>
      <c r="D1142" t="inlineStr">
        <is>
          <t>UPPSALA LÄN</t>
        </is>
      </c>
      <c r="E1142" t="inlineStr">
        <is>
          <t>ÖSTHAMMAR</t>
        </is>
      </c>
      <c r="F1142" t="inlineStr">
        <is>
          <t>Bergvik skog öst AB</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29230-2024</t>
        </is>
      </c>
      <c r="B1143" s="1" t="n">
        <v>45482</v>
      </c>
      <c r="C1143" s="1" t="n">
        <v>45665</v>
      </c>
      <c r="D1143" t="inlineStr">
        <is>
          <t>UPPSALA LÄN</t>
        </is>
      </c>
      <c r="E1143" t="inlineStr">
        <is>
          <t>ÖSTHAMMAR</t>
        </is>
      </c>
      <c r="F1143" t="inlineStr">
        <is>
          <t>Bergvik skog öst AB</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29231-2024</t>
        </is>
      </c>
      <c r="B1144" s="1" t="n">
        <v>45482</v>
      </c>
      <c r="C1144" s="1" t="n">
        <v>45665</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29438-2024</t>
        </is>
      </c>
      <c r="B1145" s="1" t="n">
        <v>45483</v>
      </c>
      <c r="C1145" s="1" t="n">
        <v>45665</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29823-2024</t>
        </is>
      </c>
      <c r="B1146" s="1" t="n">
        <v>45485</v>
      </c>
      <c r="C1146" s="1" t="n">
        <v>45665</v>
      </c>
      <c r="D1146" t="inlineStr">
        <is>
          <t>UPPSALA LÄN</t>
        </is>
      </c>
      <c r="E1146" t="inlineStr">
        <is>
          <t>ÖSTHAMMAR</t>
        </is>
      </c>
      <c r="F1146" t="inlineStr">
        <is>
          <t>Bergvik skog öst AB</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30605-2024</t>
        </is>
      </c>
      <c r="B1147" s="1" t="n">
        <v>45494</v>
      </c>
      <c r="C1147" s="1" t="n">
        <v>45665</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30604-2024</t>
        </is>
      </c>
      <c r="B1148" s="1" t="n">
        <v>45494</v>
      </c>
      <c r="C1148" s="1" t="n">
        <v>45665</v>
      </c>
      <c r="D1148" t="inlineStr">
        <is>
          <t>UPPSALA LÄN</t>
        </is>
      </c>
      <c r="E1148" t="inlineStr">
        <is>
          <t>ÖSTHAMMAR</t>
        </is>
      </c>
      <c r="F1148" t="inlineStr">
        <is>
          <t>Bergvik skog öst AB</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30756-2024</t>
        </is>
      </c>
      <c r="B1149" s="1" t="n">
        <v>45496</v>
      </c>
      <c r="C1149" s="1" t="n">
        <v>45665</v>
      </c>
      <c r="D1149" t="inlineStr">
        <is>
          <t>UPPSALA LÄN</t>
        </is>
      </c>
      <c r="E1149" t="inlineStr">
        <is>
          <t>ÖSTHAMMAR</t>
        </is>
      </c>
      <c r="F1149" t="inlineStr">
        <is>
          <t>Bergvik skog öst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30755-2024</t>
        </is>
      </c>
      <c r="B1150" s="1" t="n">
        <v>45496</v>
      </c>
      <c r="C1150" s="1" t="n">
        <v>45665</v>
      </c>
      <c r="D1150" t="inlineStr">
        <is>
          <t>UPPSALA LÄN</t>
        </is>
      </c>
      <c r="E1150" t="inlineStr">
        <is>
          <t>ÖSTHAMMAR</t>
        </is>
      </c>
      <c r="F1150" t="inlineStr">
        <is>
          <t>Bergvik skog öst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30972-2024</t>
        </is>
      </c>
      <c r="B1151" s="1" t="n">
        <v>45499</v>
      </c>
      <c r="C1151" s="1" t="n">
        <v>45665</v>
      </c>
      <c r="D1151" t="inlineStr">
        <is>
          <t>UPPSALA LÄN</t>
        </is>
      </c>
      <c r="E1151" t="inlineStr">
        <is>
          <t>ÖSTHAMMAR</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30973-2024</t>
        </is>
      </c>
      <c r="B1152" s="1" t="n">
        <v>45499</v>
      </c>
      <c r="C1152" s="1" t="n">
        <v>45665</v>
      </c>
      <c r="D1152" t="inlineStr">
        <is>
          <t>UPPSALA LÄN</t>
        </is>
      </c>
      <c r="E1152" t="inlineStr">
        <is>
          <t>ÖSTHAMMAR</t>
        </is>
      </c>
      <c r="F1152" t="inlineStr">
        <is>
          <t>Bergvik skog öst AB</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32190-2024</t>
        </is>
      </c>
      <c r="B1153" s="1" t="n">
        <v>45511</v>
      </c>
      <c r="C1153" s="1" t="n">
        <v>45665</v>
      </c>
      <c r="D1153" t="inlineStr">
        <is>
          <t>UPPSALA LÄN</t>
        </is>
      </c>
      <c r="E1153" t="inlineStr">
        <is>
          <t>ÖSTHAMMAR</t>
        </is>
      </c>
      <c r="F1153" t="inlineStr">
        <is>
          <t>Bergvik skog öst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32192-2024</t>
        </is>
      </c>
      <c r="B1154" s="1" t="n">
        <v>45511</v>
      </c>
      <c r="C1154" s="1" t="n">
        <v>45665</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32193-2024</t>
        </is>
      </c>
      <c r="B1155" s="1" t="n">
        <v>45511</v>
      </c>
      <c r="C1155" s="1" t="n">
        <v>45665</v>
      </c>
      <c r="D1155" t="inlineStr">
        <is>
          <t>UPPSALA LÄN</t>
        </is>
      </c>
      <c r="E1155" t="inlineStr">
        <is>
          <t>ÖSTHAMMAR</t>
        </is>
      </c>
      <c r="F1155" t="inlineStr">
        <is>
          <t>Bergvik skog öst AB</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32476-2024</t>
        </is>
      </c>
      <c r="B1156" s="1" t="n">
        <v>45513</v>
      </c>
      <c r="C1156" s="1" t="n">
        <v>45665</v>
      </c>
      <c r="D1156" t="inlineStr">
        <is>
          <t>UPPSALA LÄN</t>
        </is>
      </c>
      <c r="E1156" t="inlineStr">
        <is>
          <t>ÖSTHAMMAR</t>
        </is>
      </c>
      <c r="F1156" t="inlineStr">
        <is>
          <t>Bergvik skog öst AB</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32483-2024</t>
        </is>
      </c>
      <c r="B1157" s="1" t="n">
        <v>45513</v>
      </c>
      <c r="C1157" s="1" t="n">
        <v>45665</v>
      </c>
      <c r="D1157" t="inlineStr">
        <is>
          <t>UPPSALA LÄN</t>
        </is>
      </c>
      <c r="E1157" t="inlineStr">
        <is>
          <t>ÖSTHAMMAR</t>
        </is>
      </c>
      <c r="F1157" t="inlineStr">
        <is>
          <t>Kyrkan</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32878-2024</t>
        </is>
      </c>
      <c r="B1158" s="1" t="n">
        <v>45516</v>
      </c>
      <c r="C1158" s="1" t="n">
        <v>45665</v>
      </c>
      <c r="D1158" t="inlineStr">
        <is>
          <t>UPPSALA LÄN</t>
        </is>
      </c>
      <c r="E1158" t="inlineStr">
        <is>
          <t>ÖSTHAMMAR</t>
        </is>
      </c>
      <c r="F1158" t="inlineStr">
        <is>
          <t>Bergvik skog öst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32815-2024</t>
        </is>
      </c>
      <c r="B1159" s="1" t="n">
        <v>45516</v>
      </c>
      <c r="C1159" s="1" t="n">
        <v>45665</v>
      </c>
      <c r="D1159" t="inlineStr">
        <is>
          <t>UPPSALA LÄN</t>
        </is>
      </c>
      <c r="E1159" t="inlineStr">
        <is>
          <t>ÖSTHAMMAR</t>
        </is>
      </c>
      <c r="F1159" t="inlineStr">
        <is>
          <t>Bergvik skog öst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32884-2024</t>
        </is>
      </c>
      <c r="B1160" s="1" t="n">
        <v>45516</v>
      </c>
      <c r="C1160" s="1" t="n">
        <v>45665</v>
      </c>
      <c r="D1160" t="inlineStr">
        <is>
          <t>UPPSALA LÄN</t>
        </is>
      </c>
      <c r="E1160" t="inlineStr">
        <is>
          <t>ÖSTHAMMAR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32928-2024</t>
        </is>
      </c>
      <c r="B1161" s="1" t="n">
        <v>45517</v>
      </c>
      <c r="C1161" s="1" t="n">
        <v>45665</v>
      </c>
      <c r="D1161" t="inlineStr">
        <is>
          <t>UPPSALA LÄN</t>
        </is>
      </c>
      <c r="E1161" t="inlineStr">
        <is>
          <t>ÖSTHAMMAR</t>
        </is>
      </c>
      <c r="F1161" t="inlineStr">
        <is>
          <t>Bergvik skog öst AB</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32967-2024</t>
        </is>
      </c>
      <c r="B1162" s="1" t="n">
        <v>45517</v>
      </c>
      <c r="C1162" s="1" t="n">
        <v>45665</v>
      </c>
      <c r="D1162" t="inlineStr">
        <is>
          <t>UPPSALA LÄN</t>
        </is>
      </c>
      <c r="E1162" t="inlineStr">
        <is>
          <t>ÖSTHAMMAR</t>
        </is>
      </c>
      <c r="F1162" t="inlineStr">
        <is>
          <t>Kyrkan</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33445-2024</t>
        </is>
      </c>
      <c r="B1163" s="1" t="n">
        <v>45519</v>
      </c>
      <c r="C1163" s="1" t="n">
        <v>45665</v>
      </c>
      <c r="D1163" t="inlineStr">
        <is>
          <t>UPPSALA LÄN</t>
        </is>
      </c>
      <c r="E1163" t="inlineStr">
        <is>
          <t>ÖSTHAMMAR</t>
        </is>
      </c>
      <c r="F1163" t="inlineStr">
        <is>
          <t>Bergvik skog öst AB</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33550-2024</t>
        </is>
      </c>
      <c r="B1164" s="1" t="n">
        <v>45519</v>
      </c>
      <c r="C1164" s="1" t="n">
        <v>45665</v>
      </c>
      <c r="D1164" t="inlineStr">
        <is>
          <t>UPPSALA LÄN</t>
        </is>
      </c>
      <c r="E1164" t="inlineStr">
        <is>
          <t>ÖSTHAMMAR</t>
        </is>
      </c>
      <c r="F1164" t="inlineStr">
        <is>
          <t>Bergvik skog öst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33552-2024</t>
        </is>
      </c>
      <c r="B1165" s="1" t="n">
        <v>45519</v>
      </c>
      <c r="C1165" s="1" t="n">
        <v>45665</v>
      </c>
      <c r="D1165" t="inlineStr">
        <is>
          <t>UPPSALA LÄN</t>
        </is>
      </c>
      <c r="E1165" t="inlineStr">
        <is>
          <t>ÖSTHAMMAR</t>
        </is>
      </c>
      <c r="F1165" t="inlineStr">
        <is>
          <t>Bergvik skog öst AB</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33553-2024</t>
        </is>
      </c>
      <c r="B1166" s="1" t="n">
        <v>45519</v>
      </c>
      <c r="C1166" s="1" t="n">
        <v>45665</v>
      </c>
      <c r="D1166" t="inlineStr">
        <is>
          <t>UPPSALA LÄN</t>
        </is>
      </c>
      <c r="E1166" t="inlineStr">
        <is>
          <t>ÖSTHAMMAR</t>
        </is>
      </c>
      <c r="F1166" t="inlineStr">
        <is>
          <t>Bergvik skog öst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33599-2024</t>
        </is>
      </c>
      <c r="B1167" s="1" t="n">
        <v>45520</v>
      </c>
      <c r="C1167" s="1" t="n">
        <v>45665</v>
      </c>
      <c r="D1167" t="inlineStr">
        <is>
          <t>UPPSALA LÄN</t>
        </is>
      </c>
      <c r="E1167" t="inlineStr">
        <is>
          <t>ÖSTHAMMAR</t>
        </is>
      </c>
      <c r="F1167" t="inlineStr">
        <is>
          <t>Övriga Aktiebolag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33603-2024</t>
        </is>
      </c>
      <c r="B1168" s="1" t="n">
        <v>45520</v>
      </c>
      <c r="C1168" s="1" t="n">
        <v>45665</v>
      </c>
      <c r="D1168" t="inlineStr">
        <is>
          <t>UPPSALA LÄN</t>
        </is>
      </c>
      <c r="E1168" t="inlineStr">
        <is>
          <t>ÖSTHAMMAR</t>
        </is>
      </c>
      <c r="F1168" t="inlineStr">
        <is>
          <t>Övriga Aktiebolag</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33601-2024</t>
        </is>
      </c>
      <c r="B1169" s="1" t="n">
        <v>45520</v>
      </c>
      <c r="C1169" s="1" t="n">
        <v>45665</v>
      </c>
      <c r="D1169" t="inlineStr">
        <is>
          <t>UPPSALA LÄN</t>
        </is>
      </c>
      <c r="E1169" t="inlineStr">
        <is>
          <t>ÖSTHAMMAR</t>
        </is>
      </c>
      <c r="F1169" t="inlineStr">
        <is>
          <t>Övriga Aktiebolag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33680-2024</t>
        </is>
      </c>
      <c r="B1170" s="1" t="n">
        <v>45520</v>
      </c>
      <c r="C1170" s="1" t="n">
        <v>45665</v>
      </c>
      <c r="D1170" t="inlineStr">
        <is>
          <t>UPPSALA LÄN</t>
        </is>
      </c>
      <c r="E1170" t="inlineStr">
        <is>
          <t>ÖSTHAMMAR</t>
        </is>
      </c>
      <c r="F1170" t="inlineStr">
        <is>
          <t>Bergvik skog öst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33767-2024</t>
        </is>
      </c>
      <c r="B1171" s="1" t="n">
        <v>45520</v>
      </c>
      <c r="C1171" s="1" t="n">
        <v>45665</v>
      </c>
      <c r="D1171" t="inlineStr">
        <is>
          <t>UPPSALA LÄN</t>
        </is>
      </c>
      <c r="E1171" t="inlineStr">
        <is>
          <t>ÖSTHAMMAR</t>
        </is>
      </c>
      <c r="F1171" t="inlineStr">
        <is>
          <t>Övriga Aktiebolag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33800-2024</t>
        </is>
      </c>
      <c r="B1172" s="1" t="n">
        <v>45520</v>
      </c>
      <c r="C1172" s="1" t="n">
        <v>45665</v>
      </c>
      <c r="D1172" t="inlineStr">
        <is>
          <t>UPPSALA LÄN</t>
        </is>
      </c>
      <c r="E1172" t="inlineStr">
        <is>
          <t>ÖSTHAMMAR</t>
        </is>
      </c>
      <c r="F1172" t="inlineStr">
        <is>
          <t>Naturvårdsverket</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33688-2024</t>
        </is>
      </c>
      <c r="B1173" s="1" t="n">
        <v>45520</v>
      </c>
      <c r="C1173" s="1" t="n">
        <v>45665</v>
      </c>
      <c r="D1173" t="inlineStr">
        <is>
          <t>UPPSALA LÄN</t>
        </is>
      </c>
      <c r="E1173" t="inlineStr">
        <is>
          <t>ÖSTHAMMAR</t>
        </is>
      </c>
      <c r="F1173" t="inlineStr">
        <is>
          <t>Bergvik skog öst AB</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33681-2024</t>
        </is>
      </c>
      <c r="B1174" s="1" t="n">
        <v>45520</v>
      </c>
      <c r="C1174" s="1" t="n">
        <v>45665</v>
      </c>
      <c r="D1174" t="inlineStr">
        <is>
          <t>UPPSALA LÄN</t>
        </is>
      </c>
      <c r="E1174" t="inlineStr">
        <is>
          <t>ÖSTHAMMAR</t>
        </is>
      </c>
      <c r="F1174" t="inlineStr">
        <is>
          <t>Bergvik skog öst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33685-2024</t>
        </is>
      </c>
      <c r="B1175" s="1" t="n">
        <v>45520</v>
      </c>
      <c r="C1175" s="1" t="n">
        <v>45665</v>
      </c>
      <c r="D1175" t="inlineStr">
        <is>
          <t>UPPSALA LÄN</t>
        </is>
      </c>
      <c r="E1175" t="inlineStr">
        <is>
          <t>ÖSTHAMMAR</t>
        </is>
      </c>
      <c r="F1175" t="inlineStr">
        <is>
          <t>Bergvik skog öst AB</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33760-2024</t>
        </is>
      </c>
      <c r="B1176" s="1" t="n">
        <v>45520</v>
      </c>
      <c r="C1176" s="1" t="n">
        <v>45665</v>
      </c>
      <c r="D1176" t="inlineStr">
        <is>
          <t>UPPSALA LÄN</t>
        </is>
      </c>
      <c r="E1176" t="inlineStr">
        <is>
          <t>ÖSTHAMMAR</t>
        </is>
      </c>
      <c r="F1176" t="inlineStr">
        <is>
          <t>Övriga Aktiebolag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33784-2024</t>
        </is>
      </c>
      <c r="B1177" s="1" t="n">
        <v>45520</v>
      </c>
      <c r="C1177" s="1" t="n">
        <v>45665</v>
      </c>
      <c r="D1177" t="inlineStr">
        <is>
          <t>UPPSALA LÄN</t>
        </is>
      </c>
      <c r="E1177" t="inlineStr">
        <is>
          <t>ÖSTHAMMAR</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33754-2024</t>
        </is>
      </c>
      <c r="B1178" s="1" t="n">
        <v>45520</v>
      </c>
      <c r="C1178" s="1" t="n">
        <v>45665</v>
      </c>
      <c r="D1178" t="inlineStr">
        <is>
          <t>UPPSALA LÄN</t>
        </is>
      </c>
      <c r="E1178" t="inlineStr">
        <is>
          <t>ÖSTHAMMAR</t>
        </is>
      </c>
      <c r="F1178" t="inlineStr">
        <is>
          <t>Övriga Aktiebolag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33758-2024</t>
        </is>
      </c>
      <c r="B1179" s="1" t="n">
        <v>45520</v>
      </c>
      <c r="C1179" s="1" t="n">
        <v>45665</v>
      </c>
      <c r="D1179" t="inlineStr">
        <is>
          <t>UPPSALA LÄN</t>
        </is>
      </c>
      <c r="E1179" t="inlineStr">
        <is>
          <t>ÖSTHAMMAR</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34185-2024</t>
        </is>
      </c>
      <c r="B1180" s="1" t="n">
        <v>45524</v>
      </c>
      <c r="C1180" s="1" t="n">
        <v>45665</v>
      </c>
      <c r="D1180" t="inlineStr">
        <is>
          <t>UPPSALA LÄN</t>
        </is>
      </c>
      <c r="E1180" t="inlineStr">
        <is>
          <t>ÖSTHAMMAR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34189-2024</t>
        </is>
      </c>
      <c r="B1181" s="1" t="n">
        <v>45524</v>
      </c>
      <c r="C1181" s="1" t="n">
        <v>45665</v>
      </c>
      <c r="D1181" t="inlineStr">
        <is>
          <t>UPPSALA LÄN</t>
        </is>
      </c>
      <c r="E1181" t="inlineStr">
        <is>
          <t>ÖSTHAMMAR</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34178-2024</t>
        </is>
      </c>
      <c r="B1182" s="1" t="n">
        <v>45524</v>
      </c>
      <c r="C1182" s="1" t="n">
        <v>45665</v>
      </c>
      <c r="D1182" t="inlineStr">
        <is>
          <t>UPPSALA LÄN</t>
        </is>
      </c>
      <c r="E1182" t="inlineStr">
        <is>
          <t>ÖSTHAMMAR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34182-2024</t>
        </is>
      </c>
      <c r="B1183" s="1" t="n">
        <v>45524</v>
      </c>
      <c r="C1183" s="1" t="n">
        <v>45665</v>
      </c>
      <c r="D1183" t="inlineStr">
        <is>
          <t>UPPSALA LÄN</t>
        </is>
      </c>
      <c r="E1183" t="inlineStr">
        <is>
          <t>ÖSTHAMMAR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35321-2024</t>
        </is>
      </c>
      <c r="B1184" s="1" t="n">
        <v>45530</v>
      </c>
      <c r="C1184" s="1" t="n">
        <v>45665</v>
      </c>
      <c r="D1184" t="inlineStr">
        <is>
          <t>UPPSALA LÄN</t>
        </is>
      </c>
      <c r="E1184" t="inlineStr">
        <is>
          <t>ÖSTHAMMAR</t>
        </is>
      </c>
      <c r="F1184" t="inlineStr">
        <is>
          <t>Bergvik skog öst AB</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35319-2024</t>
        </is>
      </c>
      <c r="B1185" s="1" t="n">
        <v>45530</v>
      </c>
      <c r="C1185" s="1" t="n">
        <v>45665</v>
      </c>
      <c r="D1185" t="inlineStr">
        <is>
          <t>UPPSALA LÄN</t>
        </is>
      </c>
      <c r="E1185" t="inlineStr">
        <is>
          <t>ÖSTHAMMAR</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35300-2024</t>
        </is>
      </c>
      <c r="B1186" s="1" t="n">
        <v>45530</v>
      </c>
      <c r="C1186" s="1" t="n">
        <v>45665</v>
      </c>
      <c r="D1186" t="inlineStr">
        <is>
          <t>UPPSALA LÄN</t>
        </is>
      </c>
      <c r="E1186" t="inlineStr">
        <is>
          <t>ÖSTHAMMAR</t>
        </is>
      </c>
      <c r="F1186" t="inlineStr">
        <is>
          <t>Bergvik skog öst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35312-2024</t>
        </is>
      </c>
      <c r="B1187" s="1" t="n">
        <v>45530</v>
      </c>
      <c r="C1187" s="1" t="n">
        <v>45665</v>
      </c>
      <c r="D1187" t="inlineStr">
        <is>
          <t>UPPSALA LÄN</t>
        </is>
      </c>
      <c r="E1187" t="inlineStr">
        <is>
          <t>ÖSTHAMMAR</t>
        </is>
      </c>
      <c r="F1187" t="inlineStr">
        <is>
          <t>Bergvik skog öst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35316-2024</t>
        </is>
      </c>
      <c r="B1188" s="1" t="n">
        <v>45530</v>
      </c>
      <c r="C1188" s="1" t="n">
        <v>45665</v>
      </c>
      <c r="D1188" t="inlineStr">
        <is>
          <t>UPPSALA LÄN</t>
        </is>
      </c>
      <c r="E1188" t="inlineStr">
        <is>
          <t>ÖSTHAMMAR</t>
        </is>
      </c>
      <c r="F1188" t="inlineStr">
        <is>
          <t>Bergvik skog öst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35177-2024</t>
        </is>
      </c>
      <c r="B1189" s="1" t="n">
        <v>45530</v>
      </c>
      <c r="C1189" s="1" t="n">
        <v>45665</v>
      </c>
      <c r="D1189" t="inlineStr">
        <is>
          <t>UPPSALA LÄN</t>
        </is>
      </c>
      <c r="E1189" t="inlineStr">
        <is>
          <t>ÖSTHAMMAR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35306-2024</t>
        </is>
      </c>
      <c r="B1190" s="1" t="n">
        <v>45530</v>
      </c>
      <c r="C1190" s="1" t="n">
        <v>45665</v>
      </c>
      <c r="D1190" t="inlineStr">
        <is>
          <t>UPPSALA LÄN</t>
        </is>
      </c>
      <c r="E1190" t="inlineStr">
        <is>
          <t>ÖSTHAMMAR</t>
        </is>
      </c>
      <c r="F1190" t="inlineStr">
        <is>
          <t>Bergvik skog öst AB</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35810-2024</t>
        </is>
      </c>
      <c r="B1191" s="1" t="n">
        <v>45532</v>
      </c>
      <c r="C1191" s="1" t="n">
        <v>45665</v>
      </c>
      <c r="D1191" t="inlineStr">
        <is>
          <t>UPPSALA LÄN</t>
        </is>
      </c>
      <c r="E1191" t="inlineStr">
        <is>
          <t>ÖSTHAMMAR</t>
        </is>
      </c>
      <c r="F1191" t="inlineStr">
        <is>
          <t>Övriga Aktiebolag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35929-2024</t>
        </is>
      </c>
      <c r="B1192" s="1" t="n">
        <v>45533</v>
      </c>
      <c r="C1192" s="1" t="n">
        <v>45665</v>
      </c>
      <c r="D1192" t="inlineStr">
        <is>
          <t>UPPSALA LÄN</t>
        </is>
      </c>
      <c r="E1192" t="inlineStr">
        <is>
          <t>ÖSTHAMMAR</t>
        </is>
      </c>
      <c r="F1192" t="inlineStr">
        <is>
          <t>Övriga Aktiebolag</t>
        </is>
      </c>
      <c r="G1192" t="n">
        <v>15.5</v>
      </c>
      <c r="H1192" t="n">
        <v>0</v>
      </c>
      <c r="I1192" t="n">
        <v>0</v>
      </c>
      <c r="J1192" t="n">
        <v>0</v>
      </c>
      <c r="K1192" t="n">
        <v>0</v>
      </c>
      <c r="L1192" t="n">
        <v>0</v>
      </c>
      <c r="M1192" t="n">
        <v>0</v>
      </c>
      <c r="N1192" t="n">
        <v>0</v>
      </c>
      <c r="O1192" t="n">
        <v>0</v>
      </c>
      <c r="P1192" t="n">
        <v>0</v>
      </c>
      <c r="Q1192" t="n">
        <v>0</v>
      </c>
      <c r="R1192" s="2" t="inlineStr"/>
    </row>
    <row r="1193" ht="15" customHeight="1">
      <c r="A1193" t="inlineStr">
        <is>
          <t>A 35936-2024</t>
        </is>
      </c>
      <c r="B1193" s="1" t="n">
        <v>45533</v>
      </c>
      <c r="C1193" s="1" t="n">
        <v>45665</v>
      </c>
      <c r="D1193" t="inlineStr">
        <is>
          <t>UPPSALA LÄN</t>
        </is>
      </c>
      <c r="E1193" t="inlineStr">
        <is>
          <t>ÖSTHAMMAR</t>
        </is>
      </c>
      <c r="F1193" t="inlineStr">
        <is>
          <t>Övriga Aktiebolag</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35933-2024</t>
        </is>
      </c>
      <c r="B1194" s="1" t="n">
        <v>45533</v>
      </c>
      <c r="C1194" s="1" t="n">
        <v>45665</v>
      </c>
      <c r="D1194" t="inlineStr">
        <is>
          <t>UPPSALA LÄN</t>
        </is>
      </c>
      <c r="E1194" t="inlineStr">
        <is>
          <t>ÖSTHAMMAR</t>
        </is>
      </c>
      <c r="F1194" t="inlineStr">
        <is>
          <t>Övriga Aktiebolag</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36171-2024</t>
        </is>
      </c>
      <c r="B1195" s="1" t="n">
        <v>45534</v>
      </c>
      <c r="C1195" s="1" t="n">
        <v>45665</v>
      </c>
      <c r="D1195" t="inlineStr">
        <is>
          <t>UPPSALA LÄN</t>
        </is>
      </c>
      <c r="E1195" t="inlineStr">
        <is>
          <t>ÖSTHAMMAR</t>
        </is>
      </c>
      <c r="F1195" t="inlineStr">
        <is>
          <t>Kyrkan</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36866-2024</t>
        </is>
      </c>
      <c r="B1196" s="1" t="n">
        <v>45538</v>
      </c>
      <c r="C1196" s="1" t="n">
        <v>45665</v>
      </c>
      <c r="D1196" t="inlineStr">
        <is>
          <t>UPPSALA LÄN</t>
        </is>
      </c>
      <c r="E1196" t="inlineStr">
        <is>
          <t>ÖSTHAMMAR</t>
        </is>
      </c>
      <c r="F1196" t="inlineStr">
        <is>
          <t>Bergvik skog öst AB</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36847-2024</t>
        </is>
      </c>
      <c r="B1197" s="1" t="n">
        <v>45538</v>
      </c>
      <c r="C1197" s="1" t="n">
        <v>45665</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36869-2024</t>
        </is>
      </c>
      <c r="B1198" s="1" t="n">
        <v>45538</v>
      </c>
      <c r="C1198" s="1" t="n">
        <v>45665</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36863-2024</t>
        </is>
      </c>
      <c r="B1199" s="1" t="n">
        <v>45538</v>
      </c>
      <c r="C1199" s="1" t="n">
        <v>45665</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36897-2024</t>
        </is>
      </c>
      <c r="B1200" s="1" t="n">
        <v>45538</v>
      </c>
      <c r="C1200" s="1" t="n">
        <v>45665</v>
      </c>
      <c r="D1200" t="inlineStr">
        <is>
          <t>UPPSALA LÄN</t>
        </is>
      </c>
      <c r="E1200" t="inlineStr">
        <is>
          <t>ÖSTHAMMAR</t>
        </is>
      </c>
      <c r="F1200" t="inlineStr">
        <is>
          <t>Bergvik skog öst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36846-2024</t>
        </is>
      </c>
      <c r="B1201" s="1" t="n">
        <v>45538</v>
      </c>
      <c r="C1201" s="1" t="n">
        <v>45665</v>
      </c>
      <c r="D1201" t="inlineStr">
        <is>
          <t>UPPSALA LÄN</t>
        </is>
      </c>
      <c r="E1201" t="inlineStr">
        <is>
          <t>ÖSTHAMMAR</t>
        </is>
      </c>
      <c r="F1201" t="inlineStr">
        <is>
          <t>Bergvik skog öst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36868-2024</t>
        </is>
      </c>
      <c r="B1202" s="1" t="n">
        <v>45538</v>
      </c>
      <c r="C1202" s="1" t="n">
        <v>45665</v>
      </c>
      <c r="D1202" t="inlineStr">
        <is>
          <t>UPPSALA LÄN</t>
        </is>
      </c>
      <c r="E1202" t="inlineStr">
        <is>
          <t>ÖSTHAMMAR</t>
        </is>
      </c>
      <c r="F1202" t="inlineStr">
        <is>
          <t>Bergvik skog öst AB</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36898-2024</t>
        </is>
      </c>
      <c r="B1203" s="1" t="n">
        <v>45538</v>
      </c>
      <c r="C1203" s="1" t="n">
        <v>45665</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36951-2024</t>
        </is>
      </c>
      <c r="B1204" s="1" t="n">
        <v>45538</v>
      </c>
      <c r="C1204" s="1" t="n">
        <v>45665</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36950-2024</t>
        </is>
      </c>
      <c r="B1205" s="1" t="n">
        <v>45538</v>
      </c>
      <c r="C1205" s="1" t="n">
        <v>45665</v>
      </c>
      <c r="D1205" t="inlineStr">
        <is>
          <t>UPPSALA LÄN</t>
        </is>
      </c>
      <c r="E1205" t="inlineStr">
        <is>
          <t>ÖSTHAMMAR</t>
        </is>
      </c>
      <c r="F1205" t="inlineStr">
        <is>
          <t>Bergvik skog öst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36954-2024</t>
        </is>
      </c>
      <c r="B1206" s="1" t="n">
        <v>45538</v>
      </c>
      <c r="C1206" s="1" t="n">
        <v>45665</v>
      </c>
      <c r="D1206" t="inlineStr">
        <is>
          <t>UPPSALA LÄN</t>
        </is>
      </c>
      <c r="E1206" t="inlineStr">
        <is>
          <t>ÖSTHAMMAR</t>
        </is>
      </c>
      <c r="F1206" t="inlineStr">
        <is>
          <t>Bergvik skog öst AB</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36940-2024</t>
        </is>
      </c>
      <c r="B1207" s="1" t="n">
        <v>45538</v>
      </c>
      <c r="C1207" s="1" t="n">
        <v>45665</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36948-2024</t>
        </is>
      </c>
      <c r="B1208" s="1" t="n">
        <v>45538</v>
      </c>
      <c r="C1208" s="1" t="n">
        <v>45665</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36952-2024</t>
        </is>
      </c>
      <c r="B1209" s="1" t="n">
        <v>45538</v>
      </c>
      <c r="C1209" s="1" t="n">
        <v>45665</v>
      </c>
      <c r="D1209" t="inlineStr">
        <is>
          <t>UPPSALA LÄN</t>
        </is>
      </c>
      <c r="E1209" t="inlineStr">
        <is>
          <t>ÖSTHAMMAR</t>
        </is>
      </c>
      <c r="F1209" t="inlineStr">
        <is>
          <t>Bergvik skog öst AB</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36956-2024</t>
        </is>
      </c>
      <c r="B1210" s="1" t="n">
        <v>45538</v>
      </c>
      <c r="C1210" s="1" t="n">
        <v>45665</v>
      </c>
      <c r="D1210" t="inlineStr">
        <is>
          <t>UPPSALA LÄN</t>
        </is>
      </c>
      <c r="E1210" t="inlineStr">
        <is>
          <t>ÖSTHAMMAR</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36937-2024</t>
        </is>
      </c>
      <c r="B1211" s="1" t="n">
        <v>45538</v>
      </c>
      <c r="C1211" s="1" t="n">
        <v>45665</v>
      </c>
      <c r="D1211" t="inlineStr">
        <is>
          <t>UPPSALA LÄN</t>
        </is>
      </c>
      <c r="E1211" t="inlineStr">
        <is>
          <t>ÖSTHAMMAR</t>
        </is>
      </c>
      <c r="F1211" t="inlineStr">
        <is>
          <t>Bergvik skog öst AB</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36953-2024</t>
        </is>
      </c>
      <c r="B1212" s="1" t="n">
        <v>45538</v>
      </c>
      <c r="C1212" s="1" t="n">
        <v>45665</v>
      </c>
      <c r="D1212" t="inlineStr">
        <is>
          <t>UPPSALA LÄN</t>
        </is>
      </c>
      <c r="E1212" t="inlineStr">
        <is>
          <t>ÖSTHAMMAR</t>
        </is>
      </c>
      <c r="F1212" t="inlineStr">
        <is>
          <t>Bergvik skog öst AB</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36958-2024</t>
        </is>
      </c>
      <c r="B1213" s="1" t="n">
        <v>45538</v>
      </c>
      <c r="C1213" s="1" t="n">
        <v>45665</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37995-2024</t>
        </is>
      </c>
      <c r="B1214" s="1" t="n">
        <v>45544</v>
      </c>
      <c r="C1214" s="1" t="n">
        <v>45665</v>
      </c>
      <c r="D1214" t="inlineStr">
        <is>
          <t>UPPSALA LÄN</t>
        </is>
      </c>
      <c r="E1214" t="inlineStr">
        <is>
          <t>ÖSTHAMMAR</t>
        </is>
      </c>
      <c r="F1214" t="inlineStr">
        <is>
          <t>Naturvårdsverket</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38003-2024</t>
        </is>
      </c>
      <c r="B1215" s="1" t="n">
        <v>45544</v>
      </c>
      <c r="C1215" s="1" t="n">
        <v>45665</v>
      </c>
      <c r="D1215" t="inlineStr">
        <is>
          <t>UPPSALA LÄN</t>
        </is>
      </c>
      <c r="E1215" t="inlineStr">
        <is>
          <t>ÖSTHAMMAR</t>
        </is>
      </c>
      <c r="F1215" t="inlineStr">
        <is>
          <t>Naturvårdsverket</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38233-2024</t>
        </is>
      </c>
      <c r="B1216" s="1" t="n">
        <v>45545</v>
      </c>
      <c r="C1216" s="1" t="n">
        <v>45665</v>
      </c>
      <c r="D1216" t="inlineStr">
        <is>
          <t>UPPSALA LÄN</t>
        </is>
      </c>
      <c r="E1216" t="inlineStr">
        <is>
          <t>ÖSTHAMMAR</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38572-2024</t>
        </is>
      </c>
      <c r="B1217" s="1" t="n">
        <v>45546</v>
      </c>
      <c r="C1217" s="1" t="n">
        <v>45665</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38575-2024</t>
        </is>
      </c>
      <c r="B1218" s="1" t="n">
        <v>45546</v>
      </c>
      <c r="C1218" s="1" t="n">
        <v>45665</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39341-2024</t>
        </is>
      </c>
      <c r="B1219" s="1" t="n">
        <v>45551</v>
      </c>
      <c r="C1219" s="1" t="n">
        <v>45665</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39357-2024</t>
        </is>
      </c>
      <c r="B1220" s="1" t="n">
        <v>45551</v>
      </c>
      <c r="C1220" s="1" t="n">
        <v>45665</v>
      </c>
      <c r="D1220" t="inlineStr">
        <is>
          <t>UPPSALA LÄN</t>
        </is>
      </c>
      <c r="E1220" t="inlineStr">
        <is>
          <t>ÖSTHAMMAR</t>
        </is>
      </c>
      <c r="F1220" t="inlineStr">
        <is>
          <t>Bergvik skog öst AB</t>
        </is>
      </c>
      <c r="G1220" t="n">
        <v>23.2</v>
      </c>
      <c r="H1220" t="n">
        <v>0</v>
      </c>
      <c r="I1220" t="n">
        <v>0</v>
      </c>
      <c r="J1220" t="n">
        <v>0</v>
      </c>
      <c r="K1220" t="n">
        <v>0</v>
      </c>
      <c r="L1220" t="n">
        <v>0</v>
      </c>
      <c r="M1220" t="n">
        <v>0</v>
      </c>
      <c r="N1220" t="n">
        <v>0</v>
      </c>
      <c r="O1220" t="n">
        <v>0</v>
      </c>
      <c r="P1220" t="n">
        <v>0</v>
      </c>
      <c r="Q1220" t="n">
        <v>0</v>
      </c>
      <c r="R1220" s="2" t="inlineStr"/>
    </row>
    <row r="1221" ht="15" customHeight="1">
      <c r="A1221" t="inlineStr">
        <is>
          <t>A 39491-2024</t>
        </is>
      </c>
      <c r="B1221" s="1" t="n">
        <v>45551</v>
      </c>
      <c r="C1221" s="1" t="n">
        <v>45665</v>
      </c>
      <c r="D1221" t="inlineStr">
        <is>
          <t>UPPSALA LÄN</t>
        </is>
      </c>
      <c r="E1221" t="inlineStr">
        <is>
          <t>ÖSTHAMMAR</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39490-2024</t>
        </is>
      </c>
      <c r="B1222" s="1" t="n">
        <v>45551</v>
      </c>
      <c r="C1222" s="1" t="n">
        <v>45665</v>
      </c>
      <c r="D1222" t="inlineStr">
        <is>
          <t>UPPSALA LÄN</t>
        </is>
      </c>
      <c r="E1222" t="inlineStr">
        <is>
          <t>ÖSTHAMMAR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39633-2024</t>
        </is>
      </c>
      <c r="B1223" s="1" t="n">
        <v>45552</v>
      </c>
      <c r="C1223" s="1" t="n">
        <v>45665</v>
      </c>
      <c r="D1223" t="inlineStr">
        <is>
          <t>UPPSALA LÄN</t>
        </is>
      </c>
      <c r="E1223" t="inlineStr">
        <is>
          <t>ÖSTHAMMAR</t>
        </is>
      </c>
      <c r="F1223" t="inlineStr">
        <is>
          <t>Bergvik skog öst AB</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39759-2024</t>
        </is>
      </c>
      <c r="B1224" s="1" t="n">
        <v>45552</v>
      </c>
      <c r="C1224" s="1" t="n">
        <v>45665</v>
      </c>
      <c r="D1224" t="inlineStr">
        <is>
          <t>UPPSALA LÄN</t>
        </is>
      </c>
      <c r="E1224" t="inlineStr">
        <is>
          <t>ÖSTHAMMAR</t>
        </is>
      </c>
      <c r="F1224" t="inlineStr">
        <is>
          <t>Bergvik skog öst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39632-2024</t>
        </is>
      </c>
      <c r="B1225" s="1" t="n">
        <v>45552</v>
      </c>
      <c r="C1225" s="1" t="n">
        <v>45665</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39758-2024</t>
        </is>
      </c>
      <c r="B1226" s="1" t="n">
        <v>45552</v>
      </c>
      <c r="C1226" s="1" t="n">
        <v>45665</v>
      </c>
      <c r="D1226" t="inlineStr">
        <is>
          <t>UPPSALA LÄN</t>
        </is>
      </c>
      <c r="E1226" t="inlineStr">
        <is>
          <t>ÖSTHAMMAR</t>
        </is>
      </c>
      <c r="F1226" t="inlineStr">
        <is>
          <t>Bergvik skog öst AB</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40434-2024</t>
        </is>
      </c>
      <c r="B1227" s="1" t="n">
        <v>45555</v>
      </c>
      <c r="C1227" s="1" t="n">
        <v>45665</v>
      </c>
      <c r="D1227" t="inlineStr">
        <is>
          <t>UPPSALA LÄN</t>
        </is>
      </c>
      <c r="E1227" t="inlineStr">
        <is>
          <t>ÖSTHAMMAR</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40454-2024</t>
        </is>
      </c>
      <c r="B1228" s="1" t="n">
        <v>45555</v>
      </c>
      <c r="C1228" s="1" t="n">
        <v>45665</v>
      </c>
      <c r="D1228" t="inlineStr">
        <is>
          <t>UPPSALA LÄN</t>
        </is>
      </c>
      <c r="E1228" t="inlineStr">
        <is>
          <t>ÖSTHAMMAR</t>
        </is>
      </c>
      <c r="F1228" t="inlineStr">
        <is>
          <t>Bergvik skog öst AB</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41341-2024</t>
        </is>
      </c>
      <c r="B1229" s="1" t="n">
        <v>45559</v>
      </c>
      <c r="C1229" s="1" t="n">
        <v>45665</v>
      </c>
      <c r="D1229" t="inlineStr">
        <is>
          <t>UPPSALA LÄN</t>
        </is>
      </c>
      <c r="E1229" t="inlineStr">
        <is>
          <t>ÖSTHAMMAR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41478-2024</t>
        </is>
      </c>
      <c r="B1230" s="1" t="n">
        <v>45560</v>
      </c>
      <c r="C1230" s="1" t="n">
        <v>45665</v>
      </c>
      <c r="D1230" t="inlineStr">
        <is>
          <t>UPPSALA LÄN</t>
        </is>
      </c>
      <c r="E1230" t="inlineStr">
        <is>
          <t>ÖSTHAMMAR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41998-2024</t>
        </is>
      </c>
      <c r="B1231" s="1" t="n">
        <v>45561</v>
      </c>
      <c r="C1231" s="1" t="n">
        <v>45665</v>
      </c>
      <c r="D1231" t="inlineStr">
        <is>
          <t>UPPSALA LÄN</t>
        </is>
      </c>
      <c r="E1231" t="inlineStr">
        <is>
          <t>ÖSTHAMMAR</t>
        </is>
      </c>
      <c r="F1231" t="inlineStr">
        <is>
          <t>Bergvik skog öst AB</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41996-2024</t>
        </is>
      </c>
      <c r="B1232" s="1" t="n">
        <v>45561</v>
      </c>
      <c r="C1232" s="1" t="n">
        <v>45665</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42225-2024</t>
        </is>
      </c>
      <c r="B1233" s="1" t="n">
        <v>45562</v>
      </c>
      <c r="C1233" s="1" t="n">
        <v>45665</v>
      </c>
      <c r="D1233" t="inlineStr">
        <is>
          <t>UPPSALA LÄN</t>
        </is>
      </c>
      <c r="E1233" t="inlineStr">
        <is>
          <t>ÖSTHAMMAR</t>
        </is>
      </c>
      <c r="F1233" t="inlineStr">
        <is>
          <t>Bergvik skog öst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42296-2024</t>
        </is>
      </c>
      <c r="B1234" s="1" t="n">
        <v>45562</v>
      </c>
      <c r="C1234" s="1" t="n">
        <v>45665</v>
      </c>
      <c r="D1234" t="inlineStr">
        <is>
          <t>UPPSALA LÄN</t>
        </is>
      </c>
      <c r="E1234" t="inlineStr">
        <is>
          <t>ÖSTHAMMAR</t>
        </is>
      </c>
      <c r="F1234" t="inlineStr">
        <is>
          <t>Bergvik skog öst AB</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42262-2024</t>
        </is>
      </c>
      <c r="B1235" s="1" t="n">
        <v>45562</v>
      </c>
      <c r="C1235" s="1" t="n">
        <v>45665</v>
      </c>
      <c r="D1235" t="inlineStr">
        <is>
          <t>UPPSALA LÄN</t>
        </is>
      </c>
      <c r="E1235" t="inlineStr">
        <is>
          <t>ÖSTHAMMAR</t>
        </is>
      </c>
      <c r="F1235" t="inlineStr">
        <is>
          <t>Bergvik skog öst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42142-2024</t>
        </is>
      </c>
      <c r="B1236" s="1" t="n">
        <v>45562</v>
      </c>
      <c r="C1236" s="1" t="n">
        <v>45665</v>
      </c>
      <c r="D1236" t="inlineStr">
        <is>
          <t>UPPSALA LÄN</t>
        </is>
      </c>
      <c r="E1236" t="inlineStr">
        <is>
          <t>ÖSTHAMMAR</t>
        </is>
      </c>
      <c r="F1236" t="inlineStr">
        <is>
          <t>Bergvik skog öst AB</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42159-2024</t>
        </is>
      </c>
      <c r="B1237" s="1" t="n">
        <v>45562</v>
      </c>
      <c r="C1237" s="1" t="n">
        <v>45665</v>
      </c>
      <c r="D1237" t="inlineStr">
        <is>
          <t>UPPSALA LÄN</t>
        </is>
      </c>
      <c r="E1237" t="inlineStr">
        <is>
          <t>ÖSTHAMMAR</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43197-2024</t>
        </is>
      </c>
      <c r="B1238" s="1" t="n">
        <v>45567</v>
      </c>
      <c r="C1238" s="1" t="n">
        <v>45665</v>
      </c>
      <c r="D1238" t="inlineStr">
        <is>
          <t>UPPSALA LÄN</t>
        </is>
      </c>
      <c r="E1238" t="inlineStr">
        <is>
          <t>ÖSTHAMMAR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43439-2024</t>
        </is>
      </c>
      <c r="B1239" s="1" t="n">
        <v>45568</v>
      </c>
      <c r="C1239" s="1" t="n">
        <v>45665</v>
      </c>
      <c r="D1239" t="inlineStr">
        <is>
          <t>UPPSALA LÄN</t>
        </is>
      </c>
      <c r="E1239" t="inlineStr">
        <is>
          <t>ÖSTHAMMAR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43655-2024</t>
        </is>
      </c>
      <c r="B1240" s="1" t="n">
        <v>45569</v>
      </c>
      <c r="C1240" s="1" t="n">
        <v>45665</v>
      </c>
      <c r="D1240" t="inlineStr">
        <is>
          <t>UPPSALA LÄN</t>
        </is>
      </c>
      <c r="E1240" t="inlineStr">
        <is>
          <t>ÖSTHAMMAR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43676-2024</t>
        </is>
      </c>
      <c r="B1241" s="1" t="n">
        <v>45569</v>
      </c>
      <c r="C1241" s="1" t="n">
        <v>45665</v>
      </c>
      <c r="D1241" t="inlineStr">
        <is>
          <t>UPPSALA LÄN</t>
        </is>
      </c>
      <c r="E1241" t="inlineStr">
        <is>
          <t>ÖSTHAMMAR</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43685-2024</t>
        </is>
      </c>
      <c r="B1242" s="1" t="n">
        <v>45569</v>
      </c>
      <c r="C1242" s="1" t="n">
        <v>45665</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43679-2024</t>
        </is>
      </c>
      <c r="B1243" s="1" t="n">
        <v>45569</v>
      </c>
      <c r="C1243" s="1" t="n">
        <v>45665</v>
      </c>
      <c r="D1243" t="inlineStr">
        <is>
          <t>UPPSALA LÄN</t>
        </is>
      </c>
      <c r="E1243" t="inlineStr">
        <is>
          <t>ÖSTHAMMAR</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43666-2024</t>
        </is>
      </c>
      <c r="B1244" s="1" t="n">
        <v>45569</v>
      </c>
      <c r="C1244" s="1" t="n">
        <v>45665</v>
      </c>
      <c r="D1244" t="inlineStr">
        <is>
          <t>UPPSALA LÄN</t>
        </is>
      </c>
      <c r="E1244" t="inlineStr">
        <is>
          <t>ÖSTHAMMAR</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43683-2024</t>
        </is>
      </c>
      <c r="B1245" s="1" t="n">
        <v>45569</v>
      </c>
      <c r="C1245" s="1" t="n">
        <v>45665</v>
      </c>
      <c r="D1245" t="inlineStr">
        <is>
          <t>UPPSALA LÄN</t>
        </is>
      </c>
      <c r="E1245" t="inlineStr">
        <is>
          <t>ÖSTHAMMAR</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44027-2024</t>
        </is>
      </c>
      <c r="B1246" s="1" t="n">
        <v>45572</v>
      </c>
      <c r="C1246" s="1" t="n">
        <v>45665</v>
      </c>
      <c r="D1246" t="inlineStr">
        <is>
          <t>UPPSALA LÄN</t>
        </is>
      </c>
      <c r="E1246" t="inlineStr">
        <is>
          <t>ÖSTHAMMAR</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44031-2024</t>
        </is>
      </c>
      <c r="B1247" s="1" t="n">
        <v>45572</v>
      </c>
      <c r="C1247" s="1" t="n">
        <v>45665</v>
      </c>
      <c r="D1247" t="inlineStr">
        <is>
          <t>UPPSALA LÄN</t>
        </is>
      </c>
      <c r="E1247" t="inlineStr">
        <is>
          <t>ÖSTHAMMAR</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44020-2024</t>
        </is>
      </c>
      <c r="B1248" s="1" t="n">
        <v>45572</v>
      </c>
      <c r="C1248" s="1" t="n">
        <v>45665</v>
      </c>
      <c r="D1248" t="inlineStr">
        <is>
          <t>UPPSALA LÄN</t>
        </is>
      </c>
      <c r="E1248" t="inlineStr">
        <is>
          <t>ÖSTHAMMAR</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43993-2024</t>
        </is>
      </c>
      <c r="B1249" s="1" t="n">
        <v>45572</v>
      </c>
      <c r="C1249" s="1" t="n">
        <v>45665</v>
      </c>
      <c r="D1249" t="inlineStr">
        <is>
          <t>UPPSALA LÄN</t>
        </is>
      </c>
      <c r="E1249" t="inlineStr">
        <is>
          <t>ÖSTHAMMAR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44184-2024</t>
        </is>
      </c>
      <c r="B1250" s="1" t="n">
        <v>45572</v>
      </c>
      <c r="C1250" s="1" t="n">
        <v>45665</v>
      </c>
      <c r="D1250" t="inlineStr">
        <is>
          <t>UPPSALA LÄN</t>
        </is>
      </c>
      <c r="E1250" t="inlineStr">
        <is>
          <t>ÖSTHAMMAR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44124-2024</t>
        </is>
      </c>
      <c r="B1251" s="1" t="n">
        <v>45572</v>
      </c>
      <c r="C1251" s="1" t="n">
        <v>45665</v>
      </c>
      <c r="D1251" t="inlineStr">
        <is>
          <t>UPPSALA LÄN</t>
        </is>
      </c>
      <c r="E1251" t="inlineStr">
        <is>
          <t>ÖSTHAMMAR</t>
        </is>
      </c>
      <c r="F1251" t="inlineStr">
        <is>
          <t>Bergvik skog öst AB</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44152-2024</t>
        </is>
      </c>
      <c r="B1252" s="1" t="n">
        <v>45572</v>
      </c>
      <c r="C1252" s="1" t="n">
        <v>45665</v>
      </c>
      <c r="D1252" t="inlineStr">
        <is>
          <t>UPPSALA LÄN</t>
        </is>
      </c>
      <c r="E1252" t="inlineStr">
        <is>
          <t>ÖSTHAMMAR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44807-2024</t>
        </is>
      </c>
      <c r="B1253" s="1" t="n">
        <v>45574</v>
      </c>
      <c r="C1253" s="1" t="n">
        <v>45665</v>
      </c>
      <c r="D1253" t="inlineStr">
        <is>
          <t>UPPSALA LÄN</t>
        </is>
      </c>
      <c r="E1253" t="inlineStr">
        <is>
          <t>ÖSTHAMMAR</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44823-2024</t>
        </is>
      </c>
      <c r="B1254" s="1" t="n">
        <v>45574</v>
      </c>
      <c r="C1254" s="1" t="n">
        <v>45665</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44832-2024</t>
        </is>
      </c>
      <c r="B1255" s="1" t="n">
        <v>45574</v>
      </c>
      <c r="C1255" s="1" t="n">
        <v>45665</v>
      </c>
      <c r="D1255" t="inlineStr">
        <is>
          <t>UPPSALA LÄN</t>
        </is>
      </c>
      <c r="E1255" t="inlineStr">
        <is>
          <t>ÖSTHAMMAR</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44796-2024</t>
        </is>
      </c>
      <c r="B1256" s="1" t="n">
        <v>45574</v>
      </c>
      <c r="C1256" s="1" t="n">
        <v>45665</v>
      </c>
      <c r="D1256" t="inlineStr">
        <is>
          <t>UPPSALA LÄN</t>
        </is>
      </c>
      <c r="E1256" t="inlineStr">
        <is>
          <t>ÖSTHAMMAR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45102-2024</t>
        </is>
      </c>
      <c r="B1257" s="1" t="n">
        <v>45575</v>
      </c>
      <c r="C1257" s="1" t="n">
        <v>45665</v>
      </c>
      <c r="D1257" t="inlineStr">
        <is>
          <t>UPPSALA LÄN</t>
        </is>
      </c>
      <c r="E1257" t="inlineStr">
        <is>
          <t>ÖSTHAMMAR</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45228-2024</t>
        </is>
      </c>
      <c r="B1258" s="1" t="n">
        <v>45575</v>
      </c>
      <c r="C1258" s="1" t="n">
        <v>45665</v>
      </c>
      <c r="D1258" t="inlineStr">
        <is>
          <t>UPPSALA LÄN</t>
        </is>
      </c>
      <c r="E1258" t="inlineStr">
        <is>
          <t>ÖSTHAMMAR</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46488-2024</t>
        </is>
      </c>
      <c r="B1259" s="1" t="n">
        <v>45582</v>
      </c>
      <c r="C1259" s="1" t="n">
        <v>45665</v>
      </c>
      <c r="D1259" t="inlineStr">
        <is>
          <t>UPPSALA LÄN</t>
        </is>
      </c>
      <c r="E1259" t="inlineStr">
        <is>
          <t>ÖSTHAMMAR</t>
        </is>
      </c>
      <c r="F1259" t="inlineStr">
        <is>
          <t>Bergvik skog väst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46496-2024</t>
        </is>
      </c>
      <c r="B1260" s="1" t="n">
        <v>45582</v>
      </c>
      <c r="C1260" s="1" t="n">
        <v>45665</v>
      </c>
      <c r="D1260" t="inlineStr">
        <is>
          <t>UPPSALA LÄN</t>
        </is>
      </c>
      <c r="E1260" t="inlineStr">
        <is>
          <t>ÖSTHAMMAR</t>
        </is>
      </c>
      <c r="F1260" t="inlineStr">
        <is>
          <t>Bergvik skog väst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46500-2024</t>
        </is>
      </c>
      <c r="B1261" s="1" t="n">
        <v>45582</v>
      </c>
      <c r="C1261" s="1" t="n">
        <v>45665</v>
      </c>
      <c r="D1261" t="inlineStr">
        <is>
          <t>UPPSALA LÄN</t>
        </is>
      </c>
      <c r="E1261" t="inlineStr">
        <is>
          <t>ÖSTHAMMAR</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46504-2024</t>
        </is>
      </c>
      <c r="B1262" s="1" t="n">
        <v>45582</v>
      </c>
      <c r="C1262" s="1" t="n">
        <v>45665</v>
      </c>
      <c r="D1262" t="inlineStr">
        <is>
          <t>UPPSALA LÄN</t>
        </is>
      </c>
      <c r="E1262" t="inlineStr">
        <is>
          <t>ÖSTHAMMAR</t>
        </is>
      </c>
      <c r="F1262" t="inlineStr">
        <is>
          <t>Bergvik skog väst AB</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46494-2024</t>
        </is>
      </c>
      <c r="B1263" s="1" t="n">
        <v>45582</v>
      </c>
      <c r="C1263" s="1" t="n">
        <v>45665</v>
      </c>
      <c r="D1263" t="inlineStr">
        <is>
          <t>UPPSALA LÄN</t>
        </is>
      </c>
      <c r="E1263" t="inlineStr">
        <is>
          <t>ÖSTHAMMAR</t>
        </is>
      </c>
      <c r="F1263" t="inlineStr">
        <is>
          <t>Bergvik skog väst AB</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46475-2024</t>
        </is>
      </c>
      <c r="B1264" s="1" t="n">
        <v>45582</v>
      </c>
      <c r="C1264" s="1" t="n">
        <v>45665</v>
      </c>
      <c r="D1264" t="inlineStr">
        <is>
          <t>UPPSALA LÄN</t>
        </is>
      </c>
      <c r="E1264" t="inlineStr">
        <is>
          <t>ÖSTHAMMAR</t>
        </is>
      </c>
      <c r="F1264" t="inlineStr">
        <is>
          <t>Bergvik skog väst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46491-2024</t>
        </is>
      </c>
      <c r="B1265" s="1" t="n">
        <v>45582</v>
      </c>
      <c r="C1265" s="1" t="n">
        <v>45665</v>
      </c>
      <c r="D1265" t="inlineStr">
        <is>
          <t>UPPSALA LÄN</t>
        </is>
      </c>
      <c r="E1265" t="inlineStr">
        <is>
          <t>ÖSTHAMMAR</t>
        </is>
      </c>
      <c r="F1265" t="inlineStr">
        <is>
          <t>Bergvik skog väst AB</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46624-2024</t>
        </is>
      </c>
      <c r="B1266" s="1" t="n">
        <v>45583</v>
      </c>
      <c r="C1266" s="1" t="n">
        <v>45665</v>
      </c>
      <c r="D1266" t="inlineStr">
        <is>
          <t>UPPSALA LÄN</t>
        </is>
      </c>
      <c r="E1266" t="inlineStr">
        <is>
          <t>ÖSTHAMMAR</t>
        </is>
      </c>
      <c r="F1266" t="inlineStr">
        <is>
          <t>Bergvik skog öst AB</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46818-2024</t>
        </is>
      </c>
      <c r="B1267" s="1" t="n">
        <v>45583</v>
      </c>
      <c r="C1267" s="1" t="n">
        <v>45665</v>
      </c>
      <c r="D1267" t="inlineStr">
        <is>
          <t>UPPSALA LÄN</t>
        </is>
      </c>
      <c r="E1267" t="inlineStr">
        <is>
          <t>ÖSTHAMMAR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46810-2024</t>
        </is>
      </c>
      <c r="B1268" s="1" t="n">
        <v>45583</v>
      </c>
      <c r="C1268" s="1" t="n">
        <v>45665</v>
      </c>
      <c r="D1268" t="inlineStr">
        <is>
          <t>UPPSALA LÄN</t>
        </is>
      </c>
      <c r="E1268" t="inlineStr">
        <is>
          <t>ÖSTHAMMAR</t>
        </is>
      </c>
      <c r="F1268" t="inlineStr">
        <is>
          <t>Bergvik skog öst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46631-2024</t>
        </is>
      </c>
      <c r="B1269" s="1" t="n">
        <v>45583</v>
      </c>
      <c r="C1269" s="1" t="n">
        <v>45665</v>
      </c>
      <c r="D1269" t="inlineStr">
        <is>
          <t>UPPSALA LÄN</t>
        </is>
      </c>
      <c r="E1269" t="inlineStr">
        <is>
          <t>ÖSTHAMMAR</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46811-2024</t>
        </is>
      </c>
      <c r="B1270" s="1" t="n">
        <v>45583</v>
      </c>
      <c r="C1270" s="1" t="n">
        <v>45665</v>
      </c>
      <c r="D1270" t="inlineStr">
        <is>
          <t>UPPSALA LÄN</t>
        </is>
      </c>
      <c r="E1270" t="inlineStr">
        <is>
          <t>ÖSTHAMMAR</t>
        </is>
      </c>
      <c r="F1270" t="inlineStr">
        <is>
          <t>Bergvik skog öst AB</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46645-2024</t>
        </is>
      </c>
      <c r="B1271" s="1" t="n">
        <v>45583</v>
      </c>
      <c r="C1271" s="1" t="n">
        <v>45665</v>
      </c>
      <c r="D1271" t="inlineStr">
        <is>
          <t>UPPSALA LÄN</t>
        </is>
      </c>
      <c r="E1271" t="inlineStr">
        <is>
          <t>ÖSTHAMMAR</t>
        </is>
      </c>
      <c r="F1271" t="inlineStr">
        <is>
          <t>Bergvik skog öst AB</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47382-2024</t>
        </is>
      </c>
      <c r="B1272" s="1" t="n">
        <v>45587</v>
      </c>
      <c r="C1272" s="1" t="n">
        <v>45665</v>
      </c>
      <c r="D1272" t="inlineStr">
        <is>
          <t>UPPSALA LÄN</t>
        </is>
      </c>
      <c r="E1272" t="inlineStr">
        <is>
          <t>ÖSTHAMMAR</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48083-2024</t>
        </is>
      </c>
      <c r="B1273" s="1" t="n">
        <v>45589</v>
      </c>
      <c r="C1273" s="1" t="n">
        <v>45665</v>
      </c>
      <c r="D1273" t="inlineStr">
        <is>
          <t>UPPSALA LÄN</t>
        </is>
      </c>
      <c r="E1273" t="inlineStr">
        <is>
          <t>ÖSTHAMMAR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48759-2024</t>
        </is>
      </c>
      <c r="B1274" s="1" t="n">
        <v>45593</v>
      </c>
      <c r="C1274" s="1" t="n">
        <v>45665</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48856-2024</t>
        </is>
      </c>
      <c r="B1275" s="1" t="n">
        <v>45593</v>
      </c>
      <c r="C1275" s="1" t="n">
        <v>45665</v>
      </c>
      <c r="D1275" t="inlineStr">
        <is>
          <t>UPPSALA LÄN</t>
        </is>
      </c>
      <c r="E1275" t="inlineStr">
        <is>
          <t>ÖSTHAMMAR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49796-2024</t>
        </is>
      </c>
      <c r="B1276" s="1" t="n">
        <v>45597</v>
      </c>
      <c r="C1276" s="1" t="n">
        <v>45665</v>
      </c>
      <c r="D1276" t="inlineStr">
        <is>
          <t>UPPSALA LÄN</t>
        </is>
      </c>
      <c r="E1276" t="inlineStr">
        <is>
          <t>ÖSTHAMMAR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50459-2024</t>
        </is>
      </c>
      <c r="B1277" s="1" t="n">
        <v>45601</v>
      </c>
      <c r="C1277" s="1" t="n">
        <v>45665</v>
      </c>
      <c r="D1277" t="inlineStr">
        <is>
          <t>UPPSALA LÄN</t>
        </is>
      </c>
      <c r="E1277" t="inlineStr">
        <is>
          <t>ÖSTHAMMAR</t>
        </is>
      </c>
      <c r="F1277" t="inlineStr">
        <is>
          <t>Övriga Aktiebolag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50849-2024</t>
        </is>
      </c>
      <c r="B1278" s="1" t="n">
        <v>45602</v>
      </c>
      <c r="C1278" s="1" t="n">
        <v>45665</v>
      </c>
      <c r="D1278" t="inlineStr">
        <is>
          <t>UPPSALA LÄN</t>
        </is>
      </c>
      <c r="E1278" t="inlineStr">
        <is>
          <t>ÖSTHAMMAR</t>
        </is>
      </c>
      <c r="F1278" t="inlineStr">
        <is>
          <t>Övriga Aktiebolag</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50875-2024</t>
        </is>
      </c>
      <c r="B1279" s="1" t="n">
        <v>45602</v>
      </c>
      <c r="C1279" s="1" t="n">
        <v>45665</v>
      </c>
      <c r="D1279" t="inlineStr">
        <is>
          <t>UPPSALA LÄN</t>
        </is>
      </c>
      <c r="E1279" t="inlineStr">
        <is>
          <t>ÖSTHAMMAR</t>
        </is>
      </c>
      <c r="F1279" t="inlineStr">
        <is>
          <t>Övriga Aktiebolag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50927-2024</t>
        </is>
      </c>
      <c r="B1280" s="1" t="n">
        <v>45602</v>
      </c>
      <c r="C1280" s="1" t="n">
        <v>45665</v>
      </c>
      <c r="D1280" t="inlineStr">
        <is>
          <t>UPPSALA LÄN</t>
        </is>
      </c>
      <c r="E1280" t="inlineStr">
        <is>
          <t>ÖSTHAMMAR</t>
        </is>
      </c>
      <c r="F1280" t="inlineStr">
        <is>
          <t>Bergvik skog öst AB</t>
        </is>
      </c>
      <c r="G1280" t="n">
        <v>45.4</v>
      </c>
      <c r="H1280" t="n">
        <v>0</v>
      </c>
      <c r="I1280" t="n">
        <v>0</v>
      </c>
      <c r="J1280" t="n">
        <v>0</v>
      </c>
      <c r="K1280" t="n">
        <v>0</v>
      </c>
      <c r="L1280" t="n">
        <v>0</v>
      </c>
      <c r="M1280" t="n">
        <v>0</v>
      </c>
      <c r="N1280" t="n">
        <v>0</v>
      </c>
      <c r="O1280" t="n">
        <v>0</v>
      </c>
      <c r="P1280" t="n">
        <v>0</v>
      </c>
      <c r="Q1280" t="n">
        <v>0</v>
      </c>
      <c r="R1280" s="2" t="inlineStr"/>
    </row>
    <row r="1281" ht="15" customHeight="1">
      <c r="A1281" t="inlineStr">
        <is>
          <t>A 50924-2024</t>
        </is>
      </c>
      <c r="B1281" s="1" t="n">
        <v>45602</v>
      </c>
      <c r="C1281" s="1" t="n">
        <v>45665</v>
      </c>
      <c r="D1281" t="inlineStr">
        <is>
          <t>UPPSALA LÄN</t>
        </is>
      </c>
      <c r="E1281" t="inlineStr">
        <is>
          <t>ÖSTHAMMAR</t>
        </is>
      </c>
      <c r="F1281" t="inlineStr">
        <is>
          <t>Bergvik skog öst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50844-2024</t>
        </is>
      </c>
      <c r="B1282" s="1" t="n">
        <v>45602</v>
      </c>
      <c r="C1282" s="1" t="n">
        <v>45665</v>
      </c>
      <c r="D1282" t="inlineStr">
        <is>
          <t>UPPSALA LÄN</t>
        </is>
      </c>
      <c r="E1282" t="inlineStr">
        <is>
          <t>ÖSTHAMMAR</t>
        </is>
      </c>
      <c r="F1282" t="inlineStr">
        <is>
          <t>Övriga Aktiebolag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50853-2024</t>
        </is>
      </c>
      <c r="B1283" s="1" t="n">
        <v>45602</v>
      </c>
      <c r="C1283" s="1" t="n">
        <v>45665</v>
      </c>
      <c r="D1283" t="inlineStr">
        <is>
          <t>UPPSALA LÄN</t>
        </is>
      </c>
      <c r="E1283" t="inlineStr">
        <is>
          <t>ÖSTHAMMAR</t>
        </is>
      </c>
      <c r="F1283" t="inlineStr">
        <is>
          <t>Övriga Aktiebolag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52306-2024</t>
        </is>
      </c>
      <c r="B1284" s="1" t="n">
        <v>45608</v>
      </c>
      <c r="C1284" s="1" t="n">
        <v>45665</v>
      </c>
      <c r="D1284" t="inlineStr">
        <is>
          <t>UPPSALA LÄN</t>
        </is>
      </c>
      <c r="E1284" t="inlineStr">
        <is>
          <t>ÖSTHAMMAR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52440-2024</t>
        </is>
      </c>
      <c r="B1285" s="1" t="n">
        <v>45609</v>
      </c>
      <c r="C1285" s="1" t="n">
        <v>45665</v>
      </c>
      <c r="D1285" t="inlineStr">
        <is>
          <t>UPPSALA LÄN</t>
        </is>
      </c>
      <c r="E1285" t="inlineStr">
        <is>
          <t>ÖSTHAMMAR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52468-2024</t>
        </is>
      </c>
      <c r="B1286" s="1" t="n">
        <v>45609</v>
      </c>
      <c r="C1286" s="1" t="n">
        <v>45665</v>
      </c>
      <c r="D1286" t="inlineStr">
        <is>
          <t>UPPSALA LÄN</t>
        </is>
      </c>
      <c r="E1286" t="inlineStr">
        <is>
          <t>ÖSTHAMMAR</t>
        </is>
      </c>
      <c r="F1286" t="inlineStr">
        <is>
          <t>Bergvik skog väst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52469-2024</t>
        </is>
      </c>
      <c r="B1287" s="1" t="n">
        <v>45609</v>
      </c>
      <c r="C1287" s="1" t="n">
        <v>45665</v>
      </c>
      <c r="D1287" t="inlineStr">
        <is>
          <t>UPPSALA LÄN</t>
        </is>
      </c>
      <c r="E1287" t="inlineStr">
        <is>
          <t>ÖSTHAMMAR</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52485-2024</t>
        </is>
      </c>
      <c r="B1288" s="1" t="n">
        <v>45609</v>
      </c>
      <c r="C1288" s="1" t="n">
        <v>45665</v>
      </c>
      <c r="D1288" t="inlineStr">
        <is>
          <t>UPPSALA LÄN</t>
        </is>
      </c>
      <c r="E1288" t="inlineStr">
        <is>
          <t>ÖSTHAMMAR</t>
        </is>
      </c>
      <c r="F1288" t="inlineStr">
        <is>
          <t>Bergvik skog väst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52470-2024</t>
        </is>
      </c>
      <c r="B1289" s="1" t="n">
        <v>45609</v>
      </c>
      <c r="C1289" s="1" t="n">
        <v>45665</v>
      </c>
      <c r="D1289" t="inlineStr">
        <is>
          <t>UPPSALA LÄN</t>
        </is>
      </c>
      <c r="E1289" t="inlineStr">
        <is>
          <t>ÖSTHAMMAR</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52478-2024</t>
        </is>
      </c>
      <c r="B1290" s="1" t="n">
        <v>45609</v>
      </c>
      <c r="C1290" s="1" t="n">
        <v>45665</v>
      </c>
      <c r="D1290" t="inlineStr">
        <is>
          <t>UPPSALA LÄN</t>
        </is>
      </c>
      <c r="E1290" t="inlineStr">
        <is>
          <t>ÖSTHAMMAR</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52534-2024</t>
        </is>
      </c>
      <c r="B1291" s="1" t="n">
        <v>45609</v>
      </c>
      <c r="C1291" s="1" t="n">
        <v>45665</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52890-2024</t>
        </is>
      </c>
      <c r="B1292" s="1" t="n">
        <v>45610</v>
      </c>
      <c r="C1292" s="1" t="n">
        <v>45665</v>
      </c>
      <c r="D1292" t="inlineStr">
        <is>
          <t>UPPSALA LÄN</t>
        </is>
      </c>
      <c r="E1292" t="inlineStr">
        <is>
          <t>ÖSTHAMMAR</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53095-2024</t>
        </is>
      </c>
      <c r="B1293" s="1" t="n">
        <v>45611</v>
      </c>
      <c r="C1293" s="1" t="n">
        <v>45665</v>
      </c>
      <c r="D1293" t="inlineStr">
        <is>
          <t>UPPSALA LÄN</t>
        </is>
      </c>
      <c r="E1293" t="inlineStr">
        <is>
          <t>ÖSTHAMMAR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53913-2024</t>
        </is>
      </c>
      <c r="B1294" s="1" t="n">
        <v>45615</v>
      </c>
      <c r="C1294" s="1" t="n">
        <v>45665</v>
      </c>
      <c r="D1294" t="inlineStr">
        <is>
          <t>UPPSALA LÄN</t>
        </is>
      </c>
      <c r="E1294" t="inlineStr">
        <is>
          <t>ÖSTHAMMAR</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54397-2024</t>
        </is>
      </c>
      <c r="B1295" s="1" t="n">
        <v>45617</v>
      </c>
      <c r="C1295" s="1" t="n">
        <v>45665</v>
      </c>
      <c r="D1295" t="inlineStr">
        <is>
          <t>UPPSALA LÄN</t>
        </is>
      </c>
      <c r="E1295" t="inlineStr">
        <is>
          <t>ÖSTHAMMAR</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54402-2024</t>
        </is>
      </c>
      <c r="B1296" s="1" t="n">
        <v>45617</v>
      </c>
      <c r="C1296" s="1" t="n">
        <v>45665</v>
      </c>
      <c r="D1296" t="inlineStr">
        <is>
          <t>UPPSALA LÄN</t>
        </is>
      </c>
      <c r="E1296" t="inlineStr">
        <is>
          <t>ÖSTHAMMAR</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54437-2024</t>
        </is>
      </c>
      <c r="B1297" s="1" t="n">
        <v>45617</v>
      </c>
      <c r="C1297" s="1" t="n">
        <v>45665</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54759-2024</t>
        </is>
      </c>
      <c r="B1298" s="1" t="n">
        <v>45618</v>
      </c>
      <c r="C1298" s="1" t="n">
        <v>45665</v>
      </c>
      <c r="D1298" t="inlineStr">
        <is>
          <t>UPPSALA LÄN</t>
        </is>
      </c>
      <c r="E1298" t="inlineStr">
        <is>
          <t>ÖSTHAMMAR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54934-2024</t>
        </is>
      </c>
      <c r="B1299" s="1" t="n">
        <v>45618</v>
      </c>
      <c r="C1299" s="1" t="n">
        <v>45665</v>
      </c>
      <c r="D1299" t="inlineStr">
        <is>
          <t>UPPSALA LÄN</t>
        </is>
      </c>
      <c r="E1299" t="inlineStr">
        <is>
          <t>ÖSTHAMMAR</t>
        </is>
      </c>
      <c r="F1299" t="inlineStr">
        <is>
          <t>Bergvik skog öst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54935-2024</t>
        </is>
      </c>
      <c r="B1300" s="1" t="n">
        <v>45618</v>
      </c>
      <c r="C1300" s="1" t="n">
        <v>45665</v>
      </c>
      <c r="D1300" t="inlineStr">
        <is>
          <t>UPPSALA LÄN</t>
        </is>
      </c>
      <c r="E1300" t="inlineStr">
        <is>
          <t>ÖSTHAMMAR</t>
        </is>
      </c>
      <c r="F1300" t="inlineStr">
        <is>
          <t>Bergvik skog öst AB</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55093-2024</t>
        </is>
      </c>
      <c r="B1301" s="1" t="n">
        <v>45621</v>
      </c>
      <c r="C1301" s="1" t="n">
        <v>45665</v>
      </c>
      <c r="D1301" t="inlineStr">
        <is>
          <t>UPPSALA LÄN</t>
        </is>
      </c>
      <c r="E1301" t="inlineStr">
        <is>
          <t>ÖSTHAMMAR</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55097-2024</t>
        </is>
      </c>
      <c r="B1302" s="1" t="n">
        <v>45621</v>
      </c>
      <c r="C1302" s="1" t="n">
        <v>45665</v>
      </c>
      <c r="D1302" t="inlineStr">
        <is>
          <t>UPPSALA LÄN</t>
        </is>
      </c>
      <c r="E1302" t="inlineStr">
        <is>
          <t>ÖSTHAMMAR</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55100-2024</t>
        </is>
      </c>
      <c r="B1303" s="1" t="n">
        <v>45621</v>
      </c>
      <c r="C1303" s="1" t="n">
        <v>45665</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55086-2024</t>
        </is>
      </c>
      <c r="B1304" s="1" t="n">
        <v>45621</v>
      </c>
      <c r="C1304" s="1" t="n">
        <v>45665</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55090-2024</t>
        </is>
      </c>
      <c r="B1305" s="1" t="n">
        <v>45621</v>
      </c>
      <c r="C1305" s="1" t="n">
        <v>45665</v>
      </c>
      <c r="D1305" t="inlineStr">
        <is>
          <t>UPPSALA LÄN</t>
        </is>
      </c>
      <c r="E1305" t="inlineStr">
        <is>
          <t>ÖSTHAMMAR</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55079-2024</t>
        </is>
      </c>
      <c r="B1306" s="1" t="n">
        <v>45621</v>
      </c>
      <c r="C1306" s="1" t="n">
        <v>45665</v>
      </c>
      <c r="D1306" t="inlineStr">
        <is>
          <t>UPPSALA LÄN</t>
        </is>
      </c>
      <c r="E1306" t="inlineStr">
        <is>
          <t>ÖSTHAMMAR</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56759-2024</t>
        </is>
      </c>
      <c r="B1307" s="1" t="n">
        <v>45628</v>
      </c>
      <c r="C1307" s="1" t="n">
        <v>45665</v>
      </c>
      <c r="D1307" t="inlineStr">
        <is>
          <t>UPPSALA LÄN</t>
        </is>
      </c>
      <c r="E1307" t="inlineStr">
        <is>
          <t>ÖSTHAMMAR</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57187-2024</t>
        </is>
      </c>
      <c r="B1308" s="1" t="n">
        <v>45629</v>
      </c>
      <c r="C1308" s="1" t="n">
        <v>45665</v>
      </c>
      <c r="D1308" t="inlineStr">
        <is>
          <t>UPPSALA LÄN</t>
        </is>
      </c>
      <c r="E1308" t="inlineStr">
        <is>
          <t>ÖSTHAMMAR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57373-2024</t>
        </is>
      </c>
      <c r="B1309" s="1" t="n">
        <v>45629</v>
      </c>
      <c r="C1309" s="1" t="n">
        <v>45665</v>
      </c>
      <c r="D1309" t="inlineStr">
        <is>
          <t>UPPSALA LÄN</t>
        </is>
      </c>
      <c r="E1309" t="inlineStr">
        <is>
          <t>ÖSTHAMMAR</t>
        </is>
      </c>
      <c r="F1309" t="inlineStr">
        <is>
          <t>Bergvik skog öst AB</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58242-2024</t>
        </is>
      </c>
      <c r="B1310" s="1" t="n">
        <v>45632</v>
      </c>
      <c r="C1310" s="1" t="n">
        <v>45665</v>
      </c>
      <c r="D1310" t="inlineStr">
        <is>
          <t>UPPSALA LÄN</t>
        </is>
      </c>
      <c r="E1310" t="inlineStr">
        <is>
          <t>ÖSTHAMMAR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58265-2024</t>
        </is>
      </c>
      <c r="B1311" s="1" t="n">
        <v>45632</v>
      </c>
      <c r="C1311" s="1" t="n">
        <v>45665</v>
      </c>
      <c r="D1311" t="inlineStr">
        <is>
          <t>UPPSALA LÄN</t>
        </is>
      </c>
      <c r="E1311" t="inlineStr">
        <is>
          <t>ÖSTHAMMAR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58297-2024</t>
        </is>
      </c>
      <c r="B1312" s="1" t="n">
        <v>45632</v>
      </c>
      <c r="C1312" s="1" t="n">
        <v>45665</v>
      </c>
      <c r="D1312" t="inlineStr">
        <is>
          <t>UPPSALA LÄN</t>
        </is>
      </c>
      <c r="E1312" t="inlineStr">
        <is>
          <t>ÖSTHAMMAR</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58366-2024</t>
        </is>
      </c>
      <c r="B1313" s="1" t="n">
        <v>45632</v>
      </c>
      <c r="C1313" s="1" t="n">
        <v>45665</v>
      </c>
      <c r="D1313" t="inlineStr">
        <is>
          <t>UPPSALA LÄN</t>
        </is>
      </c>
      <c r="E1313" t="inlineStr">
        <is>
          <t>ÖSTHAMMAR</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61235-2024</t>
        </is>
      </c>
      <c r="B1314" s="1" t="n">
        <v>45645</v>
      </c>
      <c r="C1314" s="1" t="n">
        <v>45665</v>
      </c>
      <c r="D1314" t="inlineStr">
        <is>
          <t>UPPSALA LÄN</t>
        </is>
      </c>
      <c r="E1314" t="inlineStr">
        <is>
          <t>ÖSTHAMMAR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61461-2024</t>
        </is>
      </c>
      <c r="B1315" s="1" t="n">
        <v>45646</v>
      </c>
      <c r="C1315" s="1" t="n">
        <v>45665</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61464-2024</t>
        </is>
      </c>
      <c r="B1316" s="1" t="n">
        <v>45646</v>
      </c>
      <c r="C1316" s="1" t="n">
        <v>45665</v>
      </c>
      <c r="D1316" t="inlineStr">
        <is>
          <t>UPPSALA LÄN</t>
        </is>
      </c>
      <c r="E1316" t="inlineStr">
        <is>
          <t>ÖSTHAMMAR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45665</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45665</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61458-2024</t>
        </is>
      </c>
      <c r="B1319" s="1" t="n">
        <v>45646</v>
      </c>
      <c r="C1319" s="1" t="n">
        <v>45665</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260-2025</t>
        </is>
      </c>
      <c r="B1320" s="1" t="n">
        <v>45660</v>
      </c>
      <c r="C1320" s="1" t="n">
        <v>45665</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row r="1321">
      <c r="A1321" t="inlineStr">
        <is>
          <t>A 221-2025</t>
        </is>
      </c>
      <c r="B1321" s="1" t="n">
        <v>45660</v>
      </c>
      <c r="C1321" s="1" t="n">
        <v>45665</v>
      </c>
      <c r="D1321" t="inlineStr">
        <is>
          <t>UPPSALA LÄN</t>
        </is>
      </c>
      <c r="E1321" t="inlineStr">
        <is>
          <t>ÖSTHAMMAR</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2025-01-08T15:24:02Z</dcterms:created>
  <dcterms:modified xmlns:dcterms="http://purl.org/dc/terms/" xmlns:xsi="http://www.w3.org/2001/XMLSchema-instance" xsi:type="dcterms:W3CDTF">2025-01-08T15:24:11Z</dcterms:modified>
</cp:coreProperties>
</file>