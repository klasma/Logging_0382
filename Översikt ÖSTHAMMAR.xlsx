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45878</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45878</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45878</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45878</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45878</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45878</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45878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45878</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45878</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45878</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45878</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45878</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45878</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45878</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45878</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45878</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45878</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45878</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45878</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45878</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23496-2023</t>
        </is>
      </c>
      <c r="B22" s="1" t="n">
        <v>45076</v>
      </c>
      <c r="C22" s="1" t="n">
        <v>45878</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45878</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45878</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45878</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45878</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45878</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45878</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15556-2022</t>
        </is>
      </c>
      <c r="B29" s="1" t="n">
        <v>44662</v>
      </c>
      <c r="C29" s="1" t="n">
        <v>45878</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26056-2025</t>
        </is>
      </c>
      <c r="B30" s="1" t="n">
        <v>45804.79280092593</v>
      </c>
      <c r="C30" s="1" t="n">
        <v>45878</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23498-2023</t>
        </is>
      </c>
      <c r="B31" s="1" t="n">
        <v>45076</v>
      </c>
      <c r="C31" s="1" t="n">
        <v>45878</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45878</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52808-2022</t>
        </is>
      </c>
      <c r="B33" s="1" t="n">
        <v>44875</v>
      </c>
      <c r="C33" s="1" t="n">
        <v>45878</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45878</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49910-2022</t>
        </is>
      </c>
      <c r="B35" s="1" t="n">
        <v>44865</v>
      </c>
      <c r="C35" s="1" t="n">
        <v>45878</v>
      </c>
      <c r="D35" t="inlineStr">
        <is>
          <t>UPPSALA LÄN</t>
        </is>
      </c>
      <c r="E35" t="inlineStr">
        <is>
          <t>ÖSTHAMMAR</t>
        </is>
      </c>
      <c r="F35" t="inlineStr">
        <is>
          <t>Bergvik skog öst AB</t>
        </is>
      </c>
      <c r="G35" t="n">
        <v>5.7</v>
      </c>
      <c r="H35" t="n">
        <v>4</v>
      </c>
      <c r="I35" t="n">
        <v>0</v>
      </c>
      <c r="J35" t="n">
        <v>2</v>
      </c>
      <c r="K35" t="n">
        <v>0</v>
      </c>
      <c r="L35" t="n">
        <v>0</v>
      </c>
      <c r="M35" t="n">
        <v>0</v>
      </c>
      <c r="N35" t="n">
        <v>0</v>
      </c>
      <c r="O35" t="n">
        <v>2</v>
      </c>
      <c r="P35" t="n">
        <v>0</v>
      </c>
      <c r="Q35" t="n">
        <v>4</v>
      </c>
      <c r="R35" s="2" t="inlineStr">
        <is>
          <t>Svartvit flugsnappare
Sävsparv
Bivråk
Törnskata</t>
        </is>
      </c>
      <c r="S35">
        <f>HYPERLINK("https://klasma.github.io/Logging_0382/artfynd/A 49910-2022 artfynd.xlsx", "A 49910-2022")</f>
        <v/>
      </c>
      <c r="T35">
        <f>HYPERLINK("https://klasma.github.io/Logging_0382/kartor/A 49910-2022 karta.png", "A 49910-2022")</f>
        <v/>
      </c>
      <c r="V35">
        <f>HYPERLINK("https://klasma.github.io/Logging_0382/klagomål/A 49910-2022 FSC-klagomål.docx", "A 49910-2022")</f>
        <v/>
      </c>
      <c r="W35">
        <f>HYPERLINK("https://klasma.github.io/Logging_0382/klagomålsmail/A 49910-2022 FSC-klagomål mail.docx", "A 49910-2022")</f>
        <v/>
      </c>
      <c r="X35">
        <f>HYPERLINK("https://klasma.github.io/Logging_0382/tillsyn/A 49910-2022 tillsynsbegäran.docx", "A 49910-2022")</f>
        <v/>
      </c>
      <c r="Y35">
        <f>HYPERLINK("https://klasma.github.io/Logging_0382/tillsynsmail/A 49910-2022 tillsynsbegäran mail.docx", "A 49910-2022")</f>
        <v/>
      </c>
      <c r="Z35">
        <f>HYPERLINK("https://klasma.github.io/Logging_0382/fåglar/A 49910-2022 prioriterade fågelarter.docx", "A 49910-2022")</f>
        <v/>
      </c>
    </row>
    <row r="36" ht="15" customHeight="1">
      <c r="A36" t="inlineStr">
        <is>
          <t>A 33051-2021</t>
        </is>
      </c>
      <c r="B36" s="1" t="n">
        <v>44376</v>
      </c>
      <c r="C36" s="1" t="n">
        <v>45878</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45878</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45878</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45878</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45878</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45878</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9683-2023</t>
        </is>
      </c>
      <c r="B42" s="1" t="n">
        <v>44984.43856481482</v>
      </c>
      <c r="C42" s="1" t="n">
        <v>45878</v>
      </c>
      <c r="D42" t="inlineStr">
        <is>
          <t>UPPSALA LÄN</t>
        </is>
      </c>
      <c r="E42" t="inlineStr">
        <is>
          <t>ÖSTHAMMAR</t>
        </is>
      </c>
      <c r="G42" t="n">
        <v>4</v>
      </c>
      <c r="H42" t="n">
        <v>3</v>
      </c>
      <c r="I42" t="n">
        <v>1</v>
      </c>
      <c r="J42" t="n">
        <v>0</v>
      </c>
      <c r="K42" t="n">
        <v>0</v>
      </c>
      <c r="L42" t="n">
        <v>0</v>
      </c>
      <c r="M42" t="n">
        <v>0</v>
      </c>
      <c r="N42" t="n">
        <v>0</v>
      </c>
      <c r="O42" t="n">
        <v>0</v>
      </c>
      <c r="P42" t="n">
        <v>0</v>
      </c>
      <c r="Q42" t="n">
        <v>3</v>
      </c>
      <c r="R42" s="2" t="inlineStr">
        <is>
          <t>Tvåblad
Blåsippa
Gullviva</t>
        </is>
      </c>
      <c r="S42">
        <f>HYPERLINK("https://klasma.github.io/Logging_0382/artfynd/A 9683-2023 artfynd.xlsx", "A 9683-2023")</f>
        <v/>
      </c>
      <c r="T42">
        <f>HYPERLINK("https://klasma.github.io/Logging_0382/kartor/A 9683-2023 karta.png", "A 9683-2023")</f>
        <v/>
      </c>
      <c r="V42">
        <f>HYPERLINK("https://klasma.github.io/Logging_0382/klagomål/A 9683-2023 FSC-klagomål.docx", "A 9683-2023")</f>
        <v/>
      </c>
      <c r="W42">
        <f>HYPERLINK("https://klasma.github.io/Logging_0382/klagomålsmail/A 9683-2023 FSC-klagomål mail.docx", "A 9683-2023")</f>
        <v/>
      </c>
      <c r="X42">
        <f>HYPERLINK("https://klasma.github.io/Logging_0382/tillsyn/A 9683-2023 tillsynsbegäran.docx", "A 9683-2023")</f>
        <v/>
      </c>
      <c r="Y42">
        <f>HYPERLINK("https://klasma.github.io/Logging_0382/tillsynsmail/A 9683-2023 tillsynsbegäran mail.docx", "A 9683-2023")</f>
        <v/>
      </c>
    </row>
    <row r="43" ht="15" customHeight="1">
      <c r="A43" t="inlineStr">
        <is>
          <t>A 9715-2024</t>
        </is>
      </c>
      <c r="B43" s="1" t="n">
        <v>45362.53928240741</v>
      </c>
      <c r="C43" s="1" t="n">
        <v>45878</v>
      </c>
      <c r="D43" t="inlineStr">
        <is>
          <t>UPPSALA LÄN</t>
        </is>
      </c>
      <c r="E43" t="inlineStr">
        <is>
          <t>ÖSTHAMMAR</t>
        </is>
      </c>
      <c r="G43" t="n">
        <v>4.7</v>
      </c>
      <c r="H43" t="n">
        <v>2</v>
      </c>
      <c r="I43" t="n">
        <v>2</v>
      </c>
      <c r="J43" t="n">
        <v>0</v>
      </c>
      <c r="K43" t="n">
        <v>1</v>
      </c>
      <c r="L43" t="n">
        <v>0</v>
      </c>
      <c r="M43" t="n">
        <v>0</v>
      </c>
      <c r="N43" t="n">
        <v>0</v>
      </c>
      <c r="O43" t="n">
        <v>1</v>
      </c>
      <c r="P43" t="n">
        <v>1</v>
      </c>
      <c r="Q43" t="n">
        <v>3</v>
      </c>
      <c r="R43" s="2" t="inlineStr">
        <is>
          <t>Knärot
Skogsknipprot
Vedticka</t>
        </is>
      </c>
      <c r="S43">
        <f>HYPERLINK("https://klasma.github.io/Logging_0382/artfynd/A 9715-2024 artfynd.xlsx", "A 9715-2024")</f>
        <v/>
      </c>
      <c r="T43">
        <f>HYPERLINK("https://klasma.github.io/Logging_0382/kartor/A 9715-2024 karta.png", "A 9715-2024")</f>
        <v/>
      </c>
      <c r="U43">
        <f>HYPERLINK("https://klasma.github.io/Logging_0382/knärot/A 9715-2024 karta knärot.png", "A 9715-2024")</f>
        <v/>
      </c>
      <c r="V43">
        <f>HYPERLINK("https://klasma.github.io/Logging_0382/klagomål/A 9715-2024 FSC-klagomål.docx", "A 9715-2024")</f>
        <v/>
      </c>
      <c r="W43">
        <f>HYPERLINK("https://klasma.github.io/Logging_0382/klagomålsmail/A 9715-2024 FSC-klagomål mail.docx", "A 9715-2024")</f>
        <v/>
      </c>
      <c r="X43">
        <f>HYPERLINK("https://klasma.github.io/Logging_0382/tillsyn/A 9715-2024 tillsynsbegäran.docx", "A 9715-2024")</f>
        <v/>
      </c>
      <c r="Y43">
        <f>HYPERLINK("https://klasma.github.io/Logging_0382/tillsynsmail/A 9715-2024 tillsynsbegäran mail.docx", "A 9715-2024")</f>
        <v/>
      </c>
    </row>
    <row r="44" ht="15" customHeight="1">
      <c r="A44" t="inlineStr">
        <is>
          <t>A 45714-2020</t>
        </is>
      </c>
      <c r="B44" s="1" t="n">
        <v>44090</v>
      </c>
      <c r="C44" s="1" t="n">
        <v>45878</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45878</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45878</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45878</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45878</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45878</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45878</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45878</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45878</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45878</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45878</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20553-2025</t>
        </is>
      </c>
      <c r="B55" s="1" t="n">
        <v>45775.63983796296</v>
      </c>
      <c r="C55" s="1" t="n">
        <v>45878</v>
      </c>
      <c r="D55" t="inlineStr">
        <is>
          <t>UPPSALA LÄN</t>
        </is>
      </c>
      <c r="E55" t="inlineStr">
        <is>
          <t>ÖSTHAMMAR</t>
        </is>
      </c>
      <c r="G55" t="n">
        <v>0.4</v>
      </c>
      <c r="H55" t="n">
        <v>0</v>
      </c>
      <c r="I55" t="n">
        <v>2</v>
      </c>
      <c r="J55" t="n">
        <v>0</v>
      </c>
      <c r="K55" t="n">
        <v>0</v>
      </c>
      <c r="L55" t="n">
        <v>0</v>
      </c>
      <c r="M55" t="n">
        <v>0</v>
      </c>
      <c r="N55" t="n">
        <v>0</v>
      </c>
      <c r="O55" t="n">
        <v>0</v>
      </c>
      <c r="P55" t="n">
        <v>0</v>
      </c>
      <c r="Q55" t="n">
        <v>2</v>
      </c>
      <c r="R55" s="2" t="inlineStr">
        <is>
          <t>Jättesvampmal
Robust tickgnagare</t>
        </is>
      </c>
      <c r="S55">
        <f>HYPERLINK("https://klasma.github.io/Logging_0382/artfynd/A 20553-2025 artfynd.xlsx", "A 20553-2025")</f>
        <v/>
      </c>
      <c r="T55">
        <f>HYPERLINK("https://klasma.github.io/Logging_0382/kartor/A 20553-2025 karta.png", "A 20553-2025")</f>
        <v/>
      </c>
      <c r="V55">
        <f>HYPERLINK("https://klasma.github.io/Logging_0382/klagomål/A 20553-2025 FSC-klagomål.docx", "A 20553-2025")</f>
        <v/>
      </c>
      <c r="W55">
        <f>HYPERLINK("https://klasma.github.io/Logging_0382/klagomålsmail/A 20553-2025 FSC-klagomål mail.docx", "A 20553-2025")</f>
        <v/>
      </c>
      <c r="X55">
        <f>HYPERLINK("https://klasma.github.io/Logging_0382/tillsyn/A 20553-2025 tillsynsbegäran.docx", "A 20553-2025")</f>
        <v/>
      </c>
      <c r="Y55">
        <f>HYPERLINK("https://klasma.github.io/Logging_0382/tillsynsmail/A 20553-2025 tillsynsbegäran mail.docx", "A 20553-2025")</f>
        <v/>
      </c>
    </row>
    <row r="56" ht="15" customHeight="1">
      <c r="A56" t="inlineStr">
        <is>
          <t>A 6223-2021</t>
        </is>
      </c>
      <c r="B56" s="1" t="n">
        <v>44235</v>
      </c>
      <c r="C56" s="1" t="n">
        <v>45878</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45878</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9646-2024</t>
        </is>
      </c>
      <c r="B58" s="1" t="n">
        <v>45362.37055555556</v>
      </c>
      <c r="C58" s="1" t="n">
        <v>45878</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18539-2024</t>
        </is>
      </c>
      <c r="B59" s="1" t="n">
        <v>45425.63697916667</v>
      </c>
      <c r="C59" s="1" t="n">
        <v>45878</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30943-2024</t>
        </is>
      </c>
      <c r="B60" s="1" t="n">
        <v>45499</v>
      </c>
      <c r="C60" s="1" t="n">
        <v>45878</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73981-2021</t>
        </is>
      </c>
      <c r="B61" s="1" t="n">
        <v>44555</v>
      </c>
      <c r="C61" s="1" t="n">
        <v>45878</v>
      </c>
      <c r="D61" t="inlineStr">
        <is>
          <t>UPPSALA LÄN</t>
        </is>
      </c>
      <c r="E61" t="inlineStr">
        <is>
          <t>ÖSTHAMMAR</t>
        </is>
      </c>
      <c r="G61" t="n">
        <v>2.4</v>
      </c>
      <c r="H61" t="n">
        <v>0</v>
      </c>
      <c r="I61" t="n">
        <v>1</v>
      </c>
      <c r="J61" t="n">
        <v>1</v>
      </c>
      <c r="K61" t="n">
        <v>0</v>
      </c>
      <c r="L61" t="n">
        <v>0</v>
      </c>
      <c r="M61" t="n">
        <v>0</v>
      </c>
      <c r="N61" t="n">
        <v>0</v>
      </c>
      <c r="O61" t="n">
        <v>1</v>
      </c>
      <c r="P61" t="n">
        <v>0</v>
      </c>
      <c r="Q61" t="n">
        <v>2</v>
      </c>
      <c r="R61" s="2" t="inlineStr">
        <is>
          <t>Skogsklocka
Vårärt</t>
        </is>
      </c>
      <c r="S61">
        <f>HYPERLINK("https://klasma.github.io/Logging_0382/artfynd/A 73981-2021 artfynd.xlsx", "A 73981-2021")</f>
        <v/>
      </c>
      <c r="T61">
        <f>HYPERLINK("https://klasma.github.io/Logging_0382/kartor/A 73981-2021 karta.png", "A 73981-2021")</f>
        <v/>
      </c>
      <c r="V61">
        <f>HYPERLINK("https://klasma.github.io/Logging_0382/klagomål/A 73981-2021 FSC-klagomål.docx", "A 73981-2021")</f>
        <v/>
      </c>
      <c r="W61">
        <f>HYPERLINK("https://klasma.github.io/Logging_0382/klagomålsmail/A 73981-2021 FSC-klagomål mail.docx", "A 73981-2021")</f>
        <v/>
      </c>
      <c r="X61">
        <f>HYPERLINK("https://klasma.github.io/Logging_0382/tillsyn/A 73981-2021 tillsynsbegäran.docx", "A 73981-2021")</f>
        <v/>
      </c>
      <c r="Y61">
        <f>HYPERLINK("https://klasma.github.io/Logging_0382/tillsynsmail/A 73981-2021 tillsynsbegäran mail.docx", "A 73981-2021")</f>
        <v/>
      </c>
    </row>
    <row r="62" ht="15" customHeight="1">
      <c r="A62" t="inlineStr">
        <is>
          <t>A 13287-2022</t>
        </is>
      </c>
      <c r="B62" s="1" t="n">
        <v>44644</v>
      </c>
      <c r="C62" s="1" t="n">
        <v>45878</v>
      </c>
      <c r="D62" t="inlineStr">
        <is>
          <t>UPPSALA LÄN</t>
        </is>
      </c>
      <c r="E62" t="inlineStr">
        <is>
          <t>ÖSTHAMMAR</t>
        </is>
      </c>
      <c r="G62" t="n">
        <v>14.6</v>
      </c>
      <c r="H62" t="n">
        <v>0</v>
      </c>
      <c r="I62" t="n">
        <v>1</v>
      </c>
      <c r="J62" t="n">
        <v>0</v>
      </c>
      <c r="K62" t="n">
        <v>1</v>
      </c>
      <c r="L62" t="n">
        <v>0</v>
      </c>
      <c r="M62" t="n">
        <v>0</v>
      </c>
      <c r="N62" t="n">
        <v>0</v>
      </c>
      <c r="O62" t="n">
        <v>1</v>
      </c>
      <c r="P62" t="n">
        <v>1</v>
      </c>
      <c r="Q62" t="n">
        <v>2</v>
      </c>
      <c r="R62" s="2" t="inlineStr">
        <is>
          <t>Bullspindling
Olivspindling</t>
        </is>
      </c>
      <c r="S62">
        <f>HYPERLINK("https://klasma.github.io/Logging_0382/artfynd/A 13287-2022 artfynd.xlsx", "A 13287-2022")</f>
        <v/>
      </c>
      <c r="T62">
        <f>HYPERLINK("https://klasma.github.io/Logging_0382/kartor/A 13287-2022 karta.png", "A 13287-2022")</f>
        <v/>
      </c>
      <c r="V62">
        <f>HYPERLINK("https://klasma.github.io/Logging_0382/klagomål/A 13287-2022 FSC-klagomål.docx", "A 13287-2022")</f>
        <v/>
      </c>
      <c r="W62">
        <f>HYPERLINK("https://klasma.github.io/Logging_0382/klagomålsmail/A 13287-2022 FSC-klagomål mail.docx", "A 13287-2022")</f>
        <v/>
      </c>
      <c r="X62">
        <f>HYPERLINK("https://klasma.github.io/Logging_0382/tillsyn/A 13287-2022 tillsynsbegäran.docx", "A 13287-2022")</f>
        <v/>
      </c>
      <c r="Y62">
        <f>HYPERLINK("https://klasma.github.io/Logging_0382/tillsynsmail/A 13287-2022 tillsynsbegäran mail.docx", "A 13287-2022")</f>
        <v/>
      </c>
    </row>
    <row r="63" ht="15" customHeight="1">
      <c r="A63" t="inlineStr">
        <is>
          <t>A 33269-2025</t>
        </is>
      </c>
      <c r="B63" s="1" t="n">
        <v>45840.68208333333</v>
      </c>
      <c r="C63" s="1" t="n">
        <v>45878</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25098-2022</t>
        </is>
      </c>
      <c r="B64" s="1" t="n">
        <v>44729.44149305556</v>
      </c>
      <c r="C64" s="1" t="n">
        <v>45878</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2916-2025</t>
        </is>
      </c>
      <c r="B65" s="1" t="n">
        <v>45677</v>
      </c>
      <c r="C65" s="1" t="n">
        <v>45878</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26277-2024</t>
        </is>
      </c>
      <c r="B66" s="1" t="n">
        <v>45468</v>
      </c>
      <c r="C66" s="1" t="n">
        <v>45878</v>
      </c>
      <c r="D66" t="inlineStr">
        <is>
          <t>UPPSALA LÄN</t>
        </is>
      </c>
      <c r="E66" t="inlineStr">
        <is>
          <t>ÖSTHAMMAR</t>
        </is>
      </c>
      <c r="G66" t="n">
        <v>3.5</v>
      </c>
      <c r="H66" t="n">
        <v>1</v>
      </c>
      <c r="I66" t="n">
        <v>2</v>
      </c>
      <c r="J66" t="n">
        <v>0</v>
      </c>
      <c r="K66" t="n">
        <v>0</v>
      </c>
      <c r="L66" t="n">
        <v>0</v>
      </c>
      <c r="M66" t="n">
        <v>0</v>
      </c>
      <c r="N66" t="n">
        <v>0</v>
      </c>
      <c r="O66" t="n">
        <v>0</v>
      </c>
      <c r="P66" t="n">
        <v>0</v>
      </c>
      <c r="Q66" t="n">
        <v>2</v>
      </c>
      <c r="R66" s="2" t="inlineStr">
        <is>
          <t>Nästrot
Sårläka</t>
        </is>
      </c>
      <c r="S66">
        <f>HYPERLINK("https://klasma.github.io/Logging_0382/artfynd/A 26277-2024 artfynd.xlsx", "A 26277-2024")</f>
        <v/>
      </c>
      <c r="T66">
        <f>HYPERLINK("https://klasma.github.io/Logging_0382/kartor/A 26277-2024 karta.png", "A 26277-2024")</f>
        <v/>
      </c>
      <c r="V66">
        <f>HYPERLINK("https://klasma.github.io/Logging_0382/klagomål/A 26277-2024 FSC-klagomål.docx", "A 26277-2024")</f>
        <v/>
      </c>
      <c r="W66">
        <f>HYPERLINK("https://klasma.github.io/Logging_0382/klagomålsmail/A 26277-2024 FSC-klagomål mail.docx", "A 26277-2024")</f>
        <v/>
      </c>
      <c r="X66">
        <f>HYPERLINK("https://klasma.github.io/Logging_0382/tillsyn/A 26277-2024 tillsynsbegäran.docx", "A 26277-2024")</f>
        <v/>
      </c>
      <c r="Y66">
        <f>HYPERLINK("https://klasma.github.io/Logging_0382/tillsynsmail/A 26277-2024 tillsynsbegäran mail.docx", "A 26277-2024")</f>
        <v/>
      </c>
    </row>
    <row r="67" ht="15" customHeight="1">
      <c r="A67" t="inlineStr">
        <is>
          <t>A 67855-2021</t>
        </is>
      </c>
      <c r="B67" s="1" t="n">
        <v>44525</v>
      </c>
      <c r="C67" s="1" t="n">
        <v>45878</v>
      </c>
      <c r="D67" t="inlineStr">
        <is>
          <t>UPPSALA LÄN</t>
        </is>
      </c>
      <c r="E67" t="inlineStr">
        <is>
          <t>ÖSTHAMMAR</t>
        </is>
      </c>
      <c r="G67" t="n">
        <v>7.5</v>
      </c>
      <c r="H67" t="n">
        <v>0</v>
      </c>
      <c r="I67" t="n">
        <v>2</v>
      </c>
      <c r="J67" t="n">
        <v>0</v>
      </c>
      <c r="K67" t="n">
        <v>0</v>
      </c>
      <c r="L67" t="n">
        <v>0</v>
      </c>
      <c r="M67" t="n">
        <v>0</v>
      </c>
      <c r="N67" t="n">
        <v>0</v>
      </c>
      <c r="O67" t="n">
        <v>0</v>
      </c>
      <c r="P67" t="n">
        <v>0</v>
      </c>
      <c r="Q67" t="n">
        <v>2</v>
      </c>
      <c r="R67" s="2" t="inlineStr">
        <is>
          <t>Guldkremla
Kamjordstjärna</t>
        </is>
      </c>
      <c r="S67">
        <f>HYPERLINK("https://klasma.github.io/Logging_0382/artfynd/A 67855-2021 artfynd.xlsx", "A 67855-2021")</f>
        <v/>
      </c>
      <c r="T67">
        <f>HYPERLINK("https://klasma.github.io/Logging_0382/kartor/A 67855-2021 karta.png", "A 67855-2021")</f>
        <v/>
      </c>
      <c r="V67">
        <f>HYPERLINK("https://klasma.github.io/Logging_0382/klagomål/A 67855-2021 FSC-klagomål.docx", "A 67855-2021")</f>
        <v/>
      </c>
      <c r="W67">
        <f>HYPERLINK("https://klasma.github.io/Logging_0382/klagomålsmail/A 67855-2021 FSC-klagomål mail.docx", "A 67855-2021")</f>
        <v/>
      </c>
      <c r="X67">
        <f>HYPERLINK("https://klasma.github.io/Logging_0382/tillsyn/A 67855-2021 tillsynsbegäran.docx", "A 67855-2021")</f>
        <v/>
      </c>
      <c r="Y67">
        <f>HYPERLINK("https://klasma.github.io/Logging_0382/tillsynsmail/A 67855-2021 tillsynsbegäran mail.docx", "A 67855-2021")</f>
        <v/>
      </c>
    </row>
    <row r="68" ht="15" customHeight="1">
      <c r="A68" t="inlineStr">
        <is>
          <t>A 21453-2023</t>
        </is>
      </c>
      <c r="B68" s="1" t="n">
        <v>45063</v>
      </c>
      <c r="C68" s="1" t="n">
        <v>45878</v>
      </c>
      <c r="D68" t="inlineStr">
        <is>
          <t>UPPSALA LÄN</t>
        </is>
      </c>
      <c r="E68" t="inlineStr">
        <is>
          <t>ÖSTHAMMAR</t>
        </is>
      </c>
      <c r="F68" t="inlineStr">
        <is>
          <t>Bergvik skog väst AB</t>
        </is>
      </c>
      <c r="G68" t="n">
        <v>6.1</v>
      </c>
      <c r="H68" t="n">
        <v>1</v>
      </c>
      <c r="I68" t="n">
        <v>1</v>
      </c>
      <c r="J68" t="n">
        <v>0</v>
      </c>
      <c r="K68" t="n">
        <v>0</v>
      </c>
      <c r="L68" t="n">
        <v>0</v>
      </c>
      <c r="M68" t="n">
        <v>0</v>
      </c>
      <c r="N68" t="n">
        <v>0</v>
      </c>
      <c r="O68" t="n">
        <v>0</v>
      </c>
      <c r="P68" t="n">
        <v>0</v>
      </c>
      <c r="Q68" t="n">
        <v>2</v>
      </c>
      <c r="R68" s="2" t="inlineStr">
        <is>
          <t>Fransig jordstjärna
Blåsippa</t>
        </is>
      </c>
      <c r="S68">
        <f>HYPERLINK("https://klasma.github.io/Logging_0382/artfynd/A 21453-2023 artfynd.xlsx", "A 21453-2023")</f>
        <v/>
      </c>
      <c r="T68">
        <f>HYPERLINK("https://klasma.github.io/Logging_0382/kartor/A 21453-2023 karta.png", "A 21453-2023")</f>
        <v/>
      </c>
      <c r="V68">
        <f>HYPERLINK("https://klasma.github.io/Logging_0382/klagomål/A 21453-2023 FSC-klagomål.docx", "A 21453-2023")</f>
        <v/>
      </c>
      <c r="W68">
        <f>HYPERLINK("https://klasma.github.io/Logging_0382/klagomålsmail/A 21453-2023 FSC-klagomål mail.docx", "A 21453-2023")</f>
        <v/>
      </c>
      <c r="X68">
        <f>HYPERLINK("https://klasma.github.io/Logging_0382/tillsyn/A 21453-2023 tillsynsbegäran.docx", "A 21453-2023")</f>
        <v/>
      </c>
      <c r="Y68">
        <f>HYPERLINK("https://klasma.github.io/Logging_0382/tillsynsmail/A 21453-2023 tillsynsbegäran mail.docx", "A 21453-2023")</f>
        <v/>
      </c>
    </row>
    <row r="69" ht="15" customHeight="1">
      <c r="A69" t="inlineStr">
        <is>
          <t>A 38442-2022</t>
        </is>
      </c>
      <c r="B69" s="1" t="n">
        <v>44813</v>
      </c>
      <c r="C69" s="1" t="n">
        <v>45878</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52651-2022</t>
        </is>
      </c>
      <c r="B70" s="1" t="n">
        <v>44874</v>
      </c>
      <c r="C70" s="1" t="n">
        <v>45878</v>
      </c>
      <c r="D70" t="inlineStr">
        <is>
          <t>UPPSALA LÄN</t>
        </is>
      </c>
      <c r="E70" t="inlineStr">
        <is>
          <t>ÖSTHAMMAR</t>
        </is>
      </c>
      <c r="F70" t="inlineStr">
        <is>
          <t>Bergvik skog öst AB</t>
        </is>
      </c>
      <c r="G70" t="n">
        <v>0.6</v>
      </c>
      <c r="H70" t="n">
        <v>1</v>
      </c>
      <c r="I70" t="n">
        <v>0</v>
      </c>
      <c r="J70" t="n">
        <v>1</v>
      </c>
      <c r="K70" t="n">
        <v>0</v>
      </c>
      <c r="L70" t="n">
        <v>0</v>
      </c>
      <c r="M70" t="n">
        <v>0</v>
      </c>
      <c r="N70" t="n">
        <v>0</v>
      </c>
      <c r="O70" t="n">
        <v>1</v>
      </c>
      <c r="P70" t="n">
        <v>0</v>
      </c>
      <c r="Q70" t="n">
        <v>1</v>
      </c>
      <c r="R70" s="2" t="inlineStr">
        <is>
          <t>Svartvit flugsnappare</t>
        </is>
      </c>
      <c r="S70">
        <f>HYPERLINK("https://klasma.github.io/Logging_0382/artfynd/A 52651-2022 artfynd.xlsx", "A 52651-2022")</f>
        <v/>
      </c>
      <c r="T70">
        <f>HYPERLINK("https://klasma.github.io/Logging_0382/kartor/A 52651-2022 karta.png", "A 52651-2022")</f>
        <v/>
      </c>
      <c r="V70">
        <f>HYPERLINK("https://klasma.github.io/Logging_0382/klagomål/A 52651-2022 FSC-klagomål.docx", "A 52651-2022")</f>
        <v/>
      </c>
      <c r="W70">
        <f>HYPERLINK("https://klasma.github.io/Logging_0382/klagomålsmail/A 52651-2022 FSC-klagomål mail.docx", "A 52651-2022")</f>
        <v/>
      </c>
      <c r="X70">
        <f>HYPERLINK("https://klasma.github.io/Logging_0382/tillsyn/A 52651-2022 tillsynsbegäran.docx", "A 52651-2022")</f>
        <v/>
      </c>
      <c r="Y70">
        <f>HYPERLINK("https://klasma.github.io/Logging_0382/tillsynsmail/A 52651-2022 tillsynsbegäran mail.docx", "A 52651-2022")</f>
        <v/>
      </c>
      <c r="Z70">
        <f>HYPERLINK("https://klasma.github.io/Logging_0382/fåglar/A 52651-2022 prioriterade fågelarter.docx", "A 52651-2022")</f>
        <v/>
      </c>
    </row>
    <row r="71" ht="15" customHeight="1">
      <c r="A71" t="inlineStr">
        <is>
          <t>A 49871-2021</t>
        </is>
      </c>
      <c r="B71" s="1" t="n">
        <v>44455</v>
      </c>
      <c r="C71" s="1" t="n">
        <v>45878</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45878</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22287-2023</t>
        </is>
      </c>
      <c r="B73" s="1" t="n">
        <v>45070</v>
      </c>
      <c r="C73" s="1" t="n">
        <v>45878</v>
      </c>
      <c r="D73" t="inlineStr">
        <is>
          <t>UPPSALA LÄN</t>
        </is>
      </c>
      <c r="E73" t="inlineStr">
        <is>
          <t>ÖSTHAMMAR</t>
        </is>
      </c>
      <c r="G73" t="n">
        <v>6.3</v>
      </c>
      <c r="H73" t="n">
        <v>1</v>
      </c>
      <c r="I73" t="n">
        <v>1</v>
      </c>
      <c r="J73" t="n">
        <v>0</v>
      </c>
      <c r="K73" t="n">
        <v>0</v>
      </c>
      <c r="L73" t="n">
        <v>0</v>
      </c>
      <c r="M73" t="n">
        <v>0</v>
      </c>
      <c r="N73" t="n">
        <v>0</v>
      </c>
      <c r="O73" t="n">
        <v>0</v>
      </c>
      <c r="P73" t="n">
        <v>0</v>
      </c>
      <c r="Q73" t="n">
        <v>1</v>
      </c>
      <c r="R73" s="2" t="inlineStr">
        <is>
          <t>Guckusko</t>
        </is>
      </c>
      <c r="S73">
        <f>HYPERLINK("https://klasma.github.io/Logging_0382/artfynd/A 22287-2023 artfynd.xlsx", "A 22287-2023")</f>
        <v/>
      </c>
      <c r="T73">
        <f>HYPERLINK("https://klasma.github.io/Logging_0382/kartor/A 22287-2023 karta.png", "A 22287-2023")</f>
        <v/>
      </c>
      <c r="V73">
        <f>HYPERLINK("https://klasma.github.io/Logging_0382/klagomål/A 22287-2023 FSC-klagomål.docx", "A 22287-2023")</f>
        <v/>
      </c>
      <c r="W73">
        <f>HYPERLINK("https://klasma.github.io/Logging_0382/klagomålsmail/A 22287-2023 FSC-klagomål mail.docx", "A 22287-2023")</f>
        <v/>
      </c>
      <c r="X73">
        <f>HYPERLINK("https://klasma.github.io/Logging_0382/tillsyn/A 22287-2023 tillsynsbegäran.docx", "A 22287-2023")</f>
        <v/>
      </c>
      <c r="Y73">
        <f>HYPERLINK("https://klasma.github.io/Logging_0382/tillsynsmail/A 22287-2023 tillsynsbegäran mail.docx", "A 22287-2023")</f>
        <v/>
      </c>
    </row>
    <row r="74" ht="15" customHeight="1">
      <c r="A74" t="inlineStr">
        <is>
          <t>A 7470-2022</t>
        </is>
      </c>
      <c r="B74" s="1" t="n">
        <v>44607</v>
      </c>
      <c r="C74" s="1" t="n">
        <v>45878</v>
      </c>
      <c r="D74" t="inlineStr">
        <is>
          <t>UPPSALA LÄN</t>
        </is>
      </c>
      <c r="E74" t="inlineStr">
        <is>
          <t>ÖSTHAMMAR</t>
        </is>
      </c>
      <c r="G74" t="n">
        <v>2.6</v>
      </c>
      <c r="H74" t="n">
        <v>1</v>
      </c>
      <c r="I74" t="n">
        <v>1</v>
      </c>
      <c r="J74" t="n">
        <v>0</v>
      </c>
      <c r="K74" t="n">
        <v>0</v>
      </c>
      <c r="L74" t="n">
        <v>0</v>
      </c>
      <c r="M74" t="n">
        <v>0</v>
      </c>
      <c r="N74" t="n">
        <v>0</v>
      </c>
      <c r="O74" t="n">
        <v>0</v>
      </c>
      <c r="P74" t="n">
        <v>0</v>
      </c>
      <c r="Q74" t="n">
        <v>1</v>
      </c>
      <c r="R74" s="2" t="inlineStr">
        <is>
          <t>Grön sköldmossa</t>
        </is>
      </c>
      <c r="S74">
        <f>HYPERLINK("https://klasma.github.io/Logging_0382/artfynd/A 7470-2022 artfynd.xlsx", "A 7470-2022")</f>
        <v/>
      </c>
      <c r="T74">
        <f>HYPERLINK("https://klasma.github.io/Logging_0382/kartor/A 7470-2022 karta.png", "A 7470-2022")</f>
        <v/>
      </c>
      <c r="V74">
        <f>HYPERLINK("https://klasma.github.io/Logging_0382/klagomål/A 7470-2022 FSC-klagomål.docx", "A 7470-2022")</f>
        <v/>
      </c>
      <c r="W74">
        <f>HYPERLINK("https://klasma.github.io/Logging_0382/klagomålsmail/A 7470-2022 FSC-klagomål mail.docx", "A 7470-2022")</f>
        <v/>
      </c>
      <c r="X74">
        <f>HYPERLINK("https://klasma.github.io/Logging_0382/tillsyn/A 7470-2022 tillsynsbegäran.docx", "A 7470-2022")</f>
        <v/>
      </c>
      <c r="Y74">
        <f>HYPERLINK("https://klasma.github.io/Logging_0382/tillsynsmail/A 7470-2022 tillsynsbegäran mail.docx", "A 7470-2022")</f>
        <v/>
      </c>
    </row>
    <row r="75" ht="15" customHeight="1">
      <c r="A75" t="inlineStr">
        <is>
          <t>A 14706-2023</t>
        </is>
      </c>
      <c r="B75" s="1" t="n">
        <v>45013</v>
      </c>
      <c r="C75" s="1" t="n">
        <v>45878</v>
      </c>
      <c r="D75" t="inlineStr">
        <is>
          <t>UPPSALA LÄN</t>
        </is>
      </c>
      <c r="E75" t="inlineStr">
        <is>
          <t>ÖSTHAMMAR</t>
        </is>
      </c>
      <c r="G75" t="n">
        <v>0.9</v>
      </c>
      <c r="H75" t="n">
        <v>0</v>
      </c>
      <c r="I75" t="n">
        <v>1</v>
      </c>
      <c r="J75" t="n">
        <v>0</v>
      </c>
      <c r="K75" t="n">
        <v>0</v>
      </c>
      <c r="L75" t="n">
        <v>0</v>
      </c>
      <c r="M75" t="n">
        <v>0</v>
      </c>
      <c r="N75" t="n">
        <v>0</v>
      </c>
      <c r="O75" t="n">
        <v>0</v>
      </c>
      <c r="P75" t="n">
        <v>0</v>
      </c>
      <c r="Q75" t="n">
        <v>1</v>
      </c>
      <c r="R75" s="2" t="inlineStr">
        <is>
          <t>Olivspindling</t>
        </is>
      </c>
      <c r="S75">
        <f>HYPERLINK("https://klasma.github.io/Logging_0382/artfynd/A 14706-2023 artfynd.xlsx", "A 14706-2023")</f>
        <v/>
      </c>
      <c r="T75">
        <f>HYPERLINK("https://klasma.github.io/Logging_0382/kartor/A 14706-2023 karta.png", "A 14706-2023")</f>
        <v/>
      </c>
      <c r="V75">
        <f>HYPERLINK("https://klasma.github.io/Logging_0382/klagomål/A 14706-2023 FSC-klagomål.docx", "A 14706-2023")</f>
        <v/>
      </c>
      <c r="W75">
        <f>HYPERLINK("https://klasma.github.io/Logging_0382/klagomålsmail/A 14706-2023 FSC-klagomål mail.docx", "A 14706-2023")</f>
        <v/>
      </c>
      <c r="X75">
        <f>HYPERLINK("https://klasma.github.io/Logging_0382/tillsyn/A 14706-2023 tillsynsbegäran.docx", "A 14706-2023")</f>
        <v/>
      </c>
      <c r="Y75">
        <f>HYPERLINK("https://klasma.github.io/Logging_0382/tillsynsmail/A 14706-2023 tillsynsbegäran mail.docx", "A 14706-2023")</f>
        <v/>
      </c>
    </row>
    <row r="76" ht="15" customHeight="1">
      <c r="A76" t="inlineStr">
        <is>
          <t>A 33800-2024</t>
        </is>
      </c>
      <c r="B76" s="1" t="n">
        <v>45520</v>
      </c>
      <c r="C76" s="1" t="n">
        <v>45878</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49839-2021</t>
        </is>
      </c>
      <c r="B77" s="1" t="n">
        <v>44455</v>
      </c>
      <c r="C77" s="1" t="n">
        <v>45878</v>
      </c>
      <c r="D77" t="inlineStr">
        <is>
          <t>UPPSALA LÄN</t>
        </is>
      </c>
      <c r="E77" t="inlineStr">
        <is>
          <t>ÖSTHAMMAR</t>
        </is>
      </c>
      <c r="G77" t="n">
        <v>3.6</v>
      </c>
      <c r="H77" t="n">
        <v>0</v>
      </c>
      <c r="I77" t="n">
        <v>0</v>
      </c>
      <c r="J77" t="n">
        <v>0</v>
      </c>
      <c r="K77" t="n">
        <v>1</v>
      </c>
      <c r="L77" t="n">
        <v>0</v>
      </c>
      <c r="M77" t="n">
        <v>0</v>
      </c>
      <c r="N77" t="n">
        <v>0</v>
      </c>
      <c r="O77" t="n">
        <v>1</v>
      </c>
      <c r="P77" t="n">
        <v>1</v>
      </c>
      <c r="Q77" t="n">
        <v>1</v>
      </c>
      <c r="R77" s="2" t="inlineStr">
        <is>
          <t>Violgubbe</t>
        </is>
      </c>
      <c r="S77">
        <f>HYPERLINK("https://klasma.github.io/Logging_0382/artfynd/A 49839-2021 artfynd.xlsx", "A 49839-2021")</f>
        <v/>
      </c>
      <c r="T77">
        <f>HYPERLINK("https://klasma.github.io/Logging_0382/kartor/A 49839-2021 karta.png", "A 49839-2021")</f>
        <v/>
      </c>
      <c r="V77">
        <f>HYPERLINK("https://klasma.github.io/Logging_0382/klagomål/A 49839-2021 FSC-klagomål.docx", "A 49839-2021")</f>
        <v/>
      </c>
      <c r="W77">
        <f>HYPERLINK("https://klasma.github.io/Logging_0382/klagomålsmail/A 49839-2021 FSC-klagomål mail.docx", "A 49839-2021")</f>
        <v/>
      </c>
      <c r="X77">
        <f>HYPERLINK("https://klasma.github.io/Logging_0382/tillsyn/A 49839-2021 tillsynsbegäran.docx", "A 49839-2021")</f>
        <v/>
      </c>
      <c r="Y77">
        <f>HYPERLINK("https://klasma.github.io/Logging_0382/tillsynsmail/A 49839-2021 tillsynsbegäran mail.docx", "A 49839-2021")</f>
        <v/>
      </c>
    </row>
    <row r="78" ht="15" customHeight="1">
      <c r="A78" t="inlineStr">
        <is>
          <t>A 11017-2023</t>
        </is>
      </c>
      <c r="B78" s="1" t="n">
        <v>44991</v>
      </c>
      <c r="C78" s="1" t="n">
        <v>45878</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22375-2024</t>
        </is>
      </c>
      <c r="B79" s="1" t="n">
        <v>45446</v>
      </c>
      <c r="C79" s="1" t="n">
        <v>45878</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12753-2024</t>
        </is>
      </c>
      <c r="B80" s="1" t="n">
        <v>45384</v>
      </c>
      <c r="C80" s="1" t="n">
        <v>45878</v>
      </c>
      <c r="D80" t="inlineStr">
        <is>
          <t>UPPSALA LÄN</t>
        </is>
      </c>
      <c r="E80" t="inlineStr">
        <is>
          <t>ÖSTHAMMAR</t>
        </is>
      </c>
      <c r="G80" t="n">
        <v>1.7</v>
      </c>
      <c r="H80" t="n">
        <v>0</v>
      </c>
      <c r="I80" t="n">
        <v>0</v>
      </c>
      <c r="J80" t="n">
        <v>1</v>
      </c>
      <c r="K80" t="n">
        <v>0</v>
      </c>
      <c r="L80" t="n">
        <v>0</v>
      </c>
      <c r="M80" t="n">
        <v>0</v>
      </c>
      <c r="N80" t="n">
        <v>0</v>
      </c>
      <c r="O80" t="n">
        <v>1</v>
      </c>
      <c r="P80" t="n">
        <v>0</v>
      </c>
      <c r="Q80" t="n">
        <v>1</v>
      </c>
      <c r="R80" s="2" t="inlineStr">
        <is>
          <t>Flattoppad klubbsvamp</t>
        </is>
      </c>
      <c r="S80">
        <f>HYPERLINK("https://klasma.github.io/Logging_0382/artfynd/A 12753-2024 artfynd.xlsx", "A 12753-2024")</f>
        <v/>
      </c>
      <c r="T80">
        <f>HYPERLINK("https://klasma.github.io/Logging_0382/kartor/A 12753-2024 karta.png", "A 12753-2024")</f>
        <v/>
      </c>
      <c r="V80">
        <f>HYPERLINK("https://klasma.github.io/Logging_0382/klagomål/A 12753-2024 FSC-klagomål.docx", "A 12753-2024")</f>
        <v/>
      </c>
      <c r="W80">
        <f>HYPERLINK("https://klasma.github.io/Logging_0382/klagomålsmail/A 12753-2024 FSC-klagomål mail.docx", "A 12753-2024")</f>
        <v/>
      </c>
      <c r="X80">
        <f>HYPERLINK("https://klasma.github.io/Logging_0382/tillsyn/A 12753-2024 tillsynsbegäran.docx", "A 12753-2024")</f>
        <v/>
      </c>
      <c r="Y80">
        <f>HYPERLINK("https://klasma.github.io/Logging_0382/tillsynsmail/A 12753-2024 tillsynsbegäran mail.docx", "A 12753-2024")</f>
        <v/>
      </c>
    </row>
    <row r="81" ht="15" customHeight="1">
      <c r="A81" t="inlineStr">
        <is>
          <t>A 52818-2022</t>
        </is>
      </c>
      <c r="B81" s="1" t="n">
        <v>44875</v>
      </c>
      <c r="C81" s="1" t="n">
        <v>45878</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70495-2021</t>
        </is>
      </c>
      <c r="B82" s="1" t="n">
        <v>44536</v>
      </c>
      <c r="C82" s="1" t="n">
        <v>45878</v>
      </c>
      <c r="D82" t="inlineStr">
        <is>
          <t>UPPSALA LÄN</t>
        </is>
      </c>
      <c r="E82" t="inlineStr">
        <is>
          <t>ÖSTHAMMAR</t>
        </is>
      </c>
      <c r="G82" t="n">
        <v>1</v>
      </c>
      <c r="H82" t="n">
        <v>1</v>
      </c>
      <c r="I82" t="n">
        <v>0</v>
      </c>
      <c r="J82" t="n">
        <v>1</v>
      </c>
      <c r="K82" t="n">
        <v>0</v>
      </c>
      <c r="L82" t="n">
        <v>0</v>
      </c>
      <c r="M82" t="n">
        <v>0</v>
      </c>
      <c r="N82" t="n">
        <v>0</v>
      </c>
      <c r="O82" t="n">
        <v>1</v>
      </c>
      <c r="P82" t="n">
        <v>0</v>
      </c>
      <c r="Q82" t="n">
        <v>1</v>
      </c>
      <c r="R82" s="2" t="inlineStr">
        <is>
          <t>Slaguggla</t>
        </is>
      </c>
      <c r="S82">
        <f>HYPERLINK("https://klasma.github.io/Logging_0382/artfynd/A 70495-2021 artfynd.xlsx", "A 70495-2021")</f>
        <v/>
      </c>
      <c r="T82">
        <f>HYPERLINK("https://klasma.github.io/Logging_0382/kartor/A 70495-2021 karta.png", "A 70495-2021")</f>
        <v/>
      </c>
      <c r="V82">
        <f>HYPERLINK("https://klasma.github.io/Logging_0382/klagomål/A 70495-2021 FSC-klagomål.docx", "A 70495-2021")</f>
        <v/>
      </c>
      <c r="W82">
        <f>HYPERLINK("https://klasma.github.io/Logging_0382/klagomålsmail/A 70495-2021 FSC-klagomål mail.docx", "A 70495-2021")</f>
        <v/>
      </c>
      <c r="X82">
        <f>HYPERLINK("https://klasma.github.io/Logging_0382/tillsyn/A 70495-2021 tillsynsbegäran.docx", "A 70495-2021")</f>
        <v/>
      </c>
      <c r="Y82">
        <f>HYPERLINK("https://klasma.github.io/Logging_0382/tillsynsmail/A 70495-2021 tillsynsbegäran mail.docx", "A 70495-2021")</f>
        <v/>
      </c>
      <c r="Z82">
        <f>HYPERLINK("https://klasma.github.io/Logging_0382/fåglar/A 70495-2021 prioriterade fågelarter.docx", "A 70495-2021")</f>
        <v/>
      </c>
    </row>
    <row r="83" ht="15" customHeight="1">
      <c r="A83" t="inlineStr">
        <is>
          <t>A 14203-2024</t>
        </is>
      </c>
      <c r="B83" s="1" t="n">
        <v>45393</v>
      </c>
      <c r="C83" s="1" t="n">
        <v>45878</v>
      </c>
      <c r="D83" t="inlineStr">
        <is>
          <t>UPPSALA LÄN</t>
        </is>
      </c>
      <c r="E83" t="inlineStr">
        <is>
          <t>ÖSTHAMMAR</t>
        </is>
      </c>
      <c r="G83" t="n">
        <v>1.4</v>
      </c>
      <c r="H83" t="n">
        <v>0</v>
      </c>
      <c r="I83" t="n">
        <v>0</v>
      </c>
      <c r="J83" t="n">
        <v>1</v>
      </c>
      <c r="K83" t="n">
        <v>0</v>
      </c>
      <c r="L83" t="n">
        <v>0</v>
      </c>
      <c r="M83" t="n">
        <v>0</v>
      </c>
      <c r="N83" t="n">
        <v>0</v>
      </c>
      <c r="O83" t="n">
        <v>1</v>
      </c>
      <c r="P83" t="n">
        <v>0</v>
      </c>
      <c r="Q83" t="n">
        <v>1</v>
      </c>
      <c r="R83" s="2" t="inlineStr">
        <is>
          <t>Scharlakansvaxing</t>
        </is>
      </c>
      <c r="S83">
        <f>HYPERLINK("https://klasma.github.io/Logging_0382/artfynd/A 14203-2024 artfynd.xlsx", "A 14203-2024")</f>
        <v/>
      </c>
      <c r="T83">
        <f>HYPERLINK("https://klasma.github.io/Logging_0382/kartor/A 14203-2024 karta.png", "A 14203-2024")</f>
        <v/>
      </c>
      <c r="V83">
        <f>HYPERLINK("https://klasma.github.io/Logging_0382/klagomål/A 14203-2024 FSC-klagomål.docx", "A 14203-2024")</f>
        <v/>
      </c>
      <c r="W83">
        <f>HYPERLINK("https://klasma.github.io/Logging_0382/klagomålsmail/A 14203-2024 FSC-klagomål mail.docx", "A 14203-2024")</f>
        <v/>
      </c>
      <c r="X83">
        <f>HYPERLINK("https://klasma.github.io/Logging_0382/tillsyn/A 14203-2024 tillsynsbegäran.docx", "A 14203-2024")</f>
        <v/>
      </c>
      <c r="Y83">
        <f>HYPERLINK("https://klasma.github.io/Logging_0382/tillsynsmail/A 14203-2024 tillsynsbegäran mail.docx", "A 14203-2024")</f>
        <v/>
      </c>
    </row>
    <row r="84" ht="15" customHeight="1">
      <c r="A84" t="inlineStr">
        <is>
          <t>A 63615-2021</t>
        </is>
      </c>
      <c r="B84" s="1" t="n">
        <v>44509</v>
      </c>
      <c r="C84" s="1" t="n">
        <v>45878</v>
      </c>
      <c r="D84" t="inlineStr">
        <is>
          <t>UPPSALA LÄN</t>
        </is>
      </c>
      <c r="E84" t="inlineStr">
        <is>
          <t>ÖSTHAMMAR</t>
        </is>
      </c>
      <c r="G84" t="n">
        <v>1.9</v>
      </c>
      <c r="H84" t="n">
        <v>0</v>
      </c>
      <c r="I84" t="n">
        <v>0</v>
      </c>
      <c r="J84" t="n">
        <v>1</v>
      </c>
      <c r="K84" t="n">
        <v>0</v>
      </c>
      <c r="L84" t="n">
        <v>0</v>
      </c>
      <c r="M84" t="n">
        <v>0</v>
      </c>
      <c r="N84" t="n">
        <v>0</v>
      </c>
      <c r="O84" t="n">
        <v>1</v>
      </c>
      <c r="P84" t="n">
        <v>0</v>
      </c>
      <c r="Q84" t="n">
        <v>1</v>
      </c>
      <c r="R84" s="2" t="inlineStr">
        <is>
          <t>Gul taggsvamp</t>
        </is>
      </c>
      <c r="S84">
        <f>HYPERLINK("https://klasma.github.io/Logging_0382/artfynd/A 63615-2021 artfynd.xlsx", "A 63615-2021")</f>
        <v/>
      </c>
      <c r="T84">
        <f>HYPERLINK("https://klasma.github.io/Logging_0382/kartor/A 63615-2021 karta.png", "A 63615-2021")</f>
        <v/>
      </c>
      <c r="V84">
        <f>HYPERLINK("https://klasma.github.io/Logging_0382/klagomål/A 63615-2021 FSC-klagomål.docx", "A 63615-2021")</f>
        <v/>
      </c>
      <c r="W84">
        <f>HYPERLINK("https://klasma.github.io/Logging_0382/klagomålsmail/A 63615-2021 FSC-klagomål mail.docx", "A 63615-2021")</f>
        <v/>
      </c>
      <c r="X84">
        <f>HYPERLINK("https://klasma.github.io/Logging_0382/tillsyn/A 63615-2021 tillsynsbegäran.docx", "A 63615-2021")</f>
        <v/>
      </c>
      <c r="Y84">
        <f>HYPERLINK("https://klasma.github.io/Logging_0382/tillsynsmail/A 63615-2021 tillsynsbegäran mail.docx", "A 63615-2021")</f>
        <v/>
      </c>
    </row>
    <row r="85" ht="15" customHeight="1">
      <c r="A85" t="inlineStr">
        <is>
          <t>A 37296-2023</t>
        </is>
      </c>
      <c r="B85" s="1" t="n">
        <v>45156</v>
      </c>
      <c r="C85" s="1" t="n">
        <v>45878</v>
      </c>
      <c r="D85" t="inlineStr">
        <is>
          <t>UPPSALA LÄN</t>
        </is>
      </c>
      <c r="E85" t="inlineStr">
        <is>
          <t>ÖSTHAMMAR</t>
        </is>
      </c>
      <c r="G85" t="n">
        <v>4.7</v>
      </c>
      <c r="H85" t="n">
        <v>1</v>
      </c>
      <c r="I85" t="n">
        <v>0</v>
      </c>
      <c r="J85" t="n">
        <v>0</v>
      </c>
      <c r="K85" t="n">
        <v>1</v>
      </c>
      <c r="L85" t="n">
        <v>0</v>
      </c>
      <c r="M85" t="n">
        <v>0</v>
      </c>
      <c r="N85" t="n">
        <v>0</v>
      </c>
      <c r="O85" t="n">
        <v>1</v>
      </c>
      <c r="P85" t="n">
        <v>1</v>
      </c>
      <c r="Q85" t="n">
        <v>1</v>
      </c>
      <c r="R85" s="2" t="inlineStr">
        <is>
          <t>Backsippa</t>
        </is>
      </c>
      <c r="S85">
        <f>HYPERLINK("https://klasma.github.io/Logging_0382/artfynd/A 37296-2023 artfynd.xlsx", "A 37296-2023")</f>
        <v/>
      </c>
      <c r="T85">
        <f>HYPERLINK("https://klasma.github.io/Logging_0382/kartor/A 37296-2023 karta.png", "A 37296-2023")</f>
        <v/>
      </c>
      <c r="V85">
        <f>HYPERLINK("https://klasma.github.io/Logging_0382/klagomål/A 37296-2023 FSC-klagomål.docx", "A 37296-2023")</f>
        <v/>
      </c>
      <c r="W85">
        <f>HYPERLINK("https://klasma.github.io/Logging_0382/klagomålsmail/A 37296-2023 FSC-klagomål mail.docx", "A 37296-2023")</f>
        <v/>
      </c>
      <c r="X85">
        <f>HYPERLINK("https://klasma.github.io/Logging_0382/tillsyn/A 37296-2023 tillsynsbegäran.docx", "A 37296-2023")</f>
        <v/>
      </c>
      <c r="Y85">
        <f>HYPERLINK("https://klasma.github.io/Logging_0382/tillsynsmail/A 37296-2023 tillsynsbegäran mail.docx", "A 37296-2023")</f>
        <v/>
      </c>
    </row>
    <row r="86" ht="15" customHeight="1">
      <c r="A86" t="inlineStr">
        <is>
          <t>A 65989-2021</t>
        </is>
      </c>
      <c r="B86" s="1" t="n">
        <v>44517</v>
      </c>
      <c r="C86" s="1" t="n">
        <v>45878</v>
      </c>
      <c r="D86" t="inlineStr">
        <is>
          <t>UPPSALA LÄN</t>
        </is>
      </c>
      <c r="E86" t="inlineStr">
        <is>
          <t>ÖSTHAMMAR</t>
        </is>
      </c>
      <c r="G86" t="n">
        <v>6.9</v>
      </c>
      <c r="H86" t="n">
        <v>1</v>
      </c>
      <c r="I86" t="n">
        <v>1</v>
      </c>
      <c r="J86" t="n">
        <v>0</v>
      </c>
      <c r="K86" t="n">
        <v>0</v>
      </c>
      <c r="L86" t="n">
        <v>0</v>
      </c>
      <c r="M86" t="n">
        <v>0</v>
      </c>
      <c r="N86" t="n">
        <v>0</v>
      </c>
      <c r="O86" t="n">
        <v>0</v>
      </c>
      <c r="P86" t="n">
        <v>0</v>
      </c>
      <c r="Q86" t="n">
        <v>1</v>
      </c>
      <c r="R86" s="2" t="inlineStr">
        <is>
          <t>Skogsknipprot</t>
        </is>
      </c>
      <c r="S86">
        <f>HYPERLINK("https://klasma.github.io/Logging_0382/artfynd/A 65989-2021 artfynd.xlsx", "A 65989-2021")</f>
        <v/>
      </c>
      <c r="T86">
        <f>HYPERLINK("https://klasma.github.io/Logging_0382/kartor/A 65989-2021 karta.png", "A 65989-2021")</f>
        <v/>
      </c>
      <c r="V86">
        <f>HYPERLINK("https://klasma.github.io/Logging_0382/klagomål/A 65989-2021 FSC-klagomål.docx", "A 65989-2021")</f>
        <v/>
      </c>
      <c r="W86">
        <f>HYPERLINK("https://klasma.github.io/Logging_0382/klagomålsmail/A 65989-2021 FSC-klagomål mail.docx", "A 65989-2021")</f>
        <v/>
      </c>
      <c r="X86">
        <f>HYPERLINK("https://klasma.github.io/Logging_0382/tillsyn/A 65989-2021 tillsynsbegäran.docx", "A 65989-2021")</f>
        <v/>
      </c>
      <c r="Y86">
        <f>HYPERLINK("https://klasma.github.io/Logging_0382/tillsynsmail/A 65989-2021 tillsynsbegäran mail.docx", "A 65989-2021")</f>
        <v/>
      </c>
    </row>
    <row r="87" ht="15" customHeight="1">
      <c r="A87" t="inlineStr">
        <is>
          <t>A 7446-2022</t>
        </is>
      </c>
      <c r="B87" s="1" t="n">
        <v>44606</v>
      </c>
      <c r="C87" s="1" t="n">
        <v>45878</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10034-2023</t>
        </is>
      </c>
      <c r="B88" s="1" t="n">
        <v>44985</v>
      </c>
      <c r="C88" s="1" t="n">
        <v>45878</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45878</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1227-2022</t>
        </is>
      </c>
      <c r="B90" s="1" t="n">
        <v>44572.57641203704</v>
      </c>
      <c r="C90" s="1" t="n">
        <v>45878</v>
      </c>
      <c r="D90" t="inlineStr">
        <is>
          <t>UPPSALA LÄN</t>
        </is>
      </c>
      <c r="E90" t="inlineStr">
        <is>
          <t>ÖSTHAMMAR</t>
        </is>
      </c>
      <c r="G90" t="n">
        <v>1.7</v>
      </c>
      <c r="H90" t="n">
        <v>0</v>
      </c>
      <c r="I90" t="n">
        <v>1</v>
      </c>
      <c r="J90" t="n">
        <v>0</v>
      </c>
      <c r="K90" t="n">
        <v>0</v>
      </c>
      <c r="L90" t="n">
        <v>0</v>
      </c>
      <c r="M90" t="n">
        <v>0</v>
      </c>
      <c r="N90" t="n">
        <v>0</v>
      </c>
      <c r="O90" t="n">
        <v>0</v>
      </c>
      <c r="P90" t="n">
        <v>0</v>
      </c>
      <c r="Q90" t="n">
        <v>1</v>
      </c>
      <c r="R90" s="2" t="inlineStr">
        <is>
          <t>Guldkremla</t>
        </is>
      </c>
      <c r="S90">
        <f>HYPERLINK("https://klasma.github.io/Logging_0382/artfynd/A 1227-2022 artfynd.xlsx", "A 1227-2022")</f>
        <v/>
      </c>
      <c r="T90">
        <f>HYPERLINK("https://klasma.github.io/Logging_0382/kartor/A 1227-2022 karta.png", "A 1227-2022")</f>
        <v/>
      </c>
      <c r="V90">
        <f>HYPERLINK("https://klasma.github.io/Logging_0382/klagomål/A 1227-2022 FSC-klagomål.docx", "A 1227-2022")</f>
        <v/>
      </c>
      <c r="W90">
        <f>HYPERLINK("https://klasma.github.io/Logging_0382/klagomålsmail/A 1227-2022 FSC-klagomål mail.docx", "A 1227-2022")</f>
        <v/>
      </c>
      <c r="X90">
        <f>HYPERLINK("https://klasma.github.io/Logging_0382/tillsyn/A 1227-2022 tillsynsbegäran.docx", "A 1227-2022")</f>
        <v/>
      </c>
      <c r="Y90">
        <f>HYPERLINK("https://klasma.github.io/Logging_0382/tillsynsmail/A 1227-2022 tillsynsbegäran mail.docx", "A 1227-2022")</f>
        <v/>
      </c>
    </row>
    <row r="91" ht="15" customHeight="1">
      <c r="A91" t="inlineStr">
        <is>
          <t>A 61479-2020</t>
        </is>
      </c>
      <c r="B91" s="1" t="n">
        <v>44154</v>
      </c>
      <c r="C91" s="1" t="n">
        <v>45878</v>
      </c>
      <c r="D91" t="inlineStr">
        <is>
          <t>UPPSALA LÄN</t>
        </is>
      </c>
      <c r="E91" t="inlineStr">
        <is>
          <t>ÖSTHAMMAR</t>
        </is>
      </c>
      <c r="G91" t="n">
        <v>2.5</v>
      </c>
      <c r="H91" t="n">
        <v>0</v>
      </c>
      <c r="I91" t="n">
        <v>1</v>
      </c>
      <c r="J91" t="n">
        <v>0</v>
      </c>
      <c r="K91" t="n">
        <v>0</v>
      </c>
      <c r="L91" t="n">
        <v>0</v>
      </c>
      <c r="M91" t="n">
        <v>0</v>
      </c>
      <c r="N91" t="n">
        <v>0</v>
      </c>
      <c r="O91" t="n">
        <v>0</v>
      </c>
      <c r="P91" t="n">
        <v>0</v>
      </c>
      <c r="Q91" t="n">
        <v>1</v>
      </c>
      <c r="R91" s="2" t="inlineStr">
        <is>
          <t>Olivspindling</t>
        </is>
      </c>
      <c r="S91">
        <f>HYPERLINK("https://klasma.github.io/Logging_0382/artfynd/A 61479-2020 artfynd.xlsx", "A 61479-2020")</f>
        <v/>
      </c>
      <c r="T91">
        <f>HYPERLINK("https://klasma.github.io/Logging_0382/kartor/A 61479-2020 karta.png", "A 61479-2020")</f>
        <v/>
      </c>
      <c r="V91">
        <f>HYPERLINK("https://klasma.github.io/Logging_0382/klagomål/A 61479-2020 FSC-klagomål.docx", "A 61479-2020")</f>
        <v/>
      </c>
      <c r="W91">
        <f>HYPERLINK("https://klasma.github.io/Logging_0382/klagomålsmail/A 61479-2020 FSC-klagomål mail.docx", "A 61479-2020")</f>
        <v/>
      </c>
      <c r="X91">
        <f>HYPERLINK("https://klasma.github.io/Logging_0382/tillsyn/A 61479-2020 tillsynsbegäran.docx", "A 61479-2020")</f>
        <v/>
      </c>
      <c r="Y91">
        <f>HYPERLINK("https://klasma.github.io/Logging_0382/tillsynsmail/A 61479-2020 tillsynsbegäran mail.docx", "A 61479-2020")</f>
        <v/>
      </c>
    </row>
    <row r="92" ht="15" customHeight="1">
      <c r="A92" t="inlineStr">
        <is>
          <t>A 29564-2023</t>
        </is>
      </c>
      <c r="B92" s="1" t="n">
        <v>45106</v>
      </c>
      <c r="C92" s="1" t="n">
        <v>45878</v>
      </c>
      <c r="D92" t="inlineStr">
        <is>
          <t>UPPSALA LÄN</t>
        </is>
      </c>
      <c r="E92" t="inlineStr">
        <is>
          <t>ÖSTHAMMAR</t>
        </is>
      </c>
      <c r="F92" t="inlineStr">
        <is>
          <t>Naturvårdsverket</t>
        </is>
      </c>
      <c r="G92" t="n">
        <v>1.2</v>
      </c>
      <c r="H92" t="n">
        <v>1</v>
      </c>
      <c r="I92" t="n">
        <v>0</v>
      </c>
      <c r="J92" t="n">
        <v>0</v>
      </c>
      <c r="K92" t="n">
        <v>0</v>
      </c>
      <c r="L92" t="n">
        <v>0</v>
      </c>
      <c r="M92" t="n">
        <v>0</v>
      </c>
      <c r="N92" t="n">
        <v>0</v>
      </c>
      <c r="O92" t="n">
        <v>0</v>
      </c>
      <c r="P92" t="n">
        <v>0</v>
      </c>
      <c r="Q92" t="n">
        <v>1</v>
      </c>
      <c r="R92" s="2" t="inlineStr">
        <is>
          <t>Blåsippa</t>
        </is>
      </c>
      <c r="S92">
        <f>HYPERLINK("https://klasma.github.io/Logging_0382/artfynd/A 29564-2023 artfynd.xlsx", "A 29564-2023")</f>
        <v/>
      </c>
      <c r="T92">
        <f>HYPERLINK("https://klasma.github.io/Logging_0382/kartor/A 29564-2023 karta.png", "A 29564-2023")</f>
        <v/>
      </c>
      <c r="V92">
        <f>HYPERLINK("https://klasma.github.io/Logging_0382/klagomål/A 29564-2023 FSC-klagomål.docx", "A 29564-2023")</f>
        <v/>
      </c>
      <c r="W92">
        <f>HYPERLINK("https://klasma.github.io/Logging_0382/klagomålsmail/A 29564-2023 FSC-klagomål mail.docx", "A 29564-2023")</f>
        <v/>
      </c>
      <c r="X92">
        <f>HYPERLINK("https://klasma.github.io/Logging_0382/tillsyn/A 29564-2023 tillsynsbegäran.docx", "A 29564-2023")</f>
        <v/>
      </c>
      <c r="Y92">
        <f>HYPERLINK("https://klasma.github.io/Logging_0382/tillsynsmail/A 29564-2023 tillsynsbegäran mail.docx", "A 29564-2023")</f>
        <v/>
      </c>
    </row>
    <row r="93" ht="15" customHeight="1">
      <c r="A93" t="inlineStr">
        <is>
          <t>A 29679-2023</t>
        </is>
      </c>
      <c r="B93" s="1" t="n">
        <v>45107</v>
      </c>
      <c r="C93" s="1" t="n">
        <v>45878</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24797-2022</t>
        </is>
      </c>
      <c r="B94" s="1" t="n">
        <v>44728</v>
      </c>
      <c r="C94" s="1" t="n">
        <v>45878</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25179-2023</t>
        </is>
      </c>
      <c r="B95" s="1" t="n">
        <v>45078</v>
      </c>
      <c r="C95" s="1" t="n">
        <v>45878</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22209-2022</t>
        </is>
      </c>
      <c r="B96" s="1" t="n">
        <v>44712</v>
      </c>
      <c r="C96" s="1" t="n">
        <v>45878</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6143-2025</t>
        </is>
      </c>
      <c r="B97" s="1" t="n">
        <v>45698.38697916667</v>
      </c>
      <c r="C97" s="1" t="n">
        <v>45878</v>
      </c>
      <c r="D97" t="inlineStr">
        <is>
          <t>UPPSALA LÄN</t>
        </is>
      </c>
      <c r="E97" t="inlineStr">
        <is>
          <t>ÖSTHAMMAR</t>
        </is>
      </c>
      <c r="F97" t="inlineStr">
        <is>
          <t>Bergvik skog öst AB</t>
        </is>
      </c>
      <c r="G97" t="n">
        <v>3.6</v>
      </c>
      <c r="H97" t="n">
        <v>0</v>
      </c>
      <c r="I97" t="n">
        <v>1</v>
      </c>
      <c r="J97" t="n">
        <v>0</v>
      </c>
      <c r="K97" t="n">
        <v>0</v>
      </c>
      <c r="L97" t="n">
        <v>0</v>
      </c>
      <c r="M97" t="n">
        <v>0</v>
      </c>
      <c r="N97" t="n">
        <v>0</v>
      </c>
      <c r="O97" t="n">
        <v>0</v>
      </c>
      <c r="P97" t="n">
        <v>0</v>
      </c>
      <c r="Q97" t="n">
        <v>1</v>
      </c>
      <c r="R97" s="2" t="inlineStr">
        <is>
          <t>Svavelriska</t>
        </is>
      </c>
      <c r="S97">
        <f>HYPERLINK("https://klasma.github.io/Logging_0382/artfynd/A 6143-2025 artfynd.xlsx", "A 6143-2025")</f>
        <v/>
      </c>
      <c r="T97">
        <f>HYPERLINK("https://klasma.github.io/Logging_0382/kartor/A 6143-2025 karta.png", "A 6143-2025")</f>
        <v/>
      </c>
      <c r="V97">
        <f>HYPERLINK("https://klasma.github.io/Logging_0382/klagomål/A 6143-2025 FSC-klagomål.docx", "A 6143-2025")</f>
        <v/>
      </c>
      <c r="W97">
        <f>HYPERLINK("https://klasma.github.io/Logging_0382/klagomålsmail/A 6143-2025 FSC-klagomål mail.docx", "A 6143-2025")</f>
        <v/>
      </c>
      <c r="X97">
        <f>HYPERLINK("https://klasma.github.io/Logging_0382/tillsyn/A 6143-2025 tillsynsbegäran.docx", "A 6143-2025")</f>
        <v/>
      </c>
      <c r="Y97">
        <f>HYPERLINK("https://klasma.github.io/Logging_0382/tillsynsmail/A 6143-2025 tillsynsbegäran mail.docx", "A 6143-2025")</f>
        <v/>
      </c>
    </row>
    <row r="98" ht="15" customHeight="1">
      <c r="A98" t="inlineStr">
        <is>
          <t>A 17141-2025</t>
        </is>
      </c>
      <c r="B98" s="1" t="n">
        <v>45755.8494212963</v>
      </c>
      <c r="C98" s="1" t="n">
        <v>45878</v>
      </c>
      <c r="D98" t="inlineStr">
        <is>
          <t>UPPSALA LÄN</t>
        </is>
      </c>
      <c r="E98" t="inlineStr">
        <is>
          <t>ÖSTHAMMAR</t>
        </is>
      </c>
      <c r="F98" t="inlineStr">
        <is>
          <t>Bergvik skog öst AB</t>
        </is>
      </c>
      <c r="G98" t="n">
        <v>7</v>
      </c>
      <c r="H98" t="n">
        <v>1</v>
      </c>
      <c r="I98" t="n">
        <v>1</v>
      </c>
      <c r="J98" t="n">
        <v>0</v>
      </c>
      <c r="K98" t="n">
        <v>0</v>
      </c>
      <c r="L98" t="n">
        <v>0</v>
      </c>
      <c r="M98" t="n">
        <v>0</v>
      </c>
      <c r="N98" t="n">
        <v>0</v>
      </c>
      <c r="O98" t="n">
        <v>0</v>
      </c>
      <c r="P98" t="n">
        <v>0</v>
      </c>
      <c r="Q98" t="n">
        <v>1</v>
      </c>
      <c r="R98" s="2" t="inlineStr">
        <is>
          <t>Grönkulla</t>
        </is>
      </c>
      <c r="S98">
        <f>HYPERLINK("https://klasma.github.io/Logging_0382/artfynd/A 17141-2025 artfynd.xlsx", "A 17141-2025")</f>
        <v/>
      </c>
      <c r="T98">
        <f>HYPERLINK("https://klasma.github.io/Logging_0382/kartor/A 17141-2025 karta.png", "A 17141-2025")</f>
        <v/>
      </c>
      <c r="V98">
        <f>HYPERLINK("https://klasma.github.io/Logging_0382/klagomål/A 17141-2025 FSC-klagomål.docx", "A 17141-2025")</f>
        <v/>
      </c>
      <c r="W98">
        <f>HYPERLINK("https://klasma.github.io/Logging_0382/klagomålsmail/A 17141-2025 FSC-klagomål mail.docx", "A 17141-2025")</f>
        <v/>
      </c>
      <c r="X98">
        <f>HYPERLINK("https://klasma.github.io/Logging_0382/tillsyn/A 17141-2025 tillsynsbegäran.docx", "A 17141-2025")</f>
        <v/>
      </c>
      <c r="Y98">
        <f>HYPERLINK("https://klasma.github.io/Logging_0382/tillsynsmail/A 17141-2025 tillsynsbegäran mail.docx", "A 17141-2025")</f>
        <v/>
      </c>
    </row>
    <row r="99" ht="15" customHeight="1">
      <c r="A99" t="inlineStr">
        <is>
          <t>A 34090-2023</t>
        </is>
      </c>
      <c r="B99" s="1" t="n">
        <v>45135</v>
      </c>
      <c r="C99" s="1" t="n">
        <v>45878</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30605-2025</t>
        </is>
      </c>
      <c r="B100" s="1" t="n">
        <v>45831.45510416666</v>
      </c>
      <c r="C100" s="1" t="n">
        <v>45878</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3693-2021</t>
        </is>
      </c>
      <c r="B101" s="1" t="n">
        <v>44221</v>
      </c>
      <c r="C101" s="1" t="n">
        <v>45878</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45878</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45878</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45878</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8775-2022</t>
        </is>
      </c>
      <c r="B105" s="1" t="n">
        <v>44614</v>
      </c>
      <c r="C105" s="1" t="n">
        <v>45878</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45878</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45878</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45878</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45878</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45878</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45878</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45878</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45878</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45878</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45878</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45878</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45878</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45878</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45878</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45878</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45878</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45878</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45878</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45878</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45878</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45878</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45878</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45878</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45878</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45878</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45878</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45878</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45878</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45878</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45878</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45878</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45878</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63987-2020</t>
        </is>
      </c>
      <c r="B138" s="1" t="n">
        <v>44167</v>
      </c>
      <c r="C138" s="1" t="n">
        <v>45878</v>
      </c>
      <c r="D138" t="inlineStr">
        <is>
          <t>UPPSALA LÄN</t>
        </is>
      </c>
      <c r="E138" t="inlineStr">
        <is>
          <t>ÖSTHAMMAR</t>
        </is>
      </c>
      <c r="G138" t="n">
        <v>5.9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45878</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45878</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24149-2022</t>
        </is>
      </c>
      <c r="B141" s="1" t="n">
        <v>44725</v>
      </c>
      <c r="C141" s="1" t="n">
        <v>45878</v>
      </c>
      <c r="D141" t="inlineStr">
        <is>
          <t>UPPSALA LÄN</t>
        </is>
      </c>
      <c r="E141" t="inlineStr">
        <is>
          <t>ÖSTHAMMAR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45878</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45878</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45878</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45878</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45878</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45878</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45878</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45878</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45878</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45878</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45878</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45878</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45878</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18734-2022</t>
        </is>
      </c>
      <c r="B155" s="1" t="n">
        <v>44687.86751157408</v>
      </c>
      <c r="C155" s="1" t="n">
        <v>45878</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37813-2022</t>
        </is>
      </c>
      <c r="B156" s="1" t="n">
        <v>44810</v>
      </c>
      <c r="C156" s="1" t="n">
        <v>45878</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45878</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45878</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45878</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45878</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6221-2021</t>
        </is>
      </c>
      <c r="B161" s="1" t="n">
        <v>44235</v>
      </c>
      <c r="C161" s="1" t="n">
        <v>45878</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30209-2022</t>
        </is>
      </c>
      <c r="B162" s="1" t="n">
        <v>44757.75236111111</v>
      </c>
      <c r="C162" s="1" t="n">
        <v>45878</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19214-2021</t>
        </is>
      </c>
      <c r="B163" s="1" t="n">
        <v>44309.28576388889</v>
      </c>
      <c r="C163" s="1" t="n">
        <v>45878</v>
      </c>
      <c r="D163" t="inlineStr">
        <is>
          <t>UPPSALA LÄN</t>
        </is>
      </c>
      <c r="E163" t="inlineStr">
        <is>
          <t>ÖSTHAMMAR</t>
        </is>
      </c>
      <c r="F163" t="inlineStr">
        <is>
          <t>Bergvik skog öst AB</t>
        </is>
      </c>
      <c r="G163" t="n">
        <v>6</v>
      </c>
      <c r="H163" t="n">
        <v>0</v>
      </c>
      <c r="I163" t="n">
        <v>0</v>
      </c>
      <c r="J163" t="n">
        <v>0</v>
      </c>
      <c r="K163" t="n">
        <v>0</v>
      </c>
      <c r="L163" t="n">
        <v>0</v>
      </c>
      <c r="M163" t="n">
        <v>0</v>
      </c>
      <c r="N163" t="n">
        <v>0</v>
      </c>
      <c r="O163" t="n">
        <v>0</v>
      </c>
      <c r="P163" t="n">
        <v>0</v>
      </c>
      <c r="Q163" t="n">
        <v>0</v>
      </c>
      <c r="R163" s="2" t="inlineStr"/>
    </row>
    <row r="164" ht="15" customHeight="1">
      <c r="A164" t="inlineStr">
        <is>
          <t>A 17013-2022</t>
        </is>
      </c>
      <c r="B164" s="1" t="n">
        <v>44676</v>
      </c>
      <c r="C164" s="1" t="n">
        <v>45878</v>
      </c>
      <c r="D164" t="inlineStr">
        <is>
          <t>UPPSALA LÄN</t>
        </is>
      </c>
      <c r="E164" t="inlineStr">
        <is>
          <t>ÖSTHAMMAR</t>
        </is>
      </c>
      <c r="F164" t="inlineStr">
        <is>
          <t>Bergvik skog öst AB</t>
        </is>
      </c>
      <c r="G164" t="n">
        <v>0.2</v>
      </c>
      <c r="H164" t="n">
        <v>0</v>
      </c>
      <c r="I164" t="n">
        <v>0</v>
      </c>
      <c r="J164" t="n">
        <v>0</v>
      </c>
      <c r="K164" t="n">
        <v>0</v>
      </c>
      <c r="L164" t="n">
        <v>0</v>
      </c>
      <c r="M164" t="n">
        <v>0</v>
      </c>
      <c r="N164" t="n">
        <v>0</v>
      </c>
      <c r="O164" t="n">
        <v>0</v>
      </c>
      <c r="P164" t="n">
        <v>0</v>
      </c>
      <c r="Q164" t="n">
        <v>0</v>
      </c>
      <c r="R164" s="2" t="inlineStr"/>
    </row>
    <row r="165" ht="15" customHeight="1">
      <c r="A165" t="inlineStr">
        <is>
          <t>A 11987-2022</t>
        </is>
      </c>
      <c r="B165" s="1" t="n">
        <v>44635.68695601852</v>
      </c>
      <c r="C165" s="1" t="n">
        <v>45878</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22207-2022</t>
        </is>
      </c>
      <c r="B166" s="1" t="n">
        <v>44712.51509259259</v>
      </c>
      <c r="C166" s="1" t="n">
        <v>45878</v>
      </c>
      <c r="D166" t="inlineStr">
        <is>
          <t>UPPSALA LÄN</t>
        </is>
      </c>
      <c r="E166" t="inlineStr">
        <is>
          <t>ÖSTHAMMAR</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45878</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45878</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45878</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38285-2020</t>
        </is>
      </c>
      <c r="B170" s="1" t="n">
        <v>44060</v>
      </c>
      <c r="C170" s="1" t="n">
        <v>45878</v>
      </c>
      <c r="D170" t="inlineStr">
        <is>
          <t>UPPSALA LÄN</t>
        </is>
      </c>
      <c r="E170" t="inlineStr">
        <is>
          <t>ÖSTHAMMAR</t>
        </is>
      </c>
      <c r="G170" t="n">
        <v>4.7</v>
      </c>
      <c r="H170" t="n">
        <v>0</v>
      </c>
      <c r="I170" t="n">
        <v>0</v>
      </c>
      <c r="J170" t="n">
        <v>0</v>
      </c>
      <c r="K170" t="n">
        <v>0</v>
      </c>
      <c r="L170" t="n">
        <v>0</v>
      </c>
      <c r="M170" t="n">
        <v>0</v>
      </c>
      <c r="N170" t="n">
        <v>0</v>
      </c>
      <c r="O170" t="n">
        <v>0</v>
      </c>
      <c r="P170" t="n">
        <v>0</v>
      </c>
      <c r="Q170" t="n">
        <v>0</v>
      </c>
      <c r="R170" s="2" t="inlineStr"/>
    </row>
    <row r="171" ht="15" customHeight="1">
      <c r="A171" t="inlineStr">
        <is>
          <t>A 52432-2020</t>
        </is>
      </c>
      <c r="B171" s="1" t="n">
        <v>44118</v>
      </c>
      <c r="C171" s="1" t="n">
        <v>45878</v>
      </c>
      <c r="D171" t="inlineStr">
        <is>
          <t>UPPSALA LÄN</t>
        </is>
      </c>
      <c r="E171" t="inlineStr">
        <is>
          <t>ÖSTHAMMAR</t>
        </is>
      </c>
      <c r="G171" t="n">
        <v>2.7</v>
      </c>
      <c r="H171" t="n">
        <v>0</v>
      </c>
      <c r="I171" t="n">
        <v>0</v>
      </c>
      <c r="J171" t="n">
        <v>0</v>
      </c>
      <c r="K171" t="n">
        <v>0</v>
      </c>
      <c r="L171" t="n">
        <v>0</v>
      </c>
      <c r="M171" t="n">
        <v>0</v>
      </c>
      <c r="N171" t="n">
        <v>0</v>
      </c>
      <c r="O171" t="n">
        <v>0</v>
      </c>
      <c r="P171" t="n">
        <v>0</v>
      </c>
      <c r="Q171" t="n">
        <v>0</v>
      </c>
      <c r="R171" s="2" t="inlineStr"/>
    </row>
    <row r="172" ht="15" customHeight="1">
      <c r="A172" t="inlineStr">
        <is>
          <t>A 52434-2020</t>
        </is>
      </c>
      <c r="B172" s="1" t="n">
        <v>44118</v>
      </c>
      <c r="C172" s="1" t="n">
        <v>45878</v>
      </c>
      <c r="D172" t="inlineStr">
        <is>
          <t>UPPSALA LÄN</t>
        </is>
      </c>
      <c r="E172" t="inlineStr">
        <is>
          <t>ÖSTHAMMAR</t>
        </is>
      </c>
      <c r="G172" t="n">
        <v>2.8</v>
      </c>
      <c r="H172" t="n">
        <v>0</v>
      </c>
      <c r="I172" t="n">
        <v>0</v>
      </c>
      <c r="J172" t="n">
        <v>0</v>
      </c>
      <c r="K172" t="n">
        <v>0</v>
      </c>
      <c r="L172" t="n">
        <v>0</v>
      </c>
      <c r="M172" t="n">
        <v>0</v>
      </c>
      <c r="N172" t="n">
        <v>0</v>
      </c>
      <c r="O172" t="n">
        <v>0</v>
      </c>
      <c r="P172" t="n">
        <v>0</v>
      </c>
      <c r="Q172" t="n">
        <v>0</v>
      </c>
      <c r="R172" s="2" t="inlineStr"/>
    </row>
    <row r="173" ht="15" customHeight="1">
      <c r="A173" t="inlineStr">
        <is>
          <t>A 12999-2022</t>
        </is>
      </c>
      <c r="B173" s="1" t="n">
        <v>44643.4372337963</v>
      </c>
      <c r="C173" s="1" t="n">
        <v>45878</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45878</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4491-2022</t>
        </is>
      </c>
      <c r="B175" s="1" t="n">
        <v>44589.66446759259</v>
      </c>
      <c r="C175" s="1" t="n">
        <v>45878</v>
      </c>
      <c r="D175" t="inlineStr">
        <is>
          <t>UPPSALA LÄN</t>
        </is>
      </c>
      <c r="E175" t="inlineStr">
        <is>
          <t>ÖSTHAMMAR</t>
        </is>
      </c>
      <c r="G175" t="n">
        <v>1.4</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45878</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52295-2022</t>
        </is>
      </c>
      <c r="B177" s="1" t="n">
        <v>44873.67842592593</v>
      </c>
      <c r="C177" s="1" t="n">
        <v>45878</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52898-2021</t>
        </is>
      </c>
      <c r="B178" s="1" t="n">
        <v>44467</v>
      </c>
      <c r="C178" s="1" t="n">
        <v>45878</v>
      </c>
      <c r="D178" t="inlineStr">
        <is>
          <t>UPPSALA LÄN</t>
        </is>
      </c>
      <c r="E178" t="inlineStr">
        <is>
          <t>ÖSTHAMMAR</t>
        </is>
      </c>
      <c r="G178" t="n">
        <v>2.3</v>
      </c>
      <c r="H178" t="n">
        <v>0</v>
      </c>
      <c r="I178" t="n">
        <v>0</v>
      </c>
      <c r="J178" t="n">
        <v>0</v>
      </c>
      <c r="K178" t="n">
        <v>0</v>
      </c>
      <c r="L178" t="n">
        <v>0</v>
      </c>
      <c r="M178" t="n">
        <v>0</v>
      </c>
      <c r="N178" t="n">
        <v>0</v>
      </c>
      <c r="O178" t="n">
        <v>0</v>
      </c>
      <c r="P178" t="n">
        <v>0</v>
      </c>
      <c r="Q178" t="n">
        <v>0</v>
      </c>
      <c r="R178" s="2" t="inlineStr"/>
    </row>
    <row r="179" ht="15" customHeight="1">
      <c r="A179" t="inlineStr">
        <is>
          <t>A 16185-2022</t>
        </is>
      </c>
      <c r="B179" s="1" t="n">
        <v>44669</v>
      </c>
      <c r="C179" s="1" t="n">
        <v>45878</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41558-2021</t>
        </is>
      </c>
      <c r="B180" s="1" t="n">
        <v>44425.37835648148</v>
      </c>
      <c r="C180" s="1" t="n">
        <v>45878</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45878</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45878</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61193-2020</t>
        </is>
      </c>
      <c r="B183" s="1" t="n">
        <v>44155</v>
      </c>
      <c r="C183" s="1" t="n">
        <v>45878</v>
      </c>
      <c r="D183" t="inlineStr">
        <is>
          <t>UPPSALA LÄN</t>
        </is>
      </c>
      <c r="E183" t="inlineStr">
        <is>
          <t>ÖSTHAMMAR</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45878</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15457-2022</t>
        </is>
      </c>
      <c r="B185" s="1" t="n">
        <v>44661.74027777778</v>
      </c>
      <c r="C185" s="1" t="n">
        <v>45878</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25987-2022</t>
        </is>
      </c>
      <c r="B186" s="1" t="n">
        <v>44734.49601851852</v>
      </c>
      <c r="C186" s="1" t="n">
        <v>45878</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45878</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45878</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45878</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61560-2021</t>
        </is>
      </c>
      <c r="B190" s="1" t="n">
        <v>44501.42905092592</v>
      </c>
      <c r="C190" s="1" t="n">
        <v>45878</v>
      </c>
      <c r="D190" t="inlineStr">
        <is>
          <t>UPPSALA LÄN</t>
        </is>
      </c>
      <c r="E190" t="inlineStr">
        <is>
          <t>ÖSTHAMMAR</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34418-2022</t>
        </is>
      </c>
      <c r="B191" s="1" t="n">
        <v>44792</v>
      </c>
      <c r="C191" s="1" t="n">
        <v>45878</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37570-2022</t>
        </is>
      </c>
      <c r="B192" s="1" t="n">
        <v>44809</v>
      </c>
      <c r="C192" s="1" t="n">
        <v>45878</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7871-2022</t>
        </is>
      </c>
      <c r="B193" s="1" t="n">
        <v>44608</v>
      </c>
      <c r="C193" s="1" t="n">
        <v>45878</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24817-2022</t>
        </is>
      </c>
      <c r="B194" s="1" t="n">
        <v>44728</v>
      </c>
      <c r="C194" s="1" t="n">
        <v>45878</v>
      </c>
      <c r="D194" t="inlineStr">
        <is>
          <t>UPPSALA LÄN</t>
        </is>
      </c>
      <c r="E194" t="inlineStr">
        <is>
          <t>ÖSTHAMMAR</t>
        </is>
      </c>
      <c r="F194" t="inlineStr">
        <is>
          <t>Sveaskog</t>
        </is>
      </c>
      <c r="G194" t="n">
        <v>0.2</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45878</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30086-2023</t>
        </is>
      </c>
      <c r="B196" s="1" t="n">
        <v>45110.43907407407</v>
      </c>
      <c r="C196" s="1" t="n">
        <v>45878</v>
      </c>
      <c r="D196" t="inlineStr">
        <is>
          <t>UPPSALA LÄN</t>
        </is>
      </c>
      <c r="E196" t="inlineStr">
        <is>
          <t>ÖSTHAMMAR</t>
        </is>
      </c>
      <c r="G196" t="n">
        <v>3.5</v>
      </c>
      <c r="H196" t="n">
        <v>0</v>
      </c>
      <c r="I196" t="n">
        <v>0</v>
      </c>
      <c r="J196" t="n">
        <v>0</v>
      </c>
      <c r="K196" t="n">
        <v>0</v>
      </c>
      <c r="L196" t="n">
        <v>0</v>
      </c>
      <c r="M196" t="n">
        <v>0</v>
      </c>
      <c r="N196" t="n">
        <v>0</v>
      </c>
      <c r="O196" t="n">
        <v>0</v>
      </c>
      <c r="P196" t="n">
        <v>0</v>
      </c>
      <c r="Q196" t="n">
        <v>0</v>
      </c>
      <c r="R196" s="2" t="inlineStr"/>
    </row>
    <row r="197" ht="15" customHeight="1">
      <c r="A197" t="inlineStr">
        <is>
          <t>A 19637-2025</t>
        </is>
      </c>
      <c r="B197" s="1" t="n">
        <v>45770.6534375</v>
      </c>
      <c r="C197" s="1" t="n">
        <v>45878</v>
      </c>
      <c r="D197" t="inlineStr">
        <is>
          <t>UPPSALA LÄN</t>
        </is>
      </c>
      <c r="E197" t="inlineStr">
        <is>
          <t>ÖSTHAMMAR</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19650-2025</t>
        </is>
      </c>
      <c r="B198" s="1" t="n">
        <v>45770.66733796296</v>
      </c>
      <c r="C198" s="1" t="n">
        <v>45878</v>
      </c>
      <c r="D198" t="inlineStr">
        <is>
          <t>UPPSALA LÄN</t>
        </is>
      </c>
      <c r="E198" t="inlineStr">
        <is>
          <t>ÖSTHAMMAR</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49206-2020</t>
        </is>
      </c>
      <c r="B199" s="1" t="n">
        <v>44105</v>
      </c>
      <c r="C199" s="1" t="n">
        <v>45878</v>
      </c>
      <c r="D199" t="inlineStr">
        <is>
          <t>UPPSALA LÄN</t>
        </is>
      </c>
      <c r="E199" t="inlineStr">
        <is>
          <t>ÖSTHAMMAR</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37545-2022</t>
        </is>
      </c>
      <c r="B200" s="1" t="n">
        <v>44809.63373842592</v>
      </c>
      <c r="C200" s="1" t="n">
        <v>45878</v>
      </c>
      <c r="D200" t="inlineStr">
        <is>
          <t>UPPSALA LÄN</t>
        </is>
      </c>
      <c r="E200" t="inlineStr">
        <is>
          <t>ÖSTHAMMAR</t>
        </is>
      </c>
      <c r="G200" t="n">
        <v>3.1</v>
      </c>
      <c r="H200" t="n">
        <v>0</v>
      </c>
      <c r="I200" t="n">
        <v>0</v>
      </c>
      <c r="J200" t="n">
        <v>0</v>
      </c>
      <c r="K200" t="n">
        <v>0</v>
      </c>
      <c r="L200" t="n">
        <v>0</v>
      </c>
      <c r="M200" t="n">
        <v>0</v>
      </c>
      <c r="N200" t="n">
        <v>0</v>
      </c>
      <c r="O200" t="n">
        <v>0</v>
      </c>
      <c r="P200" t="n">
        <v>0</v>
      </c>
      <c r="Q200" t="n">
        <v>0</v>
      </c>
      <c r="R200" s="2" t="inlineStr"/>
    </row>
    <row r="201" ht="15" customHeight="1">
      <c r="A201" t="inlineStr">
        <is>
          <t>A 19040-2023</t>
        </is>
      </c>
      <c r="B201" s="1" t="n">
        <v>45047</v>
      </c>
      <c r="C201" s="1" t="n">
        <v>45878</v>
      </c>
      <c r="D201" t="inlineStr">
        <is>
          <t>UPPSALA LÄN</t>
        </is>
      </c>
      <c r="E201" t="inlineStr">
        <is>
          <t>ÖSTHAMMAR</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11008-2023</t>
        </is>
      </c>
      <c r="B202" s="1" t="n">
        <v>44991</v>
      </c>
      <c r="C202" s="1" t="n">
        <v>45878</v>
      </c>
      <c r="D202" t="inlineStr">
        <is>
          <t>UPPSALA LÄN</t>
        </is>
      </c>
      <c r="E202" t="inlineStr">
        <is>
          <t>ÖSTHAMMAR</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18838-2023</t>
        </is>
      </c>
      <c r="B203" s="1" t="n">
        <v>45044</v>
      </c>
      <c r="C203" s="1" t="n">
        <v>45878</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4099-2025</t>
        </is>
      </c>
      <c r="B204" s="1" t="n">
        <v>45684</v>
      </c>
      <c r="C204" s="1" t="n">
        <v>45878</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13771-2023</t>
        </is>
      </c>
      <c r="B205" s="1" t="n">
        <v>45007</v>
      </c>
      <c r="C205" s="1" t="n">
        <v>45878</v>
      </c>
      <c r="D205" t="inlineStr">
        <is>
          <t>UPPSALA LÄN</t>
        </is>
      </c>
      <c r="E205" t="inlineStr">
        <is>
          <t>ÖSTHAMMAR</t>
        </is>
      </c>
      <c r="G205" t="n">
        <v>2.7</v>
      </c>
      <c r="H205" t="n">
        <v>0</v>
      </c>
      <c r="I205" t="n">
        <v>0</v>
      </c>
      <c r="J205" t="n">
        <v>0</v>
      </c>
      <c r="K205" t="n">
        <v>0</v>
      </c>
      <c r="L205" t="n">
        <v>0</v>
      </c>
      <c r="M205" t="n">
        <v>0</v>
      </c>
      <c r="N205" t="n">
        <v>0</v>
      </c>
      <c r="O205" t="n">
        <v>0</v>
      </c>
      <c r="P205" t="n">
        <v>0</v>
      </c>
      <c r="Q205" t="n">
        <v>0</v>
      </c>
      <c r="R205" s="2" t="inlineStr"/>
    </row>
    <row r="206" ht="15" customHeight="1">
      <c r="A206" t="inlineStr">
        <is>
          <t>A 17022-2021</t>
        </is>
      </c>
      <c r="B206" s="1" t="n">
        <v>44295.65875</v>
      </c>
      <c r="C206" s="1" t="n">
        <v>45878</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45878</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41538-2021</t>
        </is>
      </c>
      <c r="B208" s="1" t="n">
        <v>44425.35016203704</v>
      </c>
      <c r="C208" s="1" t="n">
        <v>45878</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45878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36301-2023</t>
        </is>
      </c>
      <c r="B210" s="1" t="n">
        <v>45152.37296296296</v>
      </c>
      <c r="C210" s="1" t="n">
        <v>45878</v>
      </c>
      <c r="D210" t="inlineStr">
        <is>
          <t>UPPSALA LÄN</t>
        </is>
      </c>
      <c r="E210" t="inlineStr">
        <is>
          <t>ÖSTHAMMAR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33062-2021</t>
        </is>
      </c>
      <c r="B211" s="1" t="n">
        <v>44376</v>
      </c>
      <c r="C211" s="1" t="n">
        <v>45878</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58324-2023</t>
        </is>
      </c>
      <c r="B212" s="1" t="n">
        <v>45250.58635416667</v>
      </c>
      <c r="C212" s="1" t="n">
        <v>45878</v>
      </c>
      <c r="D212" t="inlineStr">
        <is>
          <t>UPPSALA LÄN</t>
        </is>
      </c>
      <c r="E212" t="inlineStr">
        <is>
          <t>ÖSTHAMMAR</t>
        </is>
      </c>
      <c r="G212" t="n">
        <v>5.1</v>
      </c>
      <c r="H212" t="n">
        <v>0</v>
      </c>
      <c r="I212" t="n">
        <v>0</v>
      </c>
      <c r="J212" t="n">
        <v>0</v>
      </c>
      <c r="K212" t="n">
        <v>0</v>
      </c>
      <c r="L212" t="n">
        <v>0</v>
      </c>
      <c r="M212" t="n">
        <v>0</v>
      </c>
      <c r="N212" t="n">
        <v>0</v>
      </c>
      <c r="O212" t="n">
        <v>0</v>
      </c>
      <c r="P212" t="n">
        <v>0</v>
      </c>
      <c r="Q212" t="n">
        <v>0</v>
      </c>
      <c r="R212" s="2" t="inlineStr"/>
    </row>
    <row r="213" ht="15" customHeight="1">
      <c r="A213" t="inlineStr">
        <is>
          <t>A 28429-2023</t>
        </is>
      </c>
      <c r="B213" s="1" t="n">
        <v>45102.58728009259</v>
      </c>
      <c r="C213" s="1" t="n">
        <v>45878</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35309-2023</t>
        </is>
      </c>
      <c r="B214" s="1" t="n">
        <v>45146</v>
      </c>
      <c r="C214" s="1" t="n">
        <v>45878</v>
      </c>
      <c r="D214" t="inlineStr">
        <is>
          <t>UPPSALA LÄN</t>
        </is>
      </c>
      <c r="E214" t="inlineStr">
        <is>
          <t>ÖSTHAMMAR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835-2025</t>
        </is>
      </c>
      <c r="B215" s="1" t="n">
        <v>45665.58465277778</v>
      </c>
      <c r="C215" s="1" t="n">
        <v>45878</v>
      </c>
      <c r="D215" t="inlineStr">
        <is>
          <t>UPPSALA LÄN</t>
        </is>
      </c>
      <c r="E215" t="inlineStr">
        <is>
          <t>ÖSTHAMMAR</t>
        </is>
      </c>
      <c r="F215" t="inlineStr">
        <is>
          <t>Övriga Aktiebolag</t>
        </is>
      </c>
      <c r="G215" t="n">
        <v>4.8</v>
      </c>
      <c r="H215" t="n">
        <v>0</v>
      </c>
      <c r="I215" t="n">
        <v>0</v>
      </c>
      <c r="J215" t="n">
        <v>0</v>
      </c>
      <c r="K215" t="n">
        <v>0</v>
      </c>
      <c r="L215" t="n">
        <v>0</v>
      </c>
      <c r="M215" t="n">
        <v>0</v>
      </c>
      <c r="N215" t="n">
        <v>0</v>
      </c>
      <c r="O215" t="n">
        <v>0</v>
      </c>
      <c r="P215" t="n">
        <v>0</v>
      </c>
      <c r="Q215" t="n">
        <v>0</v>
      </c>
      <c r="R215" s="2" t="inlineStr"/>
    </row>
    <row r="216" ht="15" customHeight="1">
      <c r="A216" t="inlineStr">
        <is>
          <t>A 67199-2021</t>
        </is>
      </c>
      <c r="B216" s="1" t="n">
        <v>44523.46197916667</v>
      </c>
      <c r="C216" s="1" t="n">
        <v>45878</v>
      </c>
      <c r="D216" t="inlineStr">
        <is>
          <t>UPPSALA LÄN</t>
        </is>
      </c>
      <c r="E216" t="inlineStr">
        <is>
          <t>ÖSTHAMMAR</t>
        </is>
      </c>
      <c r="G216" t="n">
        <v>2.3</v>
      </c>
      <c r="H216" t="n">
        <v>0</v>
      </c>
      <c r="I216" t="n">
        <v>0</v>
      </c>
      <c r="J216" t="n">
        <v>0</v>
      </c>
      <c r="K216" t="n">
        <v>0</v>
      </c>
      <c r="L216" t="n">
        <v>0</v>
      </c>
      <c r="M216" t="n">
        <v>0</v>
      </c>
      <c r="N216" t="n">
        <v>0</v>
      </c>
      <c r="O216" t="n">
        <v>0</v>
      </c>
      <c r="P216" t="n">
        <v>0</v>
      </c>
      <c r="Q216" t="n">
        <v>0</v>
      </c>
      <c r="R216" s="2" t="inlineStr"/>
    </row>
    <row r="217" ht="15" customHeight="1">
      <c r="A217" t="inlineStr">
        <is>
          <t>A 24259-2022</t>
        </is>
      </c>
      <c r="B217" s="1" t="n">
        <v>44725</v>
      </c>
      <c r="C217" s="1" t="n">
        <v>45878</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24367-2022</t>
        </is>
      </c>
      <c r="B218" s="1" t="n">
        <v>44726.42716435185</v>
      </c>
      <c r="C218" s="1" t="n">
        <v>45878</v>
      </c>
      <c r="D218" t="inlineStr">
        <is>
          <t>UPPSALA LÄN</t>
        </is>
      </c>
      <c r="E218" t="inlineStr">
        <is>
          <t>ÖSTHAMMAR</t>
        </is>
      </c>
      <c r="G218" t="n">
        <v>2.7</v>
      </c>
      <c r="H218" t="n">
        <v>0</v>
      </c>
      <c r="I218" t="n">
        <v>0</v>
      </c>
      <c r="J218" t="n">
        <v>0</v>
      </c>
      <c r="K218" t="n">
        <v>0</v>
      </c>
      <c r="L218" t="n">
        <v>0</v>
      </c>
      <c r="M218" t="n">
        <v>0</v>
      </c>
      <c r="N218" t="n">
        <v>0</v>
      </c>
      <c r="O218" t="n">
        <v>0</v>
      </c>
      <c r="P218" t="n">
        <v>0</v>
      </c>
      <c r="Q218" t="n">
        <v>0</v>
      </c>
      <c r="R218" s="2" t="inlineStr"/>
    </row>
    <row r="219" ht="15" customHeight="1">
      <c r="A219" t="inlineStr">
        <is>
          <t>A 49897-2023</t>
        </is>
      </c>
      <c r="B219" s="1" t="n">
        <v>45213.84846064815</v>
      </c>
      <c r="C219" s="1" t="n">
        <v>45878</v>
      </c>
      <c r="D219" t="inlineStr">
        <is>
          <t>UPPSALA LÄN</t>
        </is>
      </c>
      <c r="E219" t="inlineStr">
        <is>
          <t>ÖSTHAMMAR</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34922-2023</t>
        </is>
      </c>
      <c r="B220" s="1" t="n">
        <v>45142.48359953704</v>
      </c>
      <c r="C220" s="1" t="n">
        <v>45878</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69411-2021</t>
        </is>
      </c>
      <c r="B221" s="1" t="n">
        <v>44531.61038194445</v>
      </c>
      <c r="C221" s="1" t="n">
        <v>45878</v>
      </c>
      <c r="D221" t="inlineStr">
        <is>
          <t>UPPSALA LÄN</t>
        </is>
      </c>
      <c r="E221" t="inlineStr">
        <is>
          <t>ÖSTHAMMAR</t>
        </is>
      </c>
      <c r="F221" t="inlineStr">
        <is>
          <t>Bergvik skog öst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50998-2023</t>
        </is>
      </c>
      <c r="B222" s="1" t="n">
        <v>45218.5586574074</v>
      </c>
      <c r="C222" s="1" t="n">
        <v>45878</v>
      </c>
      <c r="D222" t="inlineStr">
        <is>
          <t>UPPSALA LÄN</t>
        </is>
      </c>
      <c r="E222" t="inlineStr">
        <is>
          <t>ÖSTHAMMAR</t>
        </is>
      </c>
      <c r="G222" t="n">
        <v>3.6</v>
      </c>
      <c r="H222" t="n">
        <v>0</v>
      </c>
      <c r="I222" t="n">
        <v>0</v>
      </c>
      <c r="J222" t="n">
        <v>0</v>
      </c>
      <c r="K222" t="n">
        <v>0</v>
      </c>
      <c r="L222" t="n">
        <v>0</v>
      </c>
      <c r="M222" t="n">
        <v>0</v>
      </c>
      <c r="N222" t="n">
        <v>0</v>
      </c>
      <c r="O222" t="n">
        <v>0</v>
      </c>
      <c r="P222" t="n">
        <v>0</v>
      </c>
      <c r="Q222" t="n">
        <v>0</v>
      </c>
      <c r="R222" s="2" t="inlineStr"/>
    </row>
    <row r="223" ht="15" customHeight="1">
      <c r="A223" t="inlineStr">
        <is>
          <t>A 49097-2022</t>
        </is>
      </c>
      <c r="B223" s="1" t="n">
        <v>44860</v>
      </c>
      <c r="C223" s="1" t="n">
        <v>45878</v>
      </c>
      <c r="D223" t="inlineStr">
        <is>
          <t>UPPSALA LÄN</t>
        </is>
      </c>
      <c r="E223" t="inlineStr">
        <is>
          <t>ÖSTHAMMAR</t>
        </is>
      </c>
      <c r="G223" t="n">
        <v>6.9</v>
      </c>
      <c r="H223" t="n">
        <v>0</v>
      </c>
      <c r="I223" t="n">
        <v>0</v>
      </c>
      <c r="J223" t="n">
        <v>0</v>
      </c>
      <c r="K223" t="n">
        <v>0</v>
      </c>
      <c r="L223" t="n">
        <v>0</v>
      </c>
      <c r="M223" t="n">
        <v>0</v>
      </c>
      <c r="N223" t="n">
        <v>0</v>
      </c>
      <c r="O223" t="n">
        <v>0</v>
      </c>
      <c r="P223" t="n">
        <v>0</v>
      </c>
      <c r="Q223" t="n">
        <v>0</v>
      </c>
      <c r="R223" s="2" t="inlineStr"/>
    </row>
    <row r="224" ht="15" customHeight="1">
      <c r="A224" t="inlineStr">
        <is>
          <t>A 49831-2023</t>
        </is>
      </c>
      <c r="B224" s="1" t="n">
        <v>45212.71241898148</v>
      </c>
      <c r="C224" s="1" t="n">
        <v>45878</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49899-2023</t>
        </is>
      </c>
      <c r="B225" s="1" t="n">
        <v>45213</v>
      </c>
      <c r="C225" s="1" t="n">
        <v>45878</v>
      </c>
      <c r="D225" t="inlineStr">
        <is>
          <t>UPPSALA LÄN</t>
        </is>
      </c>
      <c r="E225" t="inlineStr">
        <is>
          <t>ÖSTHAMMAR</t>
        </is>
      </c>
      <c r="G225" t="n">
        <v>6.2</v>
      </c>
      <c r="H225" t="n">
        <v>0</v>
      </c>
      <c r="I225" t="n">
        <v>0</v>
      </c>
      <c r="J225" t="n">
        <v>0</v>
      </c>
      <c r="K225" t="n">
        <v>0</v>
      </c>
      <c r="L225" t="n">
        <v>0</v>
      </c>
      <c r="M225" t="n">
        <v>0</v>
      </c>
      <c r="N225" t="n">
        <v>0</v>
      </c>
      <c r="O225" t="n">
        <v>0</v>
      </c>
      <c r="P225" t="n">
        <v>0</v>
      </c>
      <c r="Q225" t="n">
        <v>0</v>
      </c>
      <c r="R225" s="2" t="inlineStr"/>
    </row>
    <row r="226" ht="15" customHeight="1">
      <c r="A226" t="inlineStr">
        <is>
          <t>A 17939-2025</t>
        </is>
      </c>
      <c r="B226" s="1" t="n">
        <v>45760.55671296296</v>
      </c>
      <c r="C226" s="1" t="n">
        <v>45878</v>
      </c>
      <c r="D226" t="inlineStr">
        <is>
          <t>UPPSALA LÄN</t>
        </is>
      </c>
      <c r="E226" t="inlineStr">
        <is>
          <t>ÖSTHAMMAR</t>
        </is>
      </c>
      <c r="F226" t="inlineStr">
        <is>
          <t>Bergvik skog öst AB</t>
        </is>
      </c>
      <c r="G226" t="n">
        <v>5.4</v>
      </c>
      <c r="H226" t="n">
        <v>0</v>
      </c>
      <c r="I226" t="n">
        <v>0</v>
      </c>
      <c r="J226" t="n">
        <v>0</v>
      </c>
      <c r="K226" t="n">
        <v>0</v>
      </c>
      <c r="L226" t="n">
        <v>0</v>
      </c>
      <c r="M226" t="n">
        <v>0</v>
      </c>
      <c r="N226" t="n">
        <v>0</v>
      </c>
      <c r="O226" t="n">
        <v>0</v>
      </c>
      <c r="P226" t="n">
        <v>0</v>
      </c>
      <c r="Q226" t="n">
        <v>0</v>
      </c>
      <c r="R226" s="2" t="inlineStr"/>
    </row>
    <row r="227" ht="15" customHeight="1">
      <c r="A227" t="inlineStr">
        <is>
          <t>A 17940-2025</t>
        </is>
      </c>
      <c r="B227" s="1" t="n">
        <v>45760.55842592593</v>
      </c>
      <c r="C227" s="1" t="n">
        <v>45878</v>
      </c>
      <c r="D227" t="inlineStr">
        <is>
          <t>UPPSALA LÄN</t>
        </is>
      </c>
      <c r="E227" t="inlineStr">
        <is>
          <t>ÖSTHAMMAR</t>
        </is>
      </c>
      <c r="F227" t="inlineStr">
        <is>
          <t>Bergvik skog öst AB</t>
        </is>
      </c>
      <c r="G227" t="n">
        <v>5.6</v>
      </c>
      <c r="H227" t="n">
        <v>0</v>
      </c>
      <c r="I227" t="n">
        <v>0</v>
      </c>
      <c r="J227" t="n">
        <v>0</v>
      </c>
      <c r="K227" t="n">
        <v>0</v>
      </c>
      <c r="L227" t="n">
        <v>0</v>
      </c>
      <c r="M227" t="n">
        <v>0</v>
      </c>
      <c r="N227" t="n">
        <v>0</v>
      </c>
      <c r="O227" t="n">
        <v>0</v>
      </c>
      <c r="P227" t="n">
        <v>0</v>
      </c>
      <c r="Q227" t="n">
        <v>0</v>
      </c>
      <c r="R227" s="2" t="inlineStr"/>
    </row>
    <row r="228" ht="15" customHeight="1">
      <c r="A228" t="inlineStr">
        <is>
          <t>A 20326-2021</t>
        </is>
      </c>
      <c r="B228" s="1" t="n">
        <v>44308</v>
      </c>
      <c r="C228" s="1" t="n">
        <v>45878</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31669-2022</t>
        </is>
      </c>
      <c r="B229" s="1" t="n">
        <v>44775</v>
      </c>
      <c r="C229" s="1" t="n">
        <v>45878</v>
      </c>
      <c r="D229" t="inlineStr">
        <is>
          <t>UPPSALA LÄN</t>
        </is>
      </c>
      <c r="E229" t="inlineStr">
        <is>
          <t>ÖSTHAMMAR</t>
        </is>
      </c>
      <c r="G229" t="n">
        <v>6</v>
      </c>
      <c r="H229" t="n">
        <v>0</v>
      </c>
      <c r="I229" t="n">
        <v>0</v>
      </c>
      <c r="J229" t="n">
        <v>0</v>
      </c>
      <c r="K229" t="n">
        <v>0</v>
      </c>
      <c r="L229" t="n">
        <v>0</v>
      </c>
      <c r="M229" t="n">
        <v>0</v>
      </c>
      <c r="N229" t="n">
        <v>0</v>
      </c>
      <c r="O229" t="n">
        <v>0</v>
      </c>
      <c r="P229" t="n">
        <v>0</v>
      </c>
      <c r="Q229" t="n">
        <v>0</v>
      </c>
      <c r="R229" s="2" t="inlineStr"/>
    </row>
    <row r="230" ht="15" customHeight="1">
      <c r="A230" t="inlineStr">
        <is>
          <t>A 48856-2024</t>
        </is>
      </c>
      <c r="B230" s="1" t="n">
        <v>45593</v>
      </c>
      <c r="C230" s="1" t="n">
        <v>45878</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12903-2025</t>
        </is>
      </c>
      <c r="B231" s="1" t="n">
        <v>45733.80337962963</v>
      </c>
      <c r="C231" s="1" t="n">
        <v>45878</v>
      </c>
      <c r="D231" t="inlineStr">
        <is>
          <t>UPPSALA LÄN</t>
        </is>
      </c>
      <c r="E231" t="inlineStr">
        <is>
          <t>ÖSTHAMMAR</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17947-2022</t>
        </is>
      </c>
      <c r="B232" s="1" t="n">
        <v>44683</v>
      </c>
      <c r="C232" s="1" t="n">
        <v>45878</v>
      </c>
      <c r="D232" t="inlineStr">
        <is>
          <t>UPPSALA LÄN</t>
        </is>
      </c>
      <c r="E232" t="inlineStr">
        <is>
          <t>ÖSTHAMMAR</t>
        </is>
      </c>
      <c r="G232" t="n">
        <v>5.5</v>
      </c>
      <c r="H232" t="n">
        <v>0</v>
      </c>
      <c r="I232" t="n">
        <v>0</v>
      </c>
      <c r="J232" t="n">
        <v>0</v>
      </c>
      <c r="K232" t="n">
        <v>0</v>
      </c>
      <c r="L232" t="n">
        <v>0</v>
      </c>
      <c r="M232" t="n">
        <v>0</v>
      </c>
      <c r="N232" t="n">
        <v>0</v>
      </c>
      <c r="O232" t="n">
        <v>0</v>
      </c>
      <c r="P232" t="n">
        <v>0</v>
      </c>
      <c r="Q232" t="n">
        <v>0</v>
      </c>
      <c r="R232" s="2" t="inlineStr"/>
    </row>
    <row r="233" ht="15" customHeight="1">
      <c r="A233" t="inlineStr">
        <is>
          <t>A 21862-2023</t>
        </is>
      </c>
      <c r="B233" s="1" t="n">
        <v>45068</v>
      </c>
      <c r="C233" s="1" t="n">
        <v>45878</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28421-2023</t>
        </is>
      </c>
      <c r="B234" s="1" t="n">
        <v>45102</v>
      </c>
      <c r="C234" s="1" t="n">
        <v>45878</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5855-2022</t>
        </is>
      </c>
      <c r="B235" s="1" t="n">
        <v>44596.63290509259</v>
      </c>
      <c r="C235" s="1" t="n">
        <v>45878</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12654-2025</t>
        </is>
      </c>
      <c r="B236" s="1" t="n">
        <v>45733.41601851852</v>
      </c>
      <c r="C236" s="1" t="n">
        <v>45878</v>
      </c>
      <c r="D236" t="inlineStr">
        <is>
          <t>UPPSALA LÄN</t>
        </is>
      </c>
      <c r="E236" t="inlineStr">
        <is>
          <t>ÖSTHAMMAR</t>
        </is>
      </c>
      <c r="G236" t="n">
        <v>9.9</v>
      </c>
      <c r="H236" t="n">
        <v>0</v>
      </c>
      <c r="I236" t="n">
        <v>0</v>
      </c>
      <c r="J236" t="n">
        <v>0</v>
      </c>
      <c r="K236" t="n">
        <v>0</v>
      </c>
      <c r="L236" t="n">
        <v>0</v>
      </c>
      <c r="M236" t="n">
        <v>0</v>
      </c>
      <c r="N236" t="n">
        <v>0</v>
      </c>
      <c r="O236" t="n">
        <v>0</v>
      </c>
      <c r="P236" t="n">
        <v>0</v>
      </c>
      <c r="Q236" t="n">
        <v>0</v>
      </c>
      <c r="R236" s="2" t="inlineStr"/>
    </row>
    <row r="237" ht="15" customHeight="1">
      <c r="A237" t="inlineStr">
        <is>
          <t>A 17867-2024</t>
        </is>
      </c>
      <c r="B237" s="1" t="n">
        <v>45419.44106481481</v>
      </c>
      <c r="C237" s="1" t="n">
        <v>45878</v>
      </c>
      <c r="D237" t="inlineStr">
        <is>
          <t>UPPSALA LÄN</t>
        </is>
      </c>
      <c r="E237" t="inlineStr">
        <is>
          <t>ÖSTHAMMAR</t>
        </is>
      </c>
      <c r="G237" t="n">
        <v>7.2</v>
      </c>
      <c r="H237" t="n">
        <v>0</v>
      </c>
      <c r="I237" t="n">
        <v>0</v>
      </c>
      <c r="J237" t="n">
        <v>0</v>
      </c>
      <c r="K237" t="n">
        <v>0</v>
      </c>
      <c r="L237" t="n">
        <v>0</v>
      </c>
      <c r="M237" t="n">
        <v>0</v>
      </c>
      <c r="N237" t="n">
        <v>0</v>
      </c>
      <c r="O237" t="n">
        <v>0</v>
      </c>
      <c r="P237" t="n">
        <v>0</v>
      </c>
      <c r="Q237" t="n">
        <v>0</v>
      </c>
      <c r="R237" s="2" t="inlineStr"/>
    </row>
    <row r="238" ht="15" customHeight="1">
      <c r="A238" t="inlineStr">
        <is>
          <t>A 27308-2023</t>
        </is>
      </c>
      <c r="B238" s="1" t="n">
        <v>45096.65381944444</v>
      </c>
      <c r="C238" s="1" t="n">
        <v>45878</v>
      </c>
      <c r="D238" t="inlineStr">
        <is>
          <t>UPPSALA LÄN</t>
        </is>
      </c>
      <c r="E238" t="inlineStr">
        <is>
          <t>ÖSTHAMMAR</t>
        </is>
      </c>
      <c r="F238" t="inlineStr">
        <is>
          <t>Bergvik skog öst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54366-2023</t>
        </is>
      </c>
      <c r="B239" s="1" t="n">
        <v>45233</v>
      </c>
      <c r="C239" s="1" t="n">
        <v>45878</v>
      </c>
      <c r="D239" t="inlineStr">
        <is>
          <t>UPPSALA LÄN</t>
        </is>
      </c>
      <c r="E239" t="inlineStr">
        <is>
          <t>ÖSTHAMMAR</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28420-2023</t>
        </is>
      </c>
      <c r="B240" s="1" t="n">
        <v>45102.33054398148</v>
      </c>
      <c r="C240" s="1" t="n">
        <v>45878</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17643-2025</t>
        </is>
      </c>
      <c r="B241" s="1" t="n">
        <v>45758.32454861111</v>
      </c>
      <c r="C241" s="1" t="n">
        <v>45878</v>
      </c>
      <c r="D241" t="inlineStr">
        <is>
          <t>UPPSALA LÄN</t>
        </is>
      </c>
      <c r="E241" t="inlineStr">
        <is>
          <t>ÖSTHAMMAR</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13248-2025</t>
        </is>
      </c>
      <c r="B242" s="1" t="n">
        <v>45735</v>
      </c>
      <c r="C242" s="1" t="n">
        <v>45878</v>
      </c>
      <c r="D242" t="inlineStr">
        <is>
          <t>UPPSALA LÄN</t>
        </is>
      </c>
      <c r="E242" t="inlineStr">
        <is>
          <t>ÖSTHAMMAR</t>
        </is>
      </c>
      <c r="F242" t="inlineStr">
        <is>
          <t>Kyrkan</t>
        </is>
      </c>
      <c r="G242" t="n">
        <v>12.2</v>
      </c>
      <c r="H242" t="n">
        <v>0</v>
      </c>
      <c r="I242" t="n">
        <v>0</v>
      </c>
      <c r="J242" t="n">
        <v>0</v>
      </c>
      <c r="K242" t="n">
        <v>0</v>
      </c>
      <c r="L242" t="n">
        <v>0</v>
      </c>
      <c r="M242" t="n">
        <v>0</v>
      </c>
      <c r="N242" t="n">
        <v>0</v>
      </c>
      <c r="O242" t="n">
        <v>0</v>
      </c>
      <c r="P242" t="n">
        <v>0</v>
      </c>
      <c r="Q242" t="n">
        <v>0</v>
      </c>
      <c r="R242" s="2" t="inlineStr"/>
    </row>
    <row r="243" ht="15" customHeight="1">
      <c r="A243" t="inlineStr">
        <is>
          <t>A 51364-2021</t>
        </is>
      </c>
      <c r="B243" s="1" t="n">
        <v>44461</v>
      </c>
      <c r="C243" s="1" t="n">
        <v>45878</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12756-2024</t>
        </is>
      </c>
      <c r="B244" s="1" t="n">
        <v>45384</v>
      </c>
      <c r="C244" s="1" t="n">
        <v>45878</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40547-2023</t>
        </is>
      </c>
      <c r="B245" s="1" t="n">
        <v>45170.45050925926</v>
      </c>
      <c r="C245" s="1" t="n">
        <v>45878</v>
      </c>
      <c r="D245" t="inlineStr">
        <is>
          <t>UPPSALA LÄN</t>
        </is>
      </c>
      <c r="E245" t="inlineStr">
        <is>
          <t>ÖSTHAMMAR</t>
        </is>
      </c>
      <c r="G245" t="n">
        <v>2.1</v>
      </c>
      <c r="H245" t="n">
        <v>0</v>
      </c>
      <c r="I245" t="n">
        <v>0</v>
      </c>
      <c r="J245" t="n">
        <v>0</v>
      </c>
      <c r="K245" t="n">
        <v>0</v>
      </c>
      <c r="L245" t="n">
        <v>0</v>
      </c>
      <c r="M245" t="n">
        <v>0</v>
      </c>
      <c r="N245" t="n">
        <v>0</v>
      </c>
      <c r="O245" t="n">
        <v>0</v>
      </c>
      <c r="P245" t="n">
        <v>0</v>
      </c>
      <c r="Q245" t="n">
        <v>0</v>
      </c>
      <c r="R245" s="2" t="inlineStr"/>
    </row>
    <row r="246" ht="15" customHeight="1">
      <c r="A246" t="inlineStr">
        <is>
          <t>A 10449-2023</t>
        </is>
      </c>
      <c r="B246" s="1" t="n">
        <v>44987</v>
      </c>
      <c r="C246" s="1" t="n">
        <v>45878</v>
      </c>
      <c r="D246" t="inlineStr">
        <is>
          <t>UPPSALA LÄN</t>
        </is>
      </c>
      <c r="E246" t="inlineStr">
        <is>
          <t>ÖSTHAMMAR</t>
        </is>
      </c>
      <c r="G246" t="n">
        <v>3.1</v>
      </c>
      <c r="H246" t="n">
        <v>0</v>
      </c>
      <c r="I246" t="n">
        <v>0</v>
      </c>
      <c r="J246" t="n">
        <v>0</v>
      </c>
      <c r="K246" t="n">
        <v>0</v>
      </c>
      <c r="L246" t="n">
        <v>0</v>
      </c>
      <c r="M246" t="n">
        <v>0</v>
      </c>
      <c r="N246" t="n">
        <v>0</v>
      </c>
      <c r="O246" t="n">
        <v>0</v>
      </c>
      <c r="P246" t="n">
        <v>0</v>
      </c>
      <c r="Q246" t="n">
        <v>0</v>
      </c>
      <c r="R246" s="2" t="inlineStr"/>
    </row>
    <row r="247" ht="15" customHeight="1">
      <c r="A247" t="inlineStr">
        <is>
          <t>A 31035-2022</t>
        </is>
      </c>
      <c r="B247" s="1" t="n">
        <v>44768.88685185185</v>
      </c>
      <c r="C247" s="1" t="n">
        <v>45878</v>
      </c>
      <c r="D247" t="inlineStr">
        <is>
          <t>UPPSALA LÄN</t>
        </is>
      </c>
      <c r="E247" t="inlineStr">
        <is>
          <t>ÖSTHAMMAR</t>
        </is>
      </c>
      <c r="F247" t="inlineStr">
        <is>
          <t>Bergvik skog öst AB</t>
        </is>
      </c>
      <c r="G247" t="n">
        <v>1.5</v>
      </c>
      <c r="H247" t="n">
        <v>0</v>
      </c>
      <c r="I247" t="n">
        <v>0</v>
      </c>
      <c r="J247" t="n">
        <v>0</v>
      </c>
      <c r="K247" t="n">
        <v>0</v>
      </c>
      <c r="L247" t="n">
        <v>0</v>
      </c>
      <c r="M247" t="n">
        <v>0</v>
      </c>
      <c r="N247" t="n">
        <v>0</v>
      </c>
      <c r="O247" t="n">
        <v>0</v>
      </c>
      <c r="P247" t="n">
        <v>0</v>
      </c>
      <c r="Q247" t="n">
        <v>0</v>
      </c>
      <c r="R247" s="2" t="inlineStr"/>
    </row>
    <row r="248" ht="15" customHeight="1">
      <c r="A248" t="inlineStr">
        <is>
          <t>A 61062-2023</t>
        </is>
      </c>
      <c r="B248" s="1" t="n">
        <v>45259</v>
      </c>
      <c r="C248" s="1" t="n">
        <v>45878</v>
      </c>
      <c r="D248" t="inlineStr">
        <is>
          <t>UPPSALA LÄN</t>
        </is>
      </c>
      <c r="E248" t="inlineStr">
        <is>
          <t>ÖSTHAMMAR</t>
        </is>
      </c>
      <c r="G248" t="n">
        <v>5.3</v>
      </c>
      <c r="H248" t="n">
        <v>0</v>
      </c>
      <c r="I248" t="n">
        <v>0</v>
      </c>
      <c r="J248" t="n">
        <v>0</v>
      </c>
      <c r="K248" t="n">
        <v>0</v>
      </c>
      <c r="L248" t="n">
        <v>0</v>
      </c>
      <c r="M248" t="n">
        <v>0</v>
      </c>
      <c r="N248" t="n">
        <v>0</v>
      </c>
      <c r="O248" t="n">
        <v>0</v>
      </c>
      <c r="P248" t="n">
        <v>0</v>
      </c>
      <c r="Q248" t="n">
        <v>0</v>
      </c>
      <c r="R248" s="2" t="inlineStr"/>
    </row>
    <row r="249" ht="15" customHeight="1">
      <c r="A249" t="inlineStr">
        <is>
          <t>A 17925-2025</t>
        </is>
      </c>
      <c r="B249" s="1" t="n">
        <v>45759.36135416666</v>
      </c>
      <c r="C249" s="1" t="n">
        <v>45878</v>
      </c>
      <c r="D249" t="inlineStr">
        <is>
          <t>UPPSALA LÄN</t>
        </is>
      </c>
      <c r="E249" t="inlineStr">
        <is>
          <t>ÖSTHAMMAR</t>
        </is>
      </c>
      <c r="F249" t="inlineStr">
        <is>
          <t>Bergvik skog öst AB</t>
        </is>
      </c>
      <c r="G249" t="n">
        <v>4.2</v>
      </c>
      <c r="H249" t="n">
        <v>0</v>
      </c>
      <c r="I249" t="n">
        <v>0</v>
      </c>
      <c r="J249" t="n">
        <v>0</v>
      </c>
      <c r="K249" t="n">
        <v>0</v>
      </c>
      <c r="L249" t="n">
        <v>0</v>
      </c>
      <c r="M249" t="n">
        <v>0</v>
      </c>
      <c r="N249" t="n">
        <v>0</v>
      </c>
      <c r="O249" t="n">
        <v>0</v>
      </c>
      <c r="P249" t="n">
        <v>0</v>
      </c>
      <c r="Q249" t="n">
        <v>0</v>
      </c>
      <c r="R249" s="2" t="inlineStr"/>
    </row>
    <row r="250" ht="15" customHeight="1">
      <c r="A250" t="inlineStr">
        <is>
          <t>A 61443-2024</t>
        </is>
      </c>
      <c r="B250" s="1" t="n">
        <v>45646.47936342593</v>
      </c>
      <c r="C250" s="1" t="n">
        <v>45878</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43197-2024</t>
        </is>
      </c>
      <c r="B251" s="1" t="n">
        <v>45567.68208333333</v>
      </c>
      <c r="C251" s="1" t="n">
        <v>45878</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26612-2023</t>
        </is>
      </c>
      <c r="B252" s="1" t="n">
        <v>45089</v>
      </c>
      <c r="C252" s="1" t="n">
        <v>45878</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57-2023</t>
        </is>
      </c>
      <c r="B253" s="1" t="n">
        <v>44928.40917824074</v>
      </c>
      <c r="C253" s="1" t="n">
        <v>45878</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59-2023</t>
        </is>
      </c>
      <c r="B254" s="1" t="n">
        <v>44928.41822916667</v>
      </c>
      <c r="C254" s="1" t="n">
        <v>45878</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65361-2020</t>
        </is>
      </c>
      <c r="B255" s="1" t="n">
        <v>44173</v>
      </c>
      <c r="C255" s="1" t="n">
        <v>45878</v>
      </c>
      <c r="D255" t="inlineStr">
        <is>
          <t>UPPSALA LÄN</t>
        </is>
      </c>
      <c r="E255" t="inlineStr">
        <is>
          <t>ÖSTHAMMAR</t>
        </is>
      </c>
      <c r="G255" t="n">
        <v>3.6</v>
      </c>
      <c r="H255" t="n">
        <v>0</v>
      </c>
      <c r="I255" t="n">
        <v>0</v>
      </c>
      <c r="J255" t="n">
        <v>0</v>
      </c>
      <c r="K255" t="n">
        <v>0</v>
      </c>
      <c r="L255" t="n">
        <v>0</v>
      </c>
      <c r="M255" t="n">
        <v>0</v>
      </c>
      <c r="N255" t="n">
        <v>0</v>
      </c>
      <c r="O255" t="n">
        <v>0</v>
      </c>
      <c r="P255" t="n">
        <v>0</v>
      </c>
      <c r="Q255" t="n">
        <v>0</v>
      </c>
      <c r="R255" s="2" t="inlineStr"/>
    </row>
    <row r="256" ht="15" customHeight="1">
      <c r="A256" t="inlineStr">
        <is>
          <t>A 14269-2025</t>
        </is>
      </c>
      <c r="B256" s="1" t="n">
        <v>45740.64078703704</v>
      </c>
      <c r="C256" s="1" t="n">
        <v>45878</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18088-2025</t>
        </is>
      </c>
      <c r="B257" s="1" t="n">
        <v>45761.53104166667</v>
      </c>
      <c r="C257" s="1" t="n">
        <v>45878</v>
      </c>
      <c r="D257" t="inlineStr">
        <is>
          <t>UPPSALA LÄN</t>
        </is>
      </c>
      <c r="E257" t="inlineStr">
        <is>
          <t>ÖSTHAMMAR</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18095-2025</t>
        </is>
      </c>
      <c r="B258" s="1" t="n">
        <v>45761.54925925926</v>
      </c>
      <c r="C258" s="1" t="n">
        <v>45878</v>
      </c>
      <c r="D258" t="inlineStr">
        <is>
          <t>UPPSALA LÄN</t>
        </is>
      </c>
      <c r="E258" t="inlineStr">
        <is>
          <t>ÖSTHAMMAR</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17324-2025</t>
        </is>
      </c>
      <c r="B259" s="1" t="n">
        <v>45756.6362037037</v>
      </c>
      <c r="C259" s="1" t="n">
        <v>45878</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19947-2024</t>
        </is>
      </c>
      <c r="B260" s="1" t="n">
        <v>45433</v>
      </c>
      <c r="C260" s="1" t="n">
        <v>45878</v>
      </c>
      <c r="D260" t="inlineStr">
        <is>
          <t>UPPSALA LÄN</t>
        </is>
      </c>
      <c r="E260" t="inlineStr">
        <is>
          <t>ÖSTHAMMAR</t>
        </is>
      </c>
      <c r="G260" t="n">
        <v>0.3</v>
      </c>
      <c r="H260" t="n">
        <v>0</v>
      </c>
      <c r="I260" t="n">
        <v>0</v>
      </c>
      <c r="J260" t="n">
        <v>0</v>
      </c>
      <c r="K260" t="n">
        <v>0</v>
      </c>
      <c r="L260" t="n">
        <v>0</v>
      </c>
      <c r="M260" t="n">
        <v>0</v>
      </c>
      <c r="N260" t="n">
        <v>0</v>
      </c>
      <c r="O260" t="n">
        <v>0</v>
      </c>
      <c r="P260" t="n">
        <v>0</v>
      </c>
      <c r="Q260" t="n">
        <v>0</v>
      </c>
      <c r="R260" s="2" t="inlineStr"/>
    </row>
    <row r="261" ht="15" customHeight="1">
      <c r="A261" t="inlineStr">
        <is>
          <t>A 11385-2024</t>
        </is>
      </c>
      <c r="B261" s="1" t="n">
        <v>45372</v>
      </c>
      <c r="C261" s="1" t="n">
        <v>45878</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14433-2024</t>
        </is>
      </c>
      <c r="B262" s="1" t="n">
        <v>45394.46115740741</v>
      </c>
      <c r="C262" s="1" t="n">
        <v>45878</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16531-2025</t>
        </is>
      </c>
      <c r="B263" s="1" t="n">
        <v>45751</v>
      </c>
      <c r="C263" s="1" t="n">
        <v>45878</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22798-2023</t>
        </is>
      </c>
      <c r="B264" s="1" t="n">
        <v>45072</v>
      </c>
      <c r="C264" s="1" t="n">
        <v>45878</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10982-2023</t>
        </is>
      </c>
      <c r="B265" s="1" t="n">
        <v>44991.62203703704</v>
      </c>
      <c r="C265" s="1" t="n">
        <v>45878</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25897-2023</t>
        </is>
      </c>
      <c r="B266" s="1" t="n">
        <v>45090.63300925926</v>
      </c>
      <c r="C266" s="1" t="n">
        <v>45878</v>
      </c>
      <c r="D266" t="inlineStr">
        <is>
          <t>UPPSALA LÄN</t>
        </is>
      </c>
      <c r="E266" t="inlineStr">
        <is>
          <t>ÖSTHAMMAR</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25252-2024</t>
        </is>
      </c>
      <c r="B267" s="1" t="n">
        <v>45462</v>
      </c>
      <c r="C267" s="1" t="n">
        <v>45878</v>
      </c>
      <c r="D267" t="inlineStr">
        <is>
          <t>UPPSALA LÄN</t>
        </is>
      </c>
      <c r="E267" t="inlineStr">
        <is>
          <t>ÖSTHAMMAR</t>
        </is>
      </c>
      <c r="G267" t="n">
        <v>4.3</v>
      </c>
      <c r="H267" t="n">
        <v>0</v>
      </c>
      <c r="I267" t="n">
        <v>0</v>
      </c>
      <c r="J267" t="n">
        <v>0</v>
      </c>
      <c r="K267" t="n">
        <v>0</v>
      </c>
      <c r="L267" t="n">
        <v>0</v>
      </c>
      <c r="M267" t="n">
        <v>0</v>
      </c>
      <c r="N267" t="n">
        <v>0</v>
      </c>
      <c r="O267" t="n">
        <v>0</v>
      </c>
      <c r="P267" t="n">
        <v>0</v>
      </c>
      <c r="Q267" t="n">
        <v>0</v>
      </c>
      <c r="R267" s="2" t="inlineStr"/>
    </row>
    <row r="268" ht="15" customHeight="1">
      <c r="A268" t="inlineStr">
        <is>
          <t>A 50927-2024</t>
        </is>
      </c>
      <c r="B268" s="1" t="n">
        <v>45602</v>
      </c>
      <c r="C268" s="1" t="n">
        <v>45878</v>
      </c>
      <c r="D268" t="inlineStr">
        <is>
          <t>UPPSALA LÄN</t>
        </is>
      </c>
      <c r="E268" t="inlineStr">
        <is>
          <t>ÖSTHAMMAR</t>
        </is>
      </c>
      <c r="F268" t="inlineStr">
        <is>
          <t>Bergvik skog öst AB</t>
        </is>
      </c>
      <c r="G268" t="n">
        <v>45.4</v>
      </c>
      <c r="H268" t="n">
        <v>0</v>
      </c>
      <c r="I268" t="n">
        <v>0</v>
      </c>
      <c r="J268" t="n">
        <v>0</v>
      </c>
      <c r="K268" t="n">
        <v>0</v>
      </c>
      <c r="L268" t="n">
        <v>0</v>
      </c>
      <c r="M268" t="n">
        <v>0</v>
      </c>
      <c r="N268" t="n">
        <v>0</v>
      </c>
      <c r="O268" t="n">
        <v>0</v>
      </c>
      <c r="P268" t="n">
        <v>0</v>
      </c>
      <c r="Q268" t="n">
        <v>0</v>
      </c>
      <c r="R268" s="2" t="inlineStr"/>
    </row>
    <row r="269" ht="15" customHeight="1">
      <c r="A269" t="inlineStr">
        <is>
          <t>A 40637-2022</t>
        </is>
      </c>
      <c r="B269" s="1" t="n">
        <v>44824</v>
      </c>
      <c r="C269" s="1" t="n">
        <v>45878</v>
      </c>
      <c r="D269" t="inlineStr">
        <is>
          <t>UPPSALA LÄN</t>
        </is>
      </c>
      <c r="E269" t="inlineStr">
        <is>
          <t>ÖSTHAMMAR</t>
        </is>
      </c>
      <c r="F269" t="inlineStr">
        <is>
          <t>Övriga Aktiebolag</t>
        </is>
      </c>
      <c r="G269" t="n">
        <v>3.7</v>
      </c>
      <c r="H269" t="n">
        <v>0</v>
      </c>
      <c r="I269" t="n">
        <v>0</v>
      </c>
      <c r="J269" t="n">
        <v>0</v>
      </c>
      <c r="K269" t="n">
        <v>0</v>
      </c>
      <c r="L269" t="n">
        <v>0</v>
      </c>
      <c r="M269" t="n">
        <v>0</v>
      </c>
      <c r="N269" t="n">
        <v>0</v>
      </c>
      <c r="O269" t="n">
        <v>0</v>
      </c>
      <c r="P269" t="n">
        <v>0</v>
      </c>
      <c r="Q269" t="n">
        <v>0</v>
      </c>
      <c r="R269" s="2" t="inlineStr"/>
    </row>
    <row r="270" ht="15" customHeight="1">
      <c r="A270" t="inlineStr">
        <is>
          <t>A 6046-2025</t>
        </is>
      </c>
      <c r="B270" s="1" t="n">
        <v>45695</v>
      </c>
      <c r="C270" s="1" t="n">
        <v>45878</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c r="U270">
        <f>HYPERLINK("https://klasma.github.io/Logging_0382/knärot/A 6046-2025 karta knärot.png", "A 6046-2025")</f>
        <v/>
      </c>
      <c r="V270">
        <f>HYPERLINK("https://klasma.github.io/Logging_0382/klagomål/A 6046-2025 FSC-klagomål.docx", "A 6046-2025")</f>
        <v/>
      </c>
      <c r="W270">
        <f>HYPERLINK("https://klasma.github.io/Logging_0382/klagomålsmail/A 6046-2025 FSC-klagomål mail.docx", "A 6046-2025")</f>
        <v/>
      </c>
      <c r="X270">
        <f>HYPERLINK("https://klasma.github.io/Logging_0382/tillsyn/A 6046-2025 tillsynsbegäran.docx", "A 6046-2025")</f>
        <v/>
      </c>
      <c r="Y270">
        <f>HYPERLINK("https://klasma.github.io/Logging_0382/tillsynsmail/A 6046-2025 tillsynsbegäran mail.docx", "A 6046-2025")</f>
        <v/>
      </c>
    </row>
    <row r="271" ht="15" customHeight="1">
      <c r="A271" t="inlineStr">
        <is>
          <t>A 21624-2023</t>
        </is>
      </c>
      <c r="B271" s="1" t="n">
        <v>45063.65543981481</v>
      </c>
      <c r="C271" s="1" t="n">
        <v>45878</v>
      </c>
      <c r="D271" t="inlineStr">
        <is>
          <t>UPPSALA LÄN</t>
        </is>
      </c>
      <c r="E271" t="inlineStr">
        <is>
          <t>ÖSTHAMMAR</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20046-2023</t>
        </is>
      </c>
      <c r="B272" s="1" t="n">
        <v>45054</v>
      </c>
      <c r="C272" s="1" t="n">
        <v>45878</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56382-2022</t>
        </is>
      </c>
      <c r="B273" s="1" t="n">
        <v>44890.75795138889</v>
      </c>
      <c r="C273" s="1" t="n">
        <v>45878</v>
      </c>
      <c r="D273" t="inlineStr">
        <is>
          <t>UPPSALA LÄN</t>
        </is>
      </c>
      <c r="E273" t="inlineStr">
        <is>
          <t>ÖSTHAMMAR</t>
        </is>
      </c>
      <c r="F273" t="inlineStr">
        <is>
          <t>Allmännings- och besparingsskogar</t>
        </is>
      </c>
      <c r="G273" t="n">
        <v>1.1</v>
      </c>
      <c r="H273" t="n">
        <v>0</v>
      </c>
      <c r="I273" t="n">
        <v>0</v>
      </c>
      <c r="J273" t="n">
        <v>0</v>
      </c>
      <c r="K273" t="n">
        <v>0</v>
      </c>
      <c r="L273" t="n">
        <v>0</v>
      </c>
      <c r="M273" t="n">
        <v>0</v>
      </c>
      <c r="N273" t="n">
        <v>0</v>
      </c>
      <c r="O273" t="n">
        <v>0</v>
      </c>
      <c r="P273" t="n">
        <v>0</v>
      </c>
      <c r="Q273" t="n">
        <v>0</v>
      </c>
      <c r="R273" s="2" t="inlineStr"/>
    </row>
    <row r="274" ht="15" customHeight="1">
      <c r="A274" t="inlineStr">
        <is>
          <t>A 41478-2024</t>
        </is>
      </c>
      <c r="B274" s="1" t="n">
        <v>45560.44158564815</v>
      </c>
      <c r="C274" s="1" t="n">
        <v>45878</v>
      </c>
      <c r="D274" t="inlineStr">
        <is>
          <t>UPPSALA LÄN</t>
        </is>
      </c>
      <c r="E274" t="inlineStr">
        <is>
          <t>ÖSTHAMMAR</t>
        </is>
      </c>
      <c r="G274" t="n">
        <v>1</v>
      </c>
      <c r="H274" t="n">
        <v>0</v>
      </c>
      <c r="I274" t="n">
        <v>0</v>
      </c>
      <c r="J274" t="n">
        <v>0</v>
      </c>
      <c r="K274" t="n">
        <v>0</v>
      </c>
      <c r="L274" t="n">
        <v>0</v>
      </c>
      <c r="M274" t="n">
        <v>0</v>
      </c>
      <c r="N274" t="n">
        <v>0</v>
      </c>
      <c r="O274" t="n">
        <v>0</v>
      </c>
      <c r="P274" t="n">
        <v>0</v>
      </c>
      <c r="Q274" t="n">
        <v>0</v>
      </c>
      <c r="R274" s="2" t="inlineStr"/>
    </row>
    <row r="275" ht="15" customHeight="1">
      <c r="A275" t="inlineStr">
        <is>
          <t>A 6120-2024</t>
        </is>
      </c>
      <c r="B275" s="1" t="n">
        <v>45337.41784722222</v>
      </c>
      <c r="C275" s="1" t="n">
        <v>45878</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21478-2023</t>
        </is>
      </c>
      <c r="B276" s="1" t="n">
        <v>45063.47773148148</v>
      </c>
      <c r="C276" s="1" t="n">
        <v>45878</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5877-2023</t>
        </is>
      </c>
      <c r="B277" s="1" t="n">
        <v>44963.62001157407</v>
      </c>
      <c r="C277" s="1" t="n">
        <v>45878</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25938-2024</t>
        </is>
      </c>
      <c r="B278" s="1" t="n">
        <v>45467.63127314814</v>
      </c>
      <c r="C278" s="1" t="n">
        <v>45878</v>
      </c>
      <c r="D278" t="inlineStr">
        <is>
          <t>UPPSALA LÄN</t>
        </is>
      </c>
      <c r="E278" t="inlineStr">
        <is>
          <t>ÖSTHAMMAR</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3638-2022</t>
        </is>
      </c>
      <c r="B279" s="1" t="n">
        <v>44578</v>
      </c>
      <c r="C279" s="1" t="n">
        <v>45878</v>
      </c>
      <c r="D279" t="inlineStr">
        <is>
          <t>UPPSALA LÄN</t>
        </is>
      </c>
      <c r="E279" t="inlineStr">
        <is>
          <t>ÖSTHAMMAR</t>
        </is>
      </c>
      <c r="G279" t="n">
        <v>1.7</v>
      </c>
      <c r="H279" t="n">
        <v>0</v>
      </c>
      <c r="I279" t="n">
        <v>0</v>
      </c>
      <c r="J279" t="n">
        <v>0</v>
      </c>
      <c r="K279" t="n">
        <v>0</v>
      </c>
      <c r="L279" t="n">
        <v>0</v>
      </c>
      <c r="M279" t="n">
        <v>0</v>
      </c>
      <c r="N279" t="n">
        <v>0</v>
      </c>
      <c r="O279" t="n">
        <v>0</v>
      </c>
      <c r="P279" t="n">
        <v>0</v>
      </c>
      <c r="Q279" t="n">
        <v>0</v>
      </c>
      <c r="R279" s="2" t="inlineStr"/>
    </row>
    <row r="280" ht="15" customHeight="1">
      <c r="A280" t="inlineStr">
        <is>
          <t>A 33552-2024</t>
        </is>
      </c>
      <c r="B280" s="1" t="n">
        <v>45519</v>
      </c>
      <c r="C280" s="1" t="n">
        <v>45878</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33553-2024</t>
        </is>
      </c>
      <c r="B281" s="1" t="n">
        <v>45519</v>
      </c>
      <c r="C281" s="1" t="n">
        <v>45878</v>
      </c>
      <c r="D281" t="inlineStr">
        <is>
          <t>UPPSALA LÄN</t>
        </is>
      </c>
      <c r="E281" t="inlineStr">
        <is>
          <t>ÖSTHAMMAR</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58270-2023</t>
        </is>
      </c>
      <c r="B282" s="1" t="n">
        <v>45250.49961805555</v>
      </c>
      <c r="C282" s="1" t="n">
        <v>45878</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5429-2023</t>
        </is>
      </c>
      <c r="B283" s="1" t="n">
        <v>44959.83037037037</v>
      </c>
      <c r="C283" s="1" t="n">
        <v>45878</v>
      </c>
      <c r="D283" t="inlineStr">
        <is>
          <t>UPPSALA LÄN</t>
        </is>
      </c>
      <c r="E283" t="inlineStr">
        <is>
          <t>ÖSTHAMMAR</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59731-2023</t>
        </is>
      </c>
      <c r="B284" s="1" t="n">
        <v>45257</v>
      </c>
      <c r="C284" s="1" t="n">
        <v>45878</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22804-2022</t>
        </is>
      </c>
      <c r="B285" s="1" t="n">
        <v>44715</v>
      </c>
      <c r="C285" s="1" t="n">
        <v>45878</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57003-2021</t>
        </is>
      </c>
      <c r="B286" s="1" t="n">
        <v>44482.47577546296</v>
      </c>
      <c r="C286" s="1" t="n">
        <v>45878</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73483-2021</t>
        </is>
      </c>
      <c r="B287" s="1" t="n">
        <v>44550</v>
      </c>
      <c r="C287" s="1" t="n">
        <v>45878</v>
      </c>
      <c r="D287" t="inlineStr">
        <is>
          <t>UPPSALA LÄN</t>
        </is>
      </c>
      <c r="E287" t="inlineStr">
        <is>
          <t>ÖSTHAMMAR</t>
        </is>
      </c>
      <c r="G287" t="n">
        <v>2.8</v>
      </c>
      <c r="H287" t="n">
        <v>0</v>
      </c>
      <c r="I287" t="n">
        <v>0</v>
      </c>
      <c r="J287" t="n">
        <v>0</v>
      </c>
      <c r="K287" t="n">
        <v>0</v>
      </c>
      <c r="L287" t="n">
        <v>0</v>
      </c>
      <c r="M287" t="n">
        <v>0</v>
      </c>
      <c r="N287" t="n">
        <v>0</v>
      </c>
      <c r="O287" t="n">
        <v>0</v>
      </c>
      <c r="P287" t="n">
        <v>0</v>
      </c>
      <c r="Q287" t="n">
        <v>0</v>
      </c>
      <c r="R287" s="2" t="inlineStr"/>
    </row>
    <row r="288" ht="15" customHeight="1">
      <c r="A288" t="inlineStr">
        <is>
          <t>A 17325-2025</t>
        </is>
      </c>
      <c r="B288" s="1" t="n">
        <v>45756.63793981481</v>
      </c>
      <c r="C288" s="1" t="n">
        <v>45878</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34607-2023</t>
        </is>
      </c>
      <c r="B289" s="1" t="n">
        <v>45138</v>
      </c>
      <c r="C289" s="1" t="n">
        <v>45878</v>
      </c>
      <c r="D289" t="inlineStr">
        <is>
          <t>UPPSALA LÄN</t>
        </is>
      </c>
      <c r="E289" t="inlineStr">
        <is>
          <t>ÖSTHAMMAR</t>
        </is>
      </c>
      <c r="G289" t="n">
        <v>4.7</v>
      </c>
      <c r="H289" t="n">
        <v>0</v>
      </c>
      <c r="I289" t="n">
        <v>0</v>
      </c>
      <c r="J289" t="n">
        <v>0</v>
      </c>
      <c r="K289" t="n">
        <v>0</v>
      </c>
      <c r="L289" t="n">
        <v>0</v>
      </c>
      <c r="M289" t="n">
        <v>0</v>
      </c>
      <c r="N289" t="n">
        <v>0</v>
      </c>
      <c r="O289" t="n">
        <v>0</v>
      </c>
      <c r="P289" t="n">
        <v>0</v>
      </c>
      <c r="Q289" t="n">
        <v>0</v>
      </c>
      <c r="R289" s="2" t="inlineStr"/>
    </row>
    <row r="290" ht="15" customHeight="1">
      <c r="A290" t="inlineStr">
        <is>
          <t>A 54666-2022</t>
        </is>
      </c>
      <c r="B290" s="1" t="n">
        <v>44883</v>
      </c>
      <c r="C290" s="1" t="n">
        <v>45878</v>
      </c>
      <c r="D290" t="inlineStr">
        <is>
          <t>UPPSALA LÄN</t>
        </is>
      </c>
      <c r="E290" t="inlineStr">
        <is>
          <t>ÖSTHAMMAR</t>
        </is>
      </c>
      <c r="G290" t="n">
        <v>14.3</v>
      </c>
      <c r="H290" t="n">
        <v>0</v>
      </c>
      <c r="I290" t="n">
        <v>0</v>
      </c>
      <c r="J290" t="n">
        <v>0</v>
      </c>
      <c r="K290" t="n">
        <v>0</v>
      </c>
      <c r="L290" t="n">
        <v>0</v>
      </c>
      <c r="M290" t="n">
        <v>0</v>
      </c>
      <c r="N290" t="n">
        <v>0</v>
      </c>
      <c r="O290" t="n">
        <v>0</v>
      </c>
      <c r="P290" t="n">
        <v>0</v>
      </c>
      <c r="Q290" t="n">
        <v>0</v>
      </c>
      <c r="R290" s="2" t="inlineStr"/>
    </row>
    <row r="291" ht="15" customHeight="1">
      <c r="A291" t="inlineStr">
        <is>
          <t>A 24033-2023</t>
        </is>
      </c>
      <c r="B291" s="1" t="n">
        <v>45078</v>
      </c>
      <c r="C291" s="1" t="n">
        <v>45878</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52659-2021</t>
        </is>
      </c>
      <c r="B292" s="1" t="n">
        <v>44466</v>
      </c>
      <c r="C292" s="1" t="n">
        <v>45878</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57408-2020</t>
        </is>
      </c>
      <c r="B293" s="1" t="n">
        <v>44140</v>
      </c>
      <c r="C293" s="1" t="n">
        <v>45878</v>
      </c>
      <c r="D293" t="inlineStr">
        <is>
          <t>UPPSALA LÄN</t>
        </is>
      </c>
      <c r="E293" t="inlineStr">
        <is>
          <t>ÖSTHAMMAR</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12262-2023</t>
        </is>
      </c>
      <c r="B294" s="1" t="n">
        <v>44998.66662037037</v>
      </c>
      <c r="C294" s="1" t="n">
        <v>45878</v>
      </c>
      <c r="D294" t="inlineStr">
        <is>
          <t>UPPSALA LÄN</t>
        </is>
      </c>
      <c r="E294" t="inlineStr">
        <is>
          <t>ÖSTHAMMAR</t>
        </is>
      </c>
      <c r="G294" t="n">
        <v>4.1</v>
      </c>
      <c r="H294" t="n">
        <v>0</v>
      </c>
      <c r="I294" t="n">
        <v>0</v>
      </c>
      <c r="J294" t="n">
        <v>0</v>
      </c>
      <c r="K294" t="n">
        <v>0</v>
      </c>
      <c r="L294" t="n">
        <v>0</v>
      </c>
      <c r="M294" t="n">
        <v>0</v>
      </c>
      <c r="N294" t="n">
        <v>0</v>
      </c>
      <c r="O294" t="n">
        <v>0</v>
      </c>
      <c r="P294" t="n">
        <v>0</v>
      </c>
      <c r="Q294" t="n">
        <v>0</v>
      </c>
      <c r="R294" s="2" t="inlineStr"/>
    </row>
    <row r="295" ht="15" customHeight="1">
      <c r="A295" t="inlineStr">
        <is>
          <t>A 5254-2025</t>
        </is>
      </c>
      <c r="B295" s="1" t="n">
        <v>45692</v>
      </c>
      <c r="C295" s="1" t="n">
        <v>45878</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17969-2023</t>
        </is>
      </c>
      <c r="B296" s="1" t="n">
        <v>45040.47081018519</v>
      </c>
      <c r="C296" s="1" t="n">
        <v>45878</v>
      </c>
      <c r="D296" t="inlineStr">
        <is>
          <t>UPPSALA LÄN</t>
        </is>
      </c>
      <c r="E296" t="inlineStr">
        <is>
          <t>ÖSTHAMMAR</t>
        </is>
      </c>
      <c r="G296" t="n">
        <v>5.4</v>
      </c>
      <c r="H296" t="n">
        <v>0</v>
      </c>
      <c r="I296" t="n">
        <v>0</v>
      </c>
      <c r="J296" t="n">
        <v>0</v>
      </c>
      <c r="K296" t="n">
        <v>0</v>
      </c>
      <c r="L296" t="n">
        <v>0</v>
      </c>
      <c r="M296" t="n">
        <v>0</v>
      </c>
      <c r="N296" t="n">
        <v>0</v>
      </c>
      <c r="O296" t="n">
        <v>0</v>
      </c>
      <c r="P296" t="n">
        <v>0</v>
      </c>
      <c r="Q296" t="n">
        <v>0</v>
      </c>
      <c r="R296" s="2" t="inlineStr"/>
    </row>
    <row r="297" ht="15" customHeight="1">
      <c r="A297" t="inlineStr">
        <is>
          <t>A 44807-2024</t>
        </is>
      </c>
      <c r="B297" s="1" t="n">
        <v>45574.65427083334</v>
      </c>
      <c r="C297" s="1" t="n">
        <v>45878</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7195-2023</t>
        </is>
      </c>
      <c r="B298" s="1" t="n">
        <v>44970</v>
      </c>
      <c r="C298" s="1" t="n">
        <v>45878</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37568-2022</t>
        </is>
      </c>
      <c r="B299" s="1" t="n">
        <v>44809</v>
      </c>
      <c r="C299" s="1" t="n">
        <v>45878</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42549-2020</t>
        </is>
      </c>
      <c r="B300" s="1" t="n">
        <v>44077</v>
      </c>
      <c r="C300" s="1" t="n">
        <v>45878</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9542-2023</t>
        </is>
      </c>
      <c r="B301" s="1" t="n">
        <v>44981</v>
      </c>
      <c r="C301" s="1" t="n">
        <v>45878</v>
      </c>
      <c r="D301" t="inlineStr">
        <is>
          <t>UPPSALA LÄN</t>
        </is>
      </c>
      <c r="E301" t="inlineStr">
        <is>
          <t>ÖSTHAMMAR</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55100-2024</t>
        </is>
      </c>
      <c r="B302" s="1" t="n">
        <v>45621.4405787037</v>
      </c>
      <c r="C302" s="1" t="n">
        <v>45878</v>
      </c>
      <c r="D302" t="inlineStr">
        <is>
          <t>UPPSALA LÄN</t>
        </is>
      </c>
      <c r="E302" t="inlineStr">
        <is>
          <t>ÖSTHAMMAR</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58878-2022</t>
        </is>
      </c>
      <c r="B303" s="1" t="n">
        <v>44903</v>
      </c>
      <c r="C303" s="1" t="n">
        <v>45878</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56969-2022</t>
        </is>
      </c>
      <c r="B304" s="1" t="n">
        <v>44894.68043981482</v>
      </c>
      <c r="C304" s="1" t="n">
        <v>45878</v>
      </c>
      <c r="D304" t="inlineStr">
        <is>
          <t>UPPSALA LÄN</t>
        </is>
      </c>
      <c r="E304" t="inlineStr">
        <is>
          <t>ÖSTHAMMAR</t>
        </is>
      </c>
      <c r="G304" t="n">
        <v>5.5</v>
      </c>
      <c r="H304" t="n">
        <v>0</v>
      </c>
      <c r="I304" t="n">
        <v>0</v>
      </c>
      <c r="J304" t="n">
        <v>0</v>
      </c>
      <c r="K304" t="n">
        <v>0</v>
      </c>
      <c r="L304" t="n">
        <v>0</v>
      </c>
      <c r="M304" t="n">
        <v>0</v>
      </c>
      <c r="N304" t="n">
        <v>0</v>
      </c>
      <c r="O304" t="n">
        <v>0</v>
      </c>
      <c r="P304" t="n">
        <v>0</v>
      </c>
      <c r="Q304" t="n">
        <v>0</v>
      </c>
      <c r="R304" s="2" t="inlineStr"/>
    </row>
    <row r="305" ht="15" customHeight="1">
      <c r="A305" t="inlineStr">
        <is>
          <t>A 7876-2023</t>
        </is>
      </c>
      <c r="B305" s="1" t="n">
        <v>44973.57263888889</v>
      </c>
      <c r="C305" s="1" t="n">
        <v>45878</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36904-2023</t>
        </is>
      </c>
      <c r="B306" s="1" t="n">
        <v>45154</v>
      </c>
      <c r="C306" s="1" t="n">
        <v>45878</v>
      </c>
      <c r="D306" t="inlineStr">
        <is>
          <t>UPPSALA LÄN</t>
        </is>
      </c>
      <c r="E306" t="inlineStr">
        <is>
          <t>ÖSTHAMMAR</t>
        </is>
      </c>
      <c r="F306" t="inlineStr">
        <is>
          <t>Övriga Aktiebolag</t>
        </is>
      </c>
      <c r="G306" t="n">
        <v>1.5</v>
      </c>
      <c r="H306" t="n">
        <v>0</v>
      </c>
      <c r="I306" t="n">
        <v>0</v>
      </c>
      <c r="J306" t="n">
        <v>0</v>
      </c>
      <c r="K306" t="n">
        <v>0</v>
      </c>
      <c r="L306" t="n">
        <v>0</v>
      </c>
      <c r="M306" t="n">
        <v>0</v>
      </c>
      <c r="N306" t="n">
        <v>0</v>
      </c>
      <c r="O306" t="n">
        <v>0</v>
      </c>
      <c r="P306" t="n">
        <v>0</v>
      </c>
      <c r="Q306" t="n">
        <v>0</v>
      </c>
      <c r="R306" s="2" t="inlineStr"/>
    </row>
    <row r="307" ht="15" customHeight="1">
      <c r="A307" t="inlineStr">
        <is>
          <t>A 35539-2023</t>
        </is>
      </c>
      <c r="B307" s="1" t="n">
        <v>45147.37006944444</v>
      </c>
      <c r="C307" s="1" t="n">
        <v>45878</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12528-2024</t>
        </is>
      </c>
      <c r="B308" s="1" t="n">
        <v>45379.61878472222</v>
      </c>
      <c r="C308" s="1" t="n">
        <v>45878</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38233-2024</t>
        </is>
      </c>
      <c r="B309" s="1" t="n">
        <v>45545</v>
      </c>
      <c r="C309" s="1" t="n">
        <v>45878</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56260-2022</t>
        </is>
      </c>
      <c r="B310" s="1" t="n">
        <v>44890</v>
      </c>
      <c r="C310" s="1" t="n">
        <v>45878</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4228-2023</t>
        </is>
      </c>
      <c r="B311" s="1" t="n">
        <v>44953.48179398148</v>
      </c>
      <c r="C311" s="1" t="n">
        <v>45878</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26774-2023</t>
        </is>
      </c>
      <c r="B312" s="1" t="n">
        <v>45093.47947916666</v>
      </c>
      <c r="C312" s="1" t="n">
        <v>45878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56041-2020</t>
        </is>
      </c>
      <c r="B313" s="1" t="n">
        <v>44133</v>
      </c>
      <c r="C313" s="1" t="n">
        <v>45878</v>
      </c>
      <c r="D313" t="inlineStr">
        <is>
          <t>UPPSALA LÄN</t>
        </is>
      </c>
      <c r="E313" t="inlineStr">
        <is>
          <t>ÖSTHAMMAR</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67848-2021</t>
        </is>
      </c>
      <c r="B314" s="1" t="n">
        <v>44525</v>
      </c>
      <c r="C314" s="1" t="n">
        <v>45878</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55097-2024</t>
        </is>
      </c>
      <c r="B315" s="1" t="n">
        <v>45621.43855324074</v>
      </c>
      <c r="C315" s="1" t="n">
        <v>45878</v>
      </c>
      <c r="D315" t="inlineStr">
        <is>
          <t>UPPSALA LÄN</t>
        </is>
      </c>
      <c r="E315" t="inlineStr">
        <is>
          <t>ÖSTHAMMAR</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18230-2025</t>
        </is>
      </c>
      <c r="B316" s="1" t="n">
        <v>45761.87114583333</v>
      </c>
      <c r="C316" s="1" t="n">
        <v>45878</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37865-2023</t>
        </is>
      </c>
      <c r="B317" s="1" t="n">
        <v>45160</v>
      </c>
      <c r="C317" s="1" t="n">
        <v>45878</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18091-2023</t>
        </is>
      </c>
      <c r="B318" s="1" t="n">
        <v>45040</v>
      </c>
      <c r="C318" s="1" t="n">
        <v>45878</v>
      </c>
      <c r="D318" t="inlineStr">
        <is>
          <t>UPPSALA LÄN</t>
        </is>
      </c>
      <c r="E318" t="inlineStr">
        <is>
          <t>ÖSTHAMMAR</t>
        </is>
      </c>
      <c r="G318" t="n">
        <v>2.4</v>
      </c>
      <c r="H318" t="n">
        <v>0</v>
      </c>
      <c r="I318" t="n">
        <v>0</v>
      </c>
      <c r="J318" t="n">
        <v>0</v>
      </c>
      <c r="K318" t="n">
        <v>0</v>
      </c>
      <c r="L318" t="n">
        <v>0</v>
      </c>
      <c r="M318" t="n">
        <v>0</v>
      </c>
      <c r="N318" t="n">
        <v>0</v>
      </c>
      <c r="O318" t="n">
        <v>0</v>
      </c>
      <c r="P318" t="n">
        <v>0</v>
      </c>
      <c r="Q318" t="n">
        <v>0</v>
      </c>
      <c r="R318" s="2" t="inlineStr"/>
    </row>
    <row r="319" ht="15" customHeight="1">
      <c r="A319" t="inlineStr">
        <is>
          <t>A 29231-2024</t>
        </is>
      </c>
      <c r="B319" s="1" t="n">
        <v>45482</v>
      </c>
      <c r="C319" s="1" t="n">
        <v>45878</v>
      </c>
      <c r="D319" t="inlineStr">
        <is>
          <t>UPPSALA LÄN</t>
        </is>
      </c>
      <c r="E319" t="inlineStr">
        <is>
          <t>ÖSTHAMMAR</t>
        </is>
      </c>
      <c r="F319" t="inlineStr">
        <is>
          <t>Bergvik skog öst AB</t>
        </is>
      </c>
      <c r="G319" t="n">
        <v>0.6</v>
      </c>
      <c r="H319" t="n">
        <v>0</v>
      </c>
      <c r="I319" t="n">
        <v>0</v>
      </c>
      <c r="J319" t="n">
        <v>0</v>
      </c>
      <c r="K319" t="n">
        <v>0</v>
      </c>
      <c r="L319" t="n">
        <v>0</v>
      </c>
      <c r="M319" t="n">
        <v>0</v>
      </c>
      <c r="N319" t="n">
        <v>0</v>
      </c>
      <c r="O319" t="n">
        <v>0</v>
      </c>
      <c r="P319" t="n">
        <v>0</v>
      </c>
      <c r="Q319" t="n">
        <v>0</v>
      </c>
      <c r="R319" s="2" t="inlineStr"/>
    </row>
    <row r="320" ht="15" customHeight="1">
      <c r="A320" t="inlineStr">
        <is>
          <t>A 19640-2025</t>
        </is>
      </c>
      <c r="B320" s="1" t="n">
        <v>45770.65739583333</v>
      </c>
      <c r="C320" s="1" t="n">
        <v>45878</v>
      </c>
      <c r="D320" t="inlineStr">
        <is>
          <t>UPPSALA LÄN</t>
        </is>
      </c>
      <c r="E320" t="inlineStr">
        <is>
          <t>ÖSTHAMMAR</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30931-2021</t>
        </is>
      </c>
      <c r="B321" s="1" t="n">
        <v>44365</v>
      </c>
      <c r="C321" s="1" t="n">
        <v>45878</v>
      </c>
      <c r="D321" t="inlineStr">
        <is>
          <t>UPPSALA LÄN</t>
        </is>
      </c>
      <c r="E321" t="inlineStr">
        <is>
          <t>ÖSTHAMMAR</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66779-2021</t>
        </is>
      </c>
      <c r="B322" s="1" t="n">
        <v>44522.31700231481</v>
      </c>
      <c r="C322" s="1" t="n">
        <v>45878</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23197-2023</t>
        </is>
      </c>
      <c r="B323" s="1" t="n">
        <v>45075</v>
      </c>
      <c r="C323" s="1" t="n">
        <v>45878</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60079-2022</t>
        </is>
      </c>
      <c r="B324" s="1" t="n">
        <v>44909</v>
      </c>
      <c r="C324" s="1" t="n">
        <v>45878</v>
      </c>
      <c r="D324" t="inlineStr">
        <is>
          <t>UPPSALA LÄN</t>
        </is>
      </c>
      <c r="E324" t="inlineStr">
        <is>
          <t>ÖSTHAMMAR</t>
        </is>
      </c>
      <c r="G324" t="n">
        <v>9.6</v>
      </c>
      <c r="H324" t="n">
        <v>0</v>
      </c>
      <c r="I324" t="n">
        <v>0</v>
      </c>
      <c r="J324" t="n">
        <v>0</v>
      </c>
      <c r="K324" t="n">
        <v>0</v>
      </c>
      <c r="L324" t="n">
        <v>0</v>
      </c>
      <c r="M324" t="n">
        <v>0</v>
      </c>
      <c r="N324" t="n">
        <v>0</v>
      </c>
      <c r="O324" t="n">
        <v>0</v>
      </c>
      <c r="P324" t="n">
        <v>0</v>
      </c>
      <c r="Q324" t="n">
        <v>0</v>
      </c>
      <c r="R324" s="2" t="inlineStr"/>
    </row>
    <row r="325" ht="15" customHeight="1">
      <c r="A325" t="inlineStr">
        <is>
          <t>A 7100-2025</t>
        </is>
      </c>
      <c r="B325" s="1" t="n">
        <v>45701.83930555556</v>
      </c>
      <c r="C325" s="1" t="n">
        <v>45878</v>
      </c>
      <c r="D325" t="inlineStr">
        <is>
          <t>UPPSALA LÄN</t>
        </is>
      </c>
      <c r="E325" t="inlineStr">
        <is>
          <t>ÖSTHAMMAR</t>
        </is>
      </c>
      <c r="G325" t="n">
        <v>4.3</v>
      </c>
      <c r="H325" t="n">
        <v>0</v>
      </c>
      <c r="I325" t="n">
        <v>0</v>
      </c>
      <c r="J325" t="n">
        <v>0</v>
      </c>
      <c r="K325" t="n">
        <v>0</v>
      </c>
      <c r="L325" t="n">
        <v>0</v>
      </c>
      <c r="M325" t="n">
        <v>0</v>
      </c>
      <c r="N325" t="n">
        <v>0</v>
      </c>
      <c r="O325" t="n">
        <v>0</v>
      </c>
      <c r="P325" t="n">
        <v>0</v>
      </c>
      <c r="Q325" t="n">
        <v>0</v>
      </c>
      <c r="R325" s="2" t="inlineStr"/>
    </row>
    <row r="326" ht="15" customHeight="1">
      <c r="A326" t="inlineStr">
        <is>
          <t>A 9267-2024</t>
        </is>
      </c>
      <c r="B326" s="1" t="n">
        <v>45358</v>
      </c>
      <c r="C326" s="1" t="n">
        <v>45878</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64811-2021</t>
        </is>
      </c>
      <c r="B327" s="1" t="n">
        <v>44512</v>
      </c>
      <c r="C327" s="1" t="n">
        <v>45878</v>
      </c>
      <c r="D327" t="inlineStr">
        <is>
          <t>UPPSALA LÄN</t>
        </is>
      </c>
      <c r="E327" t="inlineStr">
        <is>
          <t>ÖSTHAMMAR</t>
        </is>
      </c>
      <c r="G327" t="n">
        <v>4.2</v>
      </c>
      <c r="H327" t="n">
        <v>0</v>
      </c>
      <c r="I327" t="n">
        <v>0</v>
      </c>
      <c r="J327" t="n">
        <v>0</v>
      </c>
      <c r="K327" t="n">
        <v>0</v>
      </c>
      <c r="L327" t="n">
        <v>0</v>
      </c>
      <c r="M327" t="n">
        <v>0</v>
      </c>
      <c r="N327" t="n">
        <v>0</v>
      </c>
      <c r="O327" t="n">
        <v>0</v>
      </c>
      <c r="P327" t="n">
        <v>0</v>
      </c>
      <c r="Q327" t="n">
        <v>0</v>
      </c>
      <c r="R327" s="2" t="inlineStr"/>
    </row>
    <row r="328" ht="15" customHeight="1">
      <c r="A328" t="inlineStr">
        <is>
          <t>A 8830-2023</t>
        </is>
      </c>
      <c r="B328" s="1" t="n">
        <v>44978</v>
      </c>
      <c r="C328" s="1" t="n">
        <v>45878</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45878</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33758-2024</t>
        </is>
      </c>
      <c r="B330" s="1" t="n">
        <v>45520.56896990741</v>
      </c>
      <c r="C330" s="1" t="n">
        <v>45878</v>
      </c>
      <c r="D330" t="inlineStr">
        <is>
          <t>UPPSALA LÄN</t>
        </is>
      </c>
      <c r="E330" t="inlineStr">
        <is>
          <t>ÖSTHAMMAR</t>
        </is>
      </c>
      <c r="G330" t="n">
        <v>6.5</v>
      </c>
      <c r="H330" t="n">
        <v>0</v>
      </c>
      <c r="I330" t="n">
        <v>0</v>
      </c>
      <c r="J330" t="n">
        <v>0</v>
      </c>
      <c r="K330" t="n">
        <v>0</v>
      </c>
      <c r="L330" t="n">
        <v>0</v>
      </c>
      <c r="M330" t="n">
        <v>0</v>
      </c>
      <c r="N330" t="n">
        <v>0</v>
      </c>
      <c r="O330" t="n">
        <v>0</v>
      </c>
      <c r="P330" t="n">
        <v>0</v>
      </c>
      <c r="Q330" t="n">
        <v>0</v>
      </c>
      <c r="R330" s="2" t="inlineStr"/>
    </row>
    <row r="331" ht="15" customHeight="1">
      <c r="A331" t="inlineStr">
        <is>
          <t>A 33550-2024</t>
        </is>
      </c>
      <c r="B331" s="1" t="n">
        <v>45519.81043981481</v>
      </c>
      <c r="C331" s="1" t="n">
        <v>45878</v>
      </c>
      <c r="D331" t="inlineStr">
        <is>
          <t>UPPSALA LÄN</t>
        </is>
      </c>
      <c r="E331" t="inlineStr">
        <is>
          <t>ÖSTHAMMAR</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54314-2023</t>
        </is>
      </c>
      <c r="B332" s="1" t="n">
        <v>45225</v>
      </c>
      <c r="C332" s="1" t="n">
        <v>45878</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35316-2024</t>
        </is>
      </c>
      <c r="B333" s="1" t="n">
        <v>45530.68873842592</v>
      </c>
      <c r="C333" s="1" t="n">
        <v>45878</v>
      </c>
      <c r="D333" t="inlineStr">
        <is>
          <t>UPPSALA LÄN</t>
        </is>
      </c>
      <c r="E333" t="inlineStr">
        <is>
          <t>ÖSTHAMMAR</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62295-2022</t>
        </is>
      </c>
      <c r="B334" s="1" t="n">
        <v>44916</v>
      </c>
      <c r="C334" s="1" t="n">
        <v>45878</v>
      </c>
      <c r="D334" t="inlineStr">
        <is>
          <t>UPPSALA LÄN</t>
        </is>
      </c>
      <c r="E334" t="inlineStr">
        <is>
          <t>ÖSTHAMMAR</t>
        </is>
      </c>
      <c r="G334" t="n">
        <v>3.3</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44327.61518518518</v>
      </c>
      <c r="C335" s="1" t="n">
        <v>45878</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38571-2023</t>
        </is>
      </c>
      <c r="B336" s="1" t="n">
        <v>45162.6177662037</v>
      </c>
      <c r="C336" s="1" t="n">
        <v>45878</v>
      </c>
      <c r="D336" t="inlineStr">
        <is>
          <t>UPPSALA LÄN</t>
        </is>
      </c>
      <c r="E336" t="inlineStr">
        <is>
          <t>ÖSTHAMMAR</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49796-2024</t>
        </is>
      </c>
      <c r="B337" s="1" t="n">
        <v>45597</v>
      </c>
      <c r="C337" s="1" t="n">
        <v>45878</v>
      </c>
      <c r="D337" t="inlineStr">
        <is>
          <t>UPPSALA LÄN</t>
        </is>
      </c>
      <c r="E337" t="inlineStr">
        <is>
          <t>ÖSTHAMMAR</t>
        </is>
      </c>
      <c r="G337" t="n">
        <v>1.3</v>
      </c>
      <c r="H337" t="n">
        <v>0</v>
      </c>
      <c r="I337" t="n">
        <v>0</v>
      </c>
      <c r="J337" t="n">
        <v>0</v>
      </c>
      <c r="K337" t="n">
        <v>0</v>
      </c>
      <c r="L337" t="n">
        <v>0</v>
      </c>
      <c r="M337" t="n">
        <v>0</v>
      </c>
      <c r="N337" t="n">
        <v>0</v>
      </c>
      <c r="O337" t="n">
        <v>0</v>
      </c>
      <c r="P337" t="n">
        <v>0</v>
      </c>
      <c r="Q337" t="n">
        <v>0</v>
      </c>
      <c r="R337" s="2" t="inlineStr"/>
    </row>
    <row r="338" ht="15" customHeight="1">
      <c r="A338" t="inlineStr">
        <is>
          <t>A 32815-2024</t>
        </is>
      </c>
      <c r="B338" s="1" t="n">
        <v>45516.57682870371</v>
      </c>
      <c r="C338" s="1" t="n">
        <v>45878</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32884-2024</t>
        </is>
      </c>
      <c r="B339" s="1" t="n">
        <v>45516.72097222223</v>
      </c>
      <c r="C339" s="1" t="n">
        <v>45878</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7560-2023</t>
        </is>
      </c>
      <c r="B340" s="1" t="n">
        <v>44972.34811342593</v>
      </c>
      <c r="C340" s="1" t="n">
        <v>45878</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44184-2024</t>
        </is>
      </c>
      <c r="B341" s="1" t="n">
        <v>45572</v>
      </c>
      <c r="C341" s="1" t="n">
        <v>45878</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48083-2024</t>
        </is>
      </c>
      <c r="B342" s="1" t="n">
        <v>45589.58766203704</v>
      </c>
      <c r="C342" s="1" t="n">
        <v>45878</v>
      </c>
      <c r="D342" t="inlineStr">
        <is>
          <t>UPPSALA LÄN</t>
        </is>
      </c>
      <c r="E342" t="inlineStr">
        <is>
          <t>ÖSTHAMMAR</t>
        </is>
      </c>
      <c r="G342" t="n">
        <v>3</v>
      </c>
      <c r="H342" t="n">
        <v>0</v>
      </c>
      <c r="I342" t="n">
        <v>0</v>
      </c>
      <c r="J342" t="n">
        <v>0</v>
      </c>
      <c r="K342" t="n">
        <v>0</v>
      </c>
      <c r="L342" t="n">
        <v>0</v>
      </c>
      <c r="M342" t="n">
        <v>0</v>
      </c>
      <c r="N342" t="n">
        <v>0</v>
      </c>
      <c r="O342" t="n">
        <v>0</v>
      </c>
      <c r="P342" t="n">
        <v>0</v>
      </c>
      <c r="Q342" t="n">
        <v>0</v>
      </c>
      <c r="R342" s="2" t="inlineStr"/>
    </row>
    <row r="343" ht="15" customHeight="1">
      <c r="A343" t="inlineStr">
        <is>
          <t>A 1791-2023</t>
        </is>
      </c>
      <c r="B343" s="1" t="n">
        <v>44938</v>
      </c>
      <c r="C343" s="1" t="n">
        <v>45878</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74436-2021</t>
        </is>
      </c>
      <c r="B344" s="1" t="n">
        <v>44560.4502199074</v>
      </c>
      <c r="C344" s="1" t="n">
        <v>45878</v>
      </c>
      <c r="D344" t="inlineStr">
        <is>
          <t>UPPSALA LÄN</t>
        </is>
      </c>
      <c r="E344" t="inlineStr">
        <is>
          <t>ÖSTHAMMAR</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61261-2022</t>
        </is>
      </c>
      <c r="B345" s="1" t="n">
        <v>44915.59645833333</v>
      </c>
      <c r="C345" s="1" t="n">
        <v>45878</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4984-2024</t>
        </is>
      </c>
      <c r="B346" s="1" t="n">
        <v>45329</v>
      </c>
      <c r="C346" s="1" t="n">
        <v>45878</v>
      </c>
      <c r="D346" t="inlineStr">
        <is>
          <t>UPPSALA LÄN</t>
        </is>
      </c>
      <c r="E346" t="inlineStr">
        <is>
          <t>ÖSTHAMMAR</t>
        </is>
      </c>
      <c r="G346" t="n">
        <v>2.2</v>
      </c>
      <c r="H346" t="n">
        <v>0</v>
      </c>
      <c r="I346" t="n">
        <v>0</v>
      </c>
      <c r="J346" t="n">
        <v>0</v>
      </c>
      <c r="K346" t="n">
        <v>0</v>
      </c>
      <c r="L346" t="n">
        <v>0</v>
      </c>
      <c r="M346" t="n">
        <v>0</v>
      </c>
      <c r="N346" t="n">
        <v>0</v>
      </c>
      <c r="O346" t="n">
        <v>0</v>
      </c>
      <c r="P346" t="n">
        <v>0</v>
      </c>
      <c r="Q346" t="n">
        <v>0</v>
      </c>
      <c r="R346" s="2" t="inlineStr"/>
    </row>
    <row r="347" ht="15" customHeight="1">
      <c r="A347" t="inlineStr">
        <is>
          <t>A 21132-2025</t>
        </is>
      </c>
      <c r="B347" s="1" t="n">
        <v>45778.4108912037</v>
      </c>
      <c r="C347" s="1" t="n">
        <v>45878</v>
      </c>
      <c r="D347" t="inlineStr">
        <is>
          <t>UPPSALA LÄN</t>
        </is>
      </c>
      <c r="E347" t="inlineStr">
        <is>
          <t>ÖSTHAMMAR</t>
        </is>
      </c>
      <c r="G347" t="n">
        <v>10.1</v>
      </c>
      <c r="H347" t="n">
        <v>0</v>
      </c>
      <c r="I347" t="n">
        <v>0</v>
      </c>
      <c r="J347" t="n">
        <v>0</v>
      </c>
      <c r="K347" t="n">
        <v>0</v>
      </c>
      <c r="L347" t="n">
        <v>0</v>
      </c>
      <c r="M347" t="n">
        <v>0</v>
      </c>
      <c r="N347" t="n">
        <v>0</v>
      </c>
      <c r="O347" t="n">
        <v>0</v>
      </c>
      <c r="P347" t="n">
        <v>0</v>
      </c>
      <c r="Q347" t="n">
        <v>0</v>
      </c>
      <c r="R347" s="2" t="inlineStr"/>
    </row>
    <row r="348" ht="15" customHeight="1">
      <c r="A348" t="inlineStr">
        <is>
          <t>A 21133-2025</t>
        </is>
      </c>
      <c r="B348" s="1" t="n">
        <v>45778.415625</v>
      </c>
      <c r="C348" s="1" t="n">
        <v>45878</v>
      </c>
      <c r="D348" t="inlineStr">
        <is>
          <t>UPPSALA LÄN</t>
        </is>
      </c>
      <c r="E348" t="inlineStr">
        <is>
          <t>ÖSTHAMMAR</t>
        </is>
      </c>
      <c r="G348" t="n">
        <v>1.5</v>
      </c>
      <c r="H348" t="n">
        <v>0</v>
      </c>
      <c r="I348" t="n">
        <v>0</v>
      </c>
      <c r="J348" t="n">
        <v>0</v>
      </c>
      <c r="K348" t="n">
        <v>0</v>
      </c>
      <c r="L348" t="n">
        <v>0</v>
      </c>
      <c r="M348" t="n">
        <v>0</v>
      </c>
      <c r="N348" t="n">
        <v>0</v>
      </c>
      <c r="O348" t="n">
        <v>0</v>
      </c>
      <c r="P348" t="n">
        <v>0</v>
      </c>
      <c r="Q348" t="n">
        <v>0</v>
      </c>
      <c r="R348" s="2" t="inlineStr"/>
    </row>
    <row r="349" ht="15" customHeight="1">
      <c r="A349" t="inlineStr">
        <is>
          <t>A 74429-2021</t>
        </is>
      </c>
      <c r="B349" s="1" t="n">
        <v>44560.43136574074</v>
      </c>
      <c r="C349" s="1" t="n">
        <v>45878</v>
      </c>
      <c r="D349" t="inlineStr">
        <is>
          <t>UPPSALA LÄN</t>
        </is>
      </c>
      <c r="E349" t="inlineStr">
        <is>
          <t>ÖSTHAMMAR</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7543-2023</t>
        </is>
      </c>
      <c r="B350" s="1" t="n">
        <v>44972</v>
      </c>
      <c r="C350" s="1" t="n">
        <v>45878</v>
      </c>
      <c r="D350" t="inlineStr">
        <is>
          <t>UPPSALA LÄN</t>
        </is>
      </c>
      <c r="E350" t="inlineStr">
        <is>
          <t>ÖSTHAMMAR</t>
        </is>
      </c>
      <c r="F350" t="inlineStr">
        <is>
          <t>Bergvik skog öst AB</t>
        </is>
      </c>
      <c r="G350" t="n">
        <v>13.3</v>
      </c>
      <c r="H350" t="n">
        <v>0</v>
      </c>
      <c r="I350" t="n">
        <v>0</v>
      </c>
      <c r="J350" t="n">
        <v>0</v>
      </c>
      <c r="K350" t="n">
        <v>0</v>
      </c>
      <c r="L350" t="n">
        <v>0</v>
      </c>
      <c r="M350" t="n">
        <v>0</v>
      </c>
      <c r="N350" t="n">
        <v>0</v>
      </c>
      <c r="O350" t="n">
        <v>0</v>
      </c>
      <c r="P350" t="n">
        <v>0</v>
      </c>
      <c r="Q350" t="n">
        <v>0</v>
      </c>
      <c r="R350" s="2" t="inlineStr"/>
    </row>
    <row r="351" ht="15" customHeight="1">
      <c r="A351" t="inlineStr">
        <is>
          <t>A 20634-2024</t>
        </is>
      </c>
      <c r="B351" s="1" t="n">
        <v>45436</v>
      </c>
      <c r="C351" s="1" t="n">
        <v>45878</v>
      </c>
      <c r="D351" t="inlineStr">
        <is>
          <t>UPPSALA LÄN</t>
        </is>
      </c>
      <c r="E351" t="inlineStr">
        <is>
          <t>ÖSTHAMMAR</t>
        </is>
      </c>
      <c r="G351" t="n">
        <v>6.5</v>
      </c>
      <c r="H351" t="n">
        <v>0</v>
      </c>
      <c r="I351" t="n">
        <v>0</v>
      </c>
      <c r="J351" t="n">
        <v>0</v>
      </c>
      <c r="K351" t="n">
        <v>0</v>
      </c>
      <c r="L351" t="n">
        <v>0</v>
      </c>
      <c r="M351" t="n">
        <v>0</v>
      </c>
      <c r="N351" t="n">
        <v>0</v>
      </c>
      <c r="O351" t="n">
        <v>0</v>
      </c>
      <c r="P351" t="n">
        <v>0</v>
      </c>
      <c r="Q351" t="n">
        <v>0</v>
      </c>
      <c r="R351" s="2" t="inlineStr"/>
    </row>
    <row r="352" ht="15" customHeight="1">
      <c r="A352" t="inlineStr">
        <is>
          <t>A 42262-2024</t>
        </is>
      </c>
      <c r="B352" s="1" t="n">
        <v>45562</v>
      </c>
      <c r="C352" s="1" t="n">
        <v>45878</v>
      </c>
      <c r="D352" t="inlineStr">
        <is>
          <t>UPPSALA LÄN</t>
        </is>
      </c>
      <c r="E352" t="inlineStr">
        <is>
          <t>ÖSTHAMMAR</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32778-2023</t>
        </is>
      </c>
      <c r="B353" s="1" t="n">
        <v>45123.88789351852</v>
      </c>
      <c r="C353" s="1" t="n">
        <v>45878</v>
      </c>
      <c r="D353" t="inlineStr">
        <is>
          <t>UPPSALA LÄN</t>
        </is>
      </c>
      <c r="E353" t="inlineStr">
        <is>
          <t>ÖSTHAMMAR</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59327-2023</t>
        </is>
      </c>
      <c r="B354" s="1" t="n">
        <v>45253.63400462963</v>
      </c>
      <c r="C354" s="1" t="n">
        <v>45878</v>
      </c>
      <c r="D354" t="inlineStr">
        <is>
          <t>UPPSALA LÄN</t>
        </is>
      </c>
      <c r="E354" t="inlineStr">
        <is>
          <t>ÖSTHAMMAR</t>
        </is>
      </c>
      <c r="G354" t="n">
        <v>3.1</v>
      </c>
      <c r="H354" t="n">
        <v>0</v>
      </c>
      <c r="I354" t="n">
        <v>0</v>
      </c>
      <c r="J354" t="n">
        <v>0</v>
      </c>
      <c r="K354" t="n">
        <v>0</v>
      </c>
      <c r="L354" t="n">
        <v>0</v>
      </c>
      <c r="M354" t="n">
        <v>0</v>
      </c>
      <c r="N354" t="n">
        <v>0</v>
      </c>
      <c r="O354" t="n">
        <v>0</v>
      </c>
      <c r="P354" t="n">
        <v>0</v>
      </c>
      <c r="Q354" t="n">
        <v>0</v>
      </c>
      <c r="R354" s="2" t="inlineStr"/>
    </row>
    <row r="355" ht="15" customHeight="1">
      <c r="A355" t="inlineStr">
        <is>
          <t>A 44832-2024</t>
        </is>
      </c>
      <c r="B355" s="1" t="n">
        <v>45574.68994212963</v>
      </c>
      <c r="C355" s="1" t="n">
        <v>45878</v>
      </c>
      <c r="D355" t="inlineStr">
        <is>
          <t>UPPSALA LÄN</t>
        </is>
      </c>
      <c r="E355" t="inlineStr">
        <is>
          <t>ÖSTHAMMAR</t>
        </is>
      </c>
      <c r="G355" t="n">
        <v>6.6</v>
      </c>
      <c r="H355" t="n">
        <v>0</v>
      </c>
      <c r="I355" t="n">
        <v>0</v>
      </c>
      <c r="J355" t="n">
        <v>0</v>
      </c>
      <c r="K355" t="n">
        <v>0</v>
      </c>
      <c r="L355" t="n">
        <v>0</v>
      </c>
      <c r="M355" t="n">
        <v>0</v>
      </c>
      <c r="N355" t="n">
        <v>0</v>
      </c>
      <c r="O355" t="n">
        <v>0</v>
      </c>
      <c r="P355" t="n">
        <v>0</v>
      </c>
      <c r="Q355" t="n">
        <v>0</v>
      </c>
      <c r="R355" s="2" t="inlineStr"/>
    </row>
    <row r="356" ht="15" customHeight="1">
      <c r="A356" t="inlineStr">
        <is>
          <t>A 33680-2024</t>
        </is>
      </c>
      <c r="B356" s="1" t="n">
        <v>45520.50712962963</v>
      </c>
      <c r="C356" s="1" t="n">
        <v>45878</v>
      </c>
      <c r="D356" t="inlineStr">
        <is>
          <t>UPPSALA LÄN</t>
        </is>
      </c>
      <c r="E356" t="inlineStr">
        <is>
          <t>ÖSTHAMMAR</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7944-2023</t>
        </is>
      </c>
      <c r="B357" s="1" t="n">
        <v>44973.66458333333</v>
      </c>
      <c r="C357" s="1" t="n">
        <v>45878</v>
      </c>
      <c r="D357" t="inlineStr">
        <is>
          <t>UPPSALA LÄN</t>
        </is>
      </c>
      <c r="E357" t="inlineStr">
        <is>
          <t>ÖSTHAMMAR</t>
        </is>
      </c>
      <c r="G357" t="n">
        <v>4.6</v>
      </c>
      <c r="H357" t="n">
        <v>0</v>
      </c>
      <c r="I357" t="n">
        <v>0</v>
      </c>
      <c r="J357" t="n">
        <v>0</v>
      </c>
      <c r="K357" t="n">
        <v>0</v>
      </c>
      <c r="L357" t="n">
        <v>0</v>
      </c>
      <c r="M357" t="n">
        <v>0</v>
      </c>
      <c r="N357" t="n">
        <v>0</v>
      </c>
      <c r="O357" t="n">
        <v>0</v>
      </c>
      <c r="P357" t="n">
        <v>0</v>
      </c>
      <c r="Q357" t="n">
        <v>0</v>
      </c>
      <c r="R357" s="2" t="inlineStr"/>
    </row>
    <row r="358" ht="15" customHeight="1">
      <c r="A358" t="inlineStr">
        <is>
          <t>A 44796-2024</t>
        </is>
      </c>
      <c r="B358" s="1" t="n">
        <v>45574</v>
      </c>
      <c r="C358" s="1" t="n">
        <v>45878</v>
      </c>
      <c r="D358" t="inlineStr">
        <is>
          <t>UPPSALA LÄN</t>
        </is>
      </c>
      <c r="E358" t="inlineStr">
        <is>
          <t>ÖSTHAMMAR</t>
        </is>
      </c>
      <c r="G358" t="n">
        <v>4.7</v>
      </c>
      <c r="H358" t="n">
        <v>0</v>
      </c>
      <c r="I358" t="n">
        <v>0</v>
      </c>
      <c r="J358" t="n">
        <v>0</v>
      </c>
      <c r="K358" t="n">
        <v>0</v>
      </c>
      <c r="L358" t="n">
        <v>0</v>
      </c>
      <c r="M358" t="n">
        <v>0</v>
      </c>
      <c r="N358" t="n">
        <v>0</v>
      </c>
      <c r="O358" t="n">
        <v>0</v>
      </c>
      <c r="P358" t="n">
        <v>0</v>
      </c>
      <c r="Q358" t="n">
        <v>0</v>
      </c>
      <c r="R358" s="2" t="inlineStr"/>
    </row>
    <row r="359" ht="15" customHeight="1">
      <c r="A359" t="inlineStr">
        <is>
          <t>A 52650-2022</t>
        </is>
      </c>
      <c r="B359" s="1" t="n">
        <v>44874</v>
      </c>
      <c r="C359" s="1" t="n">
        <v>45878</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52661-2022</t>
        </is>
      </c>
      <c r="B360" s="1" t="n">
        <v>44874</v>
      </c>
      <c r="C360" s="1" t="n">
        <v>45878</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3732-2022</t>
        </is>
      </c>
      <c r="B361" s="1" t="n">
        <v>44586.64851851852</v>
      </c>
      <c r="C361" s="1" t="n">
        <v>45878</v>
      </c>
      <c r="D361" t="inlineStr">
        <is>
          <t>UPPSALA LÄN</t>
        </is>
      </c>
      <c r="E361" t="inlineStr">
        <is>
          <t>ÖSTHAMMAR</t>
        </is>
      </c>
      <c r="F361" t="inlineStr">
        <is>
          <t>Bergvik skog öst AB</t>
        </is>
      </c>
      <c r="G361" t="n">
        <v>3.6</v>
      </c>
      <c r="H361" t="n">
        <v>0</v>
      </c>
      <c r="I361" t="n">
        <v>0</v>
      </c>
      <c r="J361" t="n">
        <v>0</v>
      </c>
      <c r="K361" t="n">
        <v>0</v>
      </c>
      <c r="L361" t="n">
        <v>0</v>
      </c>
      <c r="M361" t="n">
        <v>0</v>
      </c>
      <c r="N361" t="n">
        <v>0</v>
      </c>
      <c r="O361" t="n">
        <v>0</v>
      </c>
      <c r="P361" t="n">
        <v>0</v>
      </c>
      <c r="Q361" t="n">
        <v>0</v>
      </c>
      <c r="R361" s="2" t="inlineStr"/>
    </row>
    <row r="362" ht="15" customHeight="1">
      <c r="A362" t="inlineStr">
        <is>
          <t>A 38003-2024</t>
        </is>
      </c>
      <c r="B362" s="1" t="n">
        <v>45544</v>
      </c>
      <c r="C362" s="1" t="n">
        <v>45878</v>
      </c>
      <c r="D362" t="inlineStr">
        <is>
          <t>UPPSALA LÄN</t>
        </is>
      </c>
      <c r="E362" t="inlineStr">
        <is>
          <t>ÖSTHAMMAR</t>
        </is>
      </c>
      <c r="F362" t="inlineStr">
        <is>
          <t>Naturvårdsverket</t>
        </is>
      </c>
      <c r="G362" t="n">
        <v>4.2</v>
      </c>
      <c r="H362" t="n">
        <v>0</v>
      </c>
      <c r="I362" t="n">
        <v>0</v>
      </c>
      <c r="J362" t="n">
        <v>0</v>
      </c>
      <c r="K362" t="n">
        <v>0</v>
      </c>
      <c r="L362" t="n">
        <v>0</v>
      </c>
      <c r="M362" t="n">
        <v>0</v>
      </c>
      <c r="N362" t="n">
        <v>0</v>
      </c>
      <c r="O362" t="n">
        <v>0</v>
      </c>
      <c r="P362" t="n">
        <v>0</v>
      </c>
      <c r="Q362" t="n">
        <v>0</v>
      </c>
      <c r="R362" s="2" t="inlineStr"/>
    </row>
    <row r="363" ht="15" customHeight="1">
      <c r="A363" t="inlineStr">
        <is>
          <t>A 1575-2025</t>
        </is>
      </c>
      <c r="B363" s="1" t="n">
        <v>45670</v>
      </c>
      <c r="C363" s="1" t="n">
        <v>45878</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16141-2022</t>
        </is>
      </c>
      <c r="B364" s="1" t="n">
        <v>44665</v>
      </c>
      <c r="C364" s="1" t="n">
        <v>45878</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28152-2024</t>
        </is>
      </c>
      <c r="B365" s="1" t="n">
        <v>45476.77056712963</v>
      </c>
      <c r="C365" s="1" t="n">
        <v>45878</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59807-2020</t>
        </is>
      </c>
      <c r="B366" s="1" t="n">
        <v>44151</v>
      </c>
      <c r="C366" s="1" t="n">
        <v>45878</v>
      </c>
      <c r="D366" t="inlineStr">
        <is>
          <t>UPPSALA LÄN</t>
        </is>
      </c>
      <c r="E366" t="inlineStr">
        <is>
          <t>ÖSTHAMMAR</t>
        </is>
      </c>
      <c r="G366" t="n">
        <v>3.4</v>
      </c>
      <c r="H366" t="n">
        <v>0</v>
      </c>
      <c r="I366" t="n">
        <v>0</v>
      </c>
      <c r="J366" t="n">
        <v>0</v>
      </c>
      <c r="K366" t="n">
        <v>0</v>
      </c>
      <c r="L366" t="n">
        <v>0</v>
      </c>
      <c r="M366" t="n">
        <v>0</v>
      </c>
      <c r="N366" t="n">
        <v>0</v>
      </c>
      <c r="O366" t="n">
        <v>0</v>
      </c>
      <c r="P366" t="n">
        <v>0</v>
      </c>
      <c r="Q366" t="n">
        <v>0</v>
      </c>
      <c r="R366" s="2" t="inlineStr"/>
    </row>
    <row r="367" ht="15" customHeight="1">
      <c r="A367" t="inlineStr">
        <is>
          <t>A 57453-2022</t>
        </is>
      </c>
      <c r="B367" s="1" t="n">
        <v>44896.56266203704</v>
      </c>
      <c r="C367" s="1" t="n">
        <v>45878</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57462-2022</t>
        </is>
      </c>
      <c r="B368" s="1" t="n">
        <v>44896.57527777777</v>
      </c>
      <c r="C368" s="1" t="n">
        <v>45878</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8616-2023</t>
        </is>
      </c>
      <c r="B369" s="1" t="n">
        <v>44977</v>
      </c>
      <c r="C369" s="1" t="n">
        <v>45878</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22488-2025</t>
        </is>
      </c>
      <c r="B370" s="1" t="n">
        <v>45786.64865740741</v>
      </c>
      <c r="C370" s="1" t="n">
        <v>45878</v>
      </c>
      <c r="D370" t="inlineStr">
        <is>
          <t>UPPSALA LÄN</t>
        </is>
      </c>
      <c r="E370" t="inlineStr">
        <is>
          <t>ÖSTHAMMAR</t>
        </is>
      </c>
      <c r="F370" t="inlineStr">
        <is>
          <t>Bergvik skog öst AB</t>
        </is>
      </c>
      <c r="G370" t="n">
        <v>14.9</v>
      </c>
      <c r="H370" t="n">
        <v>0</v>
      </c>
      <c r="I370" t="n">
        <v>0</v>
      </c>
      <c r="J370" t="n">
        <v>0</v>
      </c>
      <c r="K370" t="n">
        <v>0</v>
      </c>
      <c r="L370" t="n">
        <v>0</v>
      </c>
      <c r="M370" t="n">
        <v>0</v>
      </c>
      <c r="N370" t="n">
        <v>0</v>
      </c>
      <c r="O370" t="n">
        <v>0</v>
      </c>
      <c r="P370" t="n">
        <v>0</v>
      </c>
      <c r="Q370" t="n">
        <v>0</v>
      </c>
      <c r="R370" s="2" t="inlineStr"/>
    </row>
    <row r="371" ht="15" customHeight="1">
      <c r="A371" t="inlineStr">
        <is>
          <t>A 36954-2024</t>
        </is>
      </c>
      <c r="B371" s="1" t="n">
        <v>45538.71109953704</v>
      </c>
      <c r="C371" s="1" t="n">
        <v>45878</v>
      </c>
      <c r="D371" t="inlineStr">
        <is>
          <t>UPPSALA LÄN</t>
        </is>
      </c>
      <c r="E371" t="inlineStr">
        <is>
          <t>ÖSTHAMMAR</t>
        </is>
      </c>
      <c r="F371" t="inlineStr">
        <is>
          <t>Bergvik skog öst AB</t>
        </is>
      </c>
      <c r="G371" t="n">
        <v>5.1</v>
      </c>
      <c r="H371" t="n">
        <v>0</v>
      </c>
      <c r="I371" t="n">
        <v>0</v>
      </c>
      <c r="J371" t="n">
        <v>0</v>
      </c>
      <c r="K371" t="n">
        <v>0</v>
      </c>
      <c r="L371" t="n">
        <v>0</v>
      </c>
      <c r="M371" t="n">
        <v>0</v>
      </c>
      <c r="N371" t="n">
        <v>0</v>
      </c>
      <c r="O371" t="n">
        <v>0</v>
      </c>
      <c r="P371" t="n">
        <v>0</v>
      </c>
      <c r="Q371" t="n">
        <v>0</v>
      </c>
      <c r="R371" s="2" t="inlineStr"/>
    </row>
    <row r="372" ht="15" customHeight="1">
      <c r="A372" t="inlineStr">
        <is>
          <t>A 1567-2025</t>
        </is>
      </c>
      <c r="B372" s="1" t="n">
        <v>45670</v>
      </c>
      <c r="C372" s="1" t="n">
        <v>45878</v>
      </c>
      <c r="D372" t="inlineStr">
        <is>
          <t>UPPSALA LÄN</t>
        </is>
      </c>
      <c r="E372" t="inlineStr">
        <is>
          <t>ÖSTHAMMAR</t>
        </is>
      </c>
      <c r="G372" t="n">
        <v>2.8</v>
      </c>
      <c r="H372" t="n">
        <v>0</v>
      </c>
      <c r="I372" t="n">
        <v>0</v>
      </c>
      <c r="J372" t="n">
        <v>0</v>
      </c>
      <c r="K372" t="n">
        <v>0</v>
      </c>
      <c r="L372" t="n">
        <v>0</v>
      </c>
      <c r="M372" t="n">
        <v>0</v>
      </c>
      <c r="N372" t="n">
        <v>0</v>
      </c>
      <c r="O372" t="n">
        <v>0</v>
      </c>
      <c r="P372" t="n">
        <v>0</v>
      </c>
      <c r="Q372" t="n">
        <v>0</v>
      </c>
      <c r="R372" s="2" t="inlineStr"/>
    </row>
    <row r="373" ht="15" customHeight="1">
      <c r="A373" t="inlineStr">
        <is>
          <t>A 22483-2025</t>
        </is>
      </c>
      <c r="B373" s="1" t="n">
        <v>45786.64141203704</v>
      </c>
      <c r="C373" s="1" t="n">
        <v>45878</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2839-2025</t>
        </is>
      </c>
      <c r="B374" s="1" t="n">
        <v>45677</v>
      </c>
      <c r="C374" s="1" t="n">
        <v>45878</v>
      </c>
      <c r="D374" t="inlineStr">
        <is>
          <t>UPPSALA LÄN</t>
        </is>
      </c>
      <c r="E374" t="inlineStr">
        <is>
          <t>ÖSTHAMMAR</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2947-2025</t>
        </is>
      </c>
      <c r="B375" s="1" t="n">
        <v>45678</v>
      </c>
      <c r="C375" s="1" t="n">
        <v>45878</v>
      </c>
      <c r="D375" t="inlineStr">
        <is>
          <t>UPPSALA LÄN</t>
        </is>
      </c>
      <c r="E375" t="inlineStr">
        <is>
          <t>ÖSTHAMMAR</t>
        </is>
      </c>
      <c r="G375" t="n">
        <v>3.6</v>
      </c>
      <c r="H375" t="n">
        <v>0</v>
      </c>
      <c r="I375" t="n">
        <v>0</v>
      </c>
      <c r="J375" t="n">
        <v>0</v>
      </c>
      <c r="K375" t="n">
        <v>0</v>
      </c>
      <c r="L375" t="n">
        <v>0</v>
      </c>
      <c r="M375" t="n">
        <v>0</v>
      </c>
      <c r="N375" t="n">
        <v>0</v>
      </c>
      <c r="O375" t="n">
        <v>0</v>
      </c>
      <c r="P375" t="n">
        <v>0</v>
      </c>
      <c r="Q375" t="n">
        <v>0</v>
      </c>
      <c r="R375" s="2" t="inlineStr"/>
    </row>
    <row r="376" ht="15" customHeight="1">
      <c r="A376" t="inlineStr">
        <is>
          <t>A 17930-2025</t>
        </is>
      </c>
      <c r="B376" s="1" t="n">
        <v>45759.56738425926</v>
      </c>
      <c r="C376" s="1" t="n">
        <v>45878</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46785-2023</t>
        </is>
      </c>
      <c r="B377" s="1" t="n">
        <v>45198</v>
      </c>
      <c r="C377" s="1" t="n">
        <v>45878</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59291-2023</t>
        </is>
      </c>
      <c r="B378" s="1" t="n">
        <v>45253.57559027777</v>
      </c>
      <c r="C378" s="1" t="n">
        <v>45878</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43685-2024</t>
        </is>
      </c>
      <c r="B379" s="1" t="n">
        <v>45569</v>
      </c>
      <c r="C379" s="1" t="n">
        <v>45878</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38575-2024</t>
        </is>
      </c>
      <c r="B380" s="1" t="n">
        <v>45546.64221064815</v>
      </c>
      <c r="C380" s="1" t="n">
        <v>45878</v>
      </c>
      <c r="D380" t="inlineStr">
        <is>
          <t>UPPSALA LÄN</t>
        </is>
      </c>
      <c r="E380" t="inlineStr">
        <is>
          <t>ÖSTHAMMAR</t>
        </is>
      </c>
      <c r="F380" t="inlineStr">
        <is>
          <t>Bergvik skog öst AB</t>
        </is>
      </c>
      <c r="G380" t="n">
        <v>5.1</v>
      </c>
      <c r="H380" t="n">
        <v>0</v>
      </c>
      <c r="I380" t="n">
        <v>0</v>
      </c>
      <c r="J380" t="n">
        <v>0</v>
      </c>
      <c r="K380" t="n">
        <v>0</v>
      </c>
      <c r="L380" t="n">
        <v>0</v>
      </c>
      <c r="M380" t="n">
        <v>0</v>
      </c>
      <c r="N380" t="n">
        <v>0</v>
      </c>
      <c r="O380" t="n">
        <v>0</v>
      </c>
      <c r="P380" t="n">
        <v>0</v>
      </c>
      <c r="Q380" t="n">
        <v>0</v>
      </c>
      <c r="R380" s="2" t="inlineStr"/>
    </row>
    <row r="381" ht="15" customHeight="1">
      <c r="A381" t="inlineStr">
        <is>
          <t>A 43993-2024</t>
        </is>
      </c>
      <c r="B381" s="1" t="n">
        <v>45572.52690972222</v>
      </c>
      <c r="C381" s="1" t="n">
        <v>45878</v>
      </c>
      <c r="D381" t="inlineStr">
        <is>
          <t>UPPSALA LÄN</t>
        </is>
      </c>
      <c r="E381" t="inlineStr">
        <is>
          <t>ÖSTHAMMAR</t>
        </is>
      </c>
      <c r="G381" t="n">
        <v>1.5</v>
      </c>
      <c r="H381" t="n">
        <v>0</v>
      </c>
      <c r="I381" t="n">
        <v>0</v>
      </c>
      <c r="J381" t="n">
        <v>0</v>
      </c>
      <c r="K381" t="n">
        <v>0</v>
      </c>
      <c r="L381" t="n">
        <v>0</v>
      </c>
      <c r="M381" t="n">
        <v>0</v>
      </c>
      <c r="N381" t="n">
        <v>0</v>
      </c>
      <c r="O381" t="n">
        <v>0</v>
      </c>
      <c r="P381" t="n">
        <v>0</v>
      </c>
      <c r="Q381" t="n">
        <v>0</v>
      </c>
      <c r="R381" s="2" t="inlineStr"/>
    </row>
    <row r="382" ht="15" customHeight="1">
      <c r="A382" t="inlineStr">
        <is>
          <t>A 73965-2021</t>
        </is>
      </c>
      <c r="B382" s="1" t="n">
        <v>44553.80824074074</v>
      </c>
      <c r="C382" s="1" t="n">
        <v>45878</v>
      </c>
      <c r="D382" t="inlineStr">
        <is>
          <t>UPPSALA LÄN</t>
        </is>
      </c>
      <c r="E382" t="inlineStr">
        <is>
          <t>ÖSTHAMMAR</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22492-2025</t>
        </is>
      </c>
      <c r="B383" s="1" t="n">
        <v>45786.65072916666</v>
      </c>
      <c r="C383" s="1" t="n">
        <v>45878</v>
      </c>
      <c r="D383" t="inlineStr">
        <is>
          <t>UPPSALA LÄN</t>
        </is>
      </c>
      <c r="E383" t="inlineStr">
        <is>
          <t>ÖSTHAMMAR</t>
        </is>
      </c>
      <c r="F383" t="inlineStr">
        <is>
          <t>Bergvik skog öst AB</t>
        </is>
      </c>
      <c r="G383" t="n">
        <v>16.6</v>
      </c>
      <c r="H383" t="n">
        <v>0</v>
      </c>
      <c r="I383" t="n">
        <v>0</v>
      </c>
      <c r="J383" t="n">
        <v>0</v>
      </c>
      <c r="K383" t="n">
        <v>0</v>
      </c>
      <c r="L383" t="n">
        <v>0</v>
      </c>
      <c r="M383" t="n">
        <v>0</v>
      </c>
      <c r="N383" t="n">
        <v>0</v>
      </c>
      <c r="O383" t="n">
        <v>0</v>
      </c>
      <c r="P383" t="n">
        <v>0</v>
      </c>
      <c r="Q383" t="n">
        <v>0</v>
      </c>
      <c r="R383" s="2" t="inlineStr"/>
    </row>
    <row r="384" ht="15" customHeight="1">
      <c r="A384" t="inlineStr">
        <is>
          <t>A 5931-2022</t>
        </is>
      </c>
      <c r="B384" s="1" t="n">
        <v>44598.82700231481</v>
      </c>
      <c r="C384" s="1" t="n">
        <v>45878</v>
      </c>
      <c r="D384" t="inlineStr">
        <is>
          <t>UPPSALA LÄN</t>
        </is>
      </c>
      <c r="E384" t="inlineStr">
        <is>
          <t>ÖSTHAMMAR</t>
        </is>
      </c>
      <c r="F384" t="inlineStr">
        <is>
          <t>Bergvik skog öst AB</t>
        </is>
      </c>
      <c r="G384" t="n">
        <v>0.7</v>
      </c>
      <c r="H384" t="n">
        <v>0</v>
      </c>
      <c r="I384" t="n">
        <v>0</v>
      </c>
      <c r="J384" t="n">
        <v>0</v>
      </c>
      <c r="K384" t="n">
        <v>0</v>
      </c>
      <c r="L384" t="n">
        <v>0</v>
      </c>
      <c r="M384" t="n">
        <v>0</v>
      </c>
      <c r="N384" t="n">
        <v>0</v>
      </c>
      <c r="O384" t="n">
        <v>0</v>
      </c>
      <c r="P384" t="n">
        <v>0</v>
      </c>
      <c r="Q384" t="n">
        <v>0</v>
      </c>
      <c r="R384" s="2" t="inlineStr"/>
    </row>
    <row r="385" ht="15" customHeight="1">
      <c r="A385" t="inlineStr">
        <is>
          <t>A 43655-2024</t>
        </is>
      </c>
      <c r="B385" s="1" t="n">
        <v>45569</v>
      </c>
      <c r="C385" s="1" t="n">
        <v>45878</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43683-2024</t>
        </is>
      </c>
      <c r="B386" s="1" t="n">
        <v>45569.57518518518</v>
      </c>
      <c r="C386" s="1" t="n">
        <v>45878</v>
      </c>
      <c r="D386" t="inlineStr">
        <is>
          <t>UPPSALA LÄN</t>
        </is>
      </c>
      <c r="E386" t="inlineStr">
        <is>
          <t>ÖSTHAMMAR</t>
        </is>
      </c>
      <c r="G386" t="n">
        <v>4.7</v>
      </c>
      <c r="H386" t="n">
        <v>0</v>
      </c>
      <c r="I386" t="n">
        <v>0</v>
      </c>
      <c r="J386" t="n">
        <v>0</v>
      </c>
      <c r="K386" t="n">
        <v>0</v>
      </c>
      <c r="L386" t="n">
        <v>0</v>
      </c>
      <c r="M386" t="n">
        <v>0</v>
      </c>
      <c r="N386" t="n">
        <v>0</v>
      </c>
      <c r="O386" t="n">
        <v>0</v>
      </c>
      <c r="P386" t="n">
        <v>0</v>
      </c>
      <c r="Q386" t="n">
        <v>0</v>
      </c>
      <c r="R386" s="2" t="inlineStr"/>
    </row>
    <row r="387" ht="15" customHeight="1">
      <c r="A387" t="inlineStr">
        <is>
          <t>A 73592-2021</t>
        </is>
      </c>
      <c r="B387" s="1" t="n">
        <v>44552.36974537037</v>
      </c>
      <c r="C387" s="1" t="n">
        <v>45878</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31479-2023</t>
        </is>
      </c>
      <c r="B388" s="1" t="n">
        <v>45114.79793981482</v>
      </c>
      <c r="C388" s="1" t="n">
        <v>45878</v>
      </c>
      <c r="D388" t="inlineStr">
        <is>
          <t>UPPSALA LÄN</t>
        </is>
      </c>
      <c r="E388" t="inlineStr">
        <is>
          <t>ÖSTHAMMAR</t>
        </is>
      </c>
      <c r="F388" t="inlineStr">
        <is>
          <t>Bergvik skog öst AB</t>
        </is>
      </c>
      <c r="G388" t="n">
        <v>1.9</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44501.76855324074</v>
      </c>
      <c r="C389" s="1" t="n">
        <v>45878</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24128-2023</t>
        </is>
      </c>
      <c r="B390" s="1" t="n">
        <v>45079.50289351852</v>
      </c>
      <c r="C390" s="1" t="n">
        <v>45878</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73982-2021</t>
        </is>
      </c>
      <c r="B391" s="1" t="n">
        <v>44555.80339120371</v>
      </c>
      <c r="C391" s="1" t="n">
        <v>45878</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14859-2025</t>
        </is>
      </c>
      <c r="B392" s="1" t="n">
        <v>45743.42427083333</v>
      </c>
      <c r="C392" s="1" t="n">
        <v>45878</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45878</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14272-2025</t>
        </is>
      </c>
      <c r="B394" s="1" t="n">
        <v>45740.64327546296</v>
      </c>
      <c r="C394" s="1" t="n">
        <v>45878</v>
      </c>
      <c r="D394" t="inlineStr">
        <is>
          <t>UPPSALA LÄN</t>
        </is>
      </c>
      <c r="E394" t="inlineStr">
        <is>
          <t>ÖSTHAMMAR</t>
        </is>
      </c>
      <c r="G394" t="n">
        <v>5.7</v>
      </c>
      <c r="H394" t="n">
        <v>0</v>
      </c>
      <c r="I394" t="n">
        <v>0</v>
      </c>
      <c r="J394" t="n">
        <v>0</v>
      </c>
      <c r="K394" t="n">
        <v>0</v>
      </c>
      <c r="L394" t="n">
        <v>0</v>
      </c>
      <c r="M394" t="n">
        <v>0</v>
      </c>
      <c r="N394" t="n">
        <v>0</v>
      </c>
      <c r="O394" t="n">
        <v>0</v>
      </c>
      <c r="P394" t="n">
        <v>0</v>
      </c>
      <c r="Q394" t="n">
        <v>0</v>
      </c>
      <c r="R394" s="2" t="inlineStr"/>
    </row>
    <row r="395" ht="15" customHeight="1">
      <c r="A395" t="inlineStr">
        <is>
          <t>A 32483-2024</t>
        </is>
      </c>
      <c r="B395" s="1" t="n">
        <v>45513.36644675926</v>
      </c>
      <c r="C395" s="1" t="n">
        <v>45878</v>
      </c>
      <c r="D395" t="inlineStr">
        <is>
          <t>UPPSALA LÄN</t>
        </is>
      </c>
      <c r="E395" t="inlineStr">
        <is>
          <t>ÖSTHAMMAR</t>
        </is>
      </c>
      <c r="F395" t="inlineStr">
        <is>
          <t>Kyrkan</t>
        </is>
      </c>
      <c r="G395" t="n">
        <v>4.7</v>
      </c>
      <c r="H395" t="n">
        <v>0</v>
      </c>
      <c r="I395" t="n">
        <v>0</v>
      </c>
      <c r="J395" t="n">
        <v>0</v>
      </c>
      <c r="K395" t="n">
        <v>0</v>
      </c>
      <c r="L395" t="n">
        <v>0</v>
      </c>
      <c r="M395" t="n">
        <v>0</v>
      </c>
      <c r="N395" t="n">
        <v>0</v>
      </c>
      <c r="O395" t="n">
        <v>0</v>
      </c>
      <c r="P395" t="n">
        <v>0</v>
      </c>
      <c r="Q395" t="n">
        <v>0</v>
      </c>
      <c r="R395" s="2" t="inlineStr"/>
    </row>
    <row r="396" ht="15" customHeight="1">
      <c r="A396" t="inlineStr">
        <is>
          <t>A 27660-2023</t>
        </is>
      </c>
      <c r="B396" s="1" t="n">
        <v>45097</v>
      </c>
      <c r="C396" s="1" t="n">
        <v>45878</v>
      </c>
      <c r="D396" t="inlineStr">
        <is>
          <t>UPPSALA LÄN</t>
        </is>
      </c>
      <c r="E396" t="inlineStr">
        <is>
          <t>ÖSTHAMMAR</t>
        </is>
      </c>
      <c r="G396" t="n">
        <v>2.8</v>
      </c>
      <c r="H396" t="n">
        <v>0</v>
      </c>
      <c r="I396" t="n">
        <v>0</v>
      </c>
      <c r="J396" t="n">
        <v>0</v>
      </c>
      <c r="K396" t="n">
        <v>0</v>
      </c>
      <c r="L396" t="n">
        <v>0</v>
      </c>
      <c r="M396" t="n">
        <v>0</v>
      </c>
      <c r="N396" t="n">
        <v>0</v>
      </c>
      <c r="O396" t="n">
        <v>0</v>
      </c>
      <c r="P396" t="n">
        <v>0</v>
      </c>
      <c r="Q396" t="n">
        <v>0</v>
      </c>
      <c r="R396" s="2" t="inlineStr"/>
    </row>
    <row r="397" ht="15" customHeight="1">
      <c r="A397" t="inlineStr">
        <is>
          <t>A 4004-2023</t>
        </is>
      </c>
      <c r="B397" s="1" t="n">
        <v>44952</v>
      </c>
      <c r="C397" s="1" t="n">
        <v>45878</v>
      </c>
      <c r="D397" t="inlineStr">
        <is>
          <t>UPPSALA LÄN</t>
        </is>
      </c>
      <c r="E397" t="inlineStr">
        <is>
          <t>ÖSTHAMMAR</t>
        </is>
      </c>
      <c r="G397" t="n">
        <v>4.1</v>
      </c>
      <c r="H397" t="n">
        <v>0</v>
      </c>
      <c r="I397" t="n">
        <v>0</v>
      </c>
      <c r="J397" t="n">
        <v>0</v>
      </c>
      <c r="K397" t="n">
        <v>0</v>
      </c>
      <c r="L397" t="n">
        <v>0</v>
      </c>
      <c r="M397" t="n">
        <v>0</v>
      </c>
      <c r="N397" t="n">
        <v>0</v>
      </c>
      <c r="O397" t="n">
        <v>0</v>
      </c>
      <c r="P397" t="n">
        <v>0</v>
      </c>
      <c r="Q397" t="n">
        <v>0</v>
      </c>
      <c r="R397" s="2" t="inlineStr"/>
    </row>
    <row r="398" ht="15" customHeight="1">
      <c r="A398" t="inlineStr">
        <is>
          <t>A 14595-2023</t>
        </is>
      </c>
      <c r="B398" s="1" t="n">
        <v>45013.57858796296</v>
      </c>
      <c r="C398" s="1" t="n">
        <v>45878</v>
      </c>
      <c r="D398" t="inlineStr">
        <is>
          <t>UPPSALA LÄN</t>
        </is>
      </c>
      <c r="E398" t="inlineStr">
        <is>
          <t>ÖSTHAMMAR</t>
        </is>
      </c>
      <c r="G398" t="n">
        <v>5</v>
      </c>
      <c r="H398" t="n">
        <v>0</v>
      </c>
      <c r="I398" t="n">
        <v>0</v>
      </c>
      <c r="J398" t="n">
        <v>0</v>
      </c>
      <c r="K398" t="n">
        <v>0</v>
      </c>
      <c r="L398" t="n">
        <v>0</v>
      </c>
      <c r="M398" t="n">
        <v>0</v>
      </c>
      <c r="N398" t="n">
        <v>0</v>
      </c>
      <c r="O398" t="n">
        <v>0</v>
      </c>
      <c r="P398" t="n">
        <v>0</v>
      </c>
      <c r="Q398" t="n">
        <v>0</v>
      </c>
      <c r="R398" s="2" t="inlineStr"/>
    </row>
    <row r="399" ht="15" customHeight="1">
      <c r="A399" t="inlineStr">
        <is>
          <t>A 62394-2022</t>
        </is>
      </c>
      <c r="B399" s="1" t="n">
        <v>44923.82017361111</v>
      </c>
      <c r="C399" s="1" t="n">
        <v>45878</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1527-2025</t>
        </is>
      </c>
      <c r="B400" s="1" t="n">
        <v>45670</v>
      </c>
      <c r="C400" s="1" t="n">
        <v>45878</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35474-2023</t>
        </is>
      </c>
      <c r="B401" s="1" t="n">
        <v>45146.68921296296</v>
      </c>
      <c r="C401" s="1" t="n">
        <v>45878</v>
      </c>
      <c r="D401" t="inlineStr">
        <is>
          <t>UPPSALA LÄN</t>
        </is>
      </c>
      <c r="E401" t="inlineStr">
        <is>
          <t>ÖSTHAMMAR</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26303-2024</t>
        </is>
      </c>
      <c r="B402" s="1" t="n">
        <v>45468</v>
      </c>
      <c r="C402" s="1" t="n">
        <v>45878</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44152-2024</t>
        </is>
      </c>
      <c r="B403" s="1" t="n">
        <v>45572</v>
      </c>
      <c r="C403" s="1" t="n">
        <v>45878</v>
      </c>
      <c r="D403" t="inlineStr">
        <is>
          <t>UPPSALA LÄN</t>
        </is>
      </c>
      <c r="E403" t="inlineStr">
        <is>
          <t>ÖSTHAMMAR</t>
        </is>
      </c>
      <c r="G403" t="n">
        <v>1.6</v>
      </c>
      <c r="H403" t="n">
        <v>0</v>
      </c>
      <c r="I403" t="n">
        <v>0</v>
      </c>
      <c r="J403" t="n">
        <v>0</v>
      </c>
      <c r="K403" t="n">
        <v>0</v>
      </c>
      <c r="L403" t="n">
        <v>0</v>
      </c>
      <c r="M403" t="n">
        <v>0</v>
      </c>
      <c r="N403" t="n">
        <v>0</v>
      </c>
      <c r="O403" t="n">
        <v>0</v>
      </c>
      <c r="P403" t="n">
        <v>0</v>
      </c>
      <c r="Q403" t="n">
        <v>0</v>
      </c>
      <c r="R403" s="2" t="inlineStr"/>
    </row>
    <row r="404" ht="15" customHeight="1">
      <c r="A404" t="inlineStr">
        <is>
          <t>A 33685-2024</t>
        </is>
      </c>
      <c r="B404" s="1" t="n">
        <v>45520.51063657407</v>
      </c>
      <c r="C404" s="1" t="n">
        <v>45878</v>
      </c>
      <c r="D404" t="inlineStr">
        <is>
          <t>UPPSALA LÄN</t>
        </is>
      </c>
      <c r="E404" t="inlineStr">
        <is>
          <t>ÖSTHAMMAR</t>
        </is>
      </c>
      <c r="F404" t="inlineStr">
        <is>
          <t>Bergvik skog öst AB</t>
        </is>
      </c>
      <c r="G404" t="n">
        <v>3.8</v>
      </c>
      <c r="H404" t="n">
        <v>0</v>
      </c>
      <c r="I404" t="n">
        <v>0</v>
      </c>
      <c r="J404" t="n">
        <v>0</v>
      </c>
      <c r="K404" t="n">
        <v>0</v>
      </c>
      <c r="L404" t="n">
        <v>0</v>
      </c>
      <c r="M404" t="n">
        <v>0</v>
      </c>
      <c r="N404" t="n">
        <v>0</v>
      </c>
      <c r="O404" t="n">
        <v>0</v>
      </c>
      <c r="P404" t="n">
        <v>0</v>
      </c>
      <c r="Q404" t="n">
        <v>0</v>
      </c>
      <c r="R404" s="2" t="inlineStr"/>
    </row>
    <row r="405" ht="15" customHeight="1">
      <c r="A405" t="inlineStr">
        <is>
          <t>A 4561-2022</t>
        </is>
      </c>
      <c r="B405" s="1" t="n">
        <v>44591.59170138889</v>
      </c>
      <c r="C405" s="1" t="n">
        <v>45878</v>
      </c>
      <c r="D405" t="inlineStr">
        <is>
          <t>UPPSALA LÄN</t>
        </is>
      </c>
      <c r="E405" t="inlineStr">
        <is>
          <t>ÖSTHAMMAR</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44027-2024</t>
        </is>
      </c>
      <c r="B406" s="1" t="n">
        <v>45572</v>
      </c>
      <c r="C406" s="1" t="n">
        <v>45878</v>
      </c>
      <c r="D406" t="inlineStr">
        <is>
          <t>UPPSALA LÄN</t>
        </is>
      </c>
      <c r="E406" t="inlineStr">
        <is>
          <t>ÖSTHAMMAR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17651-2025</t>
        </is>
      </c>
      <c r="B407" s="1" t="n">
        <v>45758.33304398148</v>
      </c>
      <c r="C407" s="1" t="n">
        <v>45878</v>
      </c>
      <c r="D407" t="inlineStr">
        <is>
          <t>UPPSALA LÄN</t>
        </is>
      </c>
      <c r="E407" t="inlineStr">
        <is>
          <t>ÖSTHAMMAR</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6325-2025</t>
        </is>
      </c>
      <c r="B408" s="1" t="n">
        <v>45698.84960648148</v>
      </c>
      <c r="C408" s="1" t="n">
        <v>45878</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6327-2025</t>
        </is>
      </c>
      <c r="B409" s="1" t="n">
        <v>45698.85274305556</v>
      </c>
      <c r="C409" s="1" t="n">
        <v>45878</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6153-2022</t>
        </is>
      </c>
      <c r="B410" s="1" t="n">
        <v>44599</v>
      </c>
      <c r="C410" s="1" t="n">
        <v>45878</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10290-2025</t>
        </is>
      </c>
      <c r="B411" s="1" t="n">
        <v>45720.41847222222</v>
      </c>
      <c r="C411" s="1" t="n">
        <v>45878</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1800-2023</t>
        </is>
      </c>
      <c r="B412" s="1" t="n">
        <v>44938</v>
      </c>
      <c r="C412" s="1" t="n">
        <v>45878</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47341-2023</t>
        </is>
      </c>
      <c r="B413" s="1" t="n">
        <v>45202.55721064815</v>
      </c>
      <c r="C413" s="1" t="n">
        <v>45878</v>
      </c>
      <c r="D413" t="inlineStr">
        <is>
          <t>UPPSALA LÄN</t>
        </is>
      </c>
      <c r="E413" t="inlineStr">
        <is>
          <t>ÖSTHAMMAR</t>
        </is>
      </c>
      <c r="G413" t="n">
        <v>4.9</v>
      </c>
      <c r="H413" t="n">
        <v>0</v>
      </c>
      <c r="I413" t="n">
        <v>0</v>
      </c>
      <c r="J413" t="n">
        <v>0</v>
      </c>
      <c r="K413" t="n">
        <v>0</v>
      </c>
      <c r="L413" t="n">
        <v>0</v>
      </c>
      <c r="M413" t="n">
        <v>0</v>
      </c>
      <c r="N413" t="n">
        <v>0</v>
      </c>
      <c r="O413" t="n">
        <v>0</v>
      </c>
      <c r="P413" t="n">
        <v>0</v>
      </c>
      <c r="Q413" t="n">
        <v>0</v>
      </c>
      <c r="R413" s="2" t="inlineStr"/>
    </row>
    <row r="414" ht="15" customHeight="1">
      <c r="A414" t="inlineStr">
        <is>
          <t>A 45102-2024</t>
        </is>
      </c>
      <c r="B414" s="1" t="n">
        <v>45575.58836805556</v>
      </c>
      <c r="C414" s="1" t="n">
        <v>45878</v>
      </c>
      <c r="D414" t="inlineStr">
        <is>
          <t>UPPSALA LÄN</t>
        </is>
      </c>
      <c r="E414" t="inlineStr">
        <is>
          <t>ÖSTHAMMAR</t>
        </is>
      </c>
      <c r="G414" t="n">
        <v>8.6</v>
      </c>
      <c r="H414" t="n">
        <v>0</v>
      </c>
      <c r="I414" t="n">
        <v>0</v>
      </c>
      <c r="J414" t="n">
        <v>0</v>
      </c>
      <c r="K414" t="n">
        <v>0</v>
      </c>
      <c r="L414" t="n">
        <v>0</v>
      </c>
      <c r="M414" t="n">
        <v>0</v>
      </c>
      <c r="N414" t="n">
        <v>0</v>
      </c>
      <c r="O414" t="n">
        <v>0</v>
      </c>
      <c r="P414" t="n">
        <v>0</v>
      </c>
      <c r="Q414" t="n">
        <v>0</v>
      </c>
      <c r="R414" s="2" t="inlineStr"/>
    </row>
    <row r="415" ht="15" customHeight="1">
      <c r="A415" t="inlineStr">
        <is>
          <t>A 45307-2023</t>
        </is>
      </c>
      <c r="B415" s="1" t="n">
        <v>45191</v>
      </c>
      <c r="C415" s="1" t="n">
        <v>45878</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23305-2025</t>
        </is>
      </c>
      <c r="B416" s="1" t="n">
        <v>45791.60127314815</v>
      </c>
      <c r="C416" s="1" t="n">
        <v>45878</v>
      </c>
      <c r="D416" t="inlineStr">
        <is>
          <t>UPPSALA LÄN</t>
        </is>
      </c>
      <c r="E416" t="inlineStr">
        <is>
          <t>ÖSTHAMMAR</t>
        </is>
      </c>
      <c r="G416" t="n">
        <v>1.9</v>
      </c>
      <c r="H416" t="n">
        <v>0</v>
      </c>
      <c r="I416" t="n">
        <v>0</v>
      </c>
      <c r="J416" t="n">
        <v>0</v>
      </c>
      <c r="K416" t="n">
        <v>0</v>
      </c>
      <c r="L416" t="n">
        <v>0</v>
      </c>
      <c r="M416" t="n">
        <v>0</v>
      </c>
      <c r="N416" t="n">
        <v>0</v>
      </c>
      <c r="O416" t="n">
        <v>0</v>
      </c>
      <c r="P416" t="n">
        <v>0</v>
      </c>
      <c r="Q416" t="n">
        <v>0</v>
      </c>
      <c r="R416" s="2" t="inlineStr"/>
    </row>
    <row r="417" ht="15" customHeight="1">
      <c r="A417" t="inlineStr">
        <is>
          <t>A 6661-2024</t>
        </is>
      </c>
      <c r="B417" s="1" t="n">
        <v>45341.70582175926</v>
      </c>
      <c r="C417" s="1" t="n">
        <v>45878</v>
      </c>
      <c r="D417" t="inlineStr">
        <is>
          <t>UPPSALA LÄN</t>
        </is>
      </c>
      <c r="E417" t="inlineStr">
        <is>
          <t>ÖSTHAMMAR</t>
        </is>
      </c>
      <c r="G417" t="n">
        <v>0.2</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45878</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61216-2022</t>
        </is>
      </c>
      <c r="B419" s="1" t="n">
        <v>44915.55423611111</v>
      </c>
      <c r="C419" s="1" t="n">
        <v>45878</v>
      </c>
      <c r="D419" t="inlineStr">
        <is>
          <t>UPPSALA LÄN</t>
        </is>
      </c>
      <c r="E419" t="inlineStr">
        <is>
          <t>ÖSTHAMMAR</t>
        </is>
      </c>
      <c r="G419" t="n">
        <v>2.9</v>
      </c>
      <c r="H419" t="n">
        <v>0</v>
      </c>
      <c r="I419" t="n">
        <v>0</v>
      </c>
      <c r="J419" t="n">
        <v>0</v>
      </c>
      <c r="K419" t="n">
        <v>0</v>
      </c>
      <c r="L419" t="n">
        <v>0</v>
      </c>
      <c r="M419" t="n">
        <v>0</v>
      </c>
      <c r="N419" t="n">
        <v>0</v>
      </c>
      <c r="O419" t="n">
        <v>0</v>
      </c>
      <c r="P419" t="n">
        <v>0</v>
      </c>
      <c r="Q419" t="n">
        <v>0</v>
      </c>
      <c r="R419" s="2" t="inlineStr"/>
    </row>
    <row r="420" ht="15" customHeight="1">
      <c r="A420" t="inlineStr">
        <is>
          <t>A 52478-2024</t>
        </is>
      </c>
      <c r="B420" s="1" t="n">
        <v>45609.55065972222</v>
      </c>
      <c r="C420" s="1" t="n">
        <v>45878</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5933-2022</t>
        </is>
      </c>
      <c r="B421" s="1" t="n">
        <v>44598.82957175926</v>
      </c>
      <c r="C421" s="1" t="n">
        <v>45878</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70008-2021</t>
        </is>
      </c>
      <c r="B422" s="1" t="n">
        <v>44533.44887731481</v>
      </c>
      <c r="C422" s="1" t="n">
        <v>45878</v>
      </c>
      <c r="D422" t="inlineStr">
        <is>
          <t>UPPSALA LÄN</t>
        </is>
      </c>
      <c r="E422" t="inlineStr">
        <is>
          <t>ÖSTHAMMAR</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29873-2023</t>
        </is>
      </c>
      <c r="B423" s="1" t="n">
        <v>45107</v>
      </c>
      <c r="C423" s="1" t="n">
        <v>45878</v>
      </c>
      <c r="D423" t="inlineStr">
        <is>
          <t>UPPSALA LÄN</t>
        </is>
      </c>
      <c r="E423" t="inlineStr">
        <is>
          <t>ÖSTHAMMAR</t>
        </is>
      </c>
      <c r="F423" t="inlineStr">
        <is>
          <t>Naturvårdsverket</t>
        </is>
      </c>
      <c r="G423" t="n">
        <v>7.8</v>
      </c>
      <c r="H423" t="n">
        <v>0</v>
      </c>
      <c r="I423" t="n">
        <v>0</v>
      </c>
      <c r="J423" t="n">
        <v>0</v>
      </c>
      <c r="K423" t="n">
        <v>0</v>
      </c>
      <c r="L423" t="n">
        <v>0</v>
      </c>
      <c r="M423" t="n">
        <v>0</v>
      </c>
      <c r="N423" t="n">
        <v>0</v>
      </c>
      <c r="O423" t="n">
        <v>0</v>
      </c>
      <c r="P423" t="n">
        <v>0</v>
      </c>
      <c r="Q423" t="n">
        <v>0</v>
      </c>
      <c r="R423" s="2" t="inlineStr"/>
    </row>
    <row r="424" ht="15" customHeight="1">
      <c r="A424" t="inlineStr">
        <is>
          <t>A 24606-2024</t>
        </is>
      </c>
      <c r="B424" s="1" t="n">
        <v>45460</v>
      </c>
      <c r="C424" s="1" t="n">
        <v>45878</v>
      </c>
      <c r="D424" t="inlineStr">
        <is>
          <t>UPPSALA LÄN</t>
        </is>
      </c>
      <c r="E424" t="inlineStr">
        <is>
          <t>ÖSTHAMMAR</t>
        </is>
      </c>
      <c r="F424" t="inlineStr">
        <is>
          <t>Bergvik skog öst AB</t>
        </is>
      </c>
      <c r="G424" t="n">
        <v>2.9</v>
      </c>
      <c r="H424" t="n">
        <v>0</v>
      </c>
      <c r="I424" t="n">
        <v>0</v>
      </c>
      <c r="J424" t="n">
        <v>0</v>
      </c>
      <c r="K424" t="n">
        <v>0</v>
      </c>
      <c r="L424" t="n">
        <v>0</v>
      </c>
      <c r="M424" t="n">
        <v>0</v>
      </c>
      <c r="N424" t="n">
        <v>0</v>
      </c>
      <c r="O424" t="n">
        <v>0</v>
      </c>
      <c r="P424" t="n">
        <v>0</v>
      </c>
      <c r="Q424" t="n">
        <v>0</v>
      </c>
      <c r="R424" s="2" t="inlineStr"/>
    </row>
    <row r="425" ht="15" customHeight="1">
      <c r="A425" t="inlineStr">
        <is>
          <t>A 13279-2022</t>
        </is>
      </c>
      <c r="B425" s="1" t="n">
        <v>44644</v>
      </c>
      <c r="C425" s="1" t="n">
        <v>45878</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45878</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55389-2020</t>
        </is>
      </c>
      <c r="B427" s="1" t="n">
        <v>44131.38030092593</v>
      </c>
      <c r="C427" s="1" t="n">
        <v>45878</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2733-2023</t>
        </is>
      </c>
      <c r="B428" s="1" t="n">
        <v>44943</v>
      </c>
      <c r="C428" s="1" t="n">
        <v>45878</v>
      </c>
      <c r="D428" t="inlineStr">
        <is>
          <t>UPPSALA LÄN</t>
        </is>
      </c>
      <c r="E428" t="inlineStr">
        <is>
          <t>ÖSTHAMMAR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45878</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13044-2022</t>
        </is>
      </c>
      <c r="B430" s="1" t="n">
        <v>44643</v>
      </c>
      <c r="C430" s="1" t="n">
        <v>45878</v>
      </c>
      <c r="D430" t="inlineStr">
        <is>
          <t>UPPSALA LÄN</t>
        </is>
      </c>
      <c r="E430" t="inlineStr">
        <is>
          <t>ÖSTHAMMAR</t>
        </is>
      </c>
      <c r="G430" t="n">
        <v>2.5</v>
      </c>
      <c r="H430" t="n">
        <v>0</v>
      </c>
      <c r="I430" t="n">
        <v>0</v>
      </c>
      <c r="J430" t="n">
        <v>0</v>
      </c>
      <c r="K430" t="n">
        <v>0</v>
      </c>
      <c r="L430" t="n">
        <v>0</v>
      </c>
      <c r="M430" t="n">
        <v>0</v>
      </c>
      <c r="N430" t="n">
        <v>0</v>
      </c>
      <c r="O430" t="n">
        <v>0</v>
      </c>
      <c r="P430" t="n">
        <v>0</v>
      </c>
      <c r="Q430" t="n">
        <v>0</v>
      </c>
      <c r="R430" s="2" t="inlineStr"/>
    </row>
    <row r="431" ht="15" customHeight="1">
      <c r="A431" t="inlineStr">
        <is>
          <t>A 8763-2025</t>
        </is>
      </c>
      <c r="B431" s="1" t="n">
        <v>45712.57872685185</v>
      </c>
      <c r="C431" s="1" t="n">
        <v>45878</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53137-2020</t>
        </is>
      </c>
      <c r="B432" s="1" t="n">
        <v>44120</v>
      </c>
      <c r="C432" s="1" t="n">
        <v>45878</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56089-2020</t>
        </is>
      </c>
      <c r="B433" s="1" t="n">
        <v>44133</v>
      </c>
      <c r="C433" s="1" t="n">
        <v>45878</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23968-2025</t>
        </is>
      </c>
      <c r="B434" s="1" t="n">
        <v>45796</v>
      </c>
      <c r="C434" s="1" t="n">
        <v>45878</v>
      </c>
      <c r="D434" t="inlineStr">
        <is>
          <t>UPPSALA LÄN</t>
        </is>
      </c>
      <c r="E434" t="inlineStr">
        <is>
          <t>ÖSTHAMMAR</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12812-2024</t>
        </is>
      </c>
      <c r="B435" s="1" t="n">
        <v>45384.65465277778</v>
      </c>
      <c r="C435" s="1" t="n">
        <v>45878</v>
      </c>
      <c r="D435" t="inlineStr">
        <is>
          <t>UPPSALA LÄN</t>
        </is>
      </c>
      <c r="E435" t="inlineStr">
        <is>
          <t>ÖSTHAMMAR</t>
        </is>
      </c>
      <c r="G435" t="n">
        <v>0.4</v>
      </c>
      <c r="H435" t="n">
        <v>0</v>
      </c>
      <c r="I435" t="n">
        <v>0</v>
      </c>
      <c r="J435" t="n">
        <v>0</v>
      </c>
      <c r="K435" t="n">
        <v>0</v>
      </c>
      <c r="L435" t="n">
        <v>0</v>
      </c>
      <c r="M435" t="n">
        <v>0</v>
      </c>
      <c r="N435" t="n">
        <v>0</v>
      </c>
      <c r="O435" t="n">
        <v>0</v>
      </c>
      <c r="P435" t="n">
        <v>0</v>
      </c>
      <c r="Q435" t="n">
        <v>0</v>
      </c>
      <c r="R435" s="2" t="inlineStr"/>
    </row>
    <row r="436" ht="15" customHeight="1">
      <c r="A436" t="inlineStr">
        <is>
          <t>A 8623-2025</t>
        </is>
      </c>
      <c r="B436" s="1" t="n">
        <v>45711.51902777778</v>
      </c>
      <c r="C436" s="1" t="n">
        <v>45878</v>
      </c>
      <c r="D436" t="inlineStr">
        <is>
          <t>UPPSALA LÄN</t>
        </is>
      </c>
      <c r="E436" t="inlineStr">
        <is>
          <t>ÖSTHAMMAR</t>
        </is>
      </c>
      <c r="F436" t="inlineStr">
        <is>
          <t>Bergvik skog väst AB</t>
        </is>
      </c>
      <c r="G436" t="n">
        <v>3.5</v>
      </c>
      <c r="H436" t="n">
        <v>0</v>
      </c>
      <c r="I436" t="n">
        <v>0</v>
      </c>
      <c r="J436" t="n">
        <v>0</v>
      </c>
      <c r="K436" t="n">
        <v>0</v>
      </c>
      <c r="L436" t="n">
        <v>0</v>
      </c>
      <c r="M436" t="n">
        <v>0</v>
      </c>
      <c r="N436" t="n">
        <v>0</v>
      </c>
      <c r="O436" t="n">
        <v>0</v>
      </c>
      <c r="P436" t="n">
        <v>0</v>
      </c>
      <c r="Q436" t="n">
        <v>0</v>
      </c>
      <c r="R436" s="2" t="inlineStr"/>
    </row>
    <row r="437" ht="15" customHeight="1">
      <c r="A437" t="inlineStr">
        <is>
          <t>A 8626-2025</t>
        </is>
      </c>
      <c r="B437" s="1" t="n">
        <v>45711.53565972222</v>
      </c>
      <c r="C437" s="1" t="n">
        <v>45878</v>
      </c>
      <c r="D437" t="inlineStr">
        <is>
          <t>UPPSALA LÄN</t>
        </is>
      </c>
      <c r="E437" t="inlineStr">
        <is>
          <t>ÖSTHAMMAR</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31956-2025</t>
        </is>
      </c>
      <c r="B438" s="1" t="n">
        <v>45835.34184027778</v>
      </c>
      <c r="C438" s="1" t="n">
        <v>45878</v>
      </c>
      <c r="D438" t="inlineStr">
        <is>
          <t>UPPSALA LÄN</t>
        </is>
      </c>
      <c r="E438" t="inlineStr">
        <is>
          <t>ÖSTHAMMAR</t>
        </is>
      </c>
      <c r="F438" t="inlineStr">
        <is>
          <t>Övriga Aktiebolag</t>
        </is>
      </c>
      <c r="G438" t="n">
        <v>4.2</v>
      </c>
      <c r="H438" t="n">
        <v>0</v>
      </c>
      <c r="I438" t="n">
        <v>0</v>
      </c>
      <c r="J438" t="n">
        <v>0</v>
      </c>
      <c r="K438" t="n">
        <v>0</v>
      </c>
      <c r="L438" t="n">
        <v>0</v>
      </c>
      <c r="M438" t="n">
        <v>0</v>
      </c>
      <c r="N438" t="n">
        <v>0</v>
      </c>
      <c r="O438" t="n">
        <v>0</v>
      </c>
      <c r="P438" t="n">
        <v>0</v>
      </c>
      <c r="Q438" t="n">
        <v>0</v>
      </c>
      <c r="R438" s="2" t="inlineStr"/>
    </row>
    <row r="439" ht="15" customHeight="1">
      <c r="A439" t="inlineStr">
        <is>
          <t>A 31977-2025</t>
        </is>
      </c>
      <c r="B439" s="1" t="n">
        <v>45835.3554050926</v>
      </c>
      <c r="C439" s="1" t="n">
        <v>45878</v>
      </c>
      <c r="D439" t="inlineStr">
        <is>
          <t>UPPSALA LÄN</t>
        </is>
      </c>
      <c r="E439" t="inlineStr">
        <is>
          <t>ÖSTHAMMAR</t>
        </is>
      </c>
      <c r="F439" t="inlineStr">
        <is>
          <t>Övriga Aktiebolag</t>
        </is>
      </c>
      <c r="G439" t="n">
        <v>35.3</v>
      </c>
      <c r="H439" t="n">
        <v>0</v>
      </c>
      <c r="I439" t="n">
        <v>0</v>
      </c>
      <c r="J439" t="n">
        <v>0</v>
      </c>
      <c r="K439" t="n">
        <v>0</v>
      </c>
      <c r="L439" t="n">
        <v>0</v>
      </c>
      <c r="M439" t="n">
        <v>0</v>
      </c>
      <c r="N439" t="n">
        <v>0</v>
      </c>
      <c r="O439" t="n">
        <v>0</v>
      </c>
      <c r="P439" t="n">
        <v>0</v>
      </c>
      <c r="Q439" t="n">
        <v>0</v>
      </c>
      <c r="R439" s="2" t="inlineStr"/>
    </row>
    <row r="440" ht="15" customHeight="1">
      <c r="A440" t="inlineStr">
        <is>
          <t>A 24160-2024</t>
        </is>
      </c>
      <c r="B440" s="1" t="n">
        <v>45456</v>
      </c>
      <c r="C440" s="1" t="n">
        <v>45878</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1584-2025</t>
        </is>
      </c>
      <c r="B441" s="1" t="n">
        <v>45670</v>
      </c>
      <c r="C441" s="1" t="n">
        <v>45878</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24174-2025</t>
        </is>
      </c>
      <c r="B442" s="1" t="n">
        <v>45796.69207175926</v>
      </c>
      <c r="C442" s="1" t="n">
        <v>45878</v>
      </c>
      <c r="D442" t="inlineStr">
        <is>
          <t>UPPSALA LÄN</t>
        </is>
      </c>
      <c r="E442" t="inlineStr">
        <is>
          <t>ÖSTHAMMAR</t>
        </is>
      </c>
      <c r="G442" t="n">
        <v>4.9</v>
      </c>
      <c r="H442" t="n">
        <v>0</v>
      </c>
      <c r="I442" t="n">
        <v>0</v>
      </c>
      <c r="J442" t="n">
        <v>0</v>
      </c>
      <c r="K442" t="n">
        <v>0</v>
      </c>
      <c r="L442" t="n">
        <v>0</v>
      </c>
      <c r="M442" t="n">
        <v>0</v>
      </c>
      <c r="N442" t="n">
        <v>0</v>
      </c>
      <c r="O442" t="n">
        <v>0</v>
      </c>
      <c r="P442" t="n">
        <v>0</v>
      </c>
      <c r="Q442" t="n">
        <v>0</v>
      </c>
      <c r="R442" s="2" t="inlineStr"/>
    </row>
    <row r="443" ht="15" customHeight="1">
      <c r="A443" t="inlineStr">
        <is>
          <t>A 30972-2024</t>
        </is>
      </c>
      <c r="B443" s="1" t="n">
        <v>45499.47106481482</v>
      </c>
      <c r="C443" s="1" t="n">
        <v>45878</v>
      </c>
      <c r="D443" t="inlineStr">
        <is>
          <t>UPPSALA LÄN</t>
        </is>
      </c>
      <c r="E443" t="inlineStr">
        <is>
          <t>ÖSTHAMMAR</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31574-2022</t>
        </is>
      </c>
      <c r="B444" s="1" t="n">
        <v>44775</v>
      </c>
      <c r="C444" s="1" t="n">
        <v>45878</v>
      </c>
      <c r="D444" t="inlineStr">
        <is>
          <t>UPPSALA LÄN</t>
        </is>
      </c>
      <c r="E444" t="inlineStr">
        <is>
          <t>ÖSTHAMMAR</t>
        </is>
      </c>
      <c r="G444" t="n">
        <v>29.7</v>
      </c>
      <c r="H444" t="n">
        <v>0</v>
      </c>
      <c r="I444" t="n">
        <v>0</v>
      </c>
      <c r="J444" t="n">
        <v>0</v>
      </c>
      <c r="K444" t="n">
        <v>0</v>
      </c>
      <c r="L444" t="n">
        <v>0</v>
      </c>
      <c r="M444" t="n">
        <v>0</v>
      </c>
      <c r="N444" t="n">
        <v>0</v>
      </c>
      <c r="O444" t="n">
        <v>0</v>
      </c>
      <c r="P444" t="n">
        <v>0</v>
      </c>
      <c r="Q444" t="n">
        <v>0</v>
      </c>
      <c r="R444" s="2" t="inlineStr"/>
    </row>
    <row r="445" ht="15" customHeight="1">
      <c r="A445" t="inlineStr">
        <is>
          <t>A 52694-2023</t>
        </is>
      </c>
      <c r="B445" s="1" t="n">
        <v>45225.76836805556</v>
      </c>
      <c r="C445" s="1" t="n">
        <v>45878</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50924-2024</t>
        </is>
      </c>
      <c r="B446" s="1" t="n">
        <v>45602.80521990741</v>
      </c>
      <c r="C446" s="1" t="n">
        <v>45878</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24389-2025</t>
        </is>
      </c>
      <c r="B447" s="1" t="n">
        <v>45797.63553240741</v>
      </c>
      <c r="C447" s="1" t="n">
        <v>45878</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24401-2025</t>
        </is>
      </c>
      <c r="B448" s="1" t="n">
        <v>45797.64908564815</v>
      </c>
      <c r="C448" s="1" t="n">
        <v>45878</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24181-2022</t>
        </is>
      </c>
      <c r="B449" s="1" t="n">
        <v>44725</v>
      </c>
      <c r="C449" s="1" t="n">
        <v>45878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33048-2025</t>
        </is>
      </c>
      <c r="B450" s="1" t="n">
        <v>45840.41451388889</v>
      </c>
      <c r="C450" s="1" t="n">
        <v>45878</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24408-2025</t>
        </is>
      </c>
      <c r="B451" s="1" t="n">
        <v>45797.65774305556</v>
      </c>
      <c r="C451" s="1" t="n">
        <v>45878</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5303-2025</t>
        </is>
      </c>
      <c r="B452" s="1" t="n">
        <v>45692</v>
      </c>
      <c r="C452" s="1" t="n">
        <v>45878</v>
      </c>
      <c r="D452" t="inlineStr">
        <is>
          <t>UPPSALA LÄN</t>
        </is>
      </c>
      <c r="E452" t="inlineStr">
        <is>
          <t>ÖSTHAMMAR</t>
        </is>
      </c>
      <c r="G452" t="n">
        <v>5</v>
      </c>
      <c r="H452" t="n">
        <v>0</v>
      </c>
      <c r="I452" t="n">
        <v>0</v>
      </c>
      <c r="J452" t="n">
        <v>0</v>
      </c>
      <c r="K452" t="n">
        <v>0</v>
      </c>
      <c r="L452" t="n">
        <v>0</v>
      </c>
      <c r="M452" t="n">
        <v>0</v>
      </c>
      <c r="N452" t="n">
        <v>0</v>
      </c>
      <c r="O452" t="n">
        <v>0</v>
      </c>
      <c r="P452" t="n">
        <v>0</v>
      </c>
      <c r="Q452" t="n">
        <v>0</v>
      </c>
      <c r="R452" s="2" t="inlineStr"/>
    </row>
    <row r="453" ht="15" customHeight="1">
      <c r="A453" t="inlineStr">
        <is>
          <t>A 24493-2023</t>
        </is>
      </c>
      <c r="B453" s="1" t="n">
        <v>45082.62603009259</v>
      </c>
      <c r="C453" s="1" t="n">
        <v>45878</v>
      </c>
      <c r="D453" t="inlineStr">
        <is>
          <t>UPPSALA LÄN</t>
        </is>
      </c>
      <c r="E453" t="inlineStr">
        <is>
          <t>ÖSTHAMMAR</t>
        </is>
      </c>
      <c r="G453" t="n">
        <v>1.9</v>
      </c>
      <c r="H453" t="n">
        <v>0</v>
      </c>
      <c r="I453" t="n">
        <v>0</v>
      </c>
      <c r="J453" t="n">
        <v>0</v>
      </c>
      <c r="K453" t="n">
        <v>0</v>
      </c>
      <c r="L453" t="n">
        <v>0</v>
      </c>
      <c r="M453" t="n">
        <v>0</v>
      </c>
      <c r="N453" t="n">
        <v>0</v>
      </c>
      <c r="O453" t="n">
        <v>0</v>
      </c>
      <c r="P453" t="n">
        <v>0</v>
      </c>
      <c r="Q453" t="n">
        <v>0</v>
      </c>
      <c r="R453" s="2" t="inlineStr"/>
    </row>
    <row r="454" ht="15" customHeight="1">
      <c r="A454" t="inlineStr">
        <is>
          <t>A 4096-2025</t>
        </is>
      </c>
      <c r="B454" s="1" t="n">
        <v>45684</v>
      </c>
      <c r="C454" s="1" t="n">
        <v>45878</v>
      </c>
      <c r="D454" t="inlineStr">
        <is>
          <t>UPPSALA LÄN</t>
        </is>
      </c>
      <c r="E454" t="inlineStr">
        <is>
          <t>ÖSTHAMMAR</t>
        </is>
      </c>
      <c r="G454" t="n">
        <v>2</v>
      </c>
      <c r="H454" t="n">
        <v>0</v>
      </c>
      <c r="I454" t="n">
        <v>0</v>
      </c>
      <c r="J454" t="n">
        <v>0</v>
      </c>
      <c r="K454" t="n">
        <v>0</v>
      </c>
      <c r="L454" t="n">
        <v>0</v>
      </c>
      <c r="M454" t="n">
        <v>0</v>
      </c>
      <c r="N454" t="n">
        <v>0</v>
      </c>
      <c r="O454" t="n">
        <v>0</v>
      </c>
      <c r="P454" t="n">
        <v>0</v>
      </c>
      <c r="Q454" t="n">
        <v>0</v>
      </c>
      <c r="R454" s="2" t="inlineStr"/>
    </row>
    <row r="455" ht="15" customHeight="1">
      <c r="A455" t="inlineStr">
        <is>
          <t>A 34742-2022</t>
        </is>
      </c>
      <c r="B455" s="1" t="n">
        <v>44795.61990740741</v>
      </c>
      <c r="C455" s="1" t="n">
        <v>45878</v>
      </c>
      <c r="D455" t="inlineStr">
        <is>
          <t>UPPSALA LÄN</t>
        </is>
      </c>
      <c r="E455" t="inlineStr">
        <is>
          <t>ÖSTHAMMAR</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13622-2025</t>
        </is>
      </c>
      <c r="B456" s="1" t="n">
        <v>45736</v>
      </c>
      <c r="C456" s="1" t="n">
        <v>45878</v>
      </c>
      <c r="D456" t="inlineStr">
        <is>
          <t>UPPSALA LÄN</t>
        </is>
      </c>
      <c r="E456" t="inlineStr">
        <is>
          <t>ÖSTHAMMAR</t>
        </is>
      </c>
      <c r="G456" t="n">
        <v>2.6</v>
      </c>
      <c r="H456" t="n">
        <v>0</v>
      </c>
      <c r="I456" t="n">
        <v>0</v>
      </c>
      <c r="J456" t="n">
        <v>0</v>
      </c>
      <c r="K456" t="n">
        <v>0</v>
      </c>
      <c r="L456" t="n">
        <v>0</v>
      </c>
      <c r="M456" t="n">
        <v>0</v>
      </c>
      <c r="N456" t="n">
        <v>0</v>
      </c>
      <c r="O456" t="n">
        <v>0</v>
      </c>
      <c r="P456" t="n">
        <v>0</v>
      </c>
      <c r="Q456" t="n">
        <v>0</v>
      </c>
      <c r="R456" s="2" t="inlineStr"/>
    </row>
    <row r="457" ht="15" customHeight="1">
      <c r="A457" t="inlineStr">
        <is>
          <t>A 22884-2024</t>
        </is>
      </c>
      <c r="B457" s="1" t="n">
        <v>45448</v>
      </c>
      <c r="C457" s="1" t="n">
        <v>45878</v>
      </c>
      <c r="D457" t="inlineStr">
        <is>
          <t>UPPSALA LÄN</t>
        </is>
      </c>
      <c r="E457" t="inlineStr">
        <is>
          <t>ÖSTHAMMAR</t>
        </is>
      </c>
      <c r="G457" t="n">
        <v>3.3</v>
      </c>
      <c r="H457" t="n">
        <v>0</v>
      </c>
      <c r="I457" t="n">
        <v>0</v>
      </c>
      <c r="J457" t="n">
        <v>0</v>
      </c>
      <c r="K457" t="n">
        <v>0</v>
      </c>
      <c r="L457" t="n">
        <v>0</v>
      </c>
      <c r="M457" t="n">
        <v>0</v>
      </c>
      <c r="N457" t="n">
        <v>0</v>
      </c>
      <c r="O457" t="n">
        <v>0</v>
      </c>
      <c r="P457" t="n">
        <v>0</v>
      </c>
      <c r="Q457" t="n">
        <v>0</v>
      </c>
      <c r="R457" s="2" t="inlineStr"/>
    </row>
    <row r="458" ht="15" customHeight="1">
      <c r="A458" t="inlineStr">
        <is>
          <t>A 46399-2023</t>
        </is>
      </c>
      <c r="B458" s="1" t="n">
        <v>45197.49262731482</v>
      </c>
      <c r="C458" s="1" t="n">
        <v>45878</v>
      </c>
      <c r="D458" t="inlineStr">
        <is>
          <t>UPPSALA LÄN</t>
        </is>
      </c>
      <c r="E458" t="inlineStr">
        <is>
          <t>ÖSTHAMMAR</t>
        </is>
      </c>
      <c r="G458" t="n">
        <v>5.8</v>
      </c>
      <c r="H458" t="n">
        <v>0</v>
      </c>
      <c r="I458" t="n">
        <v>0</v>
      </c>
      <c r="J458" t="n">
        <v>0</v>
      </c>
      <c r="K458" t="n">
        <v>0</v>
      </c>
      <c r="L458" t="n">
        <v>0</v>
      </c>
      <c r="M458" t="n">
        <v>0</v>
      </c>
      <c r="N458" t="n">
        <v>0</v>
      </c>
      <c r="O458" t="n">
        <v>0</v>
      </c>
      <c r="P458" t="n">
        <v>0</v>
      </c>
      <c r="Q458" t="n">
        <v>0</v>
      </c>
      <c r="R458" s="2" t="inlineStr"/>
    </row>
    <row r="459" ht="15" customHeight="1">
      <c r="A459" t="inlineStr">
        <is>
          <t>A 13358-2024</t>
        </is>
      </c>
      <c r="B459" s="1" t="n">
        <v>45387.3503125</v>
      </c>
      <c r="C459" s="1" t="n">
        <v>45878</v>
      </c>
      <c r="D459" t="inlineStr">
        <is>
          <t>UPPSALA LÄN</t>
        </is>
      </c>
      <c r="E459" t="inlineStr">
        <is>
          <t>ÖSTHAMMAR</t>
        </is>
      </c>
      <c r="G459" t="n">
        <v>2.2</v>
      </c>
      <c r="H459" t="n">
        <v>0</v>
      </c>
      <c r="I459" t="n">
        <v>0</v>
      </c>
      <c r="J459" t="n">
        <v>0</v>
      </c>
      <c r="K459" t="n">
        <v>0</v>
      </c>
      <c r="L459" t="n">
        <v>0</v>
      </c>
      <c r="M459" t="n">
        <v>0</v>
      </c>
      <c r="N459" t="n">
        <v>0</v>
      </c>
      <c r="O459" t="n">
        <v>0</v>
      </c>
      <c r="P459" t="n">
        <v>0</v>
      </c>
      <c r="Q459" t="n">
        <v>0</v>
      </c>
      <c r="R459" s="2" t="inlineStr"/>
    </row>
    <row r="460" ht="15" customHeight="1">
      <c r="A460" t="inlineStr">
        <is>
          <t>A 24415-2025</t>
        </is>
      </c>
      <c r="B460" s="1" t="n">
        <v>45797.67381944445</v>
      </c>
      <c r="C460" s="1" t="n">
        <v>45878</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32718-2025</t>
        </is>
      </c>
      <c r="B461" s="1" t="n">
        <v>45839.37740740741</v>
      </c>
      <c r="C461" s="1" t="n">
        <v>45878</v>
      </c>
      <c r="D461" t="inlineStr">
        <is>
          <t>UPPSALA LÄN</t>
        </is>
      </c>
      <c r="E461" t="inlineStr">
        <is>
          <t>ÖSTHAMMAR</t>
        </is>
      </c>
      <c r="G461" t="n">
        <v>10.4</v>
      </c>
      <c r="H461" t="n">
        <v>0</v>
      </c>
      <c r="I461" t="n">
        <v>0</v>
      </c>
      <c r="J461" t="n">
        <v>0</v>
      </c>
      <c r="K461" t="n">
        <v>0</v>
      </c>
      <c r="L461" t="n">
        <v>0</v>
      </c>
      <c r="M461" t="n">
        <v>0</v>
      </c>
      <c r="N461" t="n">
        <v>0</v>
      </c>
      <c r="O461" t="n">
        <v>0</v>
      </c>
      <c r="P461" t="n">
        <v>0</v>
      </c>
      <c r="Q461" t="n">
        <v>0</v>
      </c>
      <c r="R461" s="2" t="inlineStr"/>
    </row>
    <row r="462" ht="15" customHeight="1">
      <c r="A462" t="inlineStr">
        <is>
          <t>A 24412-2025</t>
        </is>
      </c>
      <c r="B462" s="1" t="n">
        <v>45797.6671412037</v>
      </c>
      <c r="C462" s="1" t="n">
        <v>45878</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55079-2024</t>
        </is>
      </c>
      <c r="B463" s="1" t="n">
        <v>45621.42747685185</v>
      </c>
      <c r="C463" s="1" t="n">
        <v>45878</v>
      </c>
      <c r="D463" t="inlineStr">
        <is>
          <t>UPPSALA LÄN</t>
        </is>
      </c>
      <c r="E463" t="inlineStr">
        <is>
          <t>ÖSTHAMMAR</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36873-2022</t>
        </is>
      </c>
      <c r="B464" s="1" t="n">
        <v>44805.63708333333</v>
      </c>
      <c r="C464" s="1" t="n">
        <v>45878</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53733-2023</t>
        </is>
      </c>
      <c r="B465" s="1" t="n">
        <v>45230.76862268519</v>
      </c>
      <c r="C465" s="1" t="n">
        <v>45878</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53735-2023</t>
        </is>
      </c>
      <c r="B466" s="1" t="n">
        <v>45230.77258101852</v>
      </c>
      <c r="C466" s="1" t="n">
        <v>45878</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33271-2025</t>
        </is>
      </c>
      <c r="B467" s="1" t="n">
        <v>45840.68381944444</v>
      </c>
      <c r="C467" s="1" t="n">
        <v>45878</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41341-2024</t>
        </is>
      </c>
      <c r="B468" s="1" t="n">
        <v>45559</v>
      </c>
      <c r="C468" s="1" t="n">
        <v>45878</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21522-2022</t>
        </is>
      </c>
      <c r="B469" s="1" t="n">
        <v>44706</v>
      </c>
      <c r="C469" s="1" t="n">
        <v>45878</v>
      </c>
      <c r="D469" t="inlineStr">
        <is>
          <t>UPPSALA LÄN</t>
        </is>
      </c>
      <c r="E469" t="inlineStr">
        <is>
          <t>ÖSTHAMMAR</t>
        </is>
      </c>
      <c r="G469" t="n">
        <v>1.8</v>
      </c>
      <c r="H469" t="n">
        <v>0</v>
      </c>
      <c r="I469" t="n">
        <v>0</v>
      </c>
      <c r="J469" t="n">
        <v>0</v>
      </c>
      <c r="K469" t="n">
        <v>0</v>
      </c>
      <c r="L469" t="n">
        <v>0</v>
      </c>
      <c r="M469" t="n">
        <v>0</v>
      </c>
      <c r="N469" t="n">
        <v>0</v>
      </c>
      <c r="O469" t="n">
        <v>0</v>
      </c>
      <c r="P469" t="n">
        <v>0</v>
      </c>
      <c r="Q469" t="n">
        <v>0</v>
      </c>
      <c r="R469" s="2" t="inlineStr"/>
    </row>
    <row r="470" ht="15" customHeight="1">
      <c r="A470" t="inlineStr">
        <is>
          <t>A 14187-2022</t>
        </is>
      </c>
      <c r="B470" s="1" t="n">
        <v>44651.5625</v>
      </c>
      <c r="C470" s="1" t="n">
        <v>45878</v>
      </c>
      <c r="D470" t="inlineStr">
        <is>
          <t>UPPSALA LÄN</t>
        </is>
      </c>
      <c r="E470" t="inlineStr">
        <is>
          <t>ÖSTHAMMAR</t>
        </is>
      </c>
      <c r="F470" t="inlineStr">
        <is>
          <t>Övriga Aktiebolag</t>
        </is>
      </c>
      <c r="G470" t="n">
        <v>14.1</v>
      </c>
      <c r="H470" t="n">
        <v>0</v>
      </c>
      <c r="I470" t="n">
        <v>0</v>
      </c>
      <c r="J470" t="n">
        <v>0</v>
      </c>
      <c r="K470" t="n">
        <v>0</v>
      </c>
      <c r="L470" t="n">
        <v>0</v>
      </c>
      <c r="M470" t="n">
        <v>0</v>
      </c>
      <c r="N470" t="n">
        <v>0</v>
      </c>
      <c r="O470" t="n">
        <v>0</v>
      </c>
      <c r="P470" t="n">
        <v>0</v>
      </c>
      <c r="Q470" t="n">
        <v>0</v>
      </c>
      <c r="R470" s="2" t="inlineStr"/>
    </row>
    <row r="471" ht="15" customHeight="1">
      <c r="A471" t="inlineStr">
        <is>
          <t>A 8874-2025</t>
        </is>
      </c>
      <c r="B471" s="1" t="n">
        <v>45713</v>
      </c>
      <c r="C471" s="1" t="n">
        <v>45878</v>
      </c>
      <c r="D471" t="inlineStr">
        <is>
          <t>UPPSALA LÄN</t>
        </is>
      </c>
      <c r="E471" t="inlineStr">
        <is>
          <t>ÖSTHAMMAR</t>
        </is>
      </c>
      <c r="G471" t="n">
        <v>6.3</v>
      </c>
      <c r="H471" t="n">
        <v>0</v>
      </c>
      <c r="I471" t="n">
        <v>0</v>
      </c>
      <c r="J471" t="n">
        <v>0</v>
      </c>
      <c r="K471" t="n">
        <v>0</v>
      </c>
      <c r="L471" t="n">
        <v>0</v>
      </c>
      <c r="M471" t="n">
        <v>0</v>
      </c>
      <c r="N471" t="n">
        <v>0</v>
      </c>
      <c r="O471" t="n">
        <v>0</v>
      </c>
      <c r="P471" t="n">
        <v>0</v>
      </c>
      <c r="Q471" t="n">
        <v>0</v>
      </c>
      <c r="R471" s="2" t="inlineStr"/>
    </row>
    <row r="472" ht="15" customHeight="1">
      <c r="A472" t="inlineStr">
        <is>
          <t>A 7997-2022</t>
        </is>
      </c>
      <c r="B472" s="1" t="n">
        <v>44609</v>
      </c>
      <c r="C472" s="1" t="n">
        <v>45878</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4676-2025</t>
        </is>
      </c>
      <c r="B473" s="1" t="n">
        <v>45687.8313425926</v>
      </c>
      <c r="C473" s="1" t="n">
        <v>45878</v>
      </c>
      <c r="D473" t="inlineStr">
        <is>
          <t>UPPSALA LÄN</t>
        </is>
      </c>
      <c r="E473" t="inlineStr">
        <is>
          <t>ÖSTHAMMAR</t>
        </is>
      </c>
      <c r="G473" t="n">
        <v>3.7</v>
      </c>
      <c r="H473" t="n">
        <v>0</v>
      </c>
      <c r="I473" t="n">
        <v>0</v>
      </c>
      <c r="J473" t="n">
        <v>0</v>
      </c>
      <c r="K473" t="n">
        <v>0</v>
      </c>
      <c r="L473" t="n">
        <v>0</v>
      </c>
      <c r="M473" t="n">
        <v>0</v>
      </c>
      <c r="N473" t="n">
        <v>0</v>
      </c>
      <c r="O473" t="n">
        <v>0</v>
      </c>
      <c r="P473" t="n">
        <v>0</v>
      </c>
      <c r="Q473" t="n">
        <v>0</v>
      </c>
      <c r="R473" s="2" t="inlineStr"/>
    </row>
    <row r="474" ht="15" customHeight="1">
      <c r="A474" t="inlineStr">
        <is>
          <t>A 25418-2022</t>
        </is>
      </c>
      <c r="B474" s="1" t="n">
        <v>44732.464375</v>
      </c>
      <c r="C474" s="1" t="n">
        <v>45878</v>
      </c>
      <c r="D474" t="inlineStr">
        <is>
          <t>UPPSALA LÄN</t>
        </is>
      </c>
      <c r="E474" t="inlineStr">
        <is>
          <t>ÖSTHAMMAR</t>
        </is>
      </c>
      <c r="G474" t="n">
        <v>2.8</v>
      </c>
      <c r="H474" t="n">
        <v>0</v>
      </c>
      <c r="I474" t="n">
        <v>0</v>
      </c>
      <c r="J474" t="n">
        <v>0</v>
      </c>
      <c r="K474" t="n">
        <v>0</v>
      </c>
      <c r="L474" t="n">
        <v>0</v>
      </c>
      <c r="M474" t="n">
        <v>0</v>
      </c>
      <c r="N474" t="n">
        <v>0</v>
      </c>
      <c r="O474" t="n">
        <v>0</v>
      </c>
      <c r="P474" t="n">
        <v>0</v>
      </c>
      <c r="Q474" t="n">
        <v>0</v>
      </c>
      <c r="R474" s="2" t="inlineStr"/>
    </row>
    <row r="475" ht="15" customHeight="1">
      <c r="A475" t="inlineStr">
        <is>
          <t>A 25049-2025</t>
        </is>
      </c>
      <c r="B475" s="1" t="n">
        <v>45799.66876157407</v>
      </c>
      <c r="C475" s="1" t="n">
        <v>45878</v>
      </c>
      <c r="D475" t="inlineStr">
        <is>
          <t>UPPSALA LÄN</t>
        </is>
      </c>
      <c r="E475" t="inlineStr">
        <is>
          <t>ÖSTHAMMAR</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55837-2023</t>
        </is>
      </c>
      <c r="B476" s="1" t="n">
        <v>45239</v>
      </c>
      <c r="C476" s="1" t="n">
        <v>45878</v>
      </c>
      <c r="D476" t="inlineStr">
        <is>
          <t>UPPSALA LÄN</t>
        </is>
      </c>
      <c r="E476" t="inlineStr">
        <is>
          <t>ÖSTHAMMAR</t>
        </is>
      </c>
      <c r="G476" t="n">
        <v>0.5</v>
      </c>
      <c r="H476" t="n">
        <v>0</v>
      </c>
      <c r="I476" t="n">
        <v>0</v>
      </c>
      <c r="J476" t="n">
        <v>0</v>
      </c>
      <c r="K476" t="n">
        <v>0</v>
      </c>
      <c r="L476" t="n">
        <v>0</v>
      </c>
      <c r="M476" t="n">
        <v>0</v>
      </c>
      <c r="N476" t="n">
        <v>0</v>
      </c>
      <c r="O476" t="n">
        <v>0</v>
      </c>
      <c r="P476" t="n">
        <v>0</v>
      </c>
      <c r="Q476" t="n">
        <v>0</v>
      </c>
      <c r="R476" s="2" t="inlineStr"/>
    </row>
    <row r="477" ht="15" customHeight="1">
      <c r="A477" t="inlineStr">
        <is>
          <t>A 62391-2022</t>
        </is>
      </c>
      <c r="B477" s="1" t="n">
        <v>44923.7849537037</v>
      </c>
      <c r="C477" s="1" t="n">
        <v>45878</v>
      </c>
      <c r="D477" t="inlineStr">
        <is>
          <t>UPPSALA LÄN</t>
        </is>
      </c>
      <c r="E477" t="inlineStr">
        <is>
          <t>ÖSTHAMMAR</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31485-2023</t>
        </is>
      </c>
      <c r="B478" s="1" t="n">
        <v>45114</v>
      </c>
      <c r="C478" s="1" t="n">
        <v>45878</v>
      </c>
      <c r="D478" t="inlineStr">
        <is>
          <t>UPPSALA LÄN</t>
        </is>
      </c>
      <c r="E478" t="inlineStr">
        <is>
          <t>ÖSTHAMMAR</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33529-2025</t>
        </is>
      </c>
      <c r="B479" s="1" t="n">
        <v>45841.55199074074</v>
      </c>
      <c r="C479" s="1" t="n">
        <v>45878</v>
      </c>
      <c r="D479" t="inlineStr">
        <is>
          <t>UPPSALA LÄN</t>
        </is>
      </c>
      <c r="E479" t="inlineStr">
        <is>
          <t>ÖSTHAMMAR</t>
        </is>
      </c>
      <c r="F479" t="inlineStr">
        <is>
          <t>Bergvik skog öst AB</t>
        </is>
      </c>
      <c r="G479" t="n">
        <v>11.8</v>
      </c>
      <c r="H479" t="n">
        <v>0</v>
      </c>
      <c r="I479" t="n">
        <v>0</v>
      </c>
      <c r="J479" t="n">
        <v>0</v>
      </c>
      <c r="K479" t="n">
        <v>0</v>
      </c>
      <c r="L479" t="n">
        <v>0</v>
      </c>
      <c r="M479" t="n">
        <v>0</v>
      </c>
      <c r="N479" t="n">
        <v>0</v>
      </c>
      <c r="O479" t="n">
        <v>0</v>
      </c>
      <c r="P479" t="n">
        <v>0</v>
      </c>
      <c r="Q479" t="n">
        <v>0</v>
      </c>
      <c r="R479" s="2" t="inlineStr"/>
    </row>
    <row r="480" ht="15" customHeight="1">
      <c r="A480" t="inlineStr">
        <is>
          <t>A 24944-2025</t>
        </is>
      </c>
      <c r="B480" s="1" t="n">
        <v>45799.56347222222</v>
      </c>
      <c r="C480" s="1" t="n">
        <v>45878</v>
      </c>
      <c r="D480" t="inlineStr">
        <is>
          <t>UPPSALA LÄN</t>
        </is>
      </c>
      <c r="E480" t="inlineStr">
        <is>
          <t>ÖSTHAMMAR</t>
        </is>
      </c>
      <c r="G480" t="n">
        <v>7.3</v>
      </c>
      <c r="H480" t="n">
        <v>0</v>
      </c>
      <c r="I480" t="n">
        <v>0</v>
      </c>
      <c r="J480" t="n">
        <v>0</v>
      </c>
      <c r="K480" t="n">
        <v>0</v>
      </c>
      <c r="L480" t="n">
        <v>0</v>
      </c>
      <c r="M480" t="n">
        <v>0</v>
      </c>
      <c r="N480" t="n">
        <v>0</v>
      </c>
      <c r="O480" t="n">
        <v>0</v>
      </c>
      <c r="P480" t="n">
        <v>0</v>
      </c>
      <c r="Q480" t="n">
        <v>0</v>
      </c>
      <c r="R480" s="2" t="inlineStr"/>
    </row>
    <row r="481" ht="15" customHeight="1">
      <c r="A481" t="inlineStr">
        <is>
          <t>A 33927-2025</t>
        </is>
      </c>
      <c r="B481" s="1" t="n">
        <v>45842.62363425926</v>
      </c>
      <c r="C481" s="1" t="n">
        <v>45878</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56759-2024</t>
        </is>
      </c>
      <c r="B482" s="1" t="n">
        <v>45628.39877314815</v>
      </c>
      <c r="C482" s="1" t="n">
        <v>45878</v>
      </c>
      <c r="D482" t="inlineStr">
        <is>
          <t>UPPSALA LÄN</t>
        </is>
      </c>
      <c r="E482" t="inlineStr">
        <is>
          <t>ÖSTHAMMAR</t>
        </is>
      </c>
      <c r="G482" t="n">
        <v>4.7</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44643.93269675926</v>
      </c>
      <c r="C483" s="1" t="n">
        <v>45878</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32744-2022</t>
        </is>
      </c>
      <c r="B484" s="1" t="n">
        <v>44783.70378472222</v>
      </c>
      <c r="C484" s="1" t="n">
        <v>45878</v>
      </c>
      <c r="D484" t="inlineStr">
        <is>
          <t>UPPSALA LÄN</t>
        </is>
      </c>
      <c r="E484" t="inlineStr">
        <is>
          <t>ÖSTHAMMAR</t>
        </is>
      </c>
      <c r="F484" t="inlineStr">
        <is>
          <t>Bergvik skog öst AB</t>
        </is>
      </c>
      <c r="G484" t="n">
        <v>3</v>
      </c>
      <c r="H484" t="n">
        <v>0</v>
      </c>
      <c r="I484" t="n">
        <v>0</v>
      </c>
      <c r="J484" t="n">
        <v>0</v>
      </c>
      <c r="K484" t="n">
        <v>0</v>
      </c>
      <c r="L484" t="n">
        <v>0</v>
      </c>
      <c r="M484" t="n">
        <v>0</v>
      </c>
      <c r="N484" t="n">
        <v>0</v>
      </c>
      <c r="O484" t="n">
        <v>0</v>
      </c>
      <c r="P484" t="n">
        <v>0</v>
      </c>
      <c r="Q484" t="n">
        <v>0</v>
      </c>
      <c r="R484" s="2" t="inlineStr"/>
    </row>
    <row r="485" ht="15" customHeight="1">
      <c r="A485" t="inlineStr">
        <is>
          <t>A 45795-2023</t>
        </is>
      </c>
      <c r="B485" s="1" t="n">
        <v>45195</v>
      </c>
      <c r="C485" s="1" t="n">
        <v>45878</v>
      </c>
      <c r="D485" t="inlineStr">
        <is>
          <t>UPPSALA LÄN</t>
        </is>
      </c>
      <c r="E485" t="inlineStr">
        <is>
          <t>ÖSTHAMMAR</t>
        </is>
      </c>
      <c r="G485" t="n">
        <v>4</v>
      </c>
      <c r="H485" t="n">
        <v>0</v>
      </c>
      <c r="I485" t="n">
        <v>0</v>
      </c>
      <c r="J485" t="n">
        <v>0</v>
      </c>
      <c r="K485" t="n">
        <v>0</v>
      </c>
      <c r="L485" t="n">
        <v>0</v>
      </c>
      <c r="M485" t="n">
        <v>0</v>
      </c>
      <c r="N485" t="n">
        <v>0</v>
      </c>
      <c r="O485" t="n">
        <v>0</v>
      </c>
      <c r="P485" t="n">
        <v>0</v>
      </c>
      <c r="Q485" t="n">
        <v>0</v>
      </c>
      <c r="R485" s="2" t="inlineStr"/>
    </row>
    <row r="486" ht="15" customHeight="1">
      <c r="A486" t="inlineStr">
        <is>
          <t>A 16089-2025</t>
        </is>
      </c>
      <c r="B486" s="1" t="n">
        <v>45749.84232638889</v>
      </c>
      <c r="C486" s="1" t="n">
        <v>45878</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63637-2020</t>
        </is>
      </c>
      <c r="B487" s="1" t="n">
        <v>44162</v>
      </c>
      <c r="C487" s="1" t="n">
        <v>45878</v>
      </c>
      <c r="D487" t="inlineStr">
        <is>
          <t>UPPSALA LÄN</t>
        </is>
      </c>
      <c r="E487" t="inlineStr">
        <is>
          <t>ÖSTHAMMAR</t>
        </is>
      </c>
      <c r="G487" t="n">
        <v>4</v>
      </c>
      <c r="H487" t="n">
        <v>0</v>
      </c>
      <c r="I487" t="n">
        <v>0</v>
      </c>
      <c r="J487" t="n">
        <v>0</v>
      </c>
      <c r="K487" t="n">
        <v>0</v>
      </c>
      <c r="L487" t="n">
        <v>0</v>
      </c>
      <c r="M487" t="n">
        <v>0</v>
      </c>
      <c r="N487" t="n">
        <v>0</v>
      </c>
      <c r="O487" t="n">
        <v>0</v>
      </c>
      <c r="P487" t="n">
        <v>0</v>
      </c>
      <c r="Q487" t="n">
        <v>0</v>
      </c>
      <c r="R487" s="2" t="inlineStr"/>
    </row>
    <row r="488" ht="15" customHeight="1">
      <c r="A488" t="inlineStr">
        <is>
          <t>A 38600-2023</t>
        </is>
      </c>
      <c r="B488" s="1" t="n">
        <v>45162</v>
      </c>
      <c r="C488" s="1" t="n">
        <v>45878</v>
      </c>
      <c r="D488" t="inlineStr">
        <is>
          <t>UPPSALA LÄN</t>
        </is>
      </c>
      <c r="E488" t="inlineStr">
        <is>
          <t>ÖSTHAMMAR</t>
        </is>
      </c>
      <c r="F488" t="inlineStr">
        <is>
          <t>Bergvik skog väst AB</t>
        </is>
      </c>
      <c r="G488" t="n">
        <v>0.1</v>
      </c>
      <c r="H488" t="n">
        <v>0</v>
      </c>
      <c r="I488" t="n">
        <v>0</v>
      </c>
      <c r="J488" t="n">
        <v>0</v>
      </c>
      <c r="K488" t="n">
        <v>0</v>
      </c>
      <c r="L488" t="n">
        <v>0</v>
      </c>
      <c r="M488" t="n">
        <v>0</v>
      </c>
      <c r="N488" t="n">
        <v>0</v>
      </c>
      <c r="O488" t="n">
        <v>0</v>
      </c>
      <c r="P488" t="n">
        <v>0</v>
      </c>
      <c r="Q488" t="n">
        <v>0</v>
      </c>
      <c r="R488" s="2" t="inlineStr"/>
    </row>
    <row r="489" ht="15" customHeight="1">
      <c r="A489" t="inlineStr">
        <is>
          <t>A 8624-2025</t>
        </is>
      </c>
      <c r="B489" s="1" t="n">
        <v>45711.52333333333</v>
      </c>
      <c r="C489" s="1" t="n">
        <v>45878</v>
      </c>
      <c r="D489" t="inlineStr">
        <is>
          <t>UPPSALA LÄN</t>
        </is>
      </c>
      <c r="E489" t="inlineStr">
        <is>
          <t>ÖSTHAMMAR</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34185-2024</t>
        </is>
      </c>
      <c r="B490" s="1" t="n">
        <v>45524</v>
      </c>
      <c r="C490" s="1" t="n">
        <v>45878</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14170-2025</t>
        </is>
      </c>
      <c r="B491" s="1" t="n">
        <v>45740.51895833333</v>
      </c>
      <c r="C491" s="1" t="n">
        <v>45878</v>
      </c>
      <c r="D491" t="inlineStr">
        <is>
          <t>UPPSALA LÄN</t>
        </is>
      </c>
      <c r="E491" t="inlineStr">
        <is>
          <t>ÖSTHAMMAR</t>
        </is>
      </c>
      <c r="G491" t="n">
        <v>1.2</v>
      </c>
      <c r="H491" t="n">
        <v>0</v>
      </c>
      <c r="I491" t="n">
        <v>0</v>
      </c>
      <c r="J491" t="n">
        <v>0</v>
      </c>
      <c r="K491" t="n">
        <v>0</v>
      </c>
      <c r="L491" t="n">
        <v>0</v>
      </c>
      <c r="M491" t="n">
        <v>0</v>
      </c>
      <c r="N491" t="n">
        <v>0</v>
      </c>
      <c r="O491" t="n">
        <v>0</v>
      </c>
      <c r="P491" t="n">
        <v>0</v>
      </c>
      <c r="Q491" t="n">
        <v>0</v>
      </c>
      <c r="R491" s="2" t="inlineStr"/>
    </row>
    <row r="492" ht="15" customHeight="1">
      <c r="A492" t="inlineStr">
        <is>
          <t>A 17644-2025</t>
        </is>
      </c>
      <c r="B492" s="1" t="n">
        <v>45758.32645833334</v>
      </c>
      <c r="C492" s="1" t="n">
        <v>45878</v>
      </c>
      <c r="D492" t="inlineStr">
        <is>
          <t>UPPSALA LÄN</t>
        </is>
      </c>
      <c r="E492" t="inlineStr">
        <is>
          <t>ÖSTHAMMAR</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20385-2025</t>
        </is>
      </c>
      <c r="B493" s="1" t="n">
        <v>45775.44483796296</v>
      </c>
      <c r="C493" s="1" t="n">
        <v>45878</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33973-2025</t>
        </is>
      </c>
      <c r="B494" s="1" t="n">
        <v>45842.98429398148</v>
      </c>
      <c r="C494" s="1" t="n">
        <v>45878</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12945-2025</t>
        </is>
      </c>
      <c r="B495" s="1" t="n">
        <v>45734.38159722222</v>
      </c>
      <c r="C495" s="1" t="n">
        <v>45878</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5344-2025</t>
        </is>
      </c>
      <c r="B496" s="1" t="n">
        <v>45692</v>
      </c>
      <c r="C496" s="1" t="n">
        <v>45878</v>
      </c>
      <c r="D496" t="inlineStr">
        <is>
          <t>UPPSALA LÄN</t>
        </is>
      </c>
      <c r="E496" t="inlineStr">
        <is>
          <t>ÖSTHAMMAR</t>
        </is>
      </c>
      <c r="F496" t="inlineStr">
        <is>
          <t>Bergvik skog öst AB</t>
        </is>
      </c>
      <c r="G496" t="n">
        <v>3.2</v>
      </c>
      <c r="H496" t="n">
        <v>0</v>
      </c>
      <c r="I496" t="n">
        <v>0</v>
      </c>
      <c r="J496" t="n">
        <v>0</v>
      </c>
      <c r="K496" t="n">
        <v>0</v>
      </c>
      <c r="L496" t="n">
        <v>0</v>
      </c>
      <c r="M496" t="n">
        <v>0</v>
      </c>
      <c r="N496" t="n">
        <v>0</v>
      </c>
      <c r="O496" t="n">
        <v>0</v>
      </c>
      <c r="P496" t="n">
        <v>0</v>
      </c>
      <c r="Q496" t="n">
        <v>0</v>
      </c>
      <c r="R496" s="2" t="inlineStr"/>
    </row>
    <row r="497" ht="15" customHeight="1">
      <c r="A497" t="inlineStr">
        <is>
          <t>A 58297-2024</t>
        </is>
      </c>
      <c r="B497" s="1" t="n">
        <v>45632.59780092593</v>
      </c>
      <c r="C497" s="1" t="n">
        <v>45878</v>
      </c>
      <c r="D497" t="inlineStr">
        <is>
          <t>UPPSALA LÄN</t>
        </is>
      </c>
      <c r="E497" t="inlineStr">
        <is>
          <t>ÖSTHAMMAR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33972-2025</t>
        </is>
      </c>
      <c r="B498" s="1" t="n">
        <v>45842.97236111111</v>
      </c>
      <c r="C498" s="1" t="n">
        <v>45878</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45878</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26328-2025</t>
        </is>
      </c>
      <c r="B500" s="1" t="n">
        <v>45805.67305555556</v>
      </c>
      <c r="C500" s="1" t="n">
        <v>45878</v>
      </c>
      <c r="D500" t="inlineStr">
        <is>
          <t>UPPSALA LÄN</t>
        </is>
      </c>
      <c r="E500" t="inlineStr">
        <is>
          <t>ÖSTHAMMAR</t>
        </is>
      </c>
      <c r="G500" t="n">
        <v>1.6</v>
      </c>
      <c r="H500" t="n">
        <v>0</v>
      </c>
      <c r="I500" t="n">
        <v>0</v>
      </c>
      <c r="J500" t="n">
        <v>0</v>
      </c>
      <c r="K500" t="n">
        <v>0</v>
      </c>
      <c r="L500" t="n">
        <v>0</v>
      </c>
      <c r="M500" t="n">
        <v>0</v>
      </c>
      <c r="N500" t="n">
        <v>0</v>
      </c>
      <c r="O500" t="n">
        <v>0</v>
      </c>
      <c r="P500" t="n">
        <v>0</v>
      </c>
      <c r="Q500" t="n">
        <v>0</v>
      </c>
      <c r="R500" s="2" t="inlineStr"/>
    </row>
    <row r="501" ht="15" customHeight="1">
      <c r="A501" t="inlineStr">
        <is>
          <t>A 26055-2025</t>
        </is>
      </c>
      <c r="B501" s="1" t="n">
        <v>45804.77559027778</v>
      </c>
      <c r="C501" s="1" t="n">
        <v>45878</v>
      </c>
      <c r="D501" t="inlineStr">
        <is>
          <t>UPPSALA LÄN</t>
        </is>
      </c>
      <c r="E501" t="inlineStr">
        <is>
          <t>ÖSTHAMMAR</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4559-2022</t>
        </is>
      </c>
      <c r="B502" s="1" t="n">
        <v>44591.51854166666</v>
      </c>
      <c r="C502" s="1" t="n">
        <v>45878</v>
      </c>
      <c r="D502" t="inlineStr">
        <is>
          <t>UPPSALA LÄN</t>
        </is>
      </c>
      <c r="E502" t="inlineStr">
        <is>
          <t>ÖSTHAMMAR</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11643-2022</t>
        </is>
      </c>
      <c r="B503" s="1" t="n">
        <v>44631.92662037037</v>
      </c>
      <c r="C503" s="1" t="n">
        <v>45878</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44823-2024</t>
        </is>
      </c>
      <c r="B504" s="1" t="n">
        <v>45574.66471064815</v>
      </c>
      <c r="C504" s="1" t="n">
        <v>45878</v>
      </c>
      <c r="D504" t="inlineStr">
        <is>
          <t>UPPSALA LÄN</t>
        </is>
      </c>
      <c r="E504" t="inlineStr">
        <is>
          <t>ÖSTHAMMAR</t>
        </is>
      </c>
      <c r="G504" t="n">
        <v>3.8</v>
      </c>
      <c r="H504" t="n">
        <v>0</v>
      </c>
      <c r="I504" t="n">
        <v>0</v>
      </c>
      <c r="J504" t="n">
        <v>0</v>
      </c>
      <c r="K504" t="n">
        <v>0</v>
      </c>
      <c r="L504" t="n">
        <v>0</v>
      </c>
      <c r="M504" t="n">
        <v>0</v>
      </c>
      <c r="N504" t="n">
        <v>0</v>
      </c>
      <c r="O504" t="n">
        <v>0</v>
      </c>
      <c r="P504" t="n">
        <v>0</v>
      </c>
      <c r="Q504" t="n">
        <v>0</v>
      </c>
      <c r="R504" s="2" t="inlineStr"/>
    </row>
    <row r="505" ht="15" customHeight="1">
      <c r="A505" t="inlineStr">
        <is>
          <t>A 26330-2025</t>
        </is>
      </c>
      <c r="B505" s="1" t="n">
        <v>45805.68263888889</v>
      </c>
      <c r="C505" s="1" t="n">
        <v>45878</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4304-2025</t>
        </is>
      </c>
      <c r="B506" s="1" t="n">
        <v>45685.68193287037</v>
      </c>
      <c r="C506" s="1" t="n">
        <v>45878</v>
      </c>
      <c r="D506" t="inlineStr">
        <is>
          <t>UPPSALA LÄN</t>
        </is>
      </c>
      <c r="E506" t="inlineStr">
        <is>
          <t>ÖSTHAMMAR</t>
        </is>
      </c>
      <c r="G506" t="n">
        <v>1.2</v>
      </c>
      <c r="H506" t="n">
        <v>0</v>
      </c>
      <c r="I506" t="n">
        <v>0</v>
      </c>
      <c r="J506" t="n">
        <v>0</v>
      </c>
      <c r="K506" t="n">
        <v>0</v>
      </c>
      <c r="L506" t="n">
        <v>0</v>
      </c>
      <c r="M506" t="n">
        <v>0</v>
      </c>
      <c r="N506" t="n">
        <v>0</v>
      </c>
      <c r="O506" t="n">
        <v>0</v>
      </c>
      <c r="P506" t="n">
        <v>0</v>
      </c>
      <c r="Q506" t="n">
        <v>0</v>
      </c>
      <c r="R506" s="2" t="inlineStr"/>
    </row>
    <row r="507" ht="15" customHeight="1">
      <c r="A507" t="inlineStr">
        <is>
          <t>A 26319-2025</t>
        </is>
      </c>
      <c r="B507" s="1" t="n">
        <v>45805.65960648148</v>
      </c>
      <c r="C507" s="1" t="n">
        <v>45878</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28170-2023</t>
        </is>
      </c>
      <c r="B508" s="1" t="n">
        <v>45093</v>
      </c>
      <c r="C508" s="1" t="n">
        <v>45878</v>
      </c>
      <c r="D508" t="inlineStr">
        <is>
          <t>UPPSALA LÄN</t>
        </is>
      </c>
      <c r="E508" t="inlineStr">
        <is>
          <t>ÖSTHAMMAR</t>
        </is>
      </c>
      <c r="G508" t="n">
        <v>7.2</v>
      </c>
      <c r="H508" t="n">
        <v>0</v>
      </c>
      <c r="I508" t="n">
        <v>0</v>
      </c>
      <c r="J508" t="n">
        <v>0</v>
      </c>
      <c r="K508" t="n">
        <v>0</v>
      </c>
      <c r="L508" t="n">
        <v>0</v>
      </c>
      <c r="M508" t="n">
        <v>0</v>
      </c>
      <c r="N508" t="n">
        <v>0</v>
      </c>
      <c r="O508" t="n">
        <v>0</v>
      </c>
      <c r="P508" t="n">
        <v>0</v>
      </c>
      <c r="Q508" t="n">
        <v>0</v>
      </c>
      <c r="R508" s="2" t="inlineStr"/>
    </row>
    <row r="509" ht="15" customHeight="1">
      <c r="A509" t="inlineStr">
        <is>
          <t>A 11036-2023</t>
        </is>
      </c>
      <c r="B509" s="1" t="n">
        <v>44991.9321412037</v>
      </c>
      <c r="C509" s="1" t="n">
        <v>45878</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23363-2023</t>
        </is>
      </c>
      <c r="B510" s="1" t="n">
        <v>45076</v>
      </c>
      <c r="C510" s="1" t="n">
        <v>45878</v>
      </c>
      <c r="D510" t="inlineStr">
        <is>
          <t>UPPSALA LÄN</t>
        </is>
      </c>
      <c r="E510" t="inlineStr">
        <is>
          <t>ÖSTHAMMAR</t>
        </is>
      </c>
      <c r="G510" t="n">
        <v>3</v>
      </c>
      <c r="H510" t="n">
        <v>0</v>
      </c>
      <c r="I510" t="n">
        <v>0</v>
      </c>
      <c r="J510" t="n">
        <v>0</v>
      </c>
      <c r="K510" t="n">
        <v>0</v>
      </c>
      <c r="L510" t="n">
        <v>0</v>
      </c>
      <c r="M510" t="n">
        <v>0</v>
      </c>
      <c r="N510" t="n">
        <v>0</v>
      </c>
      <c r="O510" t="n">
        <v>0</v>
      </c>
      <c r="P510" t="n">
        <v>0</v>
      </c>
      <c r="Q510" t="n">
        <v>0</v>
      </c>
      <c r="R510" s="2" t="inlineStr"/>
    </row>
    <row r="511" ht="15" customHeight="1">
      <c r="A511" t="inlineStr">
        <is>
          <t>A 3418-2025</t>
        </is>
      </c>
      <c r="B511" s="1" t="n">
        <v>45680</v>
      </c>
      <c r="C511" s="1" t="n">
        <v>45878</v>
      </c>
      <c r="D511" t="inlineStr">
        <is>
          <t>UPPSALA LÄN</t>
        </is>
      </c>
      <c r="E511" t="inlineStr">
        <is>
          <t>ÖSTHAMMAR</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3420-2025</t>
        </is>
      </c>
      <c r="B512" s="1" t="n">
        <v>45680</v>
      </c>
      <c r="C512" s="1" t="n">
        <v>45878</v>
      </c>
      <c r="D512" t="inlineStr">
        <is>
          <t>UPPSALA LÄN</t>
        </is>
      </c>
      <c r="E512" t="inlineStr">
        <is>
          <t>ÖSTHAMMAR</t>
        </is>
      </c>
      <c r="F512" t="inlineStr">
        <is>
          <t>Bergvik skog väst AB</t>
        </is>
      </c>
      <c r="G512" t="n">
        <v>3.6</v>
      </c>
      <c r="H512" t="n">
        <v>0</v>
      </c>
      <c r="I512" t="n">
        <v>0</v>
      </c>
      <c r="J512" t="n">
        <v>0</v>
      </c>
      <c r="K512" t="n">
        <v>0</v>
      </c>
      <c r="L512" t="n">
        <v>0</v>
      </c>
      <c r="M512" t="n">
        <v>0</v>
      </c>
      <c r="N512" t="n">
        <v>0</v>
      </c>
      <c r="O512" t="n">
        <v>0</v>
      </c>
      <c r="P512" t="n">
        <v>0</v>
      </c>
      <c r="Q512" t="n">
        <v>0</v>
      </c>
      <c r="R512" s="2" t="inlineStr"/>
    </row>
    <row r="513" ht="15" customHeight="1">
      <c r="A513" t="inlineStr">
        <is>
          <t>A 16933-2022</t>
        </is>
      </c>
      <c r="B513" s="1" t="n">
        <v>44676</v>
      </c>
      <c r="C513" s="1" t="n">
        <v>45878</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23741-2024</t>
        </is>
      </c>
      <c r="B514" s="1" t="n">
        <v>45455</v>
      </c>
      <c r="C514" s="1" t="n">
        <v>45878</v>
      </c>
      <c r="D514" t="inlineStr">
        <is>
          <t>UPPSALA LÄN</t>
        </is>
      </c>
      <c r="E514" t="inlineStr">
        <is>
          <t>ÖSTHAMMAR</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14505-2023</t>
        </is>
      </c>
      <c r="B515" s="1" t="n">
        <v>45012.7975</v>
      </c>
      <c r="C515" s="1" t="n">
        <v>45878</v>
      </c>
      <c r="D515" t="inlineStr">
        <is>
          <t>UPPSALA LÄN</t>
        </is>
      </c>
      <c r="E515" t="inlineStr">
        <is>
          <t>ÖSTHAMMAR</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9264-2024</t>
        </is>
      </c>
      <c r="B516" s="1" t="n">
        <v>45358</v>
      </c>
      <c r="C516" s="1" t="n">
        <v>45878</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60577-2021</t>
        </is>
      </c>
      <c r="B517" s="1" t="n">
        <v>44496.57019675926</v>
      </c>
      <c r="C517" s="1" t="n">
        <v>45878</v>
      </c>
      <c r="D517" t="inlineStr">
        <is>
          <t>UPPSALA LÄN</t>
        </is>
      </c>
      <c r="E517" t="inlineStr">
        <is>
          <t>ÖSTHAMMAR</t>
        </is>
      </c>
      <c r="G517" t="n">
        <v>0.5</v>
      </c>
      <c r="H517" t="n">
        <v>0</v>
      </c>
      <c r="I517" t="n">
        <v>0</v>
      </c>
      <c r="J517" t="n">
        <v>0</v>
      </c>
      <c r="K517" t="n">
        <v>0</v>
      </c>
      <c r="L517" t="n">
        <v>0</v>
      </c>
      <c r="M517" t="n">
        <v>0</v>
      </c>
      <c r="N517" t="n">
        <v>0</v>
      </c>
      <c r="O517" t="n">
        <v>0</v>
      </c>
      <c r="P517" t="n">
        <v>0</v>
      </c>
      <c r="Q517" t="n">
        <v>0</v>
      </c>
      <c r="R517" s="2" t="inlineStr"/>
    </row>
    <row r="518" ht="15" customHeight="1">
      <c r="A518" t="inlineStr">
        <is>
          <t>A 57043-2022</t>
        </is>
      </c>
      <c r="B518" s="1" t="n">
        <v>44895.36748842592</v>
      </c>
      <c r="C518" s="1" t="n">
        <v>45878</v>
      </c>
      <c r="D518" t="inlineStr">
        <is>
          <t>UPPSALA LÄN</t>
        </is>
      </c>
      <c r="E518" t="inlineStr">
        <is>
          <t>ÖSTHAMMAR</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62695-2023</t>
        </is>
      </c>
      <c r="B519" s="1" t="n">
        <v>45271</v>
      </c>
      <c r="C519" s="1" t="n">
        <v>45878</v>
      </c>
      <c r="D519" t="inlineStr">
        <is>
          <t>UPPSALA LÄN</t>
        </is>
      </c>
      <c r="E519" t="inlineStr">
        <is>
          <t>ÖSTHAMMAR</t>
        </is>
      </c>
      <c r="G519" t="n">
        <v>5.3</v>
      </c>
      <c r="H519" t="n">
        <v>0</v>
      </c>
      <c r="I519" t="n">
        <v>0</v>
      </c>
      <c r="J519" t="n">
        <v>0</v>
      </c>
      <c r="K519" t="n">
        <v>0</v>
      </c>
      <c r="L519" t="n">
        <v>0</v>
      </c>
      <c r="M519" t="n">
        <v>0</v>
      </c>
      <c r="N519" t="n">
        <v>0</v>
      </c>
      <c r="O519" t="n">
        <v>0</v>
      </c>
      <c r="P519" t="n">
        <v>0</v>
      </c>
      <c r="Q519" t="n">
        <v>0</v>
      </c>
      <c r="R519" s="2" t="inlineStr"/>
    </row>
    <row r="520" ht="15" customHeight="1">
      <c r="A520" t="inlineStr">
        <is>
          <t>A 47390-2023</t>
        </is>
      </c>
      <c r="B520" s="1" t="n">
        <v>45202</v>
      </c>
      <c r="C520" s="1" t="n">
        <v>45878</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54437-2024</t>
        </is>
      </c>
      <c r="B521" s="1" t="n">
        <v>45617</v>
      </c>
      <c r="C521" s="1" t="n">
        <v>45878</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5188-2025</t>
        </is>
      </c>
      <c r="B522" s="1" t="n">
        <v>45691</v>
      </c>
      <c r="C522" s="1" t="n">
        <v>45878</v>
      </c>
      <c r="D522" t="inlineStr">
        <is>
          <t>UPPSALA LÄN</t>
        </is>
      </c>
      <c r="E522" t="inlineStr">
        <is>
          <t>ÖSTHAMMAR</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15928-2022</t>
        </is>
      </c>
      <c r="B523" s="1" t="n">
        <v>44664</v>
      </c>
      <c r="C523" s="1" t="n">
        <v>45878</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28228-2022</t>
        </is>
      </c>
      <c r="B524" s="1" t="n">
        <v>44746.65873842593</v>
      </c>
      <c r="C524" s="1" t="n">
        <v>45878</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15445-2022</t>
        </is>
      </c>
      <c r="B525" s="1" t="n">
        <v>44660.4987962963</v>
      </c>
      <c r="C525" s="1" t="n">
        <v>45878</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38630-2020</t>
        </is>
      </c>
      <c r="B526" s="1" t="n">
        <v>44061</v>
      </c>
      <c r="C526" s="1" t="n">
        <v>45878</v>
      </c>
      <c r="D526" t="inlineStr">
        <is>
          <t>UPPSALA LÄN</t>
        </is>
      </c>
      <c r="E526" t="inlineStr">
        <is>
          <t>ÖSTHAMMAR</t>
        </is>
      </c>
      <c r="F526" t="inlineStr">
        <is>
          <t>Bergvik skog öst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23742-2024</t>
        </is>
      </c>
      <c r="B527" s="1" t="n">
        <v>45455</v>
      </c>
      <c r="C527" s="1" t="n">
        <v>45878</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10275-2025</t>
        </is>
      </c>
      <c r="B528" s="1" t="n">
        <v>45720.39715277778</v>
      </c>
      <c r="C528" s="1" t="n">
        <v>45878</v>
      </c>
      <c r="D528" t="inlineStr">
        <is>
          <t>UPPSALA LÄN</t>
        </is>
      </c>
      <c r="E528" t="inlineStr">
        <is>
          <t>ÖSTHAMMAR</t>
        </is>
      </c>
      <c r="G528" t="n">
        <v>6.2</v>
      </c>
      <c r="H528" t="n">
        <v>0</v>
      </c>
      <c r="I528" t="n">
        <v>0</v>
      </c>
      <c r="J528" t="n">
        <v>0</v>
      </c>
      <c r="K528" t="n">
        <v>0</v>
      </c>
      <c r="L528" t="n">
        <v>0</v>
      </c>
      <c r="M528" t="n">
        <v>0</v>
      </c>
      <c r="N528" t="n">
        <v>0</v>
      </c>
      <c r="O528" t="n">
        <v>0</v>
      </c>
      <c r="P528" t="n">
        <v>0</v>
      </c>
      <c r="Q528" t="n">
        <v>0</v>
      </c>
      <c r="R528" s="2" t="inlineStr"/>
    </row>
    <row r="529" ht="15" customHeight="1">
      <c r="A529" t="inlineStr">
        <is>
          <t>A 29282-2021</t>
        </is>
      </c>
      <c r="B529" s="1" t="n">
        <v>44361</v>
      </c>
      <c r="C529" s="1" t="n">
        <v>45878</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26521-2025</t>
        </is>
      </c>
      <c r="B530" s="1" t="n">
        <v>45807.56275462963</v>
      </c>
      <c r="C530" s="1" t="n">
        <v>45878</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14124-2022</t>
        </is>
      </c>
      <c r="B531" s="1" t="n">
        <v>44651.40924768519</v>
      </c>
      <c r="C531" s="1" t="n">
        <v>45878</v>
      </c>
      <c r="D531" t="inlineStr">
        <is>
          <t>UPPSALA LÄN</t>
        </is>
      </c>
      <c r="E531" t="inlineStr">
        <is>
          <t>ÖSTHAMMAR</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37812-2022</t>
        </is>
      </c>
      <c r="B532" s="1" t="n">
        <v>44810</v>
      </c>
      <c r="C532" s="1" t="n">
        <v>45878</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6039-2025</t>
        </is>
      </c>
      <c r="B533" s="1" t="n">
        <v>45695</v>
      </c>
      <c r="C533" s="1" t="n">
        <v>45878</v>
      </c>
      <c r="D533" t="inlineStr">
        <is>
          <t>UPPSALA LÄN</t>
        </is>
      </c>
      <c r="E533" t="inlineStr">
        <is>
          <t>ÖSTHAMMAR</t>
        </is>
      </c>
      <c r="G533" t="n">
        <v>2.3</v>
      </c>
      <c r="H533" t="n">
        <v>0</v>
      </c>
      <c r="I533" t="n">
        <v>0</v>
      </c>
      <c r="J533" t="n">
        <v>0</v>
      </c>
      <c r="K533" t="n">
        <v>0</v>
      </c>
      <c r="L533" t="n">
        <v>0</v>
      </c>
      <c r="M533" t="n">
        <v>0</v>
      </c>
      <c r="N533" t="n">
        <v>0</v>
      </c>
      <c r="O533" t="n">
        <v>0</v>
      </c>
      <c r="P533" t="n">
        <v>0</v>
      </c>
      <c r="Q533" t="n">
        <v>0</v>
      </c>
      <c r="R533" s="2" t="inlineStr"/>
    </row>
    <row r="534" ht="15" customHeight="1">
      <c r="A534" t="inlineStr">
        <is>
          <t>A 26526-2025</t>
        </is>
      </c>
      <c r="B534" s="1" t="n">
        <v>45807.56612268519</v>
      </c>
      <c r="C534" s="1" t="n">
        <v>45878</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26395-2025</t>
        </is>
      </c>
      <c r="B535" s="1" t="n">
        <v>45807</v>
      </c>
      <c r="C535" s="1" t="n">
        <v>45878</v>
      </c>
      <c r="D535" t="inlineStr">
        <is>
          <t>UPPSALA LÄN</t>
        </is>
      </c>
      <c r="E535" t="inlineStr">
        <is>
          <t>ÖSTHAMMAR</t>
        </is>
      </c>
      <c r="G535" t="n">
        <v>7</v>
      </c>
      <c r="H535" t="n">
        <v>0</v>
      </c>
      <c r="I535" t="n">
        <v>0</v>
      </c>
      <c r="J535" t="n">
        <v>0</v>
      </c>
      <c r="K535" t="n">
        <v>0</v>
      </c>
      <c r="L535" t="n">
        <v>0</v>
      </c>
      <c r="M535" t="n">
        <v>0</v>
      </c>
      <c r="N535" t="n">
        <v>0</v>
      </c>
      <c r="O535" t="n">
        <v>0</v>
      </c>
      <c r="P535" t="n">
        <v>0</v>
      </c>
      <c r="Q535" t="n">
        <v>0</v>
      </c>
      <c r="R535" s="2" t="inlineStr"/>
    </row>
    <row r="536" ht="15" customHeight="1">
      <c r="A536" t="inlineStr">
        <is>
          <t>A 19501-2025</t>
        </is>
      </c>
      <c r="B536" s="1" t="n">
        <v>45770.4015625</v>
      </c>
      <c r="C536" s="1" t="n">
        <v>45878</v>
      </c>
      <c r="D536" t="inlineStr">
        <is>
          <t>UPPSALA LÄN</t>
        </is>
      </c>
      <c r="E536" t="inlineStr">
        <is>
          <t>ÖSTHAMMAR</t>
        </is>
      </c>
      <c r="F536" t="inlineStr">
        <is>
          <t>Övriga Aktiebolag</t>
        </is>
      </c>
      <c r="G536" t="n">
        <v>17.3</v>
      </c>
      <c r="H536" t="n">
        <v>0</v>
      </c>
      <c r="I536" t="n">
        <v>0</v>
      </c>
      <c r="J536" t="n">
        <v>0</v>
      </c>
      <c r="K536" t="n">
        <v>0</v>
      </c>
      <c r="L536" t="n">
        <v>0</v>
      </c>
      <c r="M536" t="n">
        <v>0</v>
      </c>
      <c r="N536" t="n">
        <v>0</v>
      </c>
      <c r="O536" t="n">
        <v>0</v>
      </c>
      <c r="P536" t="n">
        <v>0</v>
      </c>
      <c r="Q536" t="n">
        <v>0</v>
      </c>
      <c r="R536" s="2" t="inlineStr"/>
    </row>
    <row r="537" ht="15" customHeight="1">
      <c r="A537" t="inlineStr">
        <is>
          <t>A 8769-2025</t>
        </is>
      </c>
      <c r="B537" s="1" t="n">
        <v>45712.59412037037</v>
      </c>
      <c r="C537" s="1" t="n">
        <v>45878</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41821-2023</t>
        </is>
      </c>
      <c r="B538" s="1" t="n">
        <v>45176</v>
      </c>
      <c r="C538" s="1" t="n">
        <v>45878</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44783.69886574074</v>
      </c>
      <c r="C539" s="1" t="n">
        <v>45878</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41308-2023</t>
        </is>
      </c>
      <c r="B540" s="1" t="n">
        <v>45174.62788194444</v>
      </c>
      <c r="C540" s="1" t="n">
        <v>45878</v>
      </c>
      <c r="D540" t="inlineStr">
        <is>
          <t>UPPSALA LÄN</t>
        </is>
      </c>
      <c r="E540" t="inlineStr">
        <is>
          <t>ÖSTHAMMAR</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49833-2023</t>
        </is>
      </c>
      <c r="B541" s="1" t="n">
        <v>45212.71481481481</v>
      </c>
      <c r="C541" s="1" t="n">
        <v>45878</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20326-2021</t>
        </is>
      </c>
      <c r="B542" s="1" t="n">
        <v>44308</v>
      </c>
      <c r="C542" s="1" t="n">
        <v>45878</v>
      </c>
      <c r="D542" t="inlineStr">
        <is>
          <t>UPPSALA LÄN</t>
        </is>
      </c>
      <c r="E542" t="inlineStr">
        <is>
          <t>ÖSTHAMMAR</t>
        </is>
      </c>
      <c r="G542" t="n">
        <v>7</v>
      </c>
      <c r="H542" t="n">
        <v>0</v>
      </c>
      <c r="I542" t="n">
        <v>0</v>
      </c>
      <c r="J542" t="n">
        <v>0</v>
      </c>
      <c r="K542" t="n">
        <v>0</v>
      </c>
      <c r="L542" t="n">
        <v>0</v>
      </c>
      <c r="M542" t="n">
        <v>0</v>
      </c>
      <c r="N542" t="n">
        <v>0</v>
      </c>
      <c r="O542" t="n">
        <v>0</v>
      </c>
      <c r="P542" t="n">
        <v>0</v>
      </c>
      <c r="Q542" t="n">
        <v>0</v>
      </c>
      <c r="R542" s="2" t="inlineStr"/>
    </row>
    <row r="543" ht="15" customHeight="1">
      <c r="A543" t="inlineStr">
        <is>
          <t>A 55086-2024</t>
        </is>
      </c>
      <c r="B543" s="1" t="n">
        <v>45621.43098379629</v>
      </c>
      <c r="C543" s="1" t="n">
        <v>45878</v>
      </c>
      <c r="D543" t="inlineStr">
        <is>
          <t>UPPSALA LÄN</t>
        </is>
      </c>
      <c r="E543" t="inlineStr">
        <is>
          <t>ÖSTHAMMAR</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55090-2024</t>
        </is>
      </c>
      <c r="B544" s="1" t="n">
        <v>45621.4350462963</v>
      </c>
      <c r="C544" s="1" t="n">
        <v>45878</v>
      </c>
      <c r="D544" t="inlineStr">
        <is>
          <t>UPPSALA LÄN</t>
        </is>
      </c>
      <c r="E544" t="inlineStr">
        <is>
          <t>ÖSTHAMMAR</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55093-2024</t>
        </is>
      </c>
      <c r="B545" s="1" t="n">
        <v>45621.43712962963</v>
      </c>
      <c r="C545" s="1" t="n">
        <v>45878</v>
      </c>
      <c r="D545" t="inlineStr">
        <is>
          <t>UPPSALA LÄN</t>
        </is>
      </c>
      <c r="E545" t="inlineStr">
        <is>
          <t>ÖSTHAMMAR</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17433-2025</t>
        </is>
      </c>
      <c r="B546" s="1" t="n">
        <v>45757.40733796296</v>
      </c>
      <c r="C546" s="1" t="n">
        <v>45878</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45550-2023</t>
        </is>
      </c>
      <c r="B547" s="1" t="n">
        <v>45194.57125</v>
      </c>
      <c r="C547" s="1" t="n">
        <v>45878</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27395-2025</t>
        </is>
      </c>
      <c r="B548" s="1" t="n">
        <v>45812.6850462963</v>
      </c>
      <c r="C548" s="1" t="n">
        <v>45878</v>
      </c>
      <c r="D548" t="inlineStr">
        <is>
          <t>UPPSALA LÄN</t>
        </is>
      </c>
      <c r="E548" t="inlineStr">
        <is>
          <t>ÖSTHAMMAR</t>
        </is>
      </c>
      <c r="F548" t="inlineStr">
        <is>
          <t>Bergvik skog öst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54368-2023</t>
        </is>
      </c>
      <c r="B549" s="1" t="n">
        <v>45233.33221064815</v>
      </c>
      <c r="C549" s="1" t="n">
        <v>45878</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27347-2025</t>
        </is>
      </c>
      <c r="B550" s="1" t="n">
        <v>45812.62390046296</v>
      </c>
      <c r="C550" s="1" t="n">
        <v>45878</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27383-2025</t>
        </is>
      </c>
      <c r="B551" s="1" t="n">
        <v>45812.66628472223</v>
      </c>
      <c r="C551" s="1" t="n">
        <v>45878</v>
      </c>
      <c r="D551" t="inlineStr">
        <is>
          <t>UPPSALA LÄN</t>
        </is>
      </c>
      <c r="E551" t="inlineStr">
        <is>
          <t>ÖSTHAMMAR</t>
        </is>
      </c>
      <c r="G551" t="n">
        <v>0.7</v>
      </c>
      <c r="H551" t="n">
        <v>0</v>
      </c>
      <c r="I551" t="n">
        <v>0</v>
      </c>
      <c r="J551" t="n">
        <v>0</v>
      </c>
      <c r="K551" t="n">
        <v>0</v>
      </c>
      <c r="L551" t="n">
        <v>0</v>
      </c>
      <c r="M551" t="n">
        <v>0</v>
      </c>
      <c r="N551" t="n">
        <v>0</v>
      </c>
      <c r="O551" t="n">
        <v>0</v>
      </c>
      <c r="P551" t="n">
        <v>0</v>
      </c>
      <c r="Q551" t="n">
        <v>0</v>
      </c>
      <c r="R551" s="2" t="inlineStr"/>
    </row>
    <row r="552" ht="15" customHeight="1">
      <c r="A552" t="inlineStr">
        <is>
          <t>A 27385-2025</t>
        </is>
      </c>
      <c r="B552" s="1" t="n">
        <v>45812.66829861111</v>
      </c>
      <c r="C552" s="1" t="n">
        <v>45878</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27352-2025</t>
        </is>
      </c>
      <c r="B553" s="1" t="n">
        <v>45812.62694444445</v>
      </c>
      <c r="C553" s="1" t="n">
        <v>45878</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28432-2023</t>
        </is>
      </c>
      <c r="B554" s="1" t="n">
        <v>45102.59896990741</v>
      </c>
      <c r="C554" s="1" t="n">
        <v>45878</v>
      </c>
      <c r="D554" t="inlineStr">
        <is>
          <t>UPPSALA LÄN</t>
        </is>
      </c>
      <c r="E554" t="inlineStr">
        <is>
          <t>ÖSTHAMMAR</t>
        </is>
      </c>
      <c r="F554" t="inlineStr">
        <is>
          <t>Bergvik skog öst AB</t>
        </is>
      </c>
      <c r="G554" t="n">
        <v>3.9</v>
      </c>
      <c r="H554" t="n">
        <v>0</v>
      </c>
      <c r="I554" t="n">
        <v>0</v>
      </c>
      <c r="J554" t="n">
        <v>0</v>
      </c>
      <c r="K554" t="n">
        <v>0</v>
      </c>
      <c r="L554" t="n">
        <v>0</v>
      </c>
      <c r="M554" t="n">
        <v>0</v>
      </c>
      <c r="N554" t="n">
        <v>0</v>
      </c>
      <c r="O554" t="n">
        <v>0</v>
      </c>
      <c r="P554" t="n">
        <v>0</v>
      </c>
      <c r="Q554" t="n">
        <v>0</v>
      </c>
      <c r="R554" s="2" t="inlineStr"/>
    </row>
    <row r="555" ht="15" customHeight="1">
      <c r="A555" t="inlineStr">
        <is>
          <t>A 27131-2025</t>
        </is>
      </c>
      <c r="B555" s="1" t="n">
        <v>45811</v>
      </c>
      <c r="C555" s="1" t="n">
        <v>45878</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27392-2025</t>
        </is>
      </c>
      <c r="B556" s="1" t="n">
        <v>45812.68268518519</v>
      </c>
      <c r="C556" s="1" t="n">
        <v>45878</v>
      </c>
      <c r="D556" t="inlineStr">
        <is>
          <t>UPPSALA LÄN</t>
        </is>
      </c>
      <c r="E556" t="inlineStr">
        <is>
          <t>ÖSTHAMMAR</t>
        </is>
      </c>
      <c r="F556" t="inlineStr">
        <is>
          <t>Bergvik skog öst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43915-2023</t>
        </is>
      </c>
      <c r="B557" s="1" t="n">
        <v>45187.71274305556</v>
      </c>
      <c r="C557" s="1" t="n">
        <v>45878</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27058-2025</t>
        </is>
      </c>
      <c r="B558" s="1" t="n">
        <v>45811.63436342592</v>
      </c>
      <c r="C558" s="1" t="n">
        <v>45878</v>
      </c>
      <c r="D558" t="inlineStr">
        <is>
          <t>UPPSALA LÄN</t>
        </is>
      </c>
      <c r="E558" t="inlineStr">
        <is>
          <t>ÖSTHAMMAR</t>
        </is>
      </c>
      <c r="F558" t="inlineStr">
        <is>
          <t>Bergvik skog öst AB</t>
        </is>
      </c>
      <c r="G558" t="n">
        <v>5.7</v>
      </c>
      <c r="H558" t="n">
        <v>0</v>
      </c>
      <c r="I558" t="n">
        <v>0</v>
      </c>
      <c r="J558" t="n">
        <v>0</v>
      </c>
      <c r="K558" t="n">
        <v>0</v>
      </c>
      <c r="L558" t="n">
        <v>0</v>
      </c>
      <c r="M558" t="n">
        <v>0</v>
      </c>
      <c r="N558" t="n">
        <v>0</v>
      </c>
      <c r="O558" t="n">
        <v>0</v>
      </c>
      <c r="P558" t="n">
        <v>0</v>
      </c>
      <c r="Q558" t="n">
        <v>0</v>
      </c>
      <c r="R558" s="2" t="inlineStr"/>
    </row>
    <row r="559" ht="15" customHeight="1">
      <c r="A559" t="inlineStr">
        <is>
          <t>A 27384-2025</t>
        </is>
      </c>
      <c r="B559" s="1" t="n">
        <v>45812.6672337963</v>
      </c>
      <c r="C559" s="1" t="n">
        <v>45878</v>
      </c>
      <c r="D559" t="inlineStr">
        <is>
          <t>UPPSALA LÄN</t>
        </is>
      </c>
      <c r="E559" t="inlineStr">
        <is>
          <t>ÖSTHAMMAR</t>
        </is>
      </c>
      <c r="G559" t="n">
        <v>1.6</v>
      </c>
      <c r="H559" t="n">
        <v>0</v>
      </c>
      <c r="I559" t="n">
        <v>0</v>
      </c>
      <c r="J559" t="n">
        <v>0</v>
      </c>
      <c r="K559" t="n">
        <v>0</v>
      </c>
      <c r="L559" t="n">
        <v>0</v>
      </c>
      <c r="M559" t="n">
        <v>0</v>
      </c>
      <c r="N559" t="n">
        <v>0</v>
      </c>
      <c r="O559" t="n">
        <v>0</v>
      </c>
      <c r="P559" t="n">
        <v>0</v>
      </c>
      <c r="Q559" t="n">
        <v>0</v>
      </c>
      <c r="R559" s="2" t="inlineStr"/>
    </row>
    <row r="560" ht="15" customHeight="1">
      <c r="A560" t="inlineStr">
        <is>
          <t>A 13352-2023</t>
        </is>
      </c>
      <c r="B560" s="1" t="n">
        <v>45005</v>
      </c>
      <c r="C560" s="1" t="n">
        <v>45878</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27350-2025</t>
        </is>
      </c>
      <c r="B561" s="1" t="n">
        <v>45812.62571759259</v>
      </c>
      <c r="C561" s="1" t="n">
        <v>45878</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27132-2025</t>
        </is>
      </c>
      <c r="B562" s="1" t="n">
        <v>45811</v>
      </c>
      <c r="C562" s="1" t="n">
        <v>45878</v>
      </c>
      <c r="D562" t="inlineStr">
        <is>
          <t>UPPSALA LÄN</t>
        </is>
      </c>
      <c r="E562" t="inlineStr">
        <is>
          <t>ÖSTHAMMAR</t>
        </is>
      </c>
      <c r="G562" t="n">
        <v>2.3</v>
      </c>
      <c r="H562" t="n">
        <v>0</v>
      </c>
      <c r="I562" t="n">
        <v>0</v>
      </c>
      <c r="J562" t="n">
        <v>0</v>
      </c>
      <c r="K562" t="n">
        <v>0</v>
      </c>
      <c r="L562" t="n">
        <v>0</v>
      </c>
      <c r="M562" t="n">
        <v>0</v>
      </c>
      <c r="N562" t="n">
        <v>0</v>
      </c>
      <c r="O562" t="n">
        <v>0</v>
      </c>
      <c r="P562" t="n">
        <v>0</v>
      </c>
      <c r="Q562" t="n">
        <v>0</v>
      </c>
      <c r="R562" s="2" t="inlineStr"/>
    </row>
    <row r="563" ht="15" customHeight="1">
      <c r="A563" t="inlineStr">
        <is>
          <t>A 17931-2025</t>
        </is>
      </c>
      <c r="B563" s="1" t="n">
        <v>45759.56894675926</v>
      </c>
      <c r="C563" s="1" t="n">
        <v>45878</v>
      </c>
      <c r="D563" t="inlineStr">
        <is>
          <t>UPPSALA LÄN</t>
        </is>
      </c>
      <c r="E563" t="inlineStr">
        <is>
          <t>ÖSTHAMMAR</t>
        </is>
      </c>
      <c r="G563" t="n">
        <v>2.1</v>
      </c>
      <c r="H563" t="n">
        <v>0</v>
      </c>
      <c r="I563" t="n">
        <v>0</v>
      </c>
      <c r="J563" t="n">
        <v>0</v>
      </c>
      <c r="K563" t="n">
        <v>0</v>
      </c>
      <c r="L563" t="n">
        <v>0</v>
      </c>
      <c r="M563" t="n">
        <v>0</v>
      </c>
      <c r="N563" t="n">
        <v>0</v>
      </c>
      <c r="O563" t="n">
        <v>0</v>
      </c>
      <c r="P563" t="n">
        <v>0</v>
      </c>
      <c r="Q563" t="n">
        <v>0</v>
      </c>
      <c r="R563" s="2" t="inlineStr"/>
    </row>
    <row r="564" ht="15" customHeight="1">
      <c r="A564" t="inlineStr">
        <is>
          <t>A 17938-2025</t>
        </is>
      </c>
      <c r="B564" s="1" t="n">
        <v>45760.55626157407</v>
      </c>
      <c r="C564" s="1" t="n">
        <v>45878</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8791-2025</t>
        </is>
      </c>
      <c r="B565" s="1" t="n">
        <v>45712</v>
      </c>
      <c r="C565" s="1" t="n">
        <v>45878</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26552-2022</t>
        </is>
      </c>
      <c r="B566" s="1" t="n">
        <v>44739</v>
      </c>
      <c r="C566" s="1" t="n">
        <v>45878</v>
      </c>
      <c r="D566" t="inlineStr">
        <is>
          <t>UPPSALA LÄN</t>
        </is>
      </c>
      <c r="E566" t="inlineStr">
        <is>
          <t>ÖSTHAMMAR</t>
        </is>
      </c>
      <c r="G566" t="n">
        <v>2.2</v>
      </c>
      <c r="H566" t="n">
        <v>0</v>
      </c>
      <c r="I566" t="n">
        <v>0</v>
      </c>
      <c r="J566" t="n">
        <v>0</v>
      </c>
      <c r="K566" t="n">
        <v>0</v>
      </c>
      <c r="L566" t="n">
        <v>0</v>
      </c>
      <c r="M566" t="n">
        <v>0</v>
      </c>
      <c r="N566" t="n">
        <v>0</v>
      </c>
      <c r="O566" t="n">
        <v>0</v>
      </c>
      <c r="P566" t="n">
        <v>0</v>
      </c>
      <c r="Q566" t="n">
        <v>0</v>
      </c>
      <c r="R566" s="2" t="inlineStr"/>
    </row>
    <row r="567" ht="15" customHeight="1">
      <c r="A567" t="inlineStr">
        <is>
          <t>A 8330-2025</t>
        </is>
      </c>
      <c r="B567" s="1" t="n">
        <v>45708</v>
      </c>
      <c r="C567" s="1" t="n">
        <v>45878</v>
      </c>
      <c r="D567" t="inlineStr">
        <is>
          <t>UPPSALA LÄN</t>
        </is>
      </c>
      <c r="E567" t="inlineStr">
        <is>
          <t>ÖSTHAMMAR</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44803.78524305556</v>
      </c>
      <c r="C568" s="1" t="n">
        <v>45878</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357-2025</t>
        </is>
      </c>
      <c r="B569" s="1" t="n">
        <v>45659</v>
      </c>
      <c r="C569" s="1" t="n">
        <v>45878</v>
      </c>
      <c r="D569" t="inlineStr">
        <is>
          <t>UPPSALA LÄN</t>
        </is>
      </c>
      <c r="E569" t="inlineStr">
        <is>
          <t>ÖSTHAMMAR</t>
        </is>
      </c>
      <c r="G569" t="n">
        <v>15.8</v>
      </c>
      <c r="H569" t="n">
        <v>0</v>
      </c>
      <c r="I569" t="n">
        <v>0</v>
      </c>
      <c r="J569" t="n">
        <v>0</v>
      </c>
      <c r="K569" t="n">
        <v>0</v>
      </c>
      <c r="L569" t="n">
        <v>0</v>
      </c>
      <c r="M569" t="n">
        <v>0</v>
      </c>
      <c r="N569" t="n">
        <v>0</v>
      </c>
      <c r="O569" t="n">
        <v>0</v>
      </c>
      <c r="P569" t="n">
        <v>0</v>
      </c>
      <c r="Q569" t="n">
        <v>0</v>
      </c>
      <c r="R569" s="2" t="inlineStr"/>
    </row>
    <row r="570" ht="15" customHeight="1">
      <c r="A570" t="inlineStr">
        <is>
          <t>A 7216-2025</t>
        </is>
      </c>
      <c r="B570" s="1" t="n">
        <v>45702.47630787037</v>
      </c>
      <c r="C570" s="1" t="n">
        <v>45878</v>
      </c>
      <c r="D570" t="inlineStr">
        <is>
          <t>UPPSALA LÄN</t>
        </is>
      </c>
      <c r="E570" t="inlineStr">
        <is>
          <t>ÖSTHAMMAR</t>
        </is>
      </c>
      <c r="F570" t="inlineStr">
        <is>
          <t>Övriga Aktiebolag</t>
        </is>
      </c>
      <c r="G570" t="n">
        <v>12.5</v>
      </c>
      <c r="H570" t="n">
        <v>0</v>
      </c>
      <c r="I570" t="n">
        <v>0</v>
      </c>
      <c r="J570" t="n">
        <v>0</v>
      </c>
      <c r="K570" t="n">
        <v>0</v>
      </c>
      <c r="L570" t="n">
        <v>0</v>
      </c>
      <c r="M570" t="n">
        <v>0</v>
      </c>
      <c r="N570" t="n">
        <v>0</v>
      </c>
      <c r="O570" t="n">
        <v>0</v>
      </c>
      <c r="P570" t="n">
        <v>0</v>
      </c>
      <c r="Q570" t="n">
        <v>0</v>
      </c>
      <c r="R570" s="2" t="inlineStr"/>
    </row>
    <row r="571" ht="15" customHeight="1">
      <c r="A571" t="inlineStr">
        <is>
          <t>A 27676-2025</t>
        </is>
      </c>
      <c r="B571" s="1" t="n">
        <v>45813.63075231481</v>
      </c>
      <c r="C571" s="1" t="n">
        <v>45878</v>
      </c>
      <c r="D571" t="inlineStr">
        <is>
          <t>UPPSALA LÄN</t>
        </is>
      </c>
      <c r="E571" t="inlineStr">
        <is>
          <t>ÖSTHAMMAR</t>
        </is>
      </c>
      <c r="G571" t="n">
        <v>2.9</v>
      </c>
      <c r="H571" t="n">
        <v>0</v>
      </c>
      <c r="I571" t="n">
        <v>0</v>
      </c>
      <c r="J571" t="n">
        <v>0</v>
      </c>
      <c r="K571" t="n">
        <v>0</v>
      </c>
      <c r="L571" t="n">
        <v>0</v>
      </c>
      <c r="M571" t="n">
        <v>0</v>
      </c>
      <c r="N571" t="n">
        <v>0</v>
      </c>
      <c r="O571" t="n">
        <v>0</v>
      </c>
      <c r="P571" t="n">
        <v>0</v>
      </c>
      <c r="Q571" t="n">
        <v>0</v>
      </c>
      <c r="R571" s="2" t="inlineStr"/>
    </row>
    <row r="572" ht="15" customHeight="1">
      <c r="A572" t="inlineStr">
        <is>
          <t>A 68828-2020</t>
        </is>
      </c>
      <c r="B572" s="1" t="n">
        <v>44186</v>
      </c>
      <c r="C572" s="1" t="n">
        <v>45878</v>
      </c>
      <c r="D572" t="inlineStr">
        <is>
          <t>UPPSALA LÄN</t>
        </is>
      </c>
      <c r="E572" t="inlineStr">
        <is>
          <t>ÖSTHAMMAR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18731-2022</t>
        </is>
      </c>
      <c r="B573" s="1" t="n">
        <v>44687.78673611111</v>
      </c>
      <c r="C573" s="1" t="n">
        <v>45878</v>
      </c>
      <c r="D573" t="inlineStr">
        <is>
          <t>UPPSALA LÄN</t>
        </is>
      </c>
      <c r="E573" t="inlineStr">
        <is>
          <t>ÖSTHAMMAR</t>
        </is>
      </c>
      <c r="G573" t="n">
        <v>4.9</v>
      </c>
      <c r="H573" t="n">
        <v>0</v>
      </c>
      <c r="I573" t="n">
        <v>0</v>
      </c>
      <c r="J573" t="n">
        <v>0</v>
      </c>
      <c r="K573" t="n">
        <v>0</v>
      </c>
      <c r="L573" t="n">
        <v>0</v>
      </c>
      <c r="M573" t="n">
        <v>0</v>
      </c>
      <c r="N573" t="n">
        <v>0</v>
      </c>
      <c r="O573" t="n">
        <v>0</v>
      </c>
      <c r="P573" t="n">
        <v>0</v>
      </c>
      <c r="Q573" t="n">
        <v>0</v>
      </c>
      <c r="R573" s="2" t="inlineStr"/>
    </row>
    <row r="574" ht="15" customHeight="1">
      <c r="A574" t="inlineStr">
        <is>
          <t>A 31137-2022</t>
        </is>
      </c>
      <c r="B574" s="1" t="n">
        <v>44770.42166666667</v>
      </c>
      <c r="C574" s="1" t="n">
        <v>45878</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23495-2023</t>
        </is>
      </c>
      <c r="B575" s="1" t="n">
        <v>45076.71652777777</v>
      </c>
      <c r="C575" s="1" t="n">
        <v>45878</v>
      </c>
      <c r="D575" t="inlineStr">
        <is>
          <t>UPPSALA LÄN</t>
        </is>
      </c>
      <c r="E575" t="inlineStr">
        <is>
          <t>ÖSTHAMMAR</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18094-2025</t>
        </is>
      </c>
      <c r="B576" s="1" t="n">
        <v>45761.54710648148</v>
      </c>
      <c r="C576" s="1" t="n">
        <v>45878</v>
      </c>
      <c r="D576" t="inlineStr">
        <is>
          <t>UPPSALA LÄN</t>
        </is>
      </c>
      <c r="E576" t="inlineStr">
        <is>
          <t>ÖSTHAMMAR</t>
        </is>
      </c>
      <c r="F576" t="inlineStr">
        <is>
          <t>Bergvik skog öst AB</t>
        </is>
      </c>
      <c r="G576" t="n">
        <v>6.5</v>
      </c>
      <c r="H576" t="n">
        <v>0</v>
      </c>
      <c r="I576" t="n">
        <v>0</v>
      </c>
      <c r="J576" t="n">
        <v>0</v>
      </c>
      <c r="K576" t="n">
        <v>0</v>
      </c>
      <c r="L576" t="n">
        <v>0</v>
      </c>
      <c r="M576" t="n">
        <v>0</v>
      </c>
      <c r="N576" t="n">
        <v>0</v>
      </c>
      <c r="O576" t="n">
        <v>0</v>
      </c>
      <c r="P576" t="n">
        <v>0</v>
      </c>
      <c r="Q576" t="n">
        <v>0</v>
      </c>
      <c r="R576" s="2" t="inlineStr"/>
    </row>
    <row r="577" ht="15" customHeight="1">
      <c r="A577" t="inlineStr">
        <is>
          <t>A 27563-2025</t>
        </is>
      </c>
      <c r="B577" s="1" t="n">
        <v>45813.48471064815</v>
      </c>
      <c r="C577" s="1" t="n">
        <v>45878</v>
      </c>
      <c r="D577" t="inlineStr">
        <is>
          <t>UPPSALA LÄN</t>
        </is>
      </c>
      <c r="E577" t="inlineStr">
        <is>
          <t>ÖSTHAMMAR</t>
        </is>
      </c>
      <c r="F577" t="inlineStr">
        <is>
          <t>Bergvik skog öst AB</t>
        </is>
      </c>
      <c r="G577" t="n">
        <v>4</v>
      </c>
      <c r="H577" t="n">
        <v>0</v>
      </c>
      <c r="I577" t="n">
        <v>0</v>
      </c>
      <c r="J577" t="n">
        <v>0</v>
      </c>
      <c r="K577" t="n">
        <v>0</v>
      </c>
      <c r="L577" t="n">
        <v>0</v>
      </c>
      <c r="M577" t="n">
        <v>0</v>
      </c>
      <c r="N577" t="n">
        <v>0</v>
      </c>
      <c r="O577" t="n">
        <v>0</v>
      </c>
      <c r="P577" t="n">
        <v>0</v>
      </c>
      <c r="Q577" t="n">
        <v>0</v>
      </c>
      <c r="R577" s="2" t="inlineStr"/>
    </row>
    <row r="578" ht="15" customHeight="1">
      <c r="A578" t="inlineStr">
        <is>
          <t>A 8902-2025</t>
        </is>
      </c>
      <c r="B578" s="1" t="n">
        <v>45713.41503472222</v>
      </c>
      <c r="C578" s="1" t="n">
        <v>45878</v>
      </c>
      <c r="D578" t="inlineStr">
        <is>
          <t>UPPSALA LÄN</t>
        </is>
      </c>
      <c r="E578" t="inlineStr">
        <is>
          <t>ÖSTHAMMAR</t>
        </is>
      </c>
      <c r="F578" t="inlineStr">
        <is>
          <t>Bergvik skog öst AB</t>
        </is>
      </c>
      <c r="G578" t="n">
        <v>1</v>
      </c>
      <c r="H578" t="n">
        <v>0</v>
      </c>
      <c r="I578" t="n">
        <v>0</v>
      </c>
      <c r="J578" t="n">
        <v>0</v>
      </c>
      <c r="K578" t="n">
        <v>0</v>
      </c>
      <c r="L578" t="n">
        <v>0</v>
      </c>
      <c r="M578" t="n">
        <v>0</v>
      </c>
      <c r="N578" t="n">
        <v>0</v>
      </c>
      <c r="O578" t="n">
        <v>0</v>
      </c>
      <c r="P578" t="n">
        <v>0</v>
      </c>
      <c r="Q578" t="n">
        <v>0</v>
      </c>
      <c r="R578" s="2" t="inlineStr"/>
    </row>
    <row r="579" ht="15" customHeight="1">
      <c r="A579" t="inlineStr">
        <is>
          <t>A 8904-2025</t>
        </is>
      </c>
      <c r="B579" s="1" t="n">
        <v>45713.41577546296</v>
      </c>
      <c r="C579" s="1" t="n">
        <v>45878</v>
      </c>
      <c r="D579" t="inlineStr">
        <is>
          <t>UPPSALA LÄN</t>
        </is>
      </c>
      <c r="E579" t="inlineStr">
        <is>
          <t>ÖSTHAMMAR</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44815-2022</t>
        </is>
      </c>
      <c r="B580" s="1" t="n">
        <v>44841.40452546296</v>
      </c>
      <c r="C580" s="1" t="n">
        <v>45878</v>
      </c>
      <c r="D580" t="inlineStr">
        <is>
          <t>UPPSALA LÄN</t>
        </is>
      </c>
      <c r="E580" t="inlineStr">
        <is>
          <t>ÖSTHAMMAR</t>
        </is>
      </c>
      <c r="G580" t="n">
        <v>1.8</v>
      </c>
      <c r="H580" t="n">
        <v>0</v>
      </c>
      <c r="I580" t="n">
        <v>0</v>
      </c>
      <c r="J580" t="n">
        <v>0</v>
      </c>
      <c r="K580" t="n">
        <v>0</v>
      </c>
      <c r="L580" t="n">
        <v>0</v>
      </c>
      <c r="M580" t="n">
        <v>0</v>
      </c>
      <c r="N580" t="n">
        <v>0</v>
      </c>
      <c r="O580" t="n">
        <v>0</v>
      </c>
      <c r="P580" t="n">
        <v>0</v>
      </c>
      <c r="Q580" t="n">
        <v>0</v>
      </c>
      <c r="R580" s="2" t="inlineStr"/>
    </row>
    <row r="581" ht="15" customHeight="1">
      <c r="A581" t="inlineStr">
        <is>
          <t>A 27920-2025</t>
        </is>
      </c>
      <c r="B581" s="1" t="n">
        <v>45817.48454861111</v>
      </c>
      <c r="C581" s="1" t="n">
        <v>45878</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29753-2022</t>
        </is>
      </c>
      <c r="B582" s="1" t="n">
        <v>44755</v>
      </c>
      <c r="C582" s="1" t="n">
        <v>45878</v>
      </c>
      <c r="D582" t="inlineStr">
        <is>
          <t>UPPSALA LÄN</t>
        </is>
      </c>
      <c r="E582" t="inlineStr">
        <is>
          <t>ÖSTHAMMAR</t>
        </is>
      </c>
      <c r="G582" t="n">
        <v>9.4</v>
      </c>
      <c r="H582" t="n">
        <v>0</v>
      </c>
      <c r="I582" t="n">
        <v>0</v>
      </c>
      <c r="J582" t="n">
        <v>0</v>
      </c>
      <c r="K582" t="n">
        <v>0</v>
      </c>
      <c r="L582" t="n">
        <v>0</v>
      </c>
      <c r="M582" t="n">
        <v>0</v>
      </c>
      <c r="N582" t="n">
        <v>0</v>
      </c>
      <c r="O582" t="n">
        <v>0</v>
      </c>
      <c r="P582" t="n">
        <v>0</v>
      </c>
      <c r="Q582" t="n">
        <v>0</v>
      </c>
      <c r="R582" s="2" t="inlineStr"/>
    </row>
    <row r="583" ht="15" customHeight="1">
      <c r="A583" t="inlineStr">
        <is>
          <t>A 28100-2025</t>
        </is>
      </c>
      <c r="B583" s="1" t="n">
        <v>45817.83487268518</v>
      </c>
      <c r="C583" s="1" t="n">
        <v>45878</v>
      </c>
      <c r="D583" t="inlineStr">
        <is>
          <t>UPPSALA LÄN</t>
        </is>
      </c>
      <c r="E583" t="inlineStr">
        <is>
          <t>ÖSTHAMMAR</t>
        </is>
      </c>
      <c r="F583" t="inlineStr">
        <is>
          <t>Bergvik skog öst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25859-2024</t>
        </is>
      </c>
      <c r="B584" s="1" t="n">
        <v>45467</v>
      </c>
      <c r="C584" s="1" t="n">
        <v>45878</v>
      </c>
      <c r="D584" t="inlineStr">
        <is>
          <t>UPPSALA LÄN</t>
        </is>
      </c>
      <c r="E584" t="inlineStr">
        <is>
          <t>ÖSTHAMMAR</t>
        </is>
      </c>
      <c r="G584" t="n">
        <v>7.9</v>
      </c>
      <c r="H584" t="n">
        <v>0</v>
      </c>
      <c r="I584" t="n">
        <v>0</v>
      </c>
      <c r="J584" t="n">
        <v>0</v>
      </c>
      <c r="K584" t="n">
        <v>0</v>
      </c>
      <c r="L584" t="n">
        <v>0</v>
      </c>
      <c r="M584" t="n">
        <v>0</v>
      </c>
      <c r="N584" t="n">
        <v>0</v>
      </c>
      <c r="O584" t="n">
        <v>0</v>
      </c>
      <c r="P584" t="n">
        <v>0</v>
      </c>
      <c r="Q584" t="n">
        <v>0</v>
      </c>
      <c r="R584" s="2" t="inlineStr"/>
    </row>
    <row r="585" ht="15" customHeight="1">
      <c r="A585" t="inlineStr">
        <is>
          <t>A 19744-2025</t>
        </is>
      </c>
      <c r="B585" s="1" t="n">
        <v>45771.37754629629</v>
      </c>
      <c r="C585" s="1" t="n">
        <v>45878</v>
      </c>
      <c r="D585" t="inlineStr">
        <is>
          <t>UPPSALA LÄN</t>
        </is>
      </c>
      <c r="E585" t="inlineStr">
        <is>
          <t>ÖSTHAMMAR</t>
        </is>
      </c>
      <c r="F585" t="inlineStr">
        <is>
          <t>Övriga Aktiebolag</t>
        </is>
      </c>
      <c r="G585" t="n">
        <v>9.6</v>
      </c>
      <c r="H585" t="n">
        <v>0</v>
      </c>
      <c r="I585" t="n">
        <v>0</v>
      </c>
      <c r="J585" t="n">
        <v>0</v>
      </c>
      <c r="K585" t="n">
        <v>0</v>
      </c>
      <c r="L585" t="n">
        <v>0</v>
      </c>
      <c r="M585" t="n">
        <v>0</v>
      </c>
      <c r="N585" t="n">
        <v>0</v>
      </c>
      <c r="O585" t="n">
        <v>0</v>
      </c>
      <c r="P585" t="n">
        <v>0</v>
      </c>
      <c r="Q585" t="n">
        <v>0</v>
      </c>
      <c r="R585" s="2" t="inlineStr"/>
    </row>
    <row r="586" ht="15" customHeight="1">
      <c r="A586" t="inlineStr">
        <is>
          <t>A 19748-2025</t>
        </is>
      </c>
      <c r="B586" s="1" t="n">
        <v>45771.38465277778</v>
      </c>
      <c r="C586" s="1" t="n">
        <v>45878</v>
      </c>
      <c r="D586" t="inlineStr">
        <is>
          <t>UPPSALA LÄN</t>
        </is>
      </c>
      <c r="E586" t="inlineStr">
        <is>
          <t>ÖSTHAMMAR</t>
        </is>
      </c>
      <c r="F586" t="inlineStr">
        <is>
          <t>Övriga Aktiebolag</t>
        </is>
      </c>
      <c r="G586" t="n">
        <v>6.8</v>
      </c>
      <c r="H586" t="n">
        <v>0</v>
      </c>
      <c r="I586" t="n">
        <v>0</v>
      </c>
      <c r="J586" t="n">
        <v>0</v>
      </c>
      <c r="K586" t="n">
        <v>0</v>
      </c>
      <c r="L586" t="n">
        <v>0</v>
      </c>
      <c r="M586" t="n">
        <v>0</v>
      </c>
      <c r="N586" t="n">
        <v>0</v>
      </c>
      <c r="O586" t="n">
        <v>0</v>
      </c>
      <c r="P586" t="n">
        <v>0</v>
      </c>
      <c r="Q586" t="n">
        <v>0</v>
      </c>
      <c r="R586" s="2" t="inlineStr"/>
    </row>
    <row r="587" ht="15" customHeight="1">
      <c r="A587" t="inlineStr">
        <is>
          <t>A 20072-2025</t>
        </is>
      </c>
      <c r="B587" s="1" t="n">
        <v>45772</v>
      </c>
      <c r="C587" s="1" t="n">
        <v>45878</v>
      </c>
      <c r="D587" t="inlineStr">
        <is>
          <t>UPPSALA LÄN</t>
        </is>
      </c>
      <c r="E587" t="inlineStr">
        <is>
          <t>ÖSTHAMMAR</t>
        </is>
      </c>
      <c r="G587" t="n">
        <v>3.1</v>
      </c>
      <c r="H587" t="n">
        <v>0</v>
      </c>
      <c r="I587" t="n">
        <v>0</v>
      </c>
      <c r="J587" t="n">
        <v>0</v>
      </c>
      <c r="K587" t="n">
        <v>0</v>
      </c>
      <c r="L587" t="n">
        <v>0</v>
      </c>
      <c r="M587" t="n">
        <v>0</v>
      </c>
      <c r="N587" t="n">
        <v>0</v>
      </c>
      <c r="O587" t="n">
        <v>0</v>
      </c>
      <c r="P587" t="n">
        <v>0</v>
      </c>
      <c r="Q587" t="n">
        <v>0</v>
      </c>
      <c r="R587" s="2" t="inlineStr"/>
    </row>
    <row r="588" ht="15" customHeight="1">
      <c r="A588" t="inlineStr">
        <is>
          <t>A 1063-2025</t>
        </is>
      </c>
      <c r="B588" s="1" t="n">
        <v>45666</v>
      </c>
      <c r="C588" s="1" t="n">
        <v>45878</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28099-2025</t>
        </is>
      </c>
      <c r="B589" s="1" t="n">
        <v>45817.82967592592</v>
      </c>
      <c r="C589" s="1" t="n">
        <v>45878</v>
      </c>
      <c r="D589" t="inlineStr">
        <is>
          <t>UPPSALA LÄN</t>
        </is>
      </c>
      <c r="E589" t="inlineStr">
        <is>
          <t>ÖSTHAMMAR</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52629-2023</t>
        </is>
      </c>
      <c r="B590" s="1" t="n">
        <v>45225</v>
      </c>
      <c r="C590" s="1" t="n">
        <v>45878</v>
      </c>
      <c r="D590" t="inlineStr">
        <is>
          <t>UPPSALA LÄN</t>
        </is>
      </c>
      <c r="E590" t="inlineStr">
        <is>
          <t>ÖSTHAMMAR</t>
        </is>
      </c>
      <c r="G590" t="n">
        <v>1.2</v>
      </c>
      <c r="H590" t="n">
        <v>0</v>
      </c>
      <c r="I590" t="n">
        <v>0</v>
      </c>
      <c r="J590" t="n">
        <v>0</v>
      </c>
      <c r="K590" t="n">
        <v>0</v>
      </c>
      <c r="L590" t="n">
        <v>0</v>
      </c>
      <c r="M590" t="n">
        <v>0</v>
      </c>
      <c r="N590" t="n">
        <v>0</v>
      </c>
      <c r="O590" t="n">
        <v>0</v>
      </c>
      <c r="P590" t="n">
        <v>0</v>
      </c>
      <c r="Q590" t="n">
        <v>0</v>
      </c>
      <c r="R590" s="2" t="inlineStr"/>
    </row>
    <row r="591" ht="15" customHeight="1">
      <c r="A591" t="inlineStr">
        <is>
          <t>A 10495-2025</t>
        </is>
      </c>
      <c r="B591" s="1" t="n">
        <v>45721</v>
      </c>
      <c r="C591" s="1" t="n">
        <v>45878</v>
      </c>
      <c r="D591" t="inlineStr">
        <is>
          <t>UPPSALA LÄN</t>
        </is>
      </c>
      <c r="E591" t="inlineStr">
        <is>
          <t>ÖSTHAMMAR</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27812-2025</t>
        </is>
      </c>
      <c r="B592" s="1" t="n">
        <v>45817.32150462963</v>
      </c>
      <c r="C592" s="1" t="n">
        <v>45878</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28101-2025</t>
        </is>
      </c>
      <c r="B593" s="1" t="n">
        <v>45817.83736111111</v>
      </c>
      <c r="C593" s="1" t="n">
        <v>45878</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9642-2024</t>
        </is>
      </c>
      <c r="B594" s="1" t="n">
        <v>45362.36296296296</v>
      </c>
      <c r="C594" s="1" t="n">
        <v>45878</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27919-2025</t>
        </is>
      </c>
      <c r="B595" s="1" t="n">
        <v>45817.48384259259</v>
      </c>
      <c r="C595" s="1" t="n">
        <v>45878</v>
      </c>
      <c r="D595" t="inlineStr">
        <is>
          <t>UPPSALA LÄN</t>
        </is>
      </c>
      <c r="E595" t="inlineStr">
        <is>
          <t>ÖSTHAMMAR</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27853-2025</t>
        </is>
      </c>
      <c r="B596" s="1" t="n">
        <v>45817.40178240741</v>
      </c>
      <c r="C596" s="1" t="n">
        <v>45878</v>
      </c>
      <c r="D596" t="inlineStr">
        <is>
          <t>UPPSALA LÄN</t>
        </is>
      </c>
      <c r="E596" t="inlineStr">
        <is>
          <t>ÖSTHAMMAR</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31549-2022</t>
        </is>
      </c>
      <c r="B597" s="1" t="n">
        <v>44775.400625</v>
      </c>
      <c r="C597" s="1" t="n">
        <v>45878</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27509-2025</t>
        </is>
      </c>
      <c r="B598" s="1" t="n">
        <v>45813.4278125</v>
      </c>
      <c r="C598" s="1" t="n">
        <v>45878</v>
      </c>
      <c r="D598" t="inlineStr">
        <is>
          <t>UPPSALA LÄN</t>
        </is>
      </c>
      <c r="E598" t="inlineStr">
        <is>
          <t>ÖSTHAMMAR</t>
        </is>
      </c>
      <c r="F598" t="inlineStr">
        <is>
          <t>Bergvik skog öst AB</t>
        </is>
      </c>
      <c r="G598" t="n">
        <v>3.3</v>
      </c>
      <c r="H598" t="n">
        <v>0</v>
      </c>
      <c r="I598" t="n">
        <v>0</v>
      </c>
      <c r="J598" t="n">
        <v>0</v>
      </c>
      <c r="K598" t="n">
        <v>0</v>
      </c>
      <c r="L598" t="n">
        <v>0</v>
      </c>
      <c r="M598" t="n">
        <v>0</v>
      </c>
      <c r="N598" t="n">
        <v>0</v>
      </c>
      <c r="O598" t="n">
        <v>0</v>
      </c>
      <c r="P598" t="n">
        <v>0</v>
      </c>
      <c r="Q598" t="n">
        <v>0</v>
      </c>
      <c r="R598" s="2" t="inlineStr"/>
    </row>
    <row r="599" ht="15" customHeight="1">
      <c r="A599" t="inlineStr">
        <is>
          <t>A 4356-2025</t>
        </is>
      </c>
      <c r="B599" s="1" t="n">
        <v>45686</v>
      </c>
      <c r="C599" s="1" t="n">
        <v>45878</v>
      </c>
      <c r="D599" t="inlineStr">
        <is>
          <t>UPPSALA LÄN</t>
        </is>
      </c>
      <c r="E599" t="inlineStr">
        <is>
          <t>ÖSTHAMMAR</t>
        </is>
      </c>
      <c r="F599" t="inlineStr">
        <is>
          <t>Övriga Aktiebolag</t>
        </is>
      </c>
      <c r="G599" t="n">
        <v>24.6</v>
      </c>
      <c r="H599" t="n">
        <v>0</v>
      </c>
      <c r="I599" t="n">
        <v>0</v>
      </c>
      <c r="J599" t="n">
        <v>0</v>
      </c>
      <c r="K599" t="n">
        <v>0</v>
      </c>
      <c r="L599" t="n">
        <v>0</v>
      </c>
      <c r="M599" t="n">
        <v>0</v>
      </c>
      <c r="N599" t="n">
        <v>0</v>
      </c>
      <c r="O599" t="n">
        <v>0</v>
      </c>
      <c r="P599" t="n">
        <v>0</v>
      </c>
      <c r="Q599" t="n">
        <v>0</v>
      </c>
      <c r="R599" s="2" t="inlineStr"/>
    </row>
    <row r="600" ht="15" customHeight="1">
      <c r="A600" t="inlineStr">
        <is>
          <t>A 17085-2025</t>
        </is>
      </c>
      <c r="B600" s="1" t="n">
        <v>45755.64612268518</v>
      </c>
      <c r="C600" s="1" t="n">
        <v>45878</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28745-2025</t>
        </is>
      </c>
      <c r="B601" s="1" t="n">
        <v>45820.39076388889</v>
      </c>
      <c r="C601" s="1" t="n">
        <v>45878</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47522-2023</t>
        </is>
      </c>
      <c r="B602" s="1" t="n">
        <v>45203</v>
      </c>
      <c r="C602" s="1" t="n">
        <v>45878</v>
      </c>
      <c r="D602" t="inlineStr">
        <is>
          <t>UPPSALA LÄN</t>
        </is>
      </c>
      <c r="E602" t="inlineStr">
        <is>
          <t>ÖSTHAMMAR</t>
        </is>
      </c>
      <c r="F602" t="inlineStr">
        <is>
          <t>Bergvik skog öst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28748-2025</t>
        </is>
      </c>
      <c r="B603" s="1" t="n">
        <v>45820.39540509259</v>
      </c>
      <c r="C603" s="1" t="n">
        <v>45878</v>
      </c>
      <c r="D603" t="inlineStr">
        <is>
          <t>UPPSALA LÄN</t>
        </is>
      </c>
      <c r="E603" t="inlineStr">
        <is>
          <t>ÖSTHAMMAR</t>
        </is>
      </c>
      <c r="G603" t="n">
        <v>2</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45878</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34971-2022</t>
        </is>
      </c>
      <c r="B605" s="1" t="n">
        <v>44796.66613425926</v>
      </c>
      <c r="C605" s="1" t="n">
        <v>45878</v>
      </c>
      <c r="D605" t="inlineStr">
        <is>
          <t>UPPSALA LÄN</t>
        </is>
      </c>
      <c r="E605" t="inlineStr">
        <is>
          <t>ÖSTHAMMAR</t>
        </is>
      </c>
      <c r="F605" t="inlineStr">
        <is>
          <t>Bergvik skog öst AB</t>
        </is>
      </c>
      <c r="G605" t="n">
        <v>2.3</v>
      </c>
      <c r="H605" t="n">
        <v>0</v>
      </c>
      <c r="I605" t="n">
        <v>0</v>
      </c>
      <c r="J605" t="n">
        <v>0</v>
      </c>
      <c r="K605" t="n">
        <v>0</v>
      </c>
      <c r="L605" t="n">
        <v>0</v>
      </c>
      <c r="M605" t="n">
        <v>0</v>
      </c>
      <c r="N605" t="n">
        <v>0</v>
      </c>
      <c r="O605" t="n">
        <v>0</v>
      </c>
      <c r="P605" t="n">
        <v>0</v>
      </c>
      <c r="Q605" t="n">
        <v>0</v>
      </c>
      <c r="R605" s="2" t="inlineStr"/>
    </row>
    <row r="606" ht="15" customHeight="1">
      <c r="A606" t="inlineStr">
        <is>
          <t>A 28442-2025</t>
        </is>
      </c>
      <c r="B606" s="1" t="n">
        <v>45819</v>
      </c>
      <c r="C606" s="1" t="n">
        <v>45878</v>
      </c>
      <c r="D606" t="inlineStr">
        <is>
          <t>UPPSALA LÄN</t>
        </is>
      </c>
      <c r="E606" t="inlineStr">
        <is>
          <t>ÖSTHAMMAR</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23728-2025</t>
        </is>
      </c>
      <c r="B607" s="1" t="n">
        <v>45793.41719907407</v>
      </c>
      <c r="C607" s="1" t="n">
        <v>45878</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28739-2025</t>
        </is>
      </c>
      <c r="B608" s="1" t="n">
        <v>45820</v>
      </c>
      <c r="C608" s="1" t="n">
        <v>45878</v>
      </c>
      <c r="D608" t="inlineStr">
        <is>
          <t>UPPSALA LÄN</t>
        </is>
      </c>
      <c r="E608" t="inlineStr">
        <is>
          <t>ÖSTHAMMAR</t>
        </is>
      </c>
      <c r="G608" t="n">
        <v>1.4</v>
      </c>
      <c r="H608" t="n">
        <v>0</v>
      </c>
      <c r="I608" t="n">
        <v>0</v>
      </c>
      <c r="J608" t="n">
        <v>0</v>
      </c>
      <c r="K608" t="n">
        <v>0</v>
      </c>
      <c r="L608" t="n">
        <v>0</v>
      </c>
      <c r="M608" t="n">
        <v>0</v>
      </c>
      <c r="N608" t="n">
        <v>0</v>
      </c>
      <c r="O608" t="n">
        <v>0</v>
      </c>
      <c r="P608" t="n">
        <v>0</v>
      </c>
      <c r="Q608" t="n">
        <v>0</v>
      </c>
      <c r="R608" s="2" t="inlineStr"/>
    </row>
    <row r="609" ht="15" customHeight="1">
      <c r="A609" t="inlineStr">
        <is>
          <t>A 27486-2025</t>
        </is>
      </c>
      <c r="B609" s="1" t="n">
        <v>45813.38521990741</v>
      </c>
      <c r="C609" s="1" t="n">
        <v>45878</v>
      </c>
      <c r="D609" t="inlineStr">
        <is>
          <t>UPPSALA LÄN</t>
        </is>
      </c>
      <c r="E609" t="inlineStr">
        <is>
          <t>ÖSTHAMMAR</t>
        </is>
      </c>
      <c r="F609" t="inlineStr">
        <is>
          <t>Bergvik skog öst AB</t>
        </is>
      </c>
      <c r="G609" t="n">
        <v>1.7</v>
      </c>
      <c r="H609" t="n">
        <v>0</v>
      </c>
      <c r="I609" t="n">
        <v>0</v>
      </c>
      <c r="J609" t="n">
        <v>0</v>
      </c>
      <c r="K609" t="n">
        <v>0</v>
      </c>
      <c r="L609" t="n">
        <v>0</v>
      </c>
      <c r="M609" t="n">
        <v>0</v>
      </c>
      <c r="N609" t="n">
        <v>0</v>
      </c>
      <c r="O609" t="n">
        <v>0</v>
      </c>
      <c r="P609" t="n">
        <v>0</v>
      </c>
      <c r="Q609" t="n">
        <v>0</v>
      </c>
      <c r="R609" s="2" t="inlineStr"/>
    </row>
    <row r="610" ht="15" customHeight="1">
      <c r="A610" t="inlineStr">
        <is>
          <t>A 29029-2025</t>
        </is>
      </c>
      <c r="B610" s="1" t="n">
        <v>45821.43973379629</v>
      </c>
      <c r="C610" s="1" t="n">
        <v>45878</v>
      </c>
      <c r="D610" t="inlineStr">
        <is>
          <t>UPPSALA LÄN</t>
        </is>
      </c>
      <c r="E610" t="inlineStr">
        <is>
          <t>ÖSTHAMMAR</t>
        </is>
      </c>
      <c r="F610" t="inlineStr">
        <is>
          <t>Bergvik skog öst AB</t>
        </is>
      </c>
      <c r="G610" t="n">
        <v>4.2</v>
      </c>
      <c r="H610" t="n">
        <v>0</v>
      </c>
      <c r="I610" t="n">
        <v>0</v>
      </c>
      <c r="J610" t="n">
        <v>0</v>
      </c>
      <c r="K610" t="n">
        <v>0</v>
      </c>
      <c r="L610" t="n">
        <v>0</v>
      </c>
      <c r="M610" t="n">
        <v>0</v>
      </c>
      <c r="N610" t="n">
        <v>0</v>
      </c>
      <c r="O610" t="n">
        <v>0</v>
      </c>
      <c r="P610" t="n">
        <v>0</v>
      </c>
      <c r="Q610" t="n">
        <v>0</v>
      </c>
      <c r="R610" s="2" t="inlineStr"/>
    </row>
    <row r="611" ht="15" customHeight="1">
      <c r="A611" t="inlineStr">
        <is>
          <t>A 39640-2020</t>
        </is>
      </c>
      <c r="B611" s="1" t="n">
        <v>44064</v>
      </c>
      <c r="C611" s="1" t="n">
        <v>45878</v>
      </c>
      <c r="D611" t="inlineStr">
        <is>
          <t>UPPSALA LÄN</t>
        </is>
      </c>
      <c r="E611" t="inlineStr">
        <is>
          <t>ÖSTHAMMAR</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29028-2025</t>
        </is>
      </c>
      <c r="B612" s="1" t="n">
        <v>45821.4384375</v>
      </c>
      <c r="C612" s="1" t="n">
        <v>45878</v>
      </c>
      <c r="D612" t="inlineStr">
        <is>
          <t>UPPSALA LÄN</t>
        </is>
      </c>
      <c r="E612" t="inlineStr">
        <is>
          <t>ÖSTHAMMAR</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36092-2025</t>
        </is>
      </c>
      <c r="B613" s="1" t="n">
        <v>45866.48244212963</v>
      </c>
      <c r="C613" s="1" t="n">
        <v>45878</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29031-2025</t>
        </is>
      </c>
      <c r="B614" s="1" t="n">
        <v>45821.44159722222</v>
      </c>
      <c r="C614" s="1" t="n">
        <v>45878</v>
      </c>
      <c r="D614" t="inlineStr">
        <is>
          <t>UPPSALA LÄN</t>
        </is>
      </c>
      <c r="E614" t="inlineStr">
        <is>
          <t>ÖSTHAMMAR</t>
        </is>
      </c>
      <c r="F614" t="inlineStr">
        <is>
          <t>Bergvik skog öst AB</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55646-2021</t>
        </is>
      </c>
      <c r="B615" s="1" t="n">
        <v>44476.3632175926</v>
      </c>
      <c r="C615" s="1" t="n">
        <v>45878</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32244-2021</t>
        </is>
      </c>
      <c r="B616" s="1" t="n">
        <v>44371.45335648148</v>
      </c>
      <c r="C616" s="1" t="n">
        <v>45878</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45878</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33056-2021</t>
        </is>
      </c>
      <c r="B618" s="1" t="n">
        <v>44376.52438657408</v>
      </c>
      <c r="C618" s="1" t="n">
        <v>45878</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27476-2025</t>
        </is>
      </c>
      <c r="B619" s="1" t="n">
        <v>45813.37517361111</v>
      </c>
      <c r="C619" s="1" t="n">
        <v>45878</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27494-2025</t>
        </is>
      </c>
      <c r="B620" s="1" t="n">
        <v>45813.39756944445</v>
      </c>
      <c r="C620" s="1" t="n">
        <v>45878</v>
      </c>
      <c r="D620" t="inlineStr">
        <is>
          <t>UPPSALA LÄN</t>
        </is>
      </c>
      <c r="E620" t="inlineStr">
        <is>
          <t>ÖSTHAMMAR</t>
        </is>
      </c>
      <c r="F620" t="inlineStr">
        <is>
          <t>Bergvik skog öst AB</t>
        </is>
      </c>
      <c r="G620" t="n">
        <v>23.4</v>
      </c>
      <c r="H620" t="n">
        <v>0</v>
      </c>
      <c r="I620" t="n">
        <v>0</v>
      </c>
      <c r="J620" t="n">
        <v>0</v>
      </c>
      <c r="K620" t="n">
        <v>0</v>
      </c>
      <c r="L620" t="n">
        <v>0</v>
      </c>
      <c r="M620" t="n">
        <v>0</v>
      </c>
      <c r="N620" t="n">
        <v>0</v>
      </c>
      <c r="O620" t="n">
        <v>0</v>
      </c>
      <c r="P620" t="n">
        <v>0</v>
      </c>
      <c r="Q620" t="n">
        <v>0</v>
      </c>
      <c r="R620" s="2" t="inlineStr"/>
    </row>
    <row r="621" ht="15" customHeight="1">
      <c r="A621" t="inlineStr">
        <is>
          <t>A 29384-2025</t>
        </is>
      </c>
      <c r="B621" s="1" t="n">
        <v>45824</v>
      </c>
      <c r="C621" s="1" t="n">
        <v>45878</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45878</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29775-2025</t>
        </is>
      </c>
      <c r="B623" s="1" t="n">
        <v>45825.63803240741</v>
      </c>
      <c r="C623" s="1" t="n">
        <v>45878</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16240-2025</t>
        </is>
      </c>
      <c r="B624" s="1" t="n">
        <v>45746</v>
      </c>
      <c r="C624" s="1" t="n">
        <v>45878</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20038-2023</t>
        </is>
      </c>
      <c r="B625" s="1" t="n">
        <v>45054.65834490741</v>
      </c>
      <c r="C625" s="1" t="n">
        <v>45878</v>
      </c>
      <c r="D625" t="inlineStr">
        <is>
          <t>UPPSALA LÄN</t>
        </is>
      </c>
      <c r="E625" t="inlineStr">
        <is>
          <t>ÖSTHAMMAR</t>
        </is>
      </c>
      <c r="G625" t="n">
        <v>0.4</v>
      </c>
      <c r="H625" t="n">
        <v>0</v>
      </c>
      <c r="I625" t="n">
        <v>0</v>
      </c>
      <c r="J625" t="n">
        <v>0</v>
      </c>
      <c r="K625" t="n">
        <v>0</v>
      </c>
      <c r="L625" t="n">
        <v>0</v>
      </c>
      <c r="M625" t="n">
        <v>0</v>
      </c>
      <c r="N625" t="n">
        <v>0</v>
      </c>
      <c r="O625" t="n">
        <v>0</v>
      </c>
      <c r="P625" t="n">
        <v>0</v>
      </c>
      <c r="Q625" t="n">
        <v>0</v>
      </c>
      <c r="R625" s="2" t="inlineStr"/>
    </row>
    <row r="626" ht="15" customHeight="1">
      <c r="A626" t="inlineStr">
        <is>
          <t>A 6121-2024</t>
        </is>
      </c>
      <c r="B626" s="1" t="n">
        <v>45337.4219212963</v>
      </c>
      <c r="C626" s="1" t="n">
        <v>45878</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8699-2025</t>
        </is>
      </c>
      <c r="B627" s="1" t="n">
        <v>45712.47983796296</v>
      </c>
      <c r="C627" s="1" t="n">
        <v>45878</v>
      </c>
      <c r="D627" t="inlineStr">
        <is>
          <t>UPPSALA LÄN</t>
        </is>
      </c>
      <c r="E627" t="inlineStr">
        <is>
          <t>ÖSTHAMMAR</t>
        </is>
      </c>
      <c r="G627" t="n">
        <v>5.6</v>
      </c>
      <c r="H627" t="n">
        <v>0</v>
      </c>
      <c r="I627" t="n">
        <v>0</v>
      </c>
      <c r="J627" t="n">
        <v>0</v>
      </c>
      <c r="K627" t="n">
        <v>0</v>
      </c>
      <c r="L627" t="n">
        <v>0</v>
      </c>
      <c r="M627" t="n">
        <v>0</v>
      </c>
      <c r="N627" t="n">
        <v>0</v>
      </c>
      <c r="O627" t="n">
        <v>0</v>
      </c>
      <c r="P627" t="n">
        <v>0</v>
      </c>
      <c r="Q627" t="n">
        <v>0</v>
      </c>
      <c r="R627" s="2" t="inlineStr"/>
    </row>
    <row r="628" ht="15" customHeight="1">
      <c r="A628" t="inlineStr">
        <is>
          <t>A 4292-2025</t>
        </is>
      </c>
      <c r="B628" s="1" t="n">
        <v>45685.66459490741</v>
      </c>
      <c r="C628" s="1" t="n">
        <v>45878</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8592-2022</t>
        </is>
      </c>
      <c r="B629" s="1" t="n">
        <v>44613</v>
      </c>
      <c r="C629" s="1" t="n">
        <v>45878</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5076-2025</t>
        </is>
      </c>
      <c r="B630" s="1" t="n">
        <v>45691</v>
      </c>
      <c r="C630" s="1" t="n">
        <v>45878</v>
      </c>
      <c r="D630" t="inlineStr">
        <is>
          <t>UPPSALA LÄN</t>
        </is>
      </c>
      <c r="E630" t="inlineStr">
        <is>
          <t>ÖSTHAMMAR</t>
        </is>
      </c>
      <c r="G630" t="n">
        <v>5.8</v>
      </c>
      <c r="H630" t="n">
        <v>0</v>
      </c>
      <c r="I630" t="n">
        <v>0</v>
      </c>
      <c r="J630" t="n">
        <v>0</v>
      </c>
      <c r="K630" t="n">
        <v>0</v>
      </c>
      <c r="L630" t="n">
        <v>0</v>
      </c>
      <c r="M630" t="n">
        <v>0</v>
      </c>
      <c r="N630" t="n">
        <v>0</v>
      </c>
      <c r="O630" t="n">
        <v>0</v>
      </c>
      <c r="P630" t="n">
        <v>0</v>
      </c>
      <c r="Q630" t="n">
        <v>0</v>
      </c>
      <c r="R630" s="2" t="inlineStr"/>
    </row>
    <row r="631" ht="15" customHeight="1">
      <c r="A631" t="inlineStr">
        <is>
          <t>A 36451-2025</t>
        </is>
      </c>
      <c r="B631" s="1" t="n">
        <v>45869.4290625</v>
      </c>
      <c r="C631" s="1" t="n">
        <v>45878</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8908-2025</t>
        </is>
      </c>
      <c r="B632" s="1" t="n">
        <v>45713.4196875</v>
      </c>
      <c r="C632" s="1" t="n">
        <v>45878</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3119-2025</t>
        </is>
      </c>
      <c r="B633" s="1" t="n">
        <v>45678</v>
      </c>
      <c r="C633" s="1" t="n">
        <v>45878</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17646-2025</t>
        </is>
      </c>
      <c r="B634" s="1" t="n">
        <v>45758.32872685185</v>
      </c>
      <c r="C634" s="1" t="n">
        <v>45878</v>
      </c>
      <c r="D634" t="inlineStr">
        <is>
          <t>UPPSALA LÄN</t>
        </is>
      </c>
      <c r="E634" t="inlineStr">
        <is>
          <t>ÖSTHAMMAR</t>
        </is>
      </c>
      <c r="F634" t="inlineStr">
        <is>
          <t>Bergvik skog väst AB</t>
        </is>
      </c>
      <c r="G634" t="n">
        <v>3.4</v>
      </c>
      <c r="H634" t="n">
        <v>0</v>
      </c>
      <c r="I634" t="n">
        <v>0</v>
      </c>
      <c r="J634" t="n">
        <v>0</v>
      </c>
      <c r="K634" t="n">
        <v>0</v>
      </c>
      <c r="L634" t="n">
        <v>0</v>
      </c>
      <c r="M634" t="n">
        <v>0</v>
      </c>
      <c r="N634" t="n">
        <v>0</v>
      </c>
      <c r="O634" t="n">
        <v>0</v>
      </c>
      <c r="P634" t="n">
        <v>0</v>
      </c>
      <c r="Q634" t="n">
        <v>0</v>
      </c>
      <c r="R634" s="2" t="inlineStr"/>
    </row>
    <row r="635" ht="15" customHeight="1">
      <c r="A635" t="inlineStr">
        <is>
          <t>A 17648-2025</t>
        </is>
      </c>
      <c r="B635" s="1" t="n">
        <v>45758.33064814815</v>
      </c>
      <c r="C635" s="1" t="n">
        <v>45878</v>
      </c>
      <c r="D635" t="inlineStr">
        <is>
          <t>UPPSALA LÄN</t>
        </is>
      </c>
      <c r="E635" t="inlineStr">
        <is>
          <t>ÖSTHAMMAR</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30244-2025</t>
        </is>
      </c>
      <c r="B636" s="1" t="n">
        <v>45827.40902777778</v>
      </c>
      <c r="C636" s="1" t="n">
        <v>45878</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30504-2025</t>
        </is>
      </c>
      <c r="B637" s="1" t="n">
        <v>45830.8558912037</v>
      </c>
      <c r="C637" s="1" t="n">
        <v>45878</v>
      </c>
      <c r="D637" t="inlineStr">
        <is>
          <t>UPPSALA LÄN</t>
        </is>
      </c>
      <c r="E637" t="inlineStr">
        <is>
          <t>ÖSTHAMMAR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15031-2025</t>
        </is>
      </c>
      <c r="B638" s="1" t="n">
        <v>45743.67333333333</v>
      </c>
      <c r="C638" s="1" t="n">
        <v>45878</v>
      </c>
      <c r="D638" t="inlineStr">
        <is>
          <t>UPPSALA LÄN</t>
        </is>
      </c>
      <c r="E638" t="inlineStr">
        <is>
          <t>ÖSTHAMMAR</t>
        </is>
      </c>
      <c r="G638" t="n">
        <v>9.6</v>
      </c>
      <c r="H638" t="n">
        <v>0</v>
      </c>
      <c r="I638" t="n">
        <v>0</v>
      </c>
      <c r="J638" t="n">
        <v>0</v>
      </c>
      <c r="K638" t="n">
        <v>0</v>
      </c>
      <c r="L638" t="n">
        <v>0</v>
      </c>
      <c r="M638" t="n">
        <v>0</v>
      </c>
      <c r="N638" t="n">
        <v>0</v>
      </c>
      <c r="O638" t="n">
        <v>0</v>
      </c>
      <c r="P638" t="n">
        <v>0</v>
      </c>
      <c r="Q638" t="n">
        <v>0</v>
      </c>
      <c r="R638" s="2" t="inlineStr"/>
    </row>
    <row r="639" ht="15" customHeight="1">
      <c r="A639" t="inlineStr">
        <is>
          <t>A 60047-2021</t>
        </is>
      </c>
      <c r="B639" s="1" t="n">
        <v>44495</v>
      </c>
      <c r="C639" s="1" t="n">
        <v>45878</v>
      </c>
      <c r="D639" t="inlineStr">
        <is>
          <t>UPPSALA LÄN</t>
        </is>
      </c>
      <c r="E639" t="inlineStr">
        <is>
          <t>ÖSTHAMMAR</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60555-2023</t>
        </is>
      </c>
      <c r="B640" s="1" t="n">
        <v>45259</v>
      </c>
      <c r="C640" s="1" t="n">
        <v>45878</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18401-2025</t>
        </is>
      </c>
      <c r="B641" s="1" t="n">
        <v>45762.5966087963</v>
      </c>
      <c r="C641" s="1" t="n">
        <v>45878</v>
      </c>
      <c r="D641" t="inlineStr">
        <is>
          <t>UPPSALA LÄN</t>
        </is>
      </c>
      <c r="E641" t="inlineStr">
        <is>
          <t>ÖSTHAMMAR</t>
        </is>
      </c>
      <c r="G641" t="n">
        <v>1.7</v>
      </c>
      <c r="H641" t="n">
        <v>0</v>
      </c>
      <c r="I641" t="n">
        <v>0</v>
      </c>
      <c r="J641" t="n">
        <v>0</v>
      </c>
      <c r="K641" t="n">
        <v>0</v>
      </c>
      <c r="L641" t="n">
        <v>0</v>
      </c>
      <c r="M641" t="n">
        <v>0</v>
      </c>
      <c r="N641" t="n">
        <v>0</v>
      </c>
      <c r="O641" t="n">
        <v>0</v>
      </c>
      <c r="P641" t="n">
        <v>0</v>
      </c>
      <c r="Q641" t="n">
        <v>0</v>
      </c>
      <c r="R641" s="2" t="inlineStr"/>
    </row>
    <row r="642" ht="15" customHeight="1">
      <c r="A642" t="inlineStr">
        <is>
          <t>A 60584-2021</t>
        </is>
      </c>
      <c r="B642" s="1" t="n">
        <v>44496</v>
      </c>
      <c r="C642" s="1" t="n">
        <v>45878</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30503-2025</t>
        </is>
      </c>
      <c r="B643" s="1" t="n">
        <v>45830.8500462963</v>
      </c>
      <c r="C643" s="1" t="n">
        <v>45878</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36643-2025</t>
        </is>
      </c>
      <c r="B644" s="1" t="n">
        <v>45872.47782407407</v>
      </c>
      <c r="C644" s="1" t="n">
        <v>45878</v>
      </c>
      <c r="D644" t="inlineStr">
        <is>
          <t>UPPSALA LÄN</t>
        </is>
      </c>
      <c r="E644" t="inlineStr">
        <is>
          <t>ÖSTHAMMAR</t>
        </is>
      </c>
      <c r="F644" t="inlineStr">
        <is>
          <t>Bergvik skog öst AB</t>
        </is>
      </c>
      <c r="G644" t="n">
        <v>15.1</v>
      </c>
      <c r="H644" t="n">
        <v>0</v>
      </c>
      <c r="I644" t="n">
        <v>0</v>
      </c>
      <c r="J644" t="n">
        <v>0</v>
      </c>
      <c r="K644" t="n">
        <v>0</v>
      </c>
      <c r="L644" t="n">
        <v>0</v>
      </c>
      <c r="M644" t="n">
        <v>0</v>
      </c>
      <c r="N644" t="n">
        <v>0</v>
      </c>
      <c r="O644" t="n">
        <v>0</v>
      </c>
      <c r="P644" t="n">
        <v>0</v>
      </c>
      <c r="Q644" t="n">
        <v>0</v>
      </c>
      <c r="R644" s="2" t="inlineStr"/>
    </row>
    <row r="645" ht="15" customHeight="1">
      <c r="A645" t="inlineStr">
        <is>
          <t>A 36644-2025</t>
        </is>
      </c>
      <c r="B645" s="1" t="n">
        <v>45872.48738425926</v>
      </c>
      <c r="C645" s="1" t="n">
        <v>45878</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17652-2025</t>
        </is>
      </c>
      <c r="B646" s="1" t="n">
        <v>45758.33583333333</v>
      </c>
      <c r="C646" s="1" t="n">
        <v>45878</v>
      </c>
      <c r="D646" t="inlineStr">
        <is>
          <t>UPPSALA LÄN</t>
        </is>
      </c>
      <c r="E646" t="inlineStr">
        <is>
          <t>ÖSTHAMMAR</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48719-2023</t>
        </is>
      </c>
      <c r="B647" s="1" t="n">
        <v>45208.70452546296</v>
      </c>
      <c r="C647" s="1" t="n">
        <v>45878</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36645-2025</t>
        </is>
      </c>
      <c r="B648" s="1" t="n">
        <v>45872.50078703704</v>
      </c>
      <c r="C648" s="1" t="n">
        <v>45878</v>
      </c>
      <c r="D648" t="inlineStr">
        <is>
          <t>UPPSALA LÄN</t>
        </is>
      </c>
      <c r="E648" t="inlineStr">
        <is>
          <t>ÖSTHAMMAR</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7118-2023</t>
        </is>
      </c>
      <c r="B649" s="1" t="n">
        <v>44970.39591435185</v>
      </c>
      <c r="C649" s="1" t="n">
        <v>45878</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45878</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30610-2025</t>
        </is>
      </c>
      <c r="B651" s="1" t="n">
        <v>45831.45965277778</v>
      </c>
      <c r="C651" s="1" t="n">
        <v>45878</v>
      </c>
      <c r="D651" t="inlineStr">
        <is>
          <t>UPPSALA LÄN</t>
        </is>
      </c>
      <c r="E651" t="inlineStr">
        <is>
          <t>ÖSTHAMMAR</t>
        </is>
      </c>
      <c r="G651" t="n">
        <v>0.2</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45872.5096412037</v>
      </c>
      <c r="C652" s="1" t="n">
        <v>45878</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31579-2025</t>
        </is>
      </c>
      <c r="B653" s="1" t="n">
        <v>45833.68211805556</v>
      </c>
      <c r="C653" s="1" t="n">
        <v>45878</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31360-2025</t>
        </is>
      </c>
      <c r="B654" s="1" t="n">
        <v>45833.43527777777</v>
      </c>
      <c r="C654" s="1" t="n">
        <v>45878</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15203-2025</t>
        </is>
      </c>
      <c r="B655" s="1" t="n">
        <v>45744.57012731482</v>
      </c>
      <c r="C655" s="1" t="n">
        <v>45878</v>
      </c>
      <c r="D655" t="inlineStr">
        <is>
          <t>UPPSALA LÄN</t>
        </is>
      </c>
      <c r="E655" t="inlineStr">
        <is>
          <t>ÖSTHAMMAR</t>
        </is>
      </c>
      <c r="G655" t="n">
        <v>5.7</v>
      </c>
      <c r="H655" t="n">
        <v>0</v>
      </c>
      <c r="I655" t="n">
        <v>0</v>
      </c>
      <c r="J655" t="n">
        <v>0</v>
      </c>
      <c r="K655" t="n">
        <v>0</v>
      </c>
      <c r="L655" t="n">
        <v>0</v>
      </c>
      <c r="M655" t="n">
        <v>0</v>
      </c>
      <c r="N655" t="n">
        <v>0</v>
      </c>
      <c r="O655" t="n">
        <v>0</v>
      </c>
      <c r="P655" t="n">
        <v>0</v>
      </c>
      <c r="Q655" t="n">
        <v>0</v>
      </c>
      <c r="R655" s="2" t="inlineStr"/>
    </row>
    <row r="656" ht="15" customHeight="1">
      <c r="A656" t="inlineStr">
        <is>
          <t>A 33601-2024</t>
        </is>
      </c>
      <c r="B656" s="1" t="n">
        <v>45520</v>
      </c>
      <c r="C656" s="1" t="n">
        <v>45878</v>
      </c>
      <c r="D656" t="inlineStr">
        <is>
          <t>UPPSALA LÄN</t>
        </is>
      </c>
      <c r="E656" t="inlineStr">
        <is>
          <t>ÖSTHAMMAR</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31249-2025</t>
        </is>
      </c>
      <c r="B657" s="1" t="n">
        <v>45832.89476851852</v>
      </c>
      <c r="C657" s="1" t="n">
        <v>45878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19009-2023</t>
        </is>
      </c>
      <c r="B658" s="1" t="n">
        <v>45045</v>
      </c>
      <c r="C658" s="1" t="n">
        <v>45878</v>
      </c>
      <c r="D658" t="inlineStr">
        <is>
          <t>UPPSALA LÄN</t>
        </is>
      </c>
      <c r="E658" t="inlineStr">
        <is>
          <t>ÖSTHAMMAR</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31896-2025</t>
        </is>
      </c>
      <c r="B659" s="1" t="n">
        <v>45834.67556712963</v>
      </c>
      <c r="C659" s="1" t="n">
        <v>45878</v>
      </c>
      <c r="D659" t="inlineStr">
        <is>
          <t>UPPSALA LÄN</t>
        </is>
      </c>
      <c r="E659" t="inlineStr">
        <is>
          <t>ÖSTHAMMAR</t>
        </is>
      </c>
      <c r="G659" t="n">
        <v>4.1</v>
      </c>
      <c r="H659" t="n">
        <v>0</v>
      </c>
      <c r="I659" t="n">
        <v>0</v>
      </c>
      <c r="J659" t="n">
        <v>0</v>
      </c>
      <c r="K659" t="n">
        <v>0</v>
      </c>
      <c r="L659" t="n">
        <v>0</v>
      </c>
      <c r="M659" t="n">
        <v>0</v>
      </c>
      <c r="N659" t="n">
        <v>0</v>
      </c>
      <c r="O659" t="n">
        <v>0</v>
      </c>
      <c r="P659" t="n">
        <v>0</v>
      </c>
      <c r="Q659" t="n">
        <v>0</v>
      </c>
      <c r="R659" s="2" t="inlineStr"/>
    </row>
    <row r="660" ht="15" customHeight="1">
      <c r="A660" t="inlineStr">
        <is>
          <t>A 4151-2021</t>
        </is>
      </c>
      <c r="B660" s="1" t="n">
        <v>44221</v>
      </c>
      <c r="C660" s="1" t="n">
        <v>45878</v>
      </c>
      <c r="D660" t="inlineStr">
        <is>
          <t>UPPSALA LÄN</t>
        </is>
      </c>
      <c r="E660" t="inlineStr">
        <is>
          <t>ÖSTHAMMAR</t>
        </is>
      </c>
      <c r="G660" t="n">
        <v>2.9</v>
      </c>
      <c r="H660" t="n">
        <v>0</v>
      </c>
      <c r="I660" t="n">
        <v>0</v>
      </c>
      <c r="J660" t="n">
        <v>0</v>
      </c>
      <c r="K660" t="n">
        <v>0</v>
      </c>
      <c r="L660" t="n">
        <v>0</v>
      </c>
      <c r="M660" t="n">
        <v>0</v>
      </c>
      <c r="N660" t="n">
        <v>0</v>
      </c>
      <c r="O660" t="n">
        <v>0</v>
      </c>
      <c r="P660" t="n">
        <v>0</v>
      </c>
      <c r="Q660" t="n">
        <v>0</v>
      </c>
      <c r="R660" s="2" t="inlineStr"/>
    </row>
    <row r="661" ht="15" customHeight="1">
      <c r="A661" t="inlineStr">
        <is>
          <t>A 30755-2024</t>
        </is>
      </c>
      <c r="B661" s="1" t="n">
        <v>45496</v>
      </c>
      <c r="C661" s="1" t="n">
        <v>45878</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45878</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33760-2024</t>
        </is>
      </c>
      <c r="B663" s="1" t="n">
        <v>45520</v>
      </c>
      <c r="C663" s="1" t="n">
        <v>45878</v>
      </c>
      <c r="D663" t="inlineStr">
        <is>
          <t>UPPSALA LÄN</t>
        </is>
      </c>
      <c r="E663" t="inlineStr">
        <is>
          <t>ÖSTHAMMAR</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3725-2022</t>
        </is>
      </c>
      <c r="B664" s="1" t="n">
        <v>44586</v>
      </c>
      <c r="C664" s="1" t="n">
        <v>45878</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8006-2023</t>
        </is>
      </c>
      <c r="B665" s="1" t="n">
        <v>44973</v>
      </c>
      <c r="C665" s="1" t="n">
        <v>45878</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44993.60099537037</v>
      </c>
      <c r="C666" s="1" t="n">
        <v>45878</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20324-2021</t>
        </is>
      </c>
      <c r="B667" s="1" t="n">
        <v>44308</v>
      </c>
      <c r="C667" s="1" t="n">
        <v>45878</v>
      </c>
      <c r="D667" t="inlineStr">
        <is>
          <t>UPPSALA LÄN</t>
        </is>
      </c>
      <c r="E667" t="inlineStr">
        <is>
          <t>ÖSTHAMMAR</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25033-2021</t>
        </is>
      </c>
      <c r="B668" s="1" t="n">
        <v>44341.590625</v>
      </c>
      <c r="C668" s="1" t="n">
        <v>45878</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16212-2021</t>
        </is>
      </c>
      <c r="B669" s="1" t="n">
        <v>44287</v>
      </c>
      <c r="C669" s="1" t="n">
        <v>45878</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17924-2025</t>
        </is>
      </c>
      <c r="B670" s="1" t="n">
        <v>45759.35670138889</v>
      </c>
      <c r="C670" s="1" t="n">
        <v>45878</v>
      </c>
      <c r="D670" t="inlineStr">
        <is>
          <t>UPPSALA LÄN</t>
        </is>
      </c>
      <c r="E670" t="inlineStr">
        <is>
          <t>ÖSTHAMMAR</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17929-2025</t>
        </is>
      </c>
      <c r="B671" s="1" t="n">
        <v>45759.56462962963</v>
      </c>
      <c r="C671" s="1" t="n">
        <v>45878</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63577-2020</t>
        </is>
      </c>
      <c r="B672" s="1" t="n">
        <v>44165</v>
      </c>
      <c r="C672" s="1" t="n">
        <v>45878</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18113-2023</t>
        </is>
      </c>
      <c r="B673" s="1" t="n">
        <v>45040</v>
      </c>
      <c r="C673" s="1" t="n">
        <v>45878</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23120-2021</t>
        </is>
      </c>
      <c r="B674" s="1" t="n">
        <v>44330</v>
      </c>
      <c r="C674" s="1" t="n">
        <v>45878</v>
      </c>
      <c r="D674" t="inlineStr">
        <is>
          <t>UPPSALA LÄN</t>
        </is>
      </c>
      <c r="E674" t="inlineStr">
        <is>
          <t>ÖSTHAMMAR</t>
        </is>
      </c>
      <c r="G674" t="n">
        <v>0.5</v>
      </c>
      <c r="H674" t="n">
        <v>0</v>
      </c>
      <c r="I674" t="n">
        <v>0</v>
      </c>
      <c r="J674" t="n">
        <v>0</v>
      </c>
      <c r="K674" t="n">
        <v>0</v>
      </c>
      <c r="L674" t="n">
        <v>0</v>
      </c>
      <c r="M674" t="n">
        <v>0</v>
      </c>
      <c r="N674" t="n">
        <v>0</v>
      </c>
      <c r="O674" t="n">
        <v>0</v>
      </c>
      <c r="P674" t="n">
        <v>0</v>
      </c>
      <c r="Q674" t="n">
        <v>0</v>
      </c>
      <c r="R674" s="2" t="inlineStr"/>
    </row>
    <row r="675" ht="15" customHeight="1">
      <c r="A675" t="inlineStr">
        <is>
          <t>A 52389-2022</t>
        </is>
      </c>
      <c r="B675" s="1" t="n">
        <v>44874.38325231482</v>
      </c>
      <c r="C675" s="1" t="n">
        <v>45878</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1238-2022</t>
        </is>
      </c>
      <c r="B676" s="1" t="n">
        <v>44572.5827662037</v>
      </c>
      <c r="C676" s="1" t="n">
        <v>45878</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3327-2023</t>
        </is>
      </c>
      <c r="B677" s="1" t="n">
        <v>44949.4377662037</v>
      </c>
      <c r="C677" s="1" t="n">
        <v>45878</v>
      </c>
      <c r="D677" t="inlineStr">
        <is>
          <t>UPPSALA LÄN</t>
        </is>
      </c>
      <c r="E677" t="inlineStr">
        <is>
          <t>ÖSTHAMMAR</t>
        </is>
      </c>
      <c r="G677" t="n">
        <v>1.1</v>
      </c>
      <c r="H677" t="n">
        <v>0</v>
      </c>
      <c r="I677" t="n">
        <v>0</v>
      </c>
      <c r="J677" t="n">
        <v>0</v>
      </c>
      <c r="K677" t="n">
        <v>0</v>
      </c>
      <c r="L677" t="n">
        <v>0</v>
      </c>
      <c r="M677" t="n">
        <v>0</v>
      </c>
      <c r="N677" t="n">
        <v>0</v>
      </c>
      <c r="O677" t="n">
        <v>0</v>
      </c>
      <c r="P677" t="n">
        <v>0</v>
      </c>
      <c r="Q677" t="n">
        <v>0</v>
      </c>
      <c r="R677" s="2" t="inlineStr"/>
    </row>
    <row r="678" ht="15" customHeight="1">
      <c r="A678" t="inlineStr">
        <is>
          <t>A 4233-2023</t>
        </is>
      </c>
      <c r="B678" s="1" t="n">
        <v>44953.48619212963</v>
      </c>
      <c r="C678" s="1" t="n">
        <v>45878</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30811-2023</t>
        </is>
      </c>
      <c r="B679" s="1" t="n">
        <v>45112.86422453704</v>
      </c>
      <c r="C679" s="1" t="n">
        <v>45878</v>
      </c>
      <c r="D679" t="inlineStr">
        <is>
          <t>UPPSALA LÄN</t>
        </is>
      </c>
      <c r="E679" t="inlineStr">
        <is>
          <t>ÖSTHAMMAR</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8708-2022</t>
        </is>
      </c>
      <c r="B680" s="1" t="n">
        <v>44613.77238425926</v>
      </c>
      <c r="C680" s="1" t="n">
        <v>45878</v>
      </c>
      <c r="D680" t="inlineStr">
        <is>
          <t>UPPSALA LÄN</t>
        </is>
      </c>
      <c r="E680" t="inlineStr">
        <is>
          <t>ÖSTHAMMAR</t>
        </is>
      </c>
      <c r="G680" t="n">
        <v>4.3</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45878</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25269-2024</t>
        </is>
      </c>
      <c r="B682" s="1" t="n">
        <v>45462</v>
      </c>
      <c r="C682" s="1" t="n">
        <v>45878</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12904-2025</t>
        </is>
      </c>
      <c r="B683" s="1" t="n">
        <v>45733.80575231482</v>
      </c>
      <c r="C683" s="1" t="n">
        <v>45878</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59382-2022</t>
        </is>
      </c>
      <c r="B684" s="1" t="n">
        <v>44905.50363425926</v>
      </c>
      <c r="C684" s="1" t="n">
        <v>45878</v>
      </c>
      <c r="D684" t="inlineStr">
        <is>
          <t>UPPSALA LÄN</t>
        </is>
      </c>
      <c r="E684" t="inlineStr">
        <is>
          <t>ÖSTHAMMAR</t>
        </is>
      </c>
      <c r="G684" t="n">
        <v>2.9</v>
      </c>
      <c r="H684" t="n">
        <v>0</v>
      </c>
      <c r="I684" t="n">
        <v>0</v>
      </c>
      <c r="J684" t="n">
        <v>0</v>
      </c>
      <c r="K684" t="n">
        <v>0</v>
      </c>
      <c r="L684" t="n">
        <v>0</v>
      </c>
      <c r="M684" t="n">
        <v>0</v>
      </c>
      <c r="N684" t="n">
        <v>0</v>
      </c>
      <c r="O684" t="n">
        <v>0</v>
      </c>
      <c r="P684" t="n">
        <v>0</v>
      </c>
      <c r="Q684" t="n">
        <v>0</v>
      </c>
      <c r="R684" s="2" t="inlineStr"/>
    </row>
    <row r="685" ht="15" customHeight="1">
      <c r="A685" t="inlineStr">
        <is>
          <t>A 25969-2023</t>
        </is>
      </c>
      <c r="B685" s="1" t="n">
        <v>45090</v>
      </c>
      <c r="C685" s="1" t="n">
        <v>45878</v>
      </c>
      <c r="D685" t="inlineStr">
        <is>
          <t>UPPSALA LÄN</t>
        </is>
      </c>
      <c r="E685" t="inlineStr">
        <is>
          <t>ÖSTHAMMAR</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56903-2023</t>
        </is>
      </c>
      <c r="B686" s="1" t="n">
        <v>45244.56943287037</v>
      </c>
      <c r="C686" s="1" t="n">
        <v>45878</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11255-2025</t>
        </is>
      </c>
      <c r="B687" s="1" t="n">
        <v>45726.38834490741</v>
      </c>
      <c r="C687" s="1" t="n">
        <v>45878</v>
      </c>
      <c r="D687" t="inlineStr">
        <is>
          <t>UPPSALA LÄN</t>
        </is>
      </c>
      <c r="E687" t="inlineStr">
        <is>
          <t>ÖSTHAMMAR</t>
        </is>
      </c>
      <c r="F687" t="inlineStr">
        <is>
          <t>Kyrkan</t>
        </is>
      </c>
      <c r="G687" t="n">
        <v>5.8</v>
      </c>
      <c r="H687" t="n">
        <v>0</v>
      </c>
      <c r="I687" t="n">
        <v>0</v>
      </c>
      <c r="J687" t="n">
        <v>0</v>
      </c>
      <c r="K687" t="n">
        <v>0</v>
      </c>
      <c r="L687" t="n">
        <v>0</v>
      </c>
      <c r="M687" t="n">
        <v>0</v>
      </c>
      <c r="N687" t="n">
        <v>0</v>
      </c>
      <c r="O687" t="n">
        <v>0</v>
      </c>
      <c r="P687" t="n">
        <v>0</v>
      </c>
      <c r="Q687" t="n">
        <v>0</v>
      </c>
      <c r="R687" s="2" t="inlineStr"/>
    </row>
    <row r="688" ht="15" customHeight="1">
      <c r="A688" t="inlineStr">
        <is>
          <t>A 67151-2021</t>
        </is>
      </c>
      <c r="B688" s="1" t="n">
        <v>44523</v>
      </c>
      <c r="C688" s="1" t="n">
        <v>45878</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29824-2023</t>
        </is>
      </c>
      <c r="B689" s="1" t="n">
        <v>45107</v>
      </c>
      <c r="C689" s="1" t="n">
        <v>45878</v>
      </c>
      <c r="D689" t="inlineStr">
        <is>
          <t>UPPSALA LÄN</t>
        </is>
      </c>
      <c r="E689" t="inlineStr">
        <is>
          <t>ÖSTHAMMAR</t>
        </is>
      </c>
      <c r="F689" t="inlineStr">
        <is>
          <t>Naturvårdsverket</t>
        </is>
      </c>
      <c r="G689" t="n">
        <v>1.6</v>
      </c>
      <c r="H689" t="n">
        <v>0</v>
      </c>
      <c r="I689" t="n">
        <v>0</v>
      </c>
      <c r="J689" t="n">
        <v>0</v>
      </c>
      <c r="K689" t="n">
        <v>0</v>
      </c>
      <c r="L689" t="n">
        <v>0</v>
      </c>
      <c r="M689" t="n">
        <v>0</v>
      </c>
      <c r="N689" t="n">
        <v>0</v>
      </c>
      <c r="O689" t="n">
        <v>0</v>
      </c>
      <c r="P689" t="n">
        <v>0</v>
      </c>
      <c r="Q689" t="n">
        <v>0</v>
      </c>
      <c r="R689" s="2" t="inlineStr"/>
    </row>
    <row r="690" ht="15" customHeight="1">
      <c r="A690" t="inlineStr">
        <is>
          <t>A 38610-2023</t>
        </is>
      </c>
      <c r="B690" s="1" t="n">
        <v>45162.65466435185</v>
      </c>
      <c r="C690" s="1" t="n">
        <v>45878</v>
      </c>
      <c r="D690" t="inlineStr">
        <is>
          <t>UPPSALA LÄN</t>
        </is>
      </c>
      <c r="E690" t="inlineStr">
        <is>
          <t>ÖSTHAMMAR</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64586-2021</t>
        </is>
      </c>
      <c r="B691" s="1" t="n">
        <v>44511</v>
      </c>
      <c r="C691" s="1" t="n">
        <v>45878</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46423-2020</t>
        </is>
      </c>
      <c r="B692" s="1" t="n">
        <v>44095</v>
      </c>
      <c r="C692" s="1" t="n">
        <v>45878</v>
      </c>
      <c r="D692" t="inlineStr">
        <is>
          <t>UPPSALA LÄN</t>
        </is>
      </c>
      <c r="E692" t="inlineStr">
        <is>
          <t>ÖSTHAMMAR</t>
        </is>
      </c>
      <c r="G692" t="n">
        <v>3</v>
      </c>
      <c r="H692" t="n">
        <v>0</v>
      </c>
      <c r="I692" t="n">
        <v>0</v>
      </c>
      <c r="J692" t="n">
        <v>0</v>
      </c>
      <c r="K692" t="n">
        <v>0</v>
      </c>
      <c r="L692" t="n">
        <v>0</v>
      </c>
      <c r="M692" t="n">
        <v>0</v>
      </c>
      <c r="N692" t="n">
        <v>0</v>
      </c>
      <c r="O692" t="n">
        <v>0</v>
      </c>
      <c r="P692" t="n">
        <v>0</v>
      </c>
      <c r="Q692" t="n">
        <v>0</v>
      </c>
      <c r="R692" s="2" t="inlineStr"/>
    </row>
    <row r="693" ht="15" customHeight="1">
      <c r="A693" t="inlineStr">
        <is>
          <t>A 17009-2021</t>
        </is>
      </c>
      <c r="B693" s="1" t="n">
        <v>44295.63969907408</v>
      </c>
      <c r="C693" s="1" t="n">
        <v>45878</v>
      </c>
      <c r="D693" t="inlineStr">
        <is>
          <t>UPPSALA LÄN</t>
        </is>
      </c>
      <c r="E693" t="inlineStr">
        <is>
          <t>ÖSTHAMMAR</t>
        </is>
      </c>
      <c r="F693" t="inlineStr">
        <is>
          <t>Bergvik skog öst AB</t>
        </is>
      </c>
      <c r="G693" t="n">
        <v>3.2</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45878</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64774-2023</t>
        </is>
      </c>
      <c r="B695" s="1" t="n">
        <v>45282</v>
      </c>
      <c r="C695" s="1" t="n">
        <v>45878</v>
      </c>
      <c r="D695" t="inlineStr">
        <is>
          <t>UPPSALA LÄN</t>
        </is>
      </c>
      <c r="E695" t="inlineStr">
        <is>
          <t>ÖSTHAMMAR</t>
        </is>
      </c>
      <c r="F695" t="inlineStr">
        <is>
          <t>Övriga Aktiebolag</t>
        </is>
      </c>
      <c r="G695" t="n">
        <v>3.7</v>
      </c>
      <c r="H695" t="n">
        <v>0</v>
      </c>
      <c r="I695" t="n">
        <v>0</v>
      </c>
      <c r="J695" t="n">
        <v>0</v>
      </c>
      <c r="K695" t="n">
        <v>0</v>
      </c>
      <c r="L695" t="n">
        <v>0</v>
      </c>
      <c r="M695" t="n">
        <v>0</v>
      </c>
      <c r="N695" t="n">
        <v>0</v>
      </c>
      <c r="O695" t="n">
        <v>0</v>
      </c>
      <c r="P695" t="n">
        <v>0</v>
      </c>
      <c r="Q695" t="n">
        <v>0</v>
      </c>
      <c r="R695" s="2" t="inlineStr"/>
    </row>
    <row r="696" ht="15" customHeight="1">
      <c r="A696" t="inlineStr">
        <is>
          <t>A 65020-2021</t>
        </is>
      </c>
      <c r="B696" s="1" t="n">
        <v>44515</v>
      </c>
      <c r="C696" s="1" t="n">
        <v>45878</v>
      </c>
      <c r="D696" t="inlineStr">
        <is>
          <t>UPPSALA LÄN</t>
        </is>
      </c>
      <c r="E696" t="inlineStr">
        <is>
          <t>ÖSTHAMMAR</t>
        </is>
      </c>
      <c r="F696" t="inlineStr">
        <is>
          <t>Sveaskog</t>
        </is>
      </c>
      <c r="G696" t="n">
        <v>4.7</v>
      </c>
      <c r="H696" t="n">
        <v>0</v>
      </c>
      <c r="I696" t="n">
        <v>0</v>
      </c>
      <c r="J696" t="n">
        <v>0</v>
      </c>
      <c r="K696" t="n">
        <v>0</v>
      </c>
      <c r="L696" t="n">
        <v>0</v>
      </c>
      <c r="M696" t="n">
        <v>0</v>
      </c>
      <c r="N696" t="n">
        <v>0</v>
      </c>
      <c r="O696" t="n">
        <v>0</v>
      </c>
      <c r="P696" t="n">
        <v>0</v>
      </c>
      <c r="Q696" t="n">
        <v>0</v>
      </c>
      <c r="R696" s="2" t="inlineStr"/>
    </row>
    <row r="697" ht="15" customHeight="1">
      <c r="A697" t="inlineStr">
        <is>
          <t>A 2085-2022</t>
        </is>
      </c>
      <c r="B697" s="1" t="n">
        <v>44576.78626157407</v>
      </c>
      <c r="C697" s="1" t="n">
        <v>45878</v>
      </c>
      <c r="D697" t="inlineStr">
        <is>
          <t>UPPSALA LÄN</t>
        </is>
      </c>
      <c r="E697" t="inlineStr">
        <is>
          <t>ÖSTHAMMAR</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14671-2022</t>
        </is>
      </c>
      <c r="B698" s="1" t="n">
        <v>44655.80475694445</v>
      </c>
      <c r="C698" s="1" t="n">
        <v>45878</v>
      </c>
      <c r="D698" t="inlineStr">
        <is>
          <t>UPPSALA LÄN</t>
        </is>
      </c>
      <c r="E698" t="inlineStr">
        <is>
          <t>ÖSTHAMMAR</t>
        </is>
      </c>
      <c r="G698" t="n">
        <v>1.9</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45878</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41996-2024</t>
        </is>
      </c>
      <c r="B700" s="1" t="n">
        <v>45561</v>
      </c>
      <c r="C700" s="1" t="n">
        <v>45878</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15449-2022</t>
        </is>
      </c>
      <c r="B701" s="1" t="n">
        <v>44660.91659722223</v>
      </c>
      <c r="C701" s="1" t="n">
        <v>45878</v>
      </c>
      <c r="D701" t="inlineStr">
        <is>
          <t>UPPSALA LÄN</t>
        </is>
      </c>
      <c r="E701" t="inlineStr">
        <is>
          <t>ÖSTHAMMAR</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1439-2025</t>
        </is>
      </c>
      <c r="B702" s="1" t="n">
        <v>45669.69075231482</v>
      </c>
      <c r="C702" s="1" t="n">
        <v>45878</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5884-2023</t>
        </is>
      </c>
      <c r="B703" s="1" t="n">
        <v>44963</v>
      </c>
      <c r="C703" s="1" t="n">
        <v>45878</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5215-2025</t>
        </is>
      </c>
      <c r="B704" s="1" t="n">
        <v>45691</v>
      </c>
      <c r="C704" s="1" t="n">
        <v>45878</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65028-2021</t>
        </is>
      </c>
      <c r="B705" s="1" t="n">
        <v>44515</v>
      </c>
      <c r="C705" s="1" t="n">
        <v>45878</v>
      </c>
      <c r="D705" t="inlineStr">
        <is>
          <t>UPPSALA LÄN</t>
        </is>
      </c>
      <c r="E705" t="inlineStr">
        <is>
          <t>ÖSTHAMMAR</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1525-2025</t>
        </is>
      </c>
      <c r="B706" s="1" t="n">
        <v>45670.47300925926</v>
      </c>
      <c r="C706" s="1" t="n">
        <v>45878</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6764-2025</t>
        </is>
      </c>
      <c r="B707" s="1" t="n">
        <v>45700.63226851852</v>
      </c>
      <c r="C707" s="1" t="n">
        <v>45878</v>
      </c>
      <c r="D707" t="inlineStr">
        <is>
          <t>UPPSALA LÄN</t>
        </is>
      </c>
      <c r="E707" t="inlineStr">
        <is>
          <t>ÖSTHAMMAR</t>
        </is>
      </c>
      <c r="F707" t="inlineStr">
        <is>
          <t>Bergvik skog öst AB</t>
        </is>
      </c>
      <c r="G707" t="n">
        <v>5.3</v>
      </c>
      <c r="H707" t="n">
        <v>0</v>
      </c>
      <c r="I707" t="n">
        <v>0</v>
      </c>
      <c r="J707" t="n">
        <v>0</v>
      </c>
      <c r="K707" t="n">
        <v>0</v>
      </c>
      <c r="L707" t="n">
        <v>0</v>
      </c>
      <c r="M707" t="n">
        <v>0</v>
      </c>
      <c r="N707" t="n">
        <v>0</v>
      </c>
      <c r="O707" t="n">
        <v>0</v>
      </c>
      <c r="P707" t="n">
        <v>0</v>
      </c>
      <c r="Q707" t="n">
        <v>0</v>
      </c>
      <c r="R707" s="2" t="inlineStr"/>
    </row>
    <row r="708" ht="15" customHeight="1">
      <c r="A708" t="inlineStr">
        <is>
          <t>A 61257-2022</t>
        </is>
      </c>
      <c r="B708" s="1" t="n">
        <v>44915.59418981482</v>
      </c>
      <c r="C708" s="1" t="n">
        <v>45878</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36857-2023</t>
        </is>
      </c>
      <c r="B709" s="1" t="n">
        <v>45154.55175925926</v>
      </c>
      <c r="C709" s="1" t="n">
        <v>45878</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6206-2022</t>
        </is>
      </c>
      <c r="B710" s="1" t="n">
        <v>44600.35755787037</v>
      </c>
      <c r="C710" s="1" t="n">
        <v>45878</v>
      </c>
      <c r="D710" t="inlineStr">
        <is>
          <t>UPPSALA LÄN</t>
        </is>
      </c>
      <c r="E710" t="inlineStr">
        <is>
          <t>ÖSTHAMMAR</t>
        </is>
      </c>
      <c r="G710" t="n">
        <v>7.4</v>
      </c>
      <c r="H710" t="n">
        <v>0</v>
      </c>
      <c r="I710" t="n">
        <v>0</v>
      </c>
      <c r="J710" t="n">
        <v>0</v>
      </c>
      <c r="K710" t="n">
        <v>0</v>
      </c>
      <c r="L710" t="n">
        <v>0</v>
      </c>
      <c r="M710" t="n">
        <v>0</v>
      </c>
      <c r="N710" t="n">
        <v>0</v>
      </c>
      <c r="O710" t="n">
        <v>0</v>
      </c>
      <c r="P710" t="n">
        <v>0</v>
      </c>
      <c r="Q710" t="n">
        <v>0</v>
      </c>
      <c r="R710" s="2" t="inlineStr"/>
    </row>
    <row r="711" ht="15" customHeight="1">
      <c r="A711" t="inlineStr">
        <is>
          <t>A 6143-2022</t>
        </is>
      </c>
      <c r="B711" s="1" t="n">
        <v>44599.72306712963</v>
      </c>
      <c r="C711" s="1" t="n">
        <v>45878</v>
      </c>
      <c r="D711" t="inlineStr">
        <is>
          <t>UPPSALA LÄN</t>
        </is>
      </c>
      <c r="E711" t="inlineStr">
        <is>
          <t>ÖSTHAMMAR</t>
        </is>
      </c>
      <c r="G711" t="n">
        <v>3.4</v>
      </c>
      <c r="H711" t="n">
        <v>0</v>
      </c>
      <c r="I711" t="n">
        <v>0</v>
      </c>
      <c r="J711" t="n">
        <v>0</v>
      </c>
      <c r="K711" t="n">
        <v>0</v>
      </c>
      <c r="L711" t="n">
        <v>0</v>
      </c>
      <c r="M711" t="n">
        <v>0</v>
      </c>
      <c r="N711" t="n">
        <v>0</v>
      </c>
      <c r="O711" t="n">
        <v>0</v>
      </c>
      <c r="P711" t="n">
        <v>0</v>
      </c>
      <c r="Q711" t="n">
        <v>0</v>
      </c>
      <c r="R711" s="2" t="inlineStr"/>
    </row>
    <row r="712" ht="15" customHeight="1">
      <c r="A712" t="inlineStr">
        <is>
          <t>A 3514-2023</t>
        </is>
      </c>
      <c r="B712" s="1" t="n">
        <v>44950</v>
      </c>
      <c r="C712" s="1" t="n">
        <v>45878</v>
      </c>
      <c r="D712" t="inlineStr">
        <is>
          <t>UPPSALA LÄN</t>
        </is>
      </c>
      <c r="E712" t="inlineStr">
        <is>
          <t>ÖSTHAMMAR</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45561-2023</t>
        </is>
      </c>
      <c r="B713" s="1" t="n">
        <v>45194.59335648148</v>
      </c>
      <c r="C713" s="1" t="n">
        <v>45878</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43439-2024</t>
        </is>
      </c>
      <c r="B714" s="1" t="n">
        <v>45568</v>
      </c>
      <c r="C714" s="1" t="n">
        <v>45878</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19646-2025</t>
        </is>
      </c>
      <c r="B715" s="1" t="n">
        <v>45770.6600462963</v>
      </c>
      <c r="C715" s="1" t="n">
        <v>45878</v>
      </c>
      <c r="D715" t="inlineStr">
        <is>
          <t>UPPSALA LÄN</t>
        </is>
      </c>
      <c r="E715" t="inlineStr">
        <is>
          <t>ÖSTHAMMAR</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59880-2022</t>
        </is>
      </c>
      <c r="B716" s="1" t="n">
        <v>44908.69575231482</v>
      </c>
      <c r="C716" s="1" t="n">
        <v>45878</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4562-2022</t>
        </is>
      </c>
      <c r="B717" s="1" t="n">
        <v>44591</v>
      </c>
      <c r="C717" s="1" t="n">
        <v>45878</v>
      </c>
      <c r="D717" t="inlineStr">
        <is>
          <t>UPPSALA LÄN</t>
        </is>
      </c>
      <c r="E717" t="inlineStr">
        <is>
          <t>ÖSTHAMMAR</t>
        </is>
      </c>
      <c r="G717" t="n">
        <v>3.4</v>
      </c>
      <c r="H717" t="n">
        <v>0</v>
      </c>
      <c r="I717" t="n">
        <v>0</v>
      </c>
      <c r="J717" t="n">
        <v>0</v>
      </c>
      <c r="K717" t="n">
        <v>0</v>
      </c>
      <c r="L717" t="n">
        <v>0</v>
      </c>
      <c r="M717" t="n">
        <v>0</v>
      </c>
      <c r="N717" t="n">
        <v>0</v>
      </c>
      <c r="O717" t="n">
        <v>0</v>
      </c>
      <c r="P717" t="n">
        <v>0</v>
      </c>
      <c r="Q717" t="n">
        <v>0</v>
      </c>
      <c r="R717" s="2" t="inlineStr"/>
    </row>
    <row r="718">
      <c r="A718" t="inlineStr">
        <is>
          <t>A 10117-2025</t>
        </is>
      </c>
      <c r="B718" s="1" t="n">
        <v>45719.59866898148</v>
      </c>
      <c r="C718" s="1" t="n">
        <v>45878</v>
      </c>
      <c r="D718" t="inlineStr">
        <is>
          <t>UPPSALA LÄN</t>
        </is>
      </c>
      <c r="E718" t="inlineStr">
        <is>
          <t>ÖSTHAMMAR</t>
        </is>
      </c>
      <c r="G718" t="n">
        <v>1.1</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2025-08-09T18:53:51Z</dcterms:created>
  <dcterms:modified xmlns:dcterms="http://purl.org/dc/terms/" xmlns:xsi="http://www.w3.org/2001/XMLSchema-instance" xsi:type="dcterms:W3CDTF">2025-08-09T18:53:52Z</dcterms:modified>
</cp:coreProperties>
</file>