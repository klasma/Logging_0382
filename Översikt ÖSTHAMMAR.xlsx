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45972</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45972</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45972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45972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45972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45972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45972</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45972</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45972</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45972</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45972</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45972</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45972</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45972</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45972</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45972</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45972</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45972</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45972</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45972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45972</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45972</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23496-2023</t>
        </is>
      </c>
      <c r="B24" s="1" t="n">
        <v>45076</v>
      </c>
      <c r="C24" s="1" t="n">
        <v>45972</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45972</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45972</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39763-2022</t>
        </is>
      </c>
      <c r="B27" s="1" t="n">
        <v>44819.44055555556</v>
      </c>
      <c r="C27" s="1" t="n">
        <v>45972</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45972</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45972</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23498-2023</t>
        </is>
      </c>
      <c r="B30" s="1" t="n">
        <v>45076</v>
      </c>
      <c r="C30" s="1" t="n">
        <v>45972</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43992-2022</t>
        </is>
      </c>
      <c r="B31" s="1" t="n">
        <v>44837</v>
      </c>
      <c r="C31" s="1" t="n">
        <v>45972</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15556-2022</t>
        </is>
      </c>
      <c r="B32" s="1" t="n">
        <v>44662</v>
      </c>
      <c r="C32" s="1" t="n">
        <v>45972</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24563-2022</t>
        </is>
      </c>
      <c r="B33" s="1" t="n">
        <v>44727</v>
      </c>
      <c r="C33" s="1" t="n">
        <v>45972</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26056-2025</t>
        </is>
      </c>
      <c r="B34" s="1" t="n">
        <v>45804.79280092593</v>
      </c>
      <c r="C34" s="1" t="n">
        <v>45972</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51517-2025</t>
        </is>
      </c>
      <c r="B35" s="1" t="n">
        <v>45950.65636574074</v>
      </c>
      <c r="C35" s="1" t="n">
        <v>45972</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51154-2025</t>
        </is>
      </c>
      <c r="B36" s="1" t="n">
        <v>45947.57583333334</v>
      </c>
      <c r="C36" s="1" t="n">
        <v>45972</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55492-2023</t>
        </is>
      </c>
      <c r="B37" s="1" t="n">
        <v>45238</v>
      </c>
      <c r="C37" s="1" t="n">
        <v>45972</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52808-2022</t>
        </is>
      </c>
      <c r="B38" s="1" t="n">
        <v>44875</v>
      </c>
      <c r="C38" s="1" t="n">
        <v>45972</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45972</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54492-2024</t>
        </is>
      </c>
      <c r="B40" s="1" t="n">
        <v>45617</v>
      </c>
      <c r="C40" s="1" t="n">
        <v>45972</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45972</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45972</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45972</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45972</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33035-2021</t>
        </is>
      </c>
      <c r="B45" s="1" t="n">
        <v>44376</v>
      </c>
      <c r="C45" s="1" t="n">
        <v>45972</v>
      </c>
      <c r="D45" t="inlineStr">
        <is>
          <t>UPPSALA LÄN</t>
        </is>
      </c>
      <c r="E45" t="inlineStr">
        <is>
          <t>ÖSTHAMMAR</t>
        </is>
      </c>
      <c r="G45" t="n">
        <v>4.3</v>
      </c>
      <c r="H45" t="n">
        <v>0</v>
      </c>
      <c r="I45" t="n">
        <v>0</v>
      </c>
      <c r="J45" t="n">
        <v>1</v>
      </c>
      <c r="K45" t="n">
        <v>2</v>
      </c>
      <c r="L45" t="n">
        <v>0</v>
      </c>
      <c r="M45" t="n">
        <v>0</v>
      </c>
      <c r="N45" t="n">
        <v>0</v>
      </c>
      <c r="O45" t="n">
        <v>3</v>
      </c>
      <c r="P45" t="n">
        <v>2</v>
      </c>
      <c r="Q45" t="n">
        <v>3</v>
      </c>
      <c r="R45" s="2" t="inlineStr">
        <is>
          <t>Granrotsspindling
Gyllenfingersvamp
Dofttaggsvamp</t>
        </is>
      </c>
      <c r="S45">
        <f>HYPERLINK("https://klasma.github.io/Logging_0382/artfynd/A 33035-2021 artfynd.xlsx", "A 33035-2021")</f>
        <v/>
      </c>
      <c r="T45">
        <f>HYPERLINK("https://klasma.github.io/Logging_0382/kartor/A 33035-2021 karta.png", "A 33035-2021")</f>
        <v/>
      </c>
      <c r="V45">
        <f>HYPERLINK("https://klasma.github.io/Logging_0382/klagomål/A 33035-2021 FSC-klagomål.docx", "A 33035-2021")</f>
        <v/>
      </c>
      <c r="W45">
        <f>HYPERLINK("https://klasma.github.io/Logging_0382/klagomålsmail/A 33035-2021 FSC-klagomål mail.docx", "A 33035-2021")</f>
        <v/>
      </c>
      <c r="X45">
        <f>HYPERLINK("https://klasma.github.io/Logging_0382/tillsyn/A 33035-2021 tillsynsbegäran.docx", "A 33035-2021")</f>
        <v/>
      </c>
      <c r="Y45">
        <f>HYPERLINK("https://klasma.github.io/Logging_0382/tillsynsmail/A 33035-2021 tillsynsbegäran mail.docx", "A 33035-2021")</f>
        <v/>
      </c>
    </row>
    <row r="46" ht="15" customHeight="1">
      <c r="A46" t="inlineStr">
        <is>
          <t>A 26557-2022</t>
        </is>
      </c>
      <c r="B46" s="1" t="n">
        <v>44739</v>
      </c>
      <c r="C46" s="1" t="n">
        <v>45972</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9683-2023</t>
        </is>
      </c>
      <c r="B47" s="1" t="n">
        <v>44984.43856481482</v>
      </c>
      <c r="C47" s="1" t="n">
        <v>45972</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9715-2024</t>
        </is>
      </c>
      <c r="B48" s="1" t="n">
        <v>45362.53928240741</v>
      </c>
      <c r="C48" s="1" t="n">
        <v>45972</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45972</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25044-2025</t>
        </is>
      </c>
      <c r="B50" s="1" t="n">
        <v>45799.66607638889</v>
      </c>
      <c r="C50" s="1" t="n">
        <v>45972</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45972</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55051-2021</t>
        </is>
      </c>
      <c r="B52" s="1" t="n">
        <v>44474</v>
      </c>
      <c r="C52" s="1" t="n">
        <v>45972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60078-2021</t>
        </is>
      </c>
      <c r="B53" s="1" t="n">
        <v>44495</v>
      </c>
      <c r="C53" s="1" t="n">
        <v>45972</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45972</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45972</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6223-2021</t>
        </is>
      </c>
      <c r="B56" s="1" t="n">
        <v>44235</v>
      </c>
      <c r="C56" s="1" t="n">
        <v>45972</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45972</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45972</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67855-2021</t>
        </is>
      </c>
      <c r="B59" s="1" t="n">
        <v>44525</v>
      </c>
      <c r="C59" s="1" t="n">
        <v>45972</v>
      </c>
      <c r="D59" t="inlineStr">
        <is>
          <t>UPPSALA LÄN</t>
        </is>
      </c>
      <c r="E59" t="inlineStr">
        <is>
          <t>ÖSTHAMMAR</t>
        </is>
      </c>
      <c r="G59" t="n">
        <v>7.5</v>
      </c>
      <c r="H59" t="n">
        <v>0</v>
      </c>
      <c r="I59" t="n">
        <v>2</v>
      </c>
      <c r="J59" t="n">
        <v>0</v>
      </c>
      <c r="K59" t="n">
        <v>0</v>
      </c>
      <c r="L59" t="n">
        <v>0</v>
      </c>
      <c r="M59" t="n">
        <v>0</v>
      </c>
      <c r="N59" t="n">
        <v>0</v>
      </c>
      <c r="O59" t="n">
        <v>0</v>
      </c>
      <c r="P59" t="n">
        <v>0</v>
      </c>
      <c r="Q59" t="n">
        <v>2</v>
      </c>
      <c r="R59" s="2" t="inlineStr">
        <is>
          <t>Guldkremla
Kamjordstjärna</t>
        </is>
      </c>
      <c r="S59">
        <f>HYPERLINK("https://klasma.github.io/Logging_0382/artfynd/A 67855-2021 artfynd.xlsx", "A 67855-2021")</f>
        <v/>
      </c>
      <c r="T59">
        <f>HYPERLINK("https://klasma.github.io/Logging_0382/kartor/A 67855-2021 karta.png", "A 67855-2021")</f>
        <v/>
      </c>
      <c r="V59">
        <f>HYPERLINK("https://klasma.github.io/Logging_0382/klagomål/A 67855-2021 FSC-klagomål.docx", "A 67855-2021")</f>
        <v/>
      </c>
      <c r="W59">
        <f>HYPERLINK("https://klasma.github.io/Logging_0382/klagomålsmail/A 67855-2021 FSC-klagomål mail.docx", "A 67855-2021")</f>
        <v/>
      </c>
      <c r="X59">
        <f>HYPERLINK("https://klasma.github.io/Logging_0382/tillsyn/A 67855-2021 tillsynsbegäran.docx", "A 67855-2021")</f>
        <v/>
      </c>
      <c r="Y59">
        <f>HYPERLINK("https://klasma.github.io/Logging_0382/tillsynsmail/A 67855-2021 tillsynsbegäran mail.docx", "A 67855-2021")</f>
        <v/>
      </c>
    </row>
    <row r="60" ht="15" customHeight="1">
      <c r="A60" t="inlineStr">
        <is>
          <t>A 21453-2023</t>
        </is>
      </c>
      <c r="B60" s="1" t="n">
        <v>45063</v>
      </c>
      <c r="C60" s="1" t="n">
        <v>45972</v>
      </c>
      <c r="D60" t="inlineStr">
        <is>
          <t>UPPSALA LÄN</t>
        </is>
      </c>
      <c r="E60" t="inlineStr">
        <is>
          <t>ÖSTHAMMAR</t>
        </is>
      </c>
      <c r="F60" t="inlineStr">
        <is>
          <t>Bergvik skog väst AB</t>
        </is>
      </c>
      <c r="G60" t="n">
        <v>6.1</v>
      </c>
      <c r="H60" t="n">
        <v>1</v>
      </c>
      <c r="I60" t="n">
        <v>1</v>
      </c>
      <c r="J60" t="n">
        <v>0</v>
      </c>
      <c r="K60" t="n">
        <v>0</v>
      </c>
      <c r="L60" t="n">
        <v>0</v>
      </c>
      <c r="M60" t="n">
        <v>0</v>
      </c>
      <c r="N60" t="n">
        <v>0</v>
      </c>
      <c r="O60" t="n">
        <v>0</v>
      </c>
      <c r="P60" t="n">
        <v>0</v>
      </c>
      <c r="Q60" t="n">
        <v>2</v>
      </c>
      <c r="R60" s="2" t="inlineStr">
        <is>
          <t>Fransig jordstjärna
Blåsippa</t>
        </is>
      </c>
      <c r="S60">
        <f>HYPERLINK("https://klasma.github.io/Logging_0382/artfynd/A 21453-2023 artfynd.xlsx", "A 21453-2023")</f>
        <v/>
      </c>
      <c r="T60">
        <f>HYPERLINK("https://klasma.github.io/Logging_0382/kartor/A 21453-2023 karta.png", "A 21453-2023")</f>
        <v/>
      </c>
      <c r="V60">
        <f>HYPERLINK("https://klasma.github.io/Logging_0382/klagomål/A 21453-2023 FSC-klagomål.docx", "A 21453-2023")</f>
        <v/>
      </c>
      <c r="W60">
        <f>HYPERLINK("https://klasma.github.io/Logging_0382/klagomålsmail/A 21453-2023 FSC-klagomål mail.docx", "A 21453-2023")</f>
        <v/>
      </c>
      <c r="X60">
        <f>HYPERLINK("https://klasma.github.io/Logging_0382/tillsyn/A 21453-2023 tillsynsbegäran.docx", "A 21453-2023")</f>
        <v/>
      </c>
      <c r="Y60">
        <f>HYPERLINK("https://klasma.github.io/Logging_0382/tillsynsmail/A 21453-2023 tillsynsbegäran mail.docx", "A 21453-2023")</f>
        <v/>
      </c>
    </row>
    <row r="61" ht="15" customHeight="1">
      <c r="A61" t="inlineStr">
        <is>
          <t>A 20553-2025</t>
        </is>
      </c>
      <c r="B61" s="1" t="n">
        <v>45775.63983796296</v>
      </c>
      <c r="C61" s="1" t="n">
        <v>45972</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9646-2024</t>
        </is>
      </c>
      <c r="B62" s="1" t="n">
        <v>45362.37055555556</v>
      </c>
      <c r="C62" s="1" t="n">
        <v>45972</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30943-2024</t>
        </is>
      </c>
      <c r="B63" s="1" t="n">
        <v>45499</v>
      </c>
      <c r="C63" s="1" t="n">
        <v>45972</v>
      </c>
      <c r="D63" t="inlineStr">
        <is>
          <t>UPPSALA LÄN</t>
        </is>
      </c>
      <c r="E63" t="inlineStr">
        <is>
          <t>ÖSTHAMMAR</t>
        </is>
      </c>
      <c r="G63" t="n">
        <v>4.5</v>
      </c>
      <c r="H63" t="n">
        <v>0</v>
      </c>
      <c r="I63" t="n">
        <v>2</v>
      </c>
      <c r="J63" t="n">
        <v>0</v>
      </c>
      <c r="K63" t="n">
        <v>0</v>
      </c>
      <c r="L63" t="n">
        <v>0</v>
      </c>
      <c r="M63" t="n">
        <v>0</v>
      </c>
      <c r="N63" t="n">
        <v>0</v>
      </c>
      <c r="O63" t="n">
        <v>0</v>
      </c>
      <c r="P63" t="n">
        <v>0</v>
      </c>
      <c r="Q63" t="n">
        <v>2</v>
      </c>
      <c r="R63" s="2" t="inlineStr">
        <is>
          <t>Tibast
Underviol</t>
        </is>
      </c>
      <c r="S63">
        <f>HYPERLINK("https://klasma.github.io/Logging_0382/artfynd/A 30943-2024 artfynd.xlsx", "A 30943-2024")</f>
        <v/>
      </c>
      <c r="T63">
        <f>HYPERLINK("https://klasma.github.io/Logging_0382/kartor/A 30943-2024 karta.png", "A 30943-2024")</f>
        <v/>
      </c>
      <c r="V63">
        <f>HYPERLINK("https://klasma.github.io/Logging_0382/klagomål/A 30943-2024 FSC-klagomål.docx", "A 30943-2024")</f>
        <v/>
      </c>
      <c r="W63">
        <f>HYPERLINK("https://klasma.github.io/Logging_0382/klagomålsmail/A 30943-2024 FSC-klagomål mail.docx", "A 30943-2024")</f>
        <v/>
      </c>
      <c r="X63">
        <f>HYPERLINK("https://klasma.github.io/Logging_0382/tillsyn/A 30943-2024 tillsynsbegäran.docx", "A 30943-2024")</f>
        <v/>
      </c>
      <c r="Y63">
        <f>HYPERLINK("https://klasma.github.io/Logging_0382/tillsynsmail/A 30943-2024 tillsynsbegäran mail.docx", "A 30943-2024")</f>
        <v/>
      </c>
    </row>
    <row r="64" ht="15" customHeight="1">
      <c r="A64" t="inlineStr">
        <is>
          <t>A 41303-2025</t>
        </is>
      </c>
      <c r="B64" s="1" t="n">
        <v>45898.69215277778</v>
      </c>
      <c r="C64" s="1" t="n">
        <v>45972</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73981-2021</t>
        </is>
      </c>
      <c r="B65" s="1" t="n">
        <v>44555</v>
      </c>
      <c r="C65" s="1" t="n">
        <v>45972</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13287-2022</t>
        </is>
      </c>
      <c r="B66" s="1" t="n">
        <v>44644</v>
      </c>
      <c r="C66" s="1" t="n">
        <v>45972</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51522-2025</t>
        </is>
      </c>
      <c r="B67" s="1" t="n">
        <v>45950.65743055556</v>
      </c>
      <c r="C67" s="1" t="n">
        <v>45972</v>
      </c>
      <c r="D67" t="inlineStr">
        <is>
          <t>UPPSALA LÄN</t>
        </is>
      </c>
      <c r="E67" t="inlineStr">
        <is>
          <t>ÖSTHAMMAR</t>
        </is>
      </c>
      <c r="F67" t="inlineStr">
        <is>
          <t>Bergvik skog öst AB</t>
        </is>
      </c>
      <c r="G67" t="n">
        <v>11</v>
      </c>
      <c r="H67" t="n">
        <v>0</v>
      </c>
      <c r="I67" t="n">
        <v>0</v>
      </c>
      <c r="J67" t="n">
        <v>2</v>
      </c>
      <c r="K67" t="n">
        <v>0</v>
      </c>
      <c r="L67" t="n">
        <v>0</v>
      </c>
      <c r="M67" t="n">
        <v>0</v>
      </c>
      <c r="N67" t="n">
        <v>0</v>
      </c>
      <c r="O67" t="n">
        <v>2</v>
      </c>
      <c r="P67" t="n">
        <v>0</v>
      </c>
      <c r="Q67" t="n">
        <v>2</v>
      </c>
      <c r="R67" s="2" t="inlineStr">
        <is>
          <t>Puderspindling
Rosenticka</t>
        </is>
      </c>
      <c r="S67">
        <f>HYPERLINK("https://klasma.github.io/Logging_0382/artfynd/A 51522-2025 artfynd.xlsx", "A 51522-2025")</f>
        <v/>
      </c>
      <c r="T67">
        <f>HYPERLINK("https://klasma.github.io/Logging_0382/kartor/A 51522-2025 karta.png", "A 51522-2025")</f>
        <v/>
      </c>
      <c r="U67">
        <f>HYPERLINK("https://klasma.github.io/Logging_0382/knärot/A 51522-2025 karta knärot.png", "A 51522-2025")</f>
        <v/>
      </c>
      <c r="V67">
        <f>HYPERLINK("https://klasma.github.io/Logging_0382/klagomål/A 51522-2025 FSC-klagomål.docx", "A 51522-2025")</f>
        <v/>
      </c>
      <c r="W67">
        <f>HYPERLINK("https://klasma.github.io/Logging_0382/klagomålsmail/A 51522-2025 FSC-klagomål mail.docx", "A 51522-2025")</f>
        <v/>
      </c>
      <c r="X67">
        <f>HYPERLINK("https://klasma.github.io/Logging_0382/tillsyn/A 51522-2025 tillsynsbegäran.docx", "A 51522-2025")</f>
        <v/>
      </c>
      <c r="Y67">
        <f>HYPERLINK("https://klasma.github.io/Logging_0382/tillsynsmail/A 51522-2025 tillsynsbegäran mail.docx", "A 51522-2025")</f>
        <v/>
      </c>
    </row>
    <row r="68" ht="15" customHeight="1">
      <c r="A68" t="inlineStr">
        <is>
          <t>A 2916-2025</t>
        </is>
      </c>
      <c r="B68" s="1" t="n">
        <v>45677</v>
      </c>
      <c r="C68" s="1" t="n">
        <v>45972</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25098-2022</t>
        </is>
      </c>
      <c r="B69" s="1" t="n">
        <v>44729.44149305556</v>
      </c>
      <c r="C69" s="1" t="n">
        <v>45972</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33269-2025</t>
        </is>
      </c>
      <c r="B70" s="1" t="n">
        <v>45840.68208333333</v>
      </c>
      <c r="C70" s="1" t="n">
        <v>45972</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26277-2024</t>
        </is>
      </c>
      <c r="B71" s="1" t="n">
        <v>45468</v>
      </c>
      <c r="C71" s="1" t="n">
        <v>45972</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37768-2025</t>
        </is>
      </c>
      <c r="B72" s="1" t="n">
        <v>45880</v>
      </c>
      <c r="C72" s="1" t="n">
        <v>45972</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38442-2022</t>
        </is>
      </c>
      <c r="B73" s="1" t="n">
        <v>44813</v>
      </c>
      <c r="C73" s="1" t="n">
        <v>45972</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45972</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45972</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22209-2022</t>
        </is>
      </c>
      <c r="B76" s="1" t="n">
        <v>44712</v>
      </c>
      <c r="C76" s="1" t="n">
        <v>45972</v>
      </c>
      <c r="D76" t="inlineStr">
        <is>
          <t>UPPSALA LÄN</t>
        </is>
      </c>
      <c r="E76" t="inlineStr">
        <is>
          <t>ÖSTHAMMAR</t>
        </is>
      </c>
      <c r="F76" t="inlineStr">
        <is>
          <t>Bergvik skog öst AB</t>
        </is>
      </c>
      <c r="G76" t="n">
        <v>1.5</v>
      </c>
      <c r="H76" t="n">
        <v>1</v>
      </c>
      <c r="I76" t="n">
        <v>0</v>
      </c>
      <c r="J76" t="n">
        <v>0</v>
      </c>
      <c r="K76" t="n">
        <v>0</v>
      </c>
      <c r="L76" t="n">
        <v>0</v>
      </c>
      <c r="M76" t="n">
        <v>0</v>
      </c>
      <c r="N76" t="n">
        <v>0</v>
      </c>
      <c r="O76" t="n">
        <v>0</v>
      </c>
      <c r="P76" t="n">
        <v>0</v>
      </c>
      <c r="Q76" t="n">
        <v>1</v>
      </c>
      <c r="R76" s="2" t="inlineStr">
        <is>
          <t>Blåsippa</t>
        </is>
      </c>
      <c r="S76">
        <f>HYPERLINK("https://klasma.github.io/Logging_0382/artfynd/A 22209-2022 artfynd.xlsx", "A 22209-2022")</f>
        <v/>
      </c>
      <c r="T76">
        <f>HYPERLINK("https://klasma.github.io/Logging_0382/kartor/A 22209-2022 karta.png", "A 22209-2022")</f>
        <v/>
      </c>
      <c r="V76">
        <f>HYPERLINK("https://klasma.github.io/Logging_0382/klagomål/A 22209-2022 FSC-klagomål.docx", "A 22209-2022")</f>
        <v/>
      </c>
      <c r="W76">
        <f>HYPERLINK("https://klasma.github.io/Logging_0382/klagomålsmail/A 22209-2022 FSC-klagomål mail.docx", "A 22209-2022")</f>
        <v/>
      </c>
      <c r="X76">
        <f>HYPERLINK("https://klasma.github.io/Logging_0382/tillsyn/A 22209-2022 tillsynsbegäran.docx", "A 22209-2022")</f>
        <v/>
      </c>
      <c r="Y76">
        <f>HYPERLINK("https://klasma.github.io/Logging_0382/tillsynsmail/A 22209-2022 tillsynsbegäran mail.docx", "A 22209-2022")</f>
        <v/>
      </c>
    </row>
    <row r="77" ht="15" customHeight="1">
      <c r="A77" t="inlineStr">
        <is>
          <t>A 52651-2022</t>
        </is>
      </c>
      <c r="B77" s="1" t="n">
        <v>44874</v>
      </c>
      <c r="C77" s="1" t="n">
        <v>45972</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11017-2023</t>
        </is>
      </c>
      <c r="B78" s="1" t="n">
        <v>44991</v>
      </c>
      <c r="C78" s="1" t="n">
        <v>45972</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22287-2023</t>
        </is>
      </c>
      <c r="B79" s="1" t="n">
        <v>45070</v>
      </c>
      <c r="C79" s="1" t="n">
        <v>45972</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45972</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52818-2022</t>
        </is>
      </c>
      <c r="B81" s="1" t="n">
        <v>44875</v>
      </c>
      <c r="C81" s="1" t="n">
        <v>45972</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33800-2024</t>
        </is>
      </c>
      <c r="B82" s="1" t="n">
        <v>45520</v>
      </c>
      <c r="C82" s="1" t="n">
        <v>45972</v>
      </c>
      <c r="D82" t="inlineStr">
        <is>
          <t>UPPSALA LÄN</t>
        </is>
      </c>
      <c r="E82" t="inlineStr">
        <is>
          <t>ÖSTHAMMAR</t>
        </is>
      </c>
      <c r="F82" t="inlineStr">
        <is>
          <t>Naturvårdsverket</t>
        </is>
      </c>
      <c r="G82" t="n">
        <v>1.5</v>
      </c>
      <c r="H82" t="n">
        <v>1</v>
      </c>
      <c r="I82" t="n">
        <v>0</v>
      </c>
      <c r="J82" t="n">
        <v>0</v>
      </c>
      <c r="K82" t="n">
        <v>0</v>
      </c>
      <c r="L82" t="n">
        <v>0</v>
      </c>
      <c r="M82" t="n">
        <v>0</v>
      </c>
      <c r="N82" t="n">
        <v>0</v>
      </c>
      <c r="O82" t="n">
        <v>0</v>
      </c>
      <c r="P82" t="n">
        <v>0</v>
      </c>
      <c r="Q82" t="n">
        <v>1</v>
      </c>
      <c r="R82" s="2" t="inlineStr">
        <is>
          <t>Fläcknycklar</t>
        </is>
      </c>
      <c r="S82">
        <f>HYPERLINK("https://klasma.github.io/Logging_0382/artfynd/A 33800-2024 artfynd.xlsx", "A 33800-2024")</f>
        <v/>
      </c>
      <c r="T82">
        <f>HYPERLINK("https://klasma.github.io/Logging_0382/kartor/A 33800-2024 karta.png", "A 33800-2024")</f>
        <v/>
      </c>
      <c r="V82">
        <f>HYPERLINK("https://klasma.github.io/Logging_0382/klagomål/A 33800-2024 FSC-klagomål.docx", "A 33800-2024")</f>
        <v/>
      </c>
      <c r="W82">
        <f>HYPERLINK("https://klasma.github.io/Logging_0382/klagomålsmail/A 33800-2024 FSC-klagomål mail.docx", "A 33800-2024")</f>
        <v/>
      </c>
      <c r="X82">
        <f>HYPERLINK("https://klasma.github.io/Logging_0382/tillsyn/A 33800-2024 tillsynsbegäran.docx", "A 33800-2024")</f>
        <v/>
      </c>
      <c r="Y82">
        <f>HYPERLINK("https://klasma.github.io/Logging_0382/tillsynsmail/A 33800-2024 tillsynsbegäran mail.docx", "A 33800-2024")</f>
        <v/>
      </c>
    </row>
    <row r="83" ht="15" customHeight="1">
      <c r="A83" t="inlineStr">
        <is>
          <t>A 14706-2023</t>
        </is>
      </c>
      <c r="B83" s="1" t="n">
        <v>45013</v>
      </c>
      <c r="C83" s="1" t="n">
        <v>45972</v>
      </c>
      <c r="D83" t="inlineStr">
        <is>
          <t>UPPSALA LÄN</t>
        </is>
      </c>
      <c r="E83" t="inlineStr">
        <is>
          <t>ÖSTHAMMAR</t>
        </is>
      </c>
      <c r="G83" t="n">
        <v>0.9</v>
      </c>
      <c r="H83" t="n">
        <v>0</v>
      </c>
      <c r="I83" t="n">
        <v>1</v>
      </c>
      <c r="J83" t="n">
        <v>0</v>
      </c>
      <c r="K83" t="n">
        <v>0</v>
      </c>
      <c r="L83" t="n">
        <v>0</v>
      </c>
      <c r="M83" t="n">
        <v>0</v>
      </c>
      <c r="N83" t="n">
        <v>0</v>
      </c>
      <c r="O83" t="n">
        <v>0</v>
      </c>
      <c r="P83" t="n">
        <v>0</v>
      </c>
      <c r="Q83" t="n">
        <v>1</v>
      </c>
      <c r="R83" s="2" t="inlineStr">
        <is>
          <t>Olivspindling</t>
        </is>
      </c>
      <c r="S83">
        <f>HYPERLINK("https://klasma.github.io/Logging_0382/artfynd/A 14706-2023 artfynd.xlsx", "A 14706-2023")</f>
        <v/>
      </c>
      <c r="T83">
        <f>HYPERLINK("https://klasma.github.io/Logging_0382/kartor/A 14706-2023 karta.png", "A 14706-2023")</f>
        <v/>
      </c>
      <c r="V83">
        <f>HYPERLINK("https://klasma.github.io/Logging_0382/klagomål/A 14706-2023 FSC-klagomål.docx", "A 14706-2023")</f>
        <v/>
      </c>
      <c r="W83">
        <f>HYPERLINK("https://klasma.github.io/Logging_0382/klagomålsmail/A 14706-2023 FSC-klagomål mail.docx", "A 14706-2023")</f>
        <v/>
      </c>
      <c r="X83">
        <f>HYPERLINK("https://klasma.github.io/Logging_0382/tillsyn/A 14706-2023 tillsynsbegäran.docx", "A 14706-2023")</f>
        <v/>
      </c>
      <c r="Y83">
        <f>HYPERLINK("https://klasma.github.io/Logging_0382/tillsynsmail/A 14706-2023 tillsynsbegäran mail.docx", "A 14706-2023")</f>
        <v/>
      </c>
    </row>
    <row r="84" ht="15" customHeight="1">
      <c r="A84" t="inlineStr">
        <is>
          <t>A 70495-2021</t>
        </is>
      </c>
      <c r="B84" s="1" t="n">
        <v>44536</v>
      </c>
      <c r="C84" s="1" t="n">
        <v>45972</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49839-2021</t>
        </is>
      </c>
      <c r="B85" s="1" t="n">
        <v>44455</v>
      </c>
      <c r="C85" s="1" t="n">
        <v>45972</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45972</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10034-2023</t>
        </is>
      </c>
      <c r="B87" s="1" t="n">
        <v>44985</v>
      </c>
      <c r="C87" s="1" t="n">
        <v>45972</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46629-2024</t>
        </is>
      </c>
      <c r="B88" s="1" t="n">
        <v>45583.33221064815</v>
      </c>
      <c r="C88" s="1" t="n">
        <v>45972</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12753-2024</t>
        </is>
      </c>
      <c r="B89" s="1" t="n">
        <v>45384</v>
      </c>
      <c r="C89" s="1" t="n">
        <v>45972</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25179-2023</t>
        </is>
      </c>
      <c r="B90" s="1" t="n">
        <v>45078</v>
      </c>
      <c r="C90" s="1" t="n">
        <v>45972</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37296-2023</t>
        </is>
      </c>
      <c r="B91" s="1" t="n">
        <v>45156</v>
      </c>
      <c r="C91" s="1" t="n">
        <v>45972</v>
      </c>
      <c r="D91" t="inlineStr">
        <is>
          <t>UPPSALA LÄN</t>
        </is>
      </c>
      <c r="E91" t="inlineStr">
        <is>
          <t>ÖSTHAMMAR</t>
        </is>
      </c>
      <c r="G91" t="n">
        <v>4.7</v>
      </c>
      <c r="H91" t="n">
        <v>1</v>
      </c>
      <c r="I91" t="n">
        <v>0</v>
      </c>
      <c r="J91" t="n">
        <v>0</v>
      </c>
      <c r="K91" t="n">
        <v>1</v>
      </c>
      <c r="L91" t="n">
        <v>0</v>
      </c>
      <c r="M91" t="n">
        <v>0</v>
      </c>
      <c r="N91" t="n">
        <v>0</v>
      </c>
      <c r="O91" t="n">
        <v>1</v>
      </c>
      <c r="P91" t="n">
        <v>1</v>
      </c>
      <c r="Q91" t="n">
        <v>1</v>
      </c>
      <c r="R91" s="2" t="inlineStr">
        <is>
          <t>Backsippa</t>
        </is>
      </c>
      <c r="S91">
        <f>HYPERLINK("https://klasma.github.io/Logging_0382/artfynd/A 37296-2023 artfynd.xlsx", "A 37296-2023")</f>
        <v/>
      </c>
      <c r="T91">
        <f>HYPERLINK("https://klasma.github.io/Logging_0382/kartor/A 37296-2023 karta.png", "A 37296-2023")</f>
        <v/>
      </c>
      <c r="V91">
        <f>HYPERLINK("https://klasma.github.io/Logging_0382/klagomål/A 37296-2023 FSC-klagomål.docx", "A 37296-2023")</f>
        <v/>
      </c>
      <c r="W91">
        <f>HYPERLINK("https://klasma.github.io/Logging_0382/klagomålsmail/A 37296-2023 FSC-klagomål mail.docx", "A 37296-2023")</f>
        <v/>
      </c>
      <c r="X91">
        <f>HYPERLINK("https://klasma.github.io/Logging_0382/tillsyn/A 37296-2023 tillsynsbegäran.docx", "A 37296-2023")</f>
        <v/>
      </c>
      <c r="Y91">
        <f>HYPERLINK("https://klasma.github.io/Logging_0382/tillsynsmail/A 37296-2023 tillsynsbegäran mail.docx", "A 37296-2023")</f>
        <v/>
      </c>
    </row>
    <row r="92" ht="15" customHeight="1">
      <c r="A92" t="inlineStr">
        <is>
          <t>A 14203-2024</t>
        </is>
      </c>
      <c r="B92" s="1" t="n">
        <v>45393</v>
      </c>
      <c r="C92" s="1" t="n">
        <v>45972</v>
      </c>
      <c r="D92" t="inlineStr">
        <is>
          <t>UPPSALA LÄN</t>
        </is>
      </c>
      <c r="E92" t="inlineStr">
        <is>
          <t>ÖSTHAMMAR</t>
        </is>
      </c>
      <c r="G92" t="n">
        <v>1.4</v>
      </c>
      <c r="H92" t="n">
        <v>0</v>
      </c>
      <c r="I92" t="n">
        <v>0</v>
      </c>
      <c r="J92" t="n">
        <v>1</v>
      </c>
      <c r="K92" t="n">
        <v>0</v>
      </c>
      <c r="L92" t="n">
        <v>0</v>
      </c>
      <c r="M92" t="n">
        <v>0</v>
      </c>
      <c r="N92" t="n">
        <v>0</v>
      </c>
      <c r="O92" t="n">
        <v>1</v>
      </c>
      <c r="P92" t="n">
        <v>0</v>
      </c>
      <c r="Q92" t="n">
        <v>1</v>
      </c>
      <c r="R92" s="2" t="inlineStr">
        <is>
          <t>Scharlakansvaxing</t>
        </is>
      </c>
      <c r="S92">
        <f>HYPERLINK("https://klasma.github.io/Logging_0382/artfynd/A 14203-2024 artfynd.xlsx", "A 14203-2024")</f>
        <v/>
      </c>
      <c r="T92">
        <f>HYPERLINK("https://klasma.github.io/Logging_0382/kartor/A 14203-2024 karta.png", "A 14203-2024")</f>
        <v/>
      </c>
      <c r="V92">
        <f>HYPERLINK("https://klasma.github.io/Logging_0382/klagomål/A 14203-2024 FSC-klagomål.docx", "A 14203-2024")</f>
        <v/>
      </c>
      <c r="W92">
        <f>HYPERLINK("https://klasma.github.io/Logging_0382/klagomålsmail/A 14203-2024 FSC-klagomål mail.docx", "A 14203-2024")</f>
        <v/>
      </c>
      <c r="X92">
        <f>HYPERLINK("https://klasma.github.io/Logging_0382/tillsyn/A 14203-2024 tillsynsbegäran.docx", "A 14203-2024")</f>
        <v/>
      </c>
      <c r="Y92">
        <f>HYPERLINK("https://klasma.github.io/Logging_0382/tillsynsmail/A 14203-2024 tillsynsbegäran mail.docx", "A 14203-2024")</f>
        <v/>
      </c>
    </row>
    <row r="93" ht="15" customHeight="1">
      <c r="A93" t="inlineStr">
        <is>
          <t>A 63615-2021</t>
        </is>
      </c>
      <c r="B93" s="1" t="n">
        <v>44509</v>
      </c>
      <c r="C93" s="1" t="n">
        <v>45972</v>
      </c>
      <c r="D93" t="inlineStr">
        <is>
          <t>UPPSALA LÄN</t>
        </is>
      </c>
      <c r="E93" t="inlineStr">
        <is>
          <t>ÖSTHAMMAR</t>
        </is>
      </c>
      <c r="G93" t="n">
        <v>1.9</v>
      </c>
      <c r="H93" t="n">
        <v>0</v>
      </c>
      <c r="I93" t="n">
        <v>0</v>
      </c>
      <c r="J93" t="n">
        <v>1</v>
      </c>
      <c r="K93" t="n">
        <v>0</v>
      </c>
      <c r="L93" t="n">
        <v>0</v>
      </c>
      <c r="M93" t="n">
        <v>0</v>
      </c>
      <c r="N93" t="n">
        <v>0</v>
      </c>
      <c r="O93" t="n">
        <v>1</v>
      </c>
      <c r="P93" t="n">
        <v>0</v>
      </c>
      <c r="Q93" t="n">
        <v>1</v>
      </c>
      <c r="R93" s="2" t="inlineStr">
        <is>
          <t>Gul taggsvamp</t>
        </is>
      </c>
      <c r="S93">
        <f>HYPERLINK("https://klasma.github.io/Logging_0382/artfynd/A 63615-2021 artfynd.xlsx", "A 63615-2021")</f>
        <v/>
      </c>
      <c r="T93">
        <f>HYPERLINK("https://klasma.github.io/Logging_0382/kartor/A 63615-2021 karta.png", "A 63615-2021")</f>
        <v/>
      </c>
      <c r="V93">
        <f>HYPERLINK("https://klasma.github.io/Logging_0382/klagomål/A 63615-2021 FSC-klagomål.docx", "A 63615-2021")</f>
        <v/>
      </c>
      <c r="W93">
        <f>HYPERLINK("https://klasma.github.io/Logging_0382/klagomålsmail/A 63615-2021 FSC-klagomål mail.docx", "A 63615-2021")</f>
        <v/>
      </c>
      <c r="X93">
        <f>HYPERLINK("https://klasma.github.io/Logging_0382/tillsyn/A 63615-2021 tillsynsbegäran.docx", "A 63615-2021")</f>
        <v/>
      </c>
      <c r="Y93">
        <f>HYPERLINK("https://klasma.github.io/Logging_0382/tillsynsmail/A 63615-2021 tillsynsbegäran mail.docx", "A 63615-2021")</f>
        <v/>
      </c>
    </row>
    <row r="94" ht="15" customHeight="1">
      <c r="A94" t="inlineStr">
        <is>
          <t>A 65989-2021</t>
        </is>
      </c>
      <c r="B94" s="1" t="n">
        <v>44517</v>
      </c>
      <c r="C94" s="1" t="n">
        <v>45972</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45972</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41220-2025</t>
        </is>
      </c>
      <c r="B96" s="1" t="n">
        <v>45898.58630787037</v>
      </c>
      <c r="C96" s="1" t="n">
        <v>45972</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1227-2022</t>
        </is>
      </c>
      <c r="B97" s="1" t="n">
        <v>44572.57641203704</v>
      </c>
      <c r="C97" s="1" t="n">
        <v>45972</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61479-2020</t>
        </is>
      </c>
      <c r="B98" s="1" t="n">
        <v>44154</v>
      </c>
      <c r="C98" s="1" t="n">
        <v>45972</v>
      </c>
      <c r="D98" t="inlineStr">
        <is>
          <t>UPPSALA LÄN</t>
        </is>
      </c>
      <c r="E98" t="inlineStr">
        <is>
          <t>ÖSTHAMMAR</t>
        </is>
      </c>
      <c r="G98" t="n">
        <v>2.5</v>
      </c>
      <c r="H98" t="n">
        <v>0</v>
      </c>
      <c r="I98" t="n">
        <v>1</v>
      </c>
      <c r="J98" t="n">
        <v>0</v>
      </c>
      <c r="K98" t="n">
        <v>0</v>
      </c>
      <c r="L98" t="n">
        <v>0</v>
      </c>
      <c r="M98" t="n">
        <v>0</v>
      </c>
      <c r="N98" t="n">
        <v>0</v>
      </c>
      <c r="O98" t="n">
        <v>0</v>
      </c>
      <c r="P98" t="n">
        <v>0</v>
      </c>
      <c r="Q98" t="n">
        <v>1</v>
      </c>
      <c r="R98" s="2" t="inlineStr">
        <is>
          <t>Olivspindling</t>
        </is>
      </c>
      <c r="S98">
        <f>HYPERLINK("https://klasma.github.io/Logging_0382/artfynd/A 61479-2020 artfynd.xlsx", "A 61479-2020")</f>
        <v/>
      </c>
      <c r="T98">
        <f>HYPERLINK("https://klasma.github.io/Logging_0382/kartor/A 61479-2020 karta.png", "A 61479-2020")</f>
        <v/>
      </c>
      <c r="V98">
        <f>HYPERLINK("https://klasma.github.io/Logging_0382/klagomål/A 61479-2020 FSC-klagomål.docx", "A 61479-2020")</f>
        <v/>
      </c>
      <c r="W98">
        <f>HYPERLINK("https://klasma.github.io/Logging_0382/klagomålsmail/A 61479-2020 FSC-klagomål mail.docx", "A 61479-2020")</f>
        <v/>
      </c>
      <c r="X98">
        <f>HYPERLINK("https://klasma.github.io/Logging_0382/tillsyn/A 61479-2020 tillsynsbegäran.docx", "A 61479-2020")</f>
        <v/>
      </c>
      <c r="Y98">
        <f>HYPERLINK("https://klasma.github.io/Logging_0382/tillsynsmail/A 61479-2020 tillsynsbegäran mail.docx", "A 61479-2020")</f>
        <v/>
      </c>
    </row>
    <row r="99" ht="15" customHeight="1">
      <c r="A99" t="inlineStr">
        <is>
          <t>A 29564-2023</t>
        </is>
      </c>
      <c r="B99" s="1" t="n">
        <v>45106</v>
      </c>
      <c r="C99" s="1" t="n">
        <v>45972</v>
      </c>
      <c r="D99" t="inlineStr">
        <is>
          <t>UPPSALA LÄN</t>
        </is>
      </c>
      <c r="E99" t="inlineStr">
        <is>
          <t>ÖSTHAMMAR</t>
        </is>
      </c>
      <c r="F99" t="inlineStr">
        <is>
          <t>Naturvårdsverket</t>
        </is>
      </c>
      <c r="G99" t="n">
        <v>1.2</v>
      </c>
      <c r="H99" t="n">
        <v>1</v>
      </c>
      <c r="I99" t="n">
        <v>0</v>
      </c>
      <c r="J99" t="n">
        <v>0</v>
      </c>
      <c r="K99" t="n">
        <v>0</v>
      </c>
      <c r="L99" t="n">
        <v>0</v>
      </c>
      <c r="M99" t="n">
        <v>0</v>
      </c>
      <c r="N99" t="n">
        <v>0</v>
      </c>
      <c r="O99" t="n">
        <v>0</v>
      </c>
      <c r="P99" t="n">
        <v>0</v>
      </c>
      <c r="Q99" t="n">
        <v>1</v>
      </c>
      <c r="R99" s="2" t="inlineStr">
        <is>
          <t>Blåsippa</t>
        </is>
      </c>
      <c r="S99">
        <f>HYPERLINK("https://klasma.github.io/Logging_0382/artfynd/A 29564-2023 artfynd.xlsx", "A 29564-2023")</f>
        <v/>
      </c>
      <c r="T99">
        <f>HYPERLINK("https://klasma.github.io/Logging_0382/kartor/A 29564-2023 karta.png", "A 29564-2023")</f>
        <v/>
      </c>
      <c r="V99">
        <f>HYPERLINK("https://klasma.github.io/Logging_0382/klagomål/A 29564-2023 FSC-klagomål.docx", "A 29564-2023")</f>
        <v/>
      </c>
      <c r="W99">
        <f>HYPERLINK("https://klasma.github.io/Logging_0382/klagomålsmail/A 29564-2023 FSC-klagomål mail.docx", "A 29564-2023")</f>
        <v/>
      </c>
      <c r="X99">
        <f>HYPERLINK("https://klasma.github.io/Logging_0382/tillsyn/A 29564-2023 tillsynsbegäran.docx", "A 29564-2023")</f>
        <v/>
      </c>
      <c r="Y99">
        <f>HYPERLINK("https://klasma.github.io/Logging_0382/tillsynsmail/A 29564-2023 tillsynsbegäran mail.docx", "A 29564-2023")</f>
        <v/>
      </c>
    </row>
    <row r="100" ht="15" customHeight="1">
      <c r="A100" t="inlineStr">
        <is>
          <t>A 29679-2023</t>
        </is>
      </c>
      <c r="B100" s="1" t="n">
        <v>45107</v>
      </c>
      <c r="C100" s="1" t="n">
        <v>45972</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45972</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52879-2025</t>
        </is>
      </c>
      <c r="B102" s="1" t="n">
        <v>45957.544375</v>
      </c>
      <c r="C102" s="1" t="n">
        <v>45972</v>
      </c>
      <c r="D102" t="inlineStr">
        <is>
          <t>UPPSALA LÄN</t>
        </is>
      </c>
      <c r="E102" t="inlineStr">
        <is>
          <t>ÖSTHAMMAR</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HYPERLINK("https://klasma.github.io/Logging_0382/artfynd/A 52879-2025 artfynd.xlsx", "A 52879-2025")</f>
        <v/>
      </c>
      <c r="T102">
        <f>HYPERLINK("https://klasma.github.io/Logging_0382/kartor/A 52879-2025 karta.png", "A 52879-2025")</f>
        <v/>
      </c>
      <c r="V102">
        <f>HYPERLINK("https://klasma.github.io/Logging_0382/klagomål/A 52879-2025 FSC-klagomål.docx", "A 52879-2025")</f>
        <v/>
      </c>
      <c r="W102">
        <f>HYPERLINK("https://klasma.github.io/Logging_0382/klagomålsmail/A 52879-2025 FSC-klagomål mail.docx", "A 52879-2025")</f>
        <v/>
      </c>
      <c r="X102">
        <f>HYPERLINK("https://klasma.github.io/Logging_0382/tillsyn/A 52879-2025 tillsynsbegäran.docx", "A 52879-2025")</f>
        <v/>
      </c>
      <c r="Y102">
        <f>HYPERLINK("https://klasma.github.io/Logging_0382/tillsynsmail/A 52879-2025 tillsynsbegäran mail.docx", "A 52879-2025")</f>
        <v/>
      </c>
    </row>
    <row r="103" ht="15" customHeight="1">
      <c r="A103" t="inlineStr">
        <is>
          <t>A 30605-2025</t>
        </is>
      </c>
      <c r="B103" s="1" t="n">
        <v>45831.45510416666</v>
      </c>
      <c r="C103" s="1" t="n">
        <v>45972</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34090-2023</t>
        </is>
      </c>
      <c r="B104" s="1" t="n">
        <v>45135</v>
      </c>
      <c r="C104" s="1" t="n">
        <v>45972</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3693-2021</t>
        </is>
      </c>
      <c r="B105" s="1" t="n">
        <v>44221</v>
      </c>
      <c r="C105" s="1" t="n">
        <v>45972</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45972</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45972</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45972</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70408-2021</t>
        </is>
      </c>
      <c r="B109" s="1" t="n">
        <v>44536</v>
      </c>
      <c r="C109" s="1" t="n">
        <v>45972</v>
      </c>
      <c r="D109" t="inlineStr">
        <is>
          <t>UPPSALA LÄN</t>
        </is>
      </c>
      <c r="E109" t="inlineStr">
        <is>
          <t>ÖSTHAMMAR</t>
        </is>
      </c>
      <c r="G109" t="n">
        <v>1</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45972</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45972</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45972</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45972</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45972</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45972</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45972</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45972</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45972</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59417-2020</t>
        </is>
      </c>
      <c r="B119" s="1" t="n">
        <v>44148</v>
      </c>
      <c r="C119" s="1" t="n">
        <v>45972</v>
      </c>
      <c r="D119" t="inlineStr">
        <is>
          <t>UPPSALA LÄN</t>
        </is>
      </c>
      <c r="E119" t="inlineStr">
        <is>
          <t>ÖSTHAMMAR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14271-2022</t>
        </is>
      </c>
      <c r="B120" s="1" t="n">
        <v>44651.88756944444</v>
      </c>
      <c r="C120" s="1" t="n">
        <v>45972</v>
      </c>
      <c r="D120" t="inlineStr">
        <is>
          <t>UPPSALA LÄN</t>
        </is>
      </c>
      <c r="E120" t="inlineStr">
        <is>
          <t>ÖSTHAMMAR</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45972</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45972</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45972</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45972</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45972</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45972</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45972</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45972</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19174-2022</t>
        </is>
      </c>
      <c r="B129" s="1" t="n">
        <v>44691</v>
      </c>
      <c r="C129" s="1" t="n">
        <v>45972</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45972</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45972</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45972</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45972</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45972</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45972</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45972</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45972</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45972</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45972</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45972</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45972</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45972</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45972</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45972</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45972</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45972</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45972</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45972</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45972</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45972</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45972</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45972</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45972</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45972</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45972</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45972</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45972</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45972</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45972</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45972</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45972</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51612-2021</t>
        </is>
      </c>
      <c r="B162" s="1" t="n">
        <v>44462</v>
      </c>
      <c r="C162" s="1" t="n">
        <v>45972</v>
      </c>
      <c r="D162" t="inlineStr">
        <is>
          <t>UPPSALA LÄN</t>
        </is>
      </c>
      <c r="E162" t="inlineStr">
        <is>
          <t>ÖSTHAMMAR</t>
        </is>
      </c>
      <c r="G162" t="n">
        <v>2.7</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45972</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45972</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45972</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45972</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45972</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45972</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22887-2022</t>
        </is>
      </c>
      <c r="B169" s="1" t="n">
        <v>44715</v>
      </c>
      <c r="C169" s="1" t="n">
        <v>45972</v>
      </c>
      <c r="D169" t="inlineStr">
        <is>
          <t>UPPSALA LÄN</t>
        </is>
      </c>
      <c r="E169" t="inlineStr">
        <is>
          <t>ÖSTHAMMAR</t>
        </is>
      </c>
      <c r="G169" t="n">
        <v>0.2</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45972</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52544-2021</t>
        </is>
      </c>
      <c r="B171" s="1" t="n">
        <v>44466</v>
      </c>
      <c r="C171" s="1" t="n">
        <v>45972</v>
      </c>
      <c r="D171" t="inlineStr">
        <is>
          <t>UPPSALA LÄN</t>
        </is>
      </c>
      <c r="E171" t="inlineStr">
        <is>
          <t>ÖSTHAMMAR</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34418-2022</t>
        </is>
      </c>
      <c r="B172" s="1" t="n">
        <v>44792</v>
      </c>
      <c r="C172" s="1" t="n">
        <v>45972</v>
      </c>
      <c r="D172" t="inlineStr">
        <is>
          <t>UPPSALA LÄN</t>
        </is>
      </c>
      <c r="E172" t="inlineStr">
        <is>
          <t>ÖSTHAMMAR</t>
        </is>
      </c>
      <c r="G172" t="n">
        <v>0.3</v>
      </c>
      <c r="H172" t="n">
        <v>0</v>
      </c>
      <c r="I172" t="n">
        <v>0</v>
      </c>
      <c r="J172" t="n">
        <v>0</v>
      </c>
      <c r="K172" t="n">
        <v>0</v>
      </c>
      <c r="L172" t="n">
        <v>0</v>
      </c>
      <c r="M172" t="n">
        <v>0</v>
      </c>
      <c r="N172" t="n">
        <v>0</v>
      </c>
      <c r="O172" t="n">
        <v>0</v>
      </c>
      <c r="P172" t="n">
        <v>0</v>
      </c>
      <c r="Q172" t="n">
        <v>0</v>
      </c>
      <c r="R172" s="2" t="inlineStr"/>
    </row>
    <row r="173" ht="15" customHeight="1">
      <c r="A173" t="inlineStr">
        <is>
          <t>A 7871-2022</t>
        </is>
      </c>
      <c r="B173" s="1" t="n">
        <v>44608</v>
      </c>
      <c r="C173" s="1" t="n">
        <v>45972</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24817-2022</t>
        </is>
      </c>
      <c r="B174" s="1" t="n">
        <v>44728</v>
      </c>
      <c r="C174" s="1" t="n">
        <v>45972</v>
      </c>
      <c r="D174" t="inlineStr">
        <is>
          <t>UPPSALA LÄN</t>
        </is>
      </c>
      <c r="E174" t="inlineStr">
        <is>
          <t>ÖSTHAMMAR</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45972</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45972</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52898-2021</t>
        </is>
      </c>
      <c r="B177" s="1" t="n">
        <v>44467</v>
      </c>
      <c r="C177" s="1" t="n">
        <v>45972</v>
      </c>
      <c r="D177" t="inlineStr">
        <is>
          <t>UPPSALA LÄN</t>
        </is>
      </c>
      <c r="E177" t="inlineStr">
        <is>
          <t>ÖSTHAMMAR</t>
        </is>
      </c>
      <c r="G177" t="n">
        <v>2.3</v>
      </c>
      <c r="H177" t="n">
        <v>0</v>
      </c>
      <c r="I177" t="n">
        <v>0</v>
      </c>
      <c r="J177" t="n">
        <v>0</v>
      </c>
      <c r="K177" t="n">
        <v>0</v>
      </c>
      <c r="L177" t="n">
        <v>0</v>
      </c>
      <c r="M177" t="n">
        <v>0</v>
      </c>
      <c r="N177" t="n">
        <v>0</v>
      </c>
      <c r="O177" t="n">
        <v>0</v>
      </c>
      <c r="P177" t="n">
        <v>0</v>
      </c>
      <c r="Q177" t="n">
        <v>0</v>
      </c>
      <c r="R177" s="2" t="inlineStr"/>
    </row>
    <row r="178" ht="15" customHeight="1">
      <c r="A178" t="inlineStr">
        <is>
          <t>A 25987-2022</t>
        </is>
      </c>
      <c r="B178" s="1" t="n">
        <v>44734.49601851852</v>
      </c>
      <c r="C178" s="1" t="n">
        <v>45972</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45972</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45972</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45972</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19040-2023</t>
        </is>
      </c>
      <c r="B182" s="1" t="n">
        <v>45047</v>
      </c>
      <c r="C182" s="1" t="n">
        <v>45972</v>
      </c>
      <c r="D182" t="inlineStr">
        <is>
          <t>UPPSALA LÄN</t>
        </is>
      </c>
      <c r="E182" t="inlineStr">
        <is>
          <t>ÖSTHAMMAR</t>
        </is>
      </c>
      <c r="F182" t="inlineStr">
        <is>
          <t>Bergvik skog öst AB</t>
        </is>
      </c>
      <c r="G182" t="n">
        <v>1.7</v>
      </c>
      <c r="H182" t="n">
        <v>0</v>
      </c>
      <c r="I182" t="n">
        <v>0</v>
      </c>
      <c r="J182" t="n">
        <v>0</v>
      </c>
      <c r="K182" t="n">
        <v>0</v>
      </c>
      <c r="L182" t="n">
        <v>0</v>
      </c>
      <c r="M182" t="n">
        <v>0</v>
      </c>
      <c r="N182" t="n">
        <v>0</v>
      </c>
      <c r="O182" t="n">
        <v>0</v>
      </c>
      <c r="P182" t="n">
        <v>0</v>
      </c>
      <c r="Q182" t="n">
        <v>0</v>
      </c>
      <c r="R182" s="2" t="inlineStr"/>
    </row>
    <row r="183" ht="15" customHeight="1">
      <c r="A183" t="inlineStr">
        <is>
          <t>A 6221-2021</t>
        </is>
      </c>
      <c r="B183" s="1" t="n">
        <v>44235</v>
      </c>
      <c r="C183" s="1" t="n">
        <v>45972</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18838-2023</t>
        </is>
      </c>
      <c r="B184" s="1" t="n">
        <v>45044</v>
      </c>
      <c r="C184" s="1" t="n">
        <v>45972</v>
      </c>
      <c r="D184" t="inlineStr">
        <is>
          <t>UPPSALA LÄN</t>
        </is>
      </c>
      <c r="E184" t="inlineStr">
        <is>
          <t>ÖSTHAMMAR</t>
        </is>
      </c>
      <c r="G184" t="n">
        <v>2.8</v>
      </c>
      <c r="H184" t="n">
        <v>0</v>
      </c>
      <c r="I184" t="n">
        <v>0</v>
      </c>
      <c r="J184" t="n">
        <v>0</v>
      </c>
      <c r="K184" t="n">
        <v>0</v>
      </c>
      <c r="L184" t="n">
        <v>0</v>
      </c>
      <c r="M184" t="n">
        <v>0</v>
      </c>
      <c r="N184" t="n">
        <v>0</v>
      </c>
      <c r="O184" t="n">
        <v>0</v>
      </c>
      <c r="P184" t="n">
        <v>0</v>
      </c>
      <c r="Q184" t="n">
        <v>0</v>
      </c>
      <c r="R184" s="2" t="inlineStr"/>
    </row>
    <row r="185" ht="15" customHeight="1">
      <c r="A185" t="inlineStr">
        <is>
          <t>A 37545-2022</t>
        </is>
      </c>
      <c r="B185" s="1" t="n">
        <v>44809.63373842592</v>
      </c>
      <c r="C185" s="1" t="n">
        <v>45972</v>
      </c>
      <c r="D185" t="inlineStr">
        <is>
          <t>UPPSALA LÄN</t>
        </is>
      </c>
      <c r="E185" t="inlineStr">
        <is>
          <t>ÖSTHAMMAR</t>
        </is>
      </c>
      <c r="G185" t="n">
        <v>3.1</v>
      </c>
      <c r="H185" t="n">
        <v>0</v>
      </c>
      <c r="I185" t="n">
        <v>0</v>
      </c>
      <c r="J185" t="n">
        <v>0</v>
      </c>
      <c r="K185" t="n">
        <v>0</v>
      </c>
      <c r="L185" t="n">
        <v>0</v>
      </c>
      <c r="M185" t="n">
        <v>0</v>
      </c>
      <c r="N185" t="n">
        <v>0</v>
      </c>
      <c r="O185" t="n">
        <v>0</v>
      </c>
      <c r="P185" t="n">
        <v>0</v>
      </c>
      <c r="Q185" t="n">
        <v>0</v>
      </c>
      <c r="R185" s="2" t="inlineStr"/>
    </row>
    <row r="186" ht="15" customHeight="1">
      <c r="A186" t="inlineStr">
        <is>
          <t>A 17022-2021</t>
        </is>
      </c>
      <c r="B186" s="1" t="n">
        <v>44295.65875</v>
      </c>
      <c r="C186" s="1" t="n">
        <v>45972</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45972</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45972</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61193-2020</t>
        </is>
      </c>
      <c r="B189" s="1" t="n">
        <v>44155</v>
      </c>
      <c r="C189" s="1" t="n">
        <v>45972</v>
      </c>
      <c r="D189" t="inlineStr">
        <is>
          <t>UPPSALA LÄN</t>
        </is>
      </c>
      <c r="E189" t="inlineStr">
        <is>
          <t>ÖSTHAMMAR</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1436-2025</t>
        </is>
      </c>
      <c r="B190" s="1" t="n">
        <v>45669.67625</v>
      </c>
      <c r="C190" s="1" t="n">
        <v>45972</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9789-2022</t>
        </is>
      </c>
      <c r="B191" s="1" t="n">
        <v>44620.35590277778</v>
      </c>
      <c r="C191" s="1" t="n">
        <v>45972</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45972</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45972</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37813-2022</t>
        </is>
      </c>
      <c r="B194" s="1" t="n">
        <v>44810</v>
      </c>
      <c r="C194" s="1" t="n">
        <v>45972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33062-2021</t>
        </is>
      </c>
      <c r="B195" s="1" t="n">
        <v>44376</v>
      </c>
      <c r="C195" s="1" t="n">
        <v>45972</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45972</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22207-2022</t>
        </is>
      </c>
      <c r="B197" s="1" t="n">
        <v>44712.51509259259</v>
      </c>
      <c r="C197" s="1" t="n">
        <v>45972</v>
      </c>
      <c r="D197" t="inlineStr">
        <is>
          <t>UPPSALA LÄN</t>
        </is>
      </c>
      <c r="E197" t="inlineStr">
        <is>
          <t>ÖSTHAMMAR</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4559-2022</t>
        </is>
      </c>
      <c r="B198" s="1" t="n">
        <v>44591.51854166666</v>
      </c>
      <c r="C198" s="1" t="n">
        <v>45972</v>
      </c>
      <c r="D198" t="inlineStr">
        <is>
          <t>UPPSALA LÄN</t>
        </is>
      </c>
      <c r="E198" t="inlineStr">
        <is>
          <t>ÖSTHAMMAR</t>
        </is>
      </c>
      <c r="F198" t="inlineStr">
        <is>
          <t>Bergvik skog öst AB</t>
        </is>
      </c>
      <c r="G198" t="n">
        <v>1.1</v>
      </c>
      <c r="H198" t="n">
        <v>0</v>
      </c>
      <c r="I198" t="n">
        <v>0</v>
      </c>
      <c r="J198" t="n">
        <v>0</v>
      </c>
      <c r="K198" t="n">
        <v>0</v>
      </c>
      <c r="L198" t="n">
        <v>0</v>
      </c>
      <c r="M198" t="n">
        <v>0</v>
      </c>
      <c r="N198" t="n">
        <v>0</v>
      </c>
      <c r="O198" t="n">
        <v>0</v>
      </c>
      <c r="P198" t="n">
        <v>0</v>
      </c>
      <c r="Q198" t="n">
        <v>0</v>
      </c>
      <c r="R198" s="2" t="inlineStr"/>
    </row>
    <row r="199" ht="15" customHeight="1">
      <c r="A199" t="inlineStr">
        <is>
          <t>A 11643-2022</t>
        </is>
      </c>
      <c r="B199" s="1" t="n">
        <v>44631.92662037037</v>
      </c>
      <c r="C199" s="1" t="n">
        <v>45972</v>
      </c>
      <c r="D199" t="inlineStr">
        <is>
          <t>UPPSALA LÄN</t>
        </is>
      </c>
      <c r="E199" t="inlineStr">
        <is>
          <t>ÖSTHAMMAR</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2168-2022</t>
        </is>
      </c>
      <c r="B200" s="1" t="n">
        <v>44578</v>
      </c>
      <c r="C200" s="1" t="n">
        <v>45972</v>
      </c>
      <c r="D200" t="inlineStr">
        <is>
          <t>UPPSALA LÄN</t>
        </is>
      </c>
      <c r="E200" t="inlineStr">
        <is>
          <t>ÖSTHAMMAR</t>
        </is>
      </c>
      <c r="G200" t="n">
        <v>2.9</v>
      </c>
      <c r="H200" t="n">
        <v>0</v>
      </c>
      <c r="I200" t="n">
        <v>0</v>
      </c>
      <c r="J200" t="n">
        <v>0</v>
      </c>
      <c r="K200" t="n">
        <v>0</v>
      </c>
      <c r="L200" t="n">
        <v>0</v>
      </c>
      <c r="M200" t="n">
        <v>0</v>
      </c>
      <c r="N200" t="n">
        <v>0</v>
      </c>
      <c r="O200" t="n">
        <v>0</v>
      </c>
      <c r="P200" t="n">
        <v>0</v>
      </c>
      <c r="Q200" t="n">
        <v>0</v>
      </c>
      <c r="R200" s="2" t="inlineStr"/>
    </row>
    <row r="201" ht="15" customHeight="1">
      <c r="A201" t="inlineStr">
        <is>
          <t>A 11884-2022</t>
        </is>
      </c>
      <c r="B201" s="1" t="n">
        <v>44635.39946759259</v>
      </c>
      <c r="C201" s="1" t="n">
        <v>45972</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18734-2022</t>
        </is>
      </c>
      <c r="B202" s="1" t="n">
        <v>44687.86751157408</v>
      </c>
      <c r="C202" s="1" t="n">
        <v>45972</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11036-2023</t>
        </is>
      </c>
      <c r="B203" s="1" t="n">
        <v>44991.9321412037</v>
      </c>
      <c r="C203" s="1" t="n">
        <v>45972</v>
      </c>
      <c r="D203" t="inlineStr">
        <is>
          <t>UPPSALA LÄN</t>
        </is>
      </c>
      <c r="E203" t="inlineStr">
        <is>
          <t>ÖSTHAMMAR</t>
        </is>
      </c>
      <c r="F203" t="inlineStr">
        <is>
          <t>Bergvik skog öst AB</t>
        </is>
      </c>
      <c r="G203" t="n">
        <v>3</v>
      </c>
      <c r="H203" t="n">
        <v>0</v>
      </c>
      <c r="I203" t="n">
        <v>0</v>
      </c>
      <c r="J203" t="n">
        <v>0</v>
      </c>
      <c r="K203" t="n">
        <v>0</v>
      </c>
      <c r="L203" t="n">
        <v>0</v>
      </c>
      <c r="M203" t="n">
        <v>0</v>
      </c>
      <c r="N203" t="n">
        <v>0</v>
      </c>
      <c r="O203" t="n">
        <v>0</v>
      </c>
      <c r="P203" t="n">
        <v>0</v>
      </c>
      <c r="Q203" t="n">
        <v>0</v>
      </c>
      <c r="R203" s="2" t="inlineStr"/>
    </row>
    <row r="204" ht="15" customHeight="1">
      <c r="A204" t="inlineStr">
        <is>
          <t>A 23363-2023</t>
        </is>
      </c>
      <c r="B204" s="1" t="n">
        <v>45076</v>
      </c>
      <c r="C204" s="1" t="n">
        <v>45972</v>
      </c>
      <c r="D204" t="inlineStr">
        <is>
          <t>UPPSALA LÄN</t>
        </is>
      </c>
      <c r="E204" t="inlineStr">
        <is>
          <t>ÖSTHAMMAR</t>
        </is>
      </c>
      <c r="G204" t="n">
        <v>3</v>
      </c>
      <c r="H204" t="n">
        <v>0</v>
      </c>
      <c r="I204" t="n">
        <v>0</v>
      </c>
      <c r="J204" t="n">
        <v>0</v>
      </c>
      <c r="K204" t="n">
        <v>0</v>
      </c>
      <c r="L204" t="n">
        <v>0</v>
      </c>
      <c r="M204" t="n">
        <v>0</v>
      </c>
      <c r="N204" t="n">
        <v>0</v>
      </c>
      <c r="O204" t="n">
        <v>0</v>
      </c>
      <c r="P204" t="n">
        <v>0</v>
      </c>
      <c r="Q204" t="n">
        <v>0</v>
      </c>
      <c r="R204" s="2" t="inlineStr"/>
    </row>
    <row r="205" ht="15" customHeight="1">
      <c r="A205" t="inlineStr">
        <is>
          <t>A 3418-2025</t>
        </is>
      </c>
      <c r="B205" s="1" t="n">
        <v>45680</v>
      </c>
      <c r="C205" s="1" t="n">
        <v>45972</v>
      </c>
      <c r="D205" t="inlineStr">
        <is>
          <t>UPPSALA LÄN</t>
        </is>
      </c>
      <c r="E205" t="inlineStr">
        <is>
          <t>ÖSTHAMMAR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3420-2025</t>
        </is>
      </c>
      <c r="B206" s="1" t="n">
        <v>45680</v>
      </c>
      <c r="C206" s="1" t="n">
        <v>45972</v>
      </c>
      <c r="D206" t="inlineStr">
        <is>
          <t>UPPSALA LÄN</t>
        </is>
      </c>
      <c r="E206" t="inlineStr">
        <is>
          <t>ÖSTHAMMAR</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14505-2023</t>
        </is>
      </c>
      <c r="B207" s="1" t="n">
        <v>45012.7975</v>
      </c>
      <c r="C207" s="1" t="n">
        <v>45972</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60577-2021</t>
        </is>
      </c>
      <c r="B208" s="1" t="n">
        <v>44496.57019675926</v>
      </c>
      <c r="C208" s="1" t="n">
        <v>45972</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45972</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19214-2021</t>
        </is>
      </c>
      <c r="B210" s="1" t="n">
        <v>44309.28576388889</v>
      </c>
      <c r="C210" s="1" t="n">
        <v>45972</v>
      </c>
      <c r="D210" t="inlineStr">
        <is>
          <t>UPPSALA LÄN</t>
        </is>
      </c>
      <c r="E210" t="inlineStr">
        <is>
          <t>ÖSTHAMMAR</t>
        </is>
      </c>
      <c r="F210" t="inlineStr">
        <is>
          <t>Bergvik skog öst AB</t>
        </is>
      </c>
      <c r="G210" t="n">
        <v>6</v>
      </c>
      <c r="H210" t="n">
        <v>0</v>
      </c>
      <c r="I210" t="n">
        <v>0</v>
      </c>
      <c r="J210" t="n">
        <v>0</v>
      </c>
      <c r="K210" t="n">
        <v>0</v>
      </c>
      <c r="L210" t="n">
        <v>0</v>
      </c>
      <c r="M210" t="n">
        <v>0</v>
      </c>
      <c r="N210" t="n">
        <v>0</v>
      </c>
      <c r="O210" t="n">
        <v>0</v>
      </c>
      <c r="P210" t="n">
        <v>0</v>
      </c>
      <c r="Q210" t="n">
        <v>0</v>
      </c>
      <c r="R210" s="2" t="inlineStr"/>
    </row>
    <row r="211" ht="15" customHeight="1">
      <c r="A211" t="inlineStr">
        <is>
          <t>A 17013-2022</t>
        </is>
      </c>
      <c r="B211" s="1" t="n">
        <v>44676</v>
      </c>
      <c r="C211" s="1" t="n">
        <v>45972</v>
      </c>
      <c r="D211" t="inlineStr">
        <is>
          <t>UPPSALA LÄN</t>
        </is>
      </c>
      <c r="E211" t="inlineStr">
        <is>
          <t>ÖSTHAMMAR</t>
        </is>
      </c>
      <c r="F211" t="inlineStr">
        <is>
          <t>Bergvik skog öst AB</t>
        </is>
      </c>
      <c r="G211" t="n">
        <v>0.2</v>
      </c>
      <c r="H211" t="n">
        <v>0</v>
      </c>
      <c r="I211" t="n">
        <v>0</v>
      </c>
      <c r="J211" t="n">
        <v>0</v>
      </c>
      <c r="K211" t="n">
        <v>0</v>
      </c>
      <c r="L211" t="n">
        <v>0</v>
      </c>
      <c r="M211" t="n">
        <v>0</v>
      </c>
      <c r="N211" t="n">
        <v>0</v>
      </c>
      <c r="O211" t="n">
        <v>0</v>
      </c>
      <c r="P211" t="n">
        <v>0</v>
      </c>
      <c r="Q211" t="n">
        <v>0</v>
      </c>
      <c r="R211" s="2" t="inlineStr"/>
    </row>
    <row r="212" ht="15" customHeight="1">
      <c r="A212" t="inlineStr">
        <is>
          <t>A 3327-2023</t>
        </is>
      </c>
      <c r="B212" s="1" t="n">
        <v>44949.4377662037</v>
      </c>
      <c r="C212" s="1" t="n">
        <v>45972</v>
      </c>
      <c r="D212" t="inlineStr">
        <is>
          <t>UPPSALA LÄN</t>
        </is>
      </c>
      <c r="E212" t="inlineStr">
        <is>
          <t>ÖSTHAMMAR</t>
        </is>
      </c>
      <c r="G212" t="n">
        <v>1.1</v>
      </c>
      <c r="H212" t="n">
        <v>0</v>
      </c>
      <c r="I212" t="n">
        <v>0</v>
      </c>
      <c r="J212" t="n">
        <v>0</v>
      </c>
      <c r="K212" t="n">
        <v>0</v>
      </c>
      <c r="L212" t="n">
        <v>0</v>
      </c>
      <c r="M212" t="n">
        <v>0</v>
      </c>
      <c r="N212" t="n">
        <v>0</v>
      </c>
      <c r="O212" t="n">
        <v>0</v>
      </c>
      <c r="P212" t="n">
        <v>0</v>
      </c>
      <c r="Q212" t="n">
        <v>0</v>
      </c>
      <c r="R212" s="2" t="inlineStr"/>
    </row>
    <row r="213" ht="15" customHeight="1">
      <c r="A213" t="inlineStr">
        <is>
          <t>A 4233-2023</t>
        </is>
      </c>
      <c r="B213" s="1" t="n">
        <v>44953.48619212963</v>
      </c>
      <c r="C213" s="1" t="n">
        <v>45972</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30811-2023</t>
        </is>
      </c>
      <c r="B214" s="1" t="n">
        <v>45112.86422453704</v>
      </c>
      <c r="C214" s="1" t="n">
        <v>45972</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49097-2022</t>
        </is>
      </c>
      <c r="B215" s="1" t="n">
        <v>44860</v>
      </c>
      <c r="C215" s="1" t="n">
        <v>45972</v>
      </c>
      <c r="D215" t="inlineStr">
        <is>
          <t>UPPSALA LÄN</t>
        </is>
      </c>
      <c r="E215" t="inlineStr">
        <is>
          <t>ÖSTHAMMAR</t>
        </is>
      </c>
      <c r="G215" t="n">
        <v>6.9</v>
      </c>
      <c r="H215" t="n">
        <v>0</v>
      </c>
      <c r="I215" t="n">
        <v>0</v>
      </c>
      <c r="J215" t="n">
        <v>0</v>
      </c>
      <c r="K215" t="n">
        <v>0</v>
      </c>
      <c r="L215" t="n">
        <v>0</v>
      </c>
      <c r="M215" t="n">
        <v>0</v>
      </c>
      <c r="N215" t="n">
        <v>0</v>
      </c>
      <c r="O215" t="n">
        <v>0</v>
      </c>
      <c r="P215" t="n">
        <v>0</v>
      </c>
      <c r="Q215" t="n">
        <v>0</v>
      </c>
      <c r="R215" s="2" t="inlineStr"/>
    </row>
    <row r="216" ht="15" customHeight="1">
      <c r="A216" t="inlineStr">
        <is>
          <t>A 12999-2022</t>
        </is>
      </c>
      <c r="B216" s="1" t="n">
        <v>44643.4372337963</v>
      </c>
      <c r="C216" s="1" t="n">
        <v>45972</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54437-2024</t>
        </is>
      </c>
      <c r="B217" s="1" t="n">
        <v>45617</v>
      </c>
      <c r="C217" s="1" t="n">
        <v>45972</v>
      </c>
      <c r="D217" t="inlineStr">
        <is>
          <t>UPPSALA LÄN</t>
        </is>
      </c>
      <c r="E217" t="inlineStr">
        <is>
          <t>ÖSTHAMMAR</t>
        </is>
      </c>
      <c r="G217" t="n">
        <v>2.1</v>
      </c>
      <c r="H217" t="n">
        <v>0</v>
      </c>
      <c r="I217" t="n">
        <v>0</v>
      </c>
      <c r="J217" t="n">
        <v>0</v>
      </c>
      <c r="K217" t="n">
        <v>0</v>
      </c>
      <c r="L217" t="n">
        <v>0</v>
      </c>
      <c r="M217" t="n">
        <v>0</v>
      </c>
      <c r="N217" t="n">
        <v>0</v>
      </c>
      <c r="O217" t="n">
        <v>0</v>
      </c>
      <c r="P217" t="n">
        <v>0</v>
      </c>
      <c r="Q217" t="n">
        <v>0</v>
      </c>
      <c r="R217" s="2" t="inlineStr"/>
    </row>
    <row r="218" ht="15" customHeight="1">
      <c r="A218" t="inlineStr">
        <is>
          <t>A 20326-2021</t>
        </is>
      </c>
      <c r="B218" s="1" t="n">
        <v>44308</v>
      </c>
      <c r="C218" s="1" t="n">
        <v>45972</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8708-2022</t>
        </is>
      </c>
      <c r="B219" s="1" t="n">
        <v>44613.77238425926</v>
      </c>
      <c r="C219" s="1" t="n">
        <v>45972</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11547-2022</t>
        </is>
      </c>
      <c r="B220" s="1" t="n">
        <v>44631.43116898148</v>
      </c>
      <c r="C220" s="1" t="n">
        <v>45972</v>
      </c>
      <c r="D220" t="inlineStr">
        <is>
          <t>UPPSALA LÄN</t>
        </is>
      </c>
      <c r="E220" t="inlineStr">
        <is>
          <t>ÖSTHAMMAR</t>
        </is>
      </c>
      <c r="G220" t="n">
        <v>4.4</v>
      </c>
      <c r="H220" t="n">
        <v>0</v>
      </c>
      <c r="I220" t="n">
        <v>0</v>
      </c>
      <c r="J220" t="n">
        <v>0</v>
      </c>
      <c r="K220" t="n">
        <v>0</v>
      </c>
      <c r="L220" t="n">
        <v>0</v>
      </c>
      <c r="M220" t="n">
        <v>0</v>
      </c>
      <c r="N220" t="n">
        <v>0</v>
      </c>
      <c r="O220" t="n">
        <v>0</v>
      </c>
      <c r="P220" t="n">
        <v>0</v>
      </c>
      <c r="Q220" t="n">
        <v>0</v>
      </c>
      <c r="R220" s="2" t="inlineStr"/>
    </row>
    <row r="221" ht="15" customHeight="1">
      <c r="A221" t="inlineStr">
        <is>
          <t>A 23742-2024</t>
        </is>
      </c>
      <c r="B221" s="1" t="n">
        <v>45455</v>
      </c>
      <c r="C221" s="1" t="n">
        <v>45972</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28421-2023</t>
        </is>
      </c>
      <c r="B222" s="1" t="n">
        <v>45102</v>
      </c>
      <c r="C222" s="1" t="n">
        <v>45972</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29282-2021</t>
        </is>
      </c>
      <c r="B223" s="1" t="n">
        <v>44361</v>
      </c>
      <c r="C223" s="1" t="n">
        <v>45972</v>
      </c>
      <c r="D223" t="inlineStr">
        <is>
          <t>UPPSALA LÄN</t>
        </is>
      </c>
      <c r="E223" t="inlineStr">
        <is>
          <t>ÖSTHAMMAR</t>
        </is>
      </c>
      <c r="G223" t="n">
        <v>2.4</v>
      </c>
      <c r="H223" t="n">
        <v>0</v>
      </c>
      <c r="I223" t="n">
        <v>0</v>
      </c>
      <c r="J223" t="n">
        <v>0</v>
      </c>
      <c r="K223" t="n">
        <v>0</v>
      </c>
      <c r="L223" t="n">
        <v>0</v>
      </c>
      <c r="M223" t="n">
        <v>0</v>
      </c>
      <c r="N223" t="n">
        <v>0</v>
      </c>
      <c r="O223" t="n">
        <v>0</v>
      </c>
      <c r="P223" t="n">
        <v>0</v>
      </c>
      <c r="Q223" t="n">
        <v>0</v>
      </c>
      <c r="R223" s="2" t="inlineStr"/>
    </row>
    <row r="224" ht="15" customHeight="1">
      <c r="A224" t="inlineStr">
        <is>
          <t>A 17867-2024</t>
        </is>
      </c>
      <c r="B224" s="1" t="n">
        <v>45419.44106481481</v>
      </c>
      <c r="C224" s="1" t="n">
        <v>45972</v>
      </c>
      <c r="D224" t="inlineStr">
        <is>
          <t>UPPSALA LÄN</t>
        </is>
      </c>
      <c r="E224" t="inlineStr">
        <is>
          <t>ÖSTHAMMAR</t>
        </is>
      </c>
      <c r="G224" t="n">
        <v>7.2</v>
      </c>
      <c r="H224" t="n">
        <v>0</v>
      </c>
      <c r="I224" t="n">
        <v>0</v>
      </c>
      <c r="J224" t="n">
        <v>0</v>
      </c>
      <c r="K224" t="n">
        <v>0</v>
      </c>
      <c r="L224" t="n">
        <v>0</v>
      </c>
      <c r="M224" t="n">
        <v>0</v>
      </c>
      <c r="N224" t="n">
        <v>0</v>
      </c>
      <c r="O224" t="n">
        <v>0</v>
      </c>
      <c r="P224" t="n">
        <v>0</v>
      </c>
      <c r="Q224" t="n">
        <v>0</v>
      </c>
      <c r="R224" s="2" t="inlineStr"/>
    </row>
    <row r="225" ht="15" customHeight="1">
      <c r="A225" t="inlineStr">
        <is>
          <t>A 25269-2024</t>
        </is>
      </c>
      <c r="B225" s="1" t="n">
        <v>45462</v>
      </c>
      <c r="C225" s="1" t="n">
        <v>45972</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6039-2025</t>
        </is>
      </c>
      <c r="B226" s="1" t="n">
        <v>45695</v>
      </c>
      <c r="C226" s="1" t="n">
        <v>45972</v>
      </c>
      <c r="D226" t="inlineStr">
        <is>
          <t>UPPSALA LÄN</t>
        </is>
      </c>
      <c r="E226" t="inlineStr">
        <is>
          <t>ÖSTHAMMAR</t>
        </is>
      </c>
      <c r="G226" t="n">
        <v>2.3</v>
      </c>
      <c r="H226" t="n">
        <v>0</v>
      </c>
      <c r="I226" t="n">
        <v>0</v>
      </c>
      <c r="J226" t="n">
        <v>0</v>
      </c>
      <c r="K226" t="n">
        <v>0</v>
      </c>
      <c r="L226" t="n">
        <v>0</v>
      </c>
      <c r="M226" t="n">
        <v>0</v>
      </c>
      <c r="N226" t="n">
        <v>0</v>
      </c>
      <c r="O226" t="n">
        <v>0</v>
      </c>
      <c r="P226" t="n">
        <v>0</v>
      </c>
      <c r="Q226" t="n">
        <v>0</v>
      </c>
      <c r="R226" s="2" t="inlineStr"/>
    </row>
    <row r="227" ht="15" customHeight="1">
      <c r="A227" t="inlineStr">
        <is>
          <t>A 59382-2022</t>
        </is>
      </c>
      <c r="B227" s="1" t="n">
        <v>44905.50363425926</v>
      </c>
      <c r="C227" s="1" t="n">
        <v>45972</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25969-2023</t>
        </is>
      </c>
      <c r="B228" s="1" t="n">
        <v>45090</v>
      </c>
      <c r="C228" s="1" t="n">
        <v>45972</v>
      </c>
      <c r="D228" t="inlineStr">
        <is>
          <t>UPPSALA LÄN</t>
        </is>
      </c>
      <c r="E228" t="inlineStr">
        <is>
          <t>ÖSTHAMMAR</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8769-2025</t>
        </is>
      </c>
      <c r="B229" s="1" t="n">
        <v>45712.59412037037</v>
      </c>
      <c r="C229" s="1" t="n">
        <v>45972</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56903-2023</t>
        </is>
      </c>
      <c r="B230" s="1" t="n">
        <v>45244.56943287037</v>
      </c>
      <c r="C230" s="1" t="n">
        <v>45972</v>
      </c>
      <c r="D230" t="inlineStr">
        <is>
          <t>UPPSALA LÄN</t>
        </is>
      </c>
      <c r="E230" t="inlineStr">
        <is>
          <t>ÖSTHAMMAR</t>
        </is>
      </c>
      <c r="G230" t="n">
        <v>3.1</v>
      </c>
      <c r="H230" t="n">
        <v>0</v>
      </c>
      <c r="I230" t="n">
        <v>0</v>
      </c>
      <c r="J230" t="n">
        <v>0</v>
      </c>
      <c r="K230" t="n">
        <v>0</v>
      </c>
      <c r="L230" t="n">
        <v>0</v>
      </c>
      <c r="M230" t="n">
        <v>0</v>
      </c>
      <c r="N230" t="n">
        <v>0</v>
      </c>
      <c r="O230" t="n">
        <v>0</v>
      </c>
      <c r="P230" t="n">
        <v>0</v>
      </c>
      <c r="Q230" t="n">
        <v>0</v>
      </c>
      <c r="R230" s="2" t="inlineStr"/>
    </row>
    <row r="231" ht="15" customHeight="1">
      <c r="A231" t="inlineStr">
        <is>
          <t>A 67151-2021</t>
        </is>
      </c>
      <c r="B231" s="1" t="n">
        <v>44523</v>
      </c>
      <c r="C231" s="1" t="n">
        <v>45972</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45972</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20326-2021</t>
        </is>
      </c>
      <c r="B233" s="1" t="n">
        <v>44308</v>
      </c>
      <c r="C233" s="1" t="n">
        <v>45972</v>
      </c>
      <c r="D233" t="inlineStr">
        <is>
          <t>UPPSALA LÄN</t>
        </is>
      </c>
      <c r="E233" t="inlineStr">
        <is>
          <t>ÖSTHAMMAR</t>
        </is>
      </c>
      <c r="G233" t="n">
        <v>7</v>
      </c>
      <c r="H233" t="n">
        <v>0</v>
      </c>
      <c r="I233" t="n">
        <v>0</v>
      </c>
      <c r="J233" t="n">
        <v>0</v>
      </c>
      <c r="K233" t="n">
        <v>0</v>
      </c>
      <c r="L233" t="n">
        <v>0</v>
      </c>
      <c r="M233" t="n">
        <v>0</v>
      </c>
      <c r="N233" t="n">
        <v>0</v>
      </c>
      <c r="O233" t="n">
        <v>0</v>
      </c>
      <c r="P233" t="n">
        <v>0</v>
      </c>
      <c r="Q233" t="n">
        <v>0</v>
      </c>
      <c r="R233" s="2" t="inlineStr"/>
    </row>
    <row r="234" ht="15" customHeight="1">
      <c r="A234" t="inlineStr">
        <is>
          <t>A 55086-2024</t>
        </is>
      </c>
      <c r="B234" s="1" t="n">
        <v>45621.43098379629</v>
      </c>
      <c r="C234" s="1" t="n">
        <v>45972</v>
      </c>
      <c r="D234" t="inlineStr">
        <is>
          <t>UPPSALA LÄN</t>
        </is>
      </c>
      <c r="E234" t="inlineStr">
        <is>
          <t>ÖSTHAMMAR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55090-2024</t>
        </is>
      </c>
      <c r="B235" s="1" t="n">
        <v>45621.4350462963</v>
      </c>
      <c r="C235" s="1" t="n">
        <v>45972</v>
      </c>
      <c r="D235" t="inlineStr">
        <is>
          <t>UPPSALA LÄN</t>
        </is>
      </c>
      <c r="E235" t="inlineStr">
        <is>
          <t>ÖSTHAMMAR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55093-2024</t>
        </is>
      </c>
      <c r="B236" s="1" t="n">
        <v>45621.43712962963</v>
      </c>
      <c r="C236" s="1" t="n">
        <v>45972</v>
      </c>
      <c r="D236" t="inlineStr">
        <is>
          <t>UPPSALA LÄN</t>
        </is>
      </c>
      <c r="E236" t="inlineStr">
        <is>
          <t>ÖSTHAMMAR</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12756-2024</t>
        </is>
      </c>
      <c r="B237" s="1" t="n">
        <v>45384</v>
      </c>
      <c r="C237" s="1" t="n">
        <v>45972</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64586-2021</t>
        </is>
      </c>
      <c r="B238" s="1" t="n">
        <v>44511</v>
      </c>
      <c r="C238" s="1" t="n">
        <v>45972</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28432-2023</t>
        </is>
      </c>
      <c r="B239" s="1" t="n">
        <v>45102.59896990741</v>
      </c>
      <c r="C239" s="1" t="n">
        <v>45972</v>
      </c>
      <c r="D239" t="inlineStr">
        <is>
          <t>UPPSALA LÄN</t>
        </is>
      </c>
      <c r="E239" t="inlineStr">
        <is>
          <t>ÖSTHAMMAR</t>
        </is>
      </c>
      <c r="F239" t="inlineStr">
        <is>
          <t>Bergvik skog öst AB</t>
        </is>
      </c>
      <c r="G239" t="n">
        <v>3.9</v>
      </c>
      <c r="H239" t="n">
        <v>0</v>
      </c>
      <c r="I239" t="n">
        <v>0</v>
      </c>
      <c r="J239" t="n">
        <v>0</v>
      </c>
      <c r="K239" t="n">
        <v>0</v>
      </c>
      <c r="L239" t="n">
        <v>0</v>
      </c>
      <c r="M239" t="n">
        <v>0</v>
      </c>
      <c r="N239" t="n">
        <v>0</v>
      </c>
      <c r="O239" t="n">
        <v>0</v>
      </c>
      <c r="P239" t="n">
        <v>0</v>
      </c>
      <c r="Q239" t="n">
        <v>0</v>
      </c>
      <c r="R239" s="2" t="inlineStr"/>
    </row>
    <row r="240" ht="15" customHeight="1">
      <c r="A240" t="inlineStr">
        <is>
          <t>A 43915-2023</t>
        </is>
      </c>
      <c r="B240" s="1" t="n">
        <v>45187.71274305556</v>
      </c>
      <c r="C240" s="1" t="n">
        <v>45972</v>
      </c>
      <c r="D240" t="inlineStr">
        <is>
          <t>UPPSALA LÄN</t>
        </is>
      </c>
      <c r="E240" t="inlineStr">
        <is>
          <t>ÖSTHAMMAR</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17009-2021</t>
        </is>
      </c>
      <c r="B241" s="1" t="n">
        <v>44295.63969907408</v>
      </c>
      <c r="C241" s="1" t="n">
        <v>45972</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13352-2023</t>
        </is>
      </c>
      <c r="B242" s="1" t="n">
        <v>45005</v>
      </c>
      <c r="C242" s="1" t="n">
        <v>45972</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13755-2023</t>
        </is>
      </c>
      <c r="B243" s="1" t="n">
        <v>45007</v>
      </c>
      <c r="C243" s="1" t="n">
        <v>45972</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36343-2022</t>
        </is>
      </c>
      <c r="B244" s="1" t="n">
        <v>44803.78524305556</v>
      </c>
      <c r="C244" s="1" t="n">
        <v>45972</v>
      </c>
      <c r="D244" t="inlineStr">
        <is>
          <t>UPPSALA LÄN</t>
        </is>
      </c>
      <c r="E244" t="inlineStr">
        <is>
          <t>ÖSTHAMMAR</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357-2025</t>
        </is>
      </c>
      <c r="B245" s="1" t="n">
        <v>45659</v>
      </c>
      <c r="C245" s="1" t="n">
        <v>45972</v>
      </c>
      <c r="D245" t="inlineStr">
        <is>
          <t>UPPSALA LÄN</t>
        </is>
      </c>
      <c r="E245" t="inlineStr">
        <is>
          <t>ÖSTHAMMAR</t>
        </is>
      </c>
      <c r="G245" t="n">
        <v>15.8</v>
      </c>
      <c r="H245" t="n">
        <v>0</v>
      </c>
      <c r="I245" t="n">
        <v>0</v>
      </c>
      <c r="J245" t="n">
        <v>0</v>
      </c>
      <c r="K245" t="n">
        <v>0</v>
      </c>
      <c r="L245" t="n">
        <v>0</v>
      </c>
      <c r="M245" t="n">
        <v>0</v>
      </c>
      <c r="N245" t="n">
        <v>0</v>
      </c>
      <c r="O245" t="n">
        <v>0</v>
      </c>
      <c r="P245" t="n">
        <v>0</v>
      </c>
      <c r="Q245" t="n">
        <v>0</v>
      </c>
      <c r="R245" s="2" t="inlineStr"/>
    </row>
    <row r="246" ht="15" customHeight="1">
      <c r="A246" t="inlineStr">
        <is>
          <t>A 68828-2020</t>
        </is>
      </c>
      <c r="B246" s="1" t="n">
        <v>44186</v>
      </c>
      <c r="C246" s="1" t="n">
        <v>45972</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18731-2022</t>
        </is>
      </c>
      <c r="B247" s="1" t="n">
        <v>44687.78673611111</v>
      </c>
      <c r="C247" s="1" t="n">
        <v>45972</v>
      </c>
      <c r="D247" t="inlineStr">
        <is>
          <t>UPPSALA LÄN</t>
        </is>
      </c>
      <c r="E247" t="inlineStr">
        <is>
          <t>ÖSTHAMMAR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64774-2023</t>
        </is>
      </c>
      <c r="B248" s="1" t="n">
        <v>45282</v>
      </c>
      <c r="C248" s="1" t="n">
        <v>45972</v>
      </c>
      <c r="D248" t="inlineStr">
        <is>
          <t>UPPSALA LÄN</t>
        </is>
      </c>
      <c r="E248" t="inlineStr">
        <is>
          <t>ÖSTHAMMAR</t>
        </is>
      </c>
      <c r="F248" t="inlineStr">
        <is>
          <t>Övriga Aktiebolag</t>
        </is>
      </c>
      <c r="G248" t="n">
        <v>3.7</v>
      </c>
      <c r="H248" t="n">
        <v>0</v>
      </c>
      <c r="I248" t="n">
        <v>0</v>
      </c>
      <c r="J248" t="n">
        <v>0</v>
      </c>
      <c r="K248" t="n">
        <v>0</v>
      </c>
      <c r="L248" t="n">
        <v>0</v>
      </c>
      <c r="M248" t="n">
        <v>0</v>
      </c>
      <c r="N248" t="n">
        <v>0</v>
      </c>
      <c r="O248" t="n">
        <v>0</v>
      </c>
      <c r="P248" t="n">
        <v>0</v>
      </c>
      <c r="Q248" t="n">
        <v>0</v>
      </c>
      <c r="R248" s="2" t="inlineStr"/>
    </row>
    <row r="249" ht="15" customHeight="1">
      <c r="A249" t="inlineStr">
        <is>
          <t>A 23495-2023</t>
        </is>
      </c>
      <c r="B249" s="1" t="n">
        <v>45076.71652777777</v>
      </c>
      <c r="C249" s="1" t="n">
        <v>45972</v>
      </c>
      <c r="D249" t="inlineStr">
        <is>
          <t>UPPSALA LÄN</t>
        </is>
      </c>
      <c r="E249" t="inlineStr">
        <is>
          <t>ÖSTHAMMAR</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65020-2021</t>
        </is>
      </c>
      <c r="B250" s="1" t="n">
        <v>44515</v>
      </c>
      <c r="C250" s="1" t="n">
        <v>45972</v>
      </c>
      <c r="D250" t="inlineStr">
        <is>
          <t>UPPSALA LÄN</t>
        </is>
      </c>
      <c r="E250" t="inlineStr">
        <is>
          <t>ÖSTHAMMAR</t>
        </is>
      </c>
      <c r="F250" t="inlineStr">
        <is>
          <t>Sveaskog</t>
        </is>
      </c>
      <c r="G250" t="n">
        <v>4.7</v>
      </c>
      <c r="H250" t="n">
        <v>0</v>
      </c>
      <c r="I250" t="n">
        <v>0</v>
      </c>
      <c r="J250" t="n">
        <v>0</v>
      </c>
      <c r="K250" t="n">
        <v>0</v>
      </c>
      <c r="L250" t="n">
        <v>0</v>
      </c>
      <c r="M250" t="n">
        <v>0</v>
      </c>
      <c r="N250" t="n">
        <v>0</v>
      </c>
      <c r="O250" t="n">
        <v>0</v>
      </c>
      <c r="P250" t="n">
        <v>0</v>
      </c>
      <c r="Q250" t="n">
        <v>0</v>
      </c>
      <c r="R250" s="2" t="inlineStr"/>
    </row>
    <row r="251" ht="15" customHeight="1">
      <c r="A251" t="inlineStr">
        <is>
          <t>A 1063-2025</t>
        </is>
      </c>
      <c r="B251" s="1" t="n">
        <v>45666</v>
      </c>
      <c r="C251" s="1" t="n">
        <v>45972</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57-2023</t>
        </is>
      </c>
      <c r="B252" s="1" t="n">
        <v>44928.40917824074</v>
      </c>
      <c r="C252" s="1" t="n">
        <v>45972</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59-2023</t>
        </is>
      </c>
      <c r="B253" s="1" t="n">
        <v>44928.41822916667</v>
      </c>
      <c r="C253" s="1" t="n">
        <v>45972</v>
      </c>
      <c r="D253" t="inlineStr">
        <is>
          <t>UPPSALA LÄN</t>
        </is>
      </c>
      <c r="E253" t="inlineStr">
        <is>
          <t>ÖSTHAMMAR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10495-2025</t>
        </is>
      </c>
      <c r="B254" s="1" t="n">
        <v>45721</v>
      </c>
      <c r="C254" s="1" t="n">
        <v>45972</v>
      </c>
      <c r="D254" t="inlineStr">
        <is>
          <t>UPPSALA LÄN</t>
        </is>
      </c>
      <c r="E254" t="inlineStr">
        <is>
          <t>ÖSTHAMMAR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19947-2024</t>
        </is>
      </c>
      <c r="B255" s="1" t="n">
        <v>45433</v>
      </c>
      <c r="C255" s="1" t="n">
        <v>45972</v>
      </c>
      <c r="D255" t="inlineStr">
        <is>
          <t>UPPSALA LÄN</t>
        </is>
      </c>
      <c r="E255" t="inlineStr">
        <is>
          <t>ÖSTHAMMAR</t>
        </is>
      </c>
      <c r="G255" t="n">
        <v>0.3</v>
      </c>
      <c r="H255" t="n">
        <v>0</v>
      </c>
      <c r="I255" t="n">
        <v>0</v>
      </c>
      <c r="J255" t="n">
        <v>0</v>
      </c>
      <c r="K255" t="n">
        <v>0</v>
      </c>
      <c r="L255" t="n">
        <v>0</v>
      </c>
      <c r="M255" t="n">
        <v>0</v>
      </c>
      <c r="N255" t="n">
        <v>0</v>
      </c>
      <c r="O255" t="n">
        <v>0</v>
      </c>
      <c r="P255" t="n">
        <v>0</v>
      </c>
      <c r="Q255" t="n">
        <v>0</v>
      </c>
      <c r="R255" s="2" t="inlineStr"/>
    </row>
    <row r="256" ht="15" customHeight="1">
      <c r="A256" t="inlineStr">
        <is>
          <t>A 11385-2024</t>
        </is>
      </c>
      <c r="B256" s="1" t="n">
        <v>45372</v>
      </c>
      <c r="C256" s="1" t="n">
        <v>45972</v>
      </c>
      <c r="D256" t="inlineStr">
        <is>
          <t>UPPSALA LÄN</t>
        </is>
      </c>
      <c r="E256" t="inlineStr">
        <is>
          <t>ÖSTHAMMAR</t>
        </is>
      </c>
      <c r="G256" t="n">
        <v>1.1</v>
      </c>
      <c r="H256" t="n">
        <v>0</v>
      </c>
      <c r="I256" t="n">
        <v>0</v>
      </c>
      <c r="J256" t="n">
        <v>0</v>
      </c>
      <c r="K256" t="n">
        <v>0</v>
      </c>
      <c r="L256" t="n">
        <v>0</v>
      </c>
      <c r="M256" t="n">
        <v>0</v>
      </c>
      <c r="N256" t="n">
        <v>0</v>
      </c>
      <c r="O256" t="n">
        <v>0</v>
      </c>
      <c r="P256" t="n">
        <v>0</v>
      </c>
      <c r="Q256" t="n">
        <v>0</v>
      </c>
      <c r="R256" s="2" t="inlineStr"/>
    </row>
    <row r="257" ht="15" customHeight="1">
      <c r="A257" t="inlineStr">
        <is>
          <t>A 14433-2024</t>
        </is>
      </c>
      <c r="B257" s="1" t="n">
        <v>45394.46115740741</v>
      </c>
      <c r="C257" s="1" t="n">
        <v>45972</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4356-2025</t>
        </is>
      </c>
      <c r="B258" s="1" t="n">
        <v>45686</v>
      </c>
      <c r="C258" s="1" t="n">
        <v>45972</v>
      </c>
      <c r="D258" t="inlineStr">
        <is>
          <t>UPPSALA LÄN</t>
        </is>
      </c>
      <c r="E258" t="inlineStr">
        <is>
          <t>ÖSTHAMMAR</t>
        </is>
      </c>
      <c r="F258" t="inlineStr">
        <is>
          <t>Övriga Aktiebolag</t>
        </is>
      </c>
      <c r="G258" t="n">
        <v>24.6</v>
      </c>
      <c r="H258" t="n">
        <v>0</v>
      </c>
      <c r="I258" t="n">
        <v>0</v>
      </c>
      <c r="J258" t="n">
        <v>0</v>
      </c>
      <c r="K258" t="n">
        <v>0</v>
      </c>
      <c r="L258" t="n">
        <v>0</v>
      </c>
      <c r="M258" t="n">
        <v>0</v>
      </c>
      <c r="N258" t="n">
        <v>0</v>
      </c>
      <c r="O258" t="n">
        <v>0</v>
      </c>
      <c r="P258" t="n">
        <v>0</v>
      </c>
      <c r="Q258" t="n">
        <v>0</v>
      </c>
      <c r="R258" s="2" t="inlineStr"/>
    </row>
    <row r="259" ht="15" customHeight="1">
      <c r="A259" t="inlineStr">
        <is>
          <t>A 25252-2024</t>
        </is>
      </c>
      <c r="B259" s="1" t="n">
        <v>45462</v>
      </c>
      <c r="C259" s="1" t="n">
        <v>45972</v>
      </c>
      <c r="D259" t="inlineStr">
        <is>
          <t>UPPSALA LÄN</t>
        </is>
      </c>
      <c r="E259" t="inlineStr">
        <is>
          <t>ÖSTHAMMAR</t>
        </is>
      </c>
      <c r="G259" t="n">
        <v>4.3</v>
      </c>
      <c r="H259" t="n">
        <v>0</v>
      </c>
      <c r="I259" t="n">
        <v>0</v>
      </c>
      <c r="J259" t="n">
        <v>0</v>
      </c>
      <c r="K259" t="n">
        <v>0</v>
      </c>
      <c r="L259" t="n">
        <v>0</v>
      </c>
      <c r="M259" t="n">
        <v>0</v>
      </c>
      <c r="N259" t="n">
        <v>0</v>
      </c>
      <c r="O259" t="n">
        <v>0</v>
      </c>
      <c r="P259" t="n">
        <v>0</v>
      </c>
      <c r="Q259" t="n">
        <v>0</v>
      </c>
      <c r="R259" s="2" t="inlineStr"/>
    </row>
    <row r="260" ht="15" customHeight="1">
      <c r="A260" t="inlineStr">
        <is>
          <t>A 56382-2022</t>
        </is>
      </c>
      <c r="B260" s="1" t="n">
        <v>44890.75795138889</v>
      </c>
      <c r="C260" s="1" t="n">
        <v>45972</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17085-2025</t>
        </is>
      </c>
      <c r="B261" s="1" t="n">
        <v>45755.64612268518</v>
      </c>
      <c r="C261" s="1" t="n">
        <v>45972</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2085-2022</t>
        </is>
      </c>
      <c r="B262" s="1" t="n">
        <v>44576.78626157407</v>
      </c>
      <c r="C262" s="1" t="n">
        <v>45972</v>
      </c>
      <c r="D262" t="inlineStr">
        <is>
          <t>UPPSALA LÄN</t>
        </is>
      </c>
      <c r="E262" t="inlineStr">
        <is>
          <t>ÖSTHAMMAR</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5877-2023</t>
        </is>
      </c>
      <c r="B263" s="1" t="n">
        <v>44963.62001157407</v>
      </c>
      <c r="C263" s="1" t="n">
        <v>45972</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14671-2022</t>
        </is>
      </c>
      <c r="B264" s="1" t="n">
        <v>44655.80475694445</v>
      </c>
      <c r="C264" s="1" t="n">
        <v>45972</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25938-2024</t>
        </is>
      </c>
      <c r="B265" s="1" t="n">
        <v>45467.63127314814</v>
      </c>
      <c r="C265" s="1" t="n">
        <v>45972</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33552-2024</t>
        </is>
      </c>
      <c r="B266" s="1" t="n">
        <v>45519</v>
      </c>
      <c r="C266" s="1" t="n">
        <v>45972</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33553-2024</t>
        </is>
      </c>
      <c r="B267" s="1" t="n">
        <v>45519</v>
      </c>
      <c r="C267" s="1" t="n">
        <v>45972</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12215-2023</t>
        </is>
      </c>
      <c r="B268" s="1" t="n">
        <v>44998</v>
      </c>
      <c r="C268" s="1" t="n">
        <v>45972</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46826-2025</t>
        </is>
      </c>
      <c r="B269" s="1" t="n">
        <v>45927.00606481481</v>
      </c>
      <c r="C269" s="1" t="n">
        <v>45972</v>
      </c>
      <c r="D269" t="inlineStr">
        <is>
          <t>UPPSALA LÄN</t>
        </is>
      </c>
      <c r="E269" t="inlineStr">
        <is>
          <t>ÖSTHAMMAR</t>
        </is>
      </c>
      <c r="G269" t="n">
        <v>9</v>
      </c>
      <c r="H269" t="n">
        <v>0</v>
      </c>
      <c r="I269" t="n">
        <v>0</v>
      </c>
      <c r="J269" t="n">
        <v>0</v>
      </c>
      <c r="K269" t="n">
        <v>0</v>
      </c>
      <c r="L269" t="n">
        <v>0</v>
      </c>
      <c r="M269" t="n">
        <v>0</v>
      </c>
      <c r="N269" t="n">
        <v>0</v>
      </c>
      <c r="O269" t="n">
        <v>0</v>
      </c>
      <c r="P269" t="n">
        <v>0</v>
      </c>
      <c r="Q269" t="n">
        <v>0</v>
      </c>
      <c r="R269" s="2" t="inlineStr"/>
    </row>
    <row r="270" ht="15" customHeight="1">
      <c r="A270" t="inlineStr">
        <is>
          <t>A 41996-2024</t>
        </is>
      </c>
      <c r="B270" s="1" t="n">
        <v>45561</v>
      </c>
      <c r="C270" s="1" t="n">
        <v>45972</v>
      </c>
      <c r="D270" t="inlineStr">
        <is>
          <t>UPPSALA LÄN</t>
        </is>
      </c>
      <c r="E270" t="inlineStr">
        <is>
          <t>ÖSTHAMMAR</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15449-2022</t>
        </is>
      </c>
      <c r="B271" s="1" t="n">
        <v>44660.91659722223</v>
      </c>
      <c r="C271" s="1" t="n">
        <v>45972</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1439-2025</t>
        </is>
      </c>
      <c r="B272" s="1" t="n">
        <v>45669.69075231482</v>
      </c>
      <c r="C272" s="1" t="n">
        <v>45972</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5884-2023</t>
        </is>
      </c>
      <c r="B273" s="1" t="n">
        <v>44963</v>
      </c>
      <c r="C273" s="1" t="n">
        <v>45972</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5215-2025</t>
        </is>
      </c>
      <c r="B274" s="1" t="n">
        <v>45691</v>
      </c>
      <c r="C274" s="1" t="n">
        <v>45972</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5429-2023</t>
        </is>
      </c>
      <c r="B275" s="1" t="n">
        <v>44959.83037037037</v>
      </c>
      <c r="C275" s="1" t="n">
        <v>45972</v>
      </c>
      <c r="D275" t="inlineStr">
        <is>
          <t>UPPSALA LÄN</t>
        </is>
      </c>
      <c r="E275" t="inlineStr">
        <is>
          <t>ÖSTHAMMAR</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65028-2021</t>
        </is>
      </c>
      <c r="B276" s="1" t="n">
        <v>44515</v>
      </c>
      <c r="C276" s="1" t="n">
        <v>45972</v>
      </c>
      <c r="D276" t="inlineStr">
        <is>
          <t>UPPSALA LÄN</t>
        </is>
      </c>
      <c r="E276" t="inlineStr">
        <is>
          <t>ÖSTHAMMAR</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1525-2025</t>
        </is>
      </c>
      <c r="B277" s="1" t="n">
        <v>45670.47300925926</v>
      </c>
      <c r="C277" s="1" t="n">
        <v>45972</v>
      </c>
      <c r="D277" t="inlineStr">
        <is>
          <t>UPPSALA LÄN</t>
        </is>
      </c>
      <c r="E277" t="inlineStr">
        <is>
          <t>ÖSTHAMMAR</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32244-2021</t>
        </is>
      </c>
      <c r="B278" s="1" t="n">
        <v>44371.45335648148</v>
      </c>
      <c r="C278" s="1" t="n">
        <v>45972</v>
      </c>
      <c r="D278" t="inlineStr">
        <is>
          <t>UPPSALA LÄN</t>
        </is>
      </c>
      <c r="E278" t="inlineStr">
        <is>
          <t>ÖSTHAMMAR</t>
        </is>
      </c>
      <c r="F278" t="inlineStr">
        <is>
          <t>Bergvik skog öst AB</t>
        </is>
      </c>
      <c r="G278" t="n">
        <v>2.6</v>
      </c>
      <c r="H278" t="n">
        <v>0</v>
      </c>
      <c r="I278" t="n">
        <v>0</v>
      </c>
      <c r="J278" t="n">
        <v>0</v>
      </c>
      <c r="K278" t="n">
        <v>0</v>
      </c>
      <c r="L278" t="n">
        <v>0</v>
      </c>
      <c r="M278" t="n">
        <v>0</v>
      </c>
      <c r="N278" t="n">
        <v>0</v>
      </c>
      <c r="O278" t="n">
        <v>0</v>
      </c>
      <c r="P278" t="n">
        <v>0</v>
      </c>
      <c r="Q278" t="n">
        <v>0</v>
      </c>
      <c r="R278" s="2" t="inlineStr"/>
    </row>
    <row r="279" ht="15" customHeight="1">
      <c r="A279" t="inlineStr">
        <is>
          <t>A 33056-2021</t>
        </is>
      </c>
      <c r="B279" s="1" t="n">
        <v>44376.52438657408</v>
      </c>
      <c r="C279" s="1" t="n">
        <v>45972</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59731-2023</t>
        </is>
      </c>
      <c r="B280" s="1" t="n">
        <v>45257</v>
      </c>
      <c r="C280" s="1" t="n">
        <v>45972</v>
      </c>
      <c r="D280" t="inlineStr">
        <is>
          <t>UPPSALA LÄN</t>
        </is>
      </c>
      <c r="E280" t="inlineStr">
        <is>
          <t>ÖSTHAMMAR</t>
        </is>
      </c>
      <c r="G280" t="n">
        <v>0.7</v>
      </c>
      <c r="H280" t="n">
        <v>0</v>
      </c>
      <c r="I280" t="n">
        <v>0</v>
      </c>
      <c r="J280" t="n">
        <v>0</v>
      </c>
      <c r="K280" t="n">
        <v>0</v>
      </c>
      <c r="L280" t="n">
        <v>0</v>
      </c>
      <c r="M280" t="n">
        <v>0</v>
      </c>
      <c r="N280" t="n">
        <v>0</v>
      </c>
      <c r="O280" t="n">
        <v>0</v>
      </c>
      <c r="P280" t="n">
        <v>0</v>
      </c>
      <c r="Q280" t="n">
        <v>0</v>
      </c>
      <c r="R280" s="2" t="inlineStr"/>
    </row>
    <row r="281" ht="15" customHeight="1">
      <c r="A281" t="inlineStr">
        <is>
          <t>A 61257-2022</t>
        </is>
      </c>
      <c r="B281" s="1" t="n">
        <v>44915.59418981482</v>
      </c>
      <c r="C281" s="1" t="n">
        <v>45972</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34607-2023</t>
        </is>
      </c>
      <c r="B282" s="1" t="n">
        <v>45138</v>
      </c>
      <c r="C282" s="1" t="n">
        <v>45972</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36857-2023</t>
        </is>
      </c>
      <c r="B283" s="1" t="n">
        <v>45154.55175925926</v>
      </c>
      <c r="C283" s="1" t="n">
        <v>45972</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6206-2022</t>
        </is>
      </c>
      <c r="B284" s="1" t="n">
        <v>44600.35755787037</v>
      </c>
      <c r="C284" s="1" t="n">
        <v>45972</v>
      </c>
      <c r="D284" t="inlineStr">
        <is>
          <t>UPPSALA LÄN</t>
        </is>
      </c>
      <c r="E284" t="inlineStr">
        <is>
          <t>ÖSTHAMMAR</t>
        </is>
      </c>
      <c r="G284" t="n">
        <v>7.4</v>
      </c>
      <c r="H284" t="n">
        <v>0</v>
      </c>
      <c r="I284" t="n">
        <v>0</v>
      </c>
      <c r="J284" t="n">
        <v>0</v>
      </c>
      <c r="K284" t="n">
        <v>0</v>
      </c>
      <c r="L284" t="n">
        <v>0</v>
      </c>
      <c r="M284" t="n">
        <v>0</v>
      </c>
      <c r="N284" t="n">
        <v>0</v>
      </c>
      <c r="O284" t="n">
        <v>0</v>
      </c>
      <c r="P284" t="n">
        <v>0</v>
      </c>
      <c r="Q284" t="n">
        <v>0</v>
      </c>
      <c r="R284" s="2" t="inlineStr"/>
    </row>
    <row r="285" ht="15" customHeight="1">
      <c r="A285" t="inlineStr">
        <is>
          <t>A 54666-2022</t>
        </is>
      </c>
      <c r="B285" s="1" t="n">
        <v>44883</v>
      </c>
      <c r="C285" s="1" t="n">
        <v>45972</v>
      </c>
      <c r="D285" t="inlineStr">
        <is>
          <t>UPPSALA LÄN</t>
        </is>
      </c>
      <c r="E285" t="inlineStr">
        <is>
          <t>ÖSTHAMMAR</t>
        </is>
      </c>
      <c r="G285" t="n">
        <v>14.3</v>
      </c>
      <c r="H285" t="n">
        <v>0</v>
      </c>
      <c r="I285" t="n">
        <v>0</v>
      </c>
      <c r="J285" t="n">
        <v>0</v>
      </c>
      <c r="K285" t="n">
        <v>0</v>
      </c>
      <c r="L285" t="n">
        <v>0</v>
      </c>
      <c r="M285" t="n">
        <v>0</v>
      </c>
      <c r="N285" t="n">
        <v>0</v>
      </c>
      <c r="O285" t="n">
        <v>0</v>
      </c>
      <c r="P285" t="n">
        <v>0</v>
      </c>
      <c r="Q285" t="n">
        <v>0</v>
      </c>
      <c r="R285" s="2" t="inlineStr"/>
    </row>
    <row r="286" ht="15" customHeight="1">
      <c r="A286" t="inlineStr">
        <is>
          <t>A 6143-2022</t>
        </is>
      </c>
      <c r="B286" s="1" t="n">
        <v>44599.72306712963</v>
      </c>
      <c r="C286" s="1" t="n">
        <v>45972</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3514-2023</t>
        </is>
      </c>
      <c r="B287" s="1" t="n">
        <v>44950</v>
      </c>
      <c r="C287" s="1" t="n">
        <v>45972</v>
      </c>
      <c r="D287" t="inlineStr">
        <is>
          <t>UPPSALA LÄN</t>
        </is>
      </c>
      <c r="E287" t="inlineStr">
        <is>
          <t>ÖSTHAMMAR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4292-2025</t>
        </is>
      </c>
      <c r="B288" s="1" t="n">
        <v>45685.66459490741</v>
      </c>
      <c r="C288" s="1" t="n">
        <v>45972</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8592-2022</t>
        </is>
      </c>
      <c r="B289" s="1" t="n">
        <v>44613</v>
      </c>
      <c r="C289" s="1" t="n">
        <v>45972</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52659-2021</t>
        </is>
      </c>
      <c r="B290" s="1" t="n">
        <v>44466</v>
      </c>
      <c r="C290" s="1" t="n">
        <v>45972</v>
      </c>
      <c r="D290" t="inlineStr">
        <is>
          <t>UPPSALA LÄN</t>
        </is>
      </c>
      <c r="E290" t="inlineStr">
        <is>
          <t>ÖSTHAMMAR</t>
        </is>
      </c>
      <c r="G290" t="n">
        <v>13</v>
      </c>
      <c r="H290" t="n">
        <v>0</v>
      </c>
      <c r="I290" t="n">
        <v>0</v>
      </c>
      <c r="J290" t="n">
        <v>0</v>
      </c>
      <c r="K290" t="n">
        <v>0</v>
      </c>
      <c r="L290" t="n">
        <v>0</v>
      </c>
      <c r="M290" t="n">
        <v>0</v>
      </c>
      <c r="N290" t="n">
        <v>0</v>
      </c>
      <c r="O290" t="n">
        <v>0</v>
      </c>
      <c r="P290" t="n">
        <v>0</v>
      </c>
      <c r="Q290" t="n">
        <v>0</v>
      </c>
      <c r="R290" s="2" t="inlineStr"/>
    </row>
    <row r="291" ht="15" customHeight="1">
      <c r="A291" t="inlineStr">
        <is>
          <t>A 45561-2023</t>
        </is>
      </c>
      <c r="B291" s="1" t="n">
        <v>45194.59335648148</v>
      </c>
      <c r="C291" s="1" t="n">
        <v>45972</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56969-2022</t>
        </is>
      </c>
      <c r="B292" s="1" t="n">
        <v>44894.68043981482</v>
      </c>
      <c r="C292" s="1" t="n">
        <v>45972</v>
      </c>
      <c r="D292" t="inlineStr">
        <is>
          <t>UPPSALA LÄN</t>
        </is>
      </c>
      <c r="E292" t="inlineStr">
        <is>
          <t>ÖSTHAMMAR</t>
        </is>
      </c>
      <c r="G292" t="n">
        <v>5.5</v>
      </c>
      <c r="H292" t="n">
        <v>0</v>
      </c>
      <c r="I292" t="n">
        <v>0</v>
      </c>
      <c r="J292" t="n">
        <v>0</v>
      </c>
      <c r="K292" t="n">
        <v>0</v>
      </c>
      <c r="L292" t="n">
        <v>0</v>
      </c>
      <c r="M292" t="n">
        <v>0</v>
      </c>
      <c r="N292" t="n">
        <v>0</v>
      </c>
      <c r="O292" t="n">
        <v>0</v>
      </c>
      <c r="P292" t="n">
        <v>0</v>
      </c>
      <c r="Q292" t="n">
        <v>0</v>
      </c>
      <c r="R292" s="2" t="inlineStr"/>
    </row>
    <row r="293" ht="15" customHeight="1">
      <c r="A293" t="inlineStr">
        <is>
          <t>A 7876-2023</t>
        </is>
      </c>
      <c r="B293" s="1" t="n">
        <v>44973.57263888889</v>
      </c>
      <c r="C293" s="1" t="n">
        <v>45972</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36904-2023</t>
        </is>
      </c>
      <c r="B294" s="1" t="n">
        <v>45154</v>
      </c>
      <c r="C294" s="1" t="n">
        <v>45972</v>
      </c>
      <c r="D294" t="inlineStr">
        <is>
          <t>UPPSALA LÄN</t>
        </is>
      </c>
      <c r="E294" t="inlineStr">
        <is>
          <t>ÖSTHAMMAR</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35539-2023</t>
        </is>
      </c>
      <c r="B295" s="1" t="n">
        <v>45147.37006944444</v>
      </c>
      <c r="C295" s="1" t="n">
        <v>45972</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38233-2024</t>
        </is>
      </c>
      <c r="B296" s="1" t="n">
        <v>45545</v>
      </c>
      <c r="C296" s="1" t="n">
        <v>45972</v>
      </c>
      <c r="D296" t="inlineStr">
        <is>
          <t>UPPSALA LÄN</t>
        </is>
      </c>
      <c r="E296" t="inlineStr">
        <is>
          <t>ÖSTHAMMAR</t>
        </is>
      </c>
      <c r="G296" t="n">
        <v>3.4</v>
      </c>
      <c r="H296" t="n">
        <v>0</v>
      </c>
      <c r="I296" t="n">
        <v>0</v>
      </c>
      <c r="J296" t="n">
        <v>0</v>
      </c>
      <c r="K296" t="n">
        <v>0</v>
      </c>
      <c r="L296" t="n">
        <v>0</v>
      </c>
      <c r="M296" t="n">
        <v>0</v>
      </c>
      <c r="N296" t="n">
        <v>0</v>
      </c>
      <c r="O296" t="n">
        <v>0</v>
      </c>
      <c r="P296" t="n">
        <v>0</v>
      </c>
      <c r="Q296" t="n">
        <v>0</v>
      </c>
      <c r="R296" s="2" t="inlineStr"/>
    </row>
    <row r="297" ht="15" customHeight="1">
      <c r="A297" t="inlineStr">
        <is>
          <t>A 3119-2025</t>
        </is>
      </c>
      <c r="B297" s="1" t="n">
        <v>45678</v>
      </c>
      <c r="C297" s="1" t="n">
        <v>45972</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43439-2024</t>
        </is>
      </c>
      <c r="B298" s="1" t="n">
        <v>45568</v>
      </c>
      <c r="C298" s="1" t="n">
        <v>45972</v>
      </c>
      <c r="D298" t="inlineStr">
        <is>
          <t>UPPSALA LÄN</t>
        </is>
      </c>
      <c r="E298" t="inlineStr">
        <is>
          <t>ÖSTHAMMAR</t>
        </is>
      </c>
      <c r="G298" t="n">
        <v>1</v>
      </c>
      <c r="H298" t="n">
        <v>0</v>
      </c>
      <c r="I298" t="n">
        <v>0</v>
      </c>
      <c r="J298" t="n">
        <v>0</v>
      </c>
      <c r="K298" t="n">
        <v>0</v>
      </c>
      <c r="L298" t="n">
        <v>0</v>
      </c>
      <c r="M298" t="n">
        <v>0</v>
      </c>
      <c r="N298" t="n">
        <v>0</v>
      </c>
      <c r="O298" t="n">
        <v>0</v>
      </c>
      <c r="P298" t="n">
        <v>0</v>
      </c>
      <c r="Q298" t="n">
        <v>0</v>
      </c>
      <c r="R298" s="2" t="inlineStr"/>
    </row>
    <row r="299" ht="15" customHeight="1">
      <c r="A299" t="inlineStr">
        <is>
          <t>A 56260-2022</t>
        </is>
      </c>
      <c r="B299" s="1" t="n">
        <v>44890</v>
      </c>
      <c r="C299" s="1" t="n">
        <v>45972</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17646-2025</t>
        </is>
      </c>
      <c r="B300" s="1" t="n">
        <v>45758.32872685185</v>
      </c>
      <c r="C300" s="1" t="n">
        <v>45972</v>
      </c>
      <c r="D300" t="inlineStr">
        <is>
          <t>UPPSALA LÄN</t>
        </is>
      </c>
      <c r="E300" t="inlineStr">
        <is>
          <t>ÖSTHAMMAR</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17648-2025</t>
        </is>
      </c>
      <c r="B301" s="1" t="n">
        <v>45758.33064814815</v>
      </c>
      <c r="C301" s="1" t="n">
        <v>45972</v>
      </c>
      <c r="D301" t="inlineStr">
        <is>
          <t>UPPSALA LÄN</t>
        </is>
      </c>
      <c r="E301" t="inlineStr">
        <is>
          <t>ÖSTHAMMAR</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47336-2025</t>
        </is>
      </c>
      <c r="B302" s="1" t="n">
        <v>45930.56592592593</v>
      </c>
      <c r="C302" s="1" t="n">
        <v>45972</v>
      </c>
      <c r="D302" t="inlineStr">
        <is>
          <t>UPPSALA LÄN</t>
        </is>
      </c>
      <c r="E302" t="inlineStr">
        <is>
          <t>ÖSTHAMMAR</t>
        </is>
      </c>
      <c r="G302" t="n">
        <v>0.9</v>
      </c>
      <c r="H302" t="n">
        <v>0</v>
      </c>
      <c r="I302" t="n">
        <v>0</v>
      </c>
      <c r="J302" t="n">
        <v>0</v>
      </c>
      <c r="K302" t="n">
        <v>0</v>
      </c>
      <c r="L302" t="n">
        <v>0</v>
      </c>
      <c r="M302" t="n">
        <v>0</v>
      </c>
      <c r="N302" t="n">
        <v>0</v>
      </c>
      <c r="O302" t="n">
        <v>0</v>
      </c>
      <c r="P302" t="n">
        <v>0</v>
      </c>
      <c r="Q302" t="n">
        <v>0</v>
      </c>
      <c r="R302" s="2" t="inlineStr"/>
    </row>
    <row r="303" ht="15" customHeight="1">
      <c r="A303" t="inlineStr">
        <is>
          <t>A 47337-2025</t>
        </is>
      </c>
      <c r="B303" s="1" t="n">
        <v>45930.56607638889</v>
      </c>
      <c r="C303" s="1" t="n">
        <v>45972</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47338-2025</t>
        </is>
      </c>
      <c r="B304" s="1" t="n">
        <v>45930.56626157407</v>
      </c>
      <c r="C304" s="1" t="n">
        <v>45972</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59880-2022</t>
        </is>
      </c>
      <c r="B305" s="1" t="n">
        <v>44908.69575231482</v>
      </c>
      <c r="C305" s="1" t="n">
        <v>45972</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29231-2024</t>
        </is>
      </c>
      <c r="B306" s="1" t="n">
        <v>45482</v>
      </c>
      <c r="C306" s="1" t="n">
        <v>45972</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60047-2021</t>
        </is>
      </c>
      <c r="B307" s="1" t="n">
        <v>44495</v>
      </c>
      <c r="C307" s="1" t="n">
        <v>45972</v>
      </c>
      <c r="D307" t="inlineStr">
        <is>
          <t>UPPSALA LÄN</t>
        </is>
      </c>
      <c r="E307" t="inlineStr">
        <is>
          <t>ÖSTHAMMAR</t>
        </is>
      </c>
      <c r="F307" t="inlineStr">
        <is>
          <t>Övriga Aktiebolag</t>
        </is>
      </c>
      <c r="G307" t="n">
        <v>1.8</v>
      </c>
      <c r="H307" t="n">
        <v>0</v>
      </c>
      <c r="I307" t="n">
        <v>0</v>
      </c>
      <c r="J307" t="n">
        <v>0</v>
      </c>
      <c r="K307" t="n">
        <v>0</v>
      </c>
      <c r="L307" t="n">
        <v>0</v>
      </c>
      <c r="M307" t="n">
        <v>0</v>
      </c>
      <c r="N307" t="n">
        <v>0</v>
      </c>
      <c r="O307" t="n">
        <v>0</v>
      </c>
      <c r="P307" t="n">
        <v>0</v>
      </c>
      <c r="Q307" t="n">
        <v>0</v>
      </c>
      <c r="R307" s="2" t="inlineStr"/>
    </row>
    <row r="308" ht="15" customHeight="1">
      <c r="A308" t="inlineStr">
        <is>
          <t>A 4562-2022</t>
        </is>
      </c>
      <c r="B308" s="1" t="n">
        <v>44591</v>
      </c>
      <c r="C308" s="1" t="n">
        <v>45972</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18401-2025</t>
        </is>
      </c>
      <c r="B309" s="1" t="n">
        <v>45762.5966087963</v>
      </c>
      <c r="C309" s="1" t="n">
        <v>45972</v>
      </c>
      <c r="D309" t="inlineStr">
        <is>
          <t>UPPSALA LÄN</t>
        </is>
      </c>
      <c r="E309" t="inlineStr">
        <is>
          <t>ÖSTHAMMAR</t>
        </is>
      </c>
      <c r="G309" t="n">
        <v>1.7</v>
      </c>
      <c r="H309" t="n">
        <v>0</v>
      </c>
      <c r="I309" t="n">
        <v>0</v>
      </c>
      <c r="J309" t="n">
        <v>0</v>
      </c>
      <c r="K309" t="n">
        <v>0</v>
      </c>
      <c r="L309" t="n">
        <v>0</v>
      </c>
      <c r="M309" t="n">
        <v>0</v>
      </c>
      <c r="N309" t="n">
        <v>0</v>
      </c>
      <c r="O309" t="n">
        <v>0</v>
      </c>
      <c r="P309" t="n">
        <v>0</v>
      </c>
      <c r="Q309" t="n">
        <v>0</v>
      </c>
      <c r="R309" s="2" t="inlineStr"/>
    </row>
    <row r="310" ht="15" customHeight="1">
      <c r="A310" t="inlineStr">
        <is>
          <t>A 30086-2023</t>
        </is>
      </c>
      <c r="B310" s="1" t="n">
        <v>45110.43907407407</v>
      </c>
      <c r="C310" s="1" t="n">
        <v>45972</v>
      </c>
      <c r="D310" t="inlineStr">
        <is>
          <t>UPPSALA LÄN</t>
        </is>
      </c>
      <c r="E310" t="inlineStr">
        <is>
          <t>ÖSTHAMMAR</t>
        </is>
      </c>
      <c r="G310" t="n">
        <v>3.5</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45972</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11008-2023</t>
        </is>
      </c>
      <c r="B312" s="1" t="n">
        <v>44991</v>
      </c>
      <c r="C312" s="1" t="n">
        <v>45972</v>
      </c>
      <c r="D312" t="inlineStr">
        <is>
          <t>UPPSALA LÄN</t>
        </is>
      </c>
      <c r="E312" t="inlineStr">
        <is>
          <t>ÖSTHAMMAR</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4099-2025</t>
        </is>
      </c>
      <c r="B313" s="1" t="n">
        <v>45684</v>
      </c>
      <c r="C313" s="1" t="n">
        <v>45972</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13771-2023</t>
        </is>
      </c>
      <c r="B314" s="1" t="n">
        <v>45007</v>
      </c>
      <c r="C314" s="1" t="n">
        <v>45972</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64811-2021</t>
        </is>
      </c>
      <c r="B315" s="1" t="n">
        <v>44512</v>
      </c>
      <c r="C315" s="1" t="n">
        <v>45972</v>
      </c>
      <c r="D315" t="inlineStr">
        <is>
          <t>UPPSALA LÄN</t>
        </is>
      </c>
      <c r="E315" t="inlineStr">
        <is>
          <t>ÖSTHAMMAR</t>
        </is>
      </c>
      <c r="G315" t="n">
        <v>4.2</v>
      </c>
      <c r="H315" t="n">
        <v>0</v>
      </c>
      <c r="I315" t="n">
        <v>0</v>
      </c>
      <c r="J315" t="n">
        <v>0</v>
      </c>
      <c r="K315" t="n">
        <v>0</v>
      </c>
      <c r="L315" t="n">
        <v>0</v>
      </c>
      <c r="M315" t="n">
        <v>0</v>
      </c>
      <c r="N315" t="n">
        <v>0</v>
      </c>
      <c r="O315" t="n">
        <v>0</v>
      </c>
      <c r="P315" t="n">
        <v>0</v>
      </c>
      <c r="Q315" t="n">
        <v>0</v>
      </c>
      <c r="R315" s="2" t="inlineStr"/>
    </row>
    <row r="316" ht="15" customHeight="1">
      <c r="A316" t="inlineStr">
        <is>
          <t>A 8830-2023</t>
        </is>
      </c>
      <c r="B316" s="1" t="n">
        <v>44978</v>
      </c>
      <c r="C316" s="1" t="n">
        <v>45972</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6106-2024</t>
        </is>
      </c>
      <c r="B317" s="1" t="n">
        <v>45337.36831018519</v>
      </c>
      <c r="C317" s="1" t="n">
        <v>45972</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33550-2024</t>
        </is>
      </c>
      <c r="B318" s="1" t="n">
        <v>45519.81043981481</v>
      </c>
      <c r="C318" s="1" t="n">
        <v>45972</v>
      </c>
      <c r="D318" t="inlineStr">
        <is>
          <t>UPPSALA LÄN</t>
        </is>
      </c>
      <c r="E318" t="inlineStr">
        <is>
          <t>ÖSTHAMMAR</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62295-2022</t>
        </is>
      </c>
      <c r="B319" s="1" t="n">
        <v>44916</v>
      </c>
      <c r="C319" s="1" t="n">
        <v>45972</v>
      </c>
      <c r="D319" t="inlineStr">
        <is>
          <t>UPPSALA LÄN</t>
        </is>
      </c>
      <c r="E319" t="inlineStr">
        <is>
          <t>ÖSTHAMMAR</t>
        </is>
      </c>
      <c r="G319" t="n">
        <v>3.3</v>
      </c>
      <c r="H319" t="n">
        <v>0</v>
      </c>
      <c r="I319" t="n">
        <v>0</v>
      </c>
      <c r="J319" t="n">
        <v>0</v>
      </c>
      <c r="K319" t="n">
        <v>0</v>
      </c>
      <c r="L319" t="n">
        <v>0</v>
      </c>
      <c r="M319" t="n">
        <v>0</v>
      </c>
      <c r="N319" t="n">
        <v>0</v>
      </c>
      <c r="O319" t="n">
        <v>0</v>
      </c>
      <c r="P319" t="n">
        <v>0</v>
      </c>
      <c r="Q319" t="n">
        <v>0</v>
      </c>
      <c r="R319" s="2" t="inlineStr"/>
    </row>
    <row r="320" ht="15" customHeight="1">
      <c r="A320" t="inlineStr">
        <is>
          <t>A 22709-2021</t>
        </is>
      </c>
      <c r="B320" s="1" t="n">
        <v>44327.61518518518</v>
      </c>
      <c r="C320" s="1" t="n">
        <v>45972</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41538-2021</t>
        </is>
      </c>
      <c r="B321" s="1" t="n">
        <v>44425.35016203704</v>
      </c>
      <c r="C321" s="1" t="n">
        <v>45972</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32815-2024</t>
        </is>
      </c>
      <c r="B322" s="1" t="n">
        <v>45516.57682870371</v>
      </c>
      <c r="C322" s="1" t="n">
        <v>45972</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36301-2023</t>
        </is>
      </c>
      <c r="B323" s="1" t="n">
        <v>45152.37296296296</v>
      </c>
      <c r="C323" s="1" t="n">
        <v>45972</v>
      </c>
      <c r="D323" t="inlineStr">
        <is>
          <t>UPPSALA LÄN</t>
        </is>
      </c>
      <c r="E323" t="inlineStr">
        <is>
          <t>ÖSTHAMMAR</t>
        </is>
      </c>
      <c r="G323" t="n">
        <v>0.9</v>
      </c>
      <c r="H323" t="n">
        <v>0</v>
      </c>
      <c r="I323" t="n">
        <v>0</v>
      </c>
      <c r="J323" t="n">
        <v>0</v>
      </c>
      <c r="K323" t="n">
        <v>0</v>
      </c>
      <c r="L323" t="n">
        <v>0</v>
      </c>
      <c r="M323" t="n">
        <v>0</v>
      </c>
      <c r="N323" t="n">
        <v>0</v>
      </c>
      <c r="O323" t="n">
        <v>0</v>
      </c>
      <c r="P323" t="n">
        <v>0</v>
      </c>
      <c r="Q323" t="n">
        <v>0</v>
      </c>
      <c r="R323" s="2" t="inlineStr"/>
    </row>
    <row r="324" ht="15" customHeight="1">
      <c r="A324" t="inlineStr">
        <is>
          <t>A 32884-2024</t>
        </is>
      </c>
      <c r="B324" s="1" t="n">
        <v>45516.72097222223</v>
      </c>
      <c r="C324" s="1" t="n">
        <v>45972</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38886-2025</t>
        </is>
      </c>
      <c r="B325" s="1" t="n">
        <v>45887.58370370371</v>
      </c>
      <c r="C325" s="1" t="n">
        <v>45972</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58324-2023</t>
        </is>
      </c>
      <c r="B326" s="1" t="n">
        <v>45250.58635416667</v>
      </c>
      <c r="C326" s="1" t="n">
        <v>45972</v>
      </c>
      <c r="D326" t="inlineStr">
        <is>
          <t>UPPSALA LÄN</t>
        </is>
      </c>
      <c r="E326" t="inlineStr">
        <is>
          <t>ÖSTHAMMAR</t>
        </is>
      </c>
      <c r="G326" t="n">
        <v>5.1</v>
      </c>
      <c r="H326" t="n">
        <v>0</v>
      </c>
      <c r="I326" t="n">
        <v>0</v>
      </c>
      <c r="J326" t="n">
        <v>0</v>
      </c>
      <c r="K326" t="n">
        <v>0</v>
      </c>
      <c r="L326" t="n">
        <v>0</v>
      </c>
      <c r="M326" t="n">
        <v>0</v>
      </c>
      <c r="N326" t="n">
        <v>0</v>
      </c>
      <c r="O326" t="n">
        <v>0</v>
      </c>
      <c r="P326" t="n">
        <v>0</v>
      </c>
      <c r="Q326" t="n">
        <v>0</v>
      </c>
      <c r="R326" s="2" t="inlineStr"/>
    </row>
    <row r="327" ht="15" customHeight="1">
      <c r="A327" t="inlineStr">
        <is>
          <t>A 61261-2022</t>
        </is>
      </c>
      <c r="B327" s="1" t="n">
        <v>44915.59645833333</v>
      </c>
      <c r="C327" s="1" t="n">
        <v>45972</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4984-2024</t>
        </is>
      </c>
      <c r="B328" s="1" t="n">
        <v>45329</v>
      </c>
      <c r="C328" s="1" t="n">
        <v>45972</v>
      </c>
      <c r="D328" t="inlineStr">
        <is>
          <t>UPPSALA LÄN</t>
        </is>
      </c>
      <c r="E328" t="inlineStr">
        <is>
          <t>ÖSTHAMMAR</t>
        </is>
      </c>
      <c r="G328" t="n">
        <v>2.2</v>
      </c>
      <c r="H328" t="n">
        <v>0</v>
      </c>
      <c r="I328" t="n">
        <v>0</v>
      </c>
      <c r="J328" t="n">
        <v>0</v>
      </c>
      <c r="K328" t="n">
        <v>0</v>
      </c>
      <c r="L328" t="n">
        <v>0</v>
      </c>
      <c r="M328" t="n">
        <v>0</v>
      </c>
      <c r="N328" t="n">
        <v>0</v>
      </c>
      <c r="O328" t="n">
        <v>0</v>
      </c>
      <c r="P328" t="n">
        <v>0</v>
      </c>
      <c r="Q328" t="n">
        <v>0</v>
      </c>
      <c r="R328" s="2" t="inlineStr"/>
    </row>
    <row r="329" ht="15" customHeight="1">
      <c r="A329" t="inlineStr">
        <is>
          <t>A 5344-2025</t>
        </is>
      </c>
      <c r="B329" s="1" t="n">
        <v>45692</v>
      </c>
      <c r="C329" s="1" t="n">
        <v>45972</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28429-2023</t>
        </is>
      </c>
      <c r="B330" s="1" t="n">
        <v>45102.58728009259</v>
      </c>
      <c r="C330" s="1" t="n">
        <v>45972</v>
      </c>
      <c r="D330" t="inlineStr">
        <is>
          <t>UPPSALA LÄN</t>
        </is>
      </c>
      <c r="E330" t="inlineStr">
        <is>
          <t>ÖSTHAMMAR</t>
        </is>
      </c>
      <c r="F330" t="inlineStr">
        <is>
          <t>Bergvik skog öst AB</t>
        </is>
      </c>
      <c r="G330" t="n">
        <v>0.9</v>
      </c>
      <c r="H330" t="n">
        <v>0</v>
      </c>
      <c r="I330" t="n">
        <v>0</v>
      </c>
      <c r="J330" t="n">
        <v>0</v>
      </c>
      <c r="K330" t="n">
        <v>0</v>
      </c>
      <c r="L330" t="n">
        <v>0</v>
      </c>
      <c r="M330" t="n">
        <v>0</v>
      </c>
      <c r="N330" t="n">
        <v>0</v>
      </c>
      <c r="O330" t="n">
        <v>0</v>
      </c>
      <c r="P330" t="n">
        <v>0</v>
      </c>
      <c r="Q330" t="n">
        <v>0</v>
      </c>
      <c r="R330" s="2" t="inlineStr"/>
    </row>
    <row r="331" ht="15" customHeight="1">
      <c r="A331" t="inlineStr">
        <is>
          <t>A 35309-2023</t>
        </is>
      </c>
      <c r="B331" s="1" t="n">
        <v>45146</v>
      </c>
      <c r="C331" s="1" t="n">
        <v>45972</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835-2025</t>
        </is>
      </c>
      <c r="B332" s="1" t="n">
        <v>45665.58465277778</v>
      </c>
      <c r="C332" s="1" t="n">
        <v>45972</v>
      </c>
      <c r="D332" t="inlineStr">
        <is>
          <t>UPPSALA LÄN</t>
        </is>
      </c>
      <c r="E332" t="inlineStr">
        <is>
          <t>ÖSTHAMMAR</t>
        </is>
      </c>
      <c r="F332" t="inlineStr">
        <is>
          <t>Övriga Aktiebolag</t>
        </is>
      </c>
      <c r="G332" t="n">
        <v>4.8</v>
      </c>
      <c r="H332" t="n">
        <v>0</v>
      </c>
      <c r="I332" t="n">
        <v>0</v>
      </c>
      <c r="J332" t="n">
        <v>0</v>
      </c>
      <c r="K332" t="n">
        <v>0</v>
      </c>
      <c r="L332" t="n">
        <v>0</v>
      </c>
      <c r="M332" t="n">
        <v>0</v>
      </c>
      <c r="N332" t="n">
        <v>0</v>
      </c>
      <c r="O332" t="n">
        <v>0</v>
      </c>
      <c r="P332" t="n">
        <v>0</v>
      </c>
      <c r="Q332" t="n">
        <v>0</v>
      </c>
      <c r="R332" s="2" t="inlineStr"/>
    </row>
    <row r="333" ht="15" customHeight="1">
      <c r="A333" t="inlineStr">
        <is>
          <t>A 47020-2025</t>
        </is>
      </c>
      <c r="B333" s="1" t="n">
        <v>45929.5775</v>
      </c>
      <c r="C333" s="1" t="n">
        <v>45972</v>
      </c>
      <c r="D333" t="inlineStr">
        <is>
          <t>UPPSALA LÄN</t>
        </is>
      </c>
      <c r="E333" t="inlineStr">
        <is>
          <t>ÖSTHAMMAR</t>
        </is>
      </c>
      <c r="G333" t="n">
        <v>2.1</v>
      </c>
      <c r="H333" t="n">
        <v>0</v>
      </c>
      <c r="I333" t="n">
        <v>0</v>
      </c>
      <c r="J333" t="n">
        <v>0</v>
      </c>
      <c r="K333" t="n">
        <v>0</v>
      </c>
      <c r="L333" t="n">
        <v>0</v>
      </c>
      <c r="M333" t="n">
        <v>0</v>
      </c>
      <c r="N333" t="n">
        <v>0</v>
      </c>
      <c r="O333" t="n">
        <v>0</v>
      </c>
      <c r="P333" t="n">
        <v>0</v>
      </c>
      <c r="Q333" t="n">
        <v>0</v>
      </c>
      <c r="R333" s="2" t="inlineStr"/>
    </row>
    <row r="334" ht="15" customHeight="1">
      <c r="A334" t="inlineStr">
        <is>
          <t>A 74429-2021</t>
        </is>
      </c>
      <c r="B334" s="1" t="n">
        <v>44560.43136574074</v>
      </c>
      <c r="C334" s="1" t="n">
        <v>45972</v>
      </c>
      <c r="D334" t="inlineStr">
        <is>
          <t>UPPSALA LÄN</t>
        </is>
      </c>
      <c r="E334" t="inlineStr">
        <is>
          <t>ÖSTHAMMAR</t>
        </is>
      </c>
      <c r="F334" t="inlineStr">
        <is>
          <t>Bergvik skog öst AB</t>
        </is>
      </c>
      <c r="G334" t="n">
        <v>0.8</v>
      </c>
      <c r="H334" t="n">
        <v>0</v>
      </c>
      <c r="I334" t="n">
        <v>0</v>
      </c>
      <c r="J334" t="n">
        <v>0</v>
      </c>
      <c r="K334" t="n">
        <v>0</v>
      </c>
      <c r="L334" t="n">
        <v>0</v>
      </c>
      <c r="M334" t="n">
        <v>0</v>
      </c>
      <c r="N334" t="n">
        <v>0</v>
      </c>
      <c r="O334" t="n">
        <v>0</v>
      </c>
      <c r="P334" t="n">
        <v>0</v>
      </c>
      <c r="Q334" t="n">
        <v>0</v>
      </c>
      <c r="R334" s="2" t="inlineStr"/>
    </row>
    <row r="335" ht="15" customHeight="1">
      <c r="A335" t="inlineStr">
        <is>
          <t>A 67199-2021</t>
        </is>
      </c>
      <c r="B335" s="1" t="n">
        <v>44523.46197916667</v>
      </c>
      <c r="C335" s="1" t="n">
        <v>45972</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7543-2023</t>
        </is>
      </c>
      <c r="B336" s="1" t="n">
        <v>44972</v>
      </c>
      <c r="C336" s="1" t="n">
        <v>45972</v>
      </c>
      <c r="D336" t="inlineStr">
        <is>
          <t>UPPSALA LÄN</t>
        </is>
      </c>
      <c r="E336" t="inlineStr">
        <is>
          <t>ÖSTHAMMAR</t>
        </is>
      </c>
      <c r="F336" t="inlineStr">
        <is>
          <t>Bergvik skog öst AB</t>
        </is>
      </c>
      <c r="G336" t="n">
        <v>13.3</v>
      </c>
      <c r="H336" t="n">
        <v>0</v>
      </c>
      <c r="I336" t="n">
        <v>0</v>
      </c>
      <c r="J336" t="n">
        <v>0</v>
      </c>
      <c r="K336" t="n">
        <v>0</v>
      </c>
      <c r="L336" t="n">
        <v>0</v>
      </c>
      <c r="M336" t="n">
        <v>0</v>
      </c>
      <c r="N336" t="n">
        <v>0</v>
      </c>
      <c r="O336" t="n">
        <v>0</v>
      </c>
      <c r="P336" t="n">
        <v>0</v>
      </c>
      <c r="Q336" t="n">
        <v>0</v>
      </c>
      <c r="R336" s="2" t="inlineStr"/>
    </row>
    <row r="337" ht="15" customHeight="1">
      <c r="A337" t="inlineStr">
        <is>
          <t>A 69411-2021</t>
        </is>
      </c>
      <c r="B337" s="1" t="n">
        <v>44531.61038194445</v>
      </c>
      <c r="C337" s="1" t="n">
        <v>45972</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24259-2022</t>
        </is>
      </c>
      <c r="B338" s="1" t="n">
        <v>44725</v>
      </c>
      <c r="C338" s="1" t="n">
        <v>45972</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24367-2022</t>
        </is>
      </c>
      <c r="B339" s="1" t="n">
        <v>44726.42716435185</v>
      </c>
      <c r="C339" s="1" t="n">
        <v>45972</v>
      </c>
      <c r="D339" t="inlineStr">
        <is>
          <t>UPPSALA LÄN</t>
        </is>
      </c>
      <c r="E339" t="inlineStr">
        <is>
          <t>ÖSTHAMMAR</t>
        </is>
      </c>
      <c r="G339" t="n">
        <v>2.7</v>
      </c>
      <c r="H339" t="n">
        <v>0</v>
      </c>
      <c r="I339" t="n">
        <v>0</v>
      </c>
      <c r="J339" t="n">
        <v>0</v>
      </c>
      <c r="K339" t="n">
        <v>0</v>
      </c>
      <c r="L339" t="n">
        <v>0</v>
      </c>
      <c r="M339" t="n">
        <v>0</v>
      </c>
      <c r="N339" t="n">
        <v>0</v>
      </c>
      <c r="O339" t="n">
        <v>0</v>
      </c>
      <c r="P339" t="n">
        <v>0</v>
      </c>
      <c r="Q339" t="n">
        <v>0</v>
      </c>
      <c r="R339" s="2" t="inlineStr"/>
    </row>
    <row r="340" ht="15" customHeight="1">
      <c r="A340" t="inlineStr">
        <is>
          <t>A 20634-2024</t>
        </is>
      </c>
      <c r="B340" s="1" t="n">
        <v>45436</v>
      </c>
      <c r="C340" s="1" t="n">
        <v>45972</v>
      </c>
      <c r="D340" t="inlineStr">
        <is>
          <t>UPPSALA LÄN</t>
        </is>
      </c>
      <c r="E340" t="inlineStr">
        <is>
          <t>ÖSTHAMMAR</t>
        </is>
      </c>
      <c r="G340" t="n">
        <v>6.5</v>
      </c>
      <c r="H340" t="n">
        <v>0</v>
      </c>
      <c r="I340" t="n">
        <v>0</v>
      </c>
      <c r="J340" t="n">
        <v>0</v>
      </c>
      <c r="K340" t="n">
        <v>0</v>
      </c>
      <c r="L340" t="n">
        <v>0</v>
      </c>
      <c r="M340" t="n">
        <v>0</v>
      </c>
      <c r="N340" t="n">
        <v>0</v>
      </c>
      <c r="O340" t="n">
        <v>0</v>
      </c>
      <c r="P340" t="n">
        <v>0</v>
      </c>
      <c r="Q340" t="n">
        <v>0</v>
      </c>
      <c r="R340" s="2" t="inlineStr"/>
    </row>
    <row r="341" ht="15" customHeight="1">
      <c r="A341" t="inlineStr">
        <is>
          <t>A 49897-2023</t>
        </is>
      </c>
      <c r="B341" s="1" t="n">
        <v>45213.84846064815</v>
      </c>
      <c r="C341" s="1" t="n">
        <v>45972</v>
      </c>
      <c r="D341" t="inlineStr">
        <is>
          <t>UPPSALA LÄN</t>
        </is>
      </c>
      <c r="E341" t="inlineStr">
        <is>
          <t>ÖSTHAMMAR</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34922-2023</t>
        </is>
      </c>
      <c r="B342" s="1" t="n">
        <v>45142.48359953704</v>
      </c>
      <c r="C342" s="1" t="n">
        <v>45972</v>
      </c>
      <c r="D342" t="inlineStr">
        <is>
          <t>UPPSALA LÄN</t>
        </is>
      </c>
      <c r="E342" t="inlineStr">
        <is>
          <t>ÖSTHAMMAR</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47614-2025</t>
        </is>
      </c>
      <c r="B343" s="1" t="n">
        <v>45931.47211805556</v>
      </c>
      <c r="C343" s="1" t="n">
        <v>45972</v>
      </c>
      <c r="D343" t="inlineStr">
        <is>
          <t>UPPSALA LÄN</t>
        </is>
      </c>
      <c r="E343" t="inlineStr">
        <is>
          <t>ÖSTHAMMAR</t>
        </is>
      </c>
      <c r="G343" t="n">
        <v>22.8</v>
      </c>
      <c r="H343" t="n">
        <v>0</v>
      </c>
      <c r="I343" t="n">
        <v>0</v>
      </c>
      <c r="J343" t="n">
        <v>0</v>
      </c>
      <c r="K343" t="n">
        <v>0</v>
      </c>
      <c r="L343" t="n">
        <v>0</v>
      </c>
      <c r="M343" t="n">
        <v>0</v>
      </c>
      <c r="N343" t="n">
        <v>0</v>
      </c>
      <c r="O343" t="n">
        <v>0</v>
      </c>
      <c r="P343" t="n">
        <v>0</v>
      </c>
      <c r="Q343" t="n">
        <v>0</v>
      </c>
      <c r="R343" s="2" t="inlineStr"/>
    </row>
    <row r="344" ht="15" customHeight="1">
      <c r="A344" t="inlineStr">
        <is>
          <t>A 49831-2023</t>
        </is>
      </c>
      <c r="B344" s="1" t="n">
        <v>45212.71241898148</v>
      </c>
      <c r="C344" s="1" t="n">
        <v>45972</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49899-2023</t>
        </is>
      </c>
      <c r="B345" s="1" t="n">
        <v>45213</v>
      </c>
      <c r="C345" s="1" t="n">
        <v>45972</v>
      </c>
      <c r="D345" t="inlineStr">
        <is>
          <t>UPPSALA LÄN</t>
        </is>
      </c>
      <c r="E345" t="inlineStr">
        <is>
          <t>ÖSTHAMMAR</t>
        </is>
      </c>
      <c r="G345" t="n">
        <v>6.2</v>
      </c>
      <c r="H345" t="n">
        <v>0</v>
      </c>
      <c r="I345" t="n">
        <v>0</v>
      </c>
      <c r="J345" t="n">
        <v>0</v>
      </c>
      <c r="K345" t="n">
        <v>0</v>
      </c>
      <c r="L345" t="n">
        <v>0</v>
      </c>
      <c r="M345" t="n">
        <v>0</v>
      </c>
      <c r="N345" t="n">
        <v>0</v>
      </c>
      <c r="O345" t="n">
        <v>0</v>
      </c>
      <c r="P345" t="n">
        <v>0</v>
      </c>
      <c r="Q345" t="n">
        <v>0</v>
      </c>
      <c r="R345" s="2" t="inlineStr"/>
    </row>
    <row r="346" ht="15" customHeight="1">
      <c r="A346" t="inlineStr">
        <is>
          <t>A 17939-2025</t>
        </is>
      </c>
      <c r="B346" s="1" t="n">
        <v>45760.55671296296</v>
      </c>
      <c r="C346" s="1" t="n">
        <v>45972</v>
      </c>
      <c r="D346" t="inlineStr">
        <is>
          <t>UPPSALA LÄN</t>
        </is>
      </c>
      <c r="E346" t="inlineStr">
        <is>
          <t>ÖSTHAMMAR</t>
        </is>
      </c>
      <c r="F346" t="inlineStr">
        <is>
          <t>Bergvik skog öst AB</t>
        </is>
      </c>
      <c r="G346" t="n">
        <v>5.4</v>
      </c>
      <c r="H346" t="n">
        <v>0</v>
      </c>
      <c r="I346" t="n">
        <v>0</v>
      </c>
      <c r="J346" t="n">
        <v>0</v>
      </c>
      <c r="K346" t="n">
        <v>0</v>
      </c>
      <c r="L346" t="n">
        <v>0</v>
      </c>
      <c r="M346" t="n">
        <v>0</v>
      </c>
      <c r="N346" t="n">
        <v>0</v>
      </c>
      <c r="O346" t="n">
        <v>0</v>
      </c>
      <c r="P346" t="n">
        <v>0</v>
      </c>
      <c r="Q346" t="n">
        <v>0</v>
      </c>
      <c r="R346" s="2" t="inlineStr"/>
    </row>
    <row r="347" ht="15" customHeight="1">
      <c r="A347" t="inlineStr">
        <is>
          <t>A 17940-2025</t>
        </is>
      </c>
      <c r="B347" s="1" t="n">
        <v>45760.55842592593</v>
      </c>
      <c r="C347" s="1" t="n">
        <v>45972</v>
      </c>
      <c r="D347" t="inlineStr">
        <is>
          <t>UPPSALA LÄN</t>
        </is>
      </c>
      <c r="E347" t="inlineStr">
        <is>
          <t>ÖSTHAMMAR</t>
        </is>
      </c>
      <c r="F347" t="inlineStr">
        <is>
          <t>Bergvik skog öst AB</t>
        </is>
      </c>
      <c r="G347" t="n">
        <v>5.6</v>
      </c>
      <c r="H347" t="n">
        <v>0</v>
      </c>
      <c r="I347" t="n">
        <v>0</v>
      </c>
      <c r="J347" t="n">
        <v>0</v>
      </c>
      <c r="K347" t="n">
        <v>0</v>
      </c>
      <c r="L347" t="n">
        <v>0</v>
      </c>
      <c r="M347" t="n">
        <v>0</v>
      </c>
      <c r="N347" t="n">
        <v>0</v>
      </c>
      <c r="O347" t="n">
        <v>0</v>
      </c>
      <c r="P347" t="n">
        <v>0</v>
      </c>
      <c r="Q347" t="n">
        <v>0</v>
      </c>
      <c r="R347" s="2" t="inlineStr"/>
    </row>
    <row r="348" ht="15" customHeight="1">
      <c r="A348" t="inlineStr">
        <is>
          <t>A 50998-2023</t>
        </is>
      </c>
      <c r="B348" s="1" t="n">
        <v>45218.5586574074</v>
      </c>
      <c r="C348" s="1" t="n">
        <v>45972</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52650-2022</t>
        </is>
      </c>
      <c r="B349" s="1" t="n">
        <v>44874</v>
      </c>
      <c r="C349" s="1" t="n">
        <v>45972</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52661-2022</t>
        </is>
      </c>
      <c r="B350" s="1" t="n">
        <v>44874</v>
      </c>
      <c r="C350" s="1" t="n">
        <v>45972</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3732-2022</t>
        </is>
      </c>
      <c r="B351" s="1" t="n">
        <v>44586.64851851852</v>
      </c>
      <c r="C351" s="1" t="n">
        <v>45972</v>
      </c>
      <c r="D351" t="inlineStr">
        <is>
          <t>UPPSALA LÄN</t>
        </is>
      </c>
      <c r="E351" t="inlineStr">
        <is>
          <t>ÖSTHAMMAR</t>
        </is>
      </c>
      <c r="F351" t="inlineStr">
        <is>
          <t>Bergvik skog öst AB</t>
        </is>
      </c>
      <c r="G351" t="n">
        <v>3.6</v>
      </c>
      <c r="H351" t="n">
        <v>0</v>
      </c>
      <c r="I351" t="n">
        <v>0</v>
      </c>
      <c r="J351" t="n">
        <v>0</v>
      </c>
      <c r="K351" t="n">
        <v>0</v>
      </c>
      <c r="L351" t="n">
        <v>0</v>
      </c>
      <c r="M351" t="n">
        <v>0</v>
      </c>
      <c r="N351" t="n">
        <v>0</v>
      </c>
      <c r="O351" t="n">
        <v>0</v>
      </c>
      <c r="P351" t="n">
        <v>0</v>
      </c>
      <c r="Q351" t="n">
        <v>0</v>
      </c>
      <c r="R351" s="2" t="inlineStr"/>
    </row>
    <row r="352" ht="15" customHeight="1">
      <c r="A352" t="inlineStr">
        <is>
          <t>A 5855-2022</t>
        </is>
      </c>
      <c r="B352" s="1" t="n">
        <v>44596.63290509259</v>
      </c>
      <c r="C352" s="1" t="n">
        <v>45972</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31669-2022</t>
        </is>
      </c>
      <c r="B353" s="1" t="n">
        <v>44775</v>
      </c>
      <c r="C353" s="1" t="n">
        <v>45972</v>
      </c>
      <c r="D353" t="inlineStr">
        <is>
          <t>UPPSALA LÄN</t>
        </is>
      </c>
      <c r="E353" t="inlineStr">
        <is>
          <t>ÖSTHAMMAR</t>
        </is>
      </c>
      <c r="G353" t="n">
        <v>6</v>
      </c>
      <c r="H353" t="n">
        <v>0</v>
      </c>
      <c r="I353" t="n">
        <v>0</v>
      </c>
      <c r="J353" t="n">
        <v>0</v>
      </c>
      <c r="K353" t="n">
        <v>0</v>
      </c>
      <c r="L353" t="n">
        <v>0</v>
      </c>
      <c r="M353" t="n">
        <v>0</v>
      </c>
      <c r="N353" t="n">
        <v>0</v>
      </c>
      <c r="O353" t="n">
        <v>0</v>
      </c>
      <c r="P353" t="n">
        <v>0</v>
      </c>
      <c r="Q353" t="n">
        <v>0</v>
      </c>
      <c r="R353" s="2" t="inlineStr"/>
    </row>
    <row r="354" ht="15" customHeight="1">
      <c r="A354" t="inlineStr">
        <is>
          <t>A 38003-2024</t>
        </is>
      </c>
      <c r="B354" s="1" t="n">
        <v>45544</v>
      </c>
      <c r="C354" s="1" t="n">
        <v>45972</v>
      </c>
      <c r="D354" t="inlineStr">
        <is>
          <t>UPPSALA LÄN</t>
        </is>
      </c>
      <c r="E354" t="inlineStr">
        <is>
          <t>ÖSTHAMMAR</t>
        </is>
      </c>
      <c r="F354" t="inlineStr">
        <is>
          <t>Naturvårdsverket</t>
        </is>
      </c>
      <c r="G354" t="n">
        <v>4.2</v>
      </c>
      <c r="H354" t="n">
        <v>0</v>
      </c>
      <c r="I354" t="n">
        <v>0</v>
      </c>
      <c r="J354" t="n">
        <v>0</v>
      </c>
      <c r="K354" t="n">
        <v>0</v>
      </c>
      <c r="L354" t="n">
        <v>0</v>
      </c>
      <c r="M354" t="n">
        <v>0</v>
      </c>
      <c r="N354" t="n">
        <v>0</v>
      </c>
      <c r="O354" t="n">
        <v>0</v>
      </c>
      <c r="P354" t="n">
        <v>0</v>
      </c>
      <c r="Q354" t="n">
        <v>0</v>
      </c>
      <c r="R354" s="2" t="inlineStr"/>
    </row>
    <row r="355" ht="15" customHeight="1">
      <c r="A355" t="inlineStr">
        <is>
          <t>A 48856-2024</t>
        </is>
      </c>
      <c r="B355" s="1" t="n">
        <v>45593</v>
      </c>
      <c r="C355" s="1" t="n">
        <v>45972</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1575-2025</t>
        </is>
      </c>
      <c r="B356" s="1" t="n">
        <v>45670</v>
      </c>
      <c r="C356" s="1" t="n">
        <v>45972</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16141-2022</t>
        </is>
      </c>
      <c r="B357" s="1" t="n">
        <v>44665</v>
      </c>
      <c r="C357" s="1" t="n">
        <v>45972</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28152-2024</t>
        </is>
      </c>
      <c r="B358" s="1" t="n">
        <v>45476.77056712963</v>
      </c>
      <c r="C358" s="1" t="n">
        <v>45972</v>
      </c>
      <c r="D358" t="inlineStr">
        <is>
          <t>UPPSALA LÄN</t>
        </is>
      </c>
      <c r="E358" t="inlineStr">
        <is>
          <t>ÖSTHAMMAR</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17947-2022</t>
        </is>
      </c>
      <c r="B359" s="1" t="n">
        <v>44683</v>
      </c>
      <c r="C359" s="1" t="n">
        <v>45972</v>
      </c>
      <c r="D359" t="inlineStr">
        <is>
          <t>UPPSALA LÄN</t>
        </is>
      </c>
      <c r="E359" t="inlineStr">
        <is>
          <t>ÖSTHAMMAR</t>
        </is>
      </c>
      <c r="G359" t="n">
        <v>5.5</v>
      </c>
      <c r="H359" t="n">
        <v>0</v>
      </c>
      <c r="I359" t="n">
        <v>0</v>
      </c>
      <c r="J359" t="n">
        <v>0</v>
      </c>
      <c r="K359" t="n">
        <v>0</v>
      </c>
      <c r="L359" t="n">
        <v>0</v>
      </c>
      <c r="M359" t="n">
        <v>0</v>
      </c>
      <c r="N359" t="n">
        <v>0</v>
      </c>
      <c r="O359" t="n">
        <v>0</v>
      </c>
      <c r="P359" t="n">
        <v>0</v>
      </c>
      <c r="Q359" t="n">
        <v>0</v>
      </c>
      <c r="R359" s="2" t="inlineStr"/>
    </row>
    <row r="360" ht="15" customHeight="1">
      <c r="A360" t="inlineStr">
        <is>
          <t>A 54366-2023</t>
        </is>
      </c>
      <c r="B360" s="1" t="n">
        <v>45233</v>
      </c>
      <c r="C360" s="1" t="n">
        <v>45972</v>
      </c>
      <c r="D360" t="inlineStr">
        <is>
          <t>UPPSALA LÄN</t>
        </is>
      </c>
      <c r="E360" t="inlineStr">
        <is>
          <t>ÖSTHAMMAR</t>
        </is>
      </c>
      <c r="F360" t="inlineStr">
        <is>
          <t>Bergvik skog öst AB</t>
        </is>
      </c>
      <c r="G360" t="n">
        <v>2.9</v>
      </c>
      <c r="H360" t="n">
        <v>0</v>
      </c>
      <c r="I360" t="n">
        <v>0</v>
      </c>
      <c r="J360" t="n">
        <v>0</v>
      </c>
      <c r="K360" t="n">
        <v>0</v>
      </c>
      <c r="L360" t="n">
        <v>0</v>
      </c>
      <c r="M360" t="n">
        <v>0</v>
      </c>
      <c r="N360" t="n">
        <v>0</v>
      </c>
      <c r="O360" t="n">
        <v>0</v>
      </c>
      <c r="P360" t="n">
        <v>0</v>
      </c>
      <c r="Q360" t="n">
        <v>0</v>
      </c>
      <c r="R360" s="2" t="inlineStr"/>
    </row>
    <row r="361" ht="15" customHeight="1">
      <c r="A361" t="inlineStr">
        <is>
          <t>A 59807-2020</t>
        </is>
      </c>
      <c r="B361" s="1" t="n">
        <v>44151</v>
      </c>
      <c r="C361" s="1" t="n">
        <v>45972</v>
      </c>
      <c r="D361" t="inlineStr">
        <is>
          <t>UPPSALA LÄN</t>
        </is>
      </c>
      <c r="E361" t="inlineStr">
        <is>
          <t>ÖSTHAMMAR</t>
        </is>
      </c>
      <c r="G361" t="n">
        <v>3.4</v>
      </c>
      <c r="H361" t="n">
        <v>0</v>
      </c>
      <c r="I361" t="n">
        <v>0</v>
      </c>
      <c r="J361" t="n">
        <v>0</v>
      </c>
      <c r="K361" t="n">
        <v>0</v>
      </c>
      <c r="L361" t="n">
        <v>0</v>
      </c>
      <c r="M361" t="n">
        <v>0</v>
      </c>
      <c r="N361" t="n">
        <v>0</v>
      </c>
      <c r="O361" t="n">
        <v>0</v>
      </c>
      <c r="P361" t="n">
        <v>0</v>
      </c>
      <c r="Q361" t="n">
        <v>0</v>
      </c>
      <c r="R361" s="2" t="inlineStr"/>
    </row>
    <row r="362" ht="15" customHeight="1">
      <c r="A362" t="inlineStr">
        <is>
          <t>A 21862-2023</t>
        </is>
      </c>
      <c r="B362" s="1" t="n">
        <v>45068</v>
      </c>
      <c r="C362" s="1" t="n">
        <v>45972</v>
      </c>
      <c r="D362" t="inlineStr">
        <is>
          <t>UPPSALA LÄN</t>
        </is>
      </c>
      <c r="E362" t="inlineStr">
        <is>
          <t>ÖSTHAMMAR</t>
        </is>
      </c>
      <c r="G362" t="n">
        <v>0.5</v>
      </c>
      <c r="H362" t="n">
        <v>0</v>
      </c>
      <c r="I362" t="n">
        <v>0</v>
      </c>
      <c r="J362" t="n">
        <v>0</v>
      </c>
      <c r="K362" t="n">
        <v>0</v>
      </c>
      <c r="L362" t="n">
        <v>0</v>
      </c>
      <c r="M362" t="n">
        <v>0</v>
      </c>
      <c r="N362" t="n">
        <v>0</v>
      </c>
      <c r="O362" t="n">
        <v>0</v>
      </c>
      <c r="P362" t="n">
        <v>0</v>
      </c>
      <c r="Q362" t="n">
        <v>0</v>
      </c>
      <c r="R362" s="2" t="inlineStr"/>
    </row>
    <row r="363" ht="15" customHeight="1">
      <c r="A363" t="inlineStr">
        <is>
          <t>A 57453-2022</t>
        </is>
      </c>
      <c r="B363" s="1" t="n">
        <v>44896.56266203704</v>
      </c>
      <c r="C363" s="1" t="n">
        <v>45972</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57462-2022</t>
        </is>
      </c>
      <c r="B364" s="1" t="n">
        <v>44896.57527777777</v>
      </c>
      <c r="C364" s="1" t="n">
        <v>45972</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17643-2025</t>
        </is>
      </c>
      <c r="B365" s="1" t="n">
        <v>45758.32454861111</v>
      </c>
      <c r="C365" s="1" t="n">
        <v>45972</v>
      </c>
      <c r="D365" t="inlineStr">
        <is>
          <t>UPPSALA LÄN</t>
        </is>
      </c>
      <c r="E365" t="inlineStr">
        <is>
          <t>ÖSTHAMMAR</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12654-2025</t>
        </is>
      </c>
      <c r="B366" s="1" t="n">
        <v>45733.41601851852</v>
      </c>
      <c r="C366" s="1" t="n">
        <v>45972</v>
      </c>
      <c r="D366" t="inlineStr">
        <is>
          <t>UPPSALA LÄN</t>
        </is>
      </c>
      <c r="E366" t="inlineStr">
        <is>
          <t>ÖSTHAMMAR</t>
        </is>
      </c>
      <c r="G366" t="n">
        <v>9.9</v>
      </c>
      <c r="H366" t="n">
        <v>0</v>
      </c>
      <c r="I366" t="n">
        <v>0</v>
      </c>
      <c r="J366" t="n">
        <v>0</v>
      </c>
      <c r="K366" t="n">
        <v>0</v>
      </c>
      <c r="L366" t="n">
        <v>0</v>
      </c>
      <c r="M366" t="n">
        <v>0</v>
      </c>
      <c r="N366" t="n">
        <v>0</v>
      </c>
      <c r="O366" t="n">
        <v>0</v>
      </c>
      <c r="P366" t="n">
        <v>0</v>
      </c>
      <c r="Q366" t="n">
        <v>0</v>
      </c>
      <c r="R366" s="2" t="inlineStr"/>
    </row>
    <row r="367" ht="15" customHeight="1">
      <c r="A367" t="inlineStr">
        <is>
          <t>A 13248-2025</t>
        </is>
      </c>
      <c r="B367" s="1" t="n">
        <v>45735</v>
      </c>
      <c r="C367" s="1" t="n">
        <v>45972</v>
      </c>
      <c r="D367" t="inlineStr">
        <is>
          <t>UPPSALA LÄN</t>
        </is>
      </c>
      <c r="E367" t="inlineStr">
        <is>
          <t>ÖSTHAMMAR</t>
        </is>
      </c>
      <c r="F367" t="inlineStr">
        <is>
          <t>Kyrkan</t>
        </is>
      </c>
      <c r="G367" t="n">
        <v>12.2</v>
      </c>
      <c r="H367" t="n">
        <v>0</v>
      </c>
      <c r="I367" t="n">
        <v>0</v>
      </c>
      <c r="J367" t="n">
        <v>0</v>
      </c>
      <c r="K367" t="n">
        <v>0</v>
      </c>
      <c r="L367" t="n">
        <v>0</v>
      </c>
      <c r="M367" t="n">
        <v>0</v>
      </c>
      <c r="N367" t="n">
        <v>0</v>
      </c>
      <c r="O367" t="n">
        <v>0</v>
      </c>
      <c r="P367" t="n">
        <v>0</v>
      </c>
      <c r="Q367" t="n">
        <v>0</v>
      </c>
      <c r="R367" s="2" t="inlineStr"/>
    </row>
    <row r="368" ht="15" customHeight="1">
      <c r="A368" t="inlineStr">
        <is>
          <t>A 2839-2025</t>
        </is>
      </c>
      <c r="B368" s="1" t="n">
        <v>45677</v>
      </c>
      <c r="C368" s="1" t="n">
        <v>45972</v>
      </c>
      <c r="D368" t="inlineStr">
        <is>
          <t>UPPSALA LÄN</t>
        </is>
      </c>
      <c r="E368" t="inlineStr">
        <is>
          <t>ÖSTHAMMAR</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2947-2025</t>
        </is>
      </c>
      <c r="B369" s="1" t="n">
        <v>45678</v>
      </c>
      <c r="C369" s="1" t="n">
        <v>45972</v>
      </c>
      <c r="D369" t="inlineStr">
        <is>
          <t>UPPSALA LÄN</t>
        </is>
      </c>
      <c r="E369" t="inlineStr">
        <is>
          <t>ÖSTHAMMAR</t>
        </is>
      </c>
      <c r="G369" t="n">
        <v>3.6</v>
      </c>
      <c r="H369" t="n">
        <v>0</v>
      </c>
      <c r="I369" t="n">
        <v>0</v>
      </c>
      <c r="J369" t="n">
        <v>0</v>
      </c>
      <c r="K369" t="n">
        <v>0</v>
      </c>
      <c r="L369" t="n">
        <v>0</v>
      </c>
      <c r="M369" t="n">
        <v>0</v>
      </c>
      <c r="N369" t="n">
        <v>0</v>
      </c>
      <c r="O369" t="n">
        <v>0</v>
      </c>
      <c r="P369" t="n">
        <v>0</v>
      </c>
      <c r="Q369" t="n">
        <v>0</v>
      </c>
      <c r="R369" s="2" t="inlineStr"/>
    </row>
    <row r="370" ht="15" customHeight="1">
      <c r="A370" t="inlineStr">
        <is>
          <t>A 27308-2023</t>
        </is>
      </c>
      <c r="B370" s="1" t="n">
        <v>45096.65381944444</v>
      </c>
      <c r="C370" s="1" t="n">
        <v>45972</v>
      </c>
      <c r="D370" t="inlineStr">
        <is>
          <t>UPPSALA LÄN</t>
        </is>
      </c>
      <c r="E370" t="inlineStr">
        <is>
          <t>ÖSTHAMMAR</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28420-2023</t>
        </is>
      </c>
      <c r="B371" s="1" t="n">
        <v>45102.33054398148</v>
      </c>
      <c r="C371" s="1" t="n">
        <v>45972</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51364-2021</t>
        </is>
      </c>
      <c r="B372" s="1" t="n">
        <v>44461</v>
      </c>
      <c r="C372" s="1" t="n">
        <v>45972</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61062-2023</t>
        </is>
      </c>
      <c r="B373" s="1" t="n">
        <v>45259</v>
      </c>
      <c r="C373" s="1" t="n">
        <v>45972</v>
      </c>
      <c r="D373" t="inlineStr">
        <is>
          <t>UPPSALA LÄN</t>
        </is>
      </c>
      <c r="E373" t="inlineStr">
        <is>
          <t>ÖSTHAMMAR</t>
        </is>
      </c>
      <c r="G373" t="n">
        <v>5.3</v>
      </c>
      <c r="H373" t="n">
        <v>0</v>
      </c>
      <c r="I373" t="n">
        <v>0</v>
      </c>
      <c r="J373" t="n">
        <v>0</v>
      </c>
      <c r="K373" t="n">
        <v>0</v>
      </c>
      <c r="L373" t="n">
        <v>0</v>
      </c>
      <c r="M373" t="n">
        <v>0</v>
      </c>
      <c r="N373" t="n">
        <v>0</v>
      </c>
      <c r="O373" t="n">
        <v>0</v>
      </c>
      <c r="P373" t="n">
        <v>0</v>
      </c>
      <c r="Q373" t="n">
        <v>0</v>
      </c>
      <c r="R373" s="2" t="inlineStr"/>
    </row>
    <row r="374" ht="15" customHeight="1">
      <c r="A374" t="inlineStr">
        <is>
          <t>A 40547-2023</t>
        </is>
      </c>
      <c r="B374" s="1" t="n">
        <v>45170.45050925926</v>
      </c>
      <c r="C374" s="1" t="n">
        <v>45972</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10449-2023</t>
        </is>
      </c>
      <c r="B375" s="1" t="n">
        <v>44987</v>
      </c>
      <c r="C375" s="1" t="n">
        <v>45972</v>
      </c>
      <c r="D375" t="inlineStr">
        <is>
          <t>UPPSALA LÄN</t>
        </is>
      </c>
      <c r="E375" t="inlineStr">
        <is>
          <t>ÖSTHAMMAR</t>
        </is>
      </c>
      <c r="G375" t="n">
        <v>3.1</v>
      </c>
      <c r="H375" t="n">
        <v>0</v>
      </c>
      <c r="I375" t="n">
        <v>0</v>
      </c>
      <c r="J375" t="n">
        <v>0</v>
      </c>
      <c r="K375" t="n">
        <v>0</v>
      </c>
      <c r="L375" t="n">
        <v>0</v>
      </c>
      <c r="M375" t="n">
        <v>0</v>
      </c>
      <c r="N375" t="n">
        <v>0</v>
      </c>
      <c r="O375" t="n">
        <v>0</v>
      </c>
      <c r="P375" t="n">
        <v>0</v>
      </c>
      <c r="Q375" t="n">
        <v>0</v>
      </c>
      <c r="R375" s="2" t="inlineStr"/>
    </row>
    <row r="376" ht="15" customHeight="1">
      <c r="A376" t="inlineStr">
        <is>
          <t>A 61443-2024</t>
        </is>
      </c>
      <c r="B376" s="1" t="n">
        <v>45646.47936342593</v>
      </c>
      <c r="C376" s="1" t="n">
        <v>45972</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31035-2022</t>
        </is>
      </c>
      <c r="B377" s="1" t="n">
        <v>44768.88685185185</v>
      </c>
      <c r="C377" s="1" t="n">
        <v>45972</v>
      </c>
      <c r="D377" t="inlineStr">
        <is>
          <t>UPPSALA LÄN</t>
        </is>
      </c>
      <c r="E377" t="inlineStr">
        <is>
          <t>ÖSTHAMMAR</t>
        </is>
      </c>
      <c r="F377" t="inlineStr">
        <is>
          <t>Bergvik skog öst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61817-2021</t>
        </is>
      </c>
      <c r="B378" s="1" t="n">
        <v>44501.76855324074</v>
      </c>
      <c r="C378" s="1" t="n">
        <v>45972</v>
      </c>
      <c r="D378" t="inlineStr">
        <is>
          <t>UPPSALA LÄN</t>
        </is>
      </c>
      <c r="E378" t="inlineStr">
        <is>
          <t>ÖSTHAMMAR</t>
        </is>
      </c>
      <c r="F378" t="inlineStr">
        <is>
          <t>Bergvik skog öst AB</t>
        </is>
      </c>
      <c r="G378" t="n">
        <v>2.3</v>
      </c>
      <c r="H378" t="n">
        <v>0</v>
      </c>
      <c r="I378" t="n">
        <v>0</v>
      </c>
      <c r="J378" t="n">
        <v>0</v>
      </c>
      <c r="K378" t="n">
        <v>0</v>
      </c>
      <c r="L378" t="n">
        <v>0</v>
      </c>
      <c r="M378" t="n">
        <v>0</v>
      </c>
      <c r="N378" t="n">
        <v>0</v>
      </c>
      <c r="O378" t="n">
        <v>0</v>
      </c>
      <c r="P378" t="n">
        <v>0</v>
      </c>
      <c r="Q378" t="n">
        <v>0</v>
      </c>
      <c r="R378" s="2" t="inlineStr"/>
    </row>
    <row r="379" ht="15" customHeight="1">
      <c r="A379" t="inlineStr">
        <is>
          <t>A 73982-2021</t>
        </is>
      </c>
      <c r="B379" s="1" t="n">
        <v>44555.80339120371</v>
      </c>
      <c r="C379" s="1" t="n">
        <v>45972</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14859-2025</t>
        </is>
      </c>
      <c r="B380" s="1" t="n">
        <v>45743.42427083333</v>
      </c>
      <c r="C380" s="1" t="n">
        <v>45972</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14272-2025</t>
        </is>
      </c>
      <c r="B381" s="1" t="n">
        <v>45740.64327546296</v>
      </c>
      <c r="C381" s="1" t="n">
        <v>45972</v>
      </c>
      <c r="D381" t="inlineStr">
        <is>
          <t>UPPSALA LÄN</t>
        </is>
      </c>
      <c r="E381" t="inlineStr">
        <is>
          <t>ÖSTHAMMAR</t>
        </is>
      </c>
      <c r="G381" t="n">
        <v>5.7</v>
      </c>
      <c r="H381" t="n">
        <v>0</v>
      </c>
      <c r="I381" t="n">
        <v>0</v>
      </c>
      <c r="J381" t="n">
        <v>0</v>
      </c>
      <c r="K381" t="n">
        <v>0</v>
      </c>
      <c r="L381" t="n">
        <v>0</v>
      </c>
      <c r="M381" t="n">
        <v>0</v>
      </c>
      <c r="N381" t="n">
        <v>0</v>
      </c>
      <c r="O381" t="n">
        <v>0</v>
      </c>
      <c r="P381" t="n">
        <v>0</v>
      </c>
      <c r="Q381" t="n">
        <v>0</v>
      </c>
      <c r="R381" s="2" t="inlineStr"/>
    </row>
    <row r="382" ht="15" customHeight="1">
      <c r="A382" t="inlineStr">
        <is>
          <t>A 26612-2023</t>
        </is>
      </c>
      <c r="B382" s="1" t="n">
        <v>45089</v>
      </c>
      <c r="C382" s="1" t="n">
        <v>45972</v>
      </c>
      <c r="D382" t="inlineStr">
        <is>
          <t>UPPSALA LÄN</t>
        </is>
      </c>
      <c r="E382" t="inlineStr">
        <is>
          <t>ÖSTHAMMAR</t>
        </is>
      </c>
      <c r="G382" t="n">
        <v>2.1</v>
      </c>
      <c r="H382" t="n">
        <v>0</v>
      </c>
      <c r="I382" t="n">
        <v>0</v>
      </c>
      <c r="J382" t="n">
        <v>0</v>
      </c>
      <c r="K382" t="n">
        <v>0</v>
      </c>
      <c r="L382" t="n">
        <v>0</v>
      </c>
      <c r="M382" t="n">
        <v>0</v>
      </c>
      <c r="N382" t="n">
        <v>0</v>
      </c>
      <c r="O382" t="n">
        <v>0</v>
      </c>
      <c r="P382" t="n">
        <v>0</v>
      </c>
      <c r="Q382" t="n">
        <v>0</v>
      </c>
      <c r="R382" s="2" t="inlineStr"/>
    </row>
    <row r="383" ht="15" customHeight="1">
      <c r="A383" t="inlineStr">
        <is>
          <t>A 65361-2020</t>
        </is>
      </c>
      <c r="B383" s="1" t="n">
        <v>44173</v>
      </c>
      <c r="C383" s="1" t="n">
        <v>45972</v>
      </c>
      <c r="D383" t="inlineStr">
        <is>
          <t>UPPSALA LÄN</t>
        </is>
      </c>
      <c r="E383" t="inlineStr">
        <is>
          <t>ÖSTHAMMAR</t>
        </is>
      </c>
      <c r="G383" t="n">
        <v>3.6</v>
      </c>
      <c r="H383" t="n">
        <v>0</v>
      </c>
      <c r="I383" t="n">
        <v>0</v>
      </c>
      <c r="J383" t="n">
        <v>0</v>
      </c>
      <c r="K383" t="n">
        <v>0</v>
      </c>
      <c r="L383" t="n">
        <v>0</v>
      </c>
      <c r="M383" t="n">
        <v>0</v>
      </c>
      <c r="N383" t="n">
        <v>0</v>
      </c>
      <c r="O383" t="n">
        <v>0</v>
      </c>
      <c r="P383" t="n">
        <v>0</v>
      </c>
      <c r="Q383" t="n">
        <v>0</v>
      </c>
      <c r="R383" s="2" t="inlineStr"/>
    </row>
    <row r="384" ht="15" customHeight="1">
      <c r="A384" t="inlineStr">
        <is>
          <t>A 14269-2025</t>
        </is>
      </c>
      <c r="B384" s="1" t="n">
        <v>45740.64078703704</v>
      </c>
      <c r="C384" s="1" t="n">
        <v>45972</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27660-2023</t>
        </is>
      </c>
      <c r="B385" s="1" t="n">
        <v>45097</v>
      </c>
      <c r="C385" s="1" t="n">
        <v>45972</v>
      </c>
      <c r="D385" t="inlineStr">
        <is>
          <t>UPPSALA LÄN</t>
        </is>
      </c>
      <c r="E385" t="inlineStr">
        <is>
          <t>ÖSTHAMMAR</t>
        </is>
      </c>
      <c r="G385" t="n">
        <v>2.8</v>
      </c>
      <c r="H385" t="n">
        <v>0</v>
      </c>
      <c r="I385" t="n">
        <v>0</v>
      </c>
      <c r="J385" t="n">
        <v>0</v>
      </c>
      <c r="K385" t="n">
        <v>0</v>
      </c>
      <c r="L385" t="n">
        <v>0</v>
      </c>
      <c r="M385" t="n">
        <v>0</v>
      </c>
      <c r="N385" t="n">
        <v>0</v>
      </c>
      <c r="O385" t="n">
        <v>0</v>
      </c>
      <c r="P385" t="n">
        <v>0</v>
      </c>
      <c r="Q385" t="n">
        <v>0</v>
      </c>
      <c r="R385" s="2" t="inlineStr"/>
    </row>
    <row r="386" ht="15" customHeight="1">
      <c r="A386" t="inlineStr">
        <is>
          <t>A 18088-2025</t>
        </is>
      </c>
      <c r="B386" s="1" t="n">
        <v>45761.53104166667</v>
      </c>
      <c r="C386" s="1" t="n">
        <v>45972</v>
      </c>
      <c r="D386" t="inlineStr">
        <is>
          <t>UPPSALA LÄN</t>
        </is>
      </c>
      <c r="E386" t="inlineStr">
        <is>
          <t>ÖSTHAMMAR</t>
        </is>
      </c>
      <c r="F386" t="inlineStr">
        <is>
          <t>Bergvik skog öst AB</t>
        </is>
      </c>
      <c r="G386" t="n">
        <v>1.9</v>
      </c>
      <c r="H386" t="n">
        <v>0</v>
      </c>
      <c r="I386" t="n">
        <v>0</v>
      </c>
      <c r="J386" t="n">
        <v>0</v>
      </c>
      <c r="K386" t="n">
        <v>0</v>
      </c>
      <c r="L386" t="n">
        <v>0</v>
      </c>
      <c r="M386" t="n">
        <v>0</v>
      </c>
      <c r="N386" t="n">
        <v>0</v>
      </c>
      <c r="O386" t="n">
        <v>0</v>
      </c>
      <c r="P386" t="n">
        <v>0</v>
      </c>
      <c r="Q386" t="n">
        <v>0</v>
      </c>
      <c r="R386" s="2" t="inlineStr"/>
    </row>
    <row r="387" ht="15" customHeight="1">
      <c r="A387" t="inlineStr">
        <is>
          <t>A 18095-2025</t>
        </is>
      </c>
      <c r="B387" s="1" t="n">
        <v>45761.54925925926</v>
      </c>
      <c r="C387" s="1" t="n">
        <v>45972</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45972</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16531-2025</t>
        </is>
      </c>
      <c r="B389" s="1" t="n">
        <v>45751</v>
      </c>
      <c r="C389" s="1" t="n">
        <v>45972</v>
      </c>
      <c r="D389" t="inlineStr">
        <is>
          <t>UPPSALA LÄN</t>
        </is>
      </c>
      <c r="E389" t="inlineStr">
        <is>
          <t>ÖSTHAMMAR</t>
        </is>
      </c>
      <c r="G389" t="n">
        <v>3.3</v>
      </c>
      <c r="H389" t="n">
        <v>0</v>
      </c>
      <c r="I389" t="n">
        <v>0</v>
      </c>
      <c r="J389" t="n">
        <v>0</v>
      </c>
      <c r="K389" t="n">
        <v>0</v>
      </c>
      <c r="L389" t="n">
        <v>0</v>
      </c>
      <c r="M389" t="n">
        <v>0</v>
      </c>
      <c r="N389" t="n">
        <v>0</v>
      </c>
      <c r="O389" t="n">
        <v>0</v>
      </c>
      <c r="P389" t="n">
        <v>0</v>
      </c>
      <c r="Q389" t="n">
        <v>0</v>
      </c>
      <c r="R389" s="2" t="inlineStr"/>
    </row>
    <row r="390" ht="15" customHeight="1">
      <c r="A390" t="inlineStr">
        <is>
          <t>A 62394-2022</t>
        </is>
      </c>
      <c r="B390" s="1" t="n">
        <v>44923.82017361111</v>
      </c>
      <c r="C390" s="1" t="n">
        <v>45972</v>
      </c>
      <c r="D390" t="inlineStr">
        <is>
          <t>UPPSALA LÄN</t>
        </is>
      </c>
      <c r="E390" t="inlineStr">
        <is>
          <t>ÖSTHAMMAR</t>
        </is>
      </c>
      <c r="F390" t="inlineStr">
        <is>
          <t>Bergvik skog öst AB</t>
        </is>
      </c>
      <c r="G390" t="n">
        <v>0.5</v>
      </c>
      <c r="H390" t="n">
        <v>0</v>
      </c>
      <c r="I390" t="n">
        <v>0</v>
      </c>
      <c r="J390" t="n">
        <v>0</v>
      </c>
      <c r="K390" t="n">
        <v>0</v>
      </c>
      <c r="L390" t="n">
        <v>0</v>
      </c>
      <c r="M390" t="n">
        <v>0</v>
      </c>
      <c r="N390" t="n">
        <v>0</v>
      </c>
      <c r="O390" t="n">
        <v>0</v>
      </c>
      <c r="P390" t="n">
        <v>0</v>
      </c>
      <c r="Q390" t="n">
        <v>0</v>
      </c>
      <c r="R390" s="2" t="inlineStr"/>
    </row>
    <row r="391" ht="15" customHeight="1">
      <c r="A391" t="inlineStr">
        <is>
          <t>A 48654-2025</t>
        </is>
      </c>
      <c r="B391" s="1" t="n">
        <v>45936.55887731481</v>
      </c>
      <c r="C391" s="1" t="n">
        <v>45972</v>
      </c>
      <c r="D391" t="inlineStr">
        <is>
          <t>UPPSALA LÄN</t>
        </is>
      </c>
      <c r="E391" t="inlineStr">
        <is>
          <t>ÖSTHAMMAR</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22798-2023</t>
        </is>
      </c>
      <c r="B392" s="1" t="n">
        <v>45072</v>
      </c>
      <c r="C392" s="1" t="n">
        <v>45972</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40044-2025</t>
        </is>
      </c>
      <c r="B393" s="1" t="n">
        <v>45894.40133101852</v>
      </c>
      <c r="C393" s="1" t="n">
        <v>45972</v>
      </c>
      <c r="D393" t="inlineStr">
        <is>
          <t>UPPSALA LÄN</t>
        </is>
      </c>
      <c r="E393" t="inlineStr">
        <is>
          <t>ÖSTHAMMAR</t>
        </is>
      </c>
      <c r="F393" t="inlineStr">
        <is>
          <t>Kyrkan</t>
        </is>
      </c>
      <c r="G393" t="n">
        <v>8.9</v>
      </c>
      <c r="H393" t="n">
        <v>0</v>
      </c>
      <c r="I393" t="n">
        <v>0</v>
      </c>
      <c r="J393" t="n">
        <v>0</v>
      </c>
      <c r="K393" t="n">
        <v>0</v>
      </c>
      <c r="L393" t="n">
        <v>0</v>
      </c>
      <c r="M393" t="n">
        <v>0</v>
      </c>
      <c r="N393" t="n">
        <v>0</v>
      </c>
      <c r="O393" t="n">
        <v>0</v>
      </c>
      <c r="P393" t="n">
        <v>0</v>
      </c>
      <c r="Q393" t="n">
        <v>0</v>
      </c>
      <c r="R393" s="2" t="inlineStr"/>
    </row>
    <row r="394" ht="15" customHeight="1">
      <c r="A394" t="inlineStr">
        <is>
          <t>A 25897-2023</t>
        </is>
      </c>
      <c r="B394" s="1" t="n">
        <v>45090.63300925926</v>
      </c>
      <c r="C394" s="1" t="n">
        <v>45972</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40016-2025</t>
        </is>
      </c>
      <c r="B395" s="1" t="n">
        <v>45894.34747685185</v>
      </c>
      <c r="C395" s="1" t="n">
        <v>45972</v>
      </c>
      <c r="D395" t="inlineStr">
        <is>
          <t>UPPSALA LÄN</t>
        </is>
      </c>
      <c r="E395" t="inlineStr">
        <is>
          <t>ÖSTHAMMAR</t>
        </is>
      </c>
      <c r="F395" t="inlineStr">
        <is>
          <t>Kyrkan</t>
        </is>
      </c>
      <c r="G395" t="n">
        <v>6.6</v>
      </c>
      <c r="H395" t="n">
        <v>0</v>
      </c>
      <c r="I395" t="n">
        <v>0</v>
      </c>
      <c r="J395" t="n">
        <v>0</v>
      </c>
      <c r="K395" t="n">
        <v>0</v>
      </c>
      <c r="L395" t="n">
        <v>0</v>
      </c>
      <c r="M395" t="n">
        <v>0</v>
      </c>
      <c r="N395" t="n">
        <v>0</v>
      </c>
      <c r="O395" t="n">
        <v>0</v>
      </c>
      <c r="P395" t="n">
        <v>0</v>
      </c>
      <c r="Q395" t="n">
        <v>0</v>
      </c>
      <c r="R395" s="2" t="inlineStr"/>
    </row>
    <row r="396" ht="15" customHeight="1">
      <c r="A396" t="inlineStr">
        <is>
          <t>A 10982-2023</t>
        </is>
      </c>
      <c r="B396" s="1" t="n">
        <v>44991.62203703704</v>
      </c>
      <c r="C396" s="1" t="n">
        <v>45972</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20046-2023</t>
        </is>
      </c>
      <c r="B397" s="1" t="n">
        <v>45054</v>
      </c>
      <c r="C397" s="1" t="n">
        <v>45972</v>
      </c>
      <c r="D397" t="inlineStr">
        <is>
          <t>UPPSALA LÄN</t>
        </is>
      </c>
      <c r="E397" t="inlineStr">
        <is>
          <t>ÖSTHAMMAR</t>
        </is>
      </c>
      <c r="G397" t="n">
        <v>0.4</v>
      </c>
      <c r="H397" t="n">
        <v>0</v>
      </c>
      <c r="I397" t="n">
        <v>0</v>
      </c>
      <c r="J397" t="n">
        <v>0</v>
      </c>
      <c r="K397" t="n">
        <v>0</v>
      </c>
      <c r="L397" t="n">
        <v>0</v>
      </c>
      <c r="M397" t="n">
        <v>0</v>
      </c>
      <c r="N397" t="n">
        <v>0</v>
      </c>
      <c r="O397" t="n">
        <v>0</v>
      </c>
      <c r="P397" t="n">
        <v>0</v>
      </c>
      <c r="Q397" t="n">
        <v>0</v>
      </c>
      <c r="R397" s="2" t="inlineStr"/>
    </row>
    <row r="398" ht="15" customHeight="1">
      <c r="A398" t="inlineStr">
        <is>
          <t>A 41478-2024</t>
        </is>
      </c>
      <c r="B398" s="1" t="n">
        <v>45560.44158564815</v>
      </c>
      <c r="C398" s="1" t="n">
        <v>45972</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40637-2022</t>
        </is>
      </c>
      <c r="B399" s="1" t="n">
        <v>44824</v>
      </c>
      <c r="C399" s="1" t="n">
        <v>45972</v>
      </c>
      <c r="D399" t="inlineStr">
        <is>
          <t>UPPSALA LÄN</t>
        </is>
      </c>
      <c r="E399" t="inlineStr">
        <is>
          <t>ÖSTHAMMAR</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6046-2025</t>
        </is>
      </c>
      <c r="B400" s="1" t="n">
        <v>45695</v>
      </c>
      <c r="C400" s="1" t="n">
        <v>45972</v>
      </c>
      <c r="D400" t="inlineStr">
        <is>
          <t>UPPSALA LÄN</t>
        </is>
      </c>
      <c r="E400" t="inlineStr">
        <is>
          <t>ÖSTHAMMAR</t>
        </is>
      </c>
      <c r="G400" t="n">
        <v>0.8</v>
      </c>
      <c r="H400" t="n">
        <v>0</v>
      </c>
      <c r="I400" t="n">
        <v>0</v>
      </c>
      <c r="J400" t="n">
        <v>0</v>
      </c>
      <c r="K400" t="n">
        <v>0</v>
      </c>
      <c r="L400" t="n">
        <v>0</v>
      </c>
      <c r="M400" t="n">
        <v>0</v>
      </c>
      <c r="N400" t="n">
        <v>0</v>
      </c>
      <c r="O400" t="n">
        <v>0</v>
      </c>
      <c r="P400" t="n">
        <v>0</v>
      </c>
      <c r="Q400" t="n">
        <v>0</v>
      </c>
      <c r="R400" s="2" t="inlineStr"/>
      <c r="U400">
        <f>HYPERLINK("https://klasma.github.io/Logging_0382/knärot/A 6046-2025 karta knärot.png", "A 6046-2025")</f>
        <v/>
      </c>
      <c r="V400">
        <f>HYPERLINK("https://klasma.github.io/Logging_0382/klagomål/A 6046-2025 FSC-klagomål.docx", "A 6046-2025")</f>
        <v/>
      </c>
      <c r="W400">
        <f>HYPERLINK("https://klasma.github.io/Logging_0382/klagomålsmail/A 6046-2025 FSC-klagomål mail.docx", "A 6046-2025")</f>
        <v/>
      </c>
      <c r="X400">
        <f>HYPERLINK("https://klasma.github.io/Logging_0382/tillsyn/A 6046-2025 tillsynsbegäran.docx", "A 6046-2025")</f>
        <v/>
      </c>
      <c r="Y400">
        <f>HYPERLINK("https://klasma.github.io/Logging_0382/tillsynsmail/A 6046-2025 tillsynsbegäran mail.docx", "A 6046-2025")</f>
        <v/>
      </c>
    </row>
    <row r="401" ht="15" customHeight="1">
      <c r="A401" t="inlineStr">
        <is>
          <t>A 21624-2023</t>
        </is>
      </c>
      <c r="B401" s="1" t="n">
        <v>45063.65543981481</v>
      </c>
      <c r="C401" s="1" t="n">
        <v>45972</v>
      </c>
      <c r="D401" t="inlineStr">
        <is>
          <t>UPPSALA LÄN</t>
        </is>
      </c>
      <c r="E401" t="inlineStr">
        <is>
          <t>ÖSTHAMMAR</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6120-2024</t>
        </is>
      </c>
      <c r="B402" s="1" t="n">
        <v>45337.41784722222</v>
      </c>
      <c r="C402" s="1" t="n">
        <v>45972</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3638-2022</t>
        </is>
      </c>
      <c r="B403" s="1" t="n">
        <v>44578</v>
      </c>
      <c r="C403" s="1" t="n">
        <v>45972</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6153-2022</t>
        </is>
      </c>
      <c r="B404" s="1" t="n">
        <v>44599</v>
      </c>
      <c r="C404" s="1" t="n">
        <v>45972</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58270-2023</t>
        </is>
      </c>
      <c r="B405" s="1" t="n">
        <v>45250.49961805555</v>
      </c>
      <c r="C405" s="1" t="n">
        <v>45972</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1800-2023</t>
        </is>
      </c>
      <c r="B406" s="1" t="n">
        <v>44938</v>
      </c>
      <c r="C406" s="1" t="n">
        <v>45972</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47341-2023</t>
        </is>
      </c>
      <c r="B407" s="1" t="n">
        <v>45202.55721064815</v>
      </c>
      <c r="C407" s="1" t="n">
        <v>45972</v>
      </c>
      <c r="D407" t="inlineStr">
        <is>
          <t>UPPSALA LÄN</t>
        </is>
      </c>
      <c r="E407" t="inlineStr">
        <is>
          <t>ÖSTHAMMAR</t>
        </is>
      </c>
      <c r="G407" t="n">
        <v>4.9</v>
      </c>
      <c r="H407" t="n">
        <v>0</v>
      </c>
      <c r="I407" t="n">
        <v>0</v>
      </c>
      <c r="J407" t="n">
        <v>0</v>
      </c>
      <c r="K407" t="n">
        <v>0</v>
      </c>
      <c r="L407" t="n">
        <v>0</v>
      </c>
      <c r="M407" t="n">
        <v>0</v>
      </c>
      <c r="N407" t="n">
        <v>0</v>
      </c>
      <c r="O407" t="n">
        <v>0</v>
      </c>
      <c r="P407" t="n">
        <v>0</v>
      </c>
      <c r="Q407" t="n">
        <v>0</v>
      </c>
      <c r="R407" s="2" t="inlineStr"/>
    </row>
    <row r="408" ht="15" customHeight="1">
      <c r="A408" t="inlineStr">
        <is>
          <t>A 17969-2023</t>
        </is>
      </c>
      <c r="B408" s="1" t="n">
        <v>45040.47081018519</v>
      </c>
      <c r="C408" s="1" t="n">
        <v>45972</v>
      </c>
      <c r="D408" t="inlineStr">
        <is>
          <t>UPPSALA LÄN</t>
        </is>
      </c>
      <c r="E408" t="inlineStr">
        <is>
          <t>ÖSTHAMMAR</t>
        </is>
      </c>
      <c r="G408" t="n">
        <v>5.4</v>
      </c>
      <c r="H408" t="n">
        <v>0</v>
      </c>
      <c r="I408" t="n">
        <v>0</v>
      </c>
      <c r="J408" t="n">
        <v>0</v>
      </c>
      <c r="K408" t="n">
        <v>0</v>
      </c>
      <c r="L408" t="n">
        <v>0</v>
      </c>
      <c r="M408" t="n">
        <v>0</v>
      </c>
      <c r="N408" t="n">
        <v>0</v>
      </c>
      <c r="O408" t="n">
        <v>0</v>
      </c>
      <c r="P408" t="n">
        <v>0</v>
      </c>
      <c r="Q408" t="n">
        <v>0</v>
      </c>
      <c r="R408" s="2" t="inlineStr"/>
    </row>
    <row r="409" ht="15" customHeight="1">
      <c r="A409" t="inlineStr">
        <is>
          <t>A 58878-2022</t>
        </is>
      </c>
      <c r="B409" s="1" t="n">
        <v>44903</v>
      </c>
      <c r="C409" s="1" t="n">
        <v>45972</v>
      </c>
      <c r="D409" t="inlineStr">
        <is>
          <t>UPPSALA LÄN</t>
        </is>
      </c>
      <c r="E409" t="inlineStr">
        <is>
          <t>ÖSTHAMMAR</t>
        </is>
      </c>
      <c r="G409" t="n">
        <v>0.8</v>
      </c>
      <c r="H409" t="n">
        <v>0</v>
      </c>
      <c r="I409" t="n">
        <v>0</v>
      </c>
      <c r="J409" t="n">
        <v>0</v>
      </c>
      <c r="K409" t="n">
        <v>0</v>
      </c>
      <c r="L409" t="n">
        <v>0</v>
      </c>
      <c r="M409" t="n">
        <v>0</v>
      </c>
      <c r="N409" t="n">
        <v>0</v>
      </c>
      <c r="O409" t="n">
        <v>0</v>
      </c>
      <c r="P409" t="n">
        <v>0</v>
      </c>
      <c r="Q409" t="n">
        <v>0</v>
      </c>
      <c r="R409" s="2" t="inlineStr"/>
    </row>
    <row r="410" ht="15" customHeight="1">
      <c r="A410" t="inlineStr">
        <is>
          <t>A 61216-2022</t>
        </is>
      </c>
      <c r="B410" s="1" t="n">
        <v>44915.55423611111</v>
      </c>
      <c r="C410" s="1" t="n">
        <v>45972</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22804-2022</t>
        </is>
      </c>
      <c r="B411" s="1" t="n">
        <v>44715</v>
      </c>
      <c r="C411" s="1" t="n">
        <v>45972</v>
      </c>
      <c r="D411" t="inlineStr">
        <is>
          <t>UPPSALA LÄN</t>
        </is>
      </c>
      <c r="E411" t="inlineStr">
        <is>
          <t>ÖSTHAMMAR</t>
        </is>
      </c>
      <c r="G411" t="n">
        <v>2.7</v>
      </c>
      <c r="H411" t="n">
        <v>0</v>
      </c>
      <c r="I411" t="n">
        <v>0</v>
      </c>
      <c r="J411" t="n">
        <v>0</v>
      </c>
      <c r="K411" t="n">
        <v>0</v>
      </c>
      <c r="L411" t="n">
        <v>0</v>
      </c>
      <c r="M411" t="n">
        <v>0</v>
      </c>
      <c r="N411" t="n">
        <v>0</v>
      </c>
      <c r="O411" t="n">
        <v>0</v>
      </c>
      <c r="P411" t="n">
        <v>0</v>
      </c>
      <c r="Q411" t="n">
        <v>0</v>
      </c>
      <c r="R411" s="2" t="inlineStr"/>
    </row>
    <row r="412" ht="15" customHeight="1">
      <c r="A412" t="inlineStr">
        <is>
          <t>A 70008-2021</t>
        </is>
      </c>
      <c r="B412" s="1" t="n">
        <v>44533.44887731481</v>
      </c>
      <c r="C412" s="1" t="n">
        <v>45972</v>
      </c>
      <c r="D412" t="inlineStr">
        <is>
          <t>UPPSALA LÄN</t>
        </is>
      </c>
      <c r="E412" t="inlineStr">
        <is>
          <t>ÖSTHAMMAR</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12528-2024</t>
        </is>
      </c>
      <c r="B413" s="1" t="n">
        <v>45379.61878472222</v>
      </c>
      <c r="C413" s="1" t="n">
        <v>45972</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57003-2021</t>
        </is>
      </c>
      <c r="B414" s="1" t="n">
        <v>44482.47577546296</v>
      </c>
      <c r="C414" s="1" t="n">
        <v>45972</v>
      </c>
      <c r="D414" t="inlineStr">
        <is>
          <t>UPPSALA LÄN</t>
        </is>
      </c>
      <c r="E414" t="inlineStr">
        <is>
          <t>ÖSTHAMMAR</t>
        </is>
      </c>
      <c r="G414" t="n">
        <v>1.9</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45972</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24033-2023</t>
        </is>
      </c>
      <c r="B416" s="1" t="n">
        <v>45078</v>
      </c>
      <c r="C416" s="1" t="n">
        <v>45972</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2733-2023</t>
        </is>
      </c>
      <c r="B417" s="1" t="n">
        <v>44943</v>
      </c>
      <c r="C417" s="1" t="n">
        <v>45972</v>
      </c>
      <c r="D417" t="inlineStr">
        <is>
          <t>UPPSALA LÄN</t>
        </is>
      </c>
      <c r="E417" t="inlineStr">
        <is>
          <t>ÖSTHAMMAR</t>
        </is>
      </c>
      <c r="G417" t="n">
        <v>2.6</v>
      </c>
      <c r="H417" t="n">
        <v>0</v>
      </c>
      <c r="I417" t="n">
        <v>0</v>
      </c>
      <c r="J417" t="n">
        <v>0</v>
      </c>
      <c r="K417" t="n">
        <v>0</v>
      </c>
      <c r="L417" t="n">
        <v>0</v>
      </c>
      <c r="M417" t="n">
        <v>0</v>
      </c>
      <c r="N417" t="n">
        <v>0</v>
      </c>
      <c r="O417" t="n">
        <v>0</v>
      </c>
      <c r="P417" t="n">
        <v>0</v>
      </c>
      <c r="Q417" t="n">
        <v>0</v>
      </c>
      <c r="R417" s="2" t="inlineStr"/>
    </row>
    <row r="418" ht="15" customHeight="1">
      <c r="A418" t="inlineStr">
        <is>
          <t>A 4228-2023</t>
        </is>
      </c>
      <c r="B418" s="1" t="n">
        <v>44953.48179398148</v>
      </c>
      <c r="C418" s="1" t="n">
        <v>45972</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18091-2023</t>
        </is>
      </c>
      <c r="B419" s="1" t="n">
        <v>45040</v>
      </c>
      <c r="C419" s="1" t="n">
        <v>45972</v>
      </c>
      <c r="D419" t="inlineStr">
        <is>
          <t>UPPSALA LÄN</t>
        </is>
      </c>
      <c r="E419" t="inlineStr">
        <is>
          <t>ÖSTHAMMAR</t>
        </is>
      </c>
      <c r="G419" t="n">
        <v>2.4</v>
      </c>
      <c r="H419" t="n">
        <v>0</v>
      </c>
      <c r="I419" t="n">
        <v>0</v>
      </c>
      <c r="J419" t="n">
        <v>0</v>
      </c>
      <c r="K419" t="n">
        <v>0</v>
      </c>
      <c r="L419" t="n">
        <v>0</v>
      </c>
      <c r="M419" t="n">
        <v>0</v>
      </c>
      <c r="N419" t="n">
        <v>0</v>
      </c>
      <c r="O419" t="n">
        <v>0</v>
      </c>
      <c r="P419" t="n">
        <v>0</v>
      </c>
      <c r="Q419" t="n">
        <v>0</v>
      </c>
      <c r="R419" s="2" t="inlineStr"/>
    </row>
    <row r="420" ht="15" customHeight="1">
      <c r="A420" t="inlineStr">
        <is>
          <t>A 12262-2023</t>
        </is>
      </c>
      <c r="B420" s="1" t="n">
        <v>44998.66662037037</v>
      </c>
      <c r="C420" s="1" t="n">
        <v>45972</v>
      </c>
      <c r="D420" t="inlineStr">
        <is>
          <t>UPPSALA LÄN</t>
        </is>
      </c>
      <c r="E420" t="inlineStr">
        <is>
          <t>ÖSTHAMMAR</t>
        </is>
      </c>
      <c r="G420" t="n">
        <v>4.1</v>
      </c>
      <c r="H420" t="n">
        <v>0</v>
      </c>
      <c r="I420" t="n">
        <v>0</v>
      </c>
      <c r="J420" t="n">
        <v>0</v>
      </c>
      <c r="K420" t="n">
        <v>0</v>
      </c>
      <c r="L420" t="n">
        <v>0</v>
      </c>
      <c r="M420" t="n">
        <v>0</v>
      </c>
      <c r="N420" t="n">
        <v>0</v>
      </c>
      <c r="O420" t="n">
        <v>0</v>
      </c>
      <c r="P420" t="n">
        <v>0</v>
      </c>
      <c r="Q420" t="n">
        <v>0</v>
      </c>
      <c r="R420" s="2" t="inlineStr"/>
    </row>
    <row r="421" ht="15" customHeight="1">
      <c r="A421" t="inlineStr">
        <is>
          <t>A 5254-2025</t>
        </is>
      </c>
      <c r="B421" s="1" t="n">
        <v>45692</v>
      </c>
      <c r="C421" s="1" t="n">
        <v>45972</v>
      </c>
      <c r="D421" t="inlineStr">
        <is>
          <t>UPPSALA LÄN</t>
        </is>
      </c>
      <c r="E421" t="inlineStr">
        <is>
          <t>ÖSTHAMMAR</t>
        </is>
      </c>
      <c r="G421" t="n">
        <v>5</v>
      </c>
      <c r="H421" t="n">
        <v>0</v>
      </c>
      <c r="I421" t="n">
        <v>0</v>
      </c>
      <c r="J421" t="n">
        <v>0</v>
      </c>
      <c r="K421" t="n">
        <v>0</v>
      </c>
      <c r="L421" t="n">
        <v>0</v>
      </c>
      <c r="M421" t="n">
        <v>0</v>
      </c>
      <c r="N421" t="n">
        <v>0</v>
      </c>
      <c r="O421" t="n">
        <v>0</v>
      </c>
      <c r="P421" t="n">
        <v>0</v>
      </c>
      <c r="Q421" t="n">
        <v>0</v>
      </c>
      <c r="R421" s="2" t="inlineStr"/>
    </row>
    <row r="422" ht="15" customHeight="1">
      <c r="A422" t="inlineStr">
        <is>
          <t>A 44807-2024</t>
        </is>
      </c>
      <c r="B422" s="1" t="n">
        <v>45574.65427083334</v>
      </c>
      <c r="C422" s="1" t="n">
        <v>45972</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12812-2024</t>
        </is>
      </c>
      <c r="B423" s="1" t="n">
        <v>45384.65465277778</v>
      </c>
      <c r="C423" s="1" t="n">
        <v>45972</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7195-2023</t>
        </is>
      </c>
      <c r="B424" s="1" t="n">
        <v>44970</v>
      </c>
      <c r="C424" s="1" t="n">
        <v>45972</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37568-2022</t>
        </is>
      </c>
      <c r="B425" s="1" t="n">
        <v>44809</v>
      </c>
      <c r="C425" s="1" t="n">
        <v>45972</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9542-2023</t>
        </is>
      </c>
      <c r="B426" s="1" t="n">
        <v>44981</v>
      </c>
      <c r="C426" s="1" t="n">
        <v>45972</v>
      </c>
      <c r="D426" t="inlineStr">
        <is>
          <t>UPPSALA LÄN</t>
        </is>
      </c>
      <c r="E426" t="inlineStr">
        <is>
          <t>ÖSTHAMMAR</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55100-2024</t>
        </is>
      </c>
      <c r="B427" s="1" t="n">
        <v>45621.4405787037</v>
      </c>
      <c r="C427" s="1" t="n">
        <v>45972</v>
      </c>
      <c r="D427" t="inlineStr">
        <is>
          <t>UPPSALA LÄN</t>
        </is>
      </c>
      <c r="E427" t="inlineStr">
        <is>
          <t>ÖSTHAMMAR</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66779-2021</t>
        </is>
      </c>
      <c r="B428" s="1" t="n">
        <v>44522.31700231481</v>
      </c>
      <c r="C428" s="1" t="n">
        <v>45972</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45972</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60079-2022</t>
        </is>
      </c>
      <c r="B430" s="1" t="n">
        <v>44909</v>
      </c>
      <c r="C430" s="1" t="n">
        <v>45972</v>
      </c>
      <c r="D430" t="inlineStr">
        <is>
          <t>UPPSALA LÄN</t>
        </is>
      </c>
      <c r="E430" t="inlineStr">
        <is>
          <t>ÖSTHAMMAR</t>
        </is>
      </c>
      <c r="G430" t="n">
        <v>9.6</v>
      </c>
      <c r="H430" t="n">
        <v>0</v>
      </c>
      <c r="I430" t="n">
        <v>0</v>
      </c>
      <c r="J430" t="n">
        <v>0</v>
      </c>
      <c r="K430" t="n">
        <v>0</v>
      </c>
      <c r="L430" t="n">
        <v>0</v>
      </c>
      <c r="M430" t="n">
        <v>0</v>
      </c>
      <c r="N430" t="n">
        <v>0</v>
      </c>
      <c r="O430" t="n">
        <v>0</v>
      </c>
      <c r="P430" t="n">
        <v>0</v>
      </c>
      <c r="Q430" t="n">
        <v>0</v>
      </c>
      <c r="R430" s="2" t="inlineStr"/>
    </row>
    <row r="431" ht="15" customHeight="1">
      <c r="A431" t="inlineStr">
        <is>
          <t>A 9267-2024</t>
        </is>
      </c>
      <c r="B431" s="1" t="n">
        <v>45358</v>
      </c>
      <c r="C431" s="1" t="n">
        <v>45972</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33758-2024</t>
        </is>
      </c>
      <c r="B432" s="1" t="n">
        <v>45520.56896990741</v>
      </c>
      <c r="C432" s="1" t="n">
        <v>45972</v>
      </c>
      <c r="D432" t="inlineStr">
        <is>
          <t>UPPSALA LÄN</t>
        </is>
      </c>
      <c r="E432" t="inlineStr">
        <is>
          <t>ÖSTHAMMAR</t>
        </is>
      </c>
      <c r="G432" t="n">
        <v>6.5</v>
      </c>
      <c r="H432" t="n">
        <v>0</v>
      </c>
      <c r="I432" t="n">
        <v>0</v>
      </c>
      <c r="J432" t="n">
        <v>0</v>
      </c>
      <c r="K432" t="n">
        <v>0</v>
      </c>
      <c r="L432" t="n">
        <v>0</v>
      </c>
      <c r="M432" t="n">
        <v>0</v>
      </c>
      <c r="N432" t="n">
        <v>0</v>
      </c>
      <c r="O432" t="n">
        <v>0</v>
      </c>
      <c r="P432" t="n">
        <v>0</v>
      </c>
      <c r="Q432" t="n">
        <v>0</v>
      </c>
      <c r="R432" s="2" t="inlineStr"/>
    </row>
    <row r="433" ht="15" customHeight="1">
      <c r="A433" t="inlineStr">
        <is>
          <t>A 31574-2022</t>
        </is>
      </c>
      <c r="B433" s="1" t="n">
        <v>44775</v>
      </c>
      <c r="C433" s="1" t="n">
        <v>45972</v>
      </c>
      <c r="D433" t="inlineStr">
        <is>
          <t>UPPSALA LÄN</t>
        </is>
      </c>
      <c r="E433" t="inlineStr">
        <is>
          <t>ÖSTHAMMAR</t>
        </is>
      </c>
      <c r="G433" t="n">
        <v>29.7</v>
      </c>
      <c r="H433" t="n">
        <v>0</v>
      </c>
      <c r="I433" t="n">
        <v>0</v>
      </c>
      <c r="J433" t="n">
        <v>0</v>
      </c>
      <c r="K433" t="n">
        <v>0</v>
      </c>
      <c r="L433" t="n">
        <v>0</v>
      </c>
      <c r="M433" t="n">
        <v>0</v>
      </c>
      <c r="N433" t="n">
        <v>0</v>
      </c>
      <c r="O433" t="n">
        <v>0</v>
      </c>
      <c r="P433" t="n">
        <v>0</v>
      </c>
      <c r="Q433" t="n">
        <v>0</v>
      </c>
      <c r="R433" s="2" t="inlineStr"/>
    </row>
    <row r="434" ht="15" customHeight="1">
      <c r="A434" t="inlineStr">
        <is>
          <t>A 35316-2024</t>
        </is>
      </c>
      <c r="B434" s="1" t="n">
        <v>45530.68873842592</v>
      </c>
      <c r="C434" s="1" t="n">
        <v>45972</v>
      </c>
      <c r="D434" t="inlineStr">
        <is>
          <t>UPPSALA LÄN</t>
        </is>
      </c>
      <c r="E434" t="inlineStr">
        <is>
          <t>ÖSTHAMMAR</t>
        </is>
      </c>
      <c r="F434" t="inlineStr">
        <is>
          <t>Bergvik skog öst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26774-2023</t>
        </is>
      </c>
      <c r="B435" s="1" t="n">
        <v>45093.47947916666</v>
      </c>
      <c r="C435" s="1" t="n">
        <v>45972</v>
      </c>
      <c r="D435" t="inlineStr">
        <is>
          <t>UPPSALA LÄN</t>
        </is>
      </c>
      <c r="E435" t="inlineStr">
        <is>
          <t>ÖSTHAMMAR</t>
        </is>
      </c>
      <c r="F435" t="inlineStr">
        <is>
          <t>Bergvik skog öst AB</t>
        </is>
      </c>
      <c r="G435" t="n">
        <v>2.1</v>
      </c>
      <c r="H435" t="n">
        <v>0</v>
      </c>
      <c r="I435" t="n">
        <v>0</v>
      </c>
      <c r="J435" t="n">
        <v>0</v>
      </c>
      <c r="K435" t="n">
        <v>0</v>
      </c>
      <c r="L435" t="n">
        <v>0</v>
      </c>
      <c r="M435" t="n">
        <v>0</v>
      </c>
      <c r="N435" t="n">
        <v>0</v>
      </c>
      <c r="O435" t="n">
        <v>0</v>
      </c>
      <c r="P435" t="n">
        <v>0</v>
      </c>
      <c r="Q435" t="n">
        <v>0</v>
      </c>
      <c r="R435" s="2" t="inlineStr"/>
    </row>
    <row r="436" ht="15" customHeight="1">
      <c r="A436" t="inlineStr">
        <is>
          <t>A 38571-2023</t>
        </is>
      </c>
      <c r="B436" s="1" t="n">
        <v>45162.6177662037</v>
      </c>
      <c r="C436" s="1" t="n">
        <v>45972</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67848-2021</t>
        </is>
      </c>
      <c r="B437" s="1" t="n">
        <v>44525</v>
      </c>
      <c r="C437" s="1" t="n">
        <v>45972</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24181-2022</t>
        </is>
      </c>
      <c r="B438" s="1" t="n">
        <v>44725</v>
      </c>
      <c r="C438" s="1" t="n">
        <v>45972</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55097-2024</t>
        </is>
      </c>
      <c r="B439" s="1" t="n">
        <v>45621.43855324074</v>
      </c>
      <c r="C439" s="1" t="n">
        <v>45972</v>
      </c>
      <c r="D439" t="inlineStr">
        <is>
          <t>UPPSALA LÄN</t>
        </is>
      </c>
      <c r="E439" t="inlineStr">
        <is>
          <t>ÖSTHAMMAR</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18230-2025</t>
        </is>
      </c>
      <c r="B440" s="1" t="n">
        <v>45761.87114583333</v>
      </c>
      <c r="C440" s="1" t="n">
        <v>45972</v>
      </c>
      <c r="D440" t="inlineStr">
        <is>
          <t>UPPSALA LÄN</t>
        </is>
      </c>
      <c r="E440" t="inlineStr">
        <is>
          <t>ÖSTHAMMAR</t>
        </is>
      </c>
      <c r="F440" t="inlineStr">
        <is>
          <t>Bergvik skog öst AB</t>
        </is>
      </c>
      <c r="G440" t="n">
        <v>4.2</v>
      </c>
      <c r="H440" t="n">
        <v>0</v>
      </c>
      <c r="I440" t="n">
        <v>0</v>
      </c>
      <c r="J440" t="n">
        <v>0</v>
      </c>
      <c r="K440" t="n">
        <v>0</v>
      </c>
      <c r="L440" t="n">
        <v>0</v>
      </c>
      <c r="M440" t="n">
        <v>0</v>
      </c>
      <c r="N440" t="n">
        <v>0</v>
      </c>
      <c r="O440" t="n">
        <v>0</v>
      </c>
      <c r="P440" t="n">
        <v>0</v>
      </c>
      <c r="Q440" t="n">
        <v>0</v>
      </c>
      <c r="R440" s="2" t="inlineStr"/>
    </row>
    <row r="441" ht="15" customHeight="1">
      <c r="A441" t="inlineStr">
        <is>
          <t>A 7560-2023</t>
        </is>
      </c>
      <c r="B441" s="1" t="n">
        <v>44972.34811342593</v>
      </c>
      <c r="C441" s="1" t="n">
        <v>45972</v>
      </c>
      <c r="D441" t="inlineStr">
        <is>
          <t>UPPSALA LÄN</t>
        </is>
      </c>
      <c r="E441" t="inlineStr">
        <is>
          <t>ÖSTHAMMAR</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44184-2024</t>
        </is>
      </c>
      <c r="B442" s="1" t="n">
        <v>45572</v>
      </c>
      <c r="C442" s="1" t="n">
        <v>45972</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37865-2023</t>
        </is>
      </c>
      <c r="B443" s="1" t="n">
        <v>45160</v>
      </c>
      <c r="C443" s="1" t="n">
        <v>45972</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48083-2024</t>
        </is>
      </c>
      <c r="B444" s="1" t="n">
        <v>45589.58766203704</v>
      </c>
      <c r="C444" s="1" t="n">
        <v>45972</v>
      </c>
      <c r="D444" t="inlineStr">
        <is>
          <t>UPPSALA LÄN</t>
        </is>
      </c>
      <c r="E444" t="inlineStr">
        <is>
          <t>ÖSTHAMMAR</t>
        </is>
      </c>
      <c r="G444" t="n">
        <v>3</v>
      </c>
      <c r="H444" t="n">
        <v>0</v>
      </c>
      <c r="I444" t="n">
        <v>0</v>
      </c>
      <c r="J444" t="n">
        <v>0</v>
      </c>
      <c r="K444" t="n">
        <v>0</v>
      </c>
      <c r="L444" t="n">
        <v>0</v>
      </c>
      <c r="M444" t="n">
        <v>0</v>
      </c>
      <c r="N444" t="n">
        <v>0</v>
      </c>
      <c r="O444" t="n">
        <v>0</v>
      </c>
      <c r="P444" t="n">
        <v>0</v>
      </c>
      <c r="Q444" t="n">
        <v>0</v>
      </c>
      <c r="R444" s="2" t="inlineStr"/>
    </row>
    <row r="445" ht="15" customHeight="1">
      <c r="A445" t="inlineStr">
        <is>
          <t>A 4096-2025</t>
        </is>
      </c>
      <c r="B445" s="1" t="n">
        <v>45684</v>
      </c>
      <c r="C445" s="1" t="n">
        <v>45972</v>
      </c>
      <c r="D445" t="inlineStr">
        <is>
          <t>UPPSALA LÄN</t>
        </is>
      </c>
      <c r="E445" t="inlineStr">
        <is>
          <t>ÖSTHAMMAR</t>
        </is>
      </c>
      <c r="G445" t="n">
        <v>2</v>
      </c>
      <c r="H445" t="n">
        <v>0</v>
      </c>
      <c r="I445" t="n">
        <v>0</v>
      </c>
      <c r="J445" t="n">
        <v>0</v>
      </c>
      <c r="K445" t="n">
        <v>0</v>
      </c>
      <c r="L445" t="n">
        <v>0</v>
      </c>
      <c r="M445" t="n">
        <v>0</v>
      </c>
      <c r="N445" t="n">
        <v>0</v>
      </c>
      <c r="O445" t="n">
        <v>0</v>
      </c>
      <c r="P445" t="n">
        <v>0</v>
      </c>
      <c r="Q445" t="n">
        <v>0</v>
      </c>
      <c r="R445" s="2" t="inlineStr"/>
    </row>
    <row r="446" ht="15" customHeight="1">
      <c r="A446" t="inlineStr">
        <is>
          <t>A 74436-2021</t>
        </is>
      </c>
      <c r="B446" s="1" t="n">
        <v>44560.4502199074</v>
      </c>
      <c r="C446" s="1" t="n">
        <v>45972</v>
      </c>
      <c r="D446" t="inlineStr">
        <is>
          <t>UPPSALA LÄN</t>
        </is>
      </c>
      <c r="E446" t="inlineStr">
        <is>
          <t>ÖSTHAMMAR</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22884-2024</t>
        </is>
      </c>
      <c r="B447" s="1" t="n">
        <v>45448</v>
      </c>
      <c r="C447" s="1" t="n">
        <v>45972</v>
      </c>
      <c r="D447" t="inlineStr">
        <is>
          <t>UPPSALA LÄN</t>
        </is>
      </c>
      <c r="E447" t="inlineStr">
        <is>
          <t>ÖSTHAMMAR</t>
        </is>
      </c>
      <c r="G447" t="n">
        <v>3.3</v>
      </c>
      <c r="H447" t="n">
        <v>0</v>
      </c>
      <c r="I447" t="n">
        <v>0</v>
      </c>
      <c r="J447" t="n">
        <v>0</v>
      </c>
      <c r="K447" t="n">
        <v>0</v>
      </c>
      <c r="L447" t="n">
        <v>0</v>
      </c>
      <c r="M447" t="n">
        <v>0</v>
      </c>
      <c r="N447" t="n">
        <v>0</v>
      </c>
      <c r="O447" t="n">
        <v>0</v>
      </c>
      <c r="P447" t="n">
        <v>0</v>
      </c>
      <c r="Q447" t="n">
        <v>0</v>
      </c>
      <c r="R447" s="2" t="inlineStr"/>
    </row>
    <row r="448" ht="15" customHeight="1">
      <c r="A448" t="inlineStr">
        <is>
          <t>A 7100-2025</t>
        </is>
      </c>
      <c r="B448" s="1" t="n">
        <v>45701.83930555556</v>
      </c>
      <c r="C448" s="1" t="n">
        <v>45972</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40416-2025</t>
        </is>
      </c>
      <c r="B449" s="1" t="n">
        <v>45895.57736111111</v>
      </c>
      <c r="C449" s="1" t="n">
        <v>45972</v>
      </c>
      <c r="D449" t="inlineStr">
        <is>
          <t>UPPSALA LÄN</t>
        </is>
      </c>
      <c r="E449" t="inlineStr">
        <is>
          <t>ÖSTHAMMAR</t>
        </is>
      </c>
      <c r="G449" t="n">
        <v>0.4</v>
      </c>
      <c r="H449" t="n">
        <v>0</v>
      </c>
      <c r="I449" t="n">
        <v>0</v>
      </c>
      <c r="J449" t="n">
        <v>0</v>
      </c>
      <c r="K449" t="n">
        <v>0</v>
      </c>
      <c r="L449" t="n">
        <v>0</v>
      </c>
      <c r="M449" t="n">
        <v>0</v>
      </c>
      <c r="N449" t="n">
        <v>0</v>
      </c>
      <c r="O449" t="n">
        <v>0</v>
      </c>
      <c r="P449" t="n">
        <v>0</v>
      </c>
      <c r="Q449" t="n">
        <v>0</v>
      </c>
      <c r="R449" s="2" t="inlineStr"/>
    </row>
    <row r="450" ht="15" customHeight="1">
      <c r="A450" t="inlineStr">
        <is>
          <t>A 32778-2023</t>
        </is>
      </c>
      <c r="B450" s="1" t="n">
        <v>45123.88789351852</v>
      </c>
      <c r="C450" s="1" t="n">
        <v>45972</v>
      </c>
      <c r="D450" t="inlineStr">
        <is>
          <t>UPPSALA LÄN</t>
        </is>
      </c>
      <c r="E450" t="inlineStr">
        <is>
          <t>ÖSTHAMMAR</t>
        </is>
      </c>
      <c r="F450" t="inlineStr">
        <is>
          <t>Bergvik skog öst AB</t>
        </is>
      </c>
      <c r="G450" t="n">
        <v>1</v>
      </c>
      <c r="H450" t="n">
        <v>0</v>
      </c>
      <c r="I450" t="n">
        <v>0</v>
      </c>
      <c r="J450" t="n">
        <v>0</v>
      </c>
      <c r="K450" t="n">
        <v>0</v>
      </c>
      <c r="L450" t="n">
        <v>0</v>
      </c>
      <c r="M450" t="n">
        <v>0</v>
      </c>
      <c r="N450" t="n">
        <v>0</v>
      </c>
      <c r="O450" t="n">
        <v>0</v>
      </c>
      <c r="P450" t="n">
        <v>0</v>
      </c>
      <c r="Q450" t="n">
        <v>0</v>
      </c>
      <c r="R450" s="2" t="inlineStr"/>
    </row>
    <row r="451" ht="15" customHeight="1">
      <c r="A451" t="inlineStr">
        <is>
          <t>A 40377-2025</t>
        </is>
      </c>
      <c r="B451" s="1" t="n">
        <v>45895.53020833333</v>
      </c>
      <c r="C451" s="1" t="n">
        <v>45972</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40462-2025</t>
        </is>
      </c>
      <c r="B452" s="1" t="n">
        <v>45895.65179398148</v>
      </c>
      <c r="C452" s="1" t="n">
        <v>45972</v>
      </c>
      <c r="D452" t="inlineStr">
        <is>
          <t>UPPSALA LÄN</t>
        </is>
      </c>
      <c r="E452" t="inlineStr">
        <is>
          <t>ÖSTHAMMAR</t>
        </is>
      </c>
      <c r="G452" t="n">
        <v>4.5</v>
      </c>
      <c r="H452" t="n">
        <v>0</v>
      </c>
      <c r="I452" t="n">
        <v>0</v>
      </c>
      <c r="J452" t="n">
        <v>0</v>
      </c>
      <c r="K452" t="n">
        <v>0</v>
      </c>
      <c r="L452" t="n">
        <v>0</v>
      </c>
      <c r="M452" t="n">
        <v>0</v>
      </c>
      <c r="N452" t="n">
        <v>0</v>
      </c>
      <c r="O452" t="n">
        <v>0</v>
      </c>
      <c r="P452" t="n">
        <v>0</v>
      </c>
      <c r="Q452" t="n">
        <v>0</v>
      </c>
      <c r="R452" s="2" t="inlineStr"/>
    </row>
    <row r="453" ht="15" customHeight="1">
      <c r="A453" t="inlineStr">
        <is>
          <t>A 40570-2025</t>
        </is>
      </c>
      <c r="B453" s="1" t="n">
        <v>45896.47878472223</v>
      </c>
      <c r="C453" s="1" t="n">
        <v>45972</v>
      </c>
      <c r="D453" t="inlineStr">
        <is>
          <t>UPPSALA LÄN</t>
        </is>
      </c>
      <c r="E453" t="inlineStr">
        <is>
          <t>ÖSTHAMMAR</t>
        </is>
      </c>
      <c r="F453" t="inlineStr">
        <is>
          <t>Övriga Aktiebolag</t>
        </is>
      </c>
      <c r="G453" t="n">
        <v>4.8</v>
      </c>
      <c r="H453" t="n">
        <v>0</v>
      </c>
      <c r="I453" t="n">
        <v>0</v>
      </c>
      <c r="J453" t="n">
        <v>0</v>
      </c>
      <c r="K453" t="n">
        <v>0</v>
      </c>
      <c r="L453" t="n">
        <v>0</v>
      </c>
      <c r="M453" t="n">
        <v>0</v>
      </c>
      <c r="N453" t="n">
        <v>0</v>
      </c>
      <c r="O453" t="n">
        <v>0</v>
      </c>
      <c r="P453" t="n">
        <v>0</v>
      </c>
      <c r="Q453" t="n">
        <v>0</v>
      </c>
      <c r="R453" s="2" t="inlineStr"/>
    </row>
    <row r="454" ht="15" customHeight="1">
      <c r="A454" t="inlineStr">
        <is>
          <t>A 40382-2025</t>
        </is>
      </c>
      <c r="B454" s="1" t="n">
        <v>45895.53689814815</v>
      </c>
      <c r="C454" s="1" t="n">
        <v>45972</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40384-2025</t>
        </is>
      </c>
      <c r="B455" s="1" t="n">
        <v>45895.54085648148</v>
      </c>
      <c r="C455" s="1" t="n">
        <v>45972</v>
      </c>
      <c r="D455" t="inlineStr">
        <is>
          <t>UPPSALA LÄN</t>
        </is>
      </c>
      <c r="E455" t="inlineStr">
        <is>
          <t>ÖSTHAMMAR</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33680-2024</t>
        </is>
      </c>
      <c r="B456" s="1" t="n">
        <v>45520.50712962963</v>
      </c>
      <c r="C456" s="1" t="n">
        <v>45972</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54314-2023</t>
        </is>
      </c>
      <c r="B457" s="1" t="n">
        <v>45225</v>
      </c>
      <c r="C457" s="1" t="n">
        <v>45972</v>
      </c>
      <c r="D457" t="inlineStr">
        <is>
          <t>UPPSALA LÄN</t>
        </is>
      </c>
      <c r="E457" t="inlineStr">
        <is>
          <t>ÖSTHAMMAR</t>
        </is>
      </c>
      <c r="G457" t="n">
        <v>5.1</v>
      </c>
      <c r="H457" t="n">
        <v>0</v>
      </c>
      <c r="I457" t="n">
        <v>0</v>
      </c>
      <c r="J457" t="n">
        <v>0</v>
      </c>
      <c r="K457" t="n">
        <v>0</v>
      </c>
      <c r="L457" t="n">
        <v>0</v>
      </c>
      <c r="M457" t="n">
        <v>0</v>
      </c>
      <c r="N457" t="n">
        <v>0</v>
      </c>
      <c r="O457" t="n">
        <v>0</v>
      </c>
      <c r="P457" t="n">
        <v>0</v>
      </c>
      <c r="Q457" t="n">
        <v>0</v>
      </c>
      <c r="R457" s="2" t="inlineStr"/>
    </row>
    <row r="458" ht="15" customHeight="1">
      <c r="A458" t="inlineStr">
        <is>
          <t>A 8874-2025</t>
        </is>
      </c>
      <c r="B458" s="1" t="n">
        <v>45713</v>
      </c>
      <c r="C458" s="1" t="n">
        <v>45972</v>
      </c>
      <c r="D458" t="inlineStr">
        <is>
          <t>UPPSALA LÄN</t>
        </is>
      </c>
      <c r="E458" t="inlineStr">
        <is>
          <t>ÖSTHAMMAR</t>
        </is>
      </c>
      <c r="G458" t="n">
        <v>6.3</v>
      </c>
      <c r="H458" t="n">
        <v>0</v>
      </c>
      <c r="I458" t="n">
        <v>0</v>
      </c>
      <c r="J458" t="n">
        <v>0</v>
      </c>
      <c r="K458" t="n">
        <v>0</v>
      </c>
      <c r="L458" t="n">
        <v>0</v>
      </c>
      <c r="M458" t="n">
        <v>0</v>
      </c>
      <c r="N458" t="n">
        <v>0</v>
      </c>
      <c r="O458" t="n">
        <v>0</v>
      </c>
      <c r="P458" t="n">
        <v>0</v>
      </c>
      <c r="Q458" t="n">
        <v>0</v>
      </c>
      <c r="R458" s="2" t="inlineStr"/>
    </row>
    <row r="459" ht="15" customHeight="1">
      <c r="A459" t="inlineStr">
        <is>
          <t>A 40460-2025</t>
        </is>
      </c>
      <c r="B459" s="1" t="n">
        <v>45895.65013888889</v>
      </c>
      <c r="C459" s="1" t="n">
        <v>45972</v>
      </c>
      <c r="D459" t="inlineStr">
        <is>
          <t>UPPSALA LÄN</t>
        </is>
      </c>
      <c r="E459" t="inlineStr">
        <is>
          <t>ÖSTHAMMAR</t>
        </is>
      </c>
      <c r="G459" t="n">
        <v>2.7</v>
      </c>
      <c r="H459" t="n">
        <v>0</v>
      </c>
      <c r="I459" t="n">
        <v>0</v>
      </c>
      <c r="J459" t="n">
        <v>0</v>
      </c>
      <c r="K459" t="n">
        <v>0</v>
      </c>
      <c r="L459" t="n">
        <v>0</v>
      </c>
      <c r="M459" t="n">
        <v>0</v>
      </c>
      <c r="N459" t="n">
        <v>0</v>
      </c>
      <c r="O459" t="n">
        <v>0</v>
      </c>
      <c r="P459" t="n">
        <v>0</v>
      </c>
      <c r="Q459" t="n">
        <v>0</v>
      </c>
      <c r="R459" s="2" t="inlineStr"/>
    </row>
    <row r="460" ht="15" customHeight="1">
      <c r="A460" t="inlineStr">
        <is>
          <t>A 25418-2022</t>
        </is>
      </c>
      <c r="B460" s="1" t="n">
        <v>44732.464375</v>
      </c>
      <c r="C460" s="1" t="n">
        <v>45972</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48854-2025</t>
        </is>
      </c>
      <c r="B461" s="1" t="n">
        <v>45937.43274305556</v>
      </c>
      <c r="C461" s="1" t="n">
        <v>45972</v>
      </c>
      <c r="D461" t="inlineStr">
        <is>
          <t>UPPSALA LÄN</t>
        </is>
      </c>
      <c r="E461" t="inlineStr">
        <is>
          <t>ÖSTHAMMAR</t>
        </is>
      </c>
      <c r="F461" t="inlineStr">
        <is>
          <t>Övriga Aktiebolag</t>
        </is>
      </c>
      <c r="G461" t="n">
        <v>18.9</v>
      </c>
      <c r="H461" t="n">
        <v>0</v>
      </c>
      <c r="I461" t="n">
        <v>0</v>
      </c>
      <c r="J461" t="n">
        <v>0</v>
      </c>
      <c r="K461" t="n">
        <v>0</v>
      </c>
      <c r="L461" t="n">
        <v>0</v>
      </c>
      <c r="M461" t="n">
        <v>0</v>
      </c>
      <c r="N461" t="n">
        <v>0</v>
      </c>
      <c r="O461" t="n">
        <v>0</v>
      </c>
      <c r="P461" t="n">
        <v>0</v>
      </c>
      <c r="Q461" t="n">
        <v>0</v>
      </c>
      <c r="R461" s="2" t="inlineStr"/>
    </row>
    <row r="462" ht="15" customHeight="1">
      <c r="A462" t="inlineStr">
        <is>
          <t>A 49796-2024</t>
        </is>
      </c>
      <c r="B462" s="1" t="n">
        <v>45597</v>
      </c>
      <c r="C462" s="1" t="n">
        <v>45972</v>
      </c>
      <c r="D462" t="inlineStr">
        <is>
          <t>UPPSALA LÄN</t>
        </is>
      </c>
      <c r="E462" t="inlineStr">
        <is>
          <t>ÖSTHAMMAR</t>
        </is>
      </c>
      <c r="G462" t="n">
        <v>1.3</v>
      </c>
      <c r="H462" t="n">
        <v>0</v>
      </c>
      <c r="I462" t="n">
        <v>0</v>
      </c>
      <c r="J462" t="n">
        <v>0</v>
      </c>
      <c r="K462" t="n">
        <v>0</v>
      </c>
      <c r="L462" t="n">
        <v>0</v>
      </c>
      <c r="M462" t="n">
        <v>0</v>
      </c>
      <c r="N462" t="n">
        <v>0</v>
      </c>
      <c r="O462" t="n">
        <v>0</v>
      </c>
      <c r="P462" t="n">
        <v>0</v>
      </c>
      <c r="Q462" t="n">
        <v>0</v>
      </c>
      <c r="R462" s="2" t="inlineStr"/>
    </row>
    <row r="463" ht="15" customHeight="1">
      <c r="A463" t="inlineStr">
        <is>
          <t>A 7944-2023</t>
        </is>
      </c>
      <c r="B463" s="1" t="n">
        <v>44973.66458333333</v>
      </c>
      <c r="C463" s="1" t="n">
        <v>45972</v>
      </c>
      <c r="D463" t="inlineStr">
        <is>
          <t>UPPSALA LÄN</t>
        </is>
      </c>
      <c r="E463" t="inlineStr">
        <is>
          <t>ÖSTHAMMAR</t>
        </is>
      </c>
      <c r="G463" t="n">
        <v>4.6</v>
      </c>
      <c r="H463" t="n">
        <v>0</v>
      </c>
      <c r="I463" t="n">
        <v>0</v>
      </c>
      <c r="J463" t="n">
        <v>0</v>
      </c>
      <c r="K463" t="n">
        <v>0</v>
      </c>
      <c r="L463" t="n">
        <v>0</v>
      </c>
      <c r="M463" t="n">
        <v>0</v>
      </c>
      <c r="N463" t="n">
        <v>0</v>
      </c>
      <c r="O463" t="n">
        <v>0</v>
      </c>
      <c r="P463" t="n">
        <v>0</v>
      </c>
      <c r="Q463" t="n">
        <v>0</v>
      </c>
      <c r="R463" s="2" t="inlineStr"/>
    </row>
    <row r="464" ht="15" customHeight="1">
      <c r="A464" t="inlineStr">
        <is>
          <t>A 62391-2022</t>
        </is>
      </c>
      <c r="B464" s="1" t="n">
        <v>44923.7849537037</v>
      </c>
      <c r="C464" s="1" t="n">
        <v>45972</v>
      </c>
      <c r="D464" t="inlineStr">
        <is>
          <t>UPPSALA LÄN</t>
        </is>
      </c>
      <c r="E464" t="inlineStr">
        <is>
          <t>ÖSTHAMMAR</t>
        </is>
      </c>
      <c r="F464" t="inlineStr">
        <is>
          <t>Bergvik skog öst AB</t>
        </is>
      </c>
      <c r="G464" t="n">
        <v>1</v>
      </c>
      <c r="H464" t="n">
        <v>0</v>
      </c>
      <c r="I464" t="n">
        <v>0</v>
      </c>
      <c r="J464" t="n">
        <v>0</v>
      </c>
      <c r="K464" t="n">
        <v>0</v>
      </c>
      <c r="L464" t="n">
        <v>0</v>
      </c>
      <c r="M464" t="n">
        <v>0</v>
      </c>
      <c r="N464" t="n">
        <v>0</v>
      </c>
      <c r="O464" t="n">
        <v>0</v>
      </c>
      <c r="P464" t="n">
        <v>0</v>
      </c>
      <c r="Q464" t="n">
        <v>0</v>
      </c>
      <c r="R464" s="2" t="inlineStr"/>
    </row>
    <row r="465" ht="15" customHeight="1">
      <c r="A465" t="inlineStr">
        <is>
          <t>A 31485-2023</t>
        </is>
      </c>
      <c r="B465" s="1" t="n">
        <v>45114</v>
      </c>
      <c r="C465" s="1" t="n">
        <v>45972</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1791-2023</t>
        </is>
      </c>
      <c r="B466" s="1" t="n">
        <v>44938</v>
      </c>
      <c r="C466" s="1" t="n">
        <v>45972</v>
      </c>
      <c r="D466" t="inlineStr">
        <is>
          <t>UPPSALA LÄN</t>
        </is>
      </c>
      <c r="E466" t="inlineStr">
        <is>
          <t>ÖSTHAMMAR</t>
        </is>
      </c>
      <c r="G466" t="n">
        <v>2</v>
      </c>
      <c r="H466" t="n">
        <v>0</v>
      </c>
      <c r="I466" t="n">
        <v>0</v>
      </c>
      <c r="J466" t="n">
        <v>0</v>
      </c>
      <c r="K466" t="n">
        <v>0</v>
      </c>
      <c r="L466" t="n">
        <v>0</v>
      </c>
      <c r="M466" t="n">
        <v>0</v>
      </c>
      <c r="N466" t="n">
        <v>0</v>
      </c>
      <c r="O466" t="n">
        <v>0</v>
      </c>
      <c r="P466" t="n">
        <v>0</v>
      </c>
      <c r="Q466" t="n">
        <v>0</v>
      </c>
      <c r="R466" s="2" t="inlineStr"/>
    </row>
    <row r="467" ht="15" customHeight="1">
      <c r="A467" t="inlineStr">
        <is>
          <t>A 8616-2023</t>
        </is>
      </c>
      <c r="B467" s="1" t="n">
        <v>44977</v>
      </c>
      <c r="C467" s="1" t="n">
        <v>45972</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56759-2024</t>
        </is>
      </c>
      <c r="B468" s="1" t="n">
        <v>45628.39877314815</v>
      </c>
      <c r="C468" s="1" t="n">
        <v>45972</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32744-2022</t>
        </is>
      </c>
      <c r="B469" s="1" t="n">
        <v>44783.70378472222</v>
      </c>
      <c r="C469" s="1" t="n">
        <v>45972</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1567-2025</t>
        </is>
      </c>
      <c r="B470" s="1" t="n">
        <v>45670</v>
      </c>
      <c r="C470" s="1" t="n">
        <v>45972</v>
      </c>
      <c r="D470" t="inlineStr">
        <is>
          <t>UPPSALA LÄN</t>
        </is>
      </c>
      <c r="E470" t="inlineStr">
        <is>
          <t>ÖSTHAMMAR</t>
        </is>
      </c>
      <c r="G470" t="n">
        <v>2.8</v>
      </c>
      <c r="H470" t="n">
        <v>0</v>
      </c>
      <c r="I470" t="n">
        <v>0</v>
      </c>
      <c r="J470" t="n">
        <v>0</v>
      </c>
      <c r="K470" t="n">
        <v>0</v>
      </c>
      <c r="L470" t="n">
        <v>0</v>
      </c>
      <c r="M470" t="n">
        <v>0</v>
      </c>
      <c r="N470" t="n">
        <v>0</v>
      </c>
      <c r="O470" t="n">
        <v>0</v>
      </c>
      <c r="P470" t="n">
        <v>0</v>
      </c>
      <c r="Q470" t="n">
        <v>0</v>
      </c>
      <c r="R470" s="2" t="inlineStr"/>
    </row>
    <row r="471" ht="15" customHeight="1">
      <c r="A471" t="inlineStr">
        <is>
          <t>A 21132-2025</t>
        </is>
      </c>
      <c r="B471" s="1" t="n">
        <v>45778.4108912037</v>
      </c>
      <c r="C471" s="1" t="n">
        <v>45972</v>
      </c>
      <c r="D471" t="inlineStr">
        <is>
          <t>UPPSALA LÄN</t>
        </is>
      </c>
      <c r="E471" t="inlineStr">
        <is>
          <t>ÖSTHAMMAR</t>
        </is>
      </c>
      <c r="G471" t="n">
        <v>10.1</v>
      </c>
      <c r="H471" t="n">
        <v>0</v>
      </c>
      <c r="I471" t="n">
        <v>0</v>
      </c>
      <c r="J471" t="n">
        <v>0</v>
      </c>
      <c r="K471" t="n">
        <v>0</v>
      </c>
      <c r="L471" t="n">
        <v>0</v>
      </c>
      <c r="M471" t="n">
        <v>0</v>
      </c>
      <c r="N471" t="n">
        <v>0</v>
      </c>
      <c r="O471" t="n">
        <v>0</v>
      </c>
      <c r="P471" t="n">
        <v>0</v>
      </c>
      <c r="Q471" t="n">
        <v>0</v>
      </c>
      <c r="R471" s="2" t="inlineStr"/>
    </row>
    <row r="472" ht="15" customHeight="1">
      <c r="A472" t="inlineStr">
        <is>
          <t>A 21133-2025</t>
        </is>
      </c>
      <c r="B472" s="1" t="n">
        <v>45778.415625</v>
      </c>
      <c r="C472" s="1" t="n">
        <v>45972</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48857-2025</t>
        </is>
      </c>
      <c r="B473" s="1" t="n">
        <v>45937.43621527778</v>
      </c>
      <c r="C473" s="1" t="n">
        <v>45972</v>
      </c>
      <c r="D473" t="inlineStr">
        <is>
          <t>UPPSALA LÄN</t>
        </is>
      </c>
      <c r="E473" t="inlineStr">
        <is>
          <t>ÖSTHAMMAR</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46785-2023</t>
        </is>
      </c>
      <c r="B474" s="1" t="n">
        <v>45198</v>
      </c>
      <c r="C474" s="1" t="n">
        <v>45972</v>
      </c>
      <c r="D474" t="inlineStr">
        <is>
          <t>UPPSALA LÄN</t>
        </is>
      </c>
      <c r="E474" t="inlineStr">
        <is>
          <t>ÖSTHAMMAR</t>
        </is>
      </c>
      <c r="G474" t="n">
        <v>1.6</v>
      </c>
      <c r="H474" t="n">
        <v>0</v>
      </c>
      <c r="I474" t="n">
        <v>0</v>
      </c>
      <c r="J474" t="n">
        <v>0</v>
      </c>
      <c r="K474" t="n">
        <v>0</v>
      </c>
      <c r="L474" t="n">
        <v>0</v>
      </c>
      <c r="M474" t="n">
        <v>0</v>
      </c>
      <c r="N474" t="n">
        <v>0</v>
      </c>
      <c r="O474" t="n">
        <v>0</v>
      </c>
      <c r="P474" t="n">
        <v>0</v>
      </c>
      <c r="Q474" t="n">
        <v>0</v>
      </c>
      <c r="R474" s="2" t="inlineStr"/>
    </row>
    <row r="475" ht="15" customHeight="1">
      <c r="A475" t="inlineStr">
        <is>
          <t>A 42262-2024</t>
        </is>
      </c>
      <c r="B475" s="1" t="n">
        <v>45562</v>
      </c>
      <c r="C475" s="1" t="n">
        <v>45972</v>
      </c>
      <c r="D475" t="inlineStr">
        <is>
          <t>UPPSALA LÄN</t>
        </is>
      </c>
      <c r="E475" t="inlineStr">
        <is>
          <t>ÖSTHAMMAR</t>
        </is>
      </c>
      <c r="F475" t="inlineStr">
        <is>
          <t>Bergvik skog öst AB</t>
        </is>
      </c>
      <c r="G475" t="n">
        <v>1.7</v>
      </c>
      <c r="H475" t="n">
        <v>0</v>
      </c>
      <c r="I475" t="n">
        <v>0</v>
      </c>
      <c r="J475" t="n">
        <v>0</v>
      </c>
      <c r="K475" t="n">
        <v>0</v>
      </c>
      <c r="L475" t="n">
        <v>0</v>
      </c>
      <c r="M475" t="n">
        <v>0</v>
      </c>
      <c r="N475" t="n">
        <v>0</v>
      </c>
      <c r="O475" t="n">
        <v>0</v>
      </c>
      <c r="P475" t="n">
        <v>0</v>
      </c>
      <c r="Q475" t="n">
        <v>0</v>
      </c>
      <c r="R475" s="2" t="inlineStr"/>
    </row>
    <row r="476" ht="15" customHeight="1">
      <c r="A476" t="inlineStr">
        <is>
          <t>A 73965-2021</t>
        </is>
      </c>
      <c r="B476" s="1" t="n">
        <v>44553.80824074074</v>
      </c>
      <c r="C476" s="1" t="n">
        <v>45972</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73592-2021</t>
        </is>
      </c>
      <c r="B477" s="1" t="n">
        <v>44552.36974537037</v>
      </c>
      <c r="C477" s="1" t="n">
        <v>45972</v>
      </c>
      <c r="D477" t="inlineStr">
        <is>
          <t>UPPSALA LÄN</t>
        </is>
      </c>
      <c r="E477" t="inlineStr">
        <is>
          <t>ÖSTHAMMAR</t>
        </is>
      </c>
      <c r="G477" t="n">
        <v>1.7</v>
      </c>
      <c r="H477" t="n">
        <v>0</v>
      </c>
      <c r="I477" t="n">
        <v>0</v>
      </c>
      <c r="J477" t="n">
        <v>0</v>
      </c>
      <c r="K477" t="n">
        <v>0</v>
      </c>
      <c r="L477" t="n">
        <v>0</v>
      </c>
      <c r="M477" t="n">
        <v>0</v>
      </c>
      <c r="N477" t="n">
        <v>0</v>
      </c>
      <c r="O477" t="n">
        <v>0</v>
      </c>
      <c r="P477" t="n">
        <v>0</v>
      </c>
      <c r="Q477" t="n">
        <v>0</v>
      </c>
      <c r="R477" s="2" t="inlineStr"/>
    </row>
    <row r="478" ht="15" customHeight="1">
      <c r="A478" t="inlineStr">
        <is>
          <t>A 31479-2023</t>
        </is>
      </c>
      <c r="B478" s="1" t="n">
        <v>45114.79793981482</v>
      </c>
      <c r="C478" s="1" t="n">
        <v>45972</v>
      </c>
      <c r="D478" t="inlineStr">
        <is>
          <t>UPPSALA LÄN</t>
        </is>
      </c>
      <c r="E478" t="inlineStr">
        <is>
          <t>ÖSTHAMMAR</t>
        </is>
      </c>
      <c r="F478" t="inlineStr">
        <is>
          <t>Bergvik skog öst AB</t>
        </is>
      </c>
      <c r="G478" t="n">
        <v>1.9</v>
      </c>
      <c r="H478" t="n">
        <v>0</v>
      </c>
      <c r="I478" t="n">
        <v>0</v>
      </c>
      <c r="J478" t="n">
        <v>0</v>
      </c>
      <c r="K478" t="n">
        <v>0</v>
      </c>
      <c r="L478" t="n">
        <v>0</v>
      </c>
      <c r="M478" t="n">
        <v>0</v>
      </c>
      <c r="N478" t="n">
        <v>0</v>
      </c>
      <c r="O478" t="n">
        <v>0</v>
      </c>
      <c r="P478" t="n">
        <v>0</v>
      </c>
      <c r="Q478" t="n">
        <v>0</v>
      </c>
      <c r="R478" s="2" t="inlineStr"/>
    </row>
    <row r="479" ht="15" customHeight="1">
      <c r="A479" t="inlineStr">
        <is>
          <t>A 24128-2023</t>
        </is>
      </c>
      <c r="B479" s="1" t="n">
        <v>45079.50289351852</v>
      </c>
      <c r="C479" s="1" t="n">
        <v>45972</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35918-2023</t>
        </is>
      </c>
      <c r="B480" s="1" t="n">
        <v>45148.64976851852</v>
      </c>
      <c r="C480" s="1" t="n">
        <v>45972</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44796-2024</t>
        </is>
      </c>
      <c r="B481" s="1" t="n">
        <v>45574</v>
      </c>
      <c r="C481" s="1" t="n">
        <v>45972</v>
      </c>
      <c r="D481" t="inlineStr">
        <is>
          <t>UPPSALA LÄN</t>
        </is>
      </c>
      <c r="E481" t="inlineStr">
        <is>
          <t>ÖSTHAMMAR</t>
        </is>
      </c>
      <c r="G481" t="n">
        <v>4.7</v>
      </c>
      <c r="H481" t="n">
        <v>0</v>
      </c>
      <c r="I481" t="n">
        <v>0</v>
      </c>
      <c r="J481" t="n">
        <v>0</v>
      </c>
      <c r="K481" t="n">
        <v>0</v>
      </c>
      <c r="L481" t="n">
        <v>0</v>
      </c>
      <c r="M481" t="n">
        <v>0</v>
      </c>
      <c r="N481" t="n">
        <v>0</v>
      </c>
      <c r="O481" t="n">
        <v>0</v>
      </c>
      <c r="P481" t="n">
        <v>0</v>
      </c>
      <c r="Q481" t="n">
        <v>0</v>
      </c>
      <c r="R481" s="2" t="inlineStr"/>
    </row>
    <row r="482" ht="15" customHeight="1">
      <c r="A482" t="inlineStr">
        <is>
          <t>A 22488-2025</t>
        </is>
      </c>
      <c r="B482" s="1" t="n">
        <v>45786.64865740741</v>
      </c>
      <c r="C482" s="1" t="n">
        <v>45972</v>
      </c>
      <c r="D482" t="inlineStr">
        <is>
          <t>UPPSALA LÄN</t>
        </is>
      </c>
      <c r="E482" t="inlineStr">
        <is>
          <t>ÖSTHAMMAR</t>
        </is>
      </c>
      <c r="F482" t="inlineStr">
        <is>
          <t>Bergvik skog öst AB</t>
        </is>
      </c>
      <c r="G482" t="n">
        <v>14.9</v>
      </c>
      <c r="H482" t="n">
        <v>0</v>
      </c>
      <c r="I482" t="n">
        <v>0</v>
      </c>
      <c r="J482" t="n">
        <v>0</v>
      </c>
      <c r="K482" t="n">
        <v>0</v>
      </c>
      <c r="L482" t="n">
        <v>0</v>
      </c>
      <c r="M482" t="n">
        <v>0</v>
      </c>
      <c r="N482" t="n">
        <v>0</v>
      </c>
      <c r="O482" t="n">
        <v>0</v>
      </c>
      <c r="P482" t="n">
        <v>0</v>
      </c>
      <c r="Q482" t="n">
        <v>0</v>
      </c>
      <c r="R482" s="2" t="inlineStr"/>
    </row>
    <row r="483" ht="15" customHeight="1">
      <c r="A483" t="inlineStr">
        <is>
          <t>A 49773-2025</t>
        </is>
      </c>
      <c r="B483" s="1" t="n">
        <v>45940.37303240741</v>
      </c>
      <c r="C483" s="1" t="n">
        <v>45972</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36954-2024</t>
        </is>
      </c>
      <c r="B484" s="1" t="n">
        <v>45538.71109953704</v>
      </c>
      <c r="C484" s="1" t="n">
        <v>45972</v>
      </c>
      <c r="D484" t="inlineStr">
        <is>
          <t>UPPSALA LÄN</t>
        </is>
      </c>
      <c r="E484" t="inlineStr">
        <is>
          <t>ÖSTHAMMAR</t>
        </is>
      </c>
      <c r="F484" t="inlineStr">
        <is>
          <t>Bergvik skog öst AB</t>
        </is>
      </c>
      <c r="G484" t="n">
        <v>5.1</v>
      </c>
      <c r="H484" t="n">
        <v>0</v>
      </c>
      <c r="I484" t="n">
        <v>0</v>
      </c>
      <c r="J484" t="n">
        <v>0</v>
      </c>
      <c r="K484" t="n">
        <v>0</v>
      </c>
      <c r="L484" t="n">
        <v>0</v>
      </c>
      <c r="M484" t="n">
        <v>0</v>
      </c>
      <c r="N484" t="n">
        <v>0</v>
      </c>
      <c r="O484" t="n">
        <v>0</v>
      </c>
      <c r="P484" t="n">
        <v>0</v>
      </c>
      <c r="Q484" t="n">
        <v>0</v>
      </c>
      <c r="R484" s="2" t="inlineStr"/>
    </row>
    <row r="485" ht="15" customHeight="1">
      <c r="A485" t="inlineStr">
        <is>
          <t>A 22483-2025</t>
        </is>
      </c>
      <c r="B485" s="1" t="n">
        <v>45786.64141203704</v>
      </c>
      <c r="C485" s="1" t="n">
        <v>45972</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59291-2023</t>
        </is>
      </c>
      <c r="B486" s="1" t="n">
        <v>45253.57559027777</v>
      </c>
      <c r="C486" s="1" t="n">
        <v>45972</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43685-2024</t>
        </is>
      </c>
      <c r="B487" s="1" t="n">
        <v>45569</v>
      </c>
      <c r="C487" s="1" t="n">
        <v>45972</v>
      </c>
      <c r="D487" t="inlineStr">
        <is>
          <t>UPPSALA LÄN</t>
        </is>
      </c>
      <c r="E487" t="inlineStr">
        <is>
          <t>ÖSTHAMMAR</t>
        </is>
      </c>
      <c r="G487" t="n">
        <v>1.1</v>
      </c>
      <c r="H487" t="n">
        <v>0</v>
      </c>
      <c r="I487" t="n">
        <v>0</v>
      </c>
      <c r="J487" t="n">
        <v>0</v>
      </c>
      <c r="K487" t="n">
        <v>0</v>
      </c>
      <c r="L487" t="n">
        <v>0</v>
      </c>
      <c r="M487" t="n">
        <v>0</v>
      </c>
      <c r="N487" t="n">
        <v>0</v>
      </c>
      <c r="O487" t="n">
        <v>0</v>
      </c>
      <c r="P487" t="n">
        <v>0</v>
      </c>
      <c r="Q487" t="n">
        <v>0</v>
      </c>
      <c r="R487" s="2" t="inlineStr"/>
    </row>
    <row r="488" ht="15" customHeight="1">
      <c r="A488" t="inlineStr">
        <is>
          <t>A 38575-2024</t>
        </is>
      </c>
      <c r="B488" s="1" t="n">
        <v>45546.64221064815</v>
      </c>
      <c r="C488" s="1" t="n">
        <v>45972</v>
      </c>
      <c r="D488" t="inlineStr">
        <is>
          <t>UPPSALA LÄN</t>
        </is>
      </c>
      <c r="E488" t="inlineStr">
        <is>
          <t>ÖSTHAMMAR</t>
        </is>
      </c>
      <c r="F488" t="inlineStr">
        <is>
          <t>Bergvik skog öst AB</t>
        </is>
      </c>
      <c r="G488" t="n">
        <v>5.1</v>
      </c>
      <c r="H488" t="n">
        <v>0</v>
      </c>
      <c r="I488" t="n">
        <v>0</v>
      </c>
      <c r="J488" t="n">
        <v>0</v>
      </c>
      <c r="K488" t="n">
        <v>0</v>
      </c>
      <c r="L488" t="n">
        <v>0</v>
      </c>
      <c r="M488" t="n">
        <v>0</v>
      </c>
      <c r="N488" t="n">
        <v>0</v>
      </c>
      <c r="O488" t="n">
        <v>0</v>
      </c>
      <c r="P488" t="n">
        <v>0</v>
      </c>
      <c r="Q488" t="n">
        <v>0</v>
      </c>
      <c r="R488" s="2" t="inlineStr"/>
    </row>
    <row r="489" ht="15" customHeight="1">
      <c r="A489" t="inlineStr">
        <is>
          <t>A 43993-2024</t>
        </is>
      </c>
      <c r="B489" s="1" t="n">
        <v>45572.52690972222</v>
      </c>
      <c r="C489" s="1" t="n">
        <v>45972</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22492-2025</t>
        </is>
      </c>
      <c r="B490" s="1" t="n">
        <v>45786.65072916666</v>
      </c>
      <c r="C490" s="1" t="n">
        <v>45972</v>
      </c>
      <c r="D490" t="inlineStr">
        <is>
          <t>UPPSALA LÄN</t>
        </is>
      </c>
      <c r="E490" t="inlineStr">
        <is>
          <t>ÖSTHAMMAR</t>
        </is>
      </c>
      <c r="F490" t="inlineStr">
        <is>
          <t>Bergvik skog öst AB</t>
        </is>
      </c>
      <c r="G490" t="n">
        <v>16.6</v>
      </c>
      <c r="H490" t="n">
        <v>0</v>
      </c>
      <c r="I490" t="n">
        <v>0</v>
      </c>
      <c r="J490" t="n">
        <v>0</v>
      </c>
      <c r="K490" t="n">
        <v>0</v>
      </c>
      <c r="L490" t="n">
        <v>0</v>
      </c>
      <c r="M490" t="n">
        <v>0</v>
      </c>
      <c r="N490" t="n">
        <v>0</v>
      </c>
      <c r="O490" t="n">
        <v>0</v>
      </c>
      <c r="P490" t="n">
        <v>0</v>
      </c>
      <c r="Q490" t="n">
        <v>0</v>
      </c>
      <c r="R490" s="2" t="inlineStr"/>
    </row>
    <row r="491" ht="15" customHeight="1">
      <c r="A491" t="inlineStr">
        <is>
          <t>A 4004-2023</t>
        </is>
      </c>
      <c r="B491" s="1" t="n">
        <v>44952</v>
      </c>
      <c r="C491" s="1" t="n">
        <v>45972</v>
      </c>
      <c r="D491" t="inlineStr">
        <is>
          <t>UPPSALA LÄN</t>
        </is>
      </c>
      <c r="E491" t="inlineStr">
        <is>
          <t>ÖSTHAMMAR</t>
        </is>
      </c>
      <c r="G491" t="n">
        <v>4.1</v>
      </c>
      <c r="H491" t="n">
        <v>0</v>
      </c>
      <c r="I491" t="n">
        <v>0</v>
      </c>
      <c r="J491" t="n">
        <v>0</v>
      </c>
      <c r="K491" t="n">
        <v>0</v>
      </c>
      <c r="L491" t="n">
        <v>0</v>
      </c>
      <c r="M491" t="n">
        <v>0</v>
      </c>
      <c r="N491" t="n">
        <v>0</v>
      </c>
      <c r="O491" t="n">
        <v>0</v>
      </c>
      <c r="P491" t="n">
        <v>0</v>
      </c>
      <c r="Q491" t="n">
        <v>0</v>
      </c>
      <c r="R491" s="2" t="inlineStr"/>
    </row>
    <row r="492" ht="15" customHeight="1">
      <c r="A492" t="inlineStr">
        <is>
          <t>A 5931-2022</t>
        </is>
      </c>
      <c r="B492" s="1" t="n">
        <v>44598.82700231481</v>
      </c>
      <c r="C492" s="1" t="n">
        <v>45972</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43655-2024</t>
        </is>
      </c>
      <c r="B493" s="1" t="n">
        <v>45569</v>
      </c>
      <c r="C493" s="1" t="n">
        <v>45972</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43683-2024</t>
        </is>
      </c>
      <c r="B494" s="1" t="n">
        <v>45569.57518518518</v>
      </c>
      <c r="C494" s="1" t="n">
        <v>45972</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1527-2025</t>
        </is>
      </c>
      <c r="B495" s="1" t="n">
        <v>45670</v>
      </c>
      <c r="C495" s="1" t="n">
        <v>45972</v>
      </c>
      <c r="D495" t="inlineStr">
        <is>
          <t>UPPSALA LÄN</t>
        </is>
      </c>
      <c r="E495" t="inlineStr">
        <is>
          <t>ÖSTHAMMAR</t>
        </is>
      </c>
      <c r="F495" t="inlineStr">
        <is>
          <t>Bergvik skog öst AB</t>
        </is>
      </c>
      <c r="G495" t="n">
        <v>7.7</v>
      </c>
      <c r="H495" t="n">
        <v>0</v>
      </c>
      <c r="I495" t="n">
        <v>0</v>
      </c>
      <c r="J495" t="n">
        <v>0</v>
      </c>
      <c r="K495" t="n">
        <v>0</v>
      </c>
      <c r="L495" t="n">
        <v>0</v>
      </c>
      <c r="M495" t="n">
        <v>0</v>
      </c>
      <c r="N495" t="n">
        <v>0</v>
      </c>
      <c r="O495" t="n">
        <v>0</v>
      </c>
      <c r="P495" t="n">
        <v>0</v>
      </c>
      <c r="Q495" t="n">
        <v>0</v>
      </c>
      <c r="R495" s="2" t="inlineStr"/>
    </row>
    <row r="496" ht="15" customHeight="1">
      <c r="A496" t="inlineStr">
        <is>
          <t>A 35474-2023</t>
        </is>
      </c>
      <c r="B496" s="1" t="n">
        <v>45146.68921296296</v>
      </c>
      <c r="C496" s="1" t="n">
        <v>45972</v>
      </c>
      <c r="D496" t="inlineStr">
        <is>
          <t>UPPSALA LÄN</t>
        </is>
      </c>
      <c r="E496" t="inlineStr">
        <is>
          <t>ÖSTHAMMAR</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26303-2024</t>
        </is>
      </c>
      <c r="B497" s="1" t="n">
        <v>45468</v>
      </c>
      <c r="C497" s="1" t="n">
        <v>45972</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44152-2024</t>
        </is>
      </c>
      <c r="B498" s="1" t="n">
        <v>45572</v>
      </c>
      <c r="C498" s="1" t="n">
        <v>45972</v>
      </c>
      <c r="D498" t="inlineStr">
        <is>
          <t>UPPSALA LÄN</t>
        </is>
      </c>
      <c r="E498" t="inlineStr">
        <is>
          <t>ÖSTHAMMAR</t>
        </is>
      </c>
      <c r="G498" t="n">
        <v>1.6</v>
      </c>
      <c r="H498" t="n">
        <v>0</v>
      </c>
      <c r="I498" t="n">
        <v>0</v>
      </c>
      <c r="J498" t="n">
        <v>0</v>
      </c>
      <c r="K498" t="n">
        <v>0</v>
      </c>
      <c r="L498" t="n">
        <v>0</v>
      </c>
      <c r="M498" t="n">
        <v>0</v>
      </c>
      <c r="N498" t="n">
        <v>0</v>
      </c>
      <c r="O498" t="n">
        <v>0</v>
      </c>
      <c r="P498" t="n">
        <v>0</v>
      </c>
      <c r="Q498" t="n">
        <v>0</v>
      </c>
      <c r="R498" s="2" t="inlineStr"/>
    </row>
    <row r="499" ht="15" customHeight="1">
      <c r="A499" t="inlineStr">
        <is>
          <t>A 32483-2024</t>
        </is>
      </c>
      <c r="B499" s="1" t="n">
        <v>45513.36644675926</v>
      </c>
      <c r="C499" s="1" t="n">
        <v>45972</v>
      </c>
      <c r="D499" t="inlineStr">
        <is>
          <t>UPPSALA LÄN</t>
        </is>
      </c>
      <c r="E499" t="inlineStr">
        <is>
          <t>ÖSTHAMMAR</t>
        </is>
      </c>
      <c r="F499" t="inlineStr">
        <is>
          <t>Kyrkan</t>
        </is>
      </c>
      <c r="G499" t="n">
        <v>4.7</v>
      </c>
      <c r="H499" t="n">
        <v>0</v>
      </c>
      <c r="I499" t="n">
        <v>0</v>
      </c>
      <c r="J499" t="n">
        <v>0</v>
      </c>
      <c r="K499" t="n">
        <v>0</v>
      </c>
      <c r="L499" t="n">
        <v>0</v>
      </c>
      <c r="M499" t="n">
        <v>0</v>
      </c>
      <c r="N499" t="n">
        <v>0</v>
      </c>
      <c r="O499" t="n">
        <v>0</v>
      </c>
      <c r="P499" t="n">
        <v>0</v>
      </c>
      <c r="Q499" t="n">
        <v>0</v>
      </c>
      <c r="R499" s="2" t="inlineStr"/>
    </row>
    <row r="500" ht="15" customHeight="1">
      <c r="A500" t="inlineStr">
        <is>
          <t>A 49620-2025</t>
        </is>
      </c>
      <c r="B500" s="1" t="n">
        <v>45939.58928240741</v>
      </c>
      <c r="C500" s="1" t="n">
        <v>45972</v>
      </c>
      <c r="D500" t="inlineStr">
        <is>
          <t>UPPSALA LÄN</t>
        </is>
      </c>
      <c r="E500" t="inlineStr">
        <is>
          <t>ÖSTHAMMAR</t>
        </is>
      </c>
      <c r="G500" t="n">
        <v>1.5</v>
      </c>
      <c r="H500" t="n">
        <v>0</v>
      </c>
      <c r="I500" t="n">
        <v>0</v>
      </c>
      <c r="J500" t="n">
        <v>0</v>
      </c>
      <c r="K500" t="n">
        <v>0</v>
      </c>
      <c r="L500" t="n">
        <v>0</v>
      </c>
      <c r="M500" t="n">
        <v>0</v>
      </c>
      <c r="N500" t="n">
        <v>0</v>
      </c>
      <c r="O500" t="n">
        <v>0</v>
      </c>
      <c r="P500" t="n">
        <v>0</v>
      </c>
      <c r="Q500" t="n">
        <v>0</v>
      </c>
      <c r="R500" s="2" t="inlineStr"/>
    </row>
    <row r="501" ht="15" customHeight="1">
      <c r="A501" t="inlineStr">
        <is>
          <t>A 14595-2023</t>
        </is>
      </c>
      <c r="B501" s="1" t="n">
        <v>45013.57858796296</v>
      </c>
      <c r="C501" s="1" t="n">
        <v>45972</v>
      </c>
      <c r="D501" t="inlineStr">
        <is>
          <t>UPPSALA LÄN</t>
        </is>
      </c>
      <c r="E501" t="inlineStr">
        <is>
          <t>ÖSTHAMMAR</t>
        </is>
      </c>
      <c r="G501" t="n">
        <v>5</v>
      </c>
      <c r="H501" t="n">
        <v>0</v>
      </c>
      <c r="I501" t="n">
        <v>0</v>
      </c>
      <c r="J501" t="n">
        <v>0</v>
      </c>
      <c r="K501" t="n">
        <v>0</v>
      </c>
      <c r="L501" t="n">
        <v>0</v>
      </c>
      <c r="M501" t="n">
        <v>0</v>
      </c>
      <c r="N501" t="n">
        <v>0</v>
      </c>
      <c r="O501" t="n">
        <v>0</v>
      </c>
      <c r="P501" t="n">
        <v>0</v>
      </c>
      <c r="Q501" t="n">
        <v>0</v>
      </c>
      <c r="R501" s="2" t="inlineStr"/>
    </row>
    <row r="502" ht="15" customHeight="1">
      <c r="A502" t="inlineStr">
        <is>
          <t>A 33685-2024</t>
        </is>
      </c>
      <c r="B502" s="1" t="n">
        <v>45520.51063657407</v>
      </c>
      <c r="C502" s="1" t="n">
        <v>45972</v>
      </c>
      <c r="D502" t="inlineStr">
        <is>
          <t>UPPSALA LÄN</t>
        </is>
      </c>
      <c r="E502" t="inlineStr">
        <is>
          <t>ÖSTHAMMAR</t>
        </is>
      </c>
      <c r="F502" t="inlineStr">
        <is>
          <t>Bergvik skog öst AB</t>
        </is>
      </c>
      <c r="G502" t="n">
        <v>3.8</v>
      </c>
      <c r="H502" t="n">
        <v>0</v>
      </c>
      <c r="I502" t="n">
        <v>0</v>
      </c>
      <c r="J502" t="n">
        <v>0</v>
      </c>
      <c r="K502" t="n">
        <v>0</v>
      </c>
      <c r="L502" t="n">
        <v>0</v>
      </c>
      <c r="M502" t="n">
        <v>0</v>
      </c>
      <c r="N502" t="n">
        <v>0</v>
      </c>
      <c r="O502" t="n">
        <v>0</v>
      </c>
      <c r="P502" t="n">
        <v>0</v>
      </c>
      <c r="Q502" t="n">
        <v>0</v>
      </c>
      <c r="R502" s="2" t="inlineStr"/>
    </row>
    <row r="503" ht="15" customHeight="1">
      <c r="A503" t="inlineStr">
        <is>
          <t>A 4561-2022</t>
        </is>
      </c>
      <c r="B503" s="1" t="n">
        <v>44591.59170138889</v>
      </c>
      <c r="C503" s="1" t="n">
        <v>45972</v>
      </c>
      <c r="D503" t="inlineStr">
        <is>
          <t>UPPSALA LÄN</t>
        </is>
      </c>
      <c r="E503" t="inlineStr">
        <is>
          <t>ÖSTHAMMAR</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45972</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17651-2025</t>
        </is>
      </c>
      <c r="B505" s="1" t="n">
        <v>45758.33304398148</v>
      </c>
      <c r="C505" s="1" t="n">
        <v>45972</v>
      </c>
      <c r="D505" t="inlineStr">
        <is>
          <t>UPPSALA LÄN</t>
        </is>
      </c>
      <c r="E505" t="inlineStr">
        <is>
          <t>ÖSTHAMMAR</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10290-2025</t>
        </is>
      </c>
      <c r="B506" s="1" t="n">
        <v>45720.41847222222</v>
      </c>
      <c r="C506" s="1" t="n">
        <v>45972</v>
      </c>
      <c r="D506" t="inlineStr">
        <is>
          <t>UPPSALA LÄN</t>
        </is>
      </c>
      <c r="E506" t="inlineStr">
        <is>
          <t>ÖSTHAMMAR</t>
        </is>
      </c>
      <c r="G506" t="n">
        <v>8.6</v>
      </c>
      <c r="H506" t="n">
        <v>0</v>
      </c>
      <c r="I506" t="n">
        <v>0</v>
      </c>
      <c r="J506" t="n">
        <v>0</v>
      </c>
      <c r="K506" t="n">
        <v>0</v>
      </c>
      <c r="L506" t="n">
        <v>0</v>
      </c>
      <c r="M506" t="n">
        <v>0</v>
      </c>
      <c r="N506" t="n">
        <v>0</v>
      </c>
      <c r="O506" t="n">
        <v>0</v>
      </c>
      <c r="P506" t="n">
        <v>0</v>
      </c>
      <c r="Q506" t="n">
        <v>0</v>
      </c>
      <c r="R506" s="2" t="inlineStr"/>
    </row>
    <row r="507" ht="15" customHeight="1">
      <c r="A507" t="inlineStr">
        <is>
          <t>A 23305-2025</t>
        </is>
      </c>
      <c r="B507" s="1" t="n">
        <v>45791.60127314815</v>
      </c>
      <c r="C507" s="1" t="n">
        <v>45972</v>
      </c>
      <c r="D507" t="inlineStr">
        <is>
          <t>UPPSALA LÄN</t>
        </is>
      </c>
      <c r="E507" t="inlineStr">
        <is>
          <t>ÖSTHAMMAR</t>
        </is>
      </c>
      <c r="G507" t="n">
        <v>1.9</v>
      </c>
      <c r="H507" t="n">
        <v>0</v>
      </c>
      <c r="I507" t="n">
        <v>0</v>
      </c>
      <c r="J507" t="n">
        <v>0</v>
      </c>
      <c r="K507" t="n">
        <v>0</v>
      </c>
      <c r="L507" t="n">
        <v>0</v>
      </c>
      <c r="M507" t="n">
        <v>0</v>
      </c>
      <c r="N507" t="n">
        <v>0</v>
      </c>
      <c r="O507" t="n">
        <v>0</v>
      </c>
      <c r="P507" t="n">
        <v>0</v>
      </c>
      <c r="Q507" t="n">
        <v>0</v>
      </c>
      <c r="R507" s="2" t="inlineStr"/>
    </row>
    <row r="508" ht="15" customHeight="1">
      <c r="A508" t="inlineStr">
        <is>
          <t>A 48977-2025</t>
        </is>
      </c>
      <c r="B508" s="1" t="n">
        <v>45936</v>
      </c>
      <c r="C508" s="1" t="n">
        <v>45972</v>
      </c>
      <c r="D508" t="inlineStr">
        <is>
          <t>UPPSALA LÄN</t>
        </is>
      </c>
      <c r="E508" t="inlineStr">
        <is>
          <t>ÖSTHAMMAR</t>
        </is>
      </c>
      <c r="G508" t="n">
        <v>21.1</v>
      </c>
      <c r="H508" t="n">
        <v>0</v>
      </c>
      <c r="I508" t="n">
        <v>0</v>
      </c>
      <c r="J508" t="n">
        <v>0</v>
      </c>
      <c r="K508" t="n">
        <v>0</v>
      </c>
      <c r="L508" t="n">
        <v>0</v>
      </c>
      <c r="M508" t="n">
        <v>0</v>
      </c>
      <c r="N508" t="n">
        <v>0</v>
      </c>
      <c r="O508" t="n">
        <v>0</v>
      </c>
      <c r="P508" t="n">
        <v>0</v>
      </c>
      <c r="Q508" t="n">
        <v>0</v>
      </c>
      <c r="R508" s="2" t="inlineStr"/>
    </row>
    <row r="509" ht="15" customHeight="1">
      <c r="A509" t="inlineStr">
        <is>
          <t>A 45102-2024</t>
        </is>
      </c>
      <c r="B509" s="1" t="n">
        <v>45575.58836805556</v>
      </c>
      <c r="C509" s="1" t="n">
        <v>45972</v>
      </c>
      <c r="D509" t="inlineStr">
        <is>
          <t>UPPSALA LÄN</t>
        </is>
      </c>
      <c r="E509" t="inlineStr">
        <is>
          <t>ÖSTHAMMAR</t>
        </is>
      </c>
      <c r="G509" t="n">
        <v>8.6</v>
      </c>
      <c r="H509" t="n">
        <v>0</v>
      </c>
      <c r="I509" t="n">
        <v>0</v>
      </c>
      <c r="J509" t="n">
        <v>0</v>
      </c>
      <c r="K509" t="n">
        <v>0</v>
      </c>
      <c r="L509" t="n">
        <v>0</v>
      </c>
      <c r="M509" t="n">
        <v>0</v>
      </c>
      <c r="N509" t="n">
        <v>0</v>
      </c>
      <c r="O509" t="n">
        <v>0</v>
      </c>
      <c r="P509" t="n">
        <v>0</v>
      </c>
      <c r="Q509" t="n">
        <v>0</v>
      </c>
      <c r="R509" s="2" t="inlineStr"/>
    </row>
    <row r="510" ht="15" customHeight="1">
      <c r="A510" t="inlineStr">
        <is>
          <t>A 24401-2025</t>
        </is>
      </c>
      <c r="B510" s="1" t="n">
        <v>45797.64908564815</v>
      </c>
      <c r="C510" s="1" t="n">
        <v>45972</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45307-2023</t>
        </is>
      </c>
      <c r="B511" s="1" t="n">
        <v>45191</v>
      </c>
      <c r="C511" s="1" t="n">
        <v>45972</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24606-2024</t>
        </is>
      </c>
      <c r="B512" s="1" t="n">
        <v>45460</v>
      </c>
      <c r="C512" s="1" t="n">
        <v>45972</v>
      </c>
      <c r="D512" t="inlineStr">
        <is>
          <t>UPPSALA LÄN</t>
        </is>
      </c>
      <c r="E512" t="inlineStr">
        <is>
          <t>ÖSTHAMMAR</t>
        </is>
      </c>
      <c r="F512" t="inlineStr">
        <is>
          <t>Bergvik skog öst AB</t>
        </is>
      </c>
      <c r="G512" t="n">
        <v>2.9</v>
      </c>
      <c r="H512" t="n">
        <v>0</v>
      </c>
      <c r="I512" t="n">
        <v>0</v>
      </c>
      <c r="J512" t="n">
        <v>0</v>
      </c>
      <c r="K512" t="n">
        <v>0</v>
      </c>
      <c r="L512" t="n">
        <v>0</v>
      </c>
      <c r="M512" t="n">
        <v>0</v>
      </c>
      <c r="N512" t="n">
        <v>0</v>
      </c>
      <c r="O512" t="n">
        <v>0</v>
      </c>
      <c r="P512" t="n">
        <v>0</v>
      </c>
      <c r="Q512" t="n">
        <v>0</v>
      </c>
      <c r="R512" s="2" t="inlineStr"/>
    </row>
    <row r="513" ht="15" customHeight="1">
      <c r="A513" t="inlineStr">
        <is>
          <t>A 6661-2024</t>
        </is>
      </c>
      <c r="B513" s="1" t="n">
        <v>45341.70582175926</v>
      </c>
      <c r="C513" s="1" t="n">
        <v>45972</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8908-2025</t>
        </is>
      </c>
      <c r="B514" s="1" t="n">
        <v>45713.4196875</v>
      </c>
      <c r="C514" s="1" t="n">
        <v>45972</v>
      </c>
      <c r="D514" t="inlineStr">
        <is>
          <t>UPPSALA LÄN</t>
        </is>
      </c>
      <c r="E514" t="inlineStr">
        <is>
          <t>ÖSTHAMMAR</t>
        </is>
      </c>
      <c r="F514" t="inlineStr">
        <is>
          <t>Bergvik skog öst AB</t>
        </is>
      </c>
      <c r="G514" t="n">
        <v>3.3</v>
      </c>
      <c r="H514" t="n">
        <v>0</v>
      </c>
      <c r="I514" t="n">
        <v>0</v>
      </c>
      <c r="J514" t="n">
        <v>0</v>
      </c>
      <c r="K514" t="n">
        <v>0</v>
      </c>
      <c r="L514" t="n">
        <v>0</v>
      </c>
      <c r="M514" t="n">
        <v>0</v>
      </c>
      <c r="N514" t="n">
        <v>0</v>
      </c>
      <c r="O514" t="n">
        <v>0</v>
      </c>
      <c r="P514" t="n">
        <v>0</v>
      </c>
      <c r="Q514" t="n">
        <v>0</v>
      </c>
      <c r="R514" s="2" t="inlineStr"/>
    </row>
    <row r="515" ht="15" customHeight="1">
      <c r="A515" t="inlineStr">
        <is>
          <t>A 4101-2022</t>
        </is>
      </c>
      <c r="B515" s="1" t="n">
        <v>44588</v>
      </c>
      <c r="C515" s="1" t="n">
        <v>45972</v>
      </c>
      <c r="D515" t="inlineStr">
        <is>
          <t>UPPSALA LÄN</t>
        </is>
      </c>
      <c r="E515" t="inlineStr">
        <is>
          <t>ÖSTHAMMAR</t>
        </is>
      </c>
      <c r="G515" t="n">
        <v>4.4</v>
      </c>
      <c r="H515" t="n">
        <v>0</v>
      </c>
      <c r="I515" t="n">
        <v>0</v>
      </c>
      <c r="J515" t="n">
        <v>0</v>
      </c>
      <c r="K515" t="n">
        <v>0</v>
      </c>
      <c r="L515" t="n">
        <v>0</v>
      </c>
      <c r="M515" t="n">
        <v>0</v>
      </c>
      <c r="N515" t="n">
        <v>0</v>
      </c>
      <c r="O515" t="n">
        <v>0</v>
      </c>
      <c r="P515" t="n">
        <v>0</v>
      </c>
      <c r="Q515" t="n">
        <v>0</v>
      </c>
      <c r="R515" s="2" t="inlineStr"/>
    </row>
    <row r="516" ht="15" customHeight="1">
      <c r="A516" t="inlineStr">
        <is>
          <t>A 52478-2024</t>
        </is>
      </c>
      <c r="B516" s="1" t="n">
        <v>45609.55065972222</v>
      </c>
      <c r="C516" s="1" t="n">
        <v>45972</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41519-2025</t>
        </is>
      </c>
      <c r="B517" s="1" t="n">
        <v>45901.54751157408</v>
      </c>
      <c r="C517" s="1" t="n">
        <v>45972</v>
      </c>
      <c r="D517" t="inlineStr">
        <is>
          <t>UPPSALA LÄN</t>
        </is>
      </c>
      <c r="E517" t="inlineStr">
        <is>
          <t>ÖSTHAMMAR</t>
        </is>
      </c>
      <c r="F517" t="inlineStr">
        <is>
          <t>Övriga Aktiebolag</t>
        </is>
      </c>
      <c r="G517" t="n">
        <v>17.1</v>
      </c>
      <c r="H517" t="n">
        <v>0</v>
      </c>
      <c r="I517" t="n">
        <v>0</v>
      </c>
      <c r="J517" t="n">
        <v>0</v>
      </c>
      <c r="K517" t="n">
        <v>0</v>
      </c>
      <c r="L517" t="n">
        <v>0</v>
      </c>
      <c r="M517" t="n">
        <v>0</v>
      </c>
      <c r="N517" t="n">
        <v>0</v>
      </c>
      <c r="O517" t="n">
        <v>0</v>
      </c>
      <c r="P517" t="n">
        <v>0</v>
      </c>
      <c r="Q517" t="n">
        <v>0</v>
      </c>
      <c r="R517" s="2" t="inlineStr"/>
    </row>
    <row r="518" ht="15" customHeight="1">
      <c r="A518" t="inlineStr">
        <is>
          <t>A 5933-2022</t>
        </is>
      </c>
      <c r="B518" s="1" t="n">
        <v>44598.82957175926</v>
      </c>
      <c r="C518" s="1" t="n">
        <v>45972</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29873-2023</t>
        </is>
      </c>
      <c r="B519" s="1" t="n">
        <v>45107</v>
      </c>
      <c r="C519" s="1" t="n">
        <v>45972</v>
      </c>
      <c r="D519" t="inlineStr">
        <is>
          <t>UPPSALA LÄN</t>
        </is>
      </c>
      <c r="E519" t="inlineStr">
        <is>
          <t>ÖSTHAMMAR</t>
        </is>
      </c>
      <c r="F519" t="inlineStr">
        <is>
          <t>Naturvårdsverket</t>
        </is>
      </c>
      <c r="G519" t="n">
        <v>7.8</v>
      </c>
      <c r="H519" t="n">
        <v>0</v>
      </c>
      <c r="I519" t="n">
        <v>0</v>
      </c>
      <c r="J519" t="n">
        <v>0</v>
      </c>
      <c r="K519" t="n">
        <v>0</v>
      </c>
      <c r="L519" t="n">
        <v>0</v>
      </c>
      <c r="M519" t="n">
        <v>0</v>
      </c>
      <c r="N519" t="n">
        <v>0</v>
      </c>
      <c r="O519" t="n">
        <v>0</v>
      </c>
      <c r="P519" t="n">
        <v>0</v>
      </c>
      <c r="Q519" t="n">
        <v>0</v>
      </c>
      <c r="R519" s="2" t="inlineStr"/>
    </row>
    <row r="520" ht="15" customHeight="1">
      <c r="A520" t="inlineStr">
        <is>
          <t>A 23968-2025</t>
        </is>
      </c>
      <c r="B520" s="1" t="n">
        <v>45796</v>
      </c>
      <c r="C520" s="1" t="n">
        <v>45972</v>
      </c>
      <c r="D520" t="inlineStr">
        <is>
          <t>UPPSALA LÄN</t>
        </is>
      </c>
      <c r="E520" t="inlineStr">
        <is>
          <t>ÖSTHAMMAR</t>
        </is>
      </c>
      <c r="F520" t="inlineStr">
        <is>
          <t>Bergvik skog öst AB</t>
        </is>
      </c>
      <c r="G520" t="n">
        <v>7.5</v>
      </c>
      <c r="H520" t="n">
        <v>0</v>
      </c>
      <c r="I520" t="n">
        <v>0</v>
      </c>
      <c r="J520" t="n">
        <v>0</v>
      </c>
      <c r="K520" t="n">
        <v>0</v>
      </c>
      <c r="L520" t="n">
        <v>0</v>
      </c>
      <c r="M520" t="n">
        <v>0</v>
      </c>
      <c r="N520" t="n">
        <v>0</v>
      </c>
      <c r="O520" t="n">
        <v>0</v>
      </c>
      <c r="P520" t="n">
        <v>0</v>
      </c>
      <c r="Q520" t="n">
        <v>0</v>
      </c>
      <c r="R520" s="2" t="inlineStr"/>
    </row>
    <row r="521" ht="15" customHeight="1">
      <c r="A521" t="inlineStr">
        <is>
          <t>A 24160-2024</t>
        </is>
      </c>
      <c r="B521" s="1" t="n">
        <v>45456</v>
      </c>
      <c r="C521" s="1" t="n">
        <v>45972</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1584-2025</t>
        </is>
      </c>
      <c r="B522" s="1" t="n">
        <v>45670</v>
      </c>
      <c r="C522" s="1" t="n">
        <v>45972</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24174-2025</t>
        </is>
      </c>
      <c r="B523" s="1" t="n">
        <v>45796.69207175926</v>
      </c>
      <c r="C523" s="1" t="n">
        <v>45972</v>
      </c>
      <c r="D523" t="inlineStr">
        <is>
          <t>UPPSALA LÄN</t>
        </is>
      </c>
      <c r="E523" t="inlineStr">
        <is>
          <t>ÖSTHAMMAR</t>
        </is>
      </c>
      <c r="G523" t="n">
        <v>4.9</v>
      </c>
      <c r="H523" t="n">
        <v>0</v>
      </c>
      <c r="I523" t="n">
        <v>0</v>
      </c>
      <c r="J523" t="n">
        <v>0</v>
      </c>
      <c r="K523" t="n">
        <v>0</v>
      </c>
      <c r="L523" t="n">
        <v>0</v>
      </c>
      <c r="M523" t="n">
        <v>0</v>
      </c>
      <c r="N523" t="n">
        <v>0</v>
      </c>
      <c r="O523" t="n">
        <v>0</v>
      </c>
      <c r="P523" t="n">
        <v>0</v>
      </c>
      <c r="Q523" t="n">
        <v>0</v>
      </c>
      <c r="R523" s="2" t="inlineStr"/>
    </row>
    <row r="524" ht="15" customHeight="1">
      <c r="A524" t="inlineStr">
        <is>
          <t>A 13279-2022</t>
        </is>
      </c>
      <c r="B524" s="1" t="n">
        <v>44644</v>
      </c>
      <c r="C524" s="1" t="n">
        <v>45972</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6892-2022</t>
        </is>
      </c>
      <c r="B525" s="1" t="n">
        <v>44602</v>
      </c>
      <c r="C525" s="1" t="n">
        <v>45972</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30972-2024</t>
        </is>
      </c>
      <c r="B526" s="1" t="n">
        <v>45499.47106481482</v>
      </c>
      <c r="C526" s="1" t="n">
        <v>45972</v>
      </c>
      <c r="D526" t="inlineStr">
        <is>
          <t>UPPSALA LÄN</t>
        </is>
      </c>
      <c r="E526" t="inlineStr">
        <is>
          <t>ÖSTHAMMAR</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24408-2025</t>
        </is>
      </c>
      <c r="B527" s="1" t="n">
        <v>45797.65774305556</v>
      </c>
      <c r="C527" s="1" t="n">
        <v>45972</v>
      </c>
      <c r="D527" t="inlineStr">
        <is>
          <t>UPPSALA LÄN</t>
        </is>
      </c>
      <c r="E527" t="inlineStr">
        <is>
          <t>ÖSTHAMMAR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13044-2022</t>
        </is>
      </c>
      <c r="B528" s="1" t="n">
        <v>44643</v>
      </c>
      <c r="C528" s="1" t="n">
        <v>45972</v>
      </c>
      <c r="D528" t="inlineStr">
        <is>
          <t>UPPSALA LÄN</t>
        </is>
      </c>
      <c r="E528" t="inlineStr">
        <is>
          <t>ÖSTHAMMAR</t>
        </is>
      </c>
      <c r="G528" t="n">
        <v>2.5</v>
      </c>
      <c r="H528" t="n">
        <v>0</v>
      </c>
      <c r="I528" t="n">
        <v>0</v>
      </c>
      <c r="J528" t="n">
        <v>0</v>
      </c>
      <c r="K528" t="n">
        <v>0</v>
      </c>
      <c r="L528" t="n">
        <v>0</v>
      </c>
      <c r="M528" t="n">
        <v>0</v>
      </c>
      <c r="N528" t="n">
        <v>0</v>
      </c>
      <c r="O528" t="n">
        <v>0</v>
      </c>
      <c r="P528" t="n">
        <v>0</v>
      </c>
      <c r="Q528" t="n">
        <v>0</v>
      </c>
      <c r="R528" s="2" t="inlineStr"/>
    </row>
    <row r="529" ht="15" customHeight="1">
      <c r="A529" t="inlineStr">
        <is>
          <t>A 8763-2025</t>
        </is>
      </c>
      <c r="B529" s="1" t="n">
        <v>45712.57872685185</v>
      </c>
      <c r="C529" s="1" t="n">
        <v>45972</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24415-2025</t>
        </is>
      </c>
      <c r="B530" s="1" t="n">
        <v>45797.67381944445</v>
      </c>
      <c r="C530" s="1" t="n">
        <v>45972</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8623-2025</t>
        </is>
      </c>
      <c r="B531" s="1" t="n">
        <v>45711.51902777778</v>
      </c>
      <c r="C531" s="1" t="n">
        <v>45972</v>
      </c>
      <c r="D531" t="inlineStr">
        <is>
          <t>UPPSALA LÄN</t>
        </is>
      </c>
      <c r="E531" t="inlineStr">
        <is>
          <t>ÖSTHAMMAR</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8626-2025</t>
        </is>
      </c>
      <c r="B532" s="1" t="n">
        <v>45711.53565972222</v>
      </c>
      <c r="C532" s="1" t="n">
        <v>45972</v>
      </c>
      <c r="D532" t="inlineStr">
        <is>
          <t>UPPSALA LÄN</t>
        </is>
      </c>
      <c r="E532" t="inlineStr">
        <is>
          <t>ÖSTHAMMAR</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25049-2025</t>
        </is>
      </c>
      <c r="B533" s="1" t="n">
        <v>45799.66876157407</v>
      </c>
      <c r="C533" s="1" t="n">
        <v>45972</v>
      </c>
      <c r="D533" t="inlineStr">
        <is>
          <t>UPPSALA LÄN</t>
        </is>
      </c>
      <c r="E533" t="inlineStr">
        <is>
          <t>ÖSTHAMMAR</t>
        </is>
      </c>
      <c r="F533" t="inlineStr">
        <is>
          <t>Bergvik skog öst AB</t>
        </is>
      </c>
      <c r="G533" t="n">
        <v>3.8</v>
      </c>
      <c r="H533" t="n">
        <v>0</v>
      </c>
      <c r="I533" t="n">
        <v>0</v>
      </c>
      <c r="J533" t="n">
        <v>0</v>
      </c>
      <c r="K533" t="n">
        <v>0</v>
      </c>
      <c r="L533" t="n">
        <v>0</v>
      </c>
      <c r="M533" t="n">
        <v>0</v>
      </c>
      <c r="N533" t="n">
        <v>0</v>
      </c>
      <c r="O533" t="n">
        <v>0</v>
      </c>
      <c r="P533" t="n">
        <v>0</v>
      </c>
      <c r="Q533" t="n">
        <v>0</v>
      </c>
      <c r="R533" s="2" t="inlineStr"/>
    </row>
    <row r="534" ht="15" customHeight="1">
      <c r="A534" t="inlineStr">
        <is>
          <t>A 52694-2023</t>
        </is>
      </c>
      <c r="B534" s="1" t="n">
        <v>45225.76836805556</v>
      </c>
      <c r="C534" s="1" t="n">
        <v>45972</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24944-2025</t>
        </is>
      </c>
      <c r="B535" s="1" t="n">
        <v>45799.56347222222</v>
      </c>
      <c r="C535" s="1" t="n">
        <v>45972</v>
      </c>
      <c r="D535" t="inlineStr">
        <is>
          <t>UPPSALA LÄN</t>
        </is>
      </c>
      <c r="E535" t="inlineStr">
        <is>
          <t>ÖSTHAMMAR</t>
        </is>
      </c>
      <c r="G535" t="n">
        <v>7.3</v>
      </c>
      <c r="H535" t="n">
        <v>0</v>
      </c>
      <c r="I535" t="n">
        <v>0</v>
      </c>
      <c r="J535" t="n">
        <v>0</v>
      </c>
      <c r="K535" t="n">
        <v>0</v>
      </c>
      <c r="L535" t="n">
        <v>0</v>
      </c>
      <c r="M535" t="n">
        <v>0</v>
      </c>
      <c r="N535" t="n">
        <v>0</v>
      </c>
      <c r="O535" t="n">
        <v>0</v>
      </c>
      <c r="P535" t="n">
        <v>0</v>
      </c>
      <c r="Q535" t="n">
        <v>0</v>
      </c>
      <c r="R535" s="2" t="inlineStr"/>
    </row>
    <row r="536" ht="15" customHeight="1">
      <c r="A536" t="inlineStr">
        <is>
          <t>A 16089-2025</t>
        </is>
      </c>
      <c r="B536" s="1" t="n">
        <v>45749.84232638889</v>
      </c>
      <c r="C536" s="1" t="n">
        <v>45972</v>
      </c>
      <c r="D536" t="inlineStr">
        <is>
          <t>UPPSALA LÄN</t>
        </is>
      </c>
      <c r="E536" t="inlineStr">
        <is>
          <t>ÖSTHAMMAR</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34185-2024</t>
        </is>
      </c>
      <c r="B537" s="1" t="n">
        <v>45524</v>
      </c>
      <c r="C537" s="1" t="n">
        <v>45972</v>
      </c>
      <c r="D537" t="inlineStr">
        <is>
          <t>UPPSALA LÄN</t>
        </is>
      </c>
      <c r="E537" t="inlineStr">
        <is>
          <t>ÖSTHAMMAR</t>
        </is>
      </c>
      <c r="G537" t="n">
        <v>2.5</v>
      </c>
      <c r="H537" t="n">
        <v>0</v>
      </c>
      <c r="I537" t="n">
        <v>0</v>
      </c>
      <c r="J537" t="n">
        <v>0</v>
      </c>
      <c r="K537" t="n">
        <v>0</v>
      </c>
      <c r="L537" t="n">
        <v>0</v>
      </c>
      <c r="M537" t="n">
        <v>0</v>
      </c>
      <c r="N537" t="n">
        <v>0</v>
      </c>
      <c r="O537" t="n">
        <v>0</v>
      </c>
      <c r="P537" t="n">
        <v>0</v>
      </c>
      <c r="Q537" t="n">
        <v>0</v>
      </c>
      <c r="R537" s="2" t="inlineStr"/>
    </row>
    <row r="538" ht="15" customHeight="1">
      <c r="A538" t="inlineStr">
        <is>
          <t>A 14170-2025</t>
        </is>
      </c>
      <c r="B538" s="1" t="n">
        <v>45740.51895833333</v>
      </c>
      <c r="C538" s="1" t="n">
        <v>45972</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12945-2025</t>
        </is>
      </c>
      <c r="B539" s="1" t="n">
        <v>45734.38159722222</v>
      </c>
      <c r="C539" s="1" t="n">
        <v>45972</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58297-2024</t>
        </is>
      </c>
      <c r="B540" s="1" t="n">
        <v>45632.59780092593</v>
      </c>
      <c r="C540" s="1" t="n">
        <v>45972</v>
      </c>
      <c r="D540" t="inlineStr">
        <is>
          <t>UPPSALA LÄN</t>
        </is>
      </c>
      <c r="E540" t="inlineStr">
        <is>
          <t>ÖSTHAMMAR</t>
        </is>
      </c>
      <c r="G540" t="n">
        <v>5.1</v>
      </c>
      <c r="H540" t="n">
        <v>0</v>
      </c>
      <c r="I540" t="n">
        <v>0</v>
      </c>
      <c r="J540" t="n">
        <v>0</v>
      </c>
      <c r="K540" t="n">
        <v>0</v>
      </c>
      <c r="L540" t="n">
        <v>0</v>
      </c>
      <c r="M540" t="n">
        <v>0</v>
      </c>
      <c r="N540" t="n">
        <v>0</v>
      </c>
      <c r="O540" t="n">
        <v>0</v>
      </c>
      <c r="P540" t="n">
        <v>0</v>
      </c>
      <c r="Q540" t="n">
        <v>0</v>
      </c>
      <c r="R540" s="2" t="inlineStr"/>
    </row>
    <row r="541" ht="15" customHeight="1">
      <c r="A541" t="inlineStr">
        <is>
          <t>A 5303-2025</t>
        </is>
      </c>
      <c r="B541" s="1" t="n">
        <v>45692</v>
      </c>
      <c r="C541" s="1" t="n">
        <v>45972</v>
      </c>
      <c r="D541" t="inlineStr">
        <is>
          <t>UPPSALA LÄN</t>
        </is>
      </c>
      <c r="E541" t="inlineStr">
        <is>
          <t>ÖSTHAMMAR</t>
        </is>
      </c>
      <c r="G541" t="n">
        <v>5</v>
      </c>
      <c r="H541" t="n">
        <v>0</v>
      </c>
      <c r="I541" t="n">
        <v>0</v>
      </c>
      <c r="J541" t="n">
        <v>0</v>
      </c>
      <c r="K541" t="n">
        <v>0</v>
      </c>
      <c r="L541" t="n">
        <v>0</v>
      </c>
      <c r="M541" t="n">
        <v>0</v>
      </c>
      <c r="N541" t="n">
        <v>0</v>
      </c>
      <c r="O541" t="n">
        <v>0</v>
      </c>
      <c r="P541" t="n">
        <v>0</v>
      </c>
      <c r="Q541" t="n">
        <v>0</v>
      </c>
      <c r="R541" s="2" t="inlineStr"/>
    </row>
    <row r="542" ht="15" customHeight="1">
      <c r="A542" t="inlineStr">
        <is>
          <t>A 24493-2023</t>
        </is>
      </c>
      <c r="B542" s="1" t="n">
        <v>45082.62603009259</v>
      </c>
      <c r="C542" s="1" t="n">
        <v>45972</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26328-2025</t>
        </is>
      </c>
      <c r="B543" s="1" t="n">
        <v>45805.67305555556</v>
      </c>
      <c r="C543" s="1" t="n">
        <v>45972</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26055-2025</t>
        </is>
      </c>
      <c r="B544" s="1" t="n">
        <v>45804.77559027778</v>
      </c>
      <c r="C544" s="1" t="n">
        <v>45972</v>
      </c>
      <c r="D544" t="inlineStr">
        <is>
          <t>UPPSALA LÄN</t>
        </is>
      </c>
      <c r="E544" t="inlineStr">
        <is>
          <t>ÖSTHAMMAR</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26330-2025</t>
        </is>
      </c>
      <c r="B545" s="1" t="n">
        <v>45805.68263888889</v>
      </c>
      <c r="C545" s="1" t="n">
        <v>45972</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42213-2025</t>
        </is>
      </c>
      <c r="B546" s="1" t="n">
        <v>45904.50652777778</v>
      </c>
      <c r="C546" s="1" t="n">
        <v>45972</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26319-2025</t>
        </is>
      </c>
      <c r="B547" s="1" t="n">
        <v>45805.65960648148</v>
      </c>
      <c r="C547" s="1" t="n">
        <v>45972</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34742-2022</t>
        </is>
      </c>
      <c r="B548" s="1" t="n">
        <v>44795.61990740741</v>
      </c>
      <c r="C548" s="1" t="n">
        <v>45972</v>
      </c>
      <c r="D548" t="inlineStr">
        <is>
          <t>UPPSALA LÄN</t>
        </is>
      </c>
      <c r="E548" t="inlineStr">
        <is>
          <t>ÖSTHAMMAR</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13622-2025</t>
        </is>
      </c>
      <c r="B549" s="1" t="n">
        <v>45736</v>
      </c>
      <c r="C549" s="1" t="n">
        <v>45972</v>
      </c>
      <c r="D549" t="inlineStr">
        <is>
          <t>UPPSALA LÄN</t>
        </is>
      </c>
      <c r="E549" t="inlineStr">
        <is>
          <t>ÖSTHAMMAR</t>
        </is>
      </c>
      <c r="G549" t="n">
        <v>2.6</v>
      </c>
      <c r="H549" t="n">
        <v>0</v>
      </c>
      <c r="I549" t="n">
        <v>0</v>
      </c>
      <c r="J549" t="n">
        <v>0</v>
      </c>
      <c r="K549" t="n">
        <v>0</v>
      </c>
      <c r="L549" t="n">
        <v>0</v>
      </c>
      <c r="M549" t="n">
        <v>0</v>
      </c>
      <c r="N549" t="n">
        <v>0</v>
      </c>
      <c r="O549" t="n">
        <v>0</v>
      </c>
      <c r="P549" t="n">
        <v>0</v>
      </c>
      <c r="Q549" t="n">
        <v>0</v>
      </c>
      <c r="R549" s="2" t="inlineStr"/>
    </row>
    <row r="550" ht="15" customHeight="1">
      <c r="A550" t="inlineStr">
        <is>
          <t>A 24389-2025</t>
        </is>
      </c>
      <c r="B550" s="1" t="n">
        <v>45797.63553240741</v>
      </c>
      <c r="C550" s="1" t="n">
        <v>45972</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46399-2023</t>
        </is>
      </c>
      <c r="B551" s="1" t="n">
        <v>45197.49262731482</v>
      </c>
      <c r="C551" s="1" t="n">
        <v>45972</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27384-2025</t>
        </is>
      </c>
      <c r="B552" s="1" t="n">
        <v>45812.6672337963</v>
      </c>
      <c r="C552" s="1" t="n">
        <v>45972</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13358-2024</t>
        </is>
      </c>
      <c r="B553" s="1" t="n">
        <v>45387.3503125</v>
      </c>
      <c r="C553" s="1" t="n">
        <v>45972</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51266-2025</t>
        </is>
      </c>
      <c r="B554" s="1" t="n">
        <v>45949.71568287037</v>
      </c>
      <c r="C554" s="1" t="n">
        <v>45972</v>
      </c>
      <c r="D554" t="inlineStr">
        <is>
          <t>UPPSALA LÄN</t>
        </is>
      </c>
      <c r="E554" t="inlineStr">
        <is>
          <t>ÖSTHAMMAR</t>
        </is>
      </c>
      <c r="F554" t="inlineStr">
        <is>
          <t>Bergvik skog öst AB</t>
        </is>
      </c>
      <c r="G554" t="n">
        <v>4.7</v>
      </c>
      <c r="H554" t="n">
        <v>0</v>
      </c>
      <c r="I554" t="n">
        <v>0</v>
      </c>
      <c r="J554" t="n">
        <v>0</v>
      </c>
      <c r="K554" t="n">
        <v>0</v>
      </c>
      <c r="L554" t="n">
        <v>0</v>
      </c>
      <c r="M554" t="n">
        <v>0</v>
      </c>
      <c r="N554" t="n">
        <v>0</v>
      </c>
      <c r="O554" t="n">
        <v>0</v>
      </c>
      <c r="P554" t="n">
        <v>0</v>
      </c>
      <c r="Q554" t="n">
        <v>0</v>
      </c>
      <c r="R554" s="2" t="inlineStr"/>
    </row>
    <row r="555" ht="15" customHeight="1">
      <c r="A555" t="inlineStr">
        <is>
          <t>A 55079-2024</t>
        </is>
      </c>
      <c r="B555" s="1" t="n">
        <v>45621.42747685185</v>
      </c>
      <c r="C555" s="1" t="n">
        <v>45972</v>
      </c>
      <c r="D555" t="inlineStr">
        <is>
          <t>UPPSALA LÄN</t>
        </is>
      </c>
      <c r="E555" t="inlineStr">
        <is>
          <t>ÖSTHAMMAR</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36873-2022</t>
        </is>
      </c>
      <c r="B556" s="1" t="n">
        <v>44805.63708333333</v>
      </c>
      <c r="C556" s="1" t="n">
        <v>45972</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53733-2023</t>
        </is>
      </c>
      <c r="B557" s="1" t="n">
        <v>45230.76862268519</v>
      </c>
      <c r="C557" s="1" t="n">
        <v>45972</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53735-2023</t>
        </is>
      </c>
      <c r="B558" s="1" t="n">
        <v>45230.77258101852</v>
      </c>
      <c r="C558" s="1" t="n">
        <v>45972</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51156-2025</t>
        </is>
      </c>
      <c r="B559" s="1" t="n">
        <v>45947.57833333333</v>
      </c>
      <c r="C559" s="1" t="n">
        <v>45972</v>
      </c>
      <c r="D559" t="inlineStr">
        <is>
          <t>UPPSALA LÄN</t>
        </is>
      </c>
      <c r="E559" t="inlineStr">
        <is>
          <t>ÖSTHAMMAR</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51265-2025</t>
        </is>
      </c>
      <c r="B560" s="1" t="n">
        <v>45949.70971064815</v>
      </c>
      <c r="C560" s="1" t="n">
        <v>45972</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51255-2025</t>
        </is>
      </c>
      <c r="B561" s="1" t="n">
        <v>45949.00917824074</v>
      </c>
      <c r="C561" s="1" t="n">
        <v>45972</v>
      </c>
      <c r="D561" t="inlineStr">
        <is>
          <t>UPPSALA LÄN</t>
        </is>
      </c>
      <c r="E561" t="inlineStr">
        <is>
          <t>ÖSTHAMMAR</t>
        </is>
      </c>
      <c r="G561" t="n">
        <v>1.4</v>
      </c>
      <c r="H561" t="n">
        <v>0</v>
      </c>
      <c r="I561" t="n">
        <v>0</v>
      </c>
      <c r="J561" t="n">
        <v>0</v>
      </c>
      <c r="K561" t="n">
        <v>0</v>
      </c>
      <c r="L561" t="n">
        <v>0</v>
      </c>
      <c r="M561" t="n">
        <v>0</v>
      </c>
      <c r="N561" t="n">
        <v>0</v>
      </c>
      <c r="O561" t="n">
        <v>0</v>
      </c>
      <c r="P561" t="n">
        <v>0</v>
      </c>
      <c r="Q561" t="n">
        <v>0</v>
      </c>
      <c r="R561" s="2" t="inlineStr"/>
    </row>
    <row r="562" ht="15" customHeight="1">
      <c r="A562" t="inlineStr">
        <is>
          <t>A 28099-2025</t>
        </is>
      </c>
      <c r="B562" s="1" t="n">
        <v>45817.82967592592</v>
      </c>
      <c r="C562" s="1" t="n">
        <v>45972</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5076-2025</t>
        </is>
      </c>
      <c r="B563" s="1" t="n">
        <v>45691</v>
      </c>
      <c r="C563" s="1" t="n">
        <v>45972</v>
      </c>
      <c r="D563" t="inlineStr">
        <is>
          <t>UPPSALA LÄN</t>
        </is>
      </c>
      <c r="E563" t="inlineStr">
        <is>
          <t>ÖSTHAMMAR</t>
        </is>
      </c>
      <c r="G563" t="n">
        <v>5.8</v>
      </c>
      <c r="H563" t="n">
        <v>0</v>
      </c>
      <c r="I563" t="n">
        <v>0</v>
      </c>
      <c r="J563" t="n">
        <v>0</v>
      </c>
      <c r="K563" t="n">
        <v>0</v>
      </c>
      <c r="L563" t="n">
        <v>0</v>
      </c>
      <c r="M563" t="n">
        <v>0</v>
      </c>
      <c r="N563" t="n">
        <v>0</v>
      </c>
      <c r="O563" t="n">
        <v>0</v>
      </c>
      <c r="P563" t="n">
        <v>0</v>
      </c>
      <c r="Q563" t="n">
        <v>0</v>
      </c>
      <c r="R563" s="2" t="inlineStr"/>
    </row>
    <row r="564" ht="15" customHeight="1">
      <c r="A564" t="inlineStr">
        <is>
          <t>A 51254-2025</t>
        </is>
      </c>
      <c r="B564" s="1" t="n">
        <v>45948.99313657408</v>
      </c>
      <c r="C564" s="1" t="n">
        <v>45972</v>
      </c>
      <c r="D564" t="inlineStr">
        <is>
          <t>UPPSALA LÄN</t>
        </is>
      </c>
      <c r="E564" t="inlineStr">
        <is>
          <t>ÖSTHAMMAR</t>
        </is>
      </c>
      <c r="G564" t="n">
        <v>8.9</v>
      </c>
      <c r="H564" t="n">
        <v>0</v>
      </c>
      <c r="I564" t="n">
        <v>0</v>
      </c>
      <c r="J564" t="n">
        <v>0</v>
      </c>
      <c r="K564" t="n">
        <v>0</v>
      </c>
      <c r="L564" t="n">
        <v>0</v>
      </c>
      <c r="M564" t="n">
        <v>0</v>
      </c>
      <c r="N564" t="n">
        <v>0</v>
      </c>
      <c r="O564" t="n">
        <v>0</v>
      </c>
      <c r="P564" t="n">
        <v>0</v>
      </c>
      <c r="Q564" t="n">
        <v>0</v>
      </c>
      <c r="R564" s="2" t="inlineStr"/>
    </row>
    <row r="565" ht="15" customHeight="1">
      <c r="A565" t="inlineStr">
        <is>
          <t>A 26521-2025</t>
        </is>
      </c>
      <c r="B565" s="1" t="n">
        <v>45807.56275462963</v>
      </c>
      <c r="C565" s="1" t="n">
        <v>45972</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51379-2025</t>
        </is>
      </c>
      <c r="B566" s="1" t="n">
        <v>45950.45677083333</v>
      </c>
      <c r="C566" s="1" t="n">
        <v>45972</v>
      </c>
      <c r="D566" t="inlineStr">
        <is>
          <t>UPPSALA LÄN</t>
        </is>
      </c>
      <c r="E566" t="inlineStr">
        <is>
          <t>ÖSTHAMMAR</t>
        </is>
      </c>
      <c r="G566" t="n">
        <v>2.1</v>
      </c>
      <c r="H566" t="n">
        <v>0</v>
      </c>
      <c r="I566" t="n">
        <v>0</v>
      </c>
      <c r="J566" t="n">
        <v>0</v>
      </c>
      <c r="K566" t="n">
        <v>0</v>
      </c>
      <c r="L566" t="n">
        <v>0</v>
      </c>
      <c r="M566" t="n">
        <v>0</v>
      </c>
      <c r="N566" t="n">
        <v>0</v>
      </c>
      <c r="O566" t="n">
        <v>0</v>
      </c>
      <c r="P566" t="n">
        <v>0</v>
      </c>
      <c r="Q566" t="n">
        <v>0</v>
      </c>
      <c r="R566" s="2" t="inlineStr"/>
    </row>
    <row r="567" ht="15" customHeight="1">
      <c r="A567" t="inlineStr">
        <is>
          <t>A 26526-2025</t>
        </is>
      </c>
      <c r="B567" s="1" t="n">
        <v>45807.56612268519</v>
      </c>
      <c r="C567" s="1" t="n">
        <v>45972</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21522-2022</t>
        </is>
      </c>
      <c r="B568" s="1" t="n">
        <v>44706</v>
      </c>
      <c r="C568" s="1" t="n">
        <v>45972</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27395-2025</t>
        </is>
      </c>
      <c r="B569" s="1" t="n">
        <v>45812.6850462963</v>
      </c>
      <c r="C569" s="1" t="n">
        <v>45972</v>
      </c>
      <c r="D569" t="inlineStr">
        <is>
          <t>UPPSALA LÄN</t>
        </is>
      </c>
      <c r="E569" t="inlineStr">
        <is>
          <t>ÖSTHAMMAR</t>
        </is>
      </c>
      <c r="F569" t="inlineStr">
        <is>
          <t>Bergvik skog öst AB</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33927-2025</t>
        </is>
      </c>
      <c r="B570" s="1" t="n">
        <v>45842.62363425926</v>
      </c>
      <c r="C570" s="1" t="n">
        <v>45972</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43011-2025</t>
        </is>
      </c>
      <c r="B571" s="1" t="n">
        <v>45909.48989583334</v>
      </c>
      <c r="C571" s="1" t="n">
        <v>45972</v>
      </c>
      <c r="D571" t="inlineStr">
        <is>
          <t>UPPSALA LÄN</t>
        </is>
      </c>
      <c r="E571" t="inlineStr">
        <is>
          <t>ÖSTHAMMAR</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51708-2025</t>
        </is>
      </c>
      <c r="B572" s="1" t="n">
        <v>45951.56679398148</v>
      </c>
      <c r="C572" s="1" t="n">
        <v>45972</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14187-2022</t>
        </is>
      </c>
      <c r="B573" s="1" t="n">
        <v>44651.5625</v>
      </c>
      <c r="C573" s="1" t="n">
        <v>45972</v>
      </c>
      <c r="D573" t="inlineStr">
        <is>
          <t>UPPSALA LÄN</t>
        </is>
      </c>
      <c r="E573" t="inlineStr">
        <is>
          <t>ÖSTHAMMAR</t>
        </is>
      </c>
      <c r="F573" t="inlineStr">
        <is>
          <t>Övriga Aktiebolag</t>
        </is>
      </c>
      <c r="G573" t="n">
        <v>14.1</v>
      </c>
      <c r="H573" t="n">
        <v>0</v>
      </c>
      <c r="I573" t="n">
        <v>0</v>
      </c>
      <c r="J573" t="n">
        <v>0</v>
      </c>
      <c r="K573" t="n">
        <v>0</v>
      </c>
      <c r="L573" t="n">
        <v>0</v>
      </c>
      <c r="M573" t="n">
        <v>0</v>
      </c>
      <c r="N573" t="n">
        <v>0</v>
      </c>
      <c r="O573" t="n">
        <v>0</v>
      </c>
      <c r="P573" t="n">
        <v>0</v>
      </c>
      <c r="Q573" t="n">
        <v>0</v>
      </c>
      <c r="R573" s="2" t="inlineStr"/>
    </row>
    <row r="574" ht="15" customHeight="1">
      <c r="A574" t="inlineStr">
        <is>
          <t>A 27347-2025</t>
        </is>
      </c>
      <c r="B574" s="1" t="n">
        <v>45812.62390046296</v>
      </c>
      <c r="C574" s="1" t="n">
        <v>45972</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7997-2022</t>
        </is>
      </c>
      <c r="B575" s="1" t="n">
        <v>44609</v>
      </c>
      <c r="C575" s="1" t="n">
        <v>45972</v>
      </c>
      <c r="D575" t="inlineStr">
        <is>
          <t>UPPSALA LÄN</t>
        </is>
      </c>
      <c r="E575" t="inlineStr">
        <is>
          <t>ÖSTHAMMAR</t>
        </is>
      </c>
      <c r="G575" t="n">
        <v>1.8</v>
      </c>
      <c r="H575" t="n">
        <v>0</v>
      </c>
      <c r="I575" t="n">
        <v>0</v>
      </c>
      <c r="J575" t="n">
        <v>0</v>
      </c>
      <c r="K575" t="n">
        <v>0</v>
      </c>
      <c r="L575" t="n">
        <v>0</v>
      </c>
      <c r="M575" t="n">
        <v>0</v>
      </c>
      <c r="N575" t="n">
        <v>0</v>
      </c>
      <c r="O575" t="n">
        <v>0</v>
      </c>
      <c r="P575" t="n">
        <v>0</v>
      </c>
      <c r="Q575" t="n">
        <v>0</v>
      </c>
      <c r="R575" s="2" t="inlineStr"/>
    </row>
    <row r="576" ht="15" customHeight="1">
      <c r="A576" t="inlineStr">
        <is>
          <t>A 4676-2025</t>
        </is>
      </c>
      <c r="B576" s="1" t="n">
        <v>45687.8313425926</v>
      </c>
      <c r="C576" s="1" t="n">
        <v>45972</v>
      </c>
      <c r="D576" t="inlineStr">
        <is>
          <t>UPPSALA LÄN</t>
        </is>
      </c>
      <c r="E576" t="inlineStr">
        <is>
          <t>ÖSTHAMMAR</t>
        </is>
      </c>
      <c r="G576" t="n">
        <v>3.7</v>
      </c>
      <c r="H576" t="n">
        <v>0</v>
      </c>
      <c r="I576" t="n">
        <v>0</v>
      </c>
      <c r="J576" t="n">
        <v>0</v>
      </c>
      <c r="K576" t="n">
        <v>0</v>
      </c>
      <c r="L576" t="n">
        <v>0</v>
      </c>
      <c r="M576" t="n">
        <v>0</v>
      </c>
      <c r="N576" t="n">
        <v>0</v>
      </c>
      <c r="O576" t="n">
        <v>0</v>
      </c>
      <c r="P576" t="n">
        <v>0</v>
      </c>
      <c r="Q576" t="n">
        <v>0</v>
      </c>
      <c r="R576" s="2" t="inlineStr"/>
    </row>
    <row r="577" ht="15" customHeight="1">
      <c r="A577" t="inlineStr">
        <is>
          <t>A 27383-2025</t>
        </is>
      </c>
      <c r="B577" s="1" t="n">
        <v>45812.66628472223</v>
      </c>
      <c r="C577" s="1" t="n">
        <v>45972</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27385-2025</t>
        </is>
      </c>
      <c r="B578" s="1" t="n">
        <v>45812.66829861111</v>
      </c>
      <c r="C578" s="1" t="n">
        <v>45972</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27352-2025</t>
        </is>
      </c>
      <c r="B579" s="1" t="n">
        <v>45812.62694444445</v>
      </c>
      <c r="C579" s="1" t="n">
        <v>45972</v>
      </c>
      <c r="D579" t="inlineStr">
        <is>
          <t>UPPSALA LÄN</t>
        </is>
      </c>
      <c r="E579" t="inlineStr">
        <is>
          <t>ÖSTHAMMAR</t>
        </is>
      </c>
      <c r="G579" t="n">
        <v>2.5</v>
      </c>
      <c r="H579" t="n">
        <v>0</v>
      </c>
      <c r="I579" t="n">
        <v>0</v>
      </c>
      <c r="J579" t="n">
        <v>0</v>
      </c>
      <c r="K579" t="n">
        <v>0</v>
      </c>
      <c r="L579" t="n">
        <v>0</v>
      </c>
      <c r="M579" t="n">
        <v>0</v>
      </c>
      <c r="N579" t="n">
        <v>0</v>
      </c>
      <c r="O579" t="n">
        <v>0</v>
      </c>
      <c r="P579" t="n">
        <v>0</v>
      </c>
      <c r="Q579" t="n">
        <v>0</v>
      </c>
      <c r="R579" s="2" t="inlineStr"/>
    </row>
    <row r="580" ht="15" customHeight="1">
      <c r="A580" t="inlineStr">
        <is>
          <t>A 27131-2025</t>
        </is>
      </c>
      <c r="B580" s="1" t="n">
        <v>45811</v>
      </c>
      <c r="C580" s="1" t="n">
        <v>45972</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42940-2025</t>
        </is>
      </c>
      <c r="B581" s="1" t="n">
        <v>45909.33440972222</v>
      </c>
      <c r="C581" s="1" t="n">
        <v>45972</v>
      </c>
      <c r="D581" t="inlineStr">
        <is>
          <t>UPPSALA LÄN</t>
        </is>
      </c>
      <c r="E581" t="inlineStr">
        <is>
          <t>ÖSTHAMMAR</t>
        </is>
      </c>
      <c r="G581" t="n">
        <v>2.1</v>
      </c>
      <c r="H581" t="n">
        <v>0</v>
      </c>
      <c r="I581" t="n">
        <v>0</v>
      </c>
      <c r="J581" t="n">
        <v>0</v>
      </c>
      <c r="K581" t="n">
        <v>0</v>
      </c>
      <c r="L581" t="n">
        <v>0</v>
      </c>
      <c r="M581" t="n">
        <v>0</v>
      </c>
      <c r="N581" t="n">
        <v>0</v>
      </c>
      <c r="O581" t="n">
        <v>0</v>
      </c>
      <c r="P581" t="n">
        <v>0</v>
      </c>
      <c r="Q581" t="n">
        <v>0</v>
      </c>
      <c r="R581" s="2" t="inlineStr"/>
    </row>
    <row r="582" ht="15" customHeight="1">
      <c r="A582" t="inlineStr">
        <is>
          <t>A 55837-2023</t>
        </is>
      </c>
      <c r="B582" s="1" t="n">
        <v>45239</v>
      </c>
      <c r="C582" s="1" t="n">
        <v>45972</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27392-2025</t>
        </is>
      </c>
      <c r="B583" s="1" t="n">
        <v>45812.68268518519</v>
      </c>
      <c r="C583" s="1" t="n">
        <v>45972</v>
      </c>
      <c r="D583" t="inlineStr">
        <is>
          <t>UPPSALA LÄN</t>
        </is>
      </c>
      <c r="E583" t="inlineStr">
        <is>
          <t>ÖSTHAMMAR</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45972</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27350-2025</t>
        </is>
      </c>
      <c r="B585" s="1" t="n">
        <v>45812.62571759259</v>
      </c>
      <c r="C585" s="1" t="n">
        <v>45972</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27132-2025</t>
        </is>
      </c>
      <c r="B586" s="1" t="n">
        <v>45811</v>
      </c>
      <c r="C586" s="1" t="n">
        <v>45972</v>
      </c>
      <c r="D586" t="inlineStr">
        <is>
          <t>UPPSALA LÄN</t>
        </is>
      </c>
      <c r="E586" t="inlineStr">
        <is>
          <t>ÖSTHAMMAR</t>
        </is>
      </c>
      <c r="G586" t="n">
        <v>2.3</v>
      </c>
      <c r="H586" t="n">
        <v>0</v>
      </c>
      <c r="I586" t="n">
        <v>0</v>
      </c>
      <c r="J586" t="n">
        <v>0</v>
      </c>
      <c r="K586" t="n">
        <v>0</v>
      </c>
      <c r="L586" t="n">
        <v>0</v>
      </c>
      <c r="M586" t="n">
        <v>0</v>
      </c>
      <c r="N586" t="n">
        <v>0</v>
      </c>
      <c r="O586" t="n">
        <v>0</v>
      </c>
      <c r="P586" t="n">
        <v>0</v>
      </c>
      <c r="Q586" t="n">
        <v>0</v>
      </c>
      <c r="R586" s="2" t="inlineStr"/>
    </row>
    <row r="587" ht="15" customHeight="1">
      <c r="A587" t="inlineStr">
        <is>
          <t>A 8330-2025</t>
        </is>
      </c>
      <c r="B587" s="1" t="n">
        <v>45708</v>
      </c>
      <c r="C587" s="1" t="n">
        <v>45972</v>
      </c>
      <c r="D587" t="inlineStr">
        <is>
          <t>UPPSALA LÄN</t>
        </is>
      </c>
      <c r="E587" t="inlineStr">
        <is>
          <t>ÖSTHAMMAR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13093-2022</t>
        </is>
      </c>
      <c r="B588" s="1" t="n">
        <v>44643.93269675926</v>
      </c>
      <c r="C588" s="1" t="n">
        <v>45972</v>
      </c>
      <c r="D588" t="inlineStr">
        <is>
          <t>UPPSALA LÄN</t>
        </is>
      </c>
      <c r="E588" t="inlineStr">
        <is>
          <t>ÖSTHAMMAR</t>
        </is>
      </c>
      <c r="F588" t="inlineStr">
        <is>
          <t>Bergvik skog öst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45795-2023</t>
        </is>
      </c>
      <c r="B589" s="1" t="n">
        <v>45195</v>
      </c>
      <c r="C589" s="1" t="n">
        <v>45972</v>
      </c>
      <c r="D589" t="inlineStr">
        <is>
          <t>UPPSALA LÄN</t>
        </is>
      </c>
      <c r="E589" t="inlineStr">
        <is>
          <t>ÖSTHAMMAR</t>
        </is>
      </c>
      <c r="G589" t="n">
        <v>4</v>
      </c>
      <c r="H589" t="n">
        <v>0</v>
      </c>
      <c r="I589" t="n">
        <v>0</v>
      </c>
      <c r="J589" t="n">
        <v>0</v>
      </c>
      <c r="K589" t="n">
        <v>0</v>
      </c>
      <c r="L589" t="n">
        <v>0</v>
      </c>
      <c r="M589" t="n">
        <v>0</v>
      </c>
      <c r="N589" t="n">
        <v>0</v>
      </c>
      <c r="O589" t="n">
        <v>0</v>
      </c>
      <c r="P589" t="n">
        <v>0</v>
      </c>
      <c r="Q589" t="n">
        <v>0</v>
      </c>
      <c r="R589" s="2" t="inlineStr"/>
    </row>
    <row r="590" ht="15" customHeight="1">
      <c r="A590" t="inlineStr">
        <is>
          <t>A 27563-2025</t>
        </is>
      </c>
      <c r="B590" s="1" t="n">
        <v>45813.48471064815</v>
      </c>
      <c r="C590" s="1" t="n">
        <v>45972</v>
      </c>
      <c r="D590" t="inlineStr">
        <is>
          <t>UPPSALA LÄN</t>
        </is>
      </c>
      <c r="E590" t="inlineStr">
        <is>
          <t>ÖSTHAMMAR</t>
        </is>
      </c>
      <c r="F590" t="inlineStr">
        <is>
          <t>Bergvik skog öst AB</t>
        </is>
      </c>
      <c r="G590" t="n">
        <v>4</v>
      </c>
      <c r="H590" t="n">
        <v>0</v>
      </c>
      <c r="I590" t="n">
        <v>0</v>
      </c>
      <c r="J590" t="n">
        <v>0</v>
      </c>
      <c r="K590" t="n">
        <v>0</v>
      </c>
      <c r="L590" t="n">
        <v>0</v>
      </c>
      <c r="M590" t="n">
        <v>0</v>
      </c>
      <c r="N590" t="n">
        <v>0</v>
      </c>
      <c r="O590" t="n">
        <v>0</v>
      </c>
      <c r="P590" t="n">
        <v>0</v>
      </c>
      <c r="Q590" t="n">
        <v>0</v>
      </c>
      <c r="R590" s="2" t="inlineStr"/>
    </row>
    <row r="591" ht="15" customHeight="1">
      <c r="A591" t="inlineStr">
        <is>
          <t>A 63637-2020</t>
        </is>
      </c>
      <c r="B591" s="1" t="n">
        <v>44162</v>
      </c>
      <c r="C591" s="1" t="n">
        <v>45972</v>
      </c>
      <c r="D591" t="inlineStr">
        <is>
          <t>UPPSALA LÄN</t>
        </is>
      </c>
      <c r="E591" t="inlineStr">
        <is>
          <t>ÖSTHAMMAR</t>
        </is>
      </c>
      <c r="G591" t="n">
        <v>4</v>
      </c>
      <c r="H591" t="n">
        <v>0</v>
      </c>
      <c r="I591" t="n">
        <v>0</v>
      </c>
      <c r="J591" t="n">
        <v>0</v>
      </c>
      <c r="K591" t="n">
        <v>0</v>
      </c>
      <c r="L591" t="n">
        <v>0</v>
      </c>
      <c r="M591" t="n">
        <v>0</v>
      </c>
      <c r="N591" t="n">
        <v>0</v>
      </c>
      <c r="O591" t="n">
        <v>0</v>
      </c>
      <c r="P591" t="n">
        <v>0</v>
      </c>
      <c r="Q591" t="n">
        <v>0</v>
      </c>
      <c r="R591" s="2" t="inlineStr"/>
    </row>
    <row r="592" ht="15" customHeight="1">
      <c r="A592" t="inlineStr">
        <is>
          <t>A 43622-2025</t>
        </is>
      </c>
      <c r="B592" s="1" t="n">
        <v>45911.68295138889</v>
      </c>
      <c r="C592" s="1" t="n">
        <v>45972</v>
      </c>
      <c r="D592" t="inlineStr">
        <is>
          <t>UPPSALA LÄN</t>
        </is>
      </c>
      <c r="E592" t="inlineStr">
        <is>
          <t>ÖSTHAMMAR</t>
        </is>
      </c>
      <c r="G592" t="n">
        <v>2.3</v>
      </c>
      <c r="H592" t="n">
        <v>0</v>
      </c>
      <c r="I592" t="n">
        <v>0</v>
      </c>
      <c r="J592" t="n">
        <v>0</v>
      </c>
      <c r="K592" t="n">
        <v>0</v>
      </c>
      <c r="L592" t="n">
        <v>0</v>
      </c>
      <c r="M592" t="n">
        <v>0</v>
      </c>
      <c r="N592" t="n">
        <v>0</v>
      </c>
      <c r="O592" t="n">
        <v>0</v>
      </c>
      <c r="P592" t="n">
        <v>0</v>
      </c>
      <c r="Q592" t="n">
        <v>0</v>
      </c>
      <c r="R592" s="2" t="inlineStr"/>
    </row>
    <row r="593" ht="15" customHeight="1">
      <c r="A593" t="inlineStr">
        <is>
          <t>A 38600-2023</t>
        </is>
      </c>
      <c r="B593" s="1" t="n">
        <v>45162</v>
      </c>
      <c r="C593" s="1" t="n">
        <v>45972</v>
      </c>
      <c r="D593" t="inlineStr">
        <is>
          <t>UPPSALA LÄN</t>
        </is>
      </c>
      <c r="E593" t="inlineStr">
        <is>
          <t>ÖSTHAMMAR</t>
        </is>
      </c>
      <c r="F593" t="inlineStr">
        <is>
          <t>Bergvik skog väst AB</t>
        </is>
      </c>
      <c r="G593" t="n">
        <v>0.1</v>
      </c>
      <c r="H593" t="n">
        <v>0</v>
      </c>
      <c r="I593" t="n">
        <v>0</v>
      </c>
      <c r="J593" t="n">
        <v>0</v>
      </c>
      <c r="K593" t="n">
        <v>0</v>
      </c>
      <c r="L593" t="n">
        <v>0</v>
      </c>
      <c r="M593" t="n">
        <v>0</v>
      </c>
      <c r="N593" t="n">
        <v>0</v>
      </c>
      <c r="O593" t="n">
        <v>0</v>
      </c>
      <c r="P593" t="n">
        <v>0</v>
      </c>
      <c r="Q593" t="n">
        <v>0</v>
      </c>
      <c r="R593" s="2" t="inlineStr"/>
    </row>
    <row r="594" ht="15" customHeight="1">
      <c r="A594" t="inlineStr">
        <is>
          <t>A 27920-2025</t>
        </is>
      </c>
      <c r="B594" s="1" t="n">
        <v>45817.48454861111</v>
      </c>
      <c r="C594" s="1" t="n">
        <v>45972</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8624-2025</t>
        </is>
      </c>
      <c r="B595" s="1" t="n">
        <v>45711.52333333333</v>
      </c>
      <c r="C595" s="1" t="n">
        <v>45972</v>
      </c>
      <c r="D595" t="inlineStr">
        <is>
          <t>UPPSALA LÄN</t>
        </is>
      </c>
      <c r="E595" t="inlineStr">
        <is>
          <t>ÖSTHAMMAR</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52332-2025</t>
        </is>
      </c>
      <c r="B596" s="1" t="n">
        <v>45953.67853009259</v>
      </c>
      <c r="C596" s="1" t="n">
        <v>45972</v>
      </c>
      <c r="D596" t="inlineStr">
        <is>
          <t>UPPSALA LÄN</t>
        </is>
      </c>
      <c r="E596" t="inlineStr">
        <is>
          <t>ÖSTHAMMAR</t>
        </is>
      </c>
      <c r="F596" t="inlineStr">
        <is>
          <t>Bergvik skog öst AB</t>
        </is>
      </c>
      <c r="G596" t="n">
        <v>3.8</v>
      </c>
      <c r="H596" t="n">
        <v>0</v>
      </c>
      <c r="I596" t="n">
        <v>0</v>
      </c>
      <c r="J596" t="n">
        <v>0</v>
      </c>
      <c r="K596" t="n">
        <v>0</v>
      </c>
      <c r="L596" t="n">
        <v>0</v>
      </c>
      <c r="M596" t="n">
        <v>0</v>
      </c>
      <c r="N596" t="n">
        <v>0</v>
      </c>
      <c r="O596" t="n">
        <v>0</v>
      </c>
      <c r="P596" t="n">
        <v>0</v>
      </c>
      <c r="Q596" t="n">
        <v>0</v>
      </c>
      <c r="R596" s="2" t="inlineStr"/>
    </row>
    <row r="597" ht="15" customHeight="1">
      <c r="A597" t="inlineStr">
        <is>
          <t>A 43604-2025</t>
        </is>
      </c>
      <c r="B597" s="1" t="n">
        <v>45911.66671296296</v>
      </c>
      <c r="C597" s="1" t="n">
        <v>45972</v>
      </c>
      <c r="D597" t="inlineStr">
        <is>
          <t>UPPSALA LÄN</t>
        </is>
      </c>
      <c r="E597" t="inlineStr">
        <is>
          <t>ÖSTHAMMAR</t>
        </is>
      </c>
      <c r="G597" t="n">
        <v>8.5</v>
      </c>
      <c r="H597" t="n">
        <v>0</v>
      </c>
      <c r="I597" t="n">
        <v>0</v>
      </c>
      <c r="J597" t="n">
        <v>0</v>
      </c>
      <c r="K597" t="n">
        <v>0</v>
      </c>
      <c r="L597" t="n">
        <v>0</v>
      </c>
      <c r="M597" t="n">
        <v>0</v>
      </c>
      <c r="N597" t="n">
        <v>0</v>
      </c>
      <c r="O597" t="n">
        <v>0</v>
      </c>
      <c r="P597" t="n">
        <v>0</v>
      </c>
      <c r="Q597" t="n">
        <v>0</v>
      </c>
      <c r="R597" s="2" t="inlineStr"/>
    </row>
    <row r="598" ht="15" customHeight="1">
      <c r="A598" t="inlineStr">
        <is>
          <t>A 17644-2025</t>
        </is>
      </c>
      <c r="B598" s="1" t="n">
        <v>45758.32645833334</v>
      </c>
      <c r="C598" s="1" t="n">
        <v>45972</v>
      </c>
      <c r="D598" t="inlineStr">
        <is>
          <t>UPPSALA LÄN</t>
        </is>
      </c>
      <c r="E598" t="inlineStr">
        <is>
          <t>ÖSTHAMMAR</t>
        </is>
      </c>
      <c r="F598" t="inlineStr">
        <is>
          <t>Bergvik skog väst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20385-2025</t>
        </is>
      </c>
      <c r="B599" s="1" t="n">
        <v>45775.44483796296</v>
      </c>
      <c r="C599" s="1" t="n">
        <v>45972</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45972</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27919-2025</t>
        </is>
      </c>
      <c r="B601" s="1" t="n">
        <v>45817.48384259259</v>
      </c>
      <c r="C601" s="1" t="n">
        <v>45972</v>
      </c>
      <c r="D601" t="inlineStr">
        <is>
          <t>UPPSALA LÄN</t>
        </is>
      </c>
      <c r="E601" t="inlineStr">
        <is>
          <t>ÖSTHAMMAR</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27853-2025</t>
        </is>
      </c>
      <c r="B602" s="1" t="n">
        <v>45817.40178240741</v>
      </c>
      <c r="C602" s="1" t="n">
        <v>45972</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27509-2025</t>
        </is>
      </c>
      <c r="B603" s="1" t="n">
        <v>45813.4278125</v>
      </c>
      <c r="C603" s="1" t="n">
        <v>45972</v>
      </c>
      <c r="D603" t="inlineStr">
        <is>
          <t>UPPSALA LÄN</t>
        </is>
      </c>
      <c r="E603" t="inlineStr">
        <is>
          <t>ÖSTHAMMAR</t>
        </is>
      </c>
      <c r="F603" t="inlineStr">
        <is>
          <t>Bergvik skog öst AB</t>
        </is>
      </c>
      <c r="G603" t="n">
        <v>3.3</v>
      </c>
      <c r="H603" t="n">
        <v>0</v>
      </c>
      <c r="I603" t="n">
        <v>0</v>
      </c>
      <c r="J603" t="n">
        <v>0</v>
      </c>
      <c r="K603" t="n">
        <v>0</v>
      </c>
      <c r="L603" t="n">
        <v>0</v>
      </c>
      <c r="M603" t="n">
        <v>0</v>
      </c>
      <c r="N603" t="n">
        <v>0</v>
      </c>
      <c r="O603" t="n">
        <v>0</v>
      </c>
      <c r="P603" t="n">
        <v>0</v>
      </c>
      <c r="Q603" t="n">
        <v>0</v>
      </c>
      <c r="R603" s="2" t="inlineStr"/>
    </row>
    <row r="604" ht="15" customHeight="1">
      <c r="A604" t="inlineStr">
        <is>
          <t>A 18183-2022</t>
        </is>
      </c>
      <c r="B604" s="1" t="n">
        <v>44684</v>
      </c>
      <c r="C604" s="1" t="n">
        <v>45972</v>
      </c>
      <c r="D604" t="inlineStr">
        <is>
          <t>UPPSALA LÄN</t>
        </is>
      </c>
      <c r="E604" t="inlineStr">
        <is>
          <t>ÖSTHAMMAR</t>
        </is>
      </c>
      <c r="G604" t="n">
        <v>0.2</v>
      </c>
      <c r="H604" t="n">
        <v>0</v>
      </c>
      <c r="I604" t="n">
        <v>0</v>
      </c>
      <c r="J604" t="n">
        <v>0</v>
      </c>
      <c r="K604" t="n">
        <v>0</v>
      </c>
      <c r="L604" t="n">
        <v>0</v>
      </c>
      <c r="M604" t="n">
        <v>0</v>
      </c>
      <c r="N604" t="n">
        <v>0</v>
      </c>
      <c r="O604" t="n">
        <v>0</v>
      </c>
      <c r="P604" t="n">
        <v>0</v>
      </c>
      <c r="Q604" t="n">
        <v>0</v>
      </c>
      <c r="R604" s="2" t="inlineStr"/>
    </row>
    <row r="605" ht="15" customHeight="1">
      <c r="A605" t="inlineStr">
        <is>
          <t>A 28745-2025</t>
        </is>
      </c>
      <c r="B605" s="1" t="n">
        <v>45820.39076388889</v>
      </c>
      <c r="C605" s="1" t="n">
        <v>45972</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28748-2025</t>
        </is>
      </c>
      <c r="B606" s="1" t="n">
        <v>45820.39540509259</v>
      </c>
      <c r="C606" s="1" t="n">
        <v>45972</v>
      </c>
      <c r="D606" t="inlineStr">
        <is>
          <t>UPPSALA LÄN</t>
        </is>
      </c>
      <c r="E606" t="inlineStr">
        <is>
          <t>ÖSTHAMMAR</t>
        </is>
      </c>
      <c r="G606" t="n">
        <v>2</v>
      </c>
      <c r="H606" t="n">
        <v>0</v>
      </c>
      <c r="I606" t="n">
        <v>0</v>
      </c>
      <c r="J606" t="n">
        <v>0</v>
      </c>
      <c r="K606" t="n">
        <v>0</v>
      </c>
      <c r="L606" t="n">
        <v>0</v>
      </c>
      <c r="M606" t="n">
        <v>0</v>
      </c>
      <c r="N606" t="n">
        <v>0</v>
      </c>
      <c r="O606" t="n">
        <v>0</v>
      </c>
      <c r="P606" t="n">
        <v>0</v>
      </c>
      <c r="Q606" t="n">
        <v>0</v>
      </c>
      <c r="R606" s="2" t="inlineStr"/>
    </row>
    <row r="607" ht="15" customHeight="1">
      <c r="A607" t="inlineStr">
        <is>
          <t>A 28442-2025</t>
        </is>
      </c>
      <c r="B607" s="1" t="n">
        <v>45819</v>
      </c>
      <c r="C607" s="1" t="n">
        <v>45972</v>
      </c>
      <c r="D607" t="inlineStr">
        <is>
          <t>UPPSALA LÄN</t>
        </is>
      </c>
      <c r="E607" t="inlineStr">
        <is>
          <t>ÖSTHAMMAR</t>
        </is>
      </c>
      <c r="F607" t="inlineStr">
        <is>
          <t>Övriga Aktiebolag</t>
        </is>
      </c>
      <c r="G607" t="n">
        <v>1.8</v>
      </c>
      <c r="H607" t="n">
        <v>0</v>
      </c>
      <c r="I607" t="n">
        <v>0</v>
      </c>
      <c r="J607" t="n">
        <v>0</v>
      </c>
      <c r="K607" t="n">
        <v>0</v>
      </c>
      <c r="L607" t="n">
        <v>0</v>
      </c>
      <c r="M607" t="n">
        <v>0</v>
      </c>
      <c r="N607" t="n">
        <v>0</v>
      </c>
      <c r="O607" t="n">
        <v>0</v>
      </c>
      <c r="P607" t="n">
        <v>0</v>
      </c>
      <c r="Q607" t="n">
        <v>0</v>
      </c>
      <c r="R607" s="2" t="inlineStr"/>
    </row>
    <row r="608" ht="15" customHeight="1">
      <c r="A608" t="inlineStr">
        <is>
          <t>A 23728-2025</t>
        </is>
      </c>
      <c r="B608" s="1" t="n">
        <v>45793.41719907407</v>
      </c>
      <c r="C608" s="1" t="n">
        <v>45972</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4304-2025</t>
        </is>
      </c>
      <c r="B609" s="1" t="n">
        <v>45685.68193287037</v>
      </c>
      <c r="C609" s="1" t="n">
        <v>45972</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28739-2025</t>
        </is>
      </c>
      <c r="B610" s="1" t="n">
        <v>45820</v>
      </c>
      <c r="C610" s="1" t="n">
        <v>45972</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27486-2025</t>
        </is>
      </c>
      <c r="B611" s="1" t="n">
        <v>45813.38521990741</v>
      </c>
      <c r="C611" s="1" t="n">
        <v>45972</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28170-2023</t>
        </is>
      </c>
      <c r="B612" s="1" t="n">
        <v>45093</v>
      </c>
      <c r="C612" s="1" t="n">
        <v>45972</v>
      </c>
      <c r="D612" t="inlineStr">
        <is>
          <t>UPPSALA LÄN</t>
        </is>
      </c>
      <c r="E612" t="inlineStr">
        <is>
          <t>ÖSTHAMMAR</t>
        </is>
      </c>
      <c r="G612" t="n">
        <v>7.2</v>
      </c>
      <c r="H612" t="n">
        <v>0</v>
      </c>
      <c r="I612" t="n">
        <v>0</v>
      </c>
      <c r="J612" t="n">
        <v>0</v>
      </c>
      <c r="K612" t="n">
        <v>0</v>
      </c>
      <c r="L612" t="n">
        <v>0</v>
      </c>
      <c r="M612" t="n">
        <v>0</v>
      </c>
      <c r="N612" t="n">
        <v>0</v>
      </c>
      <c r="O612" t="n">
        <v>0</v>
      </c>
      <c r="P612" t="n">
        <v>0</v>
      </c>
      <c r="Q612" t="n">
        <v>0</v>
      </c>
      <c r="R612" s="2" t="inlineStr"/>
    </row>
    <row r="613" ht="15" customHeight="1">
      <c r="A613" t="inlineStr">
        <is>
          <t>A 29029-2025</t>
        </is>
      </c>
      <c r="B613" s="1" t="n">
        <v>45821.43973379629</v>
      </c>
      <c r="C613" s="1" t="n">
        <v>45972</v>
      </c>
      <c r="D613" t="inlineStr">
        <is>
          <t>UPPSALA LÄN</t>
        </is>
      </c>
      <c r="E613" t="inlineStr">
        <is>
          <t>ÖSTHAMMAR</t>
        </is>
      </c>
      <c r="F613" t="inlineStr">
        <is>
          <t>Bergvik skog öst AB</t>
        </is>
      </c>
      <c r="G613" t="n">
        <v>4.2</v>
      </c>
      <c r="H613" t="n">
        <v>0</v>
      </c>
      <c r="I613" t="n">
        <v>0</v>
      </c>
      <c r="J613" t="n">
        <v>0</v>
      </c>
      <c r="K613" t="n">
        <v>0</v>
      </c>
      <c r="L613" t="n">
        <v>0</v>
      </c>
      <c r="M613" t="n">
        <v>0</v>
      </c>
      <c r="N613" t="n">
        <v>0</v>
      </c>
      <c r="O613" t="n">
        <v>0</v>
      </c>
      <c r="P613" t="n">
        <v>0</v>
      </c>
      <c r="Q613" t="n">
        <v>0</v>
      </c>
      <c r="R613" s="2" t="inlineStr"/>
    </row>
    <row r="614" ht="15" customHeight="1">
      <c r="A614" t="inlineStr">
        <is>
          <t>A 29028-2025</t>
        </is>
      </c>
      <c r="B614" s="1" t="n">
        <v>45821.4384375</v>
      </c>
      <c r="C614" s="1" t="n">
        <v>45972</v>
      </c>
      <c r="D614" t="inlineStr">
        <is>
          <t>UPPSALA LÄN</t>
        </is>
      </c>
      <c r="E614" t="inlineStr">
        <is>
          <t>ÖSTHAMMAR</t>
        </is>
      </c>
      <c r="F614" t="inlineStr">
        <is>
          <t>Bergvik skog öst AB</t>
        </is>
      </c>
      <c r="G614" t="n">
        <v>1.7</v>
      </c>
      <c r="H614" t="n">
        <v>0</v>
      </c>
      <c r="I614" t="n">
        <v>0</v>
      </c>
      <c r="J614" t="n">
        <v>0</v>
      </c>
      <c r="K614" t="n">
        <v>0</v>
      </c>
      <c r="L614" t="n">
        <v>0</v>
      </c>
      <c r="M614" t="n">
        <v>0</v>
      </c>
      <c r="N614" t="n">
        <v>0</v>
      </c>
      <c r="O614" t="n">
        <v>0</v>
      </c>
      <c r="P614" t="n">
        <v>0</v>
      </c>
      <c r="Q614" t="n">
        <v>0</v>
      </c>
      <c r="R614" s="2" t="inlineStr"/>
    </row>
    <row r="615" ht="15" customHeight="1">
      <c r="A615" t="inlineStr">
        <is>
          <t>A 16933-2022</t>
        </is>
      </c>
      <c r="B615" s="1" t="n">
        <v>44676</v>
      </c>
      <c r="C615" s="1" t="n">
        <v>45972</v>
      </c>
      <c r="D615" t="inlineStr">
        <is>
          <t>UPPSALA LÄN</t>
        </is>
      </c>
      <c r="E615" t="inlineStr">
        <is>
          <t>ÖSTHAMMAR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29031-2025</t>
        </is>
      </c>
      <c r="B616" s="1" t="n">
        <v>45821.44159722222</v>
      </c>
      <c r="C616" s="1" t="n">
        <v>45972</v>
      </c>
      <c r="D616" t="inlineStr">
        <is>
          <t>UPPSALA LÄN</t>
        </is>
      </c>
      <c r="E616" t="inlineStr">
        <is>
          <t>ÖSTHAMMAR</t>
        </is>
      </c>
      <c r="F616" t="inlineStr">
        <is>
          <t>Bergvik skog öst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45972</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23741-2024</t>
        </is>
      </c>
      <c r="B618" s="1" t="n">
        <v>45455</v>
      </c>
      <c r="C618" s="1" t="n">
        <v>45972</v>
      </c>
      <c r="D618" t="inlineStr">
        <is>
          <t>UPPSALA LÄN</t>
        </is>
      </c>
      <c r="E618" t="inlineStr">
        <is>
          <t>ÖSTHAMMAR</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45972</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29384-2025</t>
        </is>
      </c>
      <c r="B620" s="1" t="n">
        <v>45824</v>
      </c>
      <c r="C620" s="1" t="n">
        <v>45972</v>
      </c>
      <c r="D620" t="inlineStr">
        <is>
          <t>UPPSALA LÄN</t>
        </is>
      </c>
      <c r="E620" t="inlineStr">
        <is>
          <t>ÖSTHAMMAR</t>
        </is>
      </c>
      <c r="G620" t="n">
        <v>3.1</v>
      </c>
      <c r="H620" t="n">
        <v>0</v>
      </c>
      <c r="I620" t="n">
        <v>0</v>
      </c>
      <c r="J620" t="n">
        <v>0</v>
      </c>
      <c r="K620" t="n">
        <v>0</v>
      </c>
      <c r="L620" t="n">
        <v>0</v>
      </c>
      <c r="M620" t="n">
        <v>0</v>
      </c>
      <c r="N620" t="n">
        <v>0</v>
      </c>
      <c r="O620" t="n">
        <v>0</v>
      </c>
      <c r="P620" t="n">
        <v>0</v>
      </c>
      <c r="Q620" t="n">
        <v>0</v>
      </c>
      <c r="R620" s="2" t="inlineStr"/>
    </row>
    <row r="621" ht="15" customHeight="1">
      <c r="A621" t="inlineStr">
        <is>
          <t>A 9264-2024</t>
        </is>
      </c>
      <c r="B621" s="1" t="n">
        <v>45358</v>
      </c>
      <c r="C621" s="1" t="n">
        <v>45972</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45972</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57043-2022</t>
        </is>
      </c>
      <c r="B623" s="1" t="n">
        <v>44895.36748842592</v>
      </c>
      <c r="C623" s="1" t="n">
        <v>45972</v>
      </c>
      <c r="D623" t="inlineStr">
        <is>
          <t>UPPSALA LÄN</t>
        </is>
      </c>
      <c r="E623" t="inlineStr">
        <is>
          <t>ÖSTHAMMAR</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29775-2025</t>
        </is>
      </c>
      <c r="B624" s="1" t="n">
        <v>45825.63803240741</v>
      </c>
      <c r="C624" s="1" t="n">
        <v>45972</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47390-2023</t>
        </is>
      </c>
      <c r="B625" s="1" t="n">
        <v>45202</v>
      </c>
      <c r="C625" s="1" t="n">
        <v>45972</v>
      </c>
      <c r="D625" t="inlineStr">
        <is>
          <t>UPPSALA LÄN</t>
        </is>
      </c>
      <c r="E625" t="inlineStr">
        <is>
          <t>ÖSTHAMMAR</t>
        </is>
      </c>
      <c r="G625" t="n">
        <v>3.7</v>
      </c>
      <c r="H625" t="n">
        <v>0</v>
      </c>
      <c r="I625" t="n">
        <v>0</v>
      </c>
      <c r="J625" t="n">
        <v>0</v>
      </c>
      <c r="K625" t="n">
        <v>0</v>
      </c>
      <c r="L625" t="n">
        <v>0</v>
      </c>
      <c r="M625" t="n">
        <v>0</v>
      </c>
      <c r="N625" t="n">
        <v>0</v>
      </c>
      <c r="O625" t="n">
        <v>0</v>
      </c>
      <c r="P625" t="n">
        <v>0</v>
      </c>
      <c r="Q625" t="n">
        <v>0</v>
      </c>
      <c r="R625" s="2" t="inlineStr"/>
    </row>
    <row r="626" ht="15" customHeight="1">
      <c r="A626" t="inlineStr">
        <is>
          <t>A 15928-2022</t>
        </is>
      </c>
      <c r="B626" s="1" t="n">
        <v>44664</v>
      </c>
      <c r="C626" s="1" t="n">
        <v>45972</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28228-2022</t>
        </is>
      </c>
      <c r="B627" s="1" t="n">
        <v>44746.65873842593</v>
      </c>
      <c r="C627" s="1" t="n">
        <v>45972</v>
      </c>
      <c r="D627" t="inlineStr">
        <is>
          <t>UPPSALA LÄN</t>
        </is>
      </c>
      <c r="E627" t="inlineStr">
        <is>
          <t>ÖSTHAMMAR</t>
        </is>
      </c>
      <c r="G627" t="n">
        <v>2.7</v>
      </c>
      <c r="H627" t="n">
        <v>0</v>
      </c>
      <c r="I627" t="n">
        <v>0</v>
      </c>
      <c r="J627" t="n">
        <v>0</v>
      </c>
      <c r="K627" t="n">
        <v>0</v>
      </c>
      <c r="L627" t="n">
        <v>0</v>
      </c>
      <c r="M627" t="n">
        <v>0</v>
      </c>
      <c r="N627" t="n">
        <v>0</v>
      </c>
      <c r="O627" t="n">
        <v>0</v>
      </c>
      <c r="P627" t="n">
        <v>0</v>
      </c>
      <c r="Q627" t="n">
        <v>0</v>
      </c>
      <c r="R627" s="2" t="inlineStr"/>
    </row>
    <row r="628" ht="15" customHeight="1">
      <c r="A628" t="inlineStr">
        <is>
          <t>A 15445-2022</t>
        </is>
      </c>
      <c r="B628" s="1" t="n">
        <v>44660.4987962963</v>
      </c>
      <c r="C628" s="1" t="n">
        <v>45972</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10275-2025</t>
        </is>
      </c>
      <c r="B629" s="1" t="n">
        <v>45720.39715277778</v>
      </c>
      <c r="C629" s="1" t="n">
        <v>45972</v>
      </c>
      <c r="D629" t="inlineStr">
        <is>
          <t>UPPSALA LÄN</t>
        </is>
      </c>
      <c r="E629" t="inlineStr">
        <is>
          <t>ÖSTHAMMAR</t>
        </is>
      </c>
      <c r="G629" t="n">
        <v>6.2</v>
      </c>
      <c r="H629" t="n">
        <v>0</v>
      </c>
      <c r="I629" t="n">
        <v>0</v>
      </c>
      <c r="J629" t="n">
        <v>0</v>
      </c>
      <c r="K629" t="n">
        <v>0</v>
      </c>
      <c r="L629" t="n">
        <v>0</v>
      </c>
      <c r="M629" t="n">
        <v>0</v>
      </c>
      <c r="N629" t="n">
        <v>0</v>
      </c>
      <c r="O629" t="n">
        <v>0</v>
      </c>
      <c r="P629" t="n">
        <v>0</v>
      </c>
      <c r="Q629" t="n">
        <v>0</v>
      </c>
      <c r="R629" s="2" t="inlineStr"/>
    </row>
    <row r="630" ht="15" customHeight="1">
      <c r="A630" t="inlineStr">
        <is>
          <t>A 30244-2025</t>
        </is>
      </c>
      <c r="B630" s="1" t="n">
        <v>45827.40902777778</v>
      </c>
      <c r="C630" s="1" t="n">
        <v>45972</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14124-2022</t>
        </is>
      </c>
      <c r="B631" s="1" t="n">
        <v>44651.40924768519</v>
      </c>
      <c r="C631" s="1" t="n">
        <v>45972</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37812-2022</t>
        </is>
      </c>
      <c r="B632" s="1" t="n">
        <v>44810</v>
      </c>
      <c r="C632" s="1" t="n">
        <v>45972</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30504-2025</t>
        </is>
      </c>
      <c r="B633" s="1" t="n">
        <v>45830.8558912037</v>
      </c>
      <c r="C633" s="1" t="n">
        <v>45972</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19501-2025</t>
        </is>
      </c>
      <c r="B634" s="1" t="n">
        <v>45770.4015625</v>
      </c>
      <c r="C634" s="1" t="n">
        <v>45972</v>
      </c>
      <c r="D634" t="inlineStr">
        <is>
          <t>UPPSALA LÄN</t>
        </is>
      </c>
      <c r="E634" t="inlineStr">
        <is>
          <t>ÖSTHAMMAR</t>
        </is>
      </c>
      <c r="F634" t="inlineStr">
        <is>
          <t>Övriga Aktiebolag</t>
        </is>
      </c>
      <c r="G634" t="n">
        <v>17.3</v>
      </c>
      <c r="H634" t="n">
        <v>0</v>
      </c>
      <c r="I634" t="n">
        <v>0</v>
      </c>
      <c r="J634" t="n">
        <v>0</v>
      </c>
      <c r="K634" t="n">
        <v>0</v>
      </c>
      <c r="L634" t="n">
        <v>0</v>
      </c>
      <c r="M634" t="n">
        <v>0</v>
      </c>
      <c r="N634" t="n">
        <v>0</v>
      </c>
      <c r="O634" t="n">
        <v>0</v>
      </c>
      <c r="P634" t="n">
        <v>0</v>
      </c>
      <c r="Q634" t="n">
        <v>0</v>
      </c>
      <c r="R634" s="2" t="inlineStr"/>
    </row>
    <row r="635" ht="15" customHeight="1">
      <c r="A635" t="inlineStr">
        <is>
          <t>A 30503-2025</t>
        </is>
      </c>
      <c r="B635" s="1" t="n">
        <v>45830.8500462963</v>
      </c>
      <c r="C635" s="1" t="n">
        <v>45972</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41821-2023</t>
        </is>
      </c>
      <c r="B636" s="1" t="n">
        <v>45176</v>
      </c>
      <c r="C636" s="1" t="n">
        <v>45972</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21478-2023</t>
        </is>
      </c>
      <c r="B637" s="1" t="n">
        <v>45063.47773148148</v>
      </c>
      <c r="C637" s="1" t="n">
        <v>45972</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32742-2022</t>
        </is>
      </c>
      <c r="B638" s="1" t="n">
        <v>44783.69886574074</v>
      </c>
      <c r="C638" s="1" t="n">
        <v>45972</v>
      </c>
      <c r="D638" t="inlineStr">
        <is>
          <t>UPPSALA LÄN</t>
        </is>
      </c>
      <c r="E638" t="inlineStr">
        <is>
          <t>ÖSTHAMMAR</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41308-2023</t>
        </is>
      </c>
      <c r="B639" s="1" t="n">
        <v>45174.62788194444</v>
      </c>
      <c r="C639" s="1" t="n">
        <v>45972</v>
      </c>
      <c r="D639" t="inlineStr">
        <is>
          <t>UPPSALA LÄN</t>
        </is>
      </c>
      <c r="E639" t="inlineStr">
        <is>
          <t>ÖSTHAMMAR</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49833-2023</t>
        </is>
      </c>
      <c r="B640" s="1" t="n">
        <v>45212.71481481481</v>
      </c>
      <c r="C640" s="1" t="n">
        <v>45972</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17433-2025</t>
        </is>
      </c>
      <c r="B641" s="1" t="n">
        <v>45757.40733796296</v>
      </c>
      <c r="C641" s="1" t="n">
        <v>45972</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45550-2023</t>
        </is>
      </c>
      <c r="B642" s="1" t="n">
        <v>45194.57125</v>
      </c>
      <c r="C642" s="1" t="n">
        <v>45972</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30610-2025</t>
        </is>
      </c>
      <c r="B643" s="1" t="n">
        <v>45831.45965277778</v>
      </c>
      <c r="C643" s="1" t="n">
        <v>45972</v>
      </c>
      <c r="D643" t="inlineStr">
        <is>
          <t>UPPSALA LÄN</t>
        </is>
      </c>
      <c r="E643" t="inlineStr">
        <is>
          <t>ÖSTHAMMAR</t>
        </is>
      </c>
      <c r="G643" t="n">
        <v>0.2</v>
      </c>
      <c r="H643" t="n">
        <v>0</v>
      </c>
      <c r="I643" t="n">
        <v>0</v>
      </c>
      <c r="J643" t="n">
        <v>0</v>
      </c>
      <c r="K643" t="n">
        <v>0</v>
      </c>
      <c r="L643" t="n">
        <v>0</v>
      </c>
      <c r="M643" t="n">
        <v>0</v>
      </c>
      <c r="N643" t="n">
        <v>0</v>
      </c>
      <c r="O643" t="n">
        <v>0</v>
      </c>
      <c r="P643" t="n">
        <v>0</v>
      </c>
      <c r="Q643" t="n">
        <v>0</v>
      </c>
      <c r="R643" s="2" t="inlineStr"/>
    </row>
    <row r="644" ht="15" customHeight="1">
      <c r="A644" t="inlineStr">
        <is>
          <t>A 31579-2025</t>
        </is>
      </c>
      <c r="B644" s="1" t="n">
        <v>45833.68211805556</v>
      </c>
      <c r="C644" s="1" t="n">
        <v>45972</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31360-2025</t>
        </is>
      </c>
      <c r="B645" s="1" t="n">
        <v>45833.43527777777</v>
      </c>
      <c r="C645" s="1" t="n">
        <v>45972</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54368-2023</t>
        </is>
      </c>
      <c r="B646" s="1" t="n">
        <v>45233.33221064815</v>
      </c>
      <c r="C646" s="1" t="n">
        <v>45972</v>
      </c>
      <c r="D646" t="inlineStr">
        <is>
          <t>UPPSALA LÄN</t>
        </is>
      </c>
      <c r="E646" t="inlineStr">
        <is>
          <t>ÖSTHAMMAR</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44491-2025</t>
        </is>
      </c>
      <c r="B647" s="1" t="n">
        <v>45916.66152777777</v>
      </c>
      <c r="C647" s="1" t="n">
        <v>45972</v>
      </c>
      <c r="D647" t="inlineStr">
        <is>
          <t>UPPSALA LÄN</t>
        </is>
      </c>
      <c r="E647" t="inlineStr">
        <is>
          <t>ÖSTHAMMAR</t>
        </is>
      </c>
      <c r="F647" t="inlineStr">
        <is>
          <t>Bergvik skog öst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31249-2025</t>
        </is>
      </c>
      <c r="B648" s="1" t="n">
        <v>45832.89476851852</v>
      </c>
      <c r="C648" s="1" t="n">
        <v>45972</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31896-2025</t>
        </is>
      </c>
      <c r="B649" s="1" t="n">
        <v>45834.67556712963</v>
      </c>
      <c r="C649" s="1" t="n">
        <v>45972</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17931-2025</t>
        </is>
      </c>
      <c r="B650" s="1" t="n">
        <v>45759.56894675926</v>
      </c>
      <c r="C650" s="1" t="n">
        <v>45972</v>
      </c>
      <c r="D650" t="inlineStr">
        <is>
          <t>UPPSALA LÄN</t>
        </is>
      </c>
      <c r="E650" t="inlineStr">
        <is>
          <t>ÖSTHAMMAR</t>
        </is>
      </c>
      <c r="G650" t="n">
        <v>2.1</v>
      </c>
      <c r="H650" t="n">
        <v>0</v>
      </c>
      <c r="I650" t="n">
        <v>0</v>
      </c>
      <c r="J650" t="n">
        <v>0</v>
      </c>
      <c r="K650" t="n">
        <v>0</v>
      </c>
      <c r="L650" t="n">
        <v>0</v>
      </c>
      <c r="M650" t="n">
        <v>0</v>
      </c>
      <c r="N650" t="n">
        <v>0</v>
      </c>
      <c r="O650" t="n">
        <v>0</v>
      </c>
      <c r="P650" t="n">
        <v>0</v>
      </c>
      <c r="Q650" t="n">
        <v>0</v>
      </c>
      <c r="R650" s="2" t="inlineStr"/>
    </row>
    <row r="651" ht="15" customHeight="1">
      <c r="A651" t="inlineStr">
        <is>
          <t>A 17938-2025</t>
        </is>
      </c>
      <c r="B651" s="1" t="n">
        <v>45760.55626157407</v>
      </c>
      <c r="C651" s="1" t="n">
        <v>45972</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31977-2025</t>
        </is>
      </c>
      <c r="B652" s="1" t="n">
        <v>45835.3554050926</v>
      </c>
      <c r="C652" s="1" t="n">
        <v>45972</v>
      </c>
      <c r="D652" t="inlineStr">
        <is>
          <t>UPPSALA LÄN</t>
        </is>
      </c>
      <c r="E652" t="inlineStr">
        <is>
          <t>ÖSTHAMMAR</t>
        </is>
      </c>
      <c r="F652" t="inlineStr">
        <is>
          <t>Övriga Aktiebolag</t>
        </is>
      </c>
      <c r="G652" t="n">
        <v>35.3</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45972</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31956-2025</t>
        </is>
      </c>
      <c r="B654" s="1" t="n">
        <v>45835.34184027778</v>
      </c>
      <c r="C654" s="1" t="n">
        <v>45972</v>
      </c>
      <c r="D654" t="inlineStr">
        <is>
          <t>UPPSALA LÄN</t>
        </is>
      </c>
      <c r="E654" t="inlineStr">
        <is>
          <t>ÖSTHAMMAR</t>
        </is>
      </c>
      <c r="F654" t="inlineStr">
        <is>
          <t>Övriga Aktiebolag</t>
        </is>
      </c>
      <c r="G654" t="n">
        <v>4.2</v>
      </c>
      <c r="H654" t="n">
        <v>0</v>
      </c>
      <c r="I654" t="n">
        <v>0</v>
      </c>
      <c r="J654" t="n">
        <v>0</v>
      </c>
      <c r="K654" t="n">
        <v>0</v>
      </c>
      <c r="L654" t="n">
        <v>0</v>
      </c>
      <c r="M654" t="n">
        <v>0</v>
      </c>
      <c r="N654" t="n">
        <v>0</v>
      </c>
      <c r="O654" t="n">
        <v>0</v>
      </c>
      <c r="P654" t="n">
        <v>0</v>
      </c>
      <c r="Q654" t="n">
        <v>0</v>
      </c>
      <c r="R654" s="2" t="inlineStr"/>
    </row>
    <row r="655" ht="15" customHeight="1">
      <c r="A655" t="inlineStr">
        <is>
          <t>A 26552-2022</t>
        </is>
      </c>
      <c r="B655" s="1" t="n">
        <v>44739</v>
      </c>
      <c r="C655" s="1" t="n">
        <v>45972</v>
      </c>
      <c r="D655" t="inlineStr">
        <is>
          <t>UPPSALA LÄN</t>
        </is>
      </c>
      <c r="E655" t="inlineStr">
        <is>
          <t>ÖSTHAMMAR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44917-2025</t>
        </is>
      </c>
      <c r="B656" s="1" t="n">
        <v>45918.54903935185</v>
      </c>
      <c r="C656" s="1" t="n">
        <v>45972</v>
      </c>
      <c r="D656" t="inlineStr">
        <is>
          <t>UPPSALA LÄN</t>
        </is>
      </c>
      <c r="E656" t="inlineStr">
        <is>
          <t>ÖSTHAMMAR</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7216-2025</t>
        </is>
      </c>
      <c r="B657" s="1" t="n">
        <v>45702.47630787037</v>
      </c>
      <c r="C657" s="1" t="n">
        <v>45972</v>
      </c>
      <c r="D657" t="inlineStr">
        <is>
          <t>UPPSALA LÄN</t>
        </is>
      </c>
      <c r="E657" t="inlineStr">
        <is>
          <t>ÖSTHAMMAR</t>
        </is>
      </c>
      <c r="F657" t="inlineStr">
        <is>
          <t>Övriga Aktiebolag</t>
        </is>
      </c>
      <c r="G657" t="n">
        <v>12.5</v>
      </c>
      <c r="H657" t="n">
        <v>0</v>
      </c>
      <c r="I657" t="n">
        <v>0</v>
      </c>
      <c r="J657" t="n">
        <v>0</v>
      </c>
      <c r="K657" t="n">
        <v>0</v>
      </c>
      <c r="L657" t="n">
        <v>0</v>
      </c>
      <c r="M657" t="n">
        <v>0</v>
      </c>
      <c r="N657" t="n">
        <v>0</v>
      </c>
      <c r="O657" t="n">
        <v>0</v>
      </c>
      <c r="P657" t="n">
        <v>0</v>
      </c>
      <c r="Q657" t="n">
        <v>0</v>
      </c>
      <c r="R657" s="2" t="inlineStr"/>
    </row>
    <row r="658" ht="15" customHeight="1">
      <c r="A658" t="inlineStr">
        <is>
          <t>A 33048-2025</t>
        </is>
      </c>
      <c r="B658" s="1" t="n">
        <v>45840.41451388889</v>
      </c>
      <c r="C658" s="1" t="n">
        <v>45972</v>
      </c>
      <c r="D658" t="inlineStr">
        <is>
          <t>UPPSALA LÄN</t>
        </is>
      </c>
      <c r="E658" t="inlineStr">
        <is>
          <t>ÖSTHAMMAR</t>
        </is>
      </c>
      <c r="G658" t="n">
        <v>1.8</v>
      </c>
      <c r="H658" t="n">
        <v>0</v>
      </c>
      <c r="I658" t="n">
        <v>0</v>
      </c>
      <c r="J658" t="n">
        <v>0</v>
      </c>
      <c r="K658" t="n">
        <v>0</v>
      </c>
      <c r="L658" t="n">
        <v>0</v>
      </c>
      <c r="M658" t="n">
        <v>0</v>
      </c>
      <c r="N658" t="n">
        <v>0</v>
      </c>
      <c r="O658" t="n">
        <v>0</v>
      </c>
      <c r="P658" t="n">
        <v>0</v>
      </c>
      <c r="Q658" t="n">
        <v>0</v>
      </c>
      <c r="R658" s="2" t="inlineStr"/>
    </row>
    <row r="659" ht="15" customHeight="1">
      <c r="A659" t="inlineStr">
        <is>
          <t>A 31137-2022</t>
        </is>
      </c>
      <c r="B659" s="1" t="n">
        <v>44770.42166666667</v>
      </c>
      <c r="C659" s="1" t="n">
        <v>45972</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27476-2025</t>
        </is>
      </c>
      <c r="B660" s="1" t="n">
        <v>45813.37517361111</v>
      </c>
      <c r="C660" s="1" t="n">
        <v>45972</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18094-2025</t>
        </is>
      </c>
      <c r="B661" s="1" t="n">
        <v>45761.54710648148</v>
      </c>
      <c r="C661" s="1" t="n">
        <v>45972</v>
      </c>
      <c r="D661" t="inlineStr">
        <is>
          <t>UPPSALA LÄN</t>
        </is>
      </c>
      <c r="E661" t="inlineStr">
        <is>
          <t>ÖSTHAMMAR</t>
        </is>
      </c>
      <c r="F661" t="inlineStr">
        <is>
          <t>Bergvik skog öst AB</t>
        </is>
      </c>
      <c r="G661" t="n">
        <v>6.5</v>
      </c>
      <c r="H661" t="n">
        <v>0</v>
      </c>
      <c r="I661" t="n">
        <v>0</v>
      </c>
      <c r="J661" t="n">
        <v>0</v>
      </c>
      <c r="K661" t="n">
        <v>0</v>
      </c>
      <c r="L661" t="n">
        <v>0</v>
      </c>
      <c r="M661" t="n">
        <v>0</v>
      </c>
      <c r="N661" t="n">
        <v>0</v>
      </c>
      <c r="O661" t="n">
        <v>0</v>
      </c>
      <c r="P661" t="n">
        <v>0</v>
      </c>
      <c r="Q661" t="n">
        <v>0</v>
      </c>
      <c r="R661" s="2" t="inlineStr"/>
    </row>
    <row r="662" ht="15" customHeight="1">
      <c r="A662" t="inlineStr">
        <is>
          <t>A 44815-2022</t>
        </is>
      </c>
      <c r="B662" s="1" t="n">
        <v>44841.40452546296</v>
      </c>
      <c r="C662" s="1" t="n">
        <v>45972</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53735-2025</t>
        </is>
      </c>
      <c r="B663" s="1" t="n">
        <v>45960.64431712963</v>
      </c>
      <c r="C663" s="1" t="n">
        <v>45972</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33271-2025</t>
        </is>
      </c>
      <c r="B664" s="1" t="n">
        <v>45840.68381944444</v>
      </c>
      <c r="C664" s="1" t="n">
        <v>45972</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29753-2022</t>
        </is>
      </c>
      <c r="B665" s="1" t="n">
        <v>44755</v>
      </c>
      <c r="C665" s="1" t="n">
        <v>45972</v>
      </c>
      <c r="D665" t="inlineStr">
        <is>
          <t>UPPSALA LÄN</t>
        </is>
      </c>
      <c r="E665" t="inlineStr">
        <is>
          <t>ÖSTHAMMAR</t>
        </is>
      </c>
      <c r="G665" t="n">
        <v>9.4</v>
      </c>
      <c r="H665" t="n">
        <v>0</v>
      </c>
      <c r="I665" t="n">
        <v>0</v>
      </c>
      <c r="J665" t="n">
        <v>0</v>
      </c>
      <c r="K665" t="n">
        <v>0</v>
      </c>
      <c r="L665" t="n">
        <v>0</v>
      </c>
      <c r="M665" t="n">
        <v>0</v>
      </c>
      <c r="N665" t="n">
        <v>0</v>
      </c>
      <c r="O665" t="n">
        <v>0</v>
      </c>
      <c r="P665" t="n">
        <v>0</v>
      </c>
      <c r="Q665" t="n">
        <v>0</v>
      </c>
      <c r="R665" s="2" t="inlineStr"/>
    </row>
    <row r="666" ht="15" customHeight="1">
      <c r="A666" t="inlineStr">
        <is>
          <t>A 32718-2025</t>
        </is>
      </c>
      <c r="B666" s="1" t="n">
        <v>45839.37740740741</v>
      </c>
      <c r="C666" s="1" t="n">
        <v>45972</v>
      </c>
      <c r="D666" t="inlineStr">
        <is>
          <t>UPPSALA LÄN</t>
        </is>
      </c>
      <c r="E666" t="inlineStr">
        <is>
          <t>ÖSTHAMMAR</t>
        </is>
      </c>
      <c r="G666" t="n">
        <v>10.4</v>
      </c>
      <c r="H666" t="n">
        <v>0</v>
      </c>
      <c r="I666" t="n">
        <v>0</v>
      </c>
      <c r="J666" t="n">
        <v>0</v>
      </c>
      <c r="K666" t="n">
        <v>0</v>
      </c>
      <c r="L666" t="n">
        <v>0</v>
      </c>
      <c r="M666" t="n">
        <v>0</v>
      </c>
      <c r="N666" t="n">
        <v>0</v>
      </c>
      <c r="O666" t="n">
        <v>0</v>
      </c>
      <c r="P666" t="n">
        <v>0</v>
      </c>
      <c r="Q666" t="n">
        <v>0</v>
      </c>
      <c r="R666" s="2" t="inlineStr"/>
    </row>
    <row r="667" ht="15" customHeight="1">
      <c r="A667" t="inlineStr">
        <is>
          <t>A 33529-2025</t>
        </is>
      </c>
      <c r="B667" s="1" t="n">
        <v>45841.55199074074</v>
      </c>
      <c r="C667" s="1" t="n">
        <v>45972</v>
      </c>
      <c r="D667" t="inlineStr">
        <is>
          <t>UPPSALA LÄN</t>
        </is>
      </c>
      <c r="E667" t="inlineStr">
        <is>
          <t>ÖSTHAMMAR</t>
        </is>
      </c>
      <c r="F667" t="inlineStr">
        <is>
          <t>Bergvik skog öst AB</t>
        </is>
      </c>
      <c r="G667" t="n">
        <v>11.8</v>
      </c>
      <c r="H667" t="n">
        <v>0</v>
      </c>
      <c r="I667" t="n">
        <v>0</v>
      </c>
      <c r="J667" t="n">
        <v>0</v>
      </c>
      <c r="K667" t="n">
        <v>0</v>
      </c>
      <c r="L667" t="n">
        <v>0</v>
      </c>
      <c r="M667" t="n">
        <v>0</v>
      </c>
      <c r="N667" t="n">
        <v>0</v>
      </c>
      <c r="O667" t="n">
        <v>0</v>
      </c>
      <c r="P667" t="n">
        <v>0</v>
      </c>
      <c r="Q667" t="n">
        <v>0</v>
      </c>
      <c r="R667" s="2" t="inlineStr"/>
    </row>
    <row r="668" ht="15" customHeight="1">
      <c r="A668" t="inlineStr">
        <is>
          <t>A 53737-2025</t>
        </is>
      </c>
      <c r="B668" s="1" t="n">
        <v>45960.64520833334</v>
      </c>
      <c r="C668" s="1" t="n">
        <v>45972</v>
      </c>
      <c r="D668" t="inlineStr">
        <is>
          <t>UPPSALA LÄN</t>
        </is>
      </c>
      <c r="E668" t="inlineStr">
        <is>
          <t>ÖSTHAMMAR</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20072-2025</t>
        </is>
      </c>
      <c r="B669" s="1" t="n">
        <v>45772</v>
      </c>
      <c r="C669" s="1" t="n">
        <v>45972</v>
      </c>
      <c r="D669" t="inlineStr">
        <is>
          <t>UPPSALA LÄN</t>
        </is>
      </c>
      <c r="E669" t="inlineStr">
        <is>
          <t>ÖSTHAMMAR</t>
        </is>
      </c>
      <c r="G669" t="n">
        <v>3.1</v>
      </c>
      <c r="H669" t="n">
        <v>0</v>
      </c>
      <c r="I669" t="n">
        <v>0</v>
      </c>
      <c r="J669" t="n">
        <v>0</v>
      </c>
      <c r="K669" t="n">
        <v>0</v>
      </c>
      <c r="L669" t="n">
        <v>0</v>
      </c>
      <c r="M669" t="n">
        <v>0</v>
      </c>
      <c r="N669" t="n">
        <v>0</v>
      </c>
      <c r="O669" t="n">
        <v>0</v>
      </c>
      <c r="P669" t="n">
        <v>0</v>
      </c>
      <c r="Q669" t="n">
        <v>0</v>
      </c>
      <c r="R669" s="2" t="inlineStr"/>
    </row>
    <row r="670" ht="15" customHeight="1">
      <c r="A670" t="inlineStr">
        <is>
          <t>A 33973-2025</t>
        </is>
      </c>
      <c r="B670" s="1" t="n">
        <v>45842.98429398148</v>
      </c>
      <c r="C670" s="1" t="n">
        <v>45972</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52629-2023</t>
        </is>
      </c>
      <c r="B671" s="1" t="n">
        <v>45225</v>
      </c>
      <c r="C671" s="1" t="n">
        <v>45972</v>
      </c>
      <c r="D671" t="inlineStr">
        <is>
          <t>UPPSALA LÄN</t>
        </is>
      </c>
      <c r="E671" t="inlineStr">
        <is>
          <t>ÖSTHAMMAR</t>
        </is>
      </c>
      <c r="G671" t="n">
        <v>1.2</v>
      </c>
      <c r="H671" t="n">
        <v>0</v>
      </c>
      <c r="I671" t="n">
        <v>0</v>
      </c>
      <c r="J671" t="n">
        <v>0</v>
      </c>
      <c r="K671" t="n">
        <v>0</v>
      </c>
      <c r="L671" t="n">
        <v>0</v>
      </c>
      <c r="M671" t="n">
        <v>0</v>
      </c>
      <c r="N671" t="n">
        <v>0</v>
      </c>
      <c r="O671" t="n">
        <v>0</v>
      </c>
      <c r="P671" t="n">
        <v>0</v>
      </c>
      <c r="Q671" t="n">
        <v>0</v>
      </c>
      <c r="R671" s="2" t="inlineStr"/>
    </row>
    <row r="672" ht="15" customHeight="1">
      <c r="A672" t="inlineStr">
        <is>
          <t>A 33972-2025</t>
        </is>
      </c>
      <c r="B672" s="1" t="n">
        <v>45842.97236111111</v>
      </c>
      <c r="C672" s="1" t="n">
        <v>45972</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26395-2025</t>
        </is>
      </c>
      <c r="B673" s="1" t="n">
        <v>45807</v>
      </c>
      <c r="C673" s="1" t="n">
        <v>45972</v>
      </c>
      <c r="D673" t="inlineStr">
        <is>
          <t>UPPSALA LÄN</t>
        </is>
      </c>
      <c r="E673" t="inlineStr">
        <is>
          <t>ÖSTHAMMAR</t>
        </is>
      </c>
      <c r="G673" t="n">
        <v>7</v>
      </c>
      <c r="H673" t="n">
        <v>0</v>
      </c>
      <c r="I673" t="n">
        <v>0</v>
      </c>
      <c r="J673" t="n">
        <v>0</v>
      </c>
      <c r="K673" t="n">
        <v>0</v>
      </c>
      <c r="L673" t="n">
        <v>0</v>
      </c>
      <c r="M673" t="n">
        <v>0</v>
      </c>
      <c r="N673" t="n">
        <v>0</v>
      </c>
      <c r="O673" t="n">
        <v>0</v>
      </c>
      <c r="P673" t="n">
        <v>0</v>
      </c>
      <c r="Q673" t="n">
        <v>0</v>
      </c>
      <c r="R673" s="2" t="inlineStr"/>
    </row>
    <row r="674" ht="15" customHeight="1">
      <c r="A674" t="inlineStr">
        <is>
          <t>A 9642-2024</t>
        </is>
      </c>
      <c r="B674" s="1" t="n">
        <v>45362.36296296296</v>
      </c>
      <c r="C674" s="1" t="n">
        <v>45972</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31549-2022</t>
        </is>
      </c>
      <c r="B675" s="1" t="n">
        <v>44775.400625</v>
      </c>
      <c r="C675" s="1" t="n">
        <v>45972</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47522-2023</t>
        </is>
      </c>
      <c r="B676" s="1" t="n">
        <v>45203</v>
      </c>
      <c r="C676" s="1" t="n">
        <v>45972</v>
      </c>
      <c r="D676" t="inlineStr">
        <is>
          <t>UPPSALA LÄN</t>
        </is>
      </c>
      <c r="E676" t="inlineStr">
        <is>
          <t>ÖSTHAMMAR</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45105-2025</t>
        </is>
      </c>
      <c r="B677" s="1" t="n">
        <v>45919.40252314815</v>
      </c>
      <c r="C677" s="1" t="n">
        <v>45972</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13738-2023</t>
        </is>
      </c>
      <c r="B678" s="1" t="n">
        <v>45007.37081018519</v>
      </c>
      <c r="C678" s="1" t="n">
        <v>45972</v>
      </c>
      <c r="D678" t="inlineStr">
        <is>
          <t>UPPSALA LÄN</t>
        </is>
      </c>
      <c r="E678" t="inlineStr">
        <is>
          <t>ÖSTHAMMAR</t>
        </is>
      </c>
      <c r="G678" t="n">
        <v>0.7</v>
      </c>
      <c r="H678" t="n">
        <v>0</v>
      </c>
      <c r="I678" t="n">
        <v>0</v>
      </c>
      <c r="J678" t="n">
        <v>0</v>
      </c>
      <c r="K678" t="n">
        <v>0</v>
      </c>
      <c r="L678" t="n">
        <v>0</v>
      </c>
      <c r="M678" t="n">
        <v>0</v>
      </c>
      <c r="N678" t="n">
        <v>0</v>
      </c>
      <c r="O678" t="n">
        <v>0</v>
      </c>
      <c r="P678" t="n">
        <v>0</v>
      </c>
      <c r="Q678" t="n">
        <v>0</v>
      </c>
      <c r="R678" s="2" t="inlineStr"/>
    </row>
    <row r="679" ht="15" customHeight="1">
      <c r="A679" t="inlineStr">
        <is>
          <t>A 34971-2022</t>
        </is>
      </c>
      <c r="B679" s="1" t="n">
        <v>44796.66613425926</v>
      </c>
      <c r="C679" s="1" t="n">
        <v>45972</v>
      </c>
      <c r="D679" t="inlineStr">
        <is>
          <t>UPPSALA LÄN</t>
        </is>
      </c>
      <c r="E679" t="inlineStr">
        <is>
          <t>ÖSTHAMMAR</t>
        </is>
      </c>
      <c r="F679" t="inlineStr">
        <is>
          <t>Bergvik skog öst AB</t>
        </is>
      </c>
      <c r="G679" t="n">
        <v>2.3</v>
      </c>
      <c r="H679" t="n">
        <v>0</v>
      </c>
      <c r="I679" t="n">
        <v>0</v>
      </c>
      <c r="J679" t="n">
        <v>0</v>
      </c>
      <c r="K679" t="n">
        <v>0</v>
      </c>
      <c r="L679" t="n">
        <v>0</v>
      </c>
      <c r="M679" t="n">
        <v>0</v>
      </c>
      <c r="N679" t="n">
        <v>0</v>
      </c>
      <c r="O679" t="n">
        <v>0</v>
      </c>
      <c r="P679" t="n">
        <v>0</v>
      </c>
      <c r="Q679" t="n">
        <v>0</v>
      </c>
      <c r="R679" s="2" t="inlineStr"/>
    </row>
    <row r="680" ht="15" customHeight="1">
      <c r="A680" t="inlineStr">
        <is>
          <t>A 53656-2025</t>
        </is>
      </c>
      <c r="B680" s="1" t="n">
        <v>45960</v>
      </c>
      <c r="C680" s="1" t="n">
        <v>45972</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10117-2025</t>
        </is>
      </c>
      <c r="B681" s="1" t="n">
        <v>45719.59866898148</v>
      </c>
      <c r="C681" s="1" t="n">
        <v>45972</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53557-2025</t>
        </is>
      </c>
      <c r="B682" s="1" t="n">
        <v>45960</v>
      </c>
      <c r="C682" s="1" t="n">
        <v>45972</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55646-2021</t>
        </is>
      </c>
      <c r="B683" s="1" t="n">
        <v>44476.3632175926</v>
      </c>
      <c r="C683" s="1" t="n">
        <v>45972</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25859-2024</t>
        </is>
      </c>
      <c r="B684" s="1" t="n">
        <v>45467</v>
      </c>
      <c r="C684" s="1" t="n">
        <v>45972</v>
      </c>
      <c r="D684" t="inlineStr">
        <is>
          <t>UPPSALA LÄN</t>
        </is>
      </c>
      <c r="E684" t="inlineStr">
        <is>
          <t>ÖSTHAMMAR</t>
        </is>
      </c>
      <c r="G684" t="n">
        <v>7.9</v>
      </c>
      <c r="H684" t="n">
        <v>0</v>
      </c>
      <c r="I684" t="n">
        <v>0</v>
      </c>
      <c r="J684" t="n">
        <v>0</v>
      </c>
      <c r="K684" t="n">
        <v>0</v>
      </c>
      <c r="L684" t="n">
        <v>0</v>
      </c>
      <c r="M684" t="n">
        <v>0</v>
      </c>
      <c r="N684" t="n">
        <v>0</v>
      </c>
      <c r="O684" t="n">
        <v>0</v>
      </c>
      <c r="P684" t="n">
        <v>0</v>
      </c>
      <c r="Q684" t="n">
        <v>0</v>
      </c>
      <c r="R684" s="2" t="inlineStr"/>
    </row>
    <row r="685" ht="15" customHeight="1">
      <c r="A685" t="inlineStr">
        <is>
          <t>A 54242-2025</t>
        </is>
      </c>
      <c r="B685" s="1" t="n">
        <v>45964.63251157408</v>
      </c>
      <c r="C685" s="1" t="n">
        <v>45972</v>
      </c>
      <c r="D685" t="inlineStr">
        <is>
          <t>UPPSALA LÄN</t>
        </is>
      </c>
      <c r="E685" t="inlineStr">
        <is>
          <t>ÖSTHAMMAR</t>
        </is>
      </c>
      <c r="G685" t="n">
        <v>4.7</v>
      </c>
      <c r="H685" t="n">
        <v>0</v>
      </c>
      <c r="I685" t="n">
        <v>0</v>
      </c>
      <c r="J685" t="n">
        <v>0</v>
      </c>
      <c r="K685" t="n">
        <v>0</v>
      </c>
      <c r="L685" t="n">
        <v>0</v>
      </c>
      <c r="M685" t="n">
        <v>0</v>
      </c>
      <c r="N685" t="n">
        <v>0</v>
      </c>
      <c r="O685" t="n">
        <v>0</v>
      </c>
      <c r="P685" t="n">
        <v>0</v>
      </c>
      <c r="Q685" t="n">
        <v>0</v>
      </c>
      <c r="R685" s="2" t="inlineStr"/>
    </row>
    <row r="686" ht="15" customHeight="1">
      <c r="A686" t="inlineStr">
        <is>
          <t>A 19640-2025</t>
        </is>
      </c>
      <c r="B686" s="1" t="n">
        <v>45770.65739583333</v>
      </c>
      <c r="C686" s="1" t="n">
        <v>45972</v>
      </c>
      <c r="D686" t="inlineStr">
        <is>
          <t>UPPSALA LÄN</t>
        </is>
      </c>
      <c r="E686" t="inlineStr">
        <is>
          <t>ÖSTHAMMAR</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53567-2025</t>
        </is>
      </c>
      <c r="B687" s="1" t="n">
        <v>45960</v>
      </c>
      <c r="C687" s="1" t="n">
        <v>45972</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16240-2025</t>
        </is>
      </c>
      <c r="B688" s="1" t="n">
        <v>45746</v>
      </c>
      <c r="C688" s="1" t="n">
        <v>45972</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20038-2023</t>
        </is>
      </c>
      <c r="B689" s="1" t="n">
        <v>45054.65834490741</v>
      </c>
      <c r="C689" s="1" t="n">
        <v>45972</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6121-2024</t>
        </is>
      </c>
      <c r="B690" s="1" t="n">
        <v>45337.4219212963</v>
      </c>
      <c r="C690" s="1" t="n">
        <v>45972</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45972</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53961-2025</t>
        </is>
      </c>
      <c r="B692" s="1" t="n">
        <v>45961</v>
      </c>
      <c r="C692" s="1" t="n">
        <v>45972</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45102-2025</t>
        </is>
      </c>
      <c r="B693" s="1" t="n">
        <v>45919.39731481481</v>
      </c>
      <c r="C693" s="1" t="n">
        <v>45972</v>
      </c>
      <c r="D693" t="inlineStr">
        <is>
          <t>UPPSALA LÄN</t>
        </is>
      </c>
      <c r="E693" t="inlineStr">
        <is>
          <t>ÖSTHAMMAR</t>
        </is>
      </c>
      <c r="G693" t="n">
        <v>1.7</v>
      </c>
      <c r="H693" t="n">
        <v>0</v>
      </c>
      <c r="I693" t="n">
        <v>0</v>
      </c>
      <c r="J693" t="n">
        <v>0</v>
      </c>
      <c r="K693" t="n">
        <v>0</v>
      </c>
      <c r="L693" t="n">
        <v>0</v>
      </c>
      <c r="M693" t="n">
        <v>0</v>
      </c>
      <c r="N693" t="n">
        <v>0</v>
      </c>
      <c r="O693" t="n">
        <v>0</v>
      </c>
      <c r="P693" t="n">
        <v>0</v>
      </c>
      <c r="Q693" t="n">
        <v>0</v>
      </c>
      <c r="R693" s="2" t="inlineStr"/>
    </row>
    <row r="694" ht="15" customHeight="1">
      <c r="A694" t="inlineStr">
        <is>
          <t>A 15031-2025</t>
        </is>
      </c>
      <c r="B694" s="1" t="n">
        <v>45743.67333333333</v>
      </c>
      <c r="C694" s="1" t="n">
        <v>45972</v>
      </c>
      <c r="D694" t="inlineStr">
        <is>
          <t>UPPSALA LÄN</t>
        </is>
      </c>
      <c r="E694" t="inlineStr">
        <is>
          <t>ÖSTHAMMAR</t>
        </is>
      </c>
      <c r="G694" t="n">
        <v>9.6</v>
      </c>
      <c r="H694" t="n">
        <v>0</v>
      </c>
      <c r="I694" t="n">
        <v>0</v>
      </c>
      <c r="J694" t="n">
        <v>0</v>
      </c>
      <c r="K694" t="n">
        <v>0</v>
      </c>
      <c r="L694" t="n">
        <v>0</v>
      </c>
      <c r="M694" t="n">
        <v>0</v>
      </c>
      <c r="N694" t="n">
        <v>0</v>
      </c>
      <c r="O694" t="n">
        <v>0</v>
      </c>
      <c r="P694" t="n">
        <v>0</v>
      </c>
      <c r="Q694" t="n">
        <v>0</v>
      </c>
      <c r="R694" s="2" t="inlineStr"/>
    </row>
    <row r="695" ht="15" customHeight="1">
      <c r="A695" t="inlineStr">
        <is>
          <t>A 60555-2023</t>
        </is>
      </c>
      <c r="B695" s="1" t="n">
        <v>45259</v>
      </c>
      <c r="C695" s="1" t="n">
        <v>45972</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60584-2021</t>
        </is>
      </c>
      <c r="B696" s="1" t="n">
        <v>44496</v>
      </c>
      <c r="C696" s="1" t="n">
        <v>45972</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17929-2025</t>
        </is>
      </c>
      <c r="B697" s="1" t="n">
        <v>45759.56462962963</v>
      </c>
      <c r="C697" s="1" t="n">
        <v>45972</v>
      </c>
      <c r="D697" t="inlineStr">
        <is>
          <t>UPPSALA LÄN</t>
        </is>
      </c>
      <c r="E697" t="inlineStr">
        <is>
          <t>ÖSTHAMMAR</t>
        </is>
      </c>
      <c r="G697" t="n">
        <v>3.4</v>
      </c>
      <c r="H697" t="n">
        <v>0</v>
      </c>
      <c r="I697" t="n">
        <v>0</v>
      </c>
      <c r="J697" t="n">
        <v>0</v>
      </c>
      <c r="K697" t="n">
        <v>0</v>
      </c>
      <c r="L697" t="n">
        <v>0</v>
      </c>
      <c r="M697" t="n">
        <v>0</v>
      </c>
      <c r="N697" t="n">
        <v>0</v>
      </c>
      <c r="O697" t="n">
        <v>0</v>
      </c>
      <c r="P697" t="n">
        <v>0</v>
      </c>
      <c r="Q697" t="n">
        <v>0</v>
      </c>
      <c r="R697" s="2" t="inlineStr"/>
    </row>
    <row r="698" ht="15" customHeight="1">
      <c r="A698" t="inlineStr">
        <is>
          <t>A 36092-2025</t>
        </is>
      </c>
      <c r="B698" s="1" t="n">
        <v>45866.48244212963</v>
      </c>
      <c r="C698" s="1" t="n">
        <v>45972</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17652-2025</t>
        </is>
      </c>
      <c r="B699" s="1" t="n">
        <v>45758.33583333333</v>
      </c>
      <c r="C699" s="1" t="n">
        <v>45972</v>
      </c>
      <c r="D699" t="inlineStr">
        <is>
          <t>UPPSALA LÄN</t>
        </is>
      </c>
      <c r="E699" t="inlineStr">
        <is>
          <t>ÖSTHAMMAR</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48719-2023</t>
        </is>
      </c>
      <c r="B700" s="1" t="n">
        <v>45208.70452546296</v>
      </c>
      <c r="C700" s="1" t="n">
        <v>45972</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33784-2024</t>
        </is>
      </c>
      <c r="B701" s="1" t="n">
        <v>45520</v>
      </c>
      <c r="C701" s="1" t="n">
        <v>45972</v>
      </c>
      <c r="D701" t="inlineStr">
        <is>
          <t>UPPSALA LÄN</t>
        </is>
      </c>
      <c r="E701" t="inlineStr">
        <is>
          <t>ÖSTHAMMAR</t>
        </is>
      </c>
      <c r="F701" t="inlineStr">
        <is>
          <t>Naturvårdsverket</t>
        </is>
      </c>
      <c r="G701" t="n">
        <v>0.6</v>
      </c>
      <c r="H701" t="n">
        <v>0</v>
      </c>
      <c r="I701" t="n">
        <v>0</v>
      </c>
      <c r="J701" t="n">
        <v>0</v>
      </c>
      <c r="K701" t="n">
        <v>0</v>
      </c>
      <c r="L701" t="n">
        <v>0</v>
      </c>
      <c r="M701" t="n">
        <v>0</v>
      </c>
      <c r="N701" t="n">
        <v>0</v>
      </c>
      <c r="O701" t="n">
        <v>0</v>
      </c>
      <c r="P701" t="n">
        <v>0</v>
      </c>
      <c r="Q701" t="n">
        <v>0</v>
      </c>
      <c r="R701" s="2" t="inlineStr"/>
    </row>
    <row r="702" ht="15" customHeight="1">
      <c r="A702" t="inlineStr">
        <is>
          <t>A 45720-2025</t>
        </is>
      </c>
      <c r="B702" s="1" t="n">
        <v>45923.44583333333</v>
      </c>
      <c r="C702" s="1" t="n">
        <v>45972</v>
      </c>
      <c r="D702" t="inlineStr">
        <is>
          <t>UPPSALA LÄN</t>
        </is>
      </c>
      <c r="E702" t="inlineStr">
        <is>
          <t>ÖSTHAMMAR</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45721-2025</t>
        </is>
      </c>
      <c r="B703" s="1" t="n">
        <v>45923.44844907407</v>
      </c>
      <c r="C703" s="1" t="n">
        <v>45972</v>
      </c>
      <c r="D703" t="inlineStr">
        <is>
          <t>UPPSALA LÄN</t>
        </is>
      </c>
      <c r="E703" t="inlineStr">
        <is>
          <t>ÖSTHAMMAR</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54647-2025</t>
        </is>
      </c>
      <c r="B704" s="1" t="n">
        <v>45966.37258101852</v>
      </c>
      <c r="C704" s="1" t="n">
        <v>45972</v>
      </c>
      <c r="D704" t="inlineStr">
        <is>
          <t>UPPSALA LÄN</t>
        </is>
      </c>
      <c r="E704" t="inlineStr">
        <is>
          <t>ÖSTHAMMAR</t>
        </is>
      </c>
      <c r="G704" t="n">
        <v>4.3</v>
      </c>
      <c r="H704" t="n">
        <v>0</v>
      </c>
      <c r="I704" t="n">
        <v>0</v>
      </c>
      <c r="J704" t="n">
        <v>0</v>
      </c>
      <c r="K704" t="n">
        <v>0</v>
      </c>
      <c r="L704" t="n">
        <v>0</v>
      </c>
      <c r="M704" t="n">
        <v>0</v>
      </c>
      <c r="N704" t="n">
        <v>0</v>
      </c>
      <c r="O704" t="n">
        <v>0</v>
      </c>
      <c r="P704" t="n">
        <v>0</v>
      </c>
      <c r="Q704" t="n">
        <v>0</v>
      </c>
      <c r="R704" s="2" t="inlineStr"/>
    </row>
    <row r="705" ht="15" customHeight="1">
      <c r="A705" t="inlineStr">
        <is>
          <t>A 54649-2025</t>
        </is>
      </c>
      <c r="B705" s="1" t="n">
        <v>45966.37548611111</v>
      </c>
      <c r="C705" s="1" t="n">
        <v>45972</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36451-2025</t>
        </is>
      </c>
      <c r="B706" s="1" t="n">
        <v>45869.4290625</v>
      </c>
      <c r="C706" s="1" t="n">
        <v>45972</v>
      </c>
      <c r="D706" t="inlineStr">
        <is>
          <t>UPPSALA LÄN</t>
        </is>
      </c>
      <c r="E706" t="inlineStr">
        <is>
          <t>ÖSTHAMMAR</t>
        </is>
      </c>
      <c r="G706" t="n">
        <v>0.8</v>
      </c>
      <c r="H706" t="n">
        <v>0</v>
      </c>
      <c r="I706" t="n">
        <v>0</v>
      </c>
      <c r="J706" t="n">
        <v>0</v>
      </c>
      <c r="K706" t="n">
        <v>0</v>
      </c>
      <c r="L706" t="n">
        <v>0</v>
      </c>
      <c r="M706" t="n">
        <v>0</v>
      </c>
      <c r="N706" t="n">
        <v>0</v>
      </c>
      <c r="O706" t="n">
        <v>0</v>
      </c>
      <c r="P706" t="n">
        <v>0</v>
      </c>
      <c r="Q706" t="n">
        <v>0</v>
      </c>
      <c r="R706" s="2" t="inlineStr"/>
    </row>
    <row r="707" ht="15" customHeight="1">
      <c r="A707" t="inlineStr">
        <is>
          <t>A 45993-2025</t>
        </is>
      </c>
      <c r="B707" s="1" t="n">
        <v>45924.39706018518</v>
      </c>
      <c r="C707" s="1" t="n">
        <v>45972</v>
      </c>
      <c r="D707" t="inlineStr">
        <is>
          <t>UPPSALA LÄN</t>
        </is>
      </c>
      <c r="E707" t="inlineStr">
        <is>
          <t>ÖSTHAMMAR</t>
        </is>
      </c>
      <c r="G707" t="n">
        <v>0.5</v>
      </c>
      <c r="H707" t="n">
        <v>0</v>
      </c>
      <c r="I707" t="n">
        <v>0</v>
      </c>
      <c r="J707" t="n">
        <v>0</v>
      </c>
      <c r="K707" t="n">
        <v>0</v>
      </c>
      <c r="L707" t="n">
        <v>0</v>
      </c>
      <c r="M707" t="n">
        <v>0</v>
      </c>
      <c r="N707" t="n">
        <v>0</v>
      </c>
      <c r="O707" t="n">
        <v>0</v>
      </c>
      <c r="P707" t="n">
        <v>0</v>
      </c>
      <c r="Q707" t="n">
        <v>0</v>
      </c>
      <c r="R707" s="2" t="inlineStr"/>
    </row>
    <row r="708" ht="15" customHeight="1">
      <c r="A708" t="inlineStr">
        <is>
          <t>A 33601-2024</t>
        </is>
      </c>
      <c r="B708" s="1" t="n">
        <v>45520</v>
      </c>
      <c r="C708" s="1" t="n">
        <v>45972</v>
      </c>
      <c r="D708" t="inlineStr">
        <is>
          <t>UPPSALA LÄN</t>
        </is>
      </c>
      <c r="E708" t="inlineStr">
        <is>
          <t>ÖSTHAMMAR</t>
        </is>
      </c>
      <c r="F708" t="inlineStr">
        <is>
          <t>Övriga Aktiebolag</t>
        </is>
      </c>
      <c r="G708" t="n">
        <v>2.5</v>
      </c>
      <c r="H708" t="n">
        <v>0</v>
      </c>
      <c r="I708" t="n">
        <v>0</v>
      </c>
      <c r="J708" t="n">
        <v>0</v>
      </c>
      <c r="K708" t="n">
        <v>0</v>
      </c>
      <c r="L708" t="n">
        <v>0</v>
      </c>
      <c r="M708" t="n">
        <v>0</v>
      </c>
      <c r="N708" t="n">
        <v>0</v>
      </c>
      <c r="O708" t="n">
        <v>0</v>
      </c>
      <c r="P708" t="n">
        <v>0</v>
      </c>
      <c r="Q708" t="n">
        <v>0</v>
      </c>
      <c r="R708" s="2" t="inlineStr"/>
    </row>
    <row r="709" ht="15" customHeight="1">
      <c r="A709" t="inlineStr">
        <is>
          <t>A 19009-2023</t>
        </is>
      </c>
      <c r="B709" s="1" t="n">
        <v>45045</v>
      </c>
      <c r="C709" s="1" t="n">
        <v>45972</v>
      </c>
      <c r="D709" t="inlineStr">
        <is>
          <t>UPPSALA LÄN</t>
        </is>
      </c>
      <c r="E709" t="inlineStr">
        <is>
          <t>ÖSTHAMMAR</t>
        </is>
      </c>
      <c r="F709" t="inlineStr">
        <is>
          <t>Bergvik skog öst AB</t>
        </is>
      </c>
      <c r="G709" t="n">
        <v>0.2</v>
      </c>
      <c r="H709" t="n">
        <v>0</v>
      </c>
      <c r="I709" t="n">
        <v>0</v>
      </c>
      <c r="J709" t="n">
        <v>0</v>
      </c>
      <c r="K709" t="n">
        <v>0</v>
      </c>
      <c r="L709" t="n">
        <v>0</v>
      </c>
      <c r="M709" t="n">
        <v>0</v>
      </c>
      <c r="N709" t="n">
        <v>0</v>
      </c>
      <c r="O709" t="n">
        <v>0</v>
      </c>
      <c r="P709" t="n">
        <v>0</v>
      </c>
      <c r="Q709" t="n">
        <v>0</v>
      </c>
      <c r="R709" s="2" t="inlineStr"/>
    </row>
    <row r="710" ht="15" customHeight="1">
      <c r="A710" t="inlineStr">
        <is>
          <t>A 46088-2025</t>
        </is>
      </c>
      <c r="B710" s="1" t="n">
        <v>45924.52010416667</v>
      </c>
      <c r="C710" s="1" t="n">
        <v>45972</v>
      </c>
      <c r="D710" t="inlineStr">
        <is>
          <t>UPPSALA LÄN</t>
        </is>
      </c>
      <c r="E710" t="inlineStr">
        <is>
          <t>ÖSTHAMMAR</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54592-2025</t>
        </is>
      </c>
      <c r="B711" s="1" t="n">
        <v>45965.74545138889</v>
      </c>
      <c r="C711" s="1" t="n">
        <v>45972</v>
      </c>
      <c r="D711" t="inlineStr">
        <is>
          <t>UPPSALA LÄN</t>
        </is>
      </c>
      <c r="E711" t="inlineStr">
        <is>
          <t>ÖSTHAMMAR</t>
        </is>
      </c>
      <c r="F711" t="inlineStr">
        <is>
          <t>Bergvik skog öst AB</t>
        </is>
      </c>
      <c r="G711" t="n">
        <v>5</v>
      </c>
      <c r="H711" t="n">
        <v>0</v>
      </c>
      <c r="I711" t="n">
        <v>0</v>
      </c>
      <c r="J711" t="n">
        <v>0</v>
      </c>
      <c r="K711" t="n">
        <v>0</v>
      </c>
      <c r="L711" t="n">
        <v>0</v>
      </c>
      <c r="M711" t="n">
        <v>0</v>
      </c>
      <c r="N711" t="n">
        <v>0</v>
      </c>
      <c r="O711" t="n">
        <v>0</v>
      </c>
      <c r="P711" t="n">
        <v>0</v>
      </c>
      <c r="Q711" t="n">
        <v>0</v>
      </c>
      <c r="R711" s="2" t="inlineStr"/>
    </row>
    <row r="712" ht="15" customHeight="1">
      <c r="A712" t="inlineStr">
        <is>
          <t>A 4151-2021</t>
        </is>
      </c>
      <c r="B712" s="1" t="n">
        <v>44221</v>
      </c>
      <c r="C712" s="1" t="n">
        <v>45972</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36646-2025</t>
        </is>
      </c>
      <c r="B713" s="1" t="n">
        <v>45872</v>
      </c>
      <c r="C713" s="1" t="n">
        <v>45972</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46089-2025</t>
        </is>
      </c>
      <c r="B714" s="1" t="n">
        <v>45924.52100694444</v>
      </c>
      <c r="C714" s="1" t="n">
        <v>45972</v>
      </c>
      <c r="D714" t="inlineStr">
        <is>
          <t>UPPSALA LÄN</t>
        </is>
      </c>
      <c r="E714" t="inlineStr">
        <is>
          <t>ÖSTHAMMAR</t>
        </is>
      </c>
      <c r="F714" t="inlineStr">
        <is>
          <t>Bergvik skog öst AB</t>
        </is>
      </c>
      <c r="G714" t="n">
        <v>2.6</v>
      </c>
      <c r="H714" t="n">
        <v>0</v>
      </c>
      <c r="I714" t="n">
        <v>0</v>
      </c>
      <c r="J714" t="n">
        <v>0</v>
      </c>
      <c r="K714" t="n">
        <v>0</v>
      </c>
      <c r="L714" t="n">
        <v>0</v>
      </c>
      <c r="M714" t="n">
        <v>0</v>
      </c>
      <c r="N714" t="n">
        <v>0</v>
      </c>
      <c r="O714" t="n">
        <v>0</v>
      </c>
      <c r="P714" t="n">
        <v>0</v>
      </c>
      <c r="Q714" t="n">
        <v>0</v>
      </c>
      <c r="R714" s="2" t="inlineStr"/>
    </row>
    <row r="715" ht="15" customHeight="1">
      <c r="A715" t="inlineStr">
        <is>
          <t>A 30755-2024</t>
        </is>
      </c>
      <c r="B715" s="1" t="n">
        <v>45496</v>
      </c>
      <c r="C715" s="1" t="n">
        <v>45972</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36643-2025</t>
        </is>
      </c>
      <c r="B716" s="1" t="n">
        <v>45872.47782407407</v>
      </c>
      <c r="C716" s="1" t="n">
        <v>45972</v>
      </c>
      <c r="D716" t="inlineStr">
        <is>
          <t>UPPSALA LÄN</t>
        </is>
      </c>
      <c r="E716" t="inlineStr">
        <is>
          <t>ÖSTHAMMAR</t>
        </is>
      </c>
      <c r="F716" t="inlineStr">
        <is>
          <t>Bergvik skog öst AB</t>
        </is>
      </c>
      <c r="G716" t="n">
        <v>15.1</v>
      </c>
      <c r="H716" t="n">
        <v>0</v>
      </c>
      <c r="I716" t="n">
        <v>0</v>
      </c>
      <c r="J716" t="n">
        <v>0</v>
      </c>
      <c r="K716" t="n">
        <v>0</v>
      </c>
      <c r="L716" t="n">
        <v>0</v>
      </c>
      <c r="M716" t="n">
        <v>0</v>
      </c>
      <c r="N716" t="n">
        <v>0</v>
      </c>
      <c r="O716" t="n">
        <v>0</v>
      </c>
      <c r="P716" t="n">
        <v>0</v>
      </c>
      <c r="Q716" t="n">
        <v>0</v>
      </c>
      <c r="R716" s="2" t="inlineStr"/>
    </row>
    <row r="717" ht="15" customHeight="1">
      <c r="A717" t="inlineStr">
        <is>
          <t>A 9052-2023</t>
        </is>
      </c>
      <c r="B717" s="1" t="n">
        <v>44979</v>
      </c>
      <c r="C717" s="1" t="n">
        <v>45972</v>
      </c>
      <c r="D717" t="inlineStr">
        <is>
          <t>UPPSALA LÄN</t>
        </is>
      </c>
      <c r="E717" t="inlineStr">
        <is>
          <t>ÖSTHAMMAR</t>
        </is>
      </c>
      <c r="F717" t="inlineStr">
        <is>
          <t>Kyrkan</t>
        </is>
      </c>
      <c r="G717" t="n">
        <v>0.2</v>
      </c>
      <c r="H717" t="n">
        <v>0</v>
      </c>
      <c r="I717" t="n">
        <v>0</v>
      </c>
      <c r="J717" t="n">
        <v>0</v>
      </c>
      <c r="K717" t="n">
        <v>0</v>
      </c>
      <c r="L717" t="n">
        <v>0</v>
      </c>
      <c r="M717" t="n">
        <v>0</v>
      </c>
      <c r="N717" t="n">
        <v>0</v>
      </c>
      <c r="O717" t="n">
        <v>0</v>
      </c>
      <c r="P717" t="n">
        <v>0</v>
      </c>
      <c r="Q717" t="n">
        <v>0</v>
      </c>
      <c r="R717" s="2" t="inlineStr"/>
    </row>
    <row r="718" ht="15" customHeight="1">
      <c r="A718" t="inlineStr">
        <is>
          <t>A 36645-2025</t>
        </is>
      </c>
      <c r="B718" s="1" t="n">
        <v>45872</v>
      </c>
      <c r="C718" s="1" t="n">
        <v>45972</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36644-2025</t>
        </is>
      </c>
      <c r="B719" s="1" t="n">
        <v>45872.48738425926</v>
      </c>
      <c r="C719" s="1" t="n">
        <v>45972</v>
      </c>
      <c r="D719" t="inlineStr">
        <is>
          <t>UPPSALA LÄN</t>
        </is>
      </c>
      <c r="E719" t="inlineStr">
        <is>
          <t>ÖSTHAMMAR</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33760-2024</t>
        </is>
      </c>
      <c r="B720" s="1" t="n">
        <v>45520</v>
      </c>
      <c r="C720" s="1" t="n">
        <v>45972</v>
      </c>
      <c r="D720" t="inlineStr">
        <is>
          <t>UPPSALA LÄN</t>
        </is>
      </c>
      <c r="E720" t="inlineStr">
        <is>
          <t>ÖSTHAMMAR</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3725-2022</t>
        </is>
      </c>
      <c r="B721" s="1" t="n">
        <v>44586</v>
      </c>
      <c r="C721" s="1" t="n">
        <v>45972</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8006-2023</t>
        </is>
      </c>
      <c r="B722" s="1" t="n">
        <v>44973</v>
      </c>
      <c r="C722" s="1" t="n">
        <v>45972</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11469-2023</t>
        </is>
      </c>
      <c r="B723" s="1" t="n">
        <v>44993.60099537037</v>
      </c>
      <c r="C723" s="1" t="n">
        <v>45972</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20324-2021</t>
        </is>
      </c>
      <c r="B724" s="1" t="n">
        <v>44308</v>
      </c>
      <c r="C724" s="1" t="n">
        <v>45972</v>
      </c>
      <c r="D724" t="inlineStr">
        <is>
          <t>UPPSALA LÄN</t>
        </is>
      </c>
      <c r="E724" t="inlineStr">
        <is>
          <t>ÖSTHAMMAR</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25033-2021</t>
        </is>
      </c>
      <c r="B725" s="1" t="n">
        <v>44341.590625</v>
      </c>
      <c r="C725" s="1" t="n">
        <v>45972</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16212-2021</t>
        </is>
      </c>
      <c r="B726" s="1" t="n">
        <v>44287</v>
      </c>
      <c r="C726" s="1" t="n">
        <v>45972</v>
      </c>
      <c r="D726" t="inlineStr">
        <is>
          <t>UPPSALA LÄN</t>
        </is>
      </c>
      <c r="E726" t="inlineStr">
        <is>
          <t>ÖSTHAMMAR</t>
        </is>
      </c>
      <c r="G726" t="n">
        <v>1.6</v>
      </c>
      <c r="H726" t="n">
        <v>0</v>
      </c>
      <c r="I726" t="n">
        <v>0</v>
      </c>
      <c r="J726" t="n">
        <v>0</v>
      </c>
      <c r="K726" t="n">
        <v>0</v>
      </c>
      <c r="L726" t="n">
        <v>0</v>
      </c>
      <c r="M726" t="n">
        <v>0</v>
      </c>
      <c r="N726" t="n">
        <v>0</v>
      </c>
      <c r="O726" t="n">
        <v>0</v>
      </c>
      <c r="P726" t="n">
        <v>0</v>
      </c>
      <c r="Q726" t="n">
        <v>0</v>
      </c>
      <c r="R726" s="2" t="inlineStr"/>
    </row>
    <row r="727" ht="15" customHeight="1">
      <c r="A727" t="inlineStr">
        <is>
          <t>A 37656-2025</t>
        </is>
      </c>
      <c r="B727" s="1" t="n">
        <v>45880</v>
      </c>
      <c r="C727" s="1" t="n">
        <v>45972</v>
      </c>
      <c r="D727" t="inlineStr">
        <is>
          <t>UPPSALA LÄN</t>
        </is>
      </c>
      <c r="E727" t="inlineStr">
        <is>
          <t>ÖSTHAMMAR</t>
        </is>
      </c>
      <c r="G727" t="n">
        <v>4.3</v>
      </c>
      <c r="H727" t="n">
        <v>0</v>
      </c>
      <c r="I727" t="n">
        <v>0</v>
      </c>
      <c r="J727" t="n">
        <v>0</v>
      </c>
      <c r="K727" t="n">
        <v>0</v>
      </c>
      <c r="L727" t="n">
        <v>0</v>
      </c>
      <c r="M727" t="n">
        <v>0</v>
      </c>
      <c r="N727" t="n">
        <v>0</v>
      </c>
      <c r="O727" t="n">
        <v>0</v>
      </c>
      <c r="P727" t="n">
        <v>0</v>
      </c>
      <c r="Q727" t="n">
        <v>0</v>
      </c>
      <c r="R727" s="2" t="inlineStr"/>
    </row>
    <row r="728" ht="15" customHeight="1">
      <c r="A728" t="inlineStr">
        <is>
          <t>A 37764-2025</t>
        </is>
      </c>
      <c r="B728" s="1" t="n">
        <v>45880.70917824074</v>
      </c>
      <c r="C728" s="1" t="n">
        <v>45972</v>
      </c>
      <c r="D728" t="inlineStr">
        <is>
          <t>UPPSALA LÄN</t>
        </is>
      </c>
      <c r="E728" t="inlineStr">
        <is>
          <t>ÖSTHAMMAR</t>
        </is>
      </c>
      <c r="G728" t="n">
        <v>4.6</v>
      </c>
      <c r="H728" t="n">
        <v>0</v>
      </c>
      <c r="I728" t="n">
        <v>0</v>
      </c>
      <c r="J728" t="n">
        <v>0</v>
      </c>
      <c r="K728" t="n">
        <v>0</v>
      </c>
      <c r="L728" t="n">
        <v>0</v>
      </c>
      <c r="M728" t="n">
        <v>0</v>
      </c>
      <c r="N728" t="n">
        <v>0</v>
      </c>
      <c r="O728" t="n">
        <v>0</v>
      </c>
      <c r="P728" t="n">
        <v>0</v>
      </c>
      <c r="Q728" t="n">
        <v>0</v>
      </c>
      <c r="R728" s="2" t="inlineStr"/>
    </row>
    <row r="729" ht="15" customHeight="1">
      <c r="A729" t="inlineStr">
        <is>
          <t>A 63577-2020</t>
        </is>
      </c>
      <c r="B729" s="1" t="n">
        <v>44165</v>
      </c>
      <c r="C729" s="1" t="n">
        <v>45972</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45972</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5189-2025</t>
        </is>
      </c>
      <c r="B731" s="1" t="n">
        <v>45691</v>
      </c>
      <c r="C731" s="1" t="n">
        <v>45972</v>
      </c>
      <c r="D731" t="inlineStr">
        <is>
          <t>UPPSALA LÄN</t>
        </is>
      </c>
      <c r="E731" t="inlineStr">
        <is>
          <t>ÖSTHAMMAR</t>
        </is>
      </c>
      <c r="F731" t="inlineStr">
        <is>
          <t>Bergvik skog öst AB</t>
        </is>
      </c>
      <c r="G731" t="n">
        <v>24.4</v>
      </c>
      <c r="H731" t="n">
        <v>0</v>
      </c>
      <c r="I731" t="n">
        <v>0</v>
      </c>
      <c r="J731" t="n">
        <v>0</v>
      </c>
      <c r="K731" t="n">
        <v>0</v>
      </c>
      <c r="L731" t="n">
        <v>0</v>
      </c>
      <c r="M731" t="n">
        <v>0</v>
      </c>
      <c r="N731" t="n">
        <v>0</v>
      </c>
      <c r="O731" t="n">
        <v>0</v>
      </c>
      <c r="P731" t="n">
        <v>0</v>
      </c>
      <c r="Q731" t="n">
        <v>0</v>
      </c>
      <c r="R731" s="2" t="inlineStr"/>
    </row>
    <row r="732" ht="15" customHeight="1">
      <c r="A732" t="inlineStr">
        <is>
          <t>A 45715-2025</t>
        </is>
      </c>
      <c r="B732" s="1" t="n">
        <v>45923.44094907407</v>
      </c>
      <c r="C732" s="1" t="n">
        <v>45972</v>
      </c>
      <c r="D732" t="inlineStr">
        <is>
          <t>UPPSALA LÄN</t>
        </is>
      </c>
      <c r="E732" t="inlineStr">
        <is>
          <t>ÖSTHAMMAR</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7118-2023</t>
        </is>
      </c>
      <c r="B733" s="1" t="n">
        <v>44970.39591435185</v>
      </c>
      <c r="C733" s="1" t="n">
        <v>45972</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23120-2021</t>
        </is>
      </c>
      <c r="B734" s="1" t="n">
        <v>44330</v>
      </c>
      <c r="C734" s="1" t="n">
        <v>45972</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52389-2022</t>
        </is>
      </c>
      <c r="B735" s="1" t="n">
        <v>44874.38325231482</v>
      </c>
      <c r="C735" s="1" t="n">
        <v>45972</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37770-2025</t>
        </is>
      </c>
      <c r="B736" s="1" t="n">
        <v>45880.7505787037</v>
      </c>
      <c r="C736" s="1" t="n">
        <v>45972</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1238-2022</t>
        </is>
      </c>
      <c r="B737" s="1" t="n">
        <v>44572.5827662037</v>
      </c>
      <c r="C737" s="1" t="n">
        <v>45972</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c r="A738" t="inlineStr">
        <is>
          <t>A 55163-2025</t>
        </is>
      </c>
      <c r="B738" s="1" t="n">
        <v>45968.48032407407</v>
      </c>
      <c r="C738" s="1" t="n">
        <v>45972</v>
      </c>
      <c r="D738" t="inlineStr">
        <is>
          <t>UPPSALA LÄN</t>
        </is>
      </c>
      <c r="E738" t="inlineStr">
        <is>
          <t>ÖSTHAMMAR</t>
        </is>
      </c>
      <c r="G738" t="n">
        <v>1.8</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2025-11-11T10:07:39Z</dcterms:created>
  <dcterms:modified xmlns:dcterms="http://purl.org/dc/terms/" xmlns:xsi="http://www.w3.org/2001/XMLSchema-instance" xsi:type="dcterms:W3CDTF">2025-11-11T10:07:40Z</dcterms:modified>
</cp:coreProperties>
</file>