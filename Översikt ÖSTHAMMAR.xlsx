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45995</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45995</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45995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45995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51517-2025</t>
        </is>
      </c>
      <c r="B7" s="1" t="n">
        <v>45950.65636574074</v>
      </c>
      <c r="C7" s="1" t="n">
        <v>45995</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45995</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29564-2023</t>
        </is>
      </c>
      <c r="B9" s="1" t="n">
        <v>45106</v>
      </c>
      <c r="C9" s="1" t="n">
        <v>45995</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44006-2024</t>
        </is>
      </c>
      <c r="B10" s="1" t="n">
        <v>45572</v>
      </c>
      <c r="C10" s="1" t="n">
        <v>45995</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45995</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45995</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45995</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40395-2025</t>
        </is>
      </c>
      <c r="B14" s="1" t="n">
        <v>45895.55805555556</v>
      </c>
      <c r="C14" s="1" t="n">
        <v>45995</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40406-2025</t>
        </is>
      </c>
      <c r="B15" s="1" t="n">
        <v>45895.57082175926</v>
      </c>
      <c r="C15" s="1" t="n">
        <v>45995</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52808-2023</t>
        </is>
      </c>
      <c r="B16" s="1" t="n">
        <v>45226</v>
      </c>
      <c r="C16" s="1" t="n">
        <v>45995</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31207-2022</t>
        </is>
      </c>
      <c r="B17" s="1" t="n">
        <v>44771</v>
      </c>
      <c r="C17" s="1" t="n">
        <v>45995</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55518-2024</t>
        </is>
      </c>
      <c r="B18" s="1" t="n">
        <v>45622</v>
      </c>
      <c r="C18" s="1" t="n">
        <v>45995</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45995</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16239-2025</t>
        </is>
      </c>
      <c r="B20" s="1" t="n">
        <v>45746</v>
      </c>
      <c r="C20" s="1" t="n">
        <v>45995</v>
      </c>
      <c r="D20" t="inlineStr">
        <is>
          <t>UPPSALA LÄN</t>
        </is>
      </c>
      <c r="E20" t="inlineStr">
        <is>
          <t>ÖSTHAMMAR</t>
        </is>
      </c>
      <c r="G20" t="n">
        <v>6.9</v>
      </c>
      <c r="H20" t="n">
        <v>5</v>
      </c>
      <c r="I20" t="n">
        <v>3</v>
      </c>
      <c r="J20" t="n">
        <v>2</v>
      </c>
      <c r="K20" t="n">
        <v>1</v>
      </c>
      <c r="L20" t="n">
        <v>0</v>
      </c>
      <c r="M20" t="n">
        <v>0</v>
      </c>
      <c r="N20" t="n">
        <v>0</v>
      </c>
      <c r="O20" t="n">
        <v>3</v>
      </c>
      <c r="P20" t="n">
        <v>1</v>
      </c>
      <c r="Q20" t="n">
        <v>7</v>
      </c>
      <c r="R20" s="2" t="inlineStr">
        <is>
          <t>Knärot
Talltita
Ullticka
Grön sköldmossa
Grönpyrola
Nästrot
Blåsippa</t>
        </is>
      </c>
      <c r="S20">
        <f>HYPERLINK("https://klasma.github.io/Logging_0382/artfynd/A 16239-2025 artfynd.xlsx", "A 16239-2025")</f>
        <v/>
      </c>
      <c r="T20">
        <f>HYPERLINK("https://klasma.github.io/Logging_0382/kartor/A 16239-2025 karta.png", "A 16239-2025")</f>
        <v/>
      </c>
      <c r="U20">
        <f>HYPERLINK("https://klasma.github.io/Logging_0382/knärot/A 16239-2025 karta knärot.png", "A 16239-2025")</f>
        <v/>
      </c>
      <c r="V20">
        <f>HYPERLINK("https://klasma.github.io/Logging_0382/klagomål/A 16239-2025 FSC-klagomål.docx", "A 16239-2025")</f>
        <v/>
      </c>
      <c r="W20">
        <f>HYPERLINK("https://klasma.github.io/Logging_0382/klagomålsmail/A 16239-2025 FSC-klagomål mail.docx", "A 16239-2025")</f>
        <v/>
      </c>
      <c r="X20">
        <f>HYPERLINK("https://klasma.github.io/Logging_0382/tillsyn/A 16239-2025 tillsynsbegäran.docx", "A 16239-2025")</f>
        <v/>
      </c>
      <c r="Y20">
        <f>HYPERLINK("https://klasma.github.io/Logging_0382/tillsynsmail/A 16239-2025 tillsynsbegäran mail.docx", "A 16239-2025")</f>
        <v/>
      </c>
      <c r="Z20">
        <f>HYPERLINK("https://klasma.github.io/Logging_0382/fåglar/A 16239-2025 prioriterade fågelarter.docx", "A 16239-2025")</f>
        <v/>
      </c>
    </row>
    <row r="21" ht="15" customHeight="1">
      <c r="A21" t="inlineStr">
        <is>
          <t>A 49910-2022</t>
        </is>
      </c>
      <c r="B21" s="1" t="n">
        <v>44865</v>
      </c>
      <c r="C21" s="1" t="n">
        <v>45995</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16242-2025</t>
        </is>
      </c>
      <c r="B22" s="1" t="n">
        <v>45746</v>
      </c>
      <c r="C22" s="1" t="n">
        <v>45995</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221-2025</t>
        </is>
      </c>
      <c r="B23" s="1" t="n">
        <v>45660</v>
      </c>
      <c r="C23" s="1" t="n">
        <v>45995</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35911-2021</t>
        </is>
      </c>
      <c r="B24" s="1" t="n">
        <v>44387</v>
      </c>
      <c r="C24" s="1" t="n">
        <v>45995</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45995</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39834-2025</t>
        </is>
      </c>
      <c r="B26" s="1" t="n">
        <v>45891.56333333333</v>
      </c>
      <c r="C26" s="1" t="n">
        <v>45995</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23496-2023</t>
        </is>
      </c>
      <c r="B27" s="1" t="n">
        <v>45076</v>
      </c>
      <c r="C27" s="1" t="n">
        <v>45995</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51522-2025</t>
        </is>
      </c>
      <c r="B28" s="1" t="n">
        <v>45950.65743055556</v>
      </c>
      <c r="C28" s="1" t="n">
        <v>45995</v>
      </c>
      <c r="D28" t="inlineStr">
        <is>
          <t>UPPSALA LÄN</t>
        </is>
      </c>
      <c r="E28" t="inlineStr">
        <is>
          <t>ÖSTHAMMAR</t>
        </is>
      </c>
      <c r="F28" t="inlineStr">
        <is>
          <t>Bergvik skog öst AB</t>
        </is>
      </c>
      <c r="G28" t="n">
        <v>11</v>
      </c>
      <c r="H28" t="n">
        <v>3</v>
      </c>
      <c r="I28" t="n">
        <v>1</v>
      </c>
      <c r="J28" t="n">
        <v>3</v>
      </c>
      <c r="K28" t="n">
        <v>1</v>
      </c>
      <c r="L28" t="n">
        <v>0</v>
      </c>
      <c r="M28" t="n">
        <v>0</v>
      </c>
      <c r="N28" t="n">
        <v>0</v>
      </c>
      <c r="O28" t="n">
        <v>4</v>
      </c>
      <c r="P28" t="n">
        <v>1</v>
      </c>
      <c r="Q28" t="n">
        <v>6</v>
      </c>
      <c r="R28" s="2" t="inlineStr">
        <is>
          <t>Knärot
Puderspindling
Rosenticka
Spillkråka
Bronshjon
Kungsfågel</t>
        </is>
      </c>
      <c r="S28">
        <f>HYPERLINK("https://klasma.github.io/Logging_0382/artfynd/A 51522-2025 artfynd.xlsx", "A 51522-2025")</f>
        <v/>
      </c>
      <c r="T28">
        <f>HYPERLINK("https://klasma.github.io/Logging_0382/kartor/A 51522-2025 karta.png", "A 51522-2025")</f>
        <v/>
      </c>
      <c r="U28">
        <f>HYPERLINK("https://klasma.github.io/Logging_0382/knärot/A 51522-2025 karta knärot.png", "A 51522-2025")</f>
        <v/>
      </c>
      <c r="V28">
        <f>HYPERLINK("https://klasma.github.io/Logging_0382/klagomål/A 51522-2025 FSC-klagomål.docx", "A 51522-2025")</f>
        <v/>
      </c>
      <c r="W28">
        <f>HYPERLINK("https://klasma.github.io/Logging_0382/klagomålsmail/A 51522-2025 FSC-klagomål mail.docx", "A 51522-2025")</f>
        <v/>
      </c>
      <c r="X28">
        <f>HYPERLINK("https://klasma.github.io/Logging_0382/tillsyn/A 51522-2025 tillsynsbegäran.docx", "A 51522-2025")</f>
        <v/>
      </c>
      <c r="Y28">
        <f>HYPERLINK("https://klasma.github.io/Logging_0382/tillsynsmail/A 51522-2025 tillsynsbegäran mail.docx", "A 51522-2025")</f>
        <v/>
      </c>
      <c r="Z28">
        <f>HYPERLINK("https://klasma.github.io/Logging_0382/fåglar/A 51522-2025 prioriterade fågelarter.docx", "A 51522-2025")</f>
        <v/>
      </c>
    </row>
    <row r="29" ht="15" customHeight="1">
      <c r="A29" t="inlineStr">
        <is>
          <t>A 48277-2023</t>
        </is>
      </c>
      <c r="B29" s="1" t="n">
        <v>45205</v>
      </c>
      <c r="C29" s="1" t="n">
        <v>45995</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39763-2022</t>
        </is>
      </c>
      <c r="B30" s="1" t="n">
        <v>44819.44055555556</v>
      </c>
      <c r="C30" s="1" t="n">
        <v>45995</v>
      </c>
      <c r="D30" t="inlineStr">
        <is>
          <t>UPPSALA LÄN</t>
        </is>
      </c>
      <c r="E30" t="inlineStr">
        <is>
          <t>ÖSTHAMMAR</t>
        </is>
      </c>
      <c r="G30" t="n">
        <v>7</v>
      </c>
      <c r="H30" t="n">
        <v>1</v>
      </c>
      <c r="I30" t="n">
        <v>1</v>
      </c>
      <c r="J30" t="n">
        <v>2</v>
      </c>
      <c r="K30" t="n">
        <v>2</v>
      </c>
      <c r="L30" t="n">
        <v>0</v>
      </c>
      <c r="M30" t="n">
        <v>0</v>
      </c>
      <c r="N30" t="n">
        <v>0</v>
      </c>
      <c r="O30" t="n">
        <v>4</v>
      </c>
      <c r="P30" t="n">
        <v>2</v>
      </c>
      <c r="Q30" t="n">
        <v>5</v>
      </c>
      <c r="R30" s="2" t="inlineStr">
        <is>
          <t>Knärot
Violgubbe
Blek fingersvamp
Orange taggsvamp
Fjällig taggsvamp s.str.</t>
        </is>
      </c>
      <c r="S30">
        <f>HYPERLINK("https://klasma.github.io/Logging_0382/artfynd/A 39763-2022 artfynd.xlsx", "A 39763-2022")</f>
        <v/>
      </c>
      <c r="T30">
        <f>HYPERLINK("https://klasma.github.io/Logging_0382/kartor/A 39763-2022 karta.png", "A 39763-2022")</f>
        <v/>
      </c>
      <c r="U30">
        <f>HYPERLINK("https://klasma.github.io/Logging_0382/knärot/A 39763-2022 karta knärot.png", "A 39763-2022")</f>
        <v/>
      </c>
      <c r="V30">
        <f>HYPERLINK("https://klasma.github.io/Logging_0382/klagomål/A 39763-2022 FSC-klagomål.docx", "A 39763-2022")</f>
        <v/>
      </c>
      <c r="W30">
        <f>HYPERLINK("https://klasma.github.io/Logging_0382/klagomålsmail/A 39763-2022 FSC-klagomål mail.docx", "A 39763-2022")</f>
        <v/>
      </c>
      <c r="X30">
        <f>HYPERLINK("https://klasma.github.io/Logging_0382/tillsyn/A 39763-2022 tillsynsbegäran.docx", "A 39763-2022")</f>
        <v/>
      </c>
      <c r="Y30">
        <f>HYPERLINK("https://klasma.github.io/Logging_0382/tillsynsmail/A 39763-2022 tillsynsbegäran mail.docx", "A 39763-2022")</f>
        <v/>
      </c>
    </row>
    <row r="31" ht="15" customHeight="1">
      <c r="A31" t="inlineStr">
        <is>
          <t>A 64564-2021</t>
        </is>
      </c>
      <c r="B31" s="1" t="n">
        <v>44511</v>
      </c>
      <c r="C31" s="1" t="n">
        <v>45995</v>
      </c>
      <c r="D31" t="inlineStr">
        <is>
          <t>UPPSALA LÄN</t>
        </is>
      </c>
      <c r="E31" t="inlineStr">
        <is>
          <t>ÖSTHAMMAR</t>
        </is>
      </c>
      <c r="G31" t="n">
        <v>7.2</v>
      </c>
      <c r="H31" t="n">
        <v>1</v>
      </c>
      <c r="I31" t="n">
        <v>2</v>
      </c>
      <c r="J31" t="n">
        <v>1</v>
      </c>
      <c r="K31" t="n">
        <v>1</v>
      </c>
      <c r="L31" t="n">
        <v>0</v>
      </c>
      <c r="M31" t="n">
        <v>0</v>
      </c>
      <c r="N31" t="n">
        <v>0</v>
      </c>
      <c r="O31" t="n">
        <v>2</v>
      </c>
      <c r="P31" t="n">
        <v>1</v>
      </c>
      <c r="Q31" t="n">
        <v>5</v>
      </c>
      <c r="R31" s="2" t="inlineStr">
        <is>
          <t>Violgubbe
Gultoppig fingersvamp
Kalktallört
Rödgul trumpetsvamp
Tjäder</t>
        </is>
      </c>
      <c r="S31">
        <f>HYPERLINK("https://klasma.github.io/Logging_0382/artfynd/A 64564-2021 artfynd.xlsx", "A 64564-2021")</f>
        <v/>
      </c>
      <c r="T31">
        <f>HYPERLINK("https://klasma.github.io/Logging_0382/kartor/A 64564-2021 karta.png", "A 64564-2021")</f>
        <v/>
      </c>
      <c r="V31">
        <f>HYPERLINK("https://klasma.github.io/Logging_0382/klagomål/A 64564-2021 FSC-klagomål.docx", "A 64564-2021")</f>
        <v/>
      </c>
      <c r="W31">
        <f>HYPERLINK("https://klasma.github.io/Logging_0382/klagomålsmail/A 64564-2021 FSC-klagomål mail.docx", "A 64564-2021")</f>
        <v/>
      </c>
      <c r="X31">
        <f>HYPERLINK("https://klasma.github.io/Logging_0382/tillsyn/A 64564-2021 tillsynsbegäran.docx", "A 64564-2021")</f>
        <v/>
      </c>
      <c r="Y31">
        <f>HYPERLINK("https://klasma.github.io/Logging_0382/tillsynsmail/A 64564-2021 tillsynsbegäran mail.docx", "A 64564-2021")</f>
        <v/>
      </c>
      <c r="Z31">
        <f>HYPERLINK("https://klasma.github.io/Logging_0382/fåglar/A 64564-2021 prioriterade fågelarter.docx", "A 64564-2021")</f>
        <v/>
      </c>
    </row>
    <row r="32" ht="15" customHeight="1">
      <c r="A32" t="inlineStr">
        <is>
          <t>A 8753-2022</t>
        </is>
      </c>
      <c r="B32" s="1" t="n">
        <v>44614</v>
      </c>
      <c r="C32" s="1" t="n">
        <v>45995</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23498-2023</t>
        </is>
      </c>
      <c r="B33" s="1" t="n">
        <v>45076</v>
      </c>
      <c r="C33" s="1" t="n">
        <v>45995</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43992-2022</t>
        </is>
      </c>
      <c r="B34" s="1" t="n">
        <v>44837</v>
      </c>
      <c r="C34" s="1" t="n">
        <v>45995</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15556-2022</t>
        </is>
      </c>
      <c r="B35" s="1" t="n">
        <v>44662</v>
      </c>
      <c r="C35" s="1" t="n">
        <v>45995</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24563-2022</t>
        </is>
      </c>
      <c r="B36" s="1" t="n">
        <v>44727</v>
      </c>
      <c r="C36" s="1" t="n">
        <v>45995</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51154-2025</t>
        </is>
      </c>
      <c r="B37" s="1" t="n">
        <v>45947.57583333334</v>
      </c>
      <c r="C37" s="1" t="n">
        <v>45995</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45995</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55492-2023</t>
        </is>
      </c>
      <c r="B39" s="1" t="n">
        <v>45238</v>
      </c>
      <c r="C39" s="1" t="n">
        <v>45995</v>
      </c>
      <c r="D39" t="inlineStr">
        <is>
          <t>UPPSALA LÄN</t>
        </is>
      </c>
      <c r="E39" t="inlineStr">
        <is>
          <t>ÖSTHAMMAR</t>
        </is>
      </c>
      <c r="G39" t="n">
        <v>3.1</v>
      </c>
      <c r="H39" t="n">
        <v>4</v>
      </c>
      <c r="I39" t="n">
        <v>2</v>
      </c>
      <c r="J39" t="n">
        <v>0</v>
      </c>
      <c r="K39" t="n">
        <v>2</v>
      </c>
      <c r="L39" t="n">
        <v>0</v>
      </c>
      <c r="M39" t="n">
        <v>0</v>
      </c>
      <c r="N39" t="n">
        <v>0</v>
      </c>
      <c r="O39" t="n">
        <v>2</v>
      </c>
      <c r="P39" t="n">
        <v>2</v>
      </c>
      <c r="Q39" t="n">
        <v>5</v>
      </c>
      <c r="R39" s="2" t="inlineStr">
        <is>
          <t>Knärot
Violgubbe
Skogsknipprot
Tvåblad
Fläcknycklar</t>
        </is>
      </c>
      <c r="S39">
        <f>HYPERLINK("https://klasma.github.io/Logging_0382/artfynd/A 55492-2023 artfynd.xlsx", "A 55492-2023")</f>
        <v/>
      </c>
      <c r="T39">
        <f>HYPERLINK("https://klasma.github.io/Logging_0382/kartor/A 55492-2023 karta.png", "A 55492-2023")</f>
        <v/>
      </c>
      <c r="U39">
        <f>HYPERLINK("https://klasma.github.io/Logging_0382/knärot/A 55492-2023 karta knärot.png", "A 55492-2023")</f>
        <v/>
      </c>
      <c r="V39">
        <f>HYPERLINK("https://klasma.github.io/Logging_0382/klagomål/A 55492-2023 FSC-klagomål.docx", "A 55492-2023")</f>
        <v/>
      </c>
      <c r="W39">
        <f>HYPERLINK("https://klasma.github.io/Logging_0382/klagomålsmail/A 55492-2023 FSC-klagomål mail.docx", "A 55492-2023")</f>
        <v/>
      </c>
      <c r="X39">
        <f>HYPERLINK("https://klasma.github.io/Logging_0382/tillsyn/A 55492-2023 tillsynsbegäran.docx", "A 55492-2023")</f>
        <v/>
      </c>
      <c r="Y39">
        <f>HYPERLINK("https://klasma.github.io/Logging_0382/tillsynsmail/A 55492-2023 tillsynsbegäran mail.docx", "A 55492-2023")</f>
        <v/>
      </c>
    </row>
    <row r="40" ht="15" customHeight="1">
      <c r="A40" t="inlineStr">
        <is>
          <t>A 52808-2022</t>
        </is>
      </c>
      <c r="B40" s="1" t="n">
        <v>44875</v>
      </c>
      <c r="C40" s="1" t="n">
        <v>45995</v>
      </c>
      <c r="D40" t="inlineStr">
        <is>
          <t>UPPSALA LÄN</t>
        </is>
      </c>
      <c r="E40" t="inlineStr">
        <is>
          <t>ÖSTHAMMAR</t>
        </is>
      </c>
      <c r="G40" t="n">
        <v>4.8</v>
      </c>
      <c r="H40" t="n">
        <v>2</v>
      </c>
      <c r="I40" t="n">
        <v>3</v>
      </c>
      <c r="J40" t="n">
        <v>0</v>
      </c>
      <c r="K40" t="n">
        <v>0</v>
      </c>
      <c r="L40" t="n">
        <v>0</v>
      </c>
      <c r="M40" t="n">
        <v>0</v>
      </c>
      <c r="N40" t="n">
        <v>0</v>
      </c>
      <c r="O40" t="n">
        <v>0</v>
      </c>
      <c r="P40" t="n">
        <v>0</v>
      </c>
      <c r="Q40" t="n">
        <v>4</v>
      </c>
      <c r="R40" s="2" t="inlineStr">
        <is>
          <t>Hasselticka
Tibast
Tvåblad
Revlummer</t>
        </is>
      </c>
      <c r="S40">
        <f>HYPERLINK("https://klasma.github.io/Logging_0382/artfynd/A 52808-2022 artfynd.xlsx", "A 52808-2022")</f>
        <v/>
      </c>
      <c r="T40">
        <f>HYPERLINK("https://klasma.github.io/Logging_0382/kartor/A 52808-2022 karta.png", "A 52808-2022")</f>
        <v/>
      </c>
      <c r="V40">
        <f>HYPERLINK("https://klasma.github.io/Logging_0382/klagomål/A 52808-2022 FSC-klagomål.docx", "A 52808-2022")</f>
        <v/>
      </c>
      <c r="W40">
        <f>HYPERLINK("https://klasma.github.io/Logging_0382/klagomålsmail/A 52808-2022 FSC-klagomål mail.docx", "A 52808-2022")</f>
        <v/>
      </c>
      <c r="X40">
        <f>HYPERLINK("https://klasma.github.io/Logging_0382/tillsyn/A 52808-2022 tillsynsbegäran.docx", "A 52808-2022")</f>
        <v/>
      </c>
      <c r="Y40">
        <f>HYPERLINK("https://klasma.github.io/Logging_0382/tillsynsmail/A 52808-2022 tillsynsbegäran mail.docx", "A 52808-2022")</f>
        <v/>
      </c>
    </row>
    <row r="41" ht="15" customHeight="1">
      <c r="A41" t="inlineStr">
        <is>
          <t>A 18150-2022</t>
        </is>
      </c>
      <c r="B41" s="1" t="n">
        <v>44684</v>
      </c>
      <c r="C41" s="1" t="n">
        <v>45995</v>
      </c>
      <c r="D41" t="inlineStr">
        <is>
          <t>UPPSALA LÄN</t>
        </is>
      </c>
      <c r="E41" t="inlineStr">
        <is>
          <t>ÖSTHAMMAR</t>
        </is>
      </c>
      <c r="G41" t="n">
        <v>0.8</v>
      </c>
      <c r="H41" t="n">
        <v>3</v>
      </c>
      <c r="I41" t="n">
        <v>1</v>
      </c>
      <c r="J41" t="n">
        <v>1</v>
      </c>
      <c r="K41" t="n">
        <v>1</v>
      </c>
      <c r="L41" t="n">
        <v>0</v>
      </c>
      <c r="M41" t="n">
        <v>0</v>
      </c>
      <c r="N41" t="n">
        <v>0</v>
      </c>
      <c r="O41" t="n">
        <v>2</v>
      </c>
      <c r="P41" t="n">
        <v>1</v>
      </c>
      <c r="Q41" t="n">
        <v>4</v>
      </c>
      <c r="R41" s="2" t="inlineStr">
        <is>
          <t>Knärot
Talltita
Bronshjon
Blåsippa</t>
        </is>
      </c>
      <c r="S41">
        <f>HYPERLINK("https://klasma.github.io/Logging_0382/artfynd/A 18150-2022 artfynd.xlsx", "A 18150-2022")</f>
        <v/>
      </c>
      <c r="T41">
        <f>HYPERLINK("https://klasma.github.io/Logging_0382/kartor/A 18150-2022 karta.png", "A 18150-2022")</f>
        <v/>
      </c>
      <c r="U41">
        <f>HYPERLINK("https://klasma.github.io/Logging_0382/knärot/A 18150-2022 karta knärot.png", "A 18150-2022")</f>
        <v/>
      </c>
      <c r="V41">
        <f>HYPERLINK("https://klasma.github.io/Logging_0382/klagomål/A 18150-2022 FSC-klagomål.docx", "A 18150-2022")</f>
        <v/>
      </c>
      <c r="W41">
        <f>HYPERLINK("https://klasma.github.io/Logging_0382/klagomålsmail/A 18150-2022 FSC-klagomål mail.docx", "A 18150-2022")</f>
        <v/>
      </c>
      <c r="X41">
        <f>HYPERLINK("https://klasma.github.io/Logging_0382/tillsyn/A 18150-2022 tillsynsbegäran.docx", "A 18150-2022")</f>
        <v/>
      </c>
      <c r="Y41">
        <f>HYPERLINK("https://klasma.github.io/Logging_0382/tillsynsmail/A 18150-2022 tillsynsbegäran mail.docx", "A 18150-2022")</f>
        <v/>
      </c>
      <c r="Z41">
        <f>HYPERLINK("https://klasma.github.io/Logging_0382/fåglar/A 18150-2022 prioriterade fågelarter.docx", "A 18150-2022")</f>
        <v/>
      </c>
    </row>
    <row r="42" ht="15" customHeight="1">
      <c r="A42" t="inlineStr">
        <is>
          <t>A 54492-2024</t>
        </is>
      </c>
      <c r="B42" s="1" t="n">
        <v>45617</v>
      </c>
      <c r="C42" s="1" t="n">
        <v>45995</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33051-2021</t>
        </is>
      </c>
      <c r="B43" s="1" t="n">
        <v>44376</v>
      </c>
      <c r="C43" s="1" t="n">
        <v>45995</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48352-2022</t>
        </is>
      </c>
      <c r="B44" s="1" t="n">
        <v>44858</v>
      </c>
      <c r="C44" s="1" t="n">
        <v>45995</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74364-2021</t>
        </is>
      </c>
      <c r="B45" s="1" t="n">
        <v>44559</v>
      </c>
      <c r="C45" s="1" t="n">
        <v>45995</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45995</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9683-2023</t>
        </is>
      </c>
      <c r="B47" s="1" t="n">
        <v>44984.43856481482</v>
      </c>
      <c r="C47" s="1" t="n">
        <v>45995</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9715-2024</t>
        </is>
      </c>
      <c r="B48" s="1" t="n">
        <v>45362.53928240741</v>
      </c>
      <c r="C48" s="1" t="n">
        <v>45995</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45995</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25044-2025</t>
        </is>
      </c>
      <c r="B50" s="1" t="n">
        <v>45799.66607638889</v>
      </c>
      <c r="C50" s="1" t="n">
        <v>45995</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45995</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55051-2021</t>
        </is>
      </c>
      <c r="B52" s="1" t="n">
        <v>44474</v>
      </c>
      <c r="C52" s="1" t="n">
        <v>45995</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33035-2021</t>
        </is>
      </c>
      <c r="B53" s="1" t="n">
        <v>44376</v>
      </c>
      <c r="C53" s="1" t="n">
        <v>45995</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26557-2022</t>
        </is>
      </c>
      <c r="B54" s="1" t="n">
        <v>44739</v>
      </c>
      <c r="C54" s="1" t="n">
        <v>45995</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60078-2021</t>
        </is>
      </c>
      <c r="B55" s="1" t="n">
        <v>44495</v>
      </c>
      <c r="C55" s="1" t="n">
        <v>45995</v>
      </c>
      <c r="D55" t="inlineStr">
        <is>
          <t>UPPSALA LÄN</t>
        </is>
      </c>
      <c r="E55" t="inlineStr">
        <is>
          <t>ÖSTHAMMAR</t>
        </is>
      </c>
      <c r="G55" t="n">
        <v>1.1</v>
      </c>
      <c r="H55" t="n">
        <v>0</v>
      </c>
      <c r="I55" t="n">
        <v>0</v>
      </c>
      <c r="J55" t="n">
        <v>1</v>
      </c>
      <c r="K55" t="n">
        <v>1</v>
      </c>
      <c r="L55" t="n">
        <v>0</v>
      </c>
      <c r="M55" t="n">
        <v>0</v>
      </c>
      <c r="N55" t="n">
        <v>0</v>
      </c>
      <c r="O55" t="n">
        <v>2</v>
      </c>
      <c r="P55" t="n">
        <v>1</v>
      </c>
      <c r="Q55" t="n">
        <v>2</v>
      </c>
      <c r="R55" s="2" t="inlineStr">
        <is>
          <t>Violgubbe
Blek fingersvamp</t>
        </is>
      </c>
      <c r="S55">
        <f>HYPERLINK("https://klasma.github.io/Logging_0382/artfynd/A 60078-2021 artfynd.xlsx", "A 60078-2021")</f>
        <v/>
      </c>
      <c r="T55">
        <f>HYPERLINK("https://klasma.github.io/Logging_0382/kartor/A 60078-2021 karta.png", "A 60078-2021")</f>
        <v/>
      </c>
      <c r="V55">
        <f>HYPERLINK("https://klasma.github.io/Logging_0382/klagomål/A 60078-2021 FSC-klagomål.docx", "A 60078-2021")</f>
        <v/>
      </c>
      <c r="W55">
        <f>HYPERLINK("https://klasma.github.io/Logging_0382/klagomålsmail/A 60078-2021 FSC-klagomål mail.docx", "A 60078-2021")</f>
        <v/>
      </c>
      <c r="X55">
        <f>HYPERLINK("https://klasma.github.io/Logging_0382/tillsyn/A 60078-2021 tillsynsbegäran.docx", "A 60078-2021")</f>
        <v/>
      </c>
      <c r="Y55">
        <f>HYPERLINK("https://klasma.github.io/Logging_0382/tillsynsmail/A 60078-2021 tillsynsbegäran mail.docx", "A 60078-2021")</f>
        <v/>
      </c>
    </row>
    <row r="56" ht="15" customHeight="1">
      <c r="A56" t="inlineStr">
        <is>
          <t>A 65165-2021</t>
        </is>
      </c>
      <c r="B56" s="1" t="n">
        <v>44515.45704861111</v>
      </c>
      <c r="C56" s="1" t="n">
        <v>45995</v>
      </c>
      <c r="D56" t="inlineStr">
        <is>
          <t>UPPSALA LÄN</t>
        </is>
      </c>
      <c r="E56" t="inlineStr">
        <is>
          <t>ÖSTHAMMAR</t>
        </is>
      </c>
      <c r="F56" t="inlineStr">
        <is>
          <t>Sveaskog</t>
        </is>
      </c>
      <c r="G56" t="n">
        <v>2.8</v>
      </c>
      <c r="H56" t="n">
        <v>1</v>
      </c>
      <c r="I56" t="n">
        <v>0</v>
      </c>
      <c r="J56" t="n">
        <v>2</v>
      </c>
      <c r="K56" t="n">
        <v>0</v>
      </c>
      <c r="L56" t="n">
        <v>0</v>
      </c>
      <c r="M56" t="n">
        <v>0</v>
      </c>
      <c r="N56" t="n">
        <v>0</v>
      </c>
      <c r="O56" t="n">
        <v>2</v>
      </c>
      <c r="P56" t="n">
        <v>0</v>
      </c>
      <c r="Q56" t="n">
        <v>2</v>
      </c>
      <c r="R56" s="2" t="inlineStr">
        <is>
          <t>Spillkråka
Vedtrappmossa</t>
        </is>
      </c>
      <c r="S56">
        <f>HYPERLINK("https://klasma.github.io/Logging_0382/artfynd/A 65165-2021 artfynd.xlsx", "A 65165-2021")</f>
        <v/>
      </c>
      <c r="T56">
        <f>HYPERLINK("https://klasma.github.io/Logging_0382/kartor/A 65165-2021 karta.png", "A 65165-2021")</f>
        <v/>
      </c>
      <c r="U56">
        <f>HYPERLINK("https://klasma.github.io/Logging_0382/knärot/A 65165-2021 karta knärot.png", "A 65165-2021")</f>
        <v/>
      </c>
      <c r="V56">
        <f>HYPERLINK("https://klasma.github.io/Logging_0382/klagomål/A 65165-2021 FSC-klagomål.docx", "A 65165-2021")</f>
        <v/>
      </c>
      <c r="W56">
        <f>HYPERLINK("https://klasma.github.io/Logging_0382/klagomålsmail/A 65165-2021 FSC-klagomål mail.docx", "A 65165-2021")</f>
        <v/>
      </c>
      <c r="X56">
        <f>HYPERLINK("https://klasma.github.io/Logging_0382/tillsyn/A 65165-2021 tillsynsbegäran.docx", "A 65165-2021")</f>
        <v/>
      </c>
      <c r="Y56">
        <f>HYPERLINK("https://klasma.github.io/Logging_0382/tillsynsmail/A 65165-2021 tillsynsbegäran mail.docx", "A 65165-2021")</f>
        <v/>
      </c>
      <c r="Z56">
        <f>HYPERLINK("https://klasma.github.io/Logging_0382/fåglar/A 65165-2021 prioriterade fågelarter.docx", "A 65165-2021")</f>
        <v/>
      </c>
    </row>
    <row r="57" ht="15" customHeight="1">
      <c r="A57" t="inlineStr">
        <is>
          <t>A 32064-2022</t>
        </is>
      </c>
      <c r="B57" s="1" t="n">
        <v>44778</v>
      </c>
      <c r="C57" s="1" t="n">
        <v>45995</v>
      </c>
      <c r="D57" t="inlineStr">
        <is>
          <t>UPPSALA LÄN</t>
        </is>
      </c>
      <c r="E57" t="inlineStr">
        <is>
          <t>ÖSTHAMMAR</t>
        </is>
      </c>
      <c r="G57" t="n">
        <v>2.2</v>
      </c>
      <c r="H57" t="n">
        <v>0</v>
      </c>
      <c r="I57" t="n">
        <v>1</v>
      </c>
      <c r="J57" t="n">
        <v>0</v>
      </c>
      <c r="K57" t="n">
        <v>1</v>
      </c>
      <c r="L57" t="n">
        <v>0</v>
      </c>
      <c r="M57" t="n">
        <v>0</v>
      </c>
      <c r="N57" t="n">
        <v>0</v>
      </c>
      <c r="O57" t="n">
        <v>1</v>
      </c>
      <c r="P57" t="n">
        <v>1</v>
      </c>
      <c r="Q57" t="n">
        <v>2</v>
      </c>
      <c r="R57" s="2" t="inlineStr">
        <is>
          <t>Gul lammticka
Olivspindling</t>
        </is>
      </c>
      <c r="S57">
        <f>HYPERLINK("https://klasma.github.io/Logging_0382/artfynd/A 32064-2022 artfynd.xlsx", "A 32064-2022")</f>
        <v/>
      </c>
      <c r="T57">
        <f>HYPERLINK("https://klasma.github.io/Logging_0382/kartor/A 32064-2022 karta.png", "A 32064-2022")</f>
        <v/>
      </c>
      <c r="V57">
        <f>HYPERLINK("https://klasma.github.io/Logging_0382/klagomål/A 32064-2022 FSC-klagomål.docx", "A 32064-2022")</f>
        <v/>
      </c>
      <c r="W57">
        <f>HYPERLINK("https://klasma.github.io/Logging_0382/klagomålsmail/A 32064-2022 FSC-klagomål mail.docx", "A 32064-2022")</f>
        <v/>
      </c>
      <c r="X57">
        <f>HYPERLINK("https://klasma.github.io/Logging_0382/tillsyn/A 32064-2022 tillsynsbegäran.docx", "A 32064-2022")</f>
        <v/>
      </c>
      <c r="Y57">
        <f>HYPERLINK("https://klasma.github.io/Logging_0382/tillsynsmail/A 32064-2022 tillsynsbegäran mail.docx", "A 32064-2022")</f>
        <v/>
      </c>
    </row>
    <row r="58" ht="15" customHeight="1">
      <c r="A58" t="inlineStr">
        <is>
          <t>A 6223-2021</t>
        </is>
      </c>
      <c r="B58" s="1" t="n">
        <v>44235</v>
      </c>
      <c r="C58" s="1" t="n">
        <v>45995</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21422-2023</t>
        </is>
      </c>
      <c r="B59" s="1" t="n">
        <v>45063</v>
      </c>
      <c r="C59" s="1" t="n">
        <v>45995</v>
      </c>
      <c r="D59" t="inlineStr">
        <is>
          <t>UPPSALA LÄN</t>
        </is>
      </c>
      <c r="E59" t="inlineStr">
        <is>
          <t>ÖSTHAMMAR</t>
        </is>
      </c>
      <c r="F59" t="inlineStr">
        <is>
          <t>Sveaskog</t>
        </is>
      </c>
      <c r="G59" t="n">
        <v>2.8</v>
      </c>
      <c r="H59" t="n">
        <v>2</v>
      </c>
      <c r="I59" t="n">
        <v>0</v>
      </c>
      <c r="J59" t="n">
        <v>1</v>
      </c>
      <c r="K59" t="n">
        <v>0</v>
      </c>
      <c r="L59" t="n">
        <v>0</v>
      </c>
      <c r="M59" t="n">
        <v>0</v>
      </c>
      <c r="N59" t="n">
        <v>0</v>
      </c>
      <c r="O59" t="n">
        <v>1</v>
      </c>
      <c r="P59" t="n">
        <v>0</v>
      </c>
      <c r="Q59" t="n">
        <v>2</v>
      </c>
      <c r="R59" s="2" t="inlineStr">
        <is>
          <t>Nordfladdermus
Dvärgpipistrell</t>
        </is>
      </c>
      <c r="S59">
        <f>HYPERLINK("https://klasma.github.io/Logging_0382/artfynd/A 21422-2023 artfynd.xlsx", "A 21422-2023")</f>
        <v/>
      </c>
      <c r="T59">
        <f>HYPERLINK("https://klasma.github.io/Logging_0382/kartor/A 21422-2023 karta.png", "A 21422-2023")</f>
        <v/>
      </c>
      <c r="V59">
        <f>HYPERLINK("https://klasma.github.io/Logging_0382/klagomål/A 21422-2023 FSC-klagomål.docx", "A 21422-2023")</f>
        <v/>
      </c>
      <c r="W59">
        <f>HYPERLINK("https://klasma.github.io/Logging_0382/klagomålsmail/A 21422-2023 FSC-klagomål mail.docx", "A 21422-2023")</f>
        <v/>
      </c>
      <c r="X59">
        <f>HYPERLINK("https://klasma.github.io/Logging_0382/tillsyn/A 21422-2023 tillsynsbegäran.docx", "A 21422-2023")</f>
        <v/>
      </c>
      <c r="Y59">
        <f>HYPERLINK("https://klasma.github.io/Logging_0382/tillsynsmail/A 21422-2023 tillsynsbegäran mail.docx", "A 21422-2023")</f>
        <v/>
      </c>
    </row>
    <row r="60" ht="15" customHeight="1">
      <c r="A60" t="inlineStr">
        <is>
          <t>A 18539-2024</t>
        </is>
      </c>
      <c r="B60" s="1" t="n">
        <v>45425.63697916667</v>
      </c>
      <c r="C60" s="1" t="n">
        <v>45995</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20553-2025</t>
        </is>
      </c>
      <c r="B61" s="1" t="n">
        <v>45775.63983796296</v>
      </c>
      <c r="C61" s="1" t="n">
        <v>45995</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41303-2025</t>
        </is>
      </c>
      <c r="B62" s="1" t="n">
        <v>45898.69215277778</v>
      </c>
      <c r="C62" s="1" t="n">
        <v>45995</v>
      </c>
      <c r="D62" t="inlineStr">
        <is>
          <t>UPPSALA LÄN</t>
        </is>
      </c>
      <c r="E62" t="inlineStr">
        <is>
          <t>ÖSTHAMMAR</t>
        </is>
      </c>
      <c r="G62" t="n">
        <v>10.1</v>
      </c>
      <c r="H62" t="n">
        <v>1</v>
      </c>
      <c r="I62" t="n">
        <v>1</v>
      </c>
      <c r="J62" t="n">
        <v>0</v>
      </c>
      <c r="K62" t="n">
        <v>0</v>
      </c>
      <c r="L62" t="n">
        <v>0</v>
      </c>
      <c r="M62" t="n">
        <v>0</v>
      </c>
      <c r="N62" t="n">
        <v>0</v>
      </c>
      <c r="O62" t="n">
        <v>0</v>
      </c>
      <c r="P62" t="n">
        <v>0</v>
      </c>
      <c r="Q62" t="n">
        <v>2</v>
      </c>
      <c r="R62" s="2" t="inlineStr">
        <is>
          <t>Svavelriska
Revlummer</t>
        </is>
      </c>
      <c r="S62">
        <f>HYPERLINK("https://klasma.github.io/Logging_0382/artfynd/A 41303-2025 artfynd.xlsx", "A 41303-2025")</f>
        <v/>
      </c>
      <c r="T62">
        <f>HYPERLINK("https://klasma.github.io/Logging_0382/kartor/A 41303-2025 karta.png", "A 41303-2025")</f>
        <v/>
      </c>
      <c r="V62">
        <f>HYPERLINK("https://klasma.github.io/Logging_0382/klagomål/A 41303-2025 FSC-klagomål.docx", "A 41303-2025")</f>
        <v/>
      </c>
      <c r="W62">
        <f>HYPERLINK("https://klasma.github.io/Logging_0382/klagomålsmail/A 41303-2025 FSC-klagomål mail.docx", "A 41303-2025")</f>
        <v/>
      </c>
      <c r="X62">
        <f>HYPERLINK("https://klasma.github.io/Logging_0382/tillsyn/A 41303-2025 tillsynsbegäran.docx", "A 41303-2025")</f>
        <v/>
      </c>
      <c r="Y62">
        <f>HYPERLINK("https://klasma.github.io/Logging_0382/tillsynsmail/A 41303-2025 tillsynsbegäran mail.docx", "A 41303-2025")</f>
        <v/>
      </c>
    </row>
    <row r="63" ht="15" customHeight="1">
      <c r="A63" t="inlineStr">
        <is>
          <t>A 9646-2024</t>
        </is>
      </c>
      <c r="B63" s="1" t="n">
        <v>45362.37055555556</v>
      </c>
      <c r="C63" s="1" t="n">
        <v>45995</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30943-2024</t>
        </is>
      </c>
      <c r="B64" s="1" t="n">
        <v>45499</v>
      </c>
      <c r="C64" s="1" t="n">
        <v>45995</v>
      </c>
      <c r="D64" t="inlineStr">
        <is>
          <t>UPPSALA LÄN</t>
        </is>
      </c>
      <c r="E64" t="inlineStr">
        <is>
          <t>ÖSTHAMMAR</t>
        </is>
      </c>
      <c r="G64" t="n">
        <v>4.5</v>
      </c>
      <c r="H64" t="n">
        <v>0</v>
      </c>
      <c r="I64" t="n">
        <v>2</v>
      </c>
      <c r="J64" t="n">
        <v>0</v>
      </c>
      <c r="K64" t="n">
        <v>0</v>
      </c>
      <c r="L64" t="n">
        <v>0</v>
      </c>
      <c r="M64" t="n">
        <v>0</v>
      </c>
      <c r="N64" t="n">
        <v>0</v>
      </c>
      <c r="O64" t="n">
        <v>0</v>
      </c>
      <c r="P64" t="n">
        <v>0</v>
      </c>
      <c r="Q64" t="n">
        <v>2</v>
      </c>
      <c r="R64" s="2" t="inlineStr">
        <is>
          <t>Tibast
Underviol</t>
        </is>
      </c>
      <c r="S64">
        <f>HYPERLINK("https://klasma.github.io/Logging_0382/artfynd/A 30943-2024 artfynd.xlsx", "A 30943-2024")</f>
        <v/>
      </c>
      <c r="T64">
        <f>HYPERLINK("https://klasma.github.io/Logging_0382/kartor/A 30943-2024 karta.png", "A 30943-2024")</f>
        <v/>
      </c>
      <c r="V64">
        <f>HYPERLINK("https://klasma.github.io/Logging_0382/klagomål/A 30943-2024 FSC-klagomål.docx", "A 30943-2024")</f>
        <v/>
      </c>
      <c r="W64">
        <f>HYPERLINK("https://klasma.github.io/Logging_0382/klagomålsmail/A 30943-2024 FSC-klagomål mail.docx", "A 30943-2024")</f>
        <v/>
      </c>
      <c r="X64">
        <f>HYPERLINK("https://klasma.github.io/Logging_0382/tillsyn/A 30943-2024 tillsynsbegäran.docx", "A 30943-2024")</f>
        <v/>
      </c>
      <c r="Y64">
        <f>HYPERLINK("https://klasma.github.io/Logging_0382/tillsynsmail/A 30943-2024 tillsynsbegäran mail.docx", "A 30943-2024")</f>
        <v/>
      </c>
    </row>
    <row r="65" ht="15" customHeight="1">
      <c r="A65" t="inlineStr">
        <is>
          <t>A 73981-2021</t>
        </is>
      </c>
      <c r="B65" s="1" t="n">
        <v>44555</v>
      </c>
      <c r="C65" s="1" t="n">
        <v>45995</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56669-2025</t>
        </is>
      </c>
      <c r="B66" s="1" t="n">
        <v>45975.69306712963</v>
      </c>
      <c r="C66" s="1" t="n">
        <v>45995</v>
      </c>
      <c r="D66" t="inlineStr">
        <is>
          <t>UPPSALA LÄN</t>
        </is>
      </c>
      <c r="E66" t="inlineStr">
        <is>
          <t>ÖSTHAMMAR</t>
        </is>
      </c>
      <c r="G66" t="n">
        <v>2.1</v>
      </c>
      <c r="H66" t="n">
        <v>0</v>
      </c>
      <c r="I66" t="n">
        <v>2</v>
      </c>
      <c r="J66" t="n">
        <v>0</v>
      </c>
      <c r="K66" t="n">
        <v>0</v>
      </c>
      <c r="L66" t="n">
        <v>0</v>
      </c>
      <c r="M66" t="n">
        <v>0</v>
      </c>
      <c r="N66" t="n">
        <v>0</v>
      </c>
      <c r="O66" t="n">
        <v>0</v>
      </c>
      <c r="P66" t="n">
        <v>0</v>
      </c>
      <c r="Q66" t="n">
        <v>2</v>
      </c>
      <c r="R66" s="2" t="inlineStr">
        <is>
          <t>Anisspindling
Svavelriska</t>
        </is>
      </c>
      <c r="S66">
        <f>HYPERLINK("https://klasma.github.io/Logging_0382/artfynd/A 56669-2025 artfynd.xlsx", "A 56669-2025")</f>
        <v/>
      </c>
      <c r="T66">
        <f>HYPERLINK("https://klasma.github.io/Logging_0382/kartor/A 56669-2025 karta.png", "A 56669-2025")</f>
        <v/>
      </c>
      <c r="V66">
        <f>HYPERLINK("https://klasma.github.io/Logging_0382/klagomål/A 56669-2025 FSC-klagomål.docx", "A 56669-2025")</f>
        <v/>
      </c>
      <c r="W66">
        <f>HYPERLINK("https://klasma.github.io/Logging_0382/klagomålsmail/A 56669-2025 FSC-klagomål mail.docx", "A 56669-2025")</f>
        <v/>
      </c>
      <c r="X66">
        <f>HYPERLINK("https://klasma.github.io/Logging_0382/tillsyn/A 56669-2025 tillsynsbegäran.docx", "A 56669-2025")</f>
        <v/>
      </c>
      <c r="Y66">
        <f>HYPERLINK("https://klasma.github.io/Logging_0382/tillsynsmail/A 56669-2025 tillsynsbegäran mail.docx", "A 56669-2025")</f>
        <v/>
      </c>
    </row>
    <row r="67" ht="15" customHeight="1">
      <c r="A67" t="inlineStr">
        <is>
          <t>A 13287-2022</t>
        </is>
      </c>
      <c r="B67" s="1" t="n">
        <v>44644</v>
      </c>
      <c r="C67" s="1" t="n">
        <v>45995</v>
      </c>
      <c r="D67" t="inlineStr">
        <is>
          <t>UPPSALA LÄN</t>
        </is>
      </c>
      <c r="E67" t="inlineStr">
        <is>
          <t>ÖSTHAMMAR</t>
        </is>
      </c>
      <c r="G67" t="n">
        <v>14.6</v>
      </c>
      <c r="H67" t="n">
        <v>0</v>
      </c>
      <c r="I67" t="n">
        <v>1</v>
      </c>
      <c r="J67" t="n">
        <v>0</v>
      </c>
      <c r="K67" t="n">
        <v>1</v>
      </c>
      <c r="L67" t="n">
        <v>0</v>
      </c>
      <c r="M67" t="n">
        <v>0</v>
      </c>
      <c r="N67" t="n">
        <v>0</v>
      </c>
      <c r="O67" t="n">
        <v>1</v>
      </c>
      <c r="P67" t="n">
        <v>1</v>
      </c>
      <c r="Q67" t="n">
        <v>2</v>
      </c>
      <c r="R67" s="2" t="inlineStr">
        <is>
          <t>Bullspindling
Olivspindling</t>
        </is>
      </c>
      <c r="S67">
        <f>HYPERLINK("https://klasma.github.io/Logging_0382/artfynd/A 13287-2022 artfynd.xlsx", "A 13287-2022")</f>
        <v/>
      </c>
      <c r="T67">
        <f>HYPERLINK("https://klasma.github.io/Logging_0382/kartor/A 13287-2022 karta.png", "A 13287-2022")</f>
        <v/>
      </c>
      <c r="V67">
        <f>HYPERLINK("https://klasma.github.io/Logging_0382/klagomål/A 13287-2022 FSC-klagomål.docx", "A 13287-2022")</f>
        <v/>
      </c>
      <c r="W67">
        <f>HYPERLINK("https://klasma.github.io/Logging_0382/klagomålsmail/A 13287-2022 FSC-klagomål mail.docx", "A 13287-2022")</f>
        <v/>
      </c>
      <c r="X67">
        <f>HYPERLINK("https://klasma.github.io/Logging_0382/tillsyn/A 13287-2022 tillsynsbegäran.docx", "A 13287-2022")</f>
        <v/>
      </c>
      <c r="Y67">
        <f>HYPERLINK("https://klasma.github.io/Logging_0382/tillsynsmail/A 13287-2022 tillsynsbegäran mail.docx", "A 13287-2022")</f>
        <v/>
      </c>
    </row>
    <row r="68" ht="15" customHeight="1">
      <c r="A68" t="inlineStr">
        <is>
          <t>A 25098-2022</t>
        </is>
      </c>
      <c r="B68" s="1" t="n">
        <v>44729.44149305556</v>
      </c>
      <c r="C68" s="1" t="n">
        <v>45995</v>
      </c>
      <c r="D68" t="inlineStr">
        <is>
          <t>UPPSALA LÄN</t>
        </is>
      </c>
      <c r="E68" t="inlineStr">
        <is>
          <t>ÖSTHAMMAR</t>
        </is>
      </c>
      <c r="G68" t="n">
        <v>2.9</v>
      </c>
      <c r="H68" t="n">
        <v>2</v>
      </c>
      <c r="I68" t="n">
        <v>0</v>
      </c>
      <c r="J68" t="n">
        <v>0</v>
      </c>
      <c r="K68" t="n">
        <v>0</v>
      </c>
      <c r="L68" t="n">
        <v>0</v>
      </c>
      <c r="M68" t="n">
        <v>0</v>
      </c>
      <c r="N68" t="n">
        <v>0</v>
      </c>
      <c r="O68" t="n">
        <v>0</v>
      </c>
      <c r="P68" t="n">
        <v>0</v>
      </c>
      <c r="Q68" t="n">
        <v>2</v>
      </c>
      <c r="R68" s="2" t="inlineStr">
        <is>
          <t>Blåsippa
Gullviva</t>
        </is>
      </c>
      <c r="S68">
        <f>HYPERLINK("https://klasma.github.io/Logging_0382/artfynd/A 25098-2022 artfynd.xlsx", "A 25098-2022")</f>
        <v/>
      </c>
      <c r="T68">
        <f>HYPERLINK("https://klasma.github.io/Logging_0382/kartor/A 25098-2022 karta.png", "A 25098-2022")</f>
        <v/>
      </c>
      <c r="V68">
        <f>HYPERLINK("https://klasma.github.io/Logging_0382/klagomål/A 25098-2022 FSC-klagomål.docx", "A 25098-2022")</f>
        <v/>
      </c>
      <c r="W68">
        <f>HYPERLINK("https://klasma.github.io/Logging_0382/klagomålsmail/A 25098-2022 FSC-klagomål mail.docx", "A 25098-2022")</f>
        <v/>
      </c>
      <c r="X68">
        <f>HYPERLINK("https://klasma.github.io/Logging_0382/tillsyn/A 25098-2022 tillsynsbegäran.docx", "A 25098-2022")</f>
        <v/>
      </c>
      <c r="Y68">
        <f>HYPERLINK("https://klasma.github.io/Logging_0382/tillsynsmail/A 25098-2022 tillsynsbegäran mail.docx", "A 25098-2022")</f>
        <v/>
      </c>
    </row>
    <row r="69" ht="15" customHeight="1">
      <c r="A69" t="inlineStr">
        <is>
          <t>A 26277-2024</t>
        </is>
      </c>
      <c r="B69" s="1" t="n">
        <v>45468</v>
      </c>
      <c r="C69" s="1" t="n">
        <v>45995</v>
      </c>
      <c r="D69" t="inlineStr">
        <is>
          <t>UPPSALA LÄN</t>
        </is>
      </c>
      <c r="E69" t="inlineStr">
        <is>
          <t>ÖSTHAMMAR</t>
        </is>
      </c>
      <c r="G69" t="n">
        <v>3.5</v>
      </c>
      <c r="H69" t="n">
        <v>1</v>
      </c>
      <c r="I69" t="n">
        <v>2</v>
      </c>
      <c r="J69" t="n">
        <v>0</v>
      </c>
      <c r="K69" t="n">
        <v>0</v>
      </c>
      <c r="L69" t="n">
        <v>0</v>
      </c>
      <c r="M69" t="n">
        <v>0</v>
      </c>
      <c r="N69" t="n">
        <v>0</v>
      </c>
      <c r="O69" t="n">
        <v>0</v>
      </c>
      <c r="P69" t="n">
        <v>0</v>
      </c>
      <c r="Q69" t="n">
        <v>2</v>
      </c>
      <c r="R69" s="2" t="inlineStr">
        <is>
          <t>Nästrot
Sårläka</t>
        </is>
      </c>
      <c r="S69">
        <f>HYPERLINK("https://klasma.github.io/Logging_0382/artfynd/A 26277-2024 artfynd.xlsx", "A 26277-2024")</f>
        <v/>
      </c>
      <c r="T69">
        <f>HYPERLINK("https://klasma.github.io/Logging_0382/kartor/A 26277-2024 karta.png", "A 26277-2024")</f>
        <v/>
      </c>
      <c r="V69">
        <f>HYPERLINK("https://klasma.github.io/Logging_0382/klagomål/A 26277-2024 FSC-klagomål.docx", "A 26277-2024")</f>
        <v/>
      </c>
      <c r="W69">
        <f>HYPERLINK("https://klasma.github.io/Logging_0382/klagomålsmail/A 26277-2024 FSC-klagomål mail.docx", "A 26277-2024")</f>
        <v/>
      </c>
      <c r="X69">
        <f>HYPERLINK("https://klasma.github.io/Logging_0382/tillsyn/A 26277-2024 tillsynsbegäran.docx", "A 26277-2024")</f>
        <v/>
      </c>
      <c r="Y69">
        <f>HYPERLINK("https://klasma.github.io/Logging_0382/tillsynsmail/A 26277-2024 tillsynsbegäran mail.docx", "A 26277-2024")</f>
        <v/>
      </c>
    </row>
    <row r="70" ht="15" customHeight="1">
      <c r="A70" t="inlineStr">
        <is>
          <t>A 2916-2025</t>
        </is>
      </c>
      <c r="B70" s="1" t="n">
        <v>45677</v>
      </c>
      <c r="C70" s="1" t="n">
        <v>45995</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45995</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67855-2021</t>
        </is>
      </c>
      <c r="B72" s="1" t="n">
        <v>44525</v>
      </c>
      <c r="C72" s="1" t="n">
        <v>45995</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21453-2023</t>
        </is>
      </c>
      <c r="B73" s="1" t="n">
        <v>45063</v>
      </c>
      <c r="C73" s="1" t="n">
        <v>45995</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37768-2025</t>
        </is>
      </c>
      <c r="B74" s="1" t="n">
        <v>45880</v>
      </c>
      <c r="C74" s="1" t="n">
        <v>45995</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38442-2022</t>
        </is>
      </c>
      <c r="B75" s="1" t="n">
        <v>44813</v>
      </c>
      <c r="C75" s="1" t="n">
        <v>45995</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45995</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22209-2022</t>
        </is>
      </c>
      <c r="B77" s="1" t="n">
        <v>44712</v>
      </c>
      <c r="C77" s="1" t="n">
        <v>45995</v>
      </c>
      <c r="D77" t="inlineStr">
        <is>
          <t>UPPSALA LÄN</t>
        </is>
      </c>
      <c r="E77" t="inlineStr">
        <is>
          <t>ÖSTHAMMAR</t>
        </is>
      </c>
      <c r="F77" t="inlineStr">
        <is>
          <t>Bergvik skog öst AB</t>
        </is>
      </c>
      <c r="G77" t="n">
        <v>1.5</v>
      </c>
      <c r="H77" t="n">
        <v>1</v>
      </c>
      <c r="I77" t="n">
        <v>0</v>
      </c>
      <c r="J77" t="n">
        <v>0</v>
      </c>
      <c r="K77" t="n">
        <v>0</v>
      </c>
      <c r="L77" t="n">
        <v>0</v>
      </c>
      <c r="M77" t="n">
        <v>0</v>
      </c>
      <c r="N77" t="n">
        <v>0</v>
      </c>
      <c r="O77" t="n">
        <v>0</v>
      </c>
      <c r="P77" t="n">
        <v>0</v>
      </c>
      <c r="Q77" t="n">
        <v>1</v>
      </c>
      <c r="R77" s="2" t="inlineStr">
        <is>
          <t>Blåsippa</t>
        </is>
      </c>
      <c r="S77">
        <f>HYPERLINK("https://klasma.github.io/Logging_0382/artfynd/A 22209-2022 artfynd.xlsx", "A 22209-2022")</f>
        <v/>
      </c>
      <c r="T77">
        <f>HYPERLINK("https://klasma.github.io/Logging_0382/kartor/A 22209-2022 karta.png", "A 22209-2022")</f>
        <v/>
      </c>
      <c r="V77">
        <f>HYPERLINK("https://klasma.github.io/Logging_0382/klagomål/A 22209-2022 FSC-klagomål.docx", "A 22209-2022")</f>
        <v/>
      </c>
      <c r="W77">
        <f>HYPERLINK("https://klasma.github.io/Logging_0382/klagomålsmail/A 22209-2022 FSC-klagomål mail.docx", "A 22209-2022")</f>
        <v/>
      </c>
      <c r="X77">
        <f>HYPERLINK("https://klasma.github.io/Logging_0382/tillsyn/A 22209-2022 tillsynsbegäran.docx", "A 22209-2022")</f>
        <v/>
      </c>
      <c r="Y77">
        <f>HYPERLINK("https://klasma.github.io/Logging_0382/tillsynsmail/A 22209-2022 tillsynsbegäran mail.docx", "A 22209-2022")</f>
        <v/>
      </c>
    </row>
    <row r="78" ht="15" customHeight="1">
      <c r="A78" t="inlineStr">
        <is>
          <t>A 52651-2022</t>
        </is>
      </c>
      <c r="B78" s="1" t="n">
        <v>44874</v>
      </c>
      <c r="C78" s="1" t="n">
        <v>45995</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49871-2021</t>
        </is>
      </c>
      <c r="B79" s="1" t="n">
        <v>44455</v>
      </c>
      <c r="C79" s="1" t="n">
        <v>45995</v>
      </c>
      <c r="D79" t="inlineStr">
        <is>
          <t>UPPSALA LÄN</t>
        </is>
      </c>
      <c r="E79" t="inlineStr">
        <is>
          <t>ÖSTHAMMAR</t>
        </is>
      </c>
      <c r="G79" t="n">
        <v>0.5</v>
      </c>
      <c r="H79" t="n">
        <v>0</v>
      </c>
      <c r="I79" t="n">
        <v>1</v>
      </c>
      <c r="J79" t="n">
        <v>0</v>
      </c>
      <c r="K79" t="n">
        <v>0</v>
      </c>
      <c r="L79" t="n">
        <v>0</v>
      </c>
      <c r="M79" t="n">
        <v>0</v>
      </c>
      <c r="N79" t="n">
        <v>0</v>
      </c>
      <c r="O79" t="n">
        <v>0</v>
      </c>
      <c r="P79" t="n">
        <v>0</v>
      </c>
      <c r="Q79" t="n">
        <v>1</v>
      </c>
      <c r="R79" s="2" t="inlineStr">
        <is>
          <t>Anisspindling</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11017-2023</t>
        </is>
      </c>
      <c r="B80" s="1" t="n">
        <v>44991</v>
      </c>
      <c r="C80" s="1" t="n">
        <v>45995</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14706-2023</t>
        </is>
      </c>
      <c r="B81" s="1" t="n">
        <v>45013</v>
      </c>
      <c r="C81" s="1" t="n">
        <v>45995</v>
      </c>
      <c r="D81" t="inlineStr">
        <is>
          <t>UPPSALA LÄN</t>
        </is>
      </c>
      <c r="E81" t="inlineStr">
        <is>
          <t>ÖSTHAMMAR</t>
        </is>
      </c>
      <c r="G81" t="n">
        <v>0.9</v>
      </c>
      <c r="H81" t="n">
        <v>0</v>
      </c>
      <c r="I81" t="n">
        <v>1</v>
      </c>
      <c r="J81" t="n">
        <v>0</v>
      </c>
      <c r="K81" t="n">
        <v>0</v>
      </c>
      <c r="L81" t="n">
        <v>0</v>
      </c>
      <c r="M81" t="n">
        <v>0</v>
      </c>
      <c r="N81" t="n">
        <v>0</v>
      </c>
      <c r="O81" t="n">
        <v>0</v>
      </c>
      <c r="P81" t="n">
        <v>0</v>
      </c>
      <c r="Q81" t="n">
        <v>1</v>
      </c>
      <c r="R81" s="2" t="inlineStr">
        <is>
          <t>Olivspindling</t>
        </is>
      </c>
      <c r="S81">
        <f>HYPERLINK("https://klasma.github.io/Logging_0382/artfynd/A 14706-2023 artfynd.xlsx", "A 14706-2023")</f>
        <v/>
      </c>
      <c r="T81">
        <f>HYPERLINK("https://klasma.github.io/Logging_0382/kartor/A 14706-2023 karta.png", "A 14706-2023")</f>
        <v/>
      </c>
      <c r="V81">
        <f>HYPERLINK("https://klasma.github.io/Logging_0382/klagomål/A 14706-2023 FSC-klagomål.docx", "A 14706-2023")</f>
        <v/>
      </c>
      <c r="W81">
        <f>HYPERLINK("https://klasma.github.io/Logging_0382/klagomålsmail/A 14706-2023 FSC-klagomål mail.docx", "A 14706-2023")</f>
        <v/>
      </c>
      <c r="X81">
        <f>HYPERLINK("https://klasma.github.io/Logging_0382/tillsyn/A 14706-2023 tillsynsbegäran.docx", "A 14706-2023")</f>
        <v/>
      </c>
      <c r="Y81">
        <f>HYPERLINK("https://klasma.github.io/Logging_0382/tillsynsmail/A 14706-2023 tillsynsbegäran mail.docx", "A 14706-2023")</f>
        <v/>
      </c>
    </row>
    <row r="82" ht="15" customHeight="1">
      <c r="A82" t="inlineStr">
        <is>
          <t>A 22287-2023</t>
        </is>
      </c>
      <c r="B82" s="1" t="n">
        <v>45070</v>
      </c>
      <c r="C82" s="1" t="n">
        <v>45995</v>
      </c>
      <c r="D82" t="inlineStr">
        <is>
          <t>UPPSALA LÄN</t>
        </is>
      </c>
      <c r="E82" t="inlineStr">
        <is>
          <t>ÖSTHAMMAR</t>
        </is>
      </c>
      <c r="G82" t="n">
        <v>6.3</v>
      </c>
      <c r="H82" t="n">
        <v>1</v>
      </c>
      <c r="I82" t="n">
        <v>1</v>
      </c>
      <c r="J82" t="n">
        <v>0</v>
      </c>
      <c r="K82" t="n">
        <v>0</v>
      </c>
      <c r="L82" t="n">
        <v>0</v>
      </c>
      <c r="M82" t="n">
        <v>0</v>
      </c>
      <c r="N82" t="n">
        <v>0</v>
      </c>
      <c r="O82" t="n">
        <v>0</v>
      </c>
      <c r="P82" t="n">
        <v>0</v>
      </c>
      <c r="Q82" t="n">
        <v>1</v>
      </c>
      <c r="R82" s="2" t="inlineStr">
        <is>
          <t>Guckusko</t>
        </is>
      </c>
      <c r="S82">
        <f>HYPERLINK("https://klasma.github.io/Logging_0382/artfynd/A 22287-2023 artfynd.xlsx", "A 22287-2023")</f>
        <v/>
      </c>
      <c r="T82">
        <f>HYPERLINK("https://klasma.github.io/Logging_0382/kartor/A 22287-2023 karta.png", "A 22287-2023")</f>
        <v/>
      </c>
      <c r="V82">
        <f>HYPERLINK("https://klasma.github.io/Logging_0382/klagomål/A 22287-2023 FSC-klagomål.docx", "A 22287-2023")</f>
        <v/>
      </c>
      <c r="W82">
        <f>HYPERLINK("https://klasma.github.io/Logging_0382/klagomålsmail/A 22287-2023 FSC-klagomål mail.docx", "A 22287-2023")</f>
        <v/>
      </c>
      <c r="X82">
        <f>HYPERLINK("https://klasma.github.io/Logging_0382/tillsyn/A 22287-2023 tillsynsbegäran.docx", "A 22287-2023")</f>
        <v/>
      </c>
      <c r="Y82">
        <f>HYPERLINK("https://klasma.github.io/Logging_0382/tillsynsmail/A 22287-2023 tillsynsbegäran mail.docx", "A 22287-2023")</f>
        <v/>
      </c>
    </row>
    <row r="83" ht="15" customHeight="1">
      <c r="A83" t="inlineStr">
        <is>
          <t>A 41220-2025</t>
        </is>
      </c>
      <c r="B83" s="1" t="n">
        <v>45898.58630787037</v>
      </c>
      <c r="C83" s="1" t="n">
        <v>45995</v>
      </c>
      <c r="D83" t="inlineStr">
        <is>
          <t>UPPSALA LÄN</t>
        </is>
      </c>
      <c r="E83" t="inlineStr">
        <is>
          <t>ÖSTHAMMAR</t>
        </is>
      </c>
      <c r="F83" t="inlineStr">
        <is>
          <t>Bergvik skog öst AB</t>
        </is>
      </c>
      <c r="G83" t="n">
        <v>2.5</v>
      </c>
      <c r="H83" t="n">
        <v>1</v>
      </c>
      <c r="I83" t="n">
        <v>0</v>
      </c>
      <c r="J83" t="n">
        <v>1</v>
      </c>
      <c r="K83" t="n">
        <v>0</v>
      </c>
      <c r="L83" t="n">
        <v>0</v>
      </c>
      <c r="M83" t="n">
        <v>0</v>
      </c>
      <c r="N83" t="n">
        <v>0</v>
      </c>
      <c r="O83" t="n">
        <v>1</v>
      </c>
      <c r="P83" t="n">
        <v>0</v>
      </c>
      <c r="Q83" t="n">
        <v>1</v>
      </c>
      <c r="R83" s="2" t="inlineStr">
        <is>
          <t>Spillkråka</t>
        </is>
      </c>
      <c r="S83">
        <f>HYPERLINK("https://klasma.github.io/Logging_0382/artfynd/A 41220-2025 artfynd.xlsx", "A 41220-2025")</f>
        <v/>
      </c>
      <c r="T83">
        <f>HYPERLINK("https://klasma.github.io/Logging_0382/kartor/A 41220-2025 karta.png", "A 41220-2025")</f>
        <v/>
      </c>
      <c r="V83">
        <f>HYPERLINK("https://klasma.github.io/Logging_0382/klagomål/A 41220-2025 FSC-klagomål.docx", "A 41220-2025")</f>
        <v/>
      </c>
      <c r="W83">
        <f>HYPERLINK("https://klasma.github.io/Logging_0382/klagomålsmail/A 41220-2025 FSC-klagomål mail.docx", "A 41220-2025")</f>
        <v/>
      </c>
      <c r="X83">
        <f>HYPERLINK("https://klasma.github.io/Logging_0382/tillsyn/A 41220-2025 tillsynsbegäran.docx", "A 41220-2025")</f>
        <v/>
      </c>
      <c r="Y83">
        <f>HYPERLINK("https://klasma.github.io/Logging_0382/tillsynsmail/A 41220-2025 tillsynsbegäran mail.docx", "A 41220-2025")</f>
        <v/>
      </c>
      <c r="Z83">
        <f>HYPERLINK("https://klasma.github.io/Logging_0382/fåglar/A 41220-2025 prioriterade fågelarter.docx", "A 41220-2025")</f>
        <v/>
      </c>
    </row>
    <row r="84" ht="15" customHeight="1">
      <c r="A84" t="inlineStr">
        <is>
          <t>A 7470-2022</t>
        </is>
      </c>
      <c r="B84" s="1" t="n">
        <v>44607</v>
      </c>
      <c r="C84" s="1" t="n">
        <v>45995</v>
      </c>
      <c r="D84" t="inlineStr">
        <is>
          <t>UPPSALA LÄN</t>
        </is>
      </c>
      <c r="E84" t="inlineStr">
        <is>
          <t>ÖSTHAMMAR</t>
        </is>
      </c>
      <c r="G84" t="n">
        <v>2.6</v>
      </c>
      <c r="H84" t="n">
        <v>1</v>
      </c>
      <c r="I84" t="n">
        <v>1</v>
      </c>
      <c r="J84" t="n">
        <v>0</v>
      </c>
      <c r="K84" t="n">
        <v>0</v>
      </c>
      <c r="L84" t="n">
        <v>0</v>
      </c>
      <c r="M84" t="n">
        <v>0</v>
      </c>
      <c r="N84" t="n">
        <v>0</v>
      </c>
      <c r="O84" t="n">
        <v>0</v>
      </c>
      <c r="P84" t="n">
        <v>0</v>
      </c>
      <c r="Q84" t="n">
        <v>1</v>
      </c>
      <c r="R84" s="2" t="inlineStr">
        <is>
          <t>Grön sköldmossa</t>
        </is>
      </c>
      <c r="S84">
        <f>HYPERLINK("https://klasma.github.io/Logging_0382/artfynd/A 7470-2022 artfynd.xlsx", "A 7470-2022")</f>
        <v/>
      </c>
      <c r="T84">
        <f>HYPERLINK("https://klasma.github.io/Logging_0382/kartor/A 7470-2022 karta.png", "A 7470-2022")</f>
        <v/>
      </c>
      <c r="V84">
        <f>HYPERLINK("https://klasma.github.io/Logging_0382/klagomål/A 7470-2022 FSC-klagomål.docx", "A 7470-2022")</f>
        <v/>
      </c>
      <c r="W84">
        <f>HYPERLINK("https://klasma.github.io/Logging_0382/klagomålsmail/A 7470-2022 FSC-klagomål mail.docx", "A 7470-2022")</f>
        <v/>
      </c>
      <c r="X84">
        <f>HYPERLINK("https://klasma.github.io/Logging_0382/tillsyn/A 7470-2022 tillsynsbegäran.docx", "A 7470-2022")</f>
        <v/>
      </c>
      <c r="Y84">
        <f>HYPERLINK("https://klasma.github.io/Logging_0382/tillsynsmail/A 7470-2022 tillsynsbegäran mail.docx", "A 7470-2022")</f>
        <v/>
      </c>
    </row>
    <row r="85" ht="15" customHeight="1">
      <c r="A85" t="inlineStr">
        <is>
          <t>A 33800-2024</t>
        </is>
      </c>
      <c r="B85" s="1" t="n">
        <v>45520</v>
      </c>
      <c r="C85" s="1" t="n">
        <v>45995</v>
      </c>
      <c r="D85" t="inlineStr">
        <is>
          <t>UPPSALA LÄN</t>
        </is>
      </c>
      <c r="E85" t="inlineStr">
        <is>
          <t>ÖSTHAMMAR</t>
        </is>
      </c>
      <c r="F85" t="inlineStr">
        <is>
          <t>Naturvårdsverket</t>
        </is>
      </c>
      <c r="G85" t="n">
        <v>1.5</v>
      </c>
      <c r="H85" t="n">
        <v>1</v>
      </c>
      <c r="I85" t="n">
        <v>0</v>
      </c>
      <c r="J85" t="n">
        <v>0</v>
      </c>
      <c r="K85" t="n">
        <v>0</v>
      </c>
      <c r="L85" t="n">
        <v>0</v>
      </c>
      <c r="M85" t="n">
        <v>0</v>
      </c>
      <c r="N85" t="n">
        <v>0</v>
      </c>
      <c r="O85" t="n">
        <v>0</v>
      </c>
      <c r="P85" t="n">
        <v>0</v>
      </c>
      <c r="Q85" t="n">
        <v>1</v>
      </c>
      <c r="R85" s="2" t="inlineStr">
        <is>
          <t>Fläcknycklar</t>
        </is>
      </c>
      <c r="S85">
        <f>HYPERLINK("https://klasma.github.io/Logging_0382/artfynd/A 33800-2024 artfynd.xlsx", "A 33800-2024")</f>
        <v/>
      </c>
      <c r="T85">
        <f>HYPERLINK("https://klasma.github.io/Logging_0382/kartor/A 33800-2024 karta.png", "A 33800-2024")</f>
        <v/>
      </c>
      <c r="V85">
        <f>HYPERLINK("https://klasma.github.io/Logging_0382/klagomål/A 33800-2024 FSC-klagomål.docx", "A 33800-2024")</f>
        <v/>
      </c>
      <c r="W85">
        <f>HYPERLINK("https://klasma.github.io/Logging_0382/klagomålsmail/A 33800-2024 FSC-klagomål mail.docx", "A 33800-2024")</f>
        <v/>
      </c>
      <c r="X85">
        <f>HYPERLINK("https://klasma.github.io/Logging_0382/tillsyn/A 33800-2024 tillsynsbegäran.docx", "A 33800-2024")</f>
        <v/>
      </c>
      <c r="Y85">
        <f>HYPERLINK("https://klasma.github.io/Logging_0382/tillsynsmail/A 33800-2024 tillsynsbegäran mail.docx", "A 33800-2024")</f>
        <v/>
      </c>
    </row>
    <row r="86" ht="15" customHeight="1">
      <c r="A86" t="inlineStr">
        <is>
          <t>A 52818-2022</t>
        </is>
      </c>
      <c r="B86" s="1" t="n">
        <v>44875</v>
      </c>
      <c r="C86" s="1" t="n">
        <v>45995</v>
      </c>
      <c r="D86" t="inlineStr">
        <is>
          <t>UPPSALA LÄN</t>
        </is>
      </c>
      <c r="E86" t="inlineStr">
        <is>
          <t>ÖSTHAMMAR</t>
        </is>
      </c>
      <c r="G86" t="n">
        <v>0.9</v>
      </c>
      <c r="H86" t="n">
        <v>1</v>
      </c>
      <c r="I86" t="n">
        <v>1</v>
      </c>
      <c r="J86" t="n">
        <v>0</v>
      </c>
      <c r="K86" t="n">
        <v>0</v>
      </c>
      <c r="L86" t="n">
        <v>0</v>
      </c>
      <c r="M86" t="n">
        <v>0</v>
      </c>
      <c r="N86" t="n">
        <v>0</v>
      </c>
      <c r="O86" t="n">
        <v>0</v>
      </c>
      <c r="P86" t="n">
        <v>0</v>
      </c>
      <c r="Q86" t="n">
        <v>1</v>
      </c>
      <c r="R86" s="2" t="inlineStr">
        <is>
          <t>Guckusko</t>
        </is>
      </c>
      <c r="S86">
        <f>HYPERLINK("https://klasma.github.io/Logging_0382/artfynd/A 52818-2022 artfynd.xlsx", "A 52818-2022")</f>
        <v/>
      </c>
      <c r="T86">
        <f>HYPERLINK("https://klasma.github.io/Logging_0382/kartor/A 52818-2022 karta.png", "A 52818-2022")</f>
        <v/>
      </c>
      <c r="V86">
        <f>HYPERLINK("https://klasma.github.io/Logging_0382/klagomål/A 52818-2022 FSC-klagomål.docx", "A 52818-2022")</f>
        <v/>
      </c>
      <c r="W86">
        <f>HYPERLINK("https://klasma.github.io/Logging_0382/klagomålsmail/A 52818-2022 FSC-klagomål mail.docx", "A 52818-2022")</f>
        <v/>
      </c>
      <c r="X86">
        <f>HYPERLINK("https://klasma.github.io/Logging_0382/tillsyn/A 52818-2022 tillsynsbegäran.docx", "A 52818-2022")</f>
        <v/>
      </c>
      <c r="Y86">
        <f>HYPERLINK("https://klasma.github.io/Logging_0382/tillsynsmail/A 52818-2022 tillsynsbegäran mail.docx", "A 52818-2022")</f>
        <v/>
      </c>
    </row>
    <row r="87" ht="15" customHeight="1">
      <c r="A87" t="inlineStr">
        <is>
          <t>A 70495-2021</t>
        </is>
      </c>
      <c r="B87" s="1" t="n">
        <v>44536</v>
      </c>
      <c r="C87" s="1" t="n">
        <v>45995</v>
      </c>
      <c r="D87" t="inlineStr">
        <is>
          <t>UPPSALA LÄN</t>
        </is>
      </c>
      <c r="E87" t="inlineStr">
        <is>
          <t>ÖSTHAMMAR</t>
        </is>
      </c>
      <c r="G87" t="n">
        <v>1</v>
      </c>
      <c r="H87" t="n">
        <v>1</v>
      </c>
      <c r="I87" t="n">
        <v>0</v>
      </c>
      <c r="J87" t="n">
        <v>1</v>
      </c>
      <c r="K87" t="n">
        <v>0</v>
      </c>
      <c r="L87" t="n">
        <v>0</v>
      </c>
      <c r="M87" t="n">
        <v>0</v>
      </c>
      <c r="N87" t="n">
        <v>0</v>
      </c>
      <c r="O87" t="n">
        <v>1</v>
      </c>
      <c r="P87" t="n">
        <v>0</v>
      </c>
      <c r="Q87" t="n">
        <v>1</v>
      </c>
      <c r="R87" s="2" t="inlineStr">
        <is>
          <t>Slaguggla</t>
        </is>
      </c>
      <c r="S87">
        <f>HYPERLINK("https://klasma.github.io/Logging_0382/artfynd/A 70495-2021 artfynd.xlsx", "A 70495-2021")</f>
        <v/>
      </c>
      <c r="T87">
        <f>HYPERLINK("https://klasma.github.io/Logging_0382/kartor/A 70495-2021 karta.png", "A 70495-2021")</f>
        <v/>
      </c>
      <c r="V87">
        <f>HYPERLINK("https://klasma.github.io/Logging_0382/klagomål/A 70495-2021 FSC-klagomål.docx", "A 70495-2021")</f>
        <v/>
      </c>
      <c r="W87">
        <f>HYPERLINK("https://klasma.github.io/Logging_0382/klagomålsmail/A 70495-2021 FSC-klagomål mail.docx", "A 70495-2021")</f>
        <v/>
      </c>
      <c r="X87">
        <f>HYPERLINK("https://klasma.github.io/Logging_0382/tillsyn/A 70495-2021 tillsynsbegäran.docx", "A 70495-2021")</f>
        <v/>
      </c>
      <c r="Y87">
        <f>HYPERLINK("https://klasma.github.io/Logging_0382/tillsynsmail/A 70495-2021 tillsynsbegäran mail.docx", "A 70495-2021")</f>
        <v/>
      </c>
      <c r="Z87">
        <f>HYPERLINK("https://klasma.github.io/Logging_0382/fåglar/A 70495-2021 prioriterade fågelarter.docx", "A 70495-2021")</f>
        <v/>
      </c>
    </row>
    <row r="88" ht="15" customHeight="1">
      <c r="A88" t="inlineStr">
        <is>
          <t>A 49839-2021</t>
        </is>
      </c>
      <c r="B88" s="1" t="n">
        <v>44455</v>
      </c>
      <c r="C88" s="1" t="n">
        <v>45995</v>
      </c>
      <c r="D88" t="inlineStr">
        <is>
          <t>UPPSALA LÄN</t>
        </is>
      </c>
      <c r="E88" t="inlineStr">
        <is>
          <t>ÖSTHAMMAR</t>
        </is>
      </c>
      <c r="G88" t="n">
        <v>3.6</v>
      </c>
      <c r="H88" t="n">
        <v>0</v>
      </c>
      <c r="I88" t="n">
        <v>0</v>
      </c>
      <c r="J88" t="n">
        <v>0</v>
      </c>
      <c r="K88" t="n">
        <v>1</v>
      </c>
      <c r="L88" t="n">
        <v>0</v>
      </c>
      <c r="M88" t="n">
        <v>0</v>
      </c>
      <c r="N88" t="n">
        <v>0</v>
      </c>
      <c r="O88" t="n">
        <v>1</v>
      </c>
      <c r="P88" t="n">
        <v>1</v>
      </c>
      <c r="Q88" t="n">
        <v>1</v>
      </c>
      <c r="R88" s="2" t="inlineStr">
        <is>
          <t>Violgubbe</t>
        </is>
      </c>
      <c r="S88">
        <f>HYPERLINK("https://klasma.github.io/Logging_0382/artfynd/A 49839-2021 artfynd.xlsx", "A 49839-2021")</f>
        <v/>
      </c>
      <c r="T88">
        <f>HYPERLINK("https://klasma.github.io/Logging_0382/kartor/A 49839-2021 karta.png", "A 49839-2021")</f>
        <v/>
      </c>
      <c r="V88">
        <f>HYPERLINK("https://klasma.github.io/Logging_0382/klagomål/A 49839-2021 FSC-klagomål.docx", "A 49839-2021")</f>
        <v/>
      </c>
      <c r="W88">
        <f>HYPERLINK("https://klasma.github.io/Logging_0382/klagomålsmail/A 49839-2021 FSC-klagomål mail.docx", "A 49839-2021")</f>
        <v/>
      </c>
      <c r="X88">
        <f>HYPERLINK("https://klasma.github.io/Logging_0382/tillsyn/A 49839-2021 tillsynsbegäran.docx", "A 49839-2021")</f>
        <v/>
      </c>
      <c r="Y88">
        <f>HYPERLINK("https://klasma.github.io/Logging_0382/tillsynsmail/A 49839-2021 tillsynsbegäran mail.docx", "A 49839-2021")</f>
        <v/>
      </c>
    </row>
    <row r="89" ht="15" customHeight="1">
      <c r="A89" t="inlineStr">
        <is>
          <t>A 22375-2024</t>
        </is>
      </c>
      <c r="B89" s="1" t="n">
        <v>45446</v>
      </c>
      <c r="C89" s="1" t="n">
        <v>45995</v>
      </c>
      <c r="D89" t="inlineStr">
        <is>
          <t>UPPSALA LÄN</t>
        </is>
      </c>
      <c r="E89" t="inlineStr">
        <is>
          <t>ÖSTHAMMAR</t>
        </is>
      </c>
      <c r="F89" t="inlineStr">
        <is>
          <t>Bergvik skog öst AB</t>
        </is>
      </c>
      <c r="G89" t="n">
        <v>2.2</v>
      </c>
      <c r="H89" t="n">
        <v>0</v>
      </c>
      <c r="I89" t="n">
        <v>0</v>
      </c>
      <c r="J89" t="n">
        <v>1</v>
      </c>
      <c r="K89" t="n">
        <v>0</v>
      </c>
      <c r="L89" t="n">
        <v>0</v>
      </c>
      <c r="M89" t="n">
        <v>0</v>
      </c>
      <c r="N89" t="n">
        <v>0</v>
      </c>
      <c r="O89" t="n">
        <v>1</v>
      </c>
      <c r="P89" t="n">
        <v>0</v>
      </c>
      <c r="Q89" t="n">
        <v>1</v>
      </c>
      <c r="R89" s="2" t="inlineStr">
        <is>
          <t>Slåtterfibbla</t>
        </is>
      </c>
      <c r="S89">
        <f>HYPERLINK("https://klasma.github.io/Logging_0382/artfynd/A 22375-2024 artfynd.xlsx", "A 22375-2024")</f>
        <v/>
      </c>
      <c r="T89">
        <f>HYPERLINK("https://klasma.github.io/Logging_0382/kartor/A 22375-2024 karta.png", "A 22375-2024")</f>
        <v/>
      </c>
      <c r="V89">
        <f>HYPERLINK("https://klasma.github.io/Logging_0382/klagomål/A 22375-2024 FSC-klagomål.docx", "A 22375-2024")</f>
        <v/>
      </c>
      <c r="W89">
        <f>HYPERLINK("https://klasma.github.io/Logging_0382/klagomålsmail/A 22375-2024 FSC-klagomål mail.docx", "A 22375-2024")</f>
        <v/>
      </c>
      <c r="X89">
        <f>HYPERLINK("https://klasma.github.io/Logging_0382/tillsyn/A 22375-2024 tillsynsbegäran.docx", "A 22375-2024")</f>
        <v/>
      </c>
      <c r="Y89">
        <f>HYPERLINK("https://klasma.github.io/Logging_0382/tillsynsmail/A 22375-2024 tillsynsbegäran mail.docx", "A 22375-2024")</f>
        <v/>
      </c>
    </row>
    <row r="90" ht="15" customHeight="1">
      <c r="A90" t="inlineStr">
        <is>
          <t>A 10034-2023</t>
        </is>
      </c>
      <c r="B90" s="1" t="n">
        <v>44985</v>
      </c>
      <c r="C90" s="1" t="n">
        <v>45995</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46629-2024</t>
        </is>
      </c>
      <c r="B91" s="1" t="n">
        <v>45583.33221064815</v>
      </c>
      <c r="C91" s="1" t="n">
        <v>45995</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25179-2023</t>
        </is>
      </c>
      <c r="B92" s="1" t="n">
        <v>45078</v>
      </c>
      <c r="C92" s="1" t="n">
        <v>45995</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37296-2023</t>
        </is>
      </c>
      <c r="B93" s="1" t="n">
        <v>45156</v>
      </c>
      <c r="C93" s="1" t="n">
        <v>45995</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65989-2021</t>
        </is>
      </c>
      <c r="B94" s="1" t="n">
        <v>44517</v>
      </c>
      <c r="C94" s="1" t="n">
        <v>45995</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45995</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12753-2024</t>
        </is>
      </c>
      <c r="B96" s="1" t="n">
        <v>45384</v>
      </c>
      <c r="C96" s="1" t="n">
        <v>45995</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14203-2024</t>
        </is>
      </c>
      <c r="B97" s="1" t="n">
        <v>45393</v>
      </c>
      <c r="C97" s="1" t="n">
        <v>45995</v>
      </c>
      <c r="D97" t="inlineStr">
        <is>
          <t>UPPSALA LÄN</t>
        </is>
      </c>
      <c r="E97" t="inlineStr">
        <is>
          <t>ÖSTHAMMAR</t>
        </is>
      </c>
      <c r="G97" t="n">
        <v>1.4</v>
      </c>
      <c r="H97" t="n">
        <v>0</v>
      </c>
      <c r="I97" t="n">
        <v>0</v>
      </c>
      <c r="J97" t="n">
        <v>1</v>
      </c>
      <c r="K97" t="n">
        <v>0</v>
      </c>
      <c r="L97" t="n">
        <v>0</v>
      </c>
      <c r="M97" t="n">
        <v>0</v>
      </c>
      <c r="N97" t="n">
        <v>0</v>
      </c>
      <c r="O97" t="n">
        <v>1</v>
      </c>
      <c r="P97" t="n">
        <v>0</v>
      </c>
      <c r="Q97" t="n">
        <v>1</v>
      </c>
      <c r="R97" s="2" t="inlineStr">
        <is>
          <t>Scharlakansvaxing</t>
        </is>
      </c>
      <c r="S97">
        <f>HYPERLINK("https://klasma.github.io/Logging_0382/artfynd/A 14203-2024 artfynd.xlsx", "A 14203-2024")</f>
        <v/>
      </c>
      <c r="T97">
        <f>HYPERLINK("https://klasma.github.io/Logging_0382/kartor/A 14203-2024 karta.png", "A 14203-2024")</f>
        <v/>
      </c>
      <c r="V97">
        <f>HYPERLINK("https://klasma.github.io/Logging_0382/klagomål/A 14203-2024 FSC-klagomål.docx", "A 14203-2024")</f>
        <v/>
      </c>
      <c r="W97">
        <f>HYPERLINK("https://klasma.github.io/Logging_0382/klagomålsmail/A 14203-2024 FSC-klagomål mail.docx", "A 14203-2024")</f>
        <v/>
      </c>
      <c r="X97">
        <f>HYPERLINK("https://klasma.github.io/Logging_0382/tillsyn/A 14203-2024 tillsynsbegäran.docx", "A 14203-2024")</f>
        <v/>
      </c>
      <c r="Y97">
        <f>HYPERLINK("https://klasma.github.io/Logging_0382/tillsynsmail/A 14203-2024 tillsynsbegäran mail.docx", "A 14203-2024")</f>
        <v/>
      </c>
    </row>
    <row r="98" ht="15" customHeight="1">
      <c r="A98" t="inlineStr">
        <is>
          <t>A 63615-2021</t>
        </is>
      </c>
      <c r="B98" s="1" t="n">
        <v>44509</v>
      </c>
      <c r="C98" s="1" t="n">
        <v>45995</v>
      </c>
      <c r="D98" t="inlineStr">
        <is>
          <t>UPPSALA LÄN</t>
        </is>
      </c>
      <c r="E98" t="inlineStr">
        <is>
          <t>ÖSTHAMMAR</t>
        </is>
      </c>
      <c r="G98" t="n">
        <v>1.9</v>
      </c>
      <c r="H98" t="n">
        <v>0</v>
      </c>
      <c r="I98" t="n">
        <v>0</v>
      </c>
      <c r="J98" t="n">
        <v>1</v>
      </c>
      <c r="K98" t="n">
        <v>0</v>
      </c>
      <c r="L98" t="n">
        <v>0</v>
      </c>
      <c r="M98" t="n">
        <v>0</v>
      </c>
      <c r="N98" t="n">
        <v>0</v>
      </c>
      <c r="O98" t="n">
        <v>1</v>
      </c>
      <c r="P98" t="n">
        <v>0</v>
      </c>
      <c r="Q98" t="n">
        <v>1</v>
      </c>
      <c r="R98" s="2" t="inlineStr">
        <is>
          <t>Gul taggsvamp</t>
        </is>
      </c>
      <c r="S98">
        <f>HYPERLINK("https://klasma.github.io/Logging_0382/artfynd/A 63615-2021 artfynd.xlsx", "A 63615-2021")</f>
        <v/>
      </c>
      <c r="T98">
        <f>HYPERLINK("https://klasma.github.io/Logging_0382/kartor/A 63615-2021 karta.png", "A 63615-2021")</f>
        <v/>
      </c>
      <c r="V98">
        <f>HYPERLINK("https://klasma.github.io/Logging_0382/klagomål/A 63615-2021 FSC-klagomål.docx", "A 63615-2021")</f>
        <v/>
      </c>
      <c r="W98">
        <f>HYPERLINK("https://klasma.github.io/Logging_0382/klagomålsmail/A 63615-2021 FSC-klagomål mail.docx", "A 63615-2021")</f>
        <v/>
      </c>
      <c r="X98">
        <f>HYPERLINK("https://klasma.github.io/Logging_0382/tillsyn/A 63615-2021 tillsynsbegäran.docx", "A 63615-2021")</f>
        <v/>
      </c>
      <c r="Y98">
        <f>HYPERLINK("https://klasma.github.io/Logging_0382/tillsynsmail/A 63615-2021 tillsynsbegäran mail.docx", "A 63615-2021")</f>
        <v/>
      </c>
    </row>
    <row r="99" ht="15" customHeight="1">
      <c r="A99" t="inlineStr">
        <is>
          <t>A 1227-2022</t>
        </is>
      </c>
      <c r="B99" s="1" t="n">
        <v>44572.57641203704</v>
      </c>
      <c r="C99" s="1" t="n">
        <v>45995</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29679-2023</t>
        </is>
      </c>
      <c r="B100" s="1" t="n">
        <v>45107</v>
      </c>
      <c r="C100" s="1" t="n">
        <v>45995</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45995</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52879-2025</t>
        </is>
      </c>
      <c r="B102" s="1" t="n">
        <v>45957.544375</v>
      </c>
      <c r="C102" s="1" t="n">
        <v>45995</v>
      </c>
      <c r="D102" t="inlineStr">
        <is>
          <t>UPPSALA LÄN</t>
        </is>
      </c>
      <c r="E102" t="inlineStr">
        <is>
          <t>ÖSTHAMMAR</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HYPERLINK("https://klasma.github.io/Logging_0382/artfynd/A 52879-2025 artfynd.xlsx", "A 52879-2025")</f>
        <v/>
      </c>
      <c r="T102">
        <f>HYPERLINK("https://klasma.github.io/Logging_0382/kartor/A 52879-2025 karta.png", "A 52879-2025")</f>
        <v/>
      </c>
      <c r="V102">
        <f>HYPERLINK("https://klasma.github.io/Logging_0382/klagomål/A 52879-2025 FSC-klagomål.docx", "A 52879-2025")</f>
        <v/>
      </c>
      <c r="W102">
        <f>HYPERLINK("https://klasma.github.io/Logging_0382/klagomålsmail/A 52879-2025 FSC-klagomål mail.docx", "A 52879-2025")</f>
        <v/>
      </c>
      <c r="X102">
        <f>HYPERLINK("https://klasma.github.io/Logging_0382/tillsyn/A 52879-2025 tillsynsbegäran.docx", "A 52879-2025")</f>
        <v/>
      </c>
      <c r="Y102">
        <f>HYPERLINK("https://klasma.github.io/Logging_0382/tillsynsmail/A 52879-2025 tillsynsbegäran mail.docx", "A 52879-2025")</f>
        <v/>
      </c>
    </row>
    <row r="103" ht="15" customHeight="1">
      <c r="A103" t="inlineStr">
        <is>
          <t>A 34090-2023</t>
        </is>
      </c>
      <c r="B103" s="1" t="n">
        <v>45135</v>
      </c>
      <c r="C103" s="1" t="n">
        <v>45995</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30605-2025</t>
        </is>
      </c>
      <c r="B104" s="1" t="n">
        <v>45831.45510416666</v>
      </c>
      <c r="C104" s="1" t="n">
        <v>45995</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3693-2021</t>
        </is>
      </c>
      <c r="B105" s="1" t="n">
        <v>44221</v>
      </c>
      <c r="C105" s="1" t="n">
        <v>45995</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45995</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45995</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45995</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45995</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45995</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45995</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45995</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45995</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45995</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45995</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45995</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45995</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45995</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45995</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45995</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45995</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45995</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45995</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45995</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45995</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45995</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45995</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45995</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45995</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67859-2021</t>
        </is>
      </c>
      <c r="B130" s="1" t="n">
        <v>44525.48695601852</v>
      </c>
      <c r="C130" s="1" t="n">
        <v>45995</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45995</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45995</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45995</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45995</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45995</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45995</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45995</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45995</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45995</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45995</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45995</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45995</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45995</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45995</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45995</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45995</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45995</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45995</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45995</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45995</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45995</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45995</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45995</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45995</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45995</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45995</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45995</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45995</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45995</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4491-2022</t>
        </is>
      </c>
      <c r="B160" s="1" t="n">
        <v>44589.66446759259</v>
      </c>
      <c r="C160" s="1" t="n">
        <v>45995</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45995</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41558-2021</t>
        </is>
      </c>
      <c r="B162" s="1" t="n">
        <v>44425.37835648148</v>
      </c>
      <c r="C162" s="1" t="n">
        <v>45995</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25987-2022</t>
        </is>
      </c>
      <c r="B163" s="1" t="n">
        <v>44734.49601851852</v>
      </c>
      <c r="C163" s="1" t="n">
        <v>45995</v>
      </c>
      <c r="D163" t="inlineStr">
        <is>
          <t>UPPSALA LÄN</t>
        </is>
      </c>
      <c r="E163" t="inlineStr">
        <is>
          <t>ÖSTHAMMAR</t>
        </is>
      </c>
      <c r="G163" t="n">
        <v>0.6</v>
      </c>
      <c r="H163" t="n">
        <v>0</v>
      </c>
      <c r="I163" t="n">
        <v>0</v>
      </c>
      <c r="J163" t="n">
        <v>0</v>
      </c>
      <c r="K163" t="n">
        <v>0</v>
      </c>
      <c r="L163" t="n">
        <v>0</v>
      </c>
      <c r="M163" t="n">
        <v>0</v>
      </c>
      <c r="N163" t="n">
        <v>0</v>
      </c>
      <c r="O163" t="n">
        <v>0</v>
      </c>
      <c r="P163" t="n">
        <v>0</v>
      </c>
      <c r="Q163" t="n">
        <v>0</v>
      </c>
      <c r="R163" s="2" t="inlineStr"/>
    </row>
    <row r="164" ht="15" customHeight="1">
      <c r="A164" t="inlineStr">
        <is>
          <t>A 15457-2022</t>
        </is>
      </c>
      <c r="B164" s="1" t="n">
        <v>44661.74027777778</v>
      </c>
      <c r="C164" s="1" t="n">
        <v>45995</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37570-2022</t>
        </is>
      </c>
      <c r="B165" s="1" t="n">
        <v>44809</v>
      </c>
      <c r="C165" s="1" t="n">
        <v>45995</v>
      </c>
      <c r="D165" t="inlineStr">
        <is>
          <t>UPPSALA LÄN</t>
        </is>
      </c>
      <c r="E165" t="inlineStr">
        <is>
          <t>ÖSTHAMMAR</t>
        </is>
      </c>
      <c r="G165" t="n">
        <v>0.6</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45995</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37545-2022</t>
        </is>
      </c>
      <c r="B167" s="1" t="n">
        <v>44809.63373842592</v>
      </c>
      <c r="C167" s="1" t="n">
        <v>45995</v>
      </c>
      <c r="D167" t="inlineStr">
        <is>
          <t>UPPSALA LÄN</t>
        </is>
      </c>
      <c r="E167" t="inlineStr">
        <is>
          <t>ÖSTHAMMAR</t>
        </is>
      </c>
      <c r="G167" t="n">
        <v>3.1</v>
      </c>
      <c r="H167" t="n">
        <v>0</v>
      </c>
      <c r="I167" t="n">
        <v>0</v>
      </c>
      <c r="J167" t="n">
        <v>0</v>
      </c>
      <c r="K167" t="n">
        <v>0</v>
      </c>
      <c r="L167" t="n">
        <v>0</v>
      </c>
      <c r="M167" t="n">
        <v>0</v>
      </c>
      <c r="N167" t="n">
        <v>0</v>
      </c>
      <c r="O167" t="n">
        <v>0</v>
      </c>
      <c r="P167" t="n">
        <v>0</v>
      </c>
      <c r="Q167" t="n">
        <v>0</v>
      </c>
      <c r="R167" s="2" t="inlineStr"/>
    </row>
    <row r="168" ht="15" customHeight="1">
      <c r="A168" t="inlineStr">
        <is>
          <t>A 31182-2022</t>
        </is>
      </c>
      <c r="B168" s="1" t="n">
        <v>44770</v>
      </c>
      <c r="C168" s="1" t="n">
        <v>45995</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26534-2022</t>
        </is>
      </c>
      <c r="B169" s="1" t="n">
        <v>44739</v>
      </c>
      <c r="C169" s="1" t="n">
        <v>45995</v>
      </c>
      <c r="D169" t="inlineStr">
        <is>
          <t>UPPSALA LÄN</t>
        </is>
      </c>
      <c r="E169" t="inlineStr">
        <is>
          <t>ÖSTHAMMAR</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12999-2022</t>
        </is>
      </c>
      <c r="B170" s="1" t="n">
        <v>44643.4372337963</v>
      </c>
      <c r="C170" s="1" t="n">
        <v>45995</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38501-2022</t>
        </is>
      </c>
      <c r="B171" s="1" t="n">
        <v>44813</v>
      </c>
      <c r="C171" s="1" t="n">
        <v>45995</v>
      </c>
      <c r="D171" t="inlineStr">
        <is>
          <t>UPPSALA LÄN</t>
        </is>
      </c>
      <c r="E171" t="inlineStr">
        <is>
          <t>ÖSTHAMMAR</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4559-2022</t>
        </is>
      </c>
      <c r="B172" s="1" t="n">
        <v>44591.51854166666</v>
      </c>
      <c r="C172" s="1" t="n">
        <v>45995</v>
      </c>
      <c r="D172" t="inlineStr">
        <is>
          <t>UPPSALA LÄN</t>
        </is>
      </c>
      <c r="E172" t="inlineStr">
        <is>
          <t>ÖSTHAMMAR</t>
        </is>
      </c>
      <c r="F172" t="inlineStr">
        <is>
          <t>Bergvik skog öst AB</t>
        </is>
      </c>
      <c r="G172" t="n">
        <v>1.1</v>
      </c>
      <c r="H172" t="n">
        <v>0</v>
      </c>
      <c r="I172" t="n">
        <v>0</v>
      </c>
      <c r="J172" t="n">
        <v>0</v>
      </c>
      <c r="K172" t="n">
        <v>0</v>
      </c>
      <c r="L172" t="n">
        <v>0</v>
      </c>
      <c r="M172" t="n">
        <v>0</v>
      </c>
      <c r="N172" t="n">
        <v>0</v>
      </c>
      <c r="O172" t="n">
        <v>0</v>
      </c>
      <c r="P172" t="n">
        <v>0</v>
      </c>
      <c r="Q172" t="n">
        <v>0</v>
      </c>
      <c r="R172" s="2" t="inlineStr"/>
    </row>
    <row r="173" ht="15" customHeight="1">
      <c r="A173" t="inlineStr">
        <is>
          <t>A 37813-2022</t>
        </is>
      </c>
      <c r="B173" s="1" t="n">
        <v>44810</v>
      </c>
      <c r="C173" s="1" t="n">
        <v>45995</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11643-2022</t>
        </is>
      </c>
      <c r="B174" s="1" t="n">
        <v>44631.92662037037</v>
      </c>
      <c r="C174" s="1" t="n">
        <v>45995</v>
      </c>
      <c r="D174" t="inlineStr">
        <is>
          <t>UPPSALA LÄN</t>
        </is>
      </c>
      <c r="E174" t="inlineStr">
        <is>
          <t>ÖSTHAMMAR</t>
        </is>
      </c>
      <c r="F174" t="inlineStr">
        <is>
          <t>Bergvik skog öst AB</t>
        </is>
      </c>
      <c r="G174" t="n">
        <v>1.1</v>
      </c>
      <c r="H174" t="n">
        <v>0</v>
      </c>
      <c r="I174" t="n">
        <v>0</v>
      </c>
      <c r="J174" t="n">
        <v>0</v>
      </c>
      <c r="K174" t="n">
        <v>0</v>
      </c>
      <c r="L174" t="n">
        <v>0</v>
      </c>
      <c r="M174" t="n">
        <v>0</v>
      </c>
      <c r="N174" t="n">
        <v>0</v>
      </c>
      <c r="O174" t="n">
        <v>0</v>
      </c>
      <c r="P174" t="n">
        <v>0</v>
      </c>
      <c r="Q174" t="n">
        <v>0</v>
      </c>
      <c r="R174" s="2" t="inlineStr"/>
    </row>
    <row r="175" ht="15" customHeight="1">
      <c r="A175" t="inlineStr">
        <is>
          <t>A 11036-2023</t>
        </is>
      </c>
      <c r="B175" s="1" t="n">
        <v>44991.9321412037</v>
      </c>
      <c r="C175" s="1" t="n">
        <v>45995</v>
      </c>
      <c r="D175" t="inlineStr">
        <is>
          <t>UPPSALA LÄN</t>
        </is>
      </c>
      <c r="E175" t="inlineStr">
        <is>
          <t>ÖSTHAMMAR</t>
        </is>
      </c>
      <c r="F175" t="inlineStr">
        <is>
          <t>Bergvik skog öst AB</t>
        </is>
      </c>
      <c r="G175" t="n">
        <v>3</v>
      </c>
      <c r="H175" t="n">
        <v>0</v>
      </c>
      <c r="I175" t="n">
        <v>0</v>
      </c>
      <c r="J175" t="n">
        <v>0</v>
      </c>
      <c r="K175" t="n">
        <v>0</v>
      </c>
      <c r="L175" t="n">
        <v>0</v>
      </c>
      <c r="M175" t="n">
        <v>0</v>
      </c>
      <c r="N175" t="n">
        <v>0</v>
      </c>
      <c r="O175" t="n">
        <v>0</v>
      </c>
      <c r="P175" t="n">
        <v>0</v>
      </c>
      <c r="Q175" t="n">
        <v>0</v>
      </c>
      <c r="R175" s="2" t="inlineStr"/>
    </row>
    <row r="176" ht="15" customHeight="1">
      <c r="A176" t="inlineStr">
        <is>
          <t>A 23363-2023</t>
        </is>
      </c>
      <c r="B176" s="1" t="n">
        <v>45076</v>
      </c>
      <c r="C176" s="1" t="n">
        <v>45995</v>
      </c>
      <c r="D176" t="inlineStr">
        <is>
          <t>UPPSALA LÄN</t>
        </is>
      </c>
      <c r="E176" t="inlineStr">
        <is>
          <t>ÖSTHAMMAR</t>
        </is>
      </c>
      <c r="G176" t="n">
        <v>3</v>
      </c>
      <c r="H176" t="n">
        <v>0</v>
      </c>
      <c r="I176" t="n">
        <v>0</v>
      </c>
      <c r="J176" t="n">
        <v>0</v>
      </c>
      <c r="K176" t="n">
        <v>0</v>
      </c>
      <c r="L176" t="n">
        <v>0</v>
      </c>
      <c r="M176" t="n">
        <v>0</v>
      </c>
      <c r="N176" t="n">
        <v>0</v>
      </c>
      <c r="O176" t="n">
        <v>0</v>
      </c>
      <c r="P176" t="n">
        <v>0</v>
      </c>
      <c r="Q176" t="n">
        <v>0</v>
      </c>
      <c r="R176" s="2" t="inlineStr"/>
    </row>
    <row r="177" ht="15" customHeight="1">
      <c r="A177" t="inlineStr">
        <is>
          <t>A 3418-2025</t>
        </is>
      </c>
      <c r="B177" s="1" t="n">
        <v>45680</v>
      </c>
      <c r="C177" s="1" t="n">
        <v>45995</v>
      </c>
      <c r="D177" t="inlineStr">
        <is>
          <t>UPPSALA LÄN</t>
        </is>
      </c>
      <c r="E177" t="inlineStr">
        <is>
          <t>ÖSTHAMMAR</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3420-2025</t>
        </is>
      </c>
      <c r="B178" s="1" t="n">
        <v>45680</v>
      </c>
      <c r="C178" s="1" t="n">
        <v>45995</v>
      </c>
      <c r="D178" t="inlineStr">
        <is>
          <t>UPPSALA LÄN</t>
        </is>
      </c>
      <c r="E178" t="inlineStr">
        <is>
          <t>ÖSTHAMMAR</t>
        </is>
      </c>
      <c r="F178" t="inlineStr">
        <is>
          <t>Bergvik skog väst AB</t>
        </is>
      </c>
      <c r="G178" t="n">
        <v>3.6</v>
      </c>
      <c r="H178" t="n">
        <v>0</v>
      </c>
      <c r="I178" t="n">
        <v>0</v>
      </c>
      <c r="J178" t="n">
        <v>0</v>
      </c>
      <c r="K178" t="n">
        <v>0</v>
      </c>
      <c r="L178" t="n">
        <v>0</v>
      </c>
      <c r="M178" t="n">
        <v>0</v>
      </c>
      <c r="N178" t="n">
        <v>0</v>
      </c>
      <c r="O178" t="n">
        <v>0</v>
      </c>
      <c r="P178" t="n">
        <v>0</v>
      </c>
      <c r="Q178" t="n">
        <v>0</v>
      </c>
      <c r="R178" s="2" t="inlineStr"/>
    </row>
    <row r="179" ht="15" customHeight="1">
      <c r="A179" t="inlineStr">
        <is>
          <t>A 52898-2021</t>
        </is>
      </c>
      <c r="B179" s="1" t="n">
        <v>44467</v>
      </c>
      <c r="C179" s="1" t="n">
        <v>45995</v>
      </c>
      <c r="D179" t="inlineStr">
        <is>
          <t>UPPSALA LÄN</t>
        </is>
      </c>
      <c r="E179" t="inlineStr">
        <is>
          <t>ÖSTHAMMAR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16185-2022</t>
        </is>
      </c>
      <c r="B180" s="1" t="n">
        <v>44669</v>
      </c>
      <c r="C180" s="1" t="n">
        <v>45995</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24316-2021</t>
        </is>
      </c>
      <c r="B181" s="1" t="n">
        <v>44337</v>
      </c>
      <c r="C181" s="1" t="n">
        <v>45995</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11987-2022</t>
        </is>
      </c>
      <c r="B182" s="1" t="n">
        <v>44635.68695601852</v>
      </c>
      <c r="C182" s="1" t="n">
        <v>45995</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45995</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22207-2022</t>
        </is>
      </c>
      <c r="B184" s="1" t="n">
        <v>44712.51509259259</v>
      </c>
      <c r="C184" s="1" t="n">
        <v>45995</v>
      </c>
      <c r="D184" t="inlineStr">
        <is>
          <t>UPPSALA LÄN</t>
        </is>
      </c>
      <c r="E184" t="inlineStr">
        <is>
          <t>ÖSTHAMMAR</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45995</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14505-2023</t>
        </is>
      </c>
      <c r="B186" s="1" t="n">
        <v>45012.7975</v>
      </c>
      <c r="C186" s="1" t="n">
        <v>45995</v>
      </c>
      <c r="D186" t="inlineStr">
        <is>
          <t>UPPSALA LÄN</t>
        </is>
      </c>
      <c r="E186" t="inlineStr">
        <is>
          <t>ÖSTHAMMAR</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60577-2021</t>
        </is>
      </c>
      <c r="B187" s="1" t="n">
        <v>44496.57019675926</v>
      </c>
      <c r="C187" s="1" t="n">
        <v>45995</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11884-2022</t>
        </is>
      </c>
      <c r="B188" s="1" t="n">
        <v>44635.39946759259</v>
      </c>
      <c r="C188" s="1" t="n">
        <v>45995</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45995</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62695-2023</t>
        </is>
      </c>
      <c r="B190" s="1" t="n">
        <v>45271</v>
      </c>
      <c r="C190" s="1" t="n">
        <v>45995</v>
      </c>
      <c r="D190" t="inlineStr">
        <is>
          <t>UPPSALA LÄN</t>
        </is>
      </c>
      <c r="E190" t="inlineStr">
        <is>
          <t>ÖSTHAMMAR</t>
        </is>
      </c>
      <c r="G190" t="n">
        <v>5.3</v>
      </c>
      <c r="H190" t="n">
        <v>0</v>
      </c>
      <c r="I190" t="n">
        <v>0</v>
      </c>
      <c r="J190" t="n">
        <v>0</v>
      </c>
      <c r="K190" t="n">
        <v>0</v>
      </c>
      <c r="L190" t="n">
        <v>0</v>
      </c>
      <c r="M190" t="n">
        <v>0</v>
      </c>
      <c r="N190" t="n">
        <v>0</v>
      </c>
      <c r="O190" t="n">
        <v>0</v>
      </c>
      <c r="P190" t="n">
        <v>0</v>
      </c>
      <c r="Q190" t="n">
        <v>0</v>
      </c>
      <c r="R190" s="2" t="inlineStr"/>
    </row>
    <row r="191" ht="15" customHeight="1">
      <c r="A191" t="inlineStr">
        <is>
          <t>A 19214-2021</t>
        </is>
      </c>
      <c r="B191" s="1" t="n">
        <v>44309.28576388889</v>
      </c>
      <c r="C191" s="1" t="n">
        <v>45995</v>
      </c>
      <c r="D191" t="inlineStr">
        <is>
          <t>UPPSALA LÄN</t>
        </is>
      </c>
      <c r="E191" t="inlineStr">
        <is>
          <t>ÖSTHAMMAR</t>
        </is>
      </c>
      <c r="F191" t="inlineStr">
        <is>
          <t>Bergvik skog öst AB</t>
        </is>
      </c>
      <c r="G191" t="n">
        <v>6</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45995</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22887-2022</t>
        </is>
      </c>
      <c r="B193" s="1" t="n">
        <v>44715</v>
      </c>
      <c r="C193" s="1" t="n">
        <v>45995</v>
      </c>
      <c r="D193" t="inlineStr">
        <is>
          <t>UPPSALA LÄN</t>
        </is>
      </c>
      <c r="E193" t="inlineStr">
        <is>
          <t>ÖSTHAMMAR</t>
        </is>
      </c>
      <c r="G193" t="n">
        <v>0.2</v>
      </c>
      <c r="H193" t="n">
        <v>0</v>
      </c>
      <c r="I193" t="n">
        <v>0</v>
      </c>
      <c r="J193" t="n">
        <v>0</v>
      </c>
      <c r="K193" t="n">
        <v>0</v>
      </c>
      <c r="L193" t="n">
        <v>0</v>
      </c>
      <c r="M193" t="n">
        <v>0</v>
      </c>
      <c r="N193" t="n">
        <v>0</v>
      </c>
      <c r="O193" t="n">
        <v>0</v>
      </c>
      <c r="P193" t="n">
        <v>0</v>
      </c>
      <c r="Q193" t="n">
        <v>0</v>
      </c>
      <c r="R193" s="2" t="inlineStr"/>
    </row>
    <row r="194" ht="15" customHeight="1">
      <c r="A194" t="inlineStr">
        <is>
          <t>A 52544-2021</t>
        </is>
      </c>
      <c r="B194" s="1" t="n">
        <v>44466</v>
      </c>
      <c r="C194" s="1" t="n">
        <v>45995</v>
      </c>
      <c r="D194" t="inlineStr">
        <is>
          <t>UPPSALA LÄN</t>
        </is>
      </c>
      <c r="E194" t="inlineStr">
        <is>
          <t>ÖSTHAMMAR</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4099-2025</t>
        </is>
      </c>
      <c r="B195" s="1" t="n">
        <v>45684</v>
      </c>
      <c r="C195" s="1" t="n">
        <v>45995</v>
      </c>
      <c r="D195" t="inlineStr">
        <is>
          <t>UPPSALA LÄN</t>
        </is>
      </c>
      <c r="E195" t="inlineStr">
        <is>
          <t>ÖSTHAMMAR</t>
        </is>
      </c>
      <c r="G195" t="n">
        <v>0.7</v>
      </c>
      <c r="H195" t="n">
        <v>0</v>
      </c>
      <c r="I195" t="n">
        <v>0</v>
      </c>
      <c r="J195" t="n">
        <v>0</v>
      </c>
      <c r="K195" t="n">
        <v>0</v>
      </c>
      <c r="L195" t="n">
        <v>0</v>
      </c>
      <c r="M195" t="n">
        <v>0</v>
      </c>
      <c r="N195" t="n">
        <v>0</v>
      </c>
      <c r="O195" t="n">
        <v>0</v>
      </c>
      <c r="P195" t="n">
        <v>0</v>
      </c>
      <c r="Q195" t="n">
        <v>0</v>
      </c>
      <c r="R195" s="2" t="inlineStr"/>
    </row>
    <row r="196" ht="15" customHeight="1">
      <c r="A196" t="inlineStr">
        <is>
          <t>A 34418-2022</t>
        </is>
      </c>
      <c r="B196" s="1" t="n">
        <v>44792</v>
      </c>
      <c r="C196" s="1" t="n">
        <v>45995</v>
      </c>
      <c r="D196" t="inlineStr">
        <is>
          <t>UPPSALA LÄN</t>
        </is>
      </c>
      <c r="E196" t="inlineStr">
        <is>
          <t>ÖSTHAMMAR</t>
        </is>
      </c>
      <c r="G196" t="n">
        <v>0.3</v>
      </c>
      <c r="H196" t="n">
        <v>0</v>
      </c>
      <c r="I196" t="n">
        <v>0</v>
      </c>
      <c r="J196" t="n">
        <v>0</v>
      </c>
      <c r="K196" t="n">
        <v>0</v>
      </c>
      <c r="L196" t="n">
        <v>0</v>
      </c>
      <c r="M196" t="n">
        <v>0</v>
      </c>
      <c r="N196" t="n">
        <v>0</v>
      </c>
      <c r="O196" t="n">
        <v>0</v>
      </c>
      <c r="P196" t="n">
        <v>0</v>
      </c>
      <c r="Q196" t="n">
        <v>0</v>
      </c>
      <c r="R196" s="2" t="inlineStr"/>
    </row>
    <row r="197" ht="15" customHeight="1">
      <c r="A197" t="inlineStr">
        <is>
          <t>A 16184-2022</t>
        </is>
      </c>
      <c r="B197" s="1" t="n">
        <v>44669.36354166667</v>
      </c>
      <c r="C197" s="1" t="n">
        <v>45995</v>
      </c>
      <c r="D197" t="inlineStr">
        <is>
          <t>UPPSALA LÄN</t>
        </is>
      </c>
      <c r="E197" t="inlineStr">
        <is>
          <t>ÖSTHAMMAR</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54437-2024</t>
        </is>
      </c>
      <c r="B198" s="1" t="n">
        <v>45617</v>
      </c>
      <c r="C198" s="1" t="n">
        <v>45995</v>
      </c>
      <c r="D198" t="inlineStr">
        <is>
          <t>UPPSALA LÄN</t>
        </is>
      </c>
      <c r="E198" t="inlineStr">
        <is>
          <t>ÖSTHAMMAR</t>
        </is>
      </c>
      <c r="G198" t="n">
        <v>2.1</v>
      </c>
      <c r="H198" t="n">
        <v>0</v>
      </c>
      <c r="I198" t="n">
        <v>0</v>
      </c>
      <c r="J198" t="n">
        <v>0</v>
      </c>
      <c r="K198" t="n">
        <v>0</v>
      </c>
      <c r="L198" t="n">
        <v>0</v>
      </c>
      <c r="M198" t="n">
        <v>0</v>
      </c>
      <c r="N198" t="n">
        <v>0</v>
      </c>
      <c r="O198" t="n">
        <v>0</v>
      </c>
      <c r="P198" t="n">
        <v>0</v>
      </c>
      <c r="Q198" t="n">
        <v>0</v>
      </c>
      <c r="R198" s="2" t="inlineStr"/>
    </row>
    <row r="199" ht="15" customHeight="1">
      <c r="A199" t="inlineStr">
        <is>
          <t>A 19040-2023</t>
        </is>
      </c>
      <c r="B199" s="1" t="n">
        <v>45047</v>
      </c>
      <c r="C199" s="1" t="n">
        <v>45995</v>
      </c>
      <c r="D199" t="inlineStr">
        <is>
          <t>UPPSALA LÄN</t>
        </is>
      </c>
      <c r="E199" t="inlineStr">
        <is>
          <t>ÖSTHAMMAR</t>
        </is>
      </c>
      <c r="F199" t="inlineStr">
        <is>
          <t>Bergvik skog öst AB</t>
        </is>
      </c>
      <c r="G199" t="n">
        <v>1.7</v>
      </c>
      <c r="H199" t="n">
        <v>0</v>
      </c>
      <c r="I199" t="n">
        <v>0</v>
      </c>
      <c r="J199" t="n">
        <v>0</v>
      </c>
      <c r="K199" t="n">
        <v>0</v>
      </c>
      <c r="L199" t="n">
        <v>0</v>
      </c>
      <c r="M199" t="n">
        <v>0</v>
      </c>
      <c r="N199" t="n">
        <v>0</v>
      </c>
      <c r="O199" t="n">
        <v>0</v>
      </c>
      <c r="P199" t="n">
        <v>0</v>
      </c>
      <c r="Q199" t="n">
        <v>0</v>
      </c>
      <c r="R199" s="2" t="inlineStr"/>
    </row>
    <row r="200" ht="15" customHeight="1">
      <c r="A200" t="inlineStr">
        <is>
          <t>A 18838-2023</t>
        </is>
      </c>
      <c r="B200" s="1" t="n">
        <v>45044</v>
      </c>
      <c r="C200" s="1" t="n">
        <v>45995</v>
      </c>
      <c r="D200" t="inlineStr">
        <is>
          <t>UPPSALA LÄN</t>
        </is>
      </c>
      <c r="E200" t="inlineStr">
        <is>
          <t>ÖSTHAMMAR</t>
        </is>
      </c>
      <c r="G200" t="n">
        <v>2.8</v>
      </c>
      <c r="H200" t="n">
        <v>0</v>
      </c>
      <c r="I200" t="n">
        <v>0</v>
      </c>
      <c r="J200" t="n">
        <v>0</v>
      </c>
      <c r="K200" t="n">
        <v>0</v>
      </c>
      <c r="L200" t="n">
        <v>0</v>
      </c>
      <c r="M200" t="n">
        <v>0</v>
      </c>
      <c r="N200" t="n">
        <v>0</v>
      </c>
      <c r="O200" t="n">
        <v>0</v>
      </c>
      <c r="P200" t="n">
        <v>0</v>
      </c>
      <c r="Q200" t="n">
        <v>0</v>
      </c>
      <c r="R200" s="2" t="inlineStr"/>
    </row>
    <row r="201" ht="15" customHeight="1">
      <c r="A201" t="inlineStr">
        <is>
          <t>A 18736-2022</t>
        </is>
      </c>
      <c r="B201" s="1" t="n">
        <v>44687.87017361111</v>
      </c>
      <c r="C201" s="1" t="n">
        <v>45995</v>
      </c>
      <c r="D201" t="inlineStr">
        <is>
          <t>UPPSALA LÄN</t>
        </is>
      </c>
      <c r="E201" t="inlineStr">
        <is>
          <t>ÖSTHAMMAR</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45995</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45995</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23742-2024</t>
        </is>
      </c>
      <c r="B204" s="1" t="n">
        <v>45455</v>
      </c>
      <c r="C204" s="1" t="n">
        <v>45995</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45995</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29282-2021</t>
        </is>
      </c>
      <c r="B206" s="1" t="n">
        <v>44361</v>
      </c>
      <c r="C206" s="1" t="n">
        <v>45995</v>
      </c>
      <c r="D206" t="inlineStr">
        <is>
          <t>UPPSALA LÄN</t>
        </is>
      </c>
      <c r="E206" t="inlineStr">
        <is>
          <t>ÖSTHAMMAR</t>
        </is>
      </c>
      <c r="G206" t="n">
        <v>2.4</v>
      </c>
      <c r="H206" t="n">
        <v>0</v>
      </c>
      <c r="I206" t="n">
        <v>0</v>
      </c>
      <c r="J206" t="n">
        <v>0</v>
      </c>
      <c r="K206" t="n">
        <v>0</v>
      </c>
      <c r="L206" t="n">
        <v>0</v>
      </c>
      <c r="M206" t="n">
        <v>0</v>
      </c>
      <c r="N206" t="n">
        <v>0</v>
      </c>
      <c r="O206" t="n">
        <v>0</v>
      </c>
      <c r="P206" t="n">
        <v>0</v>
      </c>
      <c r="Q206" t="n">
        <v>0</v>
      </c>
      <c r="R206" s="2" t="inlineStr"/>
    </row>
    <row r="207" ht="15" customHeight="1">
      <c r="A207" t="inlineStr">
        <is>
          <t>A 7871-2022</t>
        </is>
      </c>
      <c r="B207" s="1" t="n">
        <v>44608</v>
      </c>
      <c r="C207" s="1" t="n">
        <v>45995</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24817-2022</t>
        </is>
      </c>
      <c r="B208" s="1" t="n">
        <v>44728</v>
      </c>
      <c r="C208" s="1" t="n">
        <v>45995</v>
      </c>
      <c r="D208" t="inlineStr">
        <is>
          <t>UPPSALA LÄN</t>
        </is>
      </c>
      <c r="E208" t="inlineStr">
        <is>
          <t>ÖSTHAMMAR</t>
        </is>
      </c>
      <c r="F208" t="inlineStr">
        <is>
          <t>Sveaskog</t>
        </is>
      </c>
      <c r="G208" t="n">
        <v>0.2</v>
      </c>
      <c r="H208" t="n">
        <v>0</v>
      </c>
      <c r="I208" t="n">
        <v>0</v>
      </c>
      <c r="J208" t="n">
        <v>0</v>
      </c>
      <c r="K208" t="n">
        <v>0</v>
      </c>
      <c r="L208" t="n">
        <v>0</v>
      </c>
      <c r="M208" t="n">
        <v>0</v>
      </c>
      <c r="N208" t="n">
        <v>0</v>
      </c>
      <c r="O208" t="n">
        <v>0</v>
      </c>
      <c r="P208" t="n">
        <v>0</v>
      </c>
      <c r="Q208" t="n">
        <v>0</v>
      </c>
      <c r="R208" s="2" t="inlineStr"/>
    </row>
    <row r="209" ht="15" customHeight="1">
      <c r="A209" t="inlineStr">
        <is>
          <t>A 33062-2021</t>
        </is>
      </c>
      <c r="B209" s="1" t="n">
        <v>44376</v>
      </c>
      <c r="C209" s="1" t="n">
        <v>45995</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6039-2025</t>
        </is>
      </c>
      <c r="B210" s="1" t="n">
        <v>45695</v>
      </c>
      <c r="C210" s="1" t="n">
        <v>45995</v>
      </c>
      <c r="D210" t="inlineStr">
        <is>
          <t>UPPSALA LÄN</t>
        </is>
      </c>
      <c r="E210" t="inlineStr">
        <is>
          <t>ÖSTHAMMAR</t>
        </is>
      </c>
      <c r="G210" t="n">
        <v>2.3</v>
      </c>
      <c r="H210" t="n">
        <v>0</v>
      </c>
      <c r="I210" t="n">
        <v>0</v>
      </c>
      <c r="J210" t="n">
        <v>0</v>
      </c>
      <c r="K210" t="n">
        <v>0</v>
      </c>
      <c r="L210" t="n">
        <v>0</v>
      </c>
      <c r="M210" t="n">
        <v>0</v>
      </c>
      <c r="N210" t="n">
        <v>0</v>
      </c>
      <c r="O210" t="n">
        <v>0</v>
      </c>
      <c r="P210" t="n">
        <v>0</v>
      </c>
      <c r="Q210" t="n">
        <v>0</v>
      </c>
      <c r="R210" s="2" t="inlineStr"/>
    </row>
    <row r="211" ht="15" customHeight="1">
      <c r="A211" t="inlineStr">
        <is>
          <t>A 51906-2022</t>
        </is>
      </c>
      <c r="B211" s="1" t="n">
        <v>44872.62109953703</v>
      </c>
      <c r="C211" s="1" t="n">
        <v>45995</v>
      </c>
      <c r="D211" t="inlineStr">
        <is>
          <t>UPPSALA LÄN</t>
        </is>
      </c>
      <c r="E211" t="inlineStr">
        <is>
          <t>ÖSTHAMMAR</t>
        </is>
      </c>
      <c r="G211" t="n">
        <v>0.4</v>
      </c>
      <c r="H211" t="n">
        <v>0</v>
      </c>
      <c r="I211" t="n">
        <v>0</v>
      </c>
      <c r="J211" t="n">
        <v>0</v>
      </c>
      <c r="K211" t="n">
        <v>0</v>
      </c>
      <c r="L211" t="n">
        <v>0</v>
      </c>
      <c r="M211" t="n">
        <v>0</v>
      </c>
      <c r="N211" t="n">
        <v>0</v>
      </c>
      <c r="O211" t="n">
        <v>0</v>
      </c>
      <c r="P211" t="n">
        <v>0</v>
      </c>
      <c r="Q211" t="n">
        <v>0</v>
      </c>
      <c r="R211" s="2" t="inlineStr"/>
    </row>
    <row r="212" ht="15" customHeight="1">
      <c r="A212" t="inlineStr">
        <is>
          <t>A 8769-2025</t>
        </is>
      </c>
      <c r="B212" s="1" t="n">
        <v>45712.59412037037</v>
      </c>
      <c r="C212" s="1" t="n">
        <v>45995</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6221-2021</t>
        </is>
      </c>
      <c r="B213" s="1" t="n">
        <v>44235</v>
      </c>
      <c r="C213" s="1" t="n">
        <v>45995</v>
      </c>
      <c r="D213" t="inlineStr">
        <is>
          <t>UPPSALA LÄN</t>
        </is>
      </c>
      <c r="E213" t="inlineStr">
        <is>
          <t>ÖSTHAMMAR</t>
        </is>
      </c>
      <c r="G213" t="n">
        <v>0.8</v>
      </c>
      <c r="H213" t="n">
        <v>0</v>
      </c>
      <c r="I213" t="n">
        <v>0</v>
      </c>
      <c r="J213" t="n">
        <v>0</v>
      </c>
      <c r="K213" t="n">
        <v>0</v>
      </c>
      <c r="L213" t="n">
        <v>0</v>
      </c>
      <c r="M213" t="n">
        <v>0</v>
      </c>
      <c r="N213" t="n">
        <v>0</v>
      </c>
      <c r="O213" t="n">
        <v>0</v>
      </c>
      <c r="P213" t="n">
        <v>0</v>
      </c>
      <c r="Q213" t="n">
        <v>0</v>
      </c>
      <c r="R213" s="2" t="inlineStr"/>
    </row>
    <row r="214" ht="15" customHeight="1">
      <c r="A214" t="inlineStr">
        <is>
          <t>A 20326-2021</t>
        </is>
      </c>
      <c r="B214" s="1" t="n">
        <v>44308</v>
      </c>
      <c r="C214" s="1" t="n">
        <v>45995</v>
      </c>
      <c r="D214" t="inlineStr">
        <is>
          <t>UPPSALA LÄN</t>
        </is>
      </c>
      <c r="E214" t="inlineStr">
        <is>
          <t>ÖSTHAMMAR</t>
        </is>
      </c>
      <c r="G214" t="n">
        <v>7</v>
      </c>
      <c r="H214" t="n">
        <v>0</v>
      </c>
      <c r="I214" t="n">
        <v>0</v>
      </c>
      <c r="J214" t="n">
        <v>0</v>
      </c>
      <c r="K214" t="n">
        <v>0</v>
      </c>
      <c r="L214" t="n">
        <v>0</v>
      </c>
      <c r="M214" t="n">
        <v>0</v>
      </c>
      <c r="N214" t="n">
        <v>0</v>
      </c>
      <c r="O214" t="n">
        <v>0</v>
      </c>
      <c r="P214" t="n">
        <v>0</v>
      </c>
      <c r="Q214" t="n">
        <v>0</v>
      </c>
      <c r="R214" s="2" t="inlineStr"/>
    </row>
    <row r="215" ht="15" customHeight="1">
      <c r="A215" t="inlineStr">
        <is>
          <t>A 55086-2024</t>
        </is>
      </c>
      <c r="B215" s="1" t="n">
        <v>45621.43098379629</v>
      </c>
      <c r="C215" s="1" t="n">
        <v>45995</v>
      </c>
      <c r="D215" t="inlineStr">
        <is>
          <t>UPPSALA LÄN</t>
        </is>
      </c>
      <c r="E215" t="inlineStr">
        <is>
          <t>ÖSTHAMMAR</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55090-2024</t>
        </is>
      </c>
      <c r="B216" s="1" t="n">
        <v>45621.4350462963</v>
      </c>
      <c r="C216" s="1" t="n">
        <v>45995</v>
      </c>
      <c r="D216" t="inlineStr">
        <is>
          <t>UPPSALA LÄN</t>
        </is>
      </c>
      <c r="E216" t="inlineStr">
        <is>
          <t>ÖSTHAMMAR</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55093-2024</t>
        </is>
      </c>
      <c r="B217" s="1" t="n">
        <v>45621.43712962963</v>
      </c>
      <c r="C217" s="1" t="n">
        <v>45995</v>
      </c>
      <c r="D217" t="inlineStr">
        <is>
          <t>UPPSALA LÄN</t>
        </is>
      </c>
      <c r="E217" t="inlineStr">
        <is>
          <t>ÖSTHAMMAR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41538-2021</t>
        </is>
      </c>
      <c r="B218" s="1" t="n">
        <v>44425.35016203704</v>
      </c>
      <c r="C218" s="1" t="n">
        <v>45995</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36301-2023</t>
        </is>
      </c>
      <c r="B219" s="1" t="n">
        <v>45152.37296296296</v>
      </c>
      <c r="C219" s="1" t="n">
        <v>45995</v>
      </c>
      <c r="D219" t="inlineStr">
        <is>
          <t>UPPSALA LÄN</t>
        </is>
      </c>
      <c r="E219" t="inlineStr">
        <is>
          <t>ÖSTHAMMAR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28432-2023</t>
        </is>
      </c>
      <c r="B220" s="1" t="n">
        <v>45102.59896990741</v>
      </c>
      <c r="C220" s="1" t="n">
        <v>45995</v>
      </c>
      <c r="D220" t="inlineStr">
        <is>
          <t>UPPSALA LÄN</t>
        </is>
      </c>
      <c r="E220" t="inlineStr">
        <is>
          <t>ÖSTHAMMAR</t>
        </is>
      </c>
      <c r="F220" t="inlineStr">
        <is>
          <t>Bergvik skog öst AB</t>
        </is>
      </c>
      <c r="G220" t="n">
        <v>3.9</v>
      </c>
      <c r="H220" t="n">
        <v>0</v>
      </c>
      <c r="I220" t="n">
        <v>0</v>
      </c>
      <c r="J220" t="n">
        <v>0</v>
      </c>
      <c r="K220" t="n">
        <v>0</v>
      </c>
      <c r="L220" t="n">
        <v>0</v>
      </c>
      <c r="M220" t="n">
        <v>0</v>
      </c>
      <c r="N220" t="n">
        <v>0</v>
      </c>
      <c r="O220" t="n">
        <v>0</v>
      </c>
      <c r="P220" t="n">
        <v>0</v>
      </c>
      <c r="Q220" t="n">
        <v>0</v>
      </c>
      <c r="R220" s="2" t="inlineStr"/>
    </row>
    <row r="221" ht="15" customHeight="1">
      <c r="A221" t="inlineStr">
        <is>
          <t>A 43915-2023</t>
        </is>
      </c>
      <c r="B221" s="1" t="n">
        <v>45187.71274305556</v>
      </c>
      <c r="C221" s="1" t="n">
        <v>45995</v>
      </c>
      <c r="D221" t="inlineStr">
        <is>
          <t>UPPSALA LÄN</t>
        </is>
      </c>
      <c r="E221" t="inlineStr">
        <is>
          <t>ÖSTHAMMAR</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13352-2023</t>
        </is>
      </c>
      <c r="B222" s="1" t="n">
        <v>45005</v>
      </c>
      <c r="C222" s="1" t="n">
        <v>45995</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36343-2022</t>
        </is>
      </c>
      <c r="B223" s="1" t="n">
        <v>44803.78524305556</v>
      </c>
      <c r="C223" s="1" t="n">
        <v>45995</v>
      </c>
      <c r="D223" t="inlineStr">
        <is>
          <t>UPPSALA LÄN</t>
        </is>
      </c>
      <c r="E223" t="inlineStr">
        <is>
          <t>ÖSTHAMMAR</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357-2025</t>
        </is>
      </c>
      <c r="B224" s="1" t="n">
        <v>45659</v>
      </c>
      <c r="C224" s="1" t="n">
        <v>45995</v>
      </c>
      <c r="D224" t="inlineStr">
        <is>
          <t>UPPSALA LÄN</t>
        </is>
      </c>
      <c r="E224" t="inlineStr">
        <is>
          <t>ÖSTHAMMAR</t>
        </is>
      </c>
      <c r="G224" t="n">
        <v>15.8</v>
      </c>
      <c r="H224" t="n">
        <v>0</v>
      </c>
      <c r="I224" t="n">
        <v>0</v>
      </c>
      <c r="J224" t="n">
        <v>0</v>
      </c>
      <c r="K224" t="n">
        <v>0</v>
      </c>
      <c r="L224" t="n">
        <v>0</v>
      </c>
      <c r="M224" t="n">
        <v>0</v>
      </c>
      <c r="N224" t="n">
        <v>0</v>
      </c>
      <c r="O224" t="n">
        <v>0</v>
      </c>
      <c r="P224" t="n">
        <v>0</v>
      </c>
      <c r="Q224" t="n">
        <v>0</v>
      </c>
      <c r="R224" s="2" t="inlineStr"/>
    </row>
    <row r="225" ht="15" customHeight="1">
      <c r="A225" t="inlineStr">
        <is>
          <t>A 49097-2022</t>
        </is>
      </c>
      <c r="B225" s="1" t="n">
        <v>44860</v>
      </c>
      <c r="C225" s="1" t="n">
        <v>45995</v>
      </c>
      <c r="D225" t="inlineStr">
        <is>
          <t>UPPSALA LÄN</t>
        </is>
      </c>
      <c r="E225" t="inlineStr">
        <is>
          <t>ÖSTHAMMAR</t>
        </is>
      </c>
      <c r="G225" t="n">
        <v>6.9</v>
      </c>
      <c r="H225" t="n">
        <v>0</v>
      </c>
      <c r="I225" t="n">
        <v>0</v>
      </c>
      <c r="J225" t="n">
        <v>0</v>
      </c>
      <c r="K225" t="n">
        <v>0</v>
      </c>
      <c r="L225" t="n">
        <v>0</v>
      </c>
      <c r="M225" t="n">
        <v>0</v>
      </c>
      <c r="N225" t="n">
        <v>0</v>
      </c>
      <c r="O225" t="n">
        <v>0</v>
      </c>
      <c r="P225" t="n">
        <v>0</v>
      </c>
      <c r="Q225" t="n">
        <v>0</v>
      </c>
      <c r="R225" s="2" t="inlineStr"/>
    </row>
    <row r="226" ht="15" customHeight="1">
      <c r="A226" t="inlineStr">
        <is>
          <t>A 68828-2020</t>
        </is>
      </c>
      <c r="B226" s="1" t="n">
        <v>44186</v>
      </c>
      <c r="C226" s="1" t="n">
        <v>45995</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18731-2022</t>
        </is>
      </c>
      <c r="B227" s="1" t="n">
        <v>44687.78673611111</v>
      </c>
      <c r="C227" s="1" t="n">
        <v>45995</v>
      </c>
      <c r="D227" t="inlineStr">
        <is>
          <t>UPPSALA LÄN</t>
        </is>
      </c>
      <c r="E227" t="inlineStr">
        <is>
          <t>ÖSTHAMMAR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20326-2021</t>
        </is>
      </c>
      <c r="B228" s="1" t="n">
        <v>44308</v>
      </c>
      <c r="C228" s="1" t="n">
        <v>45995</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23495-2023</t>
        </is>
      </c>
      <c r="B229" s="1" t="n">
        <v>45076.71652777777</v>
      </c>
      <c r="C229" s="1" t="n">
        <v>45995</v>
      </c>
      <c r="D229" t="inlineStr">
        <is>
          <t>UPPSALA LÄN</t>
        </is>
      </c>
      <c r="E229" t="inlineStr">
        <is>
          <t>ÖSTHAMMAR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1063-2025</t>
        </is>
      </c>
      <c r="B230" s="1" t="n">
        <v>45666</v>
      </c>
      <c r="C230" s="1" t="n">
        <v>45995</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10495-2025</t>
        </is>
      </c>
      <c r="B231" s="1" t="n">
        <v>45721</v>
      </c>
      <c r="C231" s="1" t="n">
        <v>45995</v>
      </c>
      <c r="D231" t="inlineStr">
        <is>
          <t>UPPSALA LÄN</t>
        </is>
      </c>
      <c r="E231" t="inlineStr">
        <is>
          <t>ÖSTHAMMAR</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28421-2023</t>
        </is>
      </c>
      <c r="B232" s="1" t="n">
        <v>45102</v>
      </c>
      <c r="C232" s="1" t="n">
        <v>45995</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4356-2025</t>
        </is>
      </c>
      <c r="B233" s="1" t="n">
        <v>45686</v>
      </c>
      <c r="C233" s="1" t="n">
        <v>45995</v>
      </c>
      <c r="D233" t="inlineStr">
        <is>
          <t>UPPSALA LÄN</t>
        </is>
      </c>
      <c r="E233" t="inlineStr">
        <is>
          <t>ÖSTHAMMAR</t>
        </is>
      </c>
      <c r="F233" t="inlineStr">
        <is>
          <t>Övriga Aktiebolag</t>
        </is>
      </c>
      <c r="G233" t="n">
        <v>24.6</v>
      </c>
      <c r="H233" t="n">
        <v>0</v>
      </c>
      <c r="I233" t="n">
        <v>0</v>
      </c>
      <c r="J233" t="n">
        <v>0</v>
      </c>
      <c r="K233" t="n">
        <v>0</v>
      </c>
      <c r="L233" t="n">
        <v>0</v>
      </c>
      <c r="M233" t="n">
        <v>0</v>
      </c>
      <c r="N233" t="n">
        <v>0</v>
      </c>
      <c r="O233" t="n">
        <v>0</v>
      </c>
      <c r="P233" t="n">
        <v>0</v>
      </c>
      <c r="Q233" t="n">
        <v>0</v>
      </c>
      <c r="R233" s="2" t="inlineStr"/>
    </row>
    <row r="234" ht="15" customHeight="1">
      <c r="A234" t="inlineStr">
        <is>
          <t>A 17867-2024</t>
        </is>
      </c>
      <c r="B234" s="1" t="n">
        <v>45419.44106481481</v>
      </c>
      <c r="C234" s="1" t="n">
        <v>45995</v>
      </c>
      <c r="D234" t="inlineStr">
        <is>
          <t>UPPSALA LÄN</t>
        </is>
      </c>
      <c r="E234" t="inlineStr">
        <is>
          <t>ÖSTHAMMAR</t>
        </is>
      </c>
      <c r="G234" t="n">
        <v>7.2</v>
      </c>
      <c r="H234" t="n">
        <v>0</v>
      </c>
      <c r="I234" t="n">
        <v>0</v>
      </c>
      <c r="J234" t="n">
        <v>0</v>
      </c>
      <c r="K234" t="n">
        <v>0</v>
      </c>
      <c r="L234" t="n">
        <v>0</v>
      </c>
      <c r="M234" t="n">
        <v>0</v>
      </c>
      <c r="N234" t="n">
        <v>0</v>
      </c>
      <c r="O234" t="n">
        <v>0</v>
      </c>
      <c r="P234" t="n">
        <v>0</v>
      </c>
      <c r="Q234" t="n">
        <v>0</v>
      </c>
      <c r="R234" s="2" t="inlineStr"/>
    </row>
    <row r="235" ht="15" customHeight="1">
      <c r="A235" t="inlineStr">
        <is>
          <t>A 17085-2025</t>
        </is>
      </c>
      <c r="B235" s="1" t="n">
        <v>45755.64612268518</v>
      </c>
      <c r="C235" s="1" t="n">
        <v>45995</v>
      </c>
      <c r="D235" t="inlineStr">
        <is>
          <t>UPPSALA LÄN</t>
        </is>
      </c>
      <c r="E235" t="inlineStr">
        <is>
          <t>ÖSTHAMMAR</t>
        </is>
      </c>
      <c r="F235" t="inlineStr">
        <is>
          <t>Bergvik skog öst AB</t>
        </is>
      </c>
      <c r="G235" t="n">
        <v>0.6</v>
      </c>
      <c r="H235" t="n">
        <v>0</v>
      </c>
      <c r="I235" t="n">
        <v>0</v>
      </c>
      <c r="J235" t="n">
        <v>0</v>
      </c>
      <c r="K235" t="n">
        <v>0</v>
      </c>
      <c r="L235" t="n">
        <v>0</v>
      </c>
      <c r="M235" t="n">
        <v>0</v>
      </c>
      <c r="N235" t="n">
        <v>0</v>
      </c>
      <c r="O235" t="n">
        <v>0</v>
      </c>
      <c r="P235" t="n">
        <v>0</v>
      </c>
      <c r="Q235" t="n">
        <v>0</v>
      </c>
      <c r="R235" s="2" t="inlineStr"/>
    </row>
    <row r="236" ht="15" customHeight="1">
      <c r="A236" t="inlineStr">
        <is>
          <t>A 28429-2023</t>
        </is>
      </c>
      <c r="B236" s="1" t="n">
        <v>45102.58728009259</v>
      </c>
      <c r="C236" s="1" t="n">
        <v>45995</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12756-2024</t>
        </is>
      </c>
      <c r="B237" s="1" t="n">
        <v>45384</v>
      </c>
      <c r="C237" s="1" t="n">
        <v>45995</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35309-2023</t>
        </is>
      </c>
      <c r="B238" s="1" t="n">
        <v>45146</v>
      </c>
      <c r="C238" s="1" t="n">
        <v>45995</v>
      </c>
      <c r="D238" t="inlineStr">
        <is>
          <t>UPPSALA LÄN</t>
        </is>
      </c>
      <c r="E238" t="inlineStr">
        <is>
          <t>ÖSTHAMMAR</t>
        </is>
      </c>
      <c r="G238" t="n">
        <v>1.3</v>
      </c>
      <c r="H238" t="n">
        <v>0</v>
      </c>
      <c r="I238" t="n">
        <v>0</v>
      </c>
      <c r="J238" t="n">
        <v>0</v>
      </c>
      <c r="K238" t="n">
        <v>0</v>
      </c>
      <c r="L238" t="n">
        <v>0</v>
      </c>
      <c r="M238" t="n">
        <v>0</v>
      </c>
      <c r="N238" t="n">
        <v>0</v>
      </c>
      <c r="O238" t="n">
        <v>0</v>
      </c>
      <c r="P238" t="n">
        <v>0</v>
      </c>
      <c r="Q238" t="n">
        <v>0</v>
      </c>
      <c r="R238" s="2" t="inlineStr"/>
    </row>
    <row r="239" ht="15" customHeight="1">
      <c r="A239" t="inlineStr">
        <is>
          <t>A 835-2025</t>
        </is>
      </c>
      <c r="B239" s="1" t="n">
        <v>45665.58465277778</v>
      </c>
      <c r="C239" s="1" t="n">
        <v>45995</v>
      </c>
      <c r="D239" t="inlineStr">
        <is>
          <t>UPPSALA LÄN</t>
        </is>
      </c>
      <c r="E239" t="inlineStr">
        <is>
          <t>ÖSTHAMMAR</t>
        </is>
      </c>
      <c r="F239" t="inlineStr">
        <is>
          <t>Övriga Aktiebolag</t>
        </is>
      </c>
      <c r="G239" t="n">
        <v>4.8</v>
      </c>
      <c r="H239" t="n">
        <v>0</v>
      </c>
      <c r="I239" t="n">
        <v>0</v>
      </c>
      <c r="J239" t="n">
        <v>0</v>
      </c>
      <c r="K239" t="n">
        <v>0</v>
      </c>
      <c r="L239" t="n">
        <v>0</v>
      </c>
      <c r="M239" t="n">
        <v>0</v>
      </c>
      <c r="N239" t="n">
        <v>0</v>
      </c>
      <c r="O239" t="n">
        <v>0</v>
      </c>
      <c r="P239" t="n">
        <v>0</v>
      </c>
      <c r="Q239" t="n">
        <v>0</v>
      </c>
      <c r="R239" s="2" t="inlineStr"/>
    </row>
    <row r="240" ht="15" customHeight="1">
      <c r="A240" t="inlineStr">
        <is>
          <t>A 32244-2021</t>
        </is>
      </c>
      <c r="B240" s="1" t="n">
        <v>44371.45335648148</v>
      </c>
      <c r="C240" s="1" t="n">
        <v>45995</v>
      </c>
      <c r="D240" t="inlineStr">
        <is>
          <t>UPPSALA LÄN</t>
        </is>
      </c>
      <c r="E240" t="inlineStr">
        <is>
          <t>ÖSTHAMMAR</t>
        </is>
      </c>
      <c r="F240" t="inlineStr">
        <is>
          <t>Bergvik skog öst AB</t>
        </is>
      </c>
      <c r="G240" t="n">
        <v>2.6</v>
      </c>
      <c r="H240" t="n">
        <v>0</v>
      </c>
      <c r="I240" t="n">
        <v>0</v>
      </c>
      <c r="J240" t="n">
        <v>0</v>
      </c>
      <c r="K240" t="n">
        <v>0</v>
      </c>
      <c r="L240" t="n">
        <v>0</v>
      </c>
      <c r="M240" t="n">
        <v>0</v>
      </c>
      <c r="N240" t="n">
        <v>0</v>
      </c>
      <c r="O240" t="n">
        <v>0</v>
      </c>
      <c r="P240" t="n">
        <v>0</v>
      </c>
      <c r="Q240" t="n">
        <v>0</v>
      </c>
      <c r="R240" s="2" t="inlineStr"/>
    </row>
    <row r="241" ht="15" customHeight="1">
      <c r="A241" t="inlineStr">
        <is>
          <t>A 33056-2021</t>
        </is>
      </c>
      <c r="B241" s="1" t="n">
        <v>44376.52438657408</v>
      </c>
      <c r="C241" s="1" t="n">
        <v>45995</v>
      </c>
      <c r="D241" t="inlineStr">
        <is>
          <t>UPPSALA LÄN</t>
        </is>
      </c>
      <c r="E241" t="inlineStr">
        <is>
          <t>ÖSTHAMMAR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4292-2025</t>
        </is>
      </c>
      <c r="B242" s="1" t="n">
        <v>45685.66459490741</v>
      </c>
      <c r="C242" s="1" t="n">
        <v>45995</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8592-2022</t>
        </is>
      </c>
      <c r="B243" s="1" t="n">
        <v>44613</v>
      </c>
      <c r="C243" s="1" t="n">
        <v>45995</v>
      </c>
      <c r="D243" t="inlineStr">
        <is>
          <t>UPPSALA LÄN</t>
        </is>
      </c>
      <c r="E243" t="inlineStr">
        <is>
          <t>ÖSTHAMMAR</t>
        </is>
      </c>
      <c r="G243" t="n">
        <v>1.4</v>
      </c>
      <c r="H243" t="n">
        <v>0</v>
      </c>
      <c r="I243" t="n">
        <v>0</v>
      </c>
      <c r="J243" t="n">
        <v>0</v>
      </c>
      <c r="K243" t="n">
        <v>0</v>
      </c>
      <c r="L243" t="n">
        <v>0</v>
      </c>
      <c r="M243" t="n">
        <v>0</v>
      </c>
      <c r="N243" t="n">
        <v>0</v>
      </c>
      <c r="O243" t="n">
        <v>0</v>
      </c>
      <c r="P243" t="n">
        <v>0</v>
      </c>
      <c r="Q243" t="n">
        <v>0</v>
      </c>
      <c r="R243" s="2" t="inlineStr"/>
    </row>
    <row r="244" ht="15" customHeight="1">
      <c r="A244" t="inlineStr">
        <is>
          <t>A 67199-2021</t>
        </is>
      </c>
      <c r="B244" s="1" t="n">
        <v>44523.46197916667</v>
      </c>
      <c r="C244" s="1" t="n">
        <v>45995</v>
      </c>
      <c r="D244" t="inlineStr">
        <is>
          <t>UPPSALA LÄN</t>
        </is>
      </c>
      <c r="E244" t="inlineStr">
        <is>
          <t>ÖSTHAMMAR</t>
        </is>
      </c>
      <c r="G244" t="n">
        <v>2.3</v>
      </c>
      <c r="H244" t="n">
        <v>0</v>
      </c>
      <c r="I244" t="n">
        <v>0</v>
      </c>
      <c r="J244" t="n">
        <v>0</v>
      </c>
      <c r="K244" t="n">
        <v>0</v>
      </c>
      <c r="L244" t="n">
        <v>0</v>
      </c>
      <c r="M244" t="n">
        <v>0</v>
      </c>
      <c r="N244" t="n">
        <v>0</v>
      </c>
      <c r="O244" t="n">
        <v>0</v>
      </c>
      <c r="P244" t="n">
        <v>0</v>
      </c>
      <c r="Q244" t="n">
        <v>0</v>
      </c>
      <c r="R244" s="2" t="inlineStr"/>
    </row>
    <row r="245" ht="15" customHeight="1">
      <c r="A245" t="inlineStr">
        <is>
          <t>A 38886-2025</t>
        </is>
      </c>
      <c r="B245" s="1" t="n">
        <v>45887.58370370371</v>
      </c>
      <c r="C245" s="1" t="n">
        <v>45995</v>
      </c>
      <c r="D245" t="inlineStr">
        <is>
          <t>UPPSALA LÄN</t>
        </is>
      </c>
      <c r="E245" t="inlineStr">
        <is>
          <t>ÖSTHAMMAR</t>
        </is>
      </c>
      <c r="F245" t="inlineStr">
        <is>
          <t>Bergvik skog öst AB</t>
        </is>
      </c>
      <c r="G245" t="n">
        <v>4.7</v>
      </c>
      <c r="H245" t="n">
        <v>0</v>
      </c>
      <c r="I245" t="n">
        <v>0</v>
      </c>
      <c r="J245" t="n">
        <v>0</v>
      </c>
      <c r="K245" t="n">
        <v>0</v>
      </c>
      <c r="L245" t="n">
        <v>0</v>
      </c>
      <c r="M245" t="n">
        <v>0</v>
      </c>
      <c r="N245" t="n">
        <v>0</v>
      </c>
      <c r="O245" t="n">
        <v>0</v>
      </c>
      <c r="P245" t="n">
        <v>0</v>
      </c>
      <c r="Q245" t="n">
        <v>0</v>
      </c>
      <c r="R245" s="2" t="inlineStr"/>
    </row>
    <row r="246" ht="15" customHeight="1">
      <c r="A246" t="inlineStr">
        <is>
          <t>A 57-2023</t>
        </is>
      </c>
      <c r="B246" s="1" t="n">
        <v>44928.40917824074</v>
      </c>
      <c r="C246" s="1" t="n">
        <v>45995</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59-2023</t>
        </is>
      </c>
      <c r="B247" s="1" t="n">
        <v>44928.41822916667</v>
      </c>
      <c r="C247" s="1" t="n">
        <v>45995</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row>
    <row r="248" ht="15" customHeight="1">
      <c r="A248" t="inlineStr">
        <is>
          <t>A 5344-2025</t>
        </is>
      </c>
      <c r="B248" s="1" t="n">
        <v>45692</v>
      </c>
      <c r="C248" s="1" t="n">
        <v>45995</v>
      </c>
      <c r="D248" t="inlineStr">
        <is>
          <t>UPPSALA LÄN</t>
        </is>
      </c>
      <c r="E248" t="inlineStr">
        <is>
          <t>ÖSTHAMMAR</t>
        </is>
      </c>
      <c r="F248" t="inlineStr">
        <is>
          <t>Bergvik skog öst AB</t>
        </is>
      </c>
      <c r="G248" t="n">
        <v>3.2</v>
      </c>
      <c r="H248" t="n">
        <v>0</v>
      </c>
      <c r="I248" t="n">
        <v>0</v>
      </c>
      <c r="J248" t="n">
        <v>0</v>
      </c>
      <c r="K248" t="n">
        <v>0</v>
      </c>
      <c r="L248" t="n">
        <v>0</v>
      </c>
      <c r="M248" t="n">
        <v>0</v>
      </c>
      <c r="N248" t="n">
        <v>0</v>
      </c>
      <c r="O248" t="n">
        <v>0</v>
      </c>
      <c r="P248" t="n">
        <v>0</v>
      </c>
      <c r="Q248" t="n">
        <v>0</v>
      </c>
      <c r="R248" s="2" t="inlineStr"/>
    </row>
    <row r="249" ht="15" customHeight="1">
      <c r="A249" t="inlineStr">
        <is>
          <t>A 19947-2024</t>
        </is>
      </c>
      <c r="B249" s="1" t="n">
        <v>45433</v>
      </c>
      <c r="C249" s="1" t="n">
        <v>45995</v>
      </c>
      <c r="D249" t="inlineStr">
        <is>
          <t>UPPSALA LÄN</t>
        </is>
      </c>
      <c r="E249" t="inlineStr">
        <is>
          <t>ÖSTHAMMAR</t>
        </is>
      </c>
      <c r="G249" t="n">
        <v>0.3</v>
      </c>
      <c r="H249" t="n">
        <v>0</v>
      </c>
      <c r="I249" t="n">
        <v>0</v>
      </c>
      <c r="J249" t="n">
        <v>0</v>
      </c>
      <c r="K249" t="n">
        <v>0</v>
      </c>
      <c r="L249" t="n">
        <v>0</v>
      </c>
      <c r="M249" t="n">
        <v>0</v>
      </c>
      <c r="N249" t="n">
        <v>0</v>
      </c>
      <c r="O249" t="n">
        <v>0</v>
      </c>
      <c r="P249" t="n">
        <v>0</v>
      </c>
      <c r="Q249" t="n">
        <v>0</v>
      </c>
      <c r="R249" s="2" t="inlineStr"/>
    </row>
    <row r="250" ht="15" customHeight="1">
      <c r="A250" t="inlineStr">
        <is>
          <t>A 11385-2024</t>
        </is>
      </c>
      <c r="B250" s="1" t="n">
        <v>45372</v>
      </c>
      <c r="C250" s="1" t="n">
        <v>45995</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14433-2024</t>
        </is>
      </c>
      <c r="B251" s="1" t="n">
        <v>45394.46115740741</v>
      </c>
      <c r="C251" s="1" t="n">
        <v>45995</v>
      </c>
      <c r="D251" t="inlineStr">
        <is>
          <t>UPPSALA LÄN</t>
        </is>
      </c>
      <c r="E251" t="inlineStr">
        <is>
          <t>ÖSTHAMMAR</t>
        </is>
      </c>
      <c r="G251" t="n">
        <v>1.2</v>
      </c>
      <c r="H251" t="n">
        <v>0</v>
      </c>
      <c r="I251" t="n">
        <v>0</v>
      </c>
      <c r="J251" t="n">
        <v>0</v>
      </c>
      <c r="K251" t="n">
        <v>0</v>
      </c>
      <c r="L251" t="n">
        <v>0</v>
      </c>
      <c r="M251" t="n">
        <v>0</v>
      </c>
      <c r="N251" t="n">
        <v>0</v>
      </c>
      <c r="O251" t="n">
        <v>0</v>
      </c>
      <c r="P251" t="n">
        <v>0</v>
      </c>
      <c r="Q251" t="n">
        <v>0</v>
      </c>
      <c r="R251" s="2" t="inlineStr"/>
    </row>
    <row r="252" ht="15" customHeight="1">
      <c r="A252" t="inlineStr">
        <is>
          <t>A 24259-2022</t>
        </is>
      </c>
      <c r="B252" s="1" t="n">
        <v>44725</v>
      </c>
      <c r="C252" s="1" t="n">
        <v>45995</v>
      </c>
      <c r="D252" t="inlineStr">
        <is>
          <t>UPPSALA LÄN</t>
        </is>
      </c>
      <c r="E252" t="inlineStr">
        <is>
          <t>ÖSTHAMMAR</t>
        </is>
      </c>
      <c r="G252" t="n">
        <v>2.4</v>
      </c>
      <c r="H252" t="n">
        <v>0</v>
      </c>
      <c r="I252" t="n">
        <v>0</v>
      </c>
      <c r="J252" t="n">
        <v>0</v>
      </c>
      <c r="K252" t="n">
        <v>0</v>
      </c>
      <c r="L252" t="n">
        <v>0</v>
      </c>
      <c r="M252" t="n">
        <v>0</v>
      </c>
      <c r="N252" t="n">
        <v>0</v>
      </c>
      <c r="O252" t="n">
        <v>0</v>
      </c>
      <c r="P252" t="n">
        <v>0</v>
      </c>
      <c r="Q252" t="n">
        <v>0</v>
      </c>
      <c r="R252" s="2" t="inlineStr"/>
    </row>
    <row r="253" ht="15" customHeight="1">
      <c r="A253" t="inlineStr">
        <is>
          <t>A 24367-2022</t>
        </is>
      </c>
      <c r="B253" s="1" t="n">
        <v>44726.42716435185</v>
      </c>
      <c r="C253" s="1" t="n">
        <v>45995</v>
      </c>
      <c r="D253" t="inlineStr">
        <is>
          <t>UPPSALA LÄN</t>
        </is>
      </c>
      <c r="E253" t="inlineStr">
        <is>
          <t>ÖSTHAMMAR</t>
        </is>
      </c>
      <c r="G253" t="n">
        <v>2.7</v>
      </c>
      <c r="H253" t="n">
        <v>0</v>
      </c>
      <c r="I253" t="n">
        <v>0</v>
      </c>
      <c r="J253" t="n">
        <v>0</v>
      </c>
      <c r="K253" t="n">
        <v>0</v>
      </c>
      <c r="L253" t="n">
        <v>0</v>
      </c>
      <c r="M253" t="n">
        <v>0</v>
      </c>
      <c r="N253" t="n">
        <v>0</v>
      </c>
      <c r="O253" t="n">
        <v>0</v>
      </c>
      <c r="P253" t="n">
        <v>0</v>
      </c>
      <c r="Q253" t="n">
        <v>0</v>
      </c>
      <c r="R253" s="2" t="inlineStr"/>
    </row>
    <row r="254" ht="15" customHeight="1">
      <c r="A254" t="inlineStr">
        <is>
          <t>A 3119-2025</t>
        </is>
      </c>
      <c r="B254" s="1" t="n">
        <v>45678</v>
      </c>
      <c r="C254" s="1" t="n">
        <v>45995</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17646-2025</t>
        </is>
      </c>
      <c r="B255" s="1" t="n">
        <v>45758.32872685185</v>
      </c>
      <c r="C255" s="1" t="n">
        <v>45995</v>
      </c>
      <c r="D255" t="inlineStr">
        <is>
          <t>UPPSALA LÄN</t>
        </is>
      </c>
      <c r="E255" t="inlineStr">
        <is>
          <t>ÖSTHAMMAR</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17648-2025</t>
        </is>
      </c>
      <c r="B256" s="1" t="n">
        <v>45758.33064814815</v>
      </c>
      <c r="C256" s="1" t="n">
        <v>45995</v>
      </c>
      <c r="D256" t="inlineStr">
        <is>
          <t>UPPSALA LÄN</t>
        </is>
      </c>
      <c r="E256" t="inlineStr">
        <is>
          <t>ÖSTHAMMAR</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25252-2024</t>
        </is>
      </c>
      <c r="B257" s="1" t="n">
        <v>45462</v>
      </c>
      <c r="C257" s="1" t="n">
        <v>45995</v>
      </c>
      <c r="D257" t="inlineStr">
        <is>
          <t>UPPSALA LÄN</t>
        </is>
      </c>
      <c r="E257" t="inlineStr">
        <is>
          <t>ÖSTHAMMAR</t>
        </is>
      </c>
      <c r="G257" t="n">
        <v>4.3</v>
      </c>
      <c r="H257" t="n">
        <v>0</v>
      </c>
      <c r="I257" t="n">
        <v>0</v>
      </c>
      <c r="J257" t="n">
        <v>0</v>
      </c>
      <c r="K257" t="n">
        <v>0</v>
      </c>
      <c r="L257" t="n">
        <v>0</v>
      </c>
      <c r="M257" t="n">
        <v>0</v>
      </c>
      <c r="N257" t="n">
        <v>0</v>
      </c>
      <c r="O257" t="n">
        <v>0</v>
      </c>
      <c r="P257" t="n">
        <v>0</v>
      </c>
      <c r="Q257" t="n">
        <v>0</v>
      </c>
      <c r="R257" s="2" t="inlineStr"/>
    </row>
    <row r="258" ht="15" customHeight="1">
      <c r="A258" t="inlineStr">
        <is>
          <t>A 56382-2022</t>
        </is>
      </c>
      <c r="B258" s="1" t="n">
        <v>44890.75795138889</v>
      </c>
      <c r="C258" s="1" t="n">
        <v>45995</v>
      </c>
      <c r="D258" t="inlineStr">
        <is>
          <t>UPPSALA LÄN</t>
        </is>
      </c>
      <c r="E258" t="inlineStr">
        <is>
          <t>ÖSTHAMMAR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49897-2023</t>
        </is>
      </c>
      <c r="B259" s="1" t="n">
        <v>45213.84846064815</v>
      </c>
      <c r="C259" s="1" t="n">
        <v>45995</v>
      </c>
      <c r="D259" t="inlineStr">
        <is>
          <t>UPPSALA LÄN</t>
        </is>
      </c>
      <c r="E259" t="inlineStr">
        <is>
          <t>ÖSTHAMMAR</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5877-2023</t>
        </is>
      </c>
      <c r="B260" s="1" t="n">
        <v>44963.62001157407</v>
      </c>
      <c r="C260" s="1" t="n">
        <v>45995</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25938-2024</t>
        </is>
      </c>
      <c r="B261" s="1" t="n">
        <v>45467.63127314814</v>
      </c>
      <c r="C261" s="1" t="n">
        <v>45995</v>
      </c>
      <c r="D261" t="inlineStr">
        <is>
          <t>UPPSALA LÄN</t>
        </is>
      </c>
      <c r="E261" t="inlineStr">
        <is>
          <t>ÖSTHAMMAR</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33552-2024</t>
        </is>
      </c>
      <c r="B262" s="1" t="n">
        <v>45519</v>
      </c>
      <c r="C262" s="1" t="n">
        <v>45995</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33553-2024</t>
        </is>
      </c>
      <c r="B263" s="1" t="n">
        <v>45519</v>
      </c>
      <c r="C263" s="1" t="n">
        <v>45995</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34922-2023</t>
        </is>
      </c>
      <c r="B264" s="1" t="n">
        <v>45142.48359953704</v>
      </c>
      <c r="C264" s="1" t="n">
        <v>45995</v>
      </c>
      <c r="D264" t="inlineStr">
        <is>
          <t>UPPSALA LÄN</t>
        </is>
      </c>
      <c r="E264" t="inlineStr">
        <is>
          <t>ÖSTHAMMAR</t>
        </is>
      </c>
      <c r="F264" t="inlineStr">
        <is>
          <t>Bergvik skog öst AB</t>
        </is>
      </c>
      <c r="G264" t="n">
        <v>0.5</v>
      </c>
      <c r="H264" t="n">
        <v>0</v>
      </c>
      <c r="I264" t="n">
        <v>0</v>
      </c>
      <c r="J264" t="n">
        <v>0</v>
      </c>
      <c r="K264" t="n">
        <v>0</v>
      </c>
      <c r="L264" t="n">
        <v>0</v>
      </c>
      <c r="M264" t="n">
        <v>0</v>
      </c>
      <c r="N264" t="n">
        <v>0</v>
      </c>
      <c r="O264" t="n">
        <v>0</v>
      </c>
      <c r="P264" t="n">
        <v>0</v>
      </c>
      <c r="Q264" t="n">
        <v>0</v>
      </c>
      <c r="R264" s="2" t="inlineStr"/>
    </row>
    <row r="265" ht="15" customHeight="1">
      <c r="A265" t="inlineStr">
        <is>
          <t>A 60047-2021</t>
        </is>
      </c>
      <c r="B265" s="1" t="n">
        <v>44495</v>
      </c>
      <c r="C265" s="1" t="n">
        <v>45995</v>
      </c>
      <c r="D265" t="inlineStr">
        <is>
          <t>UPPSALA LÄN</t>
        </is>
      </c>
      <c r="E265" t="inlineStr">
        <is>
          <t>ÖSTHAMMAR</t>
        </is>
      </c>
      <c r="F265" t="inlineStr">
        <is>
          <t>Övriga Aktiebolag</t>
        </is>
      </c>
      <c r="G265" t="n">
        <v>1.8</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45995</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45995</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18401-2025</t>
        </is>
      </c>
      <c r="B268" s="1" t="n">
        <v>45762.5966087963</v>
      </c>
      <c r="C268" s="1" t="n">
        <v>45995</v>
      </c>
      <c r="D268" t="inlineStr">
        <is>
          <t>UPPSALA LÄN</t>
        </is>
      </c>
      <c r="E268" t="inlineStr">
        <is>
          <t>ÖSTHAMMAR</t>
        </is>
      </c>
      <c r="G268" t="n">
        <v>1.7</v>
      </c>
      <c r="H268" t="n">
        <v>0</v>
      </c>
      <c r="I268" t="n">
        <v>0</v>
      </c>
      <c r="J268" t="n">
        <v>0</v>
      </c>
      <c r="K268" t="n">
        <v>0</v>
      </c>
      <c r="L268" t="n">
        <v>0</v>
      </c>
      <c r="M268" t="n">
        <v>0</v>
      </c>
      <c r="N268" t="n">
        <v>0</v>
      </c>
      <c r="O268" t="n">
        <v>0</v>
      </c>
      <c r="P268" t="n">
        <v>0</v>
      </c>
      <c r="Q268" t="n">
        <v>0</v>
      </c>
      <c r="R268" s="2" t="inlineStr"/>
    </row>
    <row r="269" ht="15" customHeight="1">
      <c r="A269" t="inlineStr">
        <is>
          <t>A 30086-2023</t>
        </is>
      </c>
      <c r="B269" s="1" t="n">
        <v>45110.43907407407</v>
      </c>
      <c r="C269" s="1" t="n">
        <v>45995</v>
      </c>
      <c r="D269" t="inlineStr">
        <is>
          <t>UPPSALA LÄN</t>
        </is>
      </c>
      <c r="E269" t="inlineStr">
        <is>
          <t>ÖSTHAMMAR</t>
        </is>
      </c>
      <c r="G269" t="n">
        <v>3.5</v>
      </c>
      <c r="H269" t="n">
        <v>0</v>
      </c>
      <c r="I269" t="n">
        <v>0</v>
      </c>
      <c r="J269" t="n">
        <v>0</v>
      </c>
      <c r="K269" t="n">
        <v>0</v>
      </c>
      <c r="L269" t="n">
        <v>0</v>
      </c>
      <c r="M269" t="n">
        <v>0</v>
      </c>
      <c r="N269" t="n">
        <v>0</v>
      </c>
      <c r="O269" t="n">
        <v>0</v>
      </c>
      <c r="P269" t="n">
        <v>0</v>
      </c>
      <c r="Q269" t="n">
        <v>0</v>
      </c>
      <c r="R269" s="2" t="inlineStr"/>
    </row>
    <row r="270" ht="15" customHeight="1">
      <c r="A270" t="inlineStr">
        <is>
          <t>A 5429-2023</t>
        </is>
      </c>
      <c r="B270" s="1" t="n">
        <v>44959.83037037037</v>
      </c>
      <c r="C270" s="1" t="n">
        <v>45995</v>
      </c>
      <c r="D270" t="inlineStr">
        <is>
          <t>UPPSALA LÄN</t>
        </is>
      </c>
      <c r="E270" t="inlineStr">
        <is>
          <t>ÖSTHAMMAR</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50998-2023</t>
        </is>
      </c>
      <c r="B271" s="1" t="n">
        <v>45218.5586574074</v>
      </c>
      <c r="C271" s="1" t="n">
        <v>45995</v>
      </c>
      <c r="D271" t="inlineStr">
        <is>
          <t>UPPSALA LÄN</t>
        </is>
      </c>
      <c r="E271" t="inlineStr">
        <is>
          <t>ÖSTHAMMAR</t>
        </is>
      </c>
      <c r="G271" t="n">
        <v>3.6</v>
      </c>
      <c r="H271" t="n">
        <v>0</v>
      </c>
      <c r="I271" t="n">
        <v>0</v>
      </c>
      <c r="J271" t="n">
        <v>0</v>
      </c>
      <c r="K271" t="n">
        <v>0</v>
      </c>
      <c r="L271" t="n">
        <v>0</v>
      </c>
      <c r="M271" t="n">
        <v>0</v>
      </c>
      <c r="N271" t="n">
        <v>0</v>
      </c>
      <c r="O271" t="n">
        <v>0</v>
      </c>
      <c r="P271" t="n">
        <v>0</v>
      </c>
      <c r="Q271" t="n">
        <v>0</v>
      </c>
      <c r="R271" s="2" t="inlineStr"/>
    </row>
    <row r="272" ht="15" customHeight="1">
      <c r="A272" t="inlineStr">
        <is>
          <t>A 31669-2022</t>
        </is>
      </c>
      <c r="B272" s="1" t="n">
        <v>44775</v>
      </c>
      <c r="C272" s="1" t="n">
        <v>45995</v>
      </c>
      <c r="D272" t="inlineStr">
        <is>
          <t>UPPSALA LÄN</t>
        </is>
      </c>
      <c r="E272" t="inlineStr">
        <is>
          <t>ÖSTHAMMAR</t>
        </is>
      </c>
      <c r="G272" t="n">
        <v>6</v>
      </c>
      <c r="H272" t="n">
        <v>0</v>
      </c>
      <c r="I272" t="n">
        <v>0</v>
      </c>
      <c r="J272" t="n">
        <v>0</v>
      </c>
      <c r="K272" t="n">
        <v>0</v>
      </c>
      <c r="L272" t="n">
        <v>0</v>
      </c>
      <c r="M272" t="n">
        <v>0</v>
      </c>
      <c r="N272" t="n">
        <v>0</v>
      </c>
      <c r="O272" t="n">
        <v>0</v>
      </c>
      <c r="P272" t="n">
        <v>0</v>
      </c>
      <c r="Q272" t="n">
        <v>0</v>
      </c>
      <c r="R272" s="2" t="inlineStr"/>
    </row>
    <row r="273" ht="15" customHeight="1">
      <c r="A273" t="inlineStr">
        <is>
          <t>A 48856-2024</t>
        </is>
      </c>
      <c r="B273" s="1" t="n">
        <v>45593</v>
      </c>
      <c r="C273" s="1" t="n">
        <v>45995</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59731-2023</t>
        </is>
      </c>
      <c r="B274" s="1" t="n">
        <v>45257</v>
      </c>
      <c r="C274" s="1" t="n">
        <v>45995</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17947-2022</t>
        </is>
      </c>
      <c r="B275" s="1" t="n">
        <v>44683</v>
      </c>
      <c r="C275" s="1" t="n">
        <v>45995</v>
      </c>
      <c r="D275" t="inlineStr">
        <is>
          <t>UPPSALA LÄN</t>
        </is>
      </c>
      <c r="E275" t="inlineStr">
        <is>
          <t>ÖSTHAMMAR</t>
        </is>
      </c>
      <c r="G275" t="n">
        <v>5.5</v>
      </c>
      <c r="H275" t="n">
        <v>0</v>
      </c>
      <c r="I275" t="n">
        <v>0</v>
      </c>
      <c r="J275" t="n">
        <v>0</v>
      </c>
      <c r="K275" t="n">
        <v>0</v>
      </c>
      <c r="L275" t="n">
        <v>0</v>
      </c>
      <c r="M275" t="n">
        <v>0</v>
      </c>
      <c r="N275" t="n">
        <v>0</v>
      </c>
      <c r="O275" t="n">
        <v>0</v>
      </c>
      <c r="P275" t="n">
        <v>0</v>
      </c>
      <c r="Q275" t="n">
        <v>0</v>
      </c>
      <c r="R275" s="2" t="inlineStr"/>
    </row>
    <row r="276" ht="15" customHeight="1">
      <c r="A276" t="inlineStr">
        <is>
          <t>A 40416-2025</t>
        </is>
      </c>
      <c r="B276" s="1" t="n">
        <v>45895.57736111111</v>
      </c>
      <c r="C276" s="1" t="n">
        <v>45995</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34607-2023</t>
        </is>
      </c>
      <c r="B277" s="1" t="n">
        <v>45138</v>
      </c>
      <c r="C277" s="1" t="n">
        <v>45995</v>
      </c>
      <c r="D277" t="inlineStr">
        <is>
          <t>UPPSALA LÄN</t>
        </is>
      </c>
      <c r="E277" t="inlineStr">
        <is>
          <t>ÖSTHAMMAR</t>
        </is>
      </c>
      <c r="G277" t="n">
        <v>4.7</v>
      </c>
      <c r="H277" t="n">
        <v>0</v>
      </c>
      <c r="I277" t="n">
        <v>0</v>
      </c>
      <c r="J277" t="n">
        <v>0</v>
      </c>
      <c r="K277" t="n">
        <v>0</v>
      </c>
      <c r="L277" t="n">
        <v>0</v>
      </c>
      <c r="M277" t="n">
        <v>0</v>
      </c>
      <c r="N277" t="n">
        <v>0</v>
      </c>
      <c r="O277" t="n">
        <v>0</v>
      </c>
      <c r="P277" t="n">
        <v>0</v>
      </c>
      <c r="Q277" t="n">
        <v>0</v>
      </c>
      <c r="R277" s="2" t="inlineStr"/>
    </row>
    <row r="278" ht="15" customHeight="1">
      <c r="A278" t="inlineStr">
        <is>
          <t>A 11008-2023</t>
        </is>
      </c>
      <c r="B278" s="1" t="n">
        <v>44991</v>
      </c>
      <c r="C278" s="1" t="n">
        <v>45995</v>
      </c>
      <c r="D278" t="inlineStr">
        <is>
          <t>UPPSALA LÄN</t>
        </is>
      </c>
      <c r="E278" t="inlineStr">
        <is>
          <t>ÖSTHAMMAR</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40377-2025</t>
        </is>
      </c>
      <c r="B279" s="1" t="n">
        <v>45895.53020833333</v>
      </c>
      <c r="C279" s="1" t="n">
        <v>45995</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54666-2022</t>
        </is>
      </c>
      <c r="B280" s="1" t="n">
        <v>44883</v>
      </c>
      <c r="C280" s="1" t="n">
        <v>45995</v>
      </c>
      <c r="D280" t="inlineStr">
        <is>
          <t>UPPSALA LÄN</t>
        </is>
      </c>
      <c r="E280" t="inlineStr">
        <is>
          <t>ÖSTHAMMAR</t>
        </is>
      </c>
      <c r="G280" t="n">
        <v>14.3</v>
      </c>
      <c r="H280" t="n">
        <v>0</v>
      </c>
      <c r="I280" t="n">
        <v>0</v>
      </c>
      <c r="J280" t="n">
        <v>0</v>
      </c>
      <c r="K280" t="n">
        <v>0</v>
      </c>
      <c r="L280" t="n">
        <v>0</v>
      </c>
      <c r="M280" t="n">
        <v>0</v>
      </c>
      <c r="N280" t="n">
        <v>0</v>
      </c>
      <c r="O280" t="n">
        <v>0</v>
      </c>
      <c r="P280" t="n">
        <v>0</v>
      </c>
      <c r="Q280" t="n">
        <v>0</v>
      </c>
      <c r="R280" s="2" t="inlineStr"/>
    </row>
    <row r="281" ht="15" customHeight="1">
      <c r="A281" t="inlineStr">
        <is>
          <t>A 21862-2023</t>
        </is>
      </c>
      <c r="B281" s="1" t="n">
        <v>45068</v>
      </c>
      <c r="C281" s="1" t="n">
        <v>45995</v>
      </c>
      <c r="D281" t="inlineStr">
        <is>
          <t>UPPSALA LÄN</t>
        </is>
      </c>
      <c r="E281" t="inlineStr">
        <is>
          <t>ÖSTHAMMAR</t>
        </is>
      </c>
      <c r="G281" t="n">
        <v>0.5</v>
      </c>
      <c r="H281" t="n">
        <v>0</v>
      </c>
      <c r="I281" t="n">
        <v>0</v>
      </c>
      <c r="J281" t="n">
        <v>0</v>
      </c>
      <c r="K281" t="n">
        <v>0</v>
      </c>
      <c r="L281" t="n">
        <v>0</v>
      </c>
      <c r="M281" t="n">
        <v>0</v>
      </c>
      <c r="N281" t="n">
        <v>0</v>
      </c>
      <c r="O281" t="n">
        <v>0</v>
      </c>
      <c r="P281" t="n">
        <v>0</v>
      </c>
      <c r="Q281" t="n">
        <v>0</v>
      </c>
      <c r="R281" s="2" t="inlineStr"/>
    </row>
    <row r="282" ht="15" customHeight="1">
      <c r="A282" t="inlineStr">
        <is>
          <t>A 40462-2025</t>
        </is>
      </c>
      <c r="B282" s="1" t="n">
        <v>45895.65179398148</v>
      </c>
      <c r="C282" s="1" t="n">
        <v>45995</v>
      </c>
      <c r="D282" t="inlineStr">
        <is>
          <t>UPPSALA LÄN</t>
        </is>
      </c>
      <c r="E282" t="inlineStr">
        <is>
          <t>ÖSTHAMMAR</t>
        </is>
      </c>
      <c r="G282" t="n">
        <v>4.5</v>
      </c>
      <c r="H282" t="n">
        <v>0</v>
      </c>
      <c r="I282" t="n">
        <v>0</v>
      </c>
      <c r="J282" t="n">
        <v>0</v>
      </c>
      <c r="K282" t="n">
        <v>0</v>
      </c>
      <c r="L282" t="n">
        <v>0</v>
      </c>
      <c r="M282" t="n">
        <v>0</v>
      </c>
      <c r="N282" t="n">
        <v>0</v>
      </c>
      <c r="O282" t="n">
        <v>0</v>
      </c>
      <c r="P282" t="n">
        <v>0</v>
      </c>
      <c r="Q282" t="n">
        <v>0</v>
      </c>
      <c r="R282" s="2" t="inlineStr"/>
    </row>
    <row r="283" ht="15" customHeight="1">
      <c r="A283" t="inlineStr">
        <is>
          <t>A 12654-2025</t>
        </is>
      </c>
      <c r="B283" s="1" t="n">
        <v>45733.41601851852</v>
      </c>
      <c r="C283" s="1" t="n">
        <v>45995</v>
      </c>
      <c r="D283" t="inlineStr">
        <is>
          <t>UPPSALA LÄN</t>
        </is>
      </c>
      <c r="E283" t="inlineStr">
        <is>
          <t>ÖSTHAMMAR</t>
        </is>
      </c>
      <c r="G283" t="n">
        <v>9.9</v>
      </c>
      <c r="H283" t="n">
        <v>0</v>
      </c>
      <c r="I283" t="n">
        <v>0</v>
      </c>
      <c r="J283" t="n">
        <v>0</v>
      </c>
      <c r="K283" t="n">
        <v>0</v>
      </c>
      <c r="L283" t="n">
        <v>0</v>
      </c>
      <c r="M283" t="n">
        <v>0</v>
      </c>
      <c r="N283" t="n">
        <v>0</v>
      </c>
      <c r="O283" t="n">
        <v>0</v>
      </c>
      <c r="P283" t="n">
        <v>0</v>
      </c>
      <c r="Q283" t="n">
        <v>0</v>
      </c>
      <c r="R283" s="2" t="inlineStr"/>
    </row>
    <row r="284" ht="15" customHeight="1">
      <c r="A284" t="inlineStr">
        <is>
          <t>A 40570-2025</t>
        </is>
      </c>
      <c r="B284" s="1" t="n">
        <v>45896.47878472223</v>
      </c>
      <c r="C284" s="1" t="n">
        <v>45995</v>
      </c>
      <c r="D284" t="inlineStr">
        <is>
          <t>UPPSALA LÄN</t>
        </is>
      </c>
      <c r="E284" t="inlineStr">
        <is>
          <t>ÖSTHAMMAR</t>
        </is>
      </c>
      <c r="F284" t="inlineStr">
        <is>
          <t>Övriga Aktiebolag</t>
        </is>
      </c>
      <c r="G284" t="n">
        <v>4.8</v>
      </c>
      <c r="H284" t="n">
        <v>0</v>
      </c>
      <c r="I284" t="n">
        <v>0</v>
      </c>
      <c r="J284" t="n">
        <v>0</v>
      </c>
      <c r="K284" t="n">
        <v>0</v>
      </c>
      <c r="L284" t="n">
        <v>0</v>
      </c>
      <c r="M284" t="n">
        <v>0</v>
      </c>
      <c r="N284" t="n">
        <v>0</v>
      </c>
      <c r="O284" t="n">
        <v>0</v>
      </c>
      <c r="P284" t="n">
        <v>0</v>
      </c>
      <c r="Q284" t="n">
        <v>0</v>
      </c>
      <c r="R284" s="2" t="inlineStr"/>
    </row>
    <row r="285" ht="15" customHeight="1">
      <c r="A285" t="inlineStr">
        <is>
          <t>A 40382-2025</t>
        </is>
      </c>
      <c r="B285" s="1" t="n">
        <v>45895.53689814815</v>
      </c>
      <c r="C285" s="1" t="n">
        <v>45995</v>
      </c>
      <c r="D285" t="inlineStr">
        <is>
          <t>UPPSALA LÄN</t>
        </is>
      </c>
      <c r="E285" t="inlineStr">
        <is>
          <t>ÖSTHAMMAR</t>
        </is>
      </c>
      <c r="G285" t="n">
        <v>2.2</v>
      </c>
      <c r="H285" t="n">
        <v>0</v>
      </c>
      <c r="I285" t="n">
        <v>0</v>
      </c>
      <c r="J285" t="n">
        <v>0</v>
      </c>
      <c r="K285" t="n">
        <v>0</v>
      </c>
      <c r="L285" t="n">
        <v>0</v>
      </c>
      <c r="M285" t="n">
        <v>0</v>
      </c>
      <c r="N285" t="n">
        <v>0</v>
      </c>
      <c r="O285" t="n">
        <v>0</v>
      </c>
      <c r="P285" t="n">
        <v>0</v>
      </c>
      <c r="Q285" t="n">
        <v>0</v>
      </c>
      <c r="R285" s="2" t="inlineStr"/>
    </row>
    <row r="286" ht="15" customHeight="1">
      <c r="A286" t="inlineStr">
        <is>
          <t>A 40384-2025</t>
        </is>
      </c>
      <c r="B286" s="1" t="n">
        <v>45895.54085648148</v>
      </c>
      <c r="C286" s="1" t="n">
        <v>45995</v>
      </c>
      <c r="D286" t="inlineStr">
        <is>
          <t>UPPSALA LÄN</t>
        </is>
      </c>
      <c r="E286" t="inlineStr">
        <is>
          <t>ÖSTHAMMAR</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13771-2023</t>
        </is>
      </c>
      <c r="B287" s="1" t="n">
        <v>45007</v>
      </c>
      <c r="C287" s="1" t="n">
        <v>45995</v>
      </c>
      <c r="D287" t="inlineStr">
        <is>
          <t>UPPSALA LÄN</t>
        </is>
      </c>
      <c r="E287" t="inlineStr">
        <is>
          <t>ÖSTHAMMAR</t>
        </is>
      </c>
      <c r="G287" t="n">
        <v>2.7</v>
      </c>
      <c r="H287" t="n">
        <v>0</v>
      </c>
      <c r="I287" t="n">
        <v>0</v>
      </c>
      <c r="J287" t="n">
        <v>0</v>
      </c>
      <c r="K287" t="n">
        <v>0</v>
      </c>
      <c r="L287" t="n">
        <v>0</v>
      </c>
      <c r="M287" t="n">
        <v>0</v>
      </c>
      <c r="N287" t="n">
        <v>0</v>
      </c>
      <c r="O287" t="n">
        <v>0</v>
      </c>
      <c r="P287" t="n">
        <v>0</v>
      </c>
      <c r="Q287" t="n">
        <v>0</v>
      </c>
      <c r="R287" s="2" t="inlineStr"/>
    </row>
    <row r="288" ht="15" customHeight="1">
      <c r="A288" t="inlineStr">
        <is>
          <t>A 40460-2025</t>
        </is>
      </c>
      <c r="B288" s="1" t="n">
        <v>45895.65013888889</v>
      </c>
      <c r="C288" s="1" t="n">
        <v>45995</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27308-2023</t>
        </is>
      </c>
      <c r="B289" s="1" t="n">
        <v>45096.65381944444</v>
      </c>
      <c r="C289" s="1" t="n">
        <v>45995</v>
      </c>
      <c r="D289" t="inlineStr">
        <is>
          <t>UPPSALA LÄN</t>
        </is>
      </c>
      <c r="E289" t="inlineStr">
        <is>
          <t>ÖSTHAMMAR</t>
        </is>
      </c>
      <c r="F289" t="inlineStr">
        <is>
          <t>Bergvik skog öst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28420-2023</t>
        </is>
      </c>
      <c r="B290" s="1" t="n">
        <v>45102.33054398148</v>
      </c>
      <c r="C290" s="1" t="n">
        <v>45995</v>
      </c>
      <c r="D290" t="inlineStr">
        <is>
          <t>UPPSALA LÄN</t>
        </is>
      </c>
      <c r="E290" t="inlineStr">
        <is>
          <t>ÖSTHAMMAR</t>
        </is>
      </c>
      <c r="F290" t="inlineStr">
        <is>
          <t>Bergvik skog öst AB</t>
        </is>
      </c>
      <c r="G290" t="n">
        <v>3.2</v>
      </c>
      <c r="H290" t="n">
        <v>0</v>
      </c>
      <c r="I290" t="n">
        <v>0</v>
      </c>
      <c r="J290" t="n">
        <v>0</v>
      </c>
      <c r="K290" t="n">
        <v>0</v>
      </c>
      <c r="L290" t="n">
        <v>0</v>
      </c>
      <c r="M290" t="n">
        <v>0</v>
      </c>
      <c r="N290" t="n">
        <v>0</v>
      </c>
      <c r="O290" t="n">
        <v>0</v>
      </c>
      <c r="P290" t="n">
        <v>0</v>
      </c>
      <c r="Q290" t="n">
        <v>0</v>
      </c>
      <c r="R290" s="2" t="inlineStr"/>
    </row>
    <row r="291" ht="15" customHeight="1">
      <c r="A291" t="inlineStr">
        <is>
          <t>A 52659-2021</t>
        </is>
      </c>
      <c r="B291" s="1" t="n">
        <v>44466</v>
      </c>
      <c r="C291" s="1" t="n">
        <v>45995</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40547-2023</t>
        </is>
      </c>
      <c r="B292" s="1" t="n">
        <v>45170.45050925926</v>
      </c>
      <c r="C292" s="1" t="n">
        <v>45995</v>
      </c>
      <c r="D292" t="inlineStr">
        <is>
          <t>UPPSALA LÄN</t>
        </is>
      </c>
      <c r="E292" t="inlineStr">
        <is>
          <t>ÖSTHAMMAR</t>
        </is>
      </c>
      <c r="G292" t="n">
        <v>2.1</v>
      </c>
      <c r="H292" t="n">
        <v>0</v>
      </c>
      <c r="I292" t="n">
        <v>0</v>
      </c>
      <c r="J292" t="n">
        <v>0</v>
      </c>
      <c r="K292" t="n">
        <v>0</v>
      </c>
      <c r="L292" t="n">
        <v>0</v>
      </c>
      <c r="M292" t="n">
        <v>0</v>
      </c>
      <c r="N292" t="n">
        <v>0</v>
      </c>
      <c r="O292" t="n">
        <v>0</v>
      </c>
      <c r="P292" t="n">
        <v>0</v>
      </c>
      <c r="Q292" t="n">
        <v>0</v>
      </c>
      <c r="R292" s="2" t="inlineStr"/>
    </row>
    <row r="293" ht="15" customHeight="1">
      <c r="A293" t="inlineStr">
        <is>
          <t>A 56969-2022</t>
        </is>
      </c>
      <c r="B293" s="1" t="n">
        <v>44894.68043981482</v>
      </c>
      <c r="C293" s="1" t="n">
        <v>45995</v>
      </c>
      <c r="D293" t="inlineStr">
        <is>
          <t>UPPSALA LÄN</t>
        </is>
      </c>
      <c r="E293" t="inlineStr">
        <is>
          <t>ÖSTHAMMAR</t>
        </is>
      </c>
      <c r="G293" t="n">
        <v>5.5</v>
      </c>
      <c r="H293" t="n">
        <v>0</v>
      </c>
      <c r="I293" t="n">
        <v>0</v>
      </c>
      <c r="J293" t="n">
        <v>0</v>
      </c>
      <c r="K293" t="n">
        <v>0</v>
      </c>
      <c r="L293" t="n">
        <v>0</v>
      </c>
      <c r="M293" t="n">
        <v>0</v>
      </c>
      <c r="N293" t="n">
        <v>0</v>
      </c>
      <c r="O293" t="n">
        <v>0</v>
      </c>
      <c r="P293" t="n">
        <v>0</v>
      </c>
      <c r="Q293" t="n">
        <v>0</v>
      </c>
      <c r="R293" s="2" t="inlineStr"/>
    </row>
    <row r="294" ht="15" customHeight="1">
      <c r="A294" t="inlineStr">
        <is>
          <t>A 7876-2023</t>
        </is>
      </c>
      <c r="B294" s="1" t="n">
        <v>44973.57263888889</v>
      </c>
      <c r="C294" s="1" t="n">
        <v>45995</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10449-2023</t>
        </is>
      </c>
      <c r="B295" s="1" t="n">
        <v>44987</v>
      </c>
      <c r="C295" s="1" t="n">
        <v>45995</v>
      </c>
      <c r="D295" t="inlineStr">
        <is>
          <t>UPPSALA LÄN</t>
        </is>
      </c>
      <c r="E295" t="inlineStr">
        <is>
          <t>ÖSTHAMMAR</t>
        </is>
      </c>
      <c r="G295" t="n">
        <v>3.1</v>
      </c>
      <c r="H295" t="n">
        <v>0</v>
      </c>
      <c r="I295" t="n">
        <v>0</v>
      </c>
      <c r="J295" t="n">
        <v>0</v>
      </c>
      <c r="K295" t="n">
        <v>0</v>
      </c>
      <c r="L295" t="n">
        <v>0</v>
      </c>
      <c r="M295" t="n">
        <v>0</v>
      </c>
      <c r="N295" t="n">
        <v>0</v>
      </c>
      <c r="O295" t="n">
        <v>0</v>
      </c>
      <c r="P295" t="n">
        <v>0</v>
      </c>
      <c r="Q295" t="n">
        <v>0</v>
      </c>
      <c r="R295" s="2" t="inlineStr"/>
    </row>
    <row r="296" ht="15" customHeight="1">
      <c r="A296" t="inlineStr">
        <is>
          <t>A 36904-2023</t>
        </is>
      </c>
      <c r="B296" s="1" t="n">
        <v>45154</v>
      </c>
      <c r="C296" s="1" t="n">
        <v>45995</v>
      </c>
      <c r="D296" t="inlineStr">
        <is>
          <t>UPPSALA LÄN</t>
        </is>
      </c>
      <c r="E296" t="inlineStr">
        <is>
          <t>ÖSTHAMMAR</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35539-2023</t>
        </is>
      </c>
      <c r="B297" s="1" t="n">
        <v>45147.37006944444</v>
      </c>
      <c r="C297" s="1" t="n">
        <v>45995</v>
      </c>
      <c r="D297" t="inlineStr">
        <is>
          <t>UPPSALA LÄN</t>
        </is>
      </c>
      <c r="E297" t="inlineStr">
        <is>
          <t>ÖSTHAMMAR</t>
        </is>
      </c>
      <c r="G297" t="n">
        <v>1.4</v>
      </c>
      <c r="H297" t="n">
        <v>0</v>
      </c>
      <c r="I297" t="n">
        <v>0</v>
      </c>
      <c r="J297" t="n">
        <v>0</v>
      </c>
      <c r="K297" t="n">
        <v>0</v>
      </c>
      <c r="L297" t="n">
        <v>0</v>
      </c>
      <c r="M297" t="n">
        <v>0</v>
      </c>
      <c r="N297" t="n">
        <v>0</v>
      </c>
      <c r="O297" t="n">
        <v>0</v>
      </c>
      <c r="P297" t="n">
        <v>0</v>
      </c>
      <c r="Q297" t="n">
        <v>0</v>
      </c>
      <c r="R297" s="2" t="inlineStr"/>
    </row>
    <row r="298" ht="15" customHeight="1">
      <c r="A298" t="inlineStr">
        <is>
          <t>A 38233-2024</t>
        </is>
      </c>
      <c r="B298" s="1" t="n">
        <v>45545</v>
      </c>
      <c r="C298" s="1" t="n">
        <v>45995</v>
      </c>
      <c r="D298" t="inlineStr">
        <is>
          <t>UPPSALA LÄN</t>
        </is>
      </c>
      <c r="E298" t="inlineStr">
        <is>
          <t>ÖSTHAMMAR</t>
        </is>
      </c>
      <c r="G298" t="n">
        <v>3.4</v>
      </c>
      <c r="H298" t="n">
        <v>0</v>
      </c>
      <c r="I298" t="n">
        <v>0</v>
      </c>
      <c r="J298" t="n">
        <v>0</v>
      </c>
      <c r="K298" t="n">
        <v>0</v>
      </c>
      <c r="L298" t="n">
        <v>0</v>
      </c>
      <c r="M298" t="n">
        <v>0</v>
      </c>
      <c r="N298" t="n">
        <v>0</v>
      </c>
      <c r="O298" t="n">
        <v>0</v>
      </c>
      <c r="P298" t="n">
        <v>0</v>
      </c>
      <c r="Q298" t="n">
        <v>0</v>
      </c>
      <c r="R298" s="2" t="inlineStr"/>
    </row>
    <row r="299" ht="15" customHeight="1">
      <c r="A299" t="inlineStr">
        <is>
          <t>A 56260-2022</t>
        </is>
      </c>
      <c r="B299" s="1" t="n">
        <v>44890</v>
      </c>
      <c r="C299" s="1" t="n">
        <v>45995</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31035-2022</t>
        </is>
      </c>
      <c r="B300" s="1" t="n">
        <v>44768.88685185185</v>
      </c>
      <c r="C300" s="1" t="n">
        <v>45995</v>
      </c>
      <c r="D300" t="inlineStr">
        <is>
          <t>UPPSALA LÄN</t>
        </is>
      </c>
      <c r="E300" t="inlineStr">
        <is>
          <t>ÖSTHAMMAR</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58324-2023</t>
        </is>
      </c>
      <c r="B301" s="1" t="n">
        <v>45250.58635416667</v>
      </c>
      <c r="C301" s="1" t="n">
        <v>45995</v>
      </c>
      <c r="D301" t="inlineStr">
        <is>
          <t>UPPSALA LÄN</t>
        </is>
      </c>
      <c r="E301" t="inlineStr">
        <is>
          <t>ÖSTHAMMAR</t>
        </is>
      </c>
      <c r="G301" t="n">
        <v>5.1</v>
      </c>
      <c r="H301" t="n">
        <v>0</v>
      </c>
      <c r="I301" t="n">
        <v>0</v>
      </c>
      <c r="J301" t="n">
        <v>0</v>
      </c>
      <c r="K301" t="n">
        <v>0</v>
      </c>
      <c r="L301" t="n">
        <v>0</v>
      </c>
      <c r="M301" t="n">
        <v>0</v>
      </c>
      <c r="N301" t="n">
        <v>0</v>
      </c>
      <c r="O301" t="n">
        <v>0</v>
      </c>
      <c r="P301" t="n">
        <v>0</v>
      </c>
      <c r="Q301" t="n">
        <v>0</v>
      </c>
      <c r="R301" s="2" t="inlineStr"/>
    </row>
    <row r="302" ht="15" customHeight="1">
      <c r="A302" t="inlineStr">
        <is>
          <t>A 24401-2025</t>
        </is>
      </c>
      <c r="B302" s="1" t="n">
        <v>45797.64908564815</v>
      </c>
      <c r="C302" s="1" t="n">
        <v>45995</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29231-2024</t>
        </is>
      </c>
      <c r="B303" s="1" t="n">
        <v>45482</v>
      </c>
      <c r="C303" s="1" t="n">
        <v>45995</v>
      </c>
      <c r="D303" t="inlineStr">
        <is>
          <t>UPPSALA LÄN</t>
        </is>
      </c>
      <c r="E303" t="inlineStr">
        <is>
          <t>ÖSTHAMMAR</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8908-2025</t>
        </is>
      </c>
      <c r="B304" s="1" t="n">
        <v>45713.4196875</v>
      </c>
      <c r="C304" s="1" t="n">
        <v>45995</v>
      </c>
      <c r="D304" t="inlineStr">
        <is>
          <t>UPPSALA LÄN</t>
        </is>
      </c>
      <c r="E304" t="inlineStr">
        <is>
          <t>ÖSTHAMMAR</t>
        </is>
      </c>
      <c r="F304" t="inlineStr">
        <is>
          <t>Bergvik skog öst AB</t>
        </is>
      </c>
      <c r="G304" t="n">
        <v>3.3</v>
      </c>
      <c r="H304" t="n">
        <v>0</v>
      </c>
      <c r="I304" t="n">
        <v>0</v>
      </c>
      <c r="J304" t="n">
        <v>0</v>
      </c>
      <c r="K304" t="n">
        <v>0</v>
      </c>
      <c r="L304" t="n">
        <v>0</v>
      </c>
      <c r="M304" t="n">
        <v>0</v>
      </c>
      <c r="N304" t="n">
        <v>0</v>
      </c>
      <c r="O304" t="n">
        <v>0</v>
      </c>
      <c r="P304" t="n">
        <v>0</v>
      </c>
      <c r="Q304" t="n">
        <v>0</v>
      </c>
      <c r="R304" s="2" t="inlineStr"/>
    </row>
    <row r="305" ht="15" customHeight="1">
      <c r="A305" t="inlineStr">
        <is>
          <t>A 30931-2021</t>
        </is>
      </c>
      <c r="B305" s="1" t="n">
        <v>44365</v>
      </c>
      <c r="C305" s="1" t="n">
        <v>45995</v>
      </c>
      <c r="D305" t="inlineStr">
        <is>
          <t>UPPSALA LÄN</t>
        </is>
      </c>
      <c r="E305" t="inlineStr">
        <is>
          <t>ÖSTHAMMAR</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41519-2025</t>
        </is>
      </c>
      <c r="B306" s="1" t="n">
        <v>45901.54751157408</v>
      </c>
      <c r="C306" s="1" t="n">
        <v>45995</v>
      </c>
      <c r="D306" t="inlineStr">
        <is>
          <t>UPPSALA LÄN</t>
        </is>
      </c>
      <c r="E306" t="inlineStr">
        <is>
          <t>ÖSTHAMMAR</t>
        </is>
      </c>
      <c r="F306" t="inlineStr">
        <is>
          <t>Övriga Aktiebolag</t>
        </is>
      </c>
      <c r="G306" t="n">
        <v>17.1</v>
      </c>
      <c r="H306" t="n">
        <v>0</v>
      </c>
      <c r="I306" t="n">
        <v>0</v>
      </c>
      <c r="J306" t="n">
        <v>0</v>
      </c>
      <c r="K306" t="n">
        <v>0</v>
      </c>
      <c r="L306" t="n">
        <v>0</v>
      </c>
      <c r="M306" t="n">
        <v>0</v>
      </c>
      <c r="N306" t="n">
        <v>0</v>
      </c>
      <c r="O306" t="n">
        <v>0</v>
      </c>
      <c r="P306" t="n">
        <v>0</v>
      </c>
      <c r="Q306" t="n">
        <v>0</v>
      </c>
      <c r="R306" s="2" t="inlineStr"/>
    </row>
    <row r="307" ht="15" customHeight="1">
      <c r="A307" t="inlineStr">
        <is>
          <t>A 69411-2021</t>
        </is>
      </c>
      <c r="B307" s="1" t="n">
        <v>44531.61038194445</v>
      </c>
      <c r="C307" s="1" t="n">
        <v>45995</v>
      </c>
      <c r="D307" t="inlineStr">
        <is>
          <t>UPPSALA LÄN</t>
        </is>
      </c>
      <c r="E307" t="inlineStr">
        <is>
          <t>ÖSTHAMMAR</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24408-2025</t>
        </is>
      </c>
      <c r="B308" s="1" t="n">
        <v>45797.65774305556</v>
      </c>
      <c r="C308" s="1" t="n">
        <v>45995</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64811-2021</t>
        </is>
      </c>
      <c r="B309" s="1" t="n">
        <v>44512</v>
      </c>
      <c r="C309" s="1" t="n">
        <v>45995</v>
      </c>
      <c r="D309" t="inlineStr">
        <is>
          <t>UPPSALA LÄN</t>
        </is>
      </c>
      <c r="E309" t="inlineStr">
        <is>
          <t>ÖSTHAMMAR</t>
        </is>
      </c>
      <c r="G309" t="n">
        <v>4.2</v>
      </c>
      <c r="H309" t="n">
        <v>0</v>
      </c>
      <c r="I309" t="n">
        <v>0</v>
      </c>
      <c r="J309" t="n">
        <v>0</v>
      </c>
      <c r="K309" t="n">
        <v>0</v>
      </c>
      <c r="L309" t="n">
        <v>0</v>
      </c>
      <c r="M309" t="n">
        <v>0</v>
      </c>
      <c r="N309" t="n">
        <v>0</v>
      </c>
      <c r="O309" t="n">
        <v>0</v>
      </c>
      <c r="P309" t="n">
        <v>0</v>
      </c>
      <c r="Q309" t="n">
        <v>0</v>
      </c>
      <c r="R309" s="2" t="inlineStr"/>
    </row>
    <row r="310" ht="15" customHeight="1">
      <c r="A310" t="inlineStr">
        <is>
          <t>A 8830-2023</t>
        </is>
      </c>
      <c r="B310" s="1" t="n">
        <v>44978</v>
      </c>
      <c r="C310" s="1" t="n">
        <v>45995</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6106-2024</t>
        </is>
      </c>
      <c r="B311" s="1" t="n">
        <v>45337.36831018519</v>
      </c>
      <c r="C311" s="1" t="n">
        <v>45995</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33550-2024</t>
        </is>
      </c>
      <c r="B312" s="1" t="n">
        <v>45519.81043981481</v>
      </c>
      <c r="C312" s="1" t="n">
        <v>45995</v>
      </c>
      <c r="D312" t="inlineStr">
        <is>
          <t>UPPSALA LÄN</t>
        </is>
      </c>
      <c r="E312" t="inlineStr">
        <is>
          <t>ÖSTHAMMAR</t>
        </is>
      </c>
      <c r="F312" t="inlineStr">
        <is>
          <t>Bergvik skog öst AB</t>
        </is>
      </c>
      <c r="G312" t="n">
        <v>1.8</v>
      </c>
      <c r="H312" t="n">
        <v>0</v>
      </c>
      <c r="I312" t="n">
        <v>0</v>
      </c>
      <c r="J312" t="n">
        <v>0</v>
      </c>
      <c r="K312" t="n">
        <v>0</v>
      </c>
      <c r="L312" t="n">
        <v>0</v>
      </c>
      <c r="M312" t="n">
        <v>0</v>
      </c>
      <c r="N312" t="n">
        <v>0</v>
      </c>
      <c r="O312" t="n">
        <v>0</v>
      </c>
      <c r="P312" t="n">
        <v>0</v>
      </c>
      <c r="Q312" t="n">
        <v>0</v>
      </c>
      <c r="R312" s="2" t="inlineStr"/>
    </row>
    <row r="313" ht="15" customHeight="1">
      <c r="A313" t="inlineStr">
        <is>
          <t>A 62295-2022</t>
        </is>
      </c>
      <c r="B313" s="1" t="n">
        <v>44916</v>
      </c>
      <c r="C313" s="1" t="n">
        <v>45995</v>
      </c>
      <c r="D313" t="inlineStr">
        <is>
          <t>UPPSALA LÄN</t>
        </is>
      </c>
      <c r="E313" t="inlineStr">
        <is>
          <t>ÖSTHAMMAR</t>
        </is>
      </c>
      <c r="G313" t="n">
        <v>3.3</v>
      </c>
      <c r="H313" t="n">
        <v>0</v>
      </c>
      <c r="I313" t="n">
        <v>0</v>
      </c>
      <c r="J313" t="n">
        <v>0</v>
      </c>
      <c r="K313" t="n">
        <v>0</v>
      </c>
      <c r="L313" t="n">
        <v>0</v>
      </c>
      <c r="M313" t="n">
        <v>0</v>
      </c>
      <c r="N313" t="n">
        <v>0</v>
      </c>
      <c r="O313" t="n">
        <v>0</v>
      </c>
      <c r="P313" t="n">
        <v>0</v>
      </c>
      <c r="Q313" t="n">
        <v>0</v>
      </c>
      <c r="R313" s="2" t="inlineStr"/>
    </row>
    <row r="314" ht="15" customHeight="1">
      <c r="A314" t="inlineStr">
        <is>
          <t>A 22709-2021</t>
        </is>
      </c>
      <c r="B314" s="1" t="n">
        <v>44327.61518518518</v>
      </c>
      <c r="C314" s="1" t="n">
        <v>45995</v>
      </c>
      <c r="D314" t="inlineStr">
        <is>
          <t>UPPSALA LÄN</t>
        </is>
      </c>
      <c r="E314" t="inlineStr">
        <is>
          <t>ÖSTHAMMAR</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42213-2025</t>
        </is>
      </c>
      <c r="B315" s="1" t="n">
        <v>45904.50652777778</v>
      </c>
      <c r="C315" s="1" t="n">
        <v>45995</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49831-2023</t>
        </is>
      </c>
      <c r="B316" s="1" t="n">
        <v>45212.71241898148</v>
      </c>
      <c r="C316" s="1" t="n">
        <v>45995</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49899-2023</t>
        </is>
      </c>
      <c r="B317" s="1" t="n">
        <v>45213</v>
      </c>
      <c r="C317" s="1" t="n">
        <v>45995</v>
      </c>
      <c r="D317" t="inlineStr">
        <is>
          <t>UPPSALA LÄN</t>
        </is>
      </c>
      <c r="E317" t="inlineStr">
        <is>
          <t>ÖSTHAMMAR</t>
        </is>
      </c>
      <c r="G317" t="n">
        <v>6.2</v>
      </c>
      <c r="H317" t="n">
        <v>0</v>
      </c>
      <c r="I317" t="n">
        <v>0</v>
      </c>
      <c r="J317" t="n">
        <v>0</v>
      </c>
      <c r="K317" t="n">
        <v>0</v>
      </c>
      <c r="L317" t="n">
        <v>0</v>
      </c>
      <c r="M317" t="n">
        <v>0</v>
      </c>
      <c r="N317" t="n">
        <v>0</v>
      </c>
      <c r="O317" t="n">
        <v>0</v>
      </c>
      <c r="P317" t="n">
        <v>0</v>
      </c>
      <c r="Q317" t="n">
        <v>0</v>
      </c>
      <c r="R317" s="2" t="inlineStr"/>
    </row>
    <row r="318" ht="15" customHeight="1">
      <c r="A318" t="inlineStr">
        <is>
          <t>A 17939-2025</t>
        </is>
      </c>
      <c r="B318" s="1" t="n">
        <v>45760.55671296296</v>
      </c>
      <c r="C318" s="1" t="n">
        <v>45995</v>
      </c>
      <c r="D318" t="inlineStr">
        <is>
          <t>UPPSALA LÄN</t>
        </is>
      </c>
      <c r="E318" t="inlineStr">
        <is>
          <t>ÖSTHAMMAR</t>
        </is>
      </c>
      <c r="F318" t="inlineStr">
        <is>
          <t>Bergvik skog öst AB</t>
        </is>
      </c>
      <c r="G318" t="n">
        <v>5.4</v>
      </c>
      <c r="H318" t="n">
        <v>0</v>
      </c>
      <c r="I318" t="n">
        <v>0</v>
      </c>
      <c r="J318" t="n">
        <v>0</v>
      </c>
      <c r="K318" t="n">
        <v>0</v>
      </c>
      <c r="L318" t="n">
        <v>0</v>
      </c>
      <c r="M318" t="n">
        <v>0</v>
      </c>
      <c r="N318" t="n">
        <v>0</v>
      </c>
      <c r="O318" t="n">
        <v>0</v>
      </c>
      <c r="P318" t="n">
        <v>0</v>
      </c>
      <c r="Q318" t="n">
        <v>0</v>
      </c>
      <c r="R318" s="2" t="inlineStr"/>
    </row>
    <row r="319" ht="15" customHeight="1">
      <c r="A319" t="inlineStr">
        <is>
          <t>A 17940-2025</t>
        </is>
      </c>
      <c r="B319" s="1" t="n">
        <v>45760.55842592593</v>
      </c>
      <c r="C319" s="1" t="n">
        <v>45995</v>
      </c>
      <c r="D319" t="inlineStr">
        <is>
          <t>UPPSALA LÄN</t>
        </is>
      </c>
      <c r="E319" t="inlineStr">
        <is>
          <t>ÖSTHAMMAR</t>
        </is>
      </c>
      <c r="F319" t="inlineStr">
        <is>
          <t>Bergvik skog öst AB</t>
        </is>
      </c>
      <c r="G319" t="n">
        <v>5.6</v>
      </c>
      <c r="H319" t="n">
        <v>0</v>
      </c>
      <c r="I319" t="n">
        <v>0</v>
      </c>
      <c r="J319" t="n">
        <v>0</v>
      </c>
      <c r="K319" t="n">
        <v>0</v>
      </c>
      <c r="L319" t="n">
        <v>0</v>
      </c>
      <c r="M319" t="n">
        <v>0</v>
      </c>
      <c r="N319" t="n">
        <v>0</v>
      </c>
      <c r="O319" t="n">
        <v>0</v>
      </c>
      <c r="P319" t="n">
        <v>0</v>
      </c>
      <c r="Q319" t="n">
        <v>0</v>
      </c>
      <c r="R319" s="2" t="inlineStr"/>
    </row>
    <row r="320" ht="15" customHeight="1">
      <c r="A320" t="inlineStr">
        <is>
          <t>A 32815-2024</t>
        </is>
      </c>
      <c r="B320" s="1" t="n">
        <v>45516.57682870371</v>
      </c>
      <c r="C320" s="1" t="n">
        <v>45995</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32884-2024</t>
        </is>
      </c>
      <c r="B321" s="1" t="n">
        <v>45516.72097222223</v>
      </c>
      <c r="C321" s="1" t="n">
        <v>45995</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45995</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45995</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61261-2022</t>
        </is>
      </c>
      <c r="B324" s="1" t="n">
        <v>44915.59645833333</v>
      </c>
      <c r="C324" s="1" t="n">
        <v>45995</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4984-2024</t>
        </is>
      </c>
      <c r="B325" s="1" t="n">
        <v>45329</v>
      </c>
      <c r="C325" s="1" t="n">
        <v>45995</v>
      </c>
      <c r="D325" t="inlineStr">
        <is>
          <t>UPPSALA LÄN</t>
        </is>
      </c>
      <c r="E325" t="inlineStr">
        <is>
          <t>ÖSTHAMMAR</t>
        </is>
      </c>
      <c r="G325" t="n">
        <v>2.2</v>
      </c>
      <c r="H325" t="n">
        <v>0</v>
      </c>
      <c r="I325" t="n">
        <v>0</v>
      </c>
      <c r="J325" t="n">
        <v>0</v>
      </c>
      <c r="K325" t="n">
        <v>0</v>
      </c>
      <c r="L325" t="n">
        <v>0</v>
      </c>
      <c r="M325" t="n">
        <v>0</v>
      </c>
      <c r="N325" t="n">
        <v>0</v>
      </c>
      <c r="O325" t="n">
        <v>0</v>
      </c>
      <c r="P325" t="n">
        <v>0</v>
      </c>
      <c r="Q325" t="n">
        <v>0</v>
      </c>
      <c r="R325" s="2" t="inlineStr"/>
    </row>
    <row r="326" ht="15" customHeight="1">
      <c r="A326" t="inlineStr">
        <is>
          <t>A 5855-2022</t>
        </is>
      </c>
      <c r="B326" s="1" t="n">
        <v>44596.63290509259</v>
      </c>
      <c r="C326" s="1" t="n">
        <v>45995</v>
      </c>
      <c r="D326" t="inlineStr">
        <is>
          <t>UPPSALA LÄN</t>
        </is>
      </c>
      <c r="E326" t="inlineStr">
        <is>
          <t>ÖSTHAMMAR</t>
        </is>
      </c>
      <c r="G326" t="n">
        <v>0.9</v>
      </c>
      <c r="H326" t="n">
        <v>0</v>
      </c>
      <c r="I326" t="n">
        <v>0</v>
      </c>
      <c r="J326" t="n">
        <v>0</v>
      </c>
      <c r="K326" t="n">
        <v>0</v>
      </c>
      <c r="L326" t="n">
        <v>0</v>
      </c>
      <c r="M326" t="n">
        <v>0</v>
      </c>
      <c r="N326" t="n">
        <v>0</v>
      </c>
      <c r="O326" t="n">
        <v>0</v>
      </c>
      <c r="P326" t="n">
        <v>0</v>
      </c>
      <c r="Q326" t="n">
        <v>0</v>
      </c>
      <c r="R326" s="2" t="inlineStr"/>
    </row>
    <row r="327" ht="15" customHeight="1">
      <c r="A327" t="inlineStr">
        <is>
          <t>A 74429-2021</t>
        </is>
      </c>
      <c r="B327" s="1" t="n">
        <v>44560.43136574074</v>
      </c>
      <c r="C327" s="1" t="n">
        <v>45995</v>
      </c>
      <c r="D327" t="inlineStr">
        <is>
          <t>UPPSALA LÄN</t>
        </is>
      </c>
      <c r="E327" t="inlineStr">
        <is>
          <t>ÖSTHAMMAR</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7543-2023</t>
        </is>
      </c>
      <c r="B328" s="1" t="n">
        <v>44972</v>
      </c>
      <c r="C328" s="1" t="n">
        <v>45995</v>
      </c>
      <c r="D328" t="inlineStr">
        <is>
          <t>UPPSALA LÄN</t>
        </is>
      </c>
      <c r="E328" t="inlineStr">
        <is>
          <t>ÖSTHAMMAR</t>
        </is>
      </c>
      <c r="F328" t="inlineStr">
        <is>
          <t>Bergvik skog öst AB</t>
        </is>
      </c>
      <c r="G328" t="n">
        <v>13.3</v>
      </c>
      <c r="H328" t="n">
        <v>0</v>
      </c>
      <c r="I328" t="n">
        <v>0</v>
      </c>
      <c r="J328" t="n">
        <v>0</v>
      </c>
      <c r="K328" t="n">
        <v>0</v>
      </c>
      <c r="L328" t="n">
        <v>0</v>
      </c>
      <c r="M328" t="n">
        <v>0</v>
      </c>
      <c r="N328" t="n">
        <v>0</v>
      </c>
      <c r="O328" t="n">
        <v>0</v>
      </c>
      <c r="P328" t="n">
        <v>0</v>
      </c>
      <c r="Q328" t="n">
        <v>0</v>
      </c>
      <c r="R328" s="2" t="inlineStr"/>
    </row>
    <row r="329" ht="15" customHeight="1">
      <c r="A329" t="inlineStr">
        <is>
          <t>A 20634-2024</t>
        </is>
      </c>
      <c r="B329" s="1" t="n">
        <v>45436</v>
      </c>
      <c r="C329" s="1" t="n">
        <v>45995</v>
      </c>
      <c r="D329" t="inlineStr">
        <is>
          <t>UPPSALA LÄN</t>
        </is>
      </c>
      <c r="E329" t="inlineStr">
        <is>
          <t>ÖSTHAMMAR</t>
        </is>
      </c>
      <c r="G329" t="n">
        <v>6.5</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45995</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5076-2025</t>
        </is>
      </c>
      <c r="B331" s="1" t="n">
        <v>45691</v>
      </c>
      <c r="C331" s="1" t="n">
        <v>45995</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22798-2023</t>
        </is>
      </c>
      <c r="B332" s="1" t="n">
        <v>45072</v>
      </c>
      <c r="C332" s="1" t="n">
        <v>45995</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10982-2023</t>
        </is>
      </c>
      <c r="B333" s="1" t="n">
        <v>44991.62203703704</v>
      </c>
      <c r="C333" s="1" t="n">
        <v>45995</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54366-2023</t>
        </is>
      </c>
      <c r="B334" s="1" t="n">
        <v>45233</v>
      </c>
      <c r="C334" s="1" t="n">
        <v>45995</v>
      </c>
      <c r="D334" t="inlineStr">
        <is>
          <t>UPPSALA LÄN</t>
        </is>
      </c>
      <c r="E334" t="inlineStr">
        <is>
          <t>ÖSTHAMMAR</t>
        </is>
      </c>
      <c r="F334" t="inlineStr">
        <is>
          <t>Bergvik skog öst AB</t>
        </is>
      </c>
      <c r="G334" t="n">
        <v>2.9</v>
      </c>
      <c r="H334" t="n">
        <v>0</v>
      </c>
      <c r="I334" t="n">
        <v>0</v>
      </c>
      <c r="J334" t="n">
        <v>0</v>
      </c>
      <c r="K334" t="n">
        <v>0</v>
      </c>
      <c r="L334" t="n">
        <v>0</v>
      </c>
      <c r="M334" t="n">
        <v>0</v>
      </c>
      <c r="N334" t="n">
        <v>0</v>
      </c>
      <c r="O334" t="n">
        <v>0</v>
      </c>
      <c r="P334" t="n">
        <v>0</v>
      </c>
      <c r="Q334" t="n">
        <v>0</v>
      </c>
      <c r="R334" s="2" t="inlineStr"/>
    </row>
    <row r="335" ht="15" customHeight="1">
      <c r="A335" t="inlineStr">
        <is>
          <t>A 40637-2022</t>
        </is>
      </c>
      <c r="B335" s="1" t="n">
        <v>44824</v>
      </c>
      <c r="C335" s="1" t="n">
        <v>45995</v>
      </c>
      <c r="D335" t="inlineStr">
        <is>
          <t>UPPSALA LÄN</t>
        </is>
      </c>
      <c r="E335" t="inlineStr">
        <is>
          <t>ÖSTHAMMAR</t>
        </is>
      </c>
      <c r="F335" t="inlineStr">
        <is>
          <t>Övriga Aktiebolag</t>
        </is>
      </c>
      <c r="G335" t="n">
        <v>3.7</v>
      </c>
      <c r="H335" t="n">
        <v>0</v>
      </c>
      <c r="I335" t="n">
        <v>0</v>
      </c>
      <c r="J335" t="n">
        <v>0</v>
      </c>
      <c r="K335" t="n">
        <v>0</v>
      </c>
      <c r="L335" t="n">
        <v>0</v>
      </c>
      <c r="M335" t="n">
        <v>0</v>
      </c>
      <c r="N335" t="n">
        <v>0</v>
      </c>
      <c r="O335" t="n">
        <v>0</v>
      </c>
      <c r="P335" t="n">
        <v>0</v>
      </c>
      <c r="Q335" t="n">
        <v>0</v>
      </c>
      <c r="R335" s="2" t="inlineStr"/>
    </row>
    <row r="336" ht="15" customHeight="1">
      <c r="A336" t="inlineStr">
        <is>
          <t>A 6046-2025</t>
        </is>
      </c>
      <c r="B336" s="1" t="n">
        <v>45695</v>
      </c>
      <c r="C336" s="1" t="n">
        <v>45995</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c r="U336">
        <f>HYPERLINK("https://klasma.github.io/Logging_0382/knärot/A 6046-2025 karta knärot.png", "A 6046-2025")</f>
        <v/>
      </c>
      <c r="V336">
        <f>HYPERLINK("https://klasma.github.io/Logging_0382/klagomål/A 6046-2025 FSC-klagomål.docx", "A 6046-2025")</f>
        <v/>
      </c>
      <c r="W336">
        <f>HYPERLINK("https://klasma.github.io/Logging_0382/klagomålsmail/A 6046-2025 FSC-klagomål mail.docx", "A 6046-2025")</f>
        <v/>
      </c>
      <c r="X336">
        <f>HYPERLINK("https://klasma.github.io/Logging_0382/tillsyn/A 6046-2025 tillsynsbegäran.docx", "A 6046-2025")</f>
        <v/>
      </c>
      <c r="Y336">
        <f>HYPERLINK("https://klasma.github.io/Logging_0382/tillsynsmail/A 6046-2025 tillsynsbegäran mail.docx", "A 6046-2025")</f>
        <v/>
      </c>
    </row>
    <row r="337" ht="15" customHeight="1">
      <c r="A337" t="inlineStr">
        <is>
          <t>A 21624-2023</t>
        </is>
      </c>
      <c r="B337" s="1" t="n">
        <v>45063.65543981481</v>
      </c>
      <c r="C337" s="1" t="n">
        <v>45995</v>
      </c>
      <c r="D337" t="inlineStr">
        <is>
          <t>UPPSALA LÄN</t>
        </is>
      </c>
      <c r="E337" t="inlineStr">
        <is>
          <t>ÖSTHAMMAR</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6120-2024</t>
        </is>
      </c>
      <c r="B338" s="1" t="n">
        <v>45337.41784722222</v>
      </c>
      <c r="C338" s="1" t="n">
        <v>45995</v>
      </c>
      <c r="D338" t="inlineStr">
        <is>
          <t>UPPSALA LÄN</t>
        </is>
      </c>
      <c r="E338" t="inlineStr">
        <is>
          <t>ÖSTHAMMAR</t>
        </is>
      </c>
      <c r="G338" t="n">
        <v>0.7</v>
      </c>
      <c r="H338" t="n">
        <v>0</v>
      </c>
      <c r="I338" t="n">
        <v>0</v>
      </c>
      <c r="J338" t="n">
        <v>0</v>
      </c>
      <c r="K338" t="n">
        <v>0</v>
      </c>
      <c r="L338" t="n">
        <v>0</v>
      </c>
      <c r="M338" t="n">
        <v>0</v>
      </c>
      <c r="N338" t="n">
        <v>0</v>
      </c>
      <c r="O338" t="n">
        <v>0</v>
      </c>
      <c r="P338" t="n">
        <v>0</v>
      </c>
      <c r="Q338" t="n">
        <v>0</v>
      </c>
      <c r="R338" s="2" t="inlineStr"/>
    </row>
    <row r="339" ht="15" customHeight="1">
      <c r="A339" t="inlineStr">
        <is>
          <t>A 17643-2025</t>
        </is>
      </c>
      <c r="B339" s="1" t="n">
        <v>45758.32454861111</v>
      </c>
      <c r="C339" s="1" t="n">
        <v>45995</v>
      </c>
      <c r="D339" t="inlineStr">
        <is>
          <t>UPPSALA LÄN</t>
        </is>
      </c>
      <c r="E339" t="inlineStr">
        <is>
          <t>ÖSTHAMMAR</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13248-2025</t>
        </is>
      </c>
      <c r="B340" s="1" t="n">
        <v>45735</v>
      </c>
      <c r="C340" s="1" t="n">
        <v>45995</v>
      </c>
      <c r="D340" t="inlineStr">
        <is>
          <t>UPPSALA LÄN</t>
        </is>
      </c>
      <c r="E340" t="inlineStr">
        <is>
          <t>ÖSTHAMMAR</t>
        </is>
      </c>
      <c r="F340" t="inlineStr">
        <is>
          <t>Kyrkan</t>
        </is>
      </c>
      <c r="G340" t="n">
        <v>12.2</v>
      </c>
      <c r="H340" t="n">
        <v>0</v>
      </c>
      <c r="I340" t="n">
        <v>0</v>
      </c>
      <c r="J340" t="n">
        <v>0</v>
      </c>
      <c r="K340" t="n">
        <v>0</v>
      </c>
      <c r="L340" t="n">
        <v>0</v>
      </c>
      <c r="M340" t="n">
        <v>0</v>
      </c>
      <c r="N340" t="n">
        <v>0</v>
      </c>
      <c r="O340" t="n">
        <v>0</v>
      </c>
      <c r="P340" t="n">
        <v>0</v>
      </c>
      <c r="Q340" t="n">
        <v>0</v>
      </c>
      <c r="R340" s="2" t="inlineStr"/>
    </row>
    <row r="341" ht="15" customHeight="1">
      <c r="A341" t="inlineStr">
        <is>
          <t>A 52650-2022</t>
        </is>
      </c>
      <c r="B341" s="1" t="n">
        <v>44874</v>
      </c>
      <c r="C341" s="1" t="n">
        <v>45995</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52661-2022</t>
        </is>
      </c>
      <c r="B342" s="1" t="n">
        <v>44874</v>
      </c>
      <c r="C342" s="1" t="n">
        <v>45995</v>
      </c>
      <c r="D342" t="inlineStr">
        <is>
          <t>UPPSALA LÄN</t>
        </is>
      </c>
      <c r="E342" t="inlineStr">
        <is>
          <t>ÖSTHAMMAR</t>
        </is>
      </c>
      <c r="F342" t="inlineStr">
        <is>
          <t>Bergvik skog öst AB</t>
        </is>
      </c>
      <c r="G342" t="n">
        <v>0.2</v>
      </c>
      <c r="H342" t="n">
        <v>0</v>
      </c>
      <c r="I342" t="n">
        <v>0</v>
      </c>
      <c r="J342" t="n">
        <v>0</v>
      </c>
      <c r="K342" t="n">
        <v>0</v>
      </c>
      <c r="L342" t="n">
        <v>0</v>
      </c>
      <c r="M342" t="n">
        <v>0</v>
      </c>
      <c r="N342" t="n">
        <v>0</v>
      </c>
      <c r="O342" t="n">
        <v>0</v>
      </c>
      <c r="P342" t="n">
        <v>0</v>
      </c>
      <c r="Q342" t="n">
        <v>0</v>
      </c>
      <c r="R342" s="2" t="inlineStr"/>
    </row>
    <row r="343" ht="15" customHeight="1">
      <c r="A343" t="inlineStr">
        <is>
          <t>A 3732-2022</t>
        </is>
      </c>
      <c r="B343" s="1" t="n">
        <v>44586.64851851852</v>
      </c>
      <c r="C343" s="1" t="n">
        <v>45995</v>
      </c>
      <c r="D343" t="inlineStr">
        <is>
          <t>UPPSALA LÄN</t>
        </is>
      </c>
      <c r="E343" t="inlineStr">
        <is>
          <t>ÖSTHAMMAR</t>
        </is>
      </c>
      <c r="F343" t="inlineStr">
        <is>
          <t>Bergvik skog öst AB</t>
        </is>
      </c>
      <c r="G343" t="n">
        <v>3.6</v>
      </c>
      <c r="H343" t="n">
        <v>0</v>
      </c>
      <c r="I343" t="n">
        <v>0</v>
      </c>
      <c r="J343" t="n">
        <v>0</v>
      </c>
      <c r="K343" t="n">
        <v>0</v>
      </c>
      <c r="L343" t="n">
        <v>0</v>
      </c>
      <c r="M343" t="n">
        <v>0</v>
      </c>
      <c r="N343" t="n">
        <v>0</v>
      </c>
      <c r="O343" t="n">
        <v>0</v>
      </c>
      <c r="P343" t="n">
        <v>0</v>
      </c>
      <c r="Q343" t="n">
        <v>0</v>
      </c>
      <c r="R343" s="2" t="inlineStr"/>
    </row>
    <row r="344" ht="15" customHeight="1">
      <c r="A344" t="inlineStr">
        <is>
          <t>A 51364-2021</t>
        </is>
      </c>
      <c r="B344" s="1" t="n">
        <v>44461</v>
      </c>
      <c r="C344" s="1" t="n">
        <v>45995</v>
      </c>
      <c r="D344" t="inlineStr">
        <is>
          <t>UPPSALA LÄN</t>
        </is>
      </c>
      <c r="E344" t="inlineStr">
        <is>
          <t>ÖSTHAMMAR</t>
        </is>
      </c>
      <c r="G344" t="n">
        <v>2.4</v>
      </c>
      <c r="H344" t="n">
        <v>0</v>
      </c>
      <c r="I344" t="n">
        <v>0</v>
      </c>
      <c r="J344" t="n">
        <v>0</v>
      </c>
      <c r="K344" t="n">
        <v>0</v>
      </c>
      <c r="L344" t="n">
        <v>0</v>
      </c>
      <c r="M344" t="n">
        <v>0</v>
      </c>
      <c r="N344" t="n">
        <v>0</v>
      </c>
      <c r="O344" t="n">
        <v>0</v>
      </c>
      <c r="P344" t="n">
        <v>0</v>
      </c>
      <c r="Q344" t="n">
        <v>0</v>
      </c>
      <c r="R344" s="2" t="inlineStr"/>
    </row>
    <row r="345" ht="15" customHeight="1">
      <c r="A345" t="inlineStr">
        <is>
          <t>A 38003-2024</t>
        </is>
      </c>
      <c r="B345" s="1" t="n">
        <v>45544</v>
      </c>
      <c r="C345" s="1" t="n">
        <v>45995</v>
      </c>
      <c r="D345" t="inlineStr">
        <is>
          <t>UPPSALA LÄN</t>
        </is>
      </c>
      <c r="E345" t="inlineStr">
        <is>
          <t>ÖSTHAMMAR</t>
        </is>
      </c>
      <c r="F345" t="inlineStr">
        <is>
          <t>Naturvårdsverket</t>
        </is>
      </c>
      <c r="G345" t="n">
        <v>4.2</v>
      </c>
      <c r="H345" t="n">
        <v>0</v>
      </c>
      <c r="I345" t="n">
        <v>0</v>
      </c>
      <c r="J345" t="n">
        <v>0</v>
      </c>
      <c r="K345" t="n">
        <v>0</v>
      </c>
      <c r="L345" t="n">
        <v>0</v>
      </c>
      <c r="M345" t="n">
        <v>0</v>
      </c>
      <c r="N345" t="n">
        <v>0</v>
      </c>
      <c r="O345" t="n">
        <v>0</v>
      </c>
      <c r="P345" t="n">
        <v>0</v>
      </c>
      <c r="Q345" t="n">
        <v>0</v>
      </c>
      <c r="R345" s="2" t="inlineStr"/>
    </row>
    <row r="346" ht="15" customHeight="1">
      <c r="A346" t="inlineStr">
        <is>
          <t>A 33927-2025</t>
        </is>
      </c>
      <c r="B346" s="1" t="n">
        <v>45842.62363425926</v>
      </c>
      <c r="C346" s="1" t="n">
        <v>45995</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43011-2025</t>
        </is>
      </c>
      <c r="B347" s="1" t="n">
        <v>45909.48989583334</v>
      </c>
      <c r="C347" s="1" t="n">
        <v>45995</v>
      </c>
      <c r="D347" t="inlineStr">
        <is>
          <t>UPPSALA LÄN</t>
        </is>
      </c>
      <c r="E347" t="inlineStr">
        <is>
          <t>ÖSTHAMMAR</t>
        </is>
      </c>
      <c r="F347" t="inlineStr">
        <is>
          <t>Övriga Aktiebolag</t>
        </is>
      </c>
      <c r="G347" t="n">
        <v>4.7</v>
      </c>
      <c r="H347" t="n">
        <v>0</v>
      </c>
      <c r="I347" t="n">
        <v>0</v>
      </c>
      <c r="J347" t="n">
        <v>0</v>
      </c>
      <c r="K347" t="n">
        <v>0</v>
      </c>
      <c r="L347" t="n">
        <v>0</v>
      </c>
      <c r="M347" t="n">
        <v>0</v>
      </c>
      <c r="N347" t="n">
        <v>0</v>
      </c>
      <c r="O347" t="n">
        <v>0</v>
      </c>
      <c r="P347" t="n">
        <v>0</v>
      </c>
      <c r="Q347" t="n">
        <v>0</v>
      </c>
      <c r="R347" s="2" t="inlineStr"/>
    </row>
    <row r="348" ht="15" customHeight="1">
      <c r="A348" t="inlineStr">
        <is>
          <t>A 1575-2025</t>
        </is>
      </c>
      <c r="B348" s="1" t="n">
        <v>45670</v>
      </c>
      <c r="C348" s="1" t="n">
        <v>45995</v>
      </c>
      <c r="D348" t="inlineStr">
        <is>
          <t>UPPSALA LÄN</t>
        </is>
      </c>
      <c r="E348" t="inlineStr">
        <is>
          <t>ÖSTHAMMAR</t>
        </is>
      </c>
      <c r="G348" t="n">
        <v>0.4</v>
      </c>
      <c r="H348" t="n">
        <v>0</v>
      </c>
      <c r="I348" t="n">
        <v>0</v>
      </c>
      <c r="J348" t="n">
        <v>0</v>
      </c>
      <c r="K348" t="n">
        <v>0</v>
      </c>
      <c r="L348" t="n">
        <v>0</v>
      </c>
      <c r="M348" t="n">
        <v>0</v>
      </c>
      <c r="N348" t="n">
        <v>0</v>
      </c>
      <c r="O348" t="n">
        <v>0</v>
      </c>
      <c r="P348" t="n">
        <v>0</v>
      </c>
      <c r="Q348" t="n">
        <v>0</v>
      </c>
      <c r="R348" s="2" t="inlineStr"/>
    </row>
    <row r="349" ht="15" customHeight="1">
      <c r="A349" t="inlineStr">
        <is>
          <t>A 16141-2022</t>
        </is>
      </c>
      <c r="B349" s="1" t="n">
        <v>44665</v>
      </c>
      <c r="C349" s="1" t="n">
        <v>45995</v>
      </c>
      <c r="D349" t="inlineStr">
        <is>
          <t>UPPSALA LÄN</t>
        </is>
      </c>
      <c r="E349" t="inlineStr">
        <is>
          <t>ÖSTHAMMAR</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28152-2024</t>
        </is>
      </c>
      <c r="B350" s="1" t="n">
        <v>45476.77056712963</v>
      </c>
      <c r="C350" s="1" t="n">
        <v>45995</v>
      </c>
      <c r="D350" t="inlineStr">
        <is>
          <t>UPPSALA LÄN</t>
        </is>
      </c>
      <c r="E350" t="inlineStr">
        <is>
          <t>ÖSTHAMMAR</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57453-2022</t>
        </is>
      </c>
      <c r="B351" s="1" t="n">
        <v>44896.56266203704</v>
      </c>
      <c r="C351" s="1" t="n">
        <v>45995</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57462-2022</t>
        </is>
      </c>
      <c r="B352" s="1" t="n">
        <v>44896.57527777777</v>
      </c>
      <c r="C352" s="1" t="n">
        <v>45995</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61062-2023</t>
        </is>
      </c>
      <c r="B353" s="1" t="n">
        <v>45259</v>
      </c>
      <c r="C353" s="1" t="n">
        <v>45995</v>
      </c>
      <c r="D353" t="inlineStr">
        <is>
          <t>UPPSALA LÄN</t>
        </is>
      </c>
      <c r="E353" t="inlineStr">
        <is>
          <t>ÖSTHAMMAR</t>
        </is>
      </c>
      <c r="G353" t="n">
        <v>5.3</v>
      </c>
      <c r="H353" t="n">
        <v>0</v>
      </c>
      <c r="I353" t="n">
        <v>0</v>
      </c>
      <c r="J353" t="n">
        <v>0</v>
      </c>
      <c r="K353" t="n">
        <v>0</v>
      </c>
      <c r="L353" t="n">
        <v>0</v>
      </c>
      <c r="M353" t="n">
        <v>0</v>
      </c>
      <c r="N353" t="n">
        <v>0</v>
      </c>
      <c r="O353" t="n">
        <v>0</v>
      </c>
      <c r="P353" t="n">
        <v>0</v>
      </c>
      <c r="Q353" t="n">
        <v>0</v>
      </c>
      <c r="R353" s="2" t="inlineStr"/>
    </row>
    <row r="354" ht="15" customHeight="1">
      <c r="A354" t="inlineStr">
        <is>
          <t>A 42940-2025</t>
        </is>
      </c>
      <c r="B354" s="1" t="n">
        <v>45909.33440972222</v>
      </c>
      <c r="C354" s="1" t="n">
        <v>45995</v>
      </c>
      <c r="D354" t="inlineStr">
        <is>
          <t>UPPSALA LÄN</t>
        </is>
      </c>
      <c r="E354" t="inlineStr">
        <is>
          <t>ÖSTHAMMAR</t>
        </is>
      </c>
      <c r="G354" t="n">
        <v>2.1</v>
      </c>
      <c r="H354" t="n">
        <v>0</v>
      </c>
      <c r="I354" t="n">
        <v>0</v>
      </c>
      <c r="J354" t="n">
        <v>0</v>
      </c>
      <c r="K354" t="n">
        <v>0</v>
      </c>
      <c r="L354" t="n">
        <v>0</v>
      </c>
      <c r="M354" t="n">
        <v>0</v>
      </c>
      <c r="N354" t="n">
        <v>0</v>
      </c>
      <c r="O354" t="n">
        <v>0</v>
      </c>
      <c r="P354" t="n">
        <v>0</v>
      </c>
      <c r="Q354" t="n">
        <v>0</v>
      </c>
      <c r="R354" s="2" t="inlineStr"/>
    </row>
    <row r="355" ht="15" customHeight="1">
      <c r="A355" t="inlineStr">
        <is>
          <t>A 2839-2025</t>
        </is>
      </c>
      <c r="B355" s="1" t="n">
        <v>45677</v>
      </c>
      <c r="C355" s="1" t="n">
        <v>45995</v>
      </c>
      <c r="D355" t="inlineStr">
        <is>
          <t>UPPSALA LÄN</t>
        </is>
      </c>
      <c r="E355" t="inlineStr">
        <is>
          <t>ÖSTHAMMAR</t>
        </is>
      </c>
      <c r="F355" t="inlineStr">
        <is>
          <t>Övriga Aktiebolag</t>
        </is>
      </c>
      <c r="G355" t="n">
        <v>4</v>
      </c>
      <c r="H355" t="n">
        <v>0</v>
      </c>
      <c r="I355" t="n">
        <v>0</v>
      </c>
      <c r="J355" t="n">
        <v>0</v>
      </c>
      <c r="K355" t="n">
        <v>0</v>
      </c>
      <c r="L355" t="n">
        <v>0</v>
      </c>
      <c r="M355" t="n">
        <v>0</v>
      </c>
      <c r="N355" t="n">
        <v>0</v>
      </c>
      <c r="O355" t="n">
        <v>0</v>
      </c>
      <c r="P355" t="n">
        <v>0</v>
      </c>
      <c r="Q355" t="n">
        <v>0</v>
      </c>
      <c r="R355" s="2" t="inlineStr"/>
    </row>
    <row r="356" ht="15" customHeight="1">
      <c r="A356" t="inlineStr">
        <is>
          <t>A 2947-2025</t>
        </is>
      </c>
      <c r="B356" s="1" t="n">
        <v>45678</v>
      </c>
      <c r="C356" s="1" t="n">
        <v>45995</v>
      </c>
      <c r="D356" t="inlineStr">
        <is>
          <t>UPPSALA LÄN</t>
        </is>
      </c>
      <c r="E356" t="inlineStr">
        <is>
          <t>ÖSTHAMMAR</t>
        </is>
      </c>
      <c r="G356" t="n">
        <v>3.6</v>
      </c>
      <c r="H356" t="n">
        <v>0</v>
      </c>
      <c r="I356" t="n">
        <v>0</v>
      </c>
      <c r="J356" t="n">
        <v>0</v>
      </c>
      <c r="K356" t="n">
        <v>0</v>
      </c>
      <c r="L356" t="n">
        <v>0</v>
      </c>
      <c r="M356" t="n">
        <v>0</v>
      </c>
      <c r="N356" t="n">
        <v>0</v>
      </c>
      <c r="O356" t="n">
        <v>0</v>
      </c>
      <c r="P356" t="n">
        <v>0</v>
      </c>
      <c r="Q356" t="n">
        <v>0</v>
      </c>
      <c r="R356" s="2" t="inlineStr"/>
    </row>
    <row r="357" ht="15" customHeight="1">
      <c r="A357" t="inlineStr">
        <is>
          <t>A 61443-2024</t>
        </is>
      </c>
      <c r="B357" s="1" t="n">
        <v>45646.47936342593</v>
      </c>
      <c r="C357" s="1" t="n">
        <v>45995</v>
      </c>
      <c r="D357" t="inlineStr">
        <is>
          <t>UPPSALA LÄN</t>
        </is>
      </c>
      <c r="E357" t="inlineStr">
        <is>
          <t>ÖSTHAMMAR</t>
        </is>
      </c>
      <c r="G357" t="n">
        <v>0.4</v>
      </c>
      <c r="H357" t="n">
        <v>0</v>
      </c>
      <c r="I357" t="n">
        <v>0</v>
      </c>
      <c r="J357" t="n">
        <v>0</v>
      </c>
      <c r="K357" t="n">
        <v>0</v>
      </c>
      <c r="L357" t="n">
        <v>0</v>
      </c>
      <c r="M357" t="n">
        <v>0</v>
      </c>
      <c r="N357" t="n">
        <v>0</v>
      </c>
      <c r="O357" t="n">
        <v>0</v>
      </c>
      <c r="P357" t="n">
        <v>0</v>
      </c>
      <c r="Q357" t="n">
        <v>0</v>
      </c>
      <c r="R357" s="2" t="inlineStr"/>
    </row>
    <row r="358" ht="15" customHeight="1">
      <c r="A358" t="inlineStr">
        <is>
          <t>A 43622-2025</t>
        </is>
      </c>
      <c r="B358" s="1" t="n">
        <v>45911.68295138889</v>
      </c>
      <c r="C358" s="1" t="n">
        <v>45995</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26612-2023</t>
        </is>
      </c>
      <c r="B359" s="1" t="n">
        <v>45089</v>
      </c>
      <c r="C359" s="1" t="n">
        <v>45995</v>
      </c>
      <c r="D359" t="inlineStr">
        <is>
          <t>UPPSALA LÄN</t>
        </is>
      </c>
      <c r="E359" t="inlineStr">
        <is>
          <t>ÖSTHAMMAR</t>
        </is>
      </c>
      <c r="G359" t="n">
        <v>2.1</v>
      </c>
      <c r="H359" t="n">
        <v>0</v>
      </c>
      <c r="I359" t="n">
        <v>0</v>
      </c>
      <c r="J359" t="n">
        <v>0</v>
      </c>
      <c r="K359" t="n">
        <v>0</v>
      </c>
      <c r="L359" t="n">
        <v>0</v>
      </c>
      <c r="M359" t="n">
        <v>0</v>
      </c>
      <c r="N359" t="n">
        <v>0</v>
      </c>
      <c r="O359" t="n">
        <v>0</v>
      </c>
      <c r="P359" t="n">
        <v>0</v>
      </c>
      <c r="Q359" t="n">
        <v>0</v>
      </c>
      <c r="R359" s="2" t="inlineStr"/>
    </row>
    <row r="360" ht="15" customHeight="1">
      <c r="A360" t="inlineStr">
        <is>
          <t>A 52332-2025</t>
        </is>
      </c>
      <c r="B360" s="1" t="n">
        <v>45953.67853009259</v>
      </c>
      <c r="C360" s="1" t="n">
        <v>45995</v>
      </c>
      <c r="D360" t="inlineStr">
        <is>
          <t>UPPSALA LÄN</t>
        </is>
      </c>
      <c r="E360" t="inlineStr">
        <is>
          <t>ÖSTHAMMAR</t>
        </is>
      </c>
      <c r="F360" t="inlineStr">
        <is>
          <t>Bergvik skog öst AB</t>
        </is>
      </c>
      <c r="G360" t="n">
        <v>3.8</v>
      </c>
      <c r="H360" t="n">
        <v>0</v>
      </c>
      <c r="I360" t="n">
        <v>0</v>
      </c>
      <c r="J360" t="n">
        <v>0</v>
      </c>
      <c r="K360" t="n">
        <v>0</v>
      </c>
      <c r="L360" t="n">
        <v>0</v>
      </c>
      <c r="M360" t="n">
        <v>0</v>
      </c>
      <c r="N360" t="n">
        <v>0</v>
      </c>
      <c r="O360" t="n">
        <v>0</v>
      </c>
      <c r="P360" t="n">
        <v>0</v>
      </c>
      <c r="Q360" t="n">
        <v>0</v>
      </c>
      <c r="R360" s="2" t="inlineStr"/>
    </row>
    <row r="361" ht="15" customHeight="1">
      <c r="A361" t="inlineStr">
        <is>
          <t>A 43604-2025</t>
        </is>
      </c>
      <c r="B361" s="1" t="n">
        <v>45911.66671296296</v>
      </c>
      <c r="C361" s="1" t="n">
        <v>45995</v>
      </c>
      <c r="D361" t="inlineStr">
        <is>
          <t>UPPSALA LÄN</t>
        </is>
      </c>
      <c r="E361" t="inlineStr">
        <is>
          <t>ÖSTHAMMAR</t>
        </is>
      </c>
      <c r="G361" t="n">
        <v>8.5</v>
      </c>
      <c r="H361" t="n">
        <v>0</v>
      </c>
      <c r="I361" t="n">
        <v>0</v>
      </c>
      <c r="J361" t="n">
        <v>0</v>
      </c>
      <c r="K361" t="n">
        <v>0</v>
      </c>
      <c r="L361" t="n">
        <v>0</v>
      </c>
      <c r="M361" t="n">
        <v>0</v>
      </c>
      <c r="N361" t="n">
        <v>0</v>
      </c>
      <c r="O361" t="n">
        <v>0</v>
      </c>
      <c r="P361" t="n">
        <v>0</v>
      </c>
      <c r="Q361" t="n">
        <v>0</v>
      </c>
      <c r="R361" s="2" t="inlineStr"/>
    </row>
    <row r="362" ht="15" customHeight="1">
      <c r="A362" t="inlineStr">
        <is>
          <t>A 65361-2020</t>
        </is>
      </c>
      <c r="B362" s="1" t="n">
        <v>44173</v>
      </c>
      <c r="C362" s="1" t="n">
        <v>45995</v>
      </c>
      <c r="D362" t="inlineStr">
        <is>
          <t>UPPSALA LÄN</t>
        </is>
      </c>
      <c r="E362" t="inlineStr">
        <is>
          <t>ÖSTHAMMAR</t>
        </is>
      </c>
      <c r="G362" t="n">
        <v>3.6</v>
      </c>
      <c r="H362" t="n">
        <v>0</v>
      </c>
      <c r="I362" t="n">
        <v>0</v>
      </c>
      <c r="J362" t="n">
        <v>0</v>
      </c>
      <c r="K362" t="n">
        <v>0</v>
      </c>
      <c r="L362" t="n">
        <v>0</v>
      </c>
      <c r="M362" t="n">
        <v>0</v>
      </c>
      <c r="N362" t="n">
        <v>0</v>
      </c>
      <c r="O362" t="n">
        <v>0</v>
      </c>
      <c r="P362" t="n">
        <v>0</v>
      </c>
      <c r="Q362" t="n">
        <v>0</v>
      </c>
      <c r="R362" s="2" t="inlineStr"/>
    </row>
    <row r="363" ht="15" customHeight="1">
      <c r="A363" t="inlineStr">
        <is>
          <t>A 14269-2025</t>
        </is>
      </c>
      <c r="B363" s="1" t="n">
        <v>45740.64078703704</v>
      </c>
      <c r="C363" s="1" t="n">
        <v>45995</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18088-2025</t>
        </is>
      </c>
      <c r="B364" s="1" t="n">
        <v>45761.53104166667</v>
      </c>
      <c r="C364" s="1" t="n">
        <v>45995</v>
      </c>
      <c r="D364" t="inlineStr">
        <is>
          <t>UPPSALA LÄN</t>
        </is>
      </c>
      <c r="E364" t="inlineStr">
        <is>
          <t>ÖSTHAMMAR</t>
        </is>
      </c>
      <c r="F364" t="inlineStr">
        <is>
          <t>Bergvik skog öst AB</t>
        </is>
      </c>
      <c r="G364" t="n">
        <v>1.9</v>
      </c>
      <c r="H364" t="n">
        <v>0</v>
      </c>
      <c r="I364" t="n">
        <v>0</v>
      </c>
      <c r="J364" t="n">
        <v>0</v>
      </c>
      <c r="K364" t="n">
        <v>0</v>
      </c>
      <c r="L364" t="n">
        <v>0</v>
      </c>
      <c r="M364" t="n">
        <v>0</v>
      </c>
      <c r="N364" t="n">
        <v>0</v>
      </c>
      <c r="O364" t="n">
        <v>0</v>
      </c>
      <c r="P364" t="n">
        <v>0</v>
      </c>
      <c r="Q364" t="n">
        <v>0</v>
      </c>
      <c r="R364" s="2" t="inlineStr"/>
    </row>
    <row r="365" ht="15" customHeight="1">
      <c r="A365" t="inlineStr">
        <is>
          <t>A 18095-2025</t>
        </is>
      </c>
      <c r="B365" s="1" t="n">
        <v>45761.54925925926</v>
      </c>
      <c r="C365" s="1" t="n">
        <v>45995</v>
      </c>
      <c r="D365" t="inlineStr">
        <is>
          <t>UPPSALA LÄN</t>
        </is>
      </c>
      <c r="E365" t="inlineStr">
        <is>
          <t>ÖSTHAMMAR</t>
        </is>
      </c>
      <c r="F365" t="inlineStr">
        <is>
          <t>Bergvik skog öst AB</t>
        </is>
      </c>
      <c r="G365" t="n">
        <v>1.4</v>
      </c>
      <c r="H365" t="n">
        <v>0</v>
      </c>
      <c r="I365" t="n">
        <v>0</v>
      </c>
      <c r="J365" t="n">
        <v>0</v>
      </c>
      <c r="K365" t="n">
        <v>0</v>
      </c>
      <c r="L365" t="n">
        <v>0</v>
      </c>
      <c r="M365" t="n">
        <v>0</v>
      </c>
      <c r="N365" t="n">
        <v>0</v>
      </c>
      <c r="O365" t="n">
        <v>0</v>
      </c>
      <c r="P365" t="n">
        <v>0</v>
      </c>
      <c r="Q365" t="n">
        <v>0</v>
      </c>
      <c r="R365" s="2" t="inlineStr"/>
    </row>
    <row r="366" ht="15" customHeight="1">
      <c r="A366" t="inlineStr">
        <is>
          <t>A 16531-2025</t>
        </is>
      </c>
      <c r="B366" s="1" t="n">
        <v>45751</v>
      </c>
      <c r="C366" s="1" t="n">
        <v>45995</v>
      </c>
      <c r="D366" t="inlineStr">
        <is>
          <t>UPPSALA LÄN</t>
        </is>
      </c>
      <c r="E366" t="inlineStr">
        <is>
          <t>ÖSTHAMMAR</t>
        </is>
      </c>
      <c r="G366" t="n">
        <v>3.3</v>
      </c>
      <c r="H366" t="n">
        <v>0</v>
      </c>
      <c r="I366" t="n">
        <v>0</v>
      </c>
      <c r="J366" t="n">
        <v>0</v>
      </c>
      <c r="K366" t="n">
        <v>0</v>
      </c>
      <c r="L366" t="n">
        <v>0</v>
      </c>
      <c r="M366" t="n">
        <v>0</v>
      </c>
      <c r="N366" t="n">
        <v>0</v>
      </c>
      <c r="O366" t="n">
        <v>0</v>
      </c>
      <c r="P366" t="n">
        <v>0</v>
      </c>
      <c r="Q366" t="n">
        <v>0</v>
      </c>
      <c r="R366" s="2" t="inlineStr"/>
    </row>
    <row r="367" ht="15" customHeight="1">
      <c r="A367" t="inlineStr">
        <is>
          <t>A 58270-2023</t>
        </is>
      </c>
      <c r="B367" s="1" t="n">
        <v>45250.49961805555</v>
      </c>
      <c r="C367" s="1" t="n">
        <v>45995</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61817-2021</t>
        </is>
      </c>
      <c r="B368" s="1" t="n">
        <v>44501.76855324074</v>
      </c>
      <c r="C368" s="1" t="n">
        <v>45995</v>
      </c>
      <c r="D368" t="inlineStr">
        <is>
          <t>UPPSALA LÄN</t>
        </is>
      </c>
      <c r="E368" t="inlineStr">
        <is>
          <t>ÖSTHAMMAR</t>
        </is>
      </c>
      <c r="F368" t="inlineStr">
        <is>
          <t>Bergvik skog öst AB</t>
        </is>
      </c>
      <c r="G368" t="n">
        <v>2.3</v>
      </c>
      <c r="H368" t="n">
        <v>0</v>
      </c>
      <c r="I368" t="n">
        <v>0</v>
      </c>
      <c r="J368" t="n">
        <v>0</v>
      </c>
      <c r="K368" t="n">
        <v>0</v>
      </c>
      <c r="L368" t="n">
        <v>0</v>
      </c>
      <c r="M368" t="n">
        <v>0</v>
      </c>
      <c r="N368" t="n">
        <v>0</v>
      </c>
      <c r="O368" t="n">
        <v>0</v>
      </c>
      <c r="P368" t="n">
        <v>0</v>
      </c>
      <c r="Q368" t="n">
        <v>0</v>
      </c>
      <c r="R368" s="2" t="inlineStr"/>
    </row>
    <row r="369" ht="15" customHeight="1">
      <c r="A369" t="inlineStr">
        <is>
          <t>A 73982-2021</t>
        </is>
      </c>
      <c r="B369" s="1" t="n">
        <v>44555.80339120371</v>
      </c>
      <c r="C369" s="1" t="n">
        <v>45995</v>
      </c>
      <c r="D369" t="inlineStr">
        <is>
          <t>UPPSALA LÄN</t>
        </is>
      </c>
      <c r="E369" t="inlineStr">
        <is>
          <t>ÖSTHAMMAR</t>
        </is>
      </c>
      <c r="G369" t="n">
        <v>0.9</v>
      </c>
      <c r="H369" t="n">
        <v>0</v>
      </c>
      <c r="I369" t="n">
        <v>0</v>
      </c>
      <c r="J369" t="n">
        <v>0</v>
      </c>
      <c r="K369" t="n">
        <v>0</v>
      </c>
      <c r="L369" t="n">
        <v>0</v>
      </c>
      <c r="M369" t="n">
        <v>0</v>
      </c>
      <c r="N369" t="n">
        <v>0</v>
      </c>
      <c r="O369" t="n">
        <v>0</v>
      </c>
      <c r="P369" t="n">
        <v>0</v>
      </c>
      <c r="Q369" t="n">
        <v>0</v>
      </c>
      <c r="R369" s="2" t="inlineStr"/>
    </row>
    <row r="370" ht="15" customHeight="1">
      <c r="A370" t="inlineStr">
        <is>
          <t>A 14859-2025</t>
        </is>
      </c>
      <c r="B370" s="1" t="n">
        <v>45743.42427083333</v>
      </c>
      <c r="C370" s="1" t="n">
        <v>45995</v>
      </c>
      <c r="D370" t="inlineStr">
        <is>
          <t>UPPSALA LÄN</t>
        </is>
      </c>
      <c r="E370" t="inlineStr">
        <is>
          <t>ÖSTHAMMAR</t>
        </is>
      </c>
      <c r="G370" t="n">
        <v>1.1</v>
      </c>
      <c r="H370" t="n">
        <v>0</v>
      </c>
      <c r="I370" t="n">
        <v>0</v>
      </c>
      <c r="J370" t="n">
        <v>0</v>
      </c>
      <c r="K370" t="n">
        <v>0</v>
      </c>
      <c r="L370" t="n">
        <v>0</v>
      </c>
      <c r="M370" t="n">
        <v>0</v>
      </c>
      <c r="N370" t="n">
        <v>0</v>
      </c>
      <c r="O370" t="n">
        <v>0</v>
      </c>
      <c r="P370" t="n">
        <v>0</v>
      </c>
      <c r="Q370" t="n">
        <v>0</v>
      </c>
      <c r="R370" s="2" t="inlineStr"/>
    </row>
    <row r="371" ht="15" customHeight="1">
      <c r="A371" t="inlineStr">
        <is>
          <t>A 25897-2023</t>
        </is>
      </c>
      <c r="B371" s="1" t="n">
        <v>45090.63300925926</v>
      </c>
      <c r="C371" s="1" t="n">
        <v>45995</v>
      </c>
      <c r="D371" t="inlineStr">
        <is>
          <t>UPPSALA LÄN</t>
        </is>
      </c>
      <c r="E371" t="inlineStr">
        <is>
          <t>ÖSTHAMMAR</t>
        </is>
      </c>
      <c r="F371" t="inlineStr">
        <is>
          <t>Bergvik skog öst AB</t>
        </is>
      </c>
      <c r="G371" t="n">
        <v>1.6</v>
      </c>
      <c r="H371" t="n">
        <v>0</v>
      </c>
      <c r="I371" t="n">
        <v>0</v>
      </c>
      <c r="J371" t="n">
        <v>0</v>
      </c>
      <c r="K371" t="n">
        <v>0</v>
      </c>
      <c r="L371" t="n">
        <v>0</v>
      </c>
      <c r="M371" t="n">
        <v>0</v>
      </c>
      <c r="N371" t="n">
        <v>0</v>
      </c>
      <c r="O371" t="n">
        <v>0</v>
      </c>
      <c r="P371" t="n">
        <v>0</v>
      </c>
      <c r="Q371" t="n">
        <v>0</v>
      </c>
      <c r="R371" s="2" t="inlineStr"/>
    </row>
    <row r="372" ht="15" customHeight="1">
      <c r="A372" t="inlineStr">
        <is>
          <t>A 14272-2025</t>
        </is>
      </c>
      <c r="B372" s="1" t="n">
        <v>45740.64327546296</v>
      </c>
      <c r="C372" s="1" t="n">
        <v>45995</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20046-2023</t>
        </is>
      </c>
      <c r="B373" s="1" t="n">
        <v>45054</v>
      </c>
      <c r="C373" s="1" t="n">
        <v>45995</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41478-2024</t>
        </is>
      </c>
      <c r="B374" s="1" t="n">
        <v>45560.44158564815</v>
      </c>
      <c r="C374" s="1" t="n">
        <v>45995</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27660-2023</t>
        </is>
      </c>
      <c r="B375" s="1" t="n">
        <v>45097</v>
      </c>
      <c r="C375" s="1" t="n">
        <v>45995</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3638-2022</t>
        </is>
      </c>
      <c r="B376" s="1" t="n">
        <v>44578</v>
      </c>
      <c r="C376" s="1" t="n">
        <v>45995</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62394-2022</t>
        </is>
      </c>
      <c r="B377" s="1" t="n">
        <v>44923.82017361111</v>
      </c>
      <c r="C377" s="1" t="n">
        <v>45995</v>
      </c>
      <c r="D377" t="inlineStr">
        <is>
          <t>UPPSALA LÄN</t>
        </is>
      </c>
      <c r="E377" t="inlineStr">
        <is>
          <t>ÖSTHAMMAR</t>
        </is>
      </c>
      <c r="F377" t="inlineStr">
        <is>
          <t>Bergvik skog öst AB</t>
        </is>
      </c>
      <c r="G377" t="n">
        <v>0.5</v>
      </c>
      <c r="H377" t="n">
        <v>0</v>
      </c>
      <c r="I377" t="n">
        <v>0</v>
      </c>
      <c r="J377" t="n">
        <v>0</v>
      </c>
      <c r="K377" t="n">
        <v>0</v>
      </c>
      <c r="L377" t="n">
        <v>0</v>
      </c>
      <c r="M377" t="n">
        <v>0</v>
      </c>
      <c r="N377" t="n">
        <v>0</v>
      </c>
      <c r="O377" t="n">
        <v>0</v>
      </c>
      <c r="P377" t="n">
        <v>0</v>
      </c>
      <c r="Q377" t="n">
        <v>0</v>
      </c>
      <c r="R377" s="2" t="inlineStr"/>
    </row>
    <row r="378" ht="15" customHeight="1">
      <c r="A378" t="inlineStr">
        <is>
          <t>A 21478-2023</t>
        </is>
      </c>
      <c r="B378" s="1" t="n">
        <v>45063.47773148148</v>
      </c>
      <c r="C378" s="1" t="n">
        <v>45995</v>
      </c>
      <c r="D378" t="inlineStr">
        <is>
          <t>UPPSALA LÄN</t>
        </is>
      </c>
      <c r="E378" t="inlineStr">
        <is>
          <t>ÖSTHAMMAR</t>
        </is>
      </c>
      <c r="G378" t="n">
        <v>0.4</v>
      </c>
      <c r="H378" t="n">
        <v>0</v>
      </c>
      <c r="I378" t="n">
        <v>0</v>
      </c>
      <c r="J378" t="n">
        <v>0</v>
      </c>
      <c r="K378" t="n">
        <v>0</v>
      </c>
      <c r="L378" t="n">
        <v>0</v>
      </c>
      <c r="M378" t="n">
        <v>0</v>
      </c>
      <c r="N378" t="n">
        <v>0</v>
      </c>
      <c r="O378" t="n">
        <v>0</v>
      </c>
      <c r="P378" t="n">
        <v>0</v>
      </c>
      <c r="Q378" t="n">
        <v>0</v>
      </c>
      <c r="R378" s="2" t="inlineStr"/>
    </row>
    <row r="379" ht="15" customHeight="1">
      <c r="A379" t="inlineStr">
        <is>
          <t>A 17969-2023</t>
        </is>
      </c>
      <c r="B379" s="1" t="n">
        <v>45040.47081018519</v>
      </c>
      <c r="C379" s="1" t="n">
        <v>45995</v>
      </c>
      <c r="D379" t="inlineStr">
        <is>
          <t>UPPSALA LÄN</t>
        </is>
      </c>
      <c r="E379" t="inlineStr">
        <is>
          <t>ÖSTHAMMAR</t>
        </is>
      </c>
      <c r="G379" t="n">
        <v>5.4</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45995</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6153-2022</t>
        </is>
      </c>
      <c r="B381" s="1" t="n">
        <v>44599</v>
      </c>
      <c r="C381" s="1" t="n">
        <v>45995</v>
      </c>
      <c r="D381" t="inlineStr">
        <is>
          <t>UPPSALA LÄN</t>
        </is>
      </c>
      <c r="E381" t="inlineStr">
        <is>
          <t>ÖSTHAMMAR</t>
        </is>
      </c>
      <c r="G381" t="n">
        <v>1.2</v>
      </c>
      <c r="H381" t="n">
        <v>0</v>
      </c>
      <c r="I381" t="n">
        <v>0</v>
      </c>
      <c r="J381" t="n">
        <v>0</v>
      </c>
      <c r="K381" t="n">
        <v>0</v>
      </c>
      <c r="L381" t="n">
        <v>0</v>
      </c>
      <c r="M381" t="n">
        <v>0</v>
      </c>
      <c r="N381" t="n">
        <v>0</v>
      </c>
      <c r="O381" t="n">
        <v>0</v>
      </c>
      <c r="P381" t="n">
        <v>0</v>
      </c>
      <c r="Q381" t="n">
        <v>0</v>
      </c>
      <c r="R381" s="2" t="inlineStr"/>
    </row>
    <row r="382" ht="15" customHeight="1">
      <c r="A382" t="inlineStr">
        <is>
          <t>A 58878-2022</t>
        </is>
      </c>
      <c r="B382" s="1" t="n">
        <v>44903</v>
      </c>
      <c r="C382" s="1" t="n">
        <v>45995</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1800-2023</t>
        </is>
      </c>
      <c r="B383" s="1" t="n">
        <v>44938</v>
      </c>
      <c r="C383" s="1" t="n">
        <v>45995</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47341-2023</t>
        </is>
      </c>
      <c r="B384" s="1" t="n">
        <v>45202.55721064815</v>
      </c>
      <c r="C384" s="1" t="n">
        <v>45995</v>
      </c>
      <c r="D384" t="inlineStr">
        <is>
          <t>UPPSALA LÄN</t>
        </is>
      </c>
      <c r="E384" t="inlineStr">
        <is>
          <t>ÖSTHAMMAR</t>
        </is>
      </c>
      <c r="G384" t="n">
        <v>4.9</v>
      </c>
      <c r="H384" t="n">
        <v>0</v>
      </c>
      <c r="I384" t="n">
        <v>0</v>
      </c>
      <c r="J384" t="n">
        <v>0</v>
      </c>
      <c r="K384" t="n">
        <v>0</v>
      </c>
      <c r="L384" t="n">
        <v>0</v>
      </c>
      <c r="M384" t="n">
        <v>0</v>
      </c>
      <c r="N384" t="n">
        <v>0</v>
      </c>
      <c r="O384" t="n">
        <v>0</v>
      </c>
      <c r="P384" t="n">
        <v>0</v>
      </c>
      <c r="Q384" t="n">
        <v>0</v>
      </c>
      <c r="R384" s="2" t="inlineStr"/>
    </row>
    <row r="385" ht="15" customHeight="1">
      <c r="A385" t="inlineStr">
        <is>
          <t>A 12528-2024</t>
        </is>
      </c>
      <c r="B385" s="1" t="n">
        <v>45379.61878472222</v>
      </c>
      <c r="C385" s="1" t="n">
        <v>45995</v>
      </c>
      <c r="D385" t="inlineStr">
        <is>
          <t>UPPSALA LÄN</t>
        </is>
      </c>
      <c r="E385" t="inlineStr">
        <is>
          <t>ÖSTHAMMAR</t>
        </is>
      </c>
      <c r="F385" t="inlineStr">
        <is>
          <t>Bergvik skog öst AB</t>
        </is>
      </c>
      <c r="G385" t="n">
        <v>0.4</v>
      </c>
      <c r="H385" t="n">
        <v>0</v>
      </c>
      <c r="I385" t="n">
        <v>0</v>
      </c>
      <c r="J385" t="n">
        <v>0</v>
      </c>
      <c r="K385" t="n">
        <v>0</v>
      </c>
      <c r="L385" t="n">
        <v>0</v>
      </c>
      <c r="M385" t="n">
        <v>0</v>
      </c>
      <c r="N385" t="n">
        <v>0</v>
      </c>
      <c r="O385" t="n">
        <v>0</v>
      </c>
      <c r="P385" t="n">
        <v>0</v>
      </c>
      <c r="Q385" t="n">
        <v>0</v>
      </c>
      <c r="R385" s="2" t="inlineStr"/>
    </row>
    <row r="386" ht="15" customHeight="1">
      <c r="A386" t="inlineStr">
        <is>
          <t>A 61216-2022</t>
        </is>
      </c>
      <c r="B386" s="1" t="n">
        <v>44915.55423611111</v>
      </c>
      <c r="C386" s="1" t="n">
        <v>45995</v>
      </c>
      <c r="D386" t="inlineStr">
        <is>
          <t>UPPSALA LÄN</t>
        </is>
      </c>
      <c r="E386" t="inlineStr">
        <is>
          <t>ÖSTHAMMAR</t>
        </is>
      </c>
      <c r="G386" t="n">
        <v>2.9</v>
      </c>
      <c r="H386" t="n">
        <v>0</v>
      </c>
      <c r="I386" t="n">
        <v>0</v>
      </c>
      <c r="J386" t="n">
        <v>0</v>
      </c>
      <c r="K386" t="n">
        <v>0</v>
      </c>
      <c r="L386" t="n">
        <v>0</v>
      </c>
      <c r="M386" t="n">
        <v>0</v>
      </c>
      <c r="N386" t="n">
        <v>0</v>
      </c>
      <c r="O386" t="n">
        <v>0</v>
      </c>
      <c r="P386" t="n">
        <v>0</v>
      </c>
      <c r="Q386" t="n">
        <v>0</v>
      </c>
      <c r="R386" s="2" t="inlineStr"/>
    </row>
    <row r="387" ht="15" customHeight="1">
      <c r="A387" t="inlineStr">
        <is>
          <t>A 70008-2021</t>
        </is>
      </c>
      <c r="B387" s="1" t="n">
        <v>44533.44887731481</v>
      </c>
      <c r="C387" s="1" t="n">
        <v>45995</v>
      </c>
      <c r="D387" t="inlineStr">
        <is>
          <t>UPPSALA LÄN</t>
        </is>
      </c>
      <c r="E387" t="inlineStr">
        <is>
          <t>ÖSTHAMMAR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4228-2023</t>
        </is>
      </c>
      <c r="B388" s="1" t="n">
        <v>44953.48179398148</v>
      </c>
      <c r="C388" s="1" t="n">
        <v>45995</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44917-2025</t>
        </is>
      </c>
      <c r="B389" s="1" t="n">
        <v>45918.54903935185</v>
      </c>
      <c r="C389" s="1" t="n">
        <v>45995</v>
      </c>
      <c r="D389" t="inlineStr">
        <is>
          <t>UPPSALA LÄN</t>
        </is>
      </c>
      <c r="E389" t="inlineStr">
        <is>
          <t>ÖSTHAMMAR</t>
        </is>
      </c>
      <c r="F389" t="inlineStr">
        <is>
          <t>Allmännings- och besparingsskogar</t>
        </is>
      </c>
      <c r="G389" t="n">
        <v>16</v>
      </c>
      <c r="H389" t="n">
        <v>0</v>
      </c>
      <c r="I389" t="n">
        <v>0</v>
      </c>
      <c r="J389" t="n">
        <v>0</v>
      </c>
      <c r="K389" t="n">
        <v>0</v>
      </c>
      <c r="L389" t="n">
        <v>0</v>
      </c>
      <c r="M389" t="n">
        <v>0</v>
      </c>
      <c r="N389" t="n">
        <v>0</v>
      </c>
      <c r="O389" t="n">
        <v>0</v>
      </c>
      <c r="P389" t="n">
        <v>0</v>
      </c>
      <c r="Q389" t="n">
        <v>0</v>
      </c>
      <c r="R389" s="2" t="inlineStr"/>
    </row>
    <row r="390" ht="15" customHeight="1">
      <c r="A390" t="inlineStr">
        <is>
          <t>A 2733-2023</t>
        </is>
      </c>
      <c r="B390" s="1" t="n">
        <v>44943</v>
      </c>
      <c r="C390" s="1" t="n">
        <v>45995</v>
      </c>
      <c r="D390" t="inlineStr">
        <is>
          <t>UPPSALA LÄN</t>
        </is>
      </c>
      <c r="E390" t="inlineStr">
        <is>
          <t>ÖSTHAMMAR</t>
        </is>
      </c>
      <c r="G390" t="n">
        <v>2.6</v>
      </c>
      <c r="H390" t="n">
        <v>0</v>
      </c>
      <c r="I390" t="n">
        <v>0</v>
      </c>
      <c r="J390" t="n">
        <v>0</v>
      </c>
      <c r="K390" t="n">
        <v>0</v>
      </c>
      <c r="L390" t="n">
        <v>0</v>
      </c>
      <c r="M390" t="n">
        <v>0</v>
      </c>
      <c r="N390" t="n">
        <v>0</v>
      </c>
      <c r="O390" t="n">
        <v>0</v>
      </c>
      <c r="P390" t="n">
        <v>0</v>
      </c>
      <c r="Q390" t="n">
        <v>0</v>
      </c>
      <c r="R390" s="2" t="inlineStr"/>
    </row>
    <row r="391" ht="15" customHeight="1">
      <c r="A391" t="inlineStr">
        <is>
          <t>A 18091-2023</t>
        </is>
      </c>
      <c r="B391" s="1" t="n">
        <v>45040</v>
      </c>
      <c r="C391" s="1" t="n">
        <v>45995</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53737-2025</t>
        </is>
      </c>
      <c r="B392" s="1" t="n">
        <v>45960.64520833334</v>
      </c>
      <c r="C392" s="1" t="n">
        <v>45995</v>
      </c>
      <c r="D392" t="inlineStr">
        <is>
          <t>UPPSALA LÄN</t>
        </is>
      </c>
      <c r="E392" t="inlineStr">
        <is>
          <t>ÖSTHAMMAR</t>
        </is>
      </c>
      <c r="F392" t="inlineStr">
        <is>
          <t>Bergvik skog öst AB</t>
        </is>
      </c>
      <c r="G392" t="n">
        <v>3</v>
      </c>
      <c r="H392" t="n">
        <v>0</v>
      </c>
      <c r="I392" t="n">
        <v>0</v>
      </c>
      <c r="J392" t="n">
        <v>0</v>
      </c>
      <c r="K392" t="n">
        <v>0</v>
      </c>
      <c r="L392" t="n">
        <v>0</v>
      </c>
      <c r="M392" t="n">
        <v>0</v>
      </c>
      <c r="N392" t="n">
        <v>0</v>
      </c>
      <c r="O392" t="n">
        <v>0</v>
      </c>
      <c r="P392" t="n">
        <v>0</v>
      </c>
      <c r="Q392" t="n">
        <v>0</v>
      </c>
      <c r="R392" s="2" t="inlineStr"/>
    </row>
    <row r="393" ht="15" customHeight="1">
      <c r="A393" t="inlineStr">
        <is>
          <t>A 12812-2024</t>
        </is>
      </c>
      <c r="B393" s="1" t="n">
        <v>45384.65465277778</v>
      </c>
      <c r="C393" s="1" t="n">
        <v>45995</v>
      </c>
      <c r="D393" t="inlineStr">
        <is>
          <t>UPPSALA LÄN</t>
        </is>
      </c>
      <c r="E393" t="inlineStr">
        <is>
          <t>ÖSTHAMMAR</t>
        </is>
      </c>
      <c r="G393" t="n">
        <v>0.4</v>
      </c>
      <c r="H393" t="n">
        <v>0</v>
      </c>
      <c r="I393" t="n">
        <v>0</v>
      </c>
      <c r="J393" t="n">
        <v>0</v>
      </c>
      <c r="K393" t="n">
        <v>0</v>
      </c>
      <c r="L393" t="n">
        <v>0</v>
      </c>
      <c r="M393" t="n">
        <v>0</v>
      </c>
      <c r="N393" t="n">
        <v>0</v>
      </c>
      <c r="O393" t="n">
        <v>0</v>
      </c>
      <c r="P393" t="n">
        <v>0</v>
      </c>
      <c r="Q393" t="n">
        <v>0</v>
      </c>
      <c r="R393" s="2" t="inlineStr"/>
    </row>
    <row r="394" ht="15" customHeight="1">
      <c r="A394" t="inlineStr">
        <is>
          <t>A 22804-2022</t>
        </is>
      </c>
      <c r="B394" s="1" t="n">
        <v>44715</v>
      </c>
      <c r="C394" s="1" t="n">
        <v>45995</v>
      </c>
      <c r="D394" t="inlineStr">
        <is>
          <t>UPPSALA LÄN</t>
        </is>
      </c>
      <c r="E394" t="inlineStr">
        <is>
          <t>ÖSTHAMMAR</t>
        </is>
      </c>
      <c r="G394" t="n">
        <v>2.7</v>
      </c>
      <c r="H394" t="n">
        <v>0</v>
      </c>
      <c r="I394" t="n">
        <v>0</v>
      </c>
      <c r="J394" t="n">
        <v>0</v>
      </c>
      <c r="K394" t="n">
        <v>0</v>
      </c>
      <c r="L394" t="n">
        <v>0</v>
      </c>
      <c r="M394" t="n">
        <v>0</v>
      </c>
      <c r="N394" t="n">
        <v>0</v>
      </c>
      <c r="O394" t="n">
        <v>0</v>
      </c>
      <c r="P394" t="n">
        <v>0</v>
      </c>
      <c r="Q394" t="n">
        <v>0</v>
      </c>
      <c r="R394" s="2" t="inlineStr"/>
    </row>
    <row r="395" ht="15" customHeight="1">
      <c r="A395" t="inlineStr">
        <is>
          <t>A 66779-2021</t>
        </is>
      </c>
      <c r="B395" s="1" t="n">
        <v>44522.31700231481</v>
      </c>
      <c r="C395" s="1" t="n">
        <v>45995</v>
      </c>
      <c r="D395" t="inlineStr">
        <is>
          <t>UPPSALA LÄN</t>
        </is>
      </c>
      <c r="E395" t="inlineStr">
        <is>
          <t>ÖSTHAMMAR</t>
        </is>
      </c>
      <c r="G395" t="n">
        <v>2</v>
      </c>
      <c r="H395" t="n">
        <v>0</v>
      </c>
      <c r="I395" t="n">
        <v>0</v>
      </c>
      <c r="J395" t="n">
        <v>0</v>
      </c>
      <c r="K395" t="n">
        <v>0</v>
      </c>
      <c r="L395" t="n">
        <v>0</v>
      </c>
      <c r="M395" t="n">
        <v>0</v>
      </c>
      <c r="N395" t="n">
        <v>0</v>
      </c>
      <c r="O395" t="n">
        <v>0</v>
      </c>
      <c r="P395" t="n">
        <v>0</v>
      </c>
      <c r="Q395" t="n">
        <v>0</v>
      </c>
      <c r="R395" s="2" t="inlineStr"/>
    </row>
    <row r="396" ht="15" customHeight="1">
      <c r="A396" t="inlineStr">
        <is>
          <t>A 45105-2025</t>
        </is>
      </c>
      <c r="B396" s="1" t="n">
        <v>45919.40252314815</v>
      </c>
      <c r="C396" s="1" t="n">
        <v>45995</v>
      </c>
      <c r="D396" t="inlineStr">
        <is>
          <t>UPPSALA LÄN</t>
        </is>
      </c>
      <c r="E396" t="inlineStr">
        <is>
          <t>ÖSTHAMMAR</t>
        </is>
      </c>
      <c r="G396" t="n">
        <v>0.8</v>
      </c>
      <c r="H396" t="n">
        <v>0</v>
      </c>
      <c r="I396" t="n">
        <v>0</v>
      </c>
      <c r="J396" t="n">
        <v>0</v>
      </c>
      <c r="K396" t="n">
        <v>0</v>
      </c>
      <c r="L396" t="n">
        <v>0</v>
      </c>
      <c r="M396" t="n">
        <v>0</v>
      </c>
      <c r="N396" t="n">
        <v>0</v>
      </c>
      <c r="O396" t="n">
        <v>0</v>
      </c>
      <c r="P396" t="n">
        <v>0</v>
      </c>
      <c r="Q396" t="n">
        <v>0</v>
      </c>
      <c r="R396" s="2" t="inlineStr"/>
    </row>
    <row r="397" ht="15" customHeight="1">
      <c r="A397" t="inlineStr">
        <is>
          <t>A 23197-2023</t>
        </is>
      </c>
      <c r="B397" s="1" t="n">
        <v>45075</v>
      </c>
      <c r="C397" s="1" t="n">
        <v>45995</v>
      </c>
      <c r="D397" t="inlineStr">
        <is>
          <t>UPPSALA LÄN</t>
        </is>
      </c>
      <c r="E397" t="inlineStr">
        <is>
          <t>ÖSTHAMMAR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60079-2022</t>
        </is>
      </c>
      <c r="B398" s="1" t="n">
        <v>44909</v>
      </c>
      <c r="C398" s="1" t="n">
        <v>45995</v>
      </c>
      <c r="D398" t="inlineStr">
        <is>
          <t>UPPSALA LÄN</t>
        </is>
      </c>
      <c r="E398" t="inlineStr">
        <is>
          <t>ÖSTHAMMAR</t>
        </is>
      </c>
      <c r="G398" t="n">
        <v>9.6</v>
      </c>
      <c r="H398" t="n">
        <v>0</v>
      </c>
      <c r="I398" t="n">
        <v>0</v>
      </c>
      <c r="J398" t="n">
        <v>0</v>
      </c>
      <c r="K398" t="n">
        <v>0</v>
      </c>
      <c r="L398" t="n">
        <v>0</v>
      </c>
      <c r="M398" t="n">
        <v>0</v>
      </c>
      <c r="N398" t="n">
        <v>0</v>
      </c>
      <c r="O398" t="n">
        <v>0</v>
      </c>
      <c r="P398" t="n">
        <v>0</v>
      </c>
      <c r="Q398" t="n">
        <v>0</v>
      </c>
      <c r="R398" s="2" t="inlineStr"/>
    </row>
    <row r="399" ht="15" customHeight="1">
      <c r="A399" t="inlineStr">
        <is>
          <t>A 53656-2025</t>
        </is>
      </c>
      <c r="B399" s="1" t="n">
        <v>45960</v>
      </c>
      <c r="C399" s="1" t="n">
        <v>45995</v>
      </c>
      <c r="D399" t="inlineStr">
        <is>
          <t>UPPSALA LÄN</t>
        </is>
      </c>
      <c r="E399" t="inlineStr">
        <is>
          <t>ÖSTHAMMAR</t>
        </is>
      </c>
      <c r="G399" t="n">
        <v>3.1</v>
      </c>
      <c r="H399" t="n">
        <v>0</v>
      </c>
      <c r="I399" t="n">
        <v>0</v>
      </c>
      <c r="J399" t="n">
        <v>0</v>
      </c>
      <c r="K399" t="n">
        <v>0</v>
      </c>
      <c r="L399" t="n">
        <v>0</v>
      </c>
      <c r="M399" t="n">
        <v>0</v>
      </c>
      <c r="N399" t="n">
        <v>0</v>
      </c>
      <c r="O399" t="n">
        <v>0</v>
      </c>
      <c r="P399" t="n">
        <v>0</v>
      </c>
      <c r="Q399" t="n">
        <v>0</v>
      </c>
      <c r="R399" s="2" t="inlineStr"/>
    </row>
    <row r="400" ht="15" customHeight="1">
      <c r="A400" t="inlineStr">
        <is>
          <t>A 53557-2025</t>
        </is>
      </c>
      <c r="B400" s="1" t="n">
        <v>45960</v>
      </c>
      <c r="C400" s="1" t="n">
        <v>45995</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9267-2024</t>
        </is>
      </c>
      <c r="B401" s="1" t="n">
        <v>45358</v>
      </c>
      <c r="C401" s="1" t="n">
        <v>45995</v>
      </c>
      <c r="D401" t="inlineStr">
        <is>
          <t>UPPSALA LÄN</t>
        </is>
      </c>
      <c r="E401" t="inlineStr">
        <is>
          <t>ÖSTHAMMAR</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33758-2024</t>
        </is>
      </c>
      <c r="B402" s="1" t="n">
        <v>45520.56896990741</v>
      </c>
      <c r="C402" s="1" t="n">
        <v>45995</v>
      </c>
      <c r="D402" t="inlineStr">
        <is>
          <t>UPPSALA LÄN</t>
        </is>
      </c>
      <c r="E402" t="inlineStr">
        <is>
          <t>ÖSTHAMMAR</t>
        </is>
      </c>
      <c r="G402" t="n">
        <v>6.5</v>
      </c>
      <c r="H402" t="n">
        <v>0</v>
      </c>
      <c r="I402" t="n">
        <v>0</v>
      </c>
      <c r="J402" t="n">
        <v>0</v>
      </c>
      <c r="K402" t="n">
        <v>0</v>
      </c>
      <c r="L402" t="n">
        <v>0</v>
      </c>
      <c r="M402" t="n">
        <v>0</v>
      </c>
      <c r="N402" t="n">
        <v>0</v>
      </c>
      <c r="O402" t="n">
        <v>0</v>
      </c>
      <c r="P402" t="n">
        <v>0</v>
      </c>
      <c r="Q402" t="n">
        <v>0</v>
      </c>
      <c r="R402" s="2" t="inlineStr"/>
    </row>
    <row r="403" ht="15" customHeight="1">
      <c r="A403" t="inlineStr">
        <is>
          <t>A 57003-2021</t>
        </is>
      </c>
      <c r="B403" s="1" t="n">
        <v>44482.47577546296</v>
      </c>
      <c r="C403" s="1" t="n">
        <v>45995</v>
      </c>
      <c r="D403" t="inlineStr">
        <is>
          <t>UPPSALA LÄN</t>
        </is>
      </c>
      <c r="E403" t="inlineStr">
        <is>
          <t>ÖSTHAMMAR</t>
        </is>
      </c>
      <c r="G403" t="n">
        <v>1.9</v>
      </c>
      <c r="H403" t="n">
        <v>0</v>
      </c>
      <c r="I403" t="n">
        <v>0</v>
      </c>
      <c r="J403" t="n">
        <v>0</v>
      </c>
      <c r="K403" t="n">
        <v>0</v>
      </c>
      <c r="L403" t="n">
        <v>0</v>
      </c>
      <c r="M403" t="n">
        <v>0</v>
      </c>
      <c r="N403" t="n">
        <v>0</v>
      </c>
      <c r="O403" t="n">
        <v>0</v>
      </c>
      <c r="P403" t="n">
        <v>0</v>
      </c>
      <c r="Q403" t="n">
        <v>0</v>
      </c>
      <c r="R403" s="2" t="inlineStr"/>
    </row>
    <row r="404" ht="15" customHeight="1">
      <c r="A404" t="inlineStr">
        <is>
          <t>A 54242-2025</t>
        </is>
      </c>
      <c r="B404" s="1" t="n">
        <v>45964.63251157408</v>
      </c>
      <c r="C404" s="1" t="n">
        <v>45995</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35316-2024</t>
        </is>
      </c>
      <c r="B405" s="1" t="n">
        <v>45530.68873842592</v>
      </c>
      <c r="C405" s="1" t="n">
        <v>45995</v>
      </c>
      <c r="D405" t="inlineStr">
        <is>
          <t>UPPSALA LÄN</t>
        </is>
      </c>
      <c r="E405" t="inlineStr">
        <is>
          <t>ÖSTHAMMAR</t>
        </is>
      </c>
      <c r="F405" t="inlineStr">
        <is>
          <t>Bergvik skog öst AB</t>
        </is>
      </c>
      <c r="G405" t="n">
        <v>2.1</v>
      </c>
      <c r="H405" t="n">
        <v>0</v>
      </c>
      <c r="I405" t="n">
        <v>0</v>
      </c>
      <c r="J405" t="n">
        <v>0</v>
      </c>
      <c r="K405" t="n">
        <v>0</v>
      </c>
      <c r="L405" t="n">
        <v>0</v>
      </c>
      <c r="M405" t="n">
        <v>0</v>
      </c>
      <c r="N405" t="n">
        <v>0</v>
      </c>
      <c r="O405" t="n">
        <v>0</v>
      </c>
      <c r="P405" t="n">
        <v>0</v>
      </c>
      <c r="Q405" t="n">
        <v>0</v>
      </c>
      <c r="R405" s="2" t="inlineStr"/>
    </row>
    <row r="406" ht="15" customHeight="1">
      <c r="A406" t="inlineStr">
        <is>
          <t>A 53567-2025</t>
        </is>
      </c>
      <c r="B406" s="1" t="n">
        <v>45960</v>
      </c>
      <c r="C406" s="1" t="n">
        <v>45995</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38571-2023</t>
        </is>
      </c>
      <c r="B407" s="1" t="n">
        <v>45162.6177662037</v>
      </c>
      <c r="C407" s="1" t="n">
        <v>45995</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31574-2022</t>
        </is>
      </c>
      <c r="B408" s="1" t="n">
        <v>44775</v>
      </c>
      <c r="C408" s="1" t="n">
        <v>45995</v>
      </c>
      <c r="D408" t="inlineStr">
        <is>
          <t>UPPSALA LÄN</t>
        </is>
      </c>
      <c r="E408" t="inlineStr">
        <is>
          <t>ÖSTHAMMAR</t>
        </is>
      </c>
      <c r="G408" t="n">
        <v>29.7</v>
      </c>
      <c r="H408" t="n">
        <v>0</v>
      </c>
      <c r="I408" t="n">
        <v>0</v>
      </c>
      <c r="J408" t="n">
        <v>0</v>
      </c>
      <c r="K408" t="n">
        <v>0</v>
      </c>
      <c r="L408" t="n">
        <v>0</v>
      </c>
      <c r="M408" t="n">
        <v>0</v>
      </c>
      <c r="N408" t="n">
        <v>0</v>
      </c>
      <c r="O408" t="n">
        <v>0</v>
      </c>
      <c r="P408" t="n">
        <v>0</v>
      </c>
      <c r="Q408" t="n">
        <v>0</v>
      </c>
      <c r="R408" s="2" t="inlineStr"/>
    </row>
    <row r="409" ht="15" customHeight="1">
      <c r="A409" t="inlineStr">
        <is>
          <t>A 45102-2025</t>
        </is>
      </c>
      <c r="B409" s="1" t="n">
        <v>45919.39731481481</v>
      </c>
      <c r="C409" s="1" t="n">
        <v>45995</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73483-2021</t>
        </is>
      </c>
      <c r="B410" s="1" t="n">
        <v>44550</v>
      </c>
      <c r="C410" s="1" t="n">
        <v>45995</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7560-2023</t>
        </is>
      </c>
      <c r="B411" s="1" t="n">
        <v>44972.34811342593</v>
      </c>
      <c r="C411" s="1" t="n">
        <v>45995</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44184-2024</t>
        </is>
      </c>
      <c r="B412" s="1" t="n">
        <v>45572</v>
      </c>
      <c r="C412" s="1" t="n">
        <v>45995</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48083-2024</t>
        </is>
      </c>
      <c r="B413" s="1" t="n">
        <v>45589.58766203704</v>
      </c>
      <c r="C413" s="1" t="n">
        <v>45995</v>
      </c>
      <c r="D413" t="inlineStr">
        <is>
          <t>UPPSALA LÄN</t>
        </is>
      </c>
      <c r="E413" t="inlineStr">
        <is>
          <t>ÖSTHAMMAR</t>
        </is>
      </c>
      <c r="G413" t="n">
        <v>3</v>
      </c>
      <c r="H413" t="n">
        <v>0</v>
      </c>
      <c r="I413" t="n">
        <v>0</v>
      </c>
      <c r="J413" t="n">
        <v>0</v>
      </c>
      <c r="K413" t="n">
        <v>0</v>
      </c>
      <c r="L413" t="n">
        <v>0</v>
      </c>
      <c r="M413" t="n">
        <v>0</v>
      </c>
      <c r="N413" t="n">
        <v>0</v>
      </c>
      <c r="O413" t="n">
        <v>0</v>
      </c>
      <c r="P413" t="n">
        <v>0</v>
      </c>
      <c r="Q413" t="n">
        <v>0</v>
      </c>
      <c r="R413" s="2" t="inlineStr"/>
    </row>
    <row r="414" ht="15" customHeight="1">
      <c r="A414" t="inlineStr">
        <is>
          <t>A 74436-2021</t>
        </is>
      </c>
      <c r="B414" s="1" t="n">
        <v>44560.4502199074</v>
      </c>
      <c r="C414" s="1" t="n">
        <v>45995</v>
      </c>
      <c r="D414" t="inlineStr">
        <is>
          <t>UPPSALA LÄN</t>
        </is>
      </c>
      <c r="E414" t="inlineStr">
        <is>
          <t>ÖSTHAMMAR</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24181-2022</t>
        </is>
      </c>
      <c r="B415" s="1" t="n">
        <v>44725</v>
      </c>
      <c r="C415" s="1" t="n">
        <v>45995</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45720-2025</t>
        </is>
      </c>
      <c r="B416" s="1" t="n">
        <v>45923.44583333333</v>
      </c>
      <c r="C416" s="1" t="n">
        <v>45995</v>
      </c>
      <c r="D416" t="inlineStr">
        <is>
          <t>UPPSALA LÄN</t>
        </is>
      </c>
      <c r="E416" t="inlineStr">
        <is>
          <t>ÖSTHAMMAR</t>
        </is>
      </c>
      <c r="F416" t="inlineStr">
        <is>
          <t>Övriga Aktiebolag</t>
        </is>
      </c>
      <c r="G416" t="n">
        <v>2.8</v>
      </c>
      <c r="H416" t="n">
        <v>0</v>
      </c>
      <c r="I416" t="n">
        <v>0</v>
      </c>
      <c r="J416" t="n">
        <v>0</v>
      </c>
      <c r="K416" t="n">
        <v>0</v>
      </c>
      <c r="L416" t="n">
        <v>0</v>
      </c>
      <c r="M416" t="n">
        <v>0</v>
      </c>
      <c r="N416" t="n">
        <v>0</v>
      </c>
      <c r="O416" t="n">
        <v>0</v>
      </c>
      <c r="P416" t="n">
        <v>0</v>
      </c>
      <c r="Q416" t="n">
        <v>0</v>
      </c>
      <c r="R416" s="2" t="inlineStr"/>
    </row>
    <row r="417" ht="15" customHeight="1">
      <c r="A417" t="inlineStr">
        <is>
          <t>A 45721-2025</t>
        </is>
      </c>
      <c r="B417" s="1" t="n">
        <v>45923.44844907407</v>
      </c>
      <c r="C417" s="1" t="n">
        <v>45995</v>
      </c>
      <c r="D417" t="inlineStr">
        <is>
          <t>UPPSALA LÄN</t>
        </is>
      </c>
      <c r="E417" t="inlineStr">
        <is>
          <t>ÖSTHAMMAR</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54647-2025</t>
        </is>
      </c>
      <c r="B418" s="1" t="n">
        <v>45966.37258101852</v>
      </c>
      <c r="C418" s="1" t="n">
        <v>45995</v>
      </c>
      <c r="D418" t="inlineStr">
        <is>
          <t>UPPSALA LÄN</t>
        </is>
      </c>
      <c r="E418" t="inlineStr">
        <is>
          <t>ÖSTHAMMAR</t>
        </is>
      </c>
      <c r="G418" t="n">
        <v>4.3</v>
      </c>
      <c r="H418" t="n">
        <v>0</v>
      </c>
      <c r="I418" t="n">
        <v>0</v>
      </c>
      <c r="J418" t="n">
        <v>0</v>
      </c>
      <c r="K418" t="n">
        <v>0</v>
      </c>
      <c r="L418" t="n">
        <v>0</v>
      </c>
      <c r="M418" t="n">
        <v>0</v>
      </c>
      <c r="N418" t="n">
        <v>0</v>
      </c>
      <c r="O418" t="n">
        <v>0</v>
      </c>
      <c r="P418" t="n">
        <v>0</v>
      </c>
      <c r="Q418" t="n">
        <v>0</v>
      </c>
      <c r="R418" s="2" t="inlineStr"/>
    </row>
    <row r="419" ht="15" customHeight="1">
      <c r="A419" t="inlineStr">
        <is>
          <t>A 54649-2025</t>
        </is>
      </c>
      <c r="B419" s="1" t="n">
        <v>45966.37548611111</v>
      </c>
      <c r="C419" s="1" t="n">
        <v>45995</v>
      </c>
      <c r="D419" t="inlineStr">
        <is>
          <t>UPPSALA LÄN</t>
        </is>
      </c>
      <c r="E419" t="inlineStr">
        <is>
          <t>ÖSTHAMMAR</t>
        </is>
      </c>
      <c r="G419" t="n">
        <v>0.5</v>
      </c>
      <c r="H419" t="n">
        <v>0</v>
      </c>
      <c r="I419" t="n">
        <v>0</v>
      </c>
      <c r="J419" t="n">
        <v>0</v>
      </c>
      <c r="K419" t="n">
        <v>0</v>
      </c>
      <c r="L419" t="n">
        <v>0</v>
      </c>
      <c r="M419" t="n">
        <v>0</v>
      </c>
      <c r="N419" t="n">
        <v>0</v>
      </c>
      <c r="O419" t="n">
        <v>0</v>
      </c>
      <c r="P419" t="n">
        <v>0</v>
      </c>
      <c r="Q419" t="n">
        <v>0</v>
      </c>
      <c r="R419" s="2" t="inlineStr"/>
    </row>
    <row r="420" ht="15" customHeight="1">
      <c r="A420" t="inlineStr">
        <is>
          <t>A 45993-2025</t>
        </is>
      </c>
      <c r="B420" s="1" t="n">
        <v>45924.39706018518</v>
      </c>
      <c r="C420" s="1" t="n">
        <v>45995</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4096-2025</t>
        </is>
      </c>
      <c r="B421" s="1" t="n">
        <v>45684</v>
      </c>
      <c r="C421" s="1" t="n">
        <v>45995</v>
      </c>
      <c r="D421" t="inlineStr">
        <is>
          <t>UPPSALA LÄN</t>
        </is>
      </c>
      <c r="E421" t="inlineStr">
        <is>
          <t>ÖSTHAMMAR</t>
        </is>
      </c>
      <c r="G421" t="n">
        <v>2</v>
      </c>
      <c r="H421" t="n">
        <v>0</v>
      </c>
      <c r="I421" t="n">
        <v>0</v>
      </c>
      <c r="J421" t="n">
        <v>0</v>
      </c>
      <c r="K421" t="n">
        <v>0</v>
      </c>
      <c r="L421" t="n">
        <v>0</v>
      </c>
      <c r="M421" t="n">
        <v>0</v>
      </c>
      <c r="N421" t="n">
        <v>0</v>
      </c>
      <c r="O421" t="n">
        <v>0</v>
      </c>
      <c r="P421" t="n">
        <v>0</v>
      </c>
      <c r="Q421" t="n">
        <v>0</v>
      </c>
      <c r="R421" s="2" t="inlineStr"/>
    </row>
    <row r="422" ht="15" customHeight="1">
      <c r="A422" t="inlineStr">
        <is>
          <t>A 32778-2023</t>
        </is>
      </c>
      <c r="B422" s="1" t="n">
        <v>45123.88789351852</v>
      </c>
      <c r="C422" s="1" t="n">
        <v>45995</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46088-2025</t>
        </is>
      </c>
      <c r="B423" s="1" t="n">
        <v>45924.52010416667</v>
      </c>
      <c r="C423" s="1" t="n">
        <v>45995</v>
      </c>
      <c r="D423" t="inlineStr">
        <is>
          <t>UPPSALA LÄN</t>
        </is>
      </c>
      <c r="E423" t="inlineStr">
        <is>
          <t>ÖSTHAMMAR</t>
        </is>
      </c>
      <c r="F423" t="inlineStr">
        <is>
          <t>Bergvik skog öst AB</t>
        </is>
      </c>
      <c r="G423" t="n">
        <v>2.7</v>
      </c>
      <c r="H423" t="n">
        <v>0</v>
      </c>
      <c r="I423" t="n">
        <v>0</v>
      </c>
      <c r="J423" t="n">
        <v>0</v>
      </c>
      <c r="K423" t="n">
        <v>0</v>
      </c>
      <c r="L423" t="n">
        <v>0</v>
      </c>
      <c r="M423" t="n">
        <v>0</v>
      </c>
      <c r="N423" t="n">
        <v>0</v>
      </c>
      <c r="O423" t="n">
        <v>0</v>
      </c>
      <c r="P423" t="n">
        <v>0</v>
      </c>
      <c r="Q423" t="n">
        <v>0</v>
      </c>
      <c r="R423" s="2" t="inlineStr"/>
    </row>
    <row r="424" ht="15" customHeight="1">
      <c r="A424" t="inlineStr">
        <is>
          <t>A 54592-2025</t>
        </is>
      </c>
      <c r="B424" s="1" t="n">
        <v>45965.74545138889</v>
      </c>
      <c r="C424" s="1" t="n">
        <v>45995</v>
      </c>
      <c r="D424" t="inlineStr">
        <is>
          <t>UPPSALA LÄN</t>
        </is>
      </c>
      <c r="E424" t="inlineStr">
        <is>
          <t>ÖSTHAMMAR</t>
        </is>
      </c>
      <c r="F424" t="inlineStr">
        <is>
          <t>Bergvik skog öst AB</t>
        </is>
      </c>
      <c r="G424" t="n">
        <v>5</v>
      </c>
      <c r="H424" t="n">
        <v>0</v>
      </c>
      <c r="I424" t="n">
        <v>0</v>
      </c>
      <c r="J424" t="n">
        <v>0</v>
      </c>
      <c r="K424" t="n">
        <v>0</v>
      </c>
      <c r="L424" t="n">
        <v>0</v>
      </c>
      <c r="M424" t="n">
        <v>0</v>
      </c>
      <c r="N424" t="n">
        <v>0</v>
      </c>
      <c r="O424" t="n">
        <v>0</v>
      </c>
      <c r="P424" t="n">
        <v>0</v>
      </c>
      <c r="Q424" t="n">
        <v>0</v>
      </c>
      <c r="R424" s="2" t="inlineStr"/>
    </row>
    <row r="425" ht="15" customHeight="1">
      <c r="A425" t="inlineStr">
        <is>
          <t>A 46089-2025</t>
        </is>
      </c>
      <c r="B425" s="1" t="n">
        <v>45924.52100694444</v>
      </c>
      <c r="C425" s="1" t="n">
        <v>45995</v>
      </c>
      <c r="D425" t="inlineStr">
        <is>
          <t>UPPSALA LÄN</t>
        </is>
      </c>
      <c r="E425" t="inlineStr">
        <is>
          <t>ÖSTHAMMAR</t>
        </is>
      </c>
      <c r="F425" t="inlineStr">
        <is>
          <t>Bergvik skog öst AB</t>
        </is>
      </c>
      <c r="G425" t="n">
        <v>2.6</v>
      </c>
      <c r="H425" t="n">
        <v>0</v>
      </c>
      <c r="I425" t="n">
        <v>0</v>
      </c>
      <c r="J425" t="n">
        <v>0</v>
      </c>
      <c r="K425" t="n">
        <v>0</v>
      </c>
      <c r="L425" t="n">
        <v>0</v>
      </c>
      <c r="M425" t="n">
        <v>0</v>
      </c>
      <c r="N425" t="n">
        <v>0</v>
      </c>
      <c r="O425" t="n">
        <v>0</v>
      </c>
      <c r="P425" t="n">
        <v>0</v>
      </c>
      <c r="Q425" t="n">
        <v>0</v>
      </c>
      <c r="R425" s="2" t="inlineStr"/>
    </row>
    <row r="426" ht="15" customHeight="1">
      <c r="A426" t="inlineStr">
        <is>
          <t>A 24033-2023</t>
        </is>
      </c>
      <c r="B426" s="1" t="n">
        <v>45078</v>
      </c>
      <c r="C426" s="1" t="n">
        <v>45995</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33680-2024</t>
        </is>
      </c>
      <c r="B427" s="1" t="n">
        <v>45520.50712962963</v>
      </c>
      <c r="C427" s="1" t="n">
        <v>45995</v>
      </c>
      <c r="D427" t="inlineStr">
        <is>
          <t>UPPSALA LÄN</t>
        </is>
      </c>
      <c r="E427" t="inlineStr">
        <is>
          <t>ÖSTHAMMAR</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22884-2024</t>
        </is>
      </c>
      <c r="B428" s="1" t="n">
        <v>45448</v>
      </c>
      <c r="C428" s="1" t="n">
        <v>45995</v>
      </c>
      <c r="D428" t="inlineStr">
        <is>
          <t>UPPSALA LÄN</t>
        </is>
      </c>
      <c r="E428" t="inlineStr">
        <is>
          <t>ÖSTHAMMAR</t>
        </is>
      </c>
      <c r="G428" t="n">
        <v>3.3</v>
      </c>
      <c r="H428" t="n">
        <v>0</v>
      </c>
      <c r="I428" t="n">
        <v>0</v>
      </c>
      <c r="J428" t="n">
        <v>0</v>
      </c>
      <c r="K428" t="n">
        <v>0</v>
      </c>
      <c r="L428" t="n">
        <v>0</v>
      </c>
      <c r="M428" t="n">
        <v>0</v>
      </c>
      <c r="N428" t="n">
        <v>0</v>
      </c>
      <c r="O428" t="n">
        <v>0</v>
      </c>
      <c r="P428" t="n">
        <v>0</v>
      </c>
      <c r="Q428" t="n">
        <v>0</v>
      </c>
      <c r="R428" s="2" t="inlineStr"/>
    </row>
    <row r="429" ht="15" customHeight="1">
      <c r="A429" t="inlineStr">
        <is>
          <t>A 12262-2023</t>
        </is>
      </c>
      <c r="B429" s="1" t="n">
        <v>44998.66662037037</v>
      </c>
      <c r="C429" s="1" t="n">
        <v>45995</v>
      </c>
      <c r="D429" t="inlineStr">
        <is>
          <t>UPPSALA LÄN</t>
        </is>
      </c>
      <c r="E429" t="inlineStr">
        <is>
          <t>ÖSTHAMMAR</t>
        </is>
      </c>
      <c r="G429" t="n">
        <v>4.1</v>
      </c>
      <c r="H429" t="n">
        <v>0</v>
      </c>
      <c r="I429" t="n">
        <v>0</v>
      </c>
      <c r="J429" t="n">
        <v>0</v>
      </c>
      <c r="K429" t="n">
        <v>0</v>
      </c>
      <c r="L429" t="n">
        <v>0</v>
      </c>
      <c r="M429" t="n">
        <v>0</v>
      </c>
      <c r="N429" t="n">
        <v>0</v>
      </c>
      <c r="O429" t="n">
        <v>0</v>
      </c>
      <c r="P429" t="n">
        <v>0</v>
      </c>
      <c r="Q429" t="n">
        <v>0</v>
      </c>
      <c r="R429" s="2" t="inlineStr"/>
    </row>
    <row r="430" ht="15" customHeight="1">
      <c r="A430" t="inlineStr">
        <is>
          <t>A 5254-2025</t>
        </is>
      </c>
      <c r="B430" s="1" t="n">
        <v>45692</v>
      </c>
      <c r="C430" s="1" t="n">
        <v>45995</v>
      </c>
      <c r="D430" t="inlineStr">
        <is>
          <t>UPPSALA LÄN</t>
        </is>
      </c>
      <c r="E430" t="inlineStr">
        <is>
          <t>ÖSTHAMMAR</t>
        </is>
      </c>
      <c r="G430" t="n">
        <v>5</v>
      </c>
      <c r="H430" t="n">
        <v>0</v>
      </c>
      <c r="I430" t="n">
        <v>0</v>
      </c>
      <c r="J430" t="n">
        <v>0</v>
      </c>
      <c r="K430" t="n">
        <v>0</v>
      </c>
      <c r="L430" t="n">
        <v>0</v>
      </c>
      <c r="M430" t="n">
        <v>0</v>
      </c>
      <c r="N430" t="n">
        <v>0</v>
      </c>
      <c r="O430" t="n">
        <v>0</v>
      </c>
      <c r="P430" t="n">
        <v>0</v>
      </c>
      <c r="Q430" t="n">
        <v>0</v>
      </c>
      <c r="R430" s="2" t="inlineStr"/>
    </row>
    <row r="431" ht="15" customHeight="1">
      <c r="A431" t="inlineStr">
        <is>
          <t>A 44807-2024</t>
        </is>
      </c>
      <c r="B431" s="1" t="n">
        <v>45574.65427083334</v>
      </c>
      <c r="C431" s="1" t="n">
        <v>45995</v>
      </c>
      <c r="D431" t="inlineStr">
        <is>
          <t>UPPSALA LÄN</t>
        </is>
      </c>
      <c r="E431" t="inlineStr">
        <is>
          <t>ÖSTHAMMAR</t>
        </is>
      </c>
      <c r="G431" t="n">
        <v>2.9</v>
      </c>
      <c r="H431" t="n">
        <v>0</v>
      </c>
      <c r="I431" t="n">
        <v>0</v>
      </c>
      <c r="J431" t="n">
        <v>0</v>
      </c>
      <c r="K431" t="n">
        <v>0</v>
      </c>
      <c r="L431" t="n">
        <v>0</v>
      </c>
      <c r="M431" t="n">
        <v>0</v>
      </c>
      <c r="N431" t="n">
        <v>0</v>
      </c>
      <c r="O431" t="n">
        <v>0</v>
      </c>
      <c r="P431" t="n">
        <v>0</v>
      </c>
      <c r="Q431" t="n">
        <v>0</v>
      </c>
      <c r="R431" s="2" t="inlineStr"/>
    </row>
    <row r="432" ht="15" customHeight="1">
      <c r="A432" t="inlineStr">
        <is>
          <t>A 7944-2023</t>
        </is>
      </c>
      <c r="B432" s="1" t="n">
        <v>44973.66458333333</v>
      </c>
      <c r="C432" s="1" t="n">
        <v>45995</v>
      </c>
      <c r="D432" t="inlineStr">
        <is>
          <t>UPPSALA LÄN</t>
        </is>
      </c>
      <c r="E432" t="inlineStr">
        <is>
          <t>ÖSTHAMMAR</t>
        </is>
      </c>
      <c r="G432" t="n">
        <v>4.6</v>
      </c>
      <c r="H432" t="n">
        <v>0</v>
      </c>
      <c r="I432" t="n">
        <v>0</v>
      </c>
      <c r="J432" t="n">
        <v>0</v>
      </c>
      <c r="K432" t="n">
        <v>0</v>
      </c>
      <c r="L432" t="n">
        <v>0</v>
      </c>
      <c r="M432" t="n">
        <v>0</v>
      </c>
      <c r="N432" t="n">
        <v>0</v>
      </c>
      <c r="O432" t="n">
        <v>0</v>
      </c>
      <c r="P432" t="n">
        <v>0</v>
      </c>
      <c r="Q432" t="n">
        <v>0</v>
      </c>
      <c r="R432" s="2" t="inlineStr"/>
    </row>
    <row r="433" ht="15" customHeight="1">
      <c r="A433" t="inlineStr">
        <is>
          <t>A 7195-2023</t>
        </is>
      </c>
      <c r="B433" s="1" t="n">
        <v>44970</v>
      </c>
      <c r="C433" s="1" t="n">
        <v>45995</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37568-2022</t>
        </is>
      </c>
      <c r="B434" s="1" t="n">
        <v>44809</v>
      </c>
      <c r="C434" s="1" t="n">
        <v>45995</v>
      </c>
      <c r="D434" t="inlineStr">
        <is>
          <t>UPPSALA LÄN</t>
        </is>
      </c>
      <c r="E434" t="inlineStr">
        <is>
          <t>ÖSTHAMMAR</t>
        </is>
      </c>
      <c r="G434" t="n">
        <v>1.1</v>
      </c>
      <c r="H434" t="n">
        <v>0</v>
      </c>
      <c r="I434" t="n">
        <v>0</v>
      </c>
      <c r="J434" t="n">
        <v>0</v>
      </c>
      <c r="K434" t="n">
        <v>0</v>
      </c>
      <c r="L434" t="n">
        <v>0</v>
      </c>
      <c r="M434" t="n">
        <v>0</v>
      </c>
      <c r="N434" t="n">
        <v>0</v>
      </c>
      <c r="O434" t="n">
        <v>0</v>
      </c>
      <c r="P434" t="n">
        <v>0</v>
      </c>
      <c r="Q434" t="n">
        <v>0</v>
      </c>
      <c r="R434" s="2" t="inlineStr"/>
    </row>
    <row r="435" ht="15" customHeight="1">
      <c r="A435" t="inlineStr">
        <is>
          <t>A 45715-2025</t>
        </is>
      </c>
      <c r="B435" s="1" t="n">
        <v>45923.44094907407</v>
      </c>
      <c r="C435" s="1" t="n">
        <v>45995</v>
      </c>
      <c r="D435" t="inlineStr">
        <is>
          <t>UPPSALA LÄN</t>
        </is>
      </c>
      <c r="E435" t="inlineStr">
        <is>
          <t>ÖSTHAMMAR</t>
        </is>
      </c>
      <c r="F435" t="inlineStr">
        <is>
          <t>Övriga Aktiebolag</t>
        </is>
      </c>
      <c r="G435" t="n">
        <v>3.4</v>
      </c>
      <c r="H435" t="n">
        <v>0</v>
      </c>
      <c r="I435" t="n">
        <v>0</v>
      </c>
      <c r="J435" t="n">
        <v>0</v>
      </c>
      <c r="K435" t="n">
        <v>0</v>
      </c>
      <c r="L435" t="n">
        <v>0</v>
      </c>
      <c r="M435" t="n">
        <v>0</v>
      </c>
      <c r="N435" t="n">
        <v>0</v>
      </c>
      <c r="O435" t="n">
        <v>0</v>
      </c>
      <c r="P435" t="n">
        <v>0</v>
      </c>
      <c r="Q435" t="n">
        <v>0</v>
      </c>
      <c r="R435" s="2" t="inlineStr"/>
    </row>
    <row r="436" ht="15" customHeight="1">
      <c r="A436" t="inlineStr">
        <is>
          <t>A 9542-2023</t>
        </is>
      </c>
      <c r="B436" s="1" t="n">
        <v>44981</v>
      </c>
      <c r="C436" s="1" t="n">
        <v>45995</v>
      </c>
      <c r="D436" t="inlineStr">
        <is>
          <t>UPPSALA LÄN</t>
        </is>
      </c>
      <c r="E436" t="inlineStr">
        <is>
          <t>ÖSTHAMMAR</t>
        </is>
      </c>
      <c r="F436" t="inlineStr">
        <is>
          <t>Bergvik skog öst AB</t>
        </is>
      </c>
      <c r="G436" t="n">
        <v>0.4</v>
      </c>
      <c r="H436" t="n">
        <v>0</v>
      </c>
      <c r="I436" t="n">
        <v>0</v>
      </c>
      <c r="J436" t="n">
        <v>0</v>
      </c>
      <c r="K436" t="n">
        <v>0</v>
      </c>
      <c r="L436" t="n">
        <v>0</v>
      </c>
      <c r="M436" t="n">
        <v>0</v>
      </c>
      <c r="N436" t="n">
        <v>0</v>
      </c>
      <c r="O436" t="n">
        <v>0</v>
      </c>
      <c r="P436" t="n">
        <v>0</v>
      </c>
      <c r="Q436" t="n">
        <v>0</v>
      </c>
      <c r="R436" s="2" t="inlineStr"/>
    </row>
    <row r="437" ht="15" customHeight="1">
      <c r="A437" t="inlineStr">
        <is>
          <t>A 8874-2025</t>
        </is>
      </c>
      <c r="B437" s="1" t="n">
        <v>45713</v>
      </c>
      <c r="C437" s="1" t="n">
        <v>45995</v>
      </c>
      <c r="D437" t="inlineStr">
        <is>
          <t>UPPSALA LÄN</t>
        </is>
      </c>
      <c r="E437" t="inlineStr">
        <is>
          <t>ÖSTHAMMAR</t>
        </is>
      </c>
      <c r="G437" t="n">
        <v>6.3</v>
      </c>
      <c r="H437" t="n">
        <v>0</v>
      </c>
      <c r="I437" t="n">
        <v>0</v>
      </c>
      <c r="J437" t="n">
        <v>0</v>
      </c>
      <c r="K437" t="n">
        <v>0</v>
      </c>
      <c r="L437" t="n">
        <v>0</v>
      </c>
      <c r="M437" t="n">
        <v>0</v>
      </c>
      <c r="N437" t="n">
        <v>0</v>
      </c>
      <c r="O437" t="n">
        <v>0</v>
      </c>
      <c r="P437" t="n">
        <v>0</v>
      </c>
      <c r="Q437" t="n">
        <v>0</v>
      </c>
      <c r="R437" s="2" t="inlineStr"/>
    </row>
    <row r="438" ht="15" customHeight="1">
      <c r="A438" t="inlineStr">
        <is>
          <t>A 8616-2023</t>
        </is>
      </c>
      <c r="B438" s="1" t="n">
        <v>44977</v>
      </c>
      <c r="C438" s="1" t="n">
        <v>45995</v>
      </c>
      <c r="D438" t="inlineStr">
        <is>
          <t>UPPSALA LÄN</t>
        </is>
      </c>
      <c r="E438" t="inlineStr">
        <is>
          <t>ÖSTHAMMAR</t>
        </is>
      </c>
      <c r="F438" t="inlineStr">
        <is>
          <t>Bergvik skog öst AB</t>
        </is>
      </c>
      <c r="G438" t="n">
        <v>0.2</v>
      </c>
      <c r="H438" t="n">
        <v>0</v>
      </c>
      <c r="I438" t="n">
        <v>0</v>
      </c>
      <c r="J438" t="n">
        <v>0</v>
      </c>
      <c r="K438" t="n">
        <v>0</v>
      </c>
      <c r="L438" t="n">
        <v>0</v>
      </c>
      <c r="M438" t="n">
        <v>0</v>
      </c>
      <c r="N438" t="n">
        <v>0</v>
      </c>
      <c r="O438" t="n">
        <v>0</v>
      </c>
      <c r="P438" t="n">
        <v>0</v>
      </c>
      <c r="Q438" t="n">
        <v>0</v>
      </c>
      <c r="R438" s="2" t="inlineStr"/>
    </row>
    <row r="439" ht="15" customHeight="1">
      <c r="A439" t="inlineStr">
        <is>
          <t>A 25418-2022</t>
        </is>
      </c>
      <c r="B439" s="1" t="n">
        <v>44732.464375</v>
      </c>
      <c r="C439" s="1" t="n">
        <v>45995</v>
      </c>
      <c r="D439" t="inlineStr">
        <is>
          <t>UPPSALA LÄN</t>
        </is>
      </c>
      <c r="E439" t="inlineStr">
        <is>
          <t>ÖSTHAMMAR</t>
        </is>
      </c>
      <c r="G439" t="n">
        <v>2.8</v>
      </c>
      <c r="H439" t="n">
        <v>0</v>
      </c>
      <c r="I439" t="n">
        <v>0</v>
      </c>
      <c r="J439" t="n">
        <v>0</v>
      </c>
      <c r="K439" t="n">
        <v>0</v>
      </c>
      <c r="L439" t="n">
        <v>0</v>
      </c>
      <c r="M439" t="n">
        <v>0</v>
      </c>
      <c r="N439" t="n">
        <v>0</v>
      </c>
      <c r="O439" t="n">
        <v>0</v>
      </c>
      <c r="P439" t="n">
        <v>0</v>
      </c>
      <c r="Q439" t="n">
        <v>0</v>
      </c>
      <c r="R439" s="2" t="inlineStr"/>
    </row>
    <row r="440" ht="15" customHeight="1">
      <c r="A440" t="inlineStr">
        <is>
          <t>A 55100-2024</t>
        </is>
      </c>
      <c r="B440" s="1" t="n">
        <v>45621.4405787037</v>
      </c>
      <c r="C440" s="1" t="n">
        <v>45995</v>
      </c>
      <c r="D440" t="inlineStr">
        <is>
          <t>UPPSALA LÄN</t>
        </is>
      </c>
      <c r="E440" t="inlineStr">
        <is>
          <t>ÖSTHAMMAR</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1567-2025</t>
        </is>
      </c>
      <c r="B441" s="1" t="n">
        <v>45670</v>
      </c>
      <c r="C441" s="1" t="n">
        <v>45995</v>
      </c>
      <c r="D441" t="inlineStr">
        <is>
          <t>UPPSALA LÄN</t>
        </is>
      </c>
      <c r="E441" t="inlineStr">
        <is>
          <t>ÖSTHAMMAR</t>
        </is>
      </c>
      <c r="G441" t="n">
        <v>2.8</v>
      </c>
      <c r="H441" t="n">
        <v>0</v>
      </c>
      <c r="I441" t="n">
        <v>0</v>
      </c>
      <c r="J441" t="n">
        <v>0</v>
      </c>
      <c r="K441" t="n">
        <v>0</v>
      </c>
      <c r="L441" t="n">
        <v>0</v>
      </c>
      <c r="M441" t="n">
        <v>0</v>
      </c>
      <c r="N441" t="n">
        <v>0</v>
      </c>
      <c r="O441" t="n">
        <v>0</v>
      </c>
      <c r="P441" t="n">
        <v>0</v>
      </c>
      <c r="Q441" t="n">
        <v>0</v>
      </c>
      <c r="R441" s="2" t="inlineStr"/>
    </row>
    <row r="442" ht="15" customHeight="1">
      <c r="A442" t="inlineStr">
        <is>
          <t>A 62391-2022</t>
        </is>
      </c>
      <c r="B442" s="1" t="n">
        <v>44923.7849537037</v>
      </c>
      <c r="C442" s="1" t="n">
        <v>45995</v>
      </c>
      <c r="D442" t="inlineStr">
        <is>
          <t>UPPSALA LÄN</t>
        </is>
      </c>
      <c r="E442" t="inlineStr">
        <is>
          <t>ÖSTHAMMAR</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31485-2023</t>
        </is>
      </c>
      <c r="B443" s="1" t="n">
        <v>45114</v>
      </c>
      <c r="C443" s="1" t="n">
        <v>45995</v>
      </c>
      <c r="D443" t="inlineStr">
        <is>
          <t>UPPSALA LÄN</t>
        </is>
      </c>
      <c r="E443" t="inlineStr">
        <is>
          <t>ÖSTHAMMAR</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56759-2024</t>
        </is>
      </c>
      <c r="B444" s="1" t="n">
        <v>45628.39877314815</v>
      </c>
      <c r="C444" s="1" t="n">
        <v>45995</v>
      </c>
      <c r="D444" t="inlineStr">
        <is>
          <t>UPPSALA LÄN</t>
        </is>
      </c>
      <c r="E444" t="inlineStr">
        <is>
          <t>ÖSTHAMMAR</t>
        </is>
      </c>
      <c r="G444" t="n">
        <v>4.7</v>
      </c>
      <c r="H444" t="n">
        <v>0</v>
      </c>
      <c r="I444" t="n">
        <v>0</v>
      </c>
      <c r="J444" t="n">
        <v>0</v>
      </c>
      <c r="K444" t="n">
        <v>0</v>
      </c>
      <c r="L444" t="n">
        <v>0</v>
      </c>
      <c r="M444" t="n">
        <v>0</v>
      </c>
      <c r="N444" t="n">
        <v>0</v>
      </c>
      <c r="O444" t="n">
        <v>0</v>
      </c>
      <c r="P444" t="n">
        <v>0</v>
      </c>
      <c r="Q444" t="n">
        <v>0</v>
      </c>
      <c r="R444" s="2" t="inlineStr"/>
    </row>
    <row r="445" ht="15" customHeight="1">
      <c r="A445" t="inlineStr">
        <is>
          <t>A 46785-2023</t>
        </is>
      </c>
      <c r="B445" s="1" t="n">
        <v>45198</v>
      </c>
      <c r="C445" s="1" t="n">
        <v>45995</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32744-2022</t>
        </is>
      </c>
      <c r="B446" s="1" t="n">
        <v>44783.70378472222</v>
      </c>
      <c r="C446" s="1" t="n">
        <v>45995</v>
      </c>
      <c r="D446" t="inlineStr">
        <is>
          <t>UPPSALA LÄN</t>
        </is>
      </c>
      <c r="E446" t="inlineStr">
        <is>
          <t>ÖSTHAMMAR</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55163-2025</t>
        </is>
      </c>
      <c r="B447" s="1" t="n">
        <v>45968.48032407407</v>
      </c>
      <c r="C447" s="1" t="n">
        <v>45995</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73965-2021</t>
        </is>
      </c>
      <c r="B448" s="1" t="n">
        <v>44553.80824074074</v>
      </c>
      <c r="C448" s="1" t="n">
        <v>45995</v>
      </c>
      <c r="D448" t="inlineStr">
        <is>
          <t>UPPSALA LÄN</t>
        </is>
      </c>
      <c r="E448" t="inlineStr">
        <is>
          <t>ÖSTHAMMAR</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73592-2021</t>
        </is>
      </c>
      <c r="B449" s="1" t="n">
        <v>44552.36974537037</v>
      </c>
      <c r="C449" s="1" t="n">
        <v>45995</v>
      </c>
      <c r="D449" t="inlineStr">
        <is>
          <t>UPPSALA LÄN</t>
        </is>
      </c>
      <c r="E449" t="inlineStr">
        <is>
          <t>ÖSTHAMMAR</t>
        </is>
      </c>
      <c r="G449" t="n">
        <v>1.7</v>
      </c>
      <c r="H449" t="n">
        <v>0</v>
      </c>
      <c r="I449" t="n">
        <v>0</v>
      </c>
      <c r="J449" t="n">
        <v>0</v>
      </c>
      <c r="K449" t="n">
        <v>0</v>
      </c>
      <c r="L449" t="n">
        <v>0</v>
      </c>
      <c r="M449" t="n">
        <v>0</v>
      </c>
      <c r="N449" t="n">
        <v>0</v>
      </c>
      <c r="O449" t="n">
        <v>0</v>
      </c>
      <c r="P449" t="n">
        <v>0</v>
      </c>
      <c r="Q449" t="n">
        <v>0</v>
      </c>
      <c r="R449" s="2" t="inlineStr"/>
    </row>
    <row r="450" ht="15" customHeight="1">
      <c r="A450" t="inlineStr">
        <is>
          <t>A 31479-2023</t>
        </is>
      </c>
      <c r="B450" s="1" t="n">
        <v>45114.79793981482</v>
      </c>
      <c r="C450" s="1" t="n">
        <v>45995</v>
      </c>
      <c r="D450" t="inlineStr">
        <is>
          <t>UPPSALA LÄN</t>
        </is>
      </c>
      <c r="E450" t="inlineStr">
        <is>
          <t>ÖSTHAMMAR</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24128-2023</t>
        </is>
      </c>
      <c r="B451" s="1" t="n">
        <v>45079.50289351852</v>
      </c>
      <c r="C451" s="1" t="n">
        <v>45995</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55798-2025</t>
        </is>
      </c>
      <c r="B452" s="1" t="n">
        <v>45972.66209490741</v>
      </c>
      <c r="C452" s="1" t="n">
        <v>45995</v>
      </c>
      <c r="D452" t="inlineStr">
        <is>
          <t>UPPSALA LÄN</t>
        </is>
      </c>
      <c r="E452" t="inlineStr">
        <is>
          <t>ÖSTHAMMAR</t>
        </is>
      </c>
      <c r="F452" t="inlineStr">
        <is>
          <t>Bergvik skog öst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35918-2023</t>
        </is>
      </c>
      <c r="B453" s="1" t="n">
        <v>45148.64976851852</v>
      </c>
      <c r="C453" s="1" t="n">
        <v>45995</v>
      </c>
      <c r="D453" t="inlineStr">
        <is>
          <t>UPPSALA LÄN</t>
        </is>
      </c>
      <c r="E453" t="inlineStr">
        <is>
          <t>ÖSTHAMMAR</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26774-2023</t>
        </is>
      </c>
      <c r="B454" s="1" t="n">
        <v>45093.47947916666</v>
      </c>
      <c r="C454" s="1" t="n">
        <v>45995</v>
      </c>
      <c r="D454" t="inlineStr">
        <is>
          <t>UPPSALA LÄN</t>
        </is>
      </c>
      <c r="E454" t="inlineStr">
        <is>
          <t>ÖSTHAMMAR</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67848-2021</t>
        </is>
      </c>
      <c r="B455" s="1" t="n">
        <v>44525</v>
      </c>
      <c r="C455" s="1" t="n">
        <v>45995</v>
      </c>
      <c r="D455" t="inlineStr">
        <is>
          <t>UPPSALA LÄN</t>
        </is>
      </c>
      <c r="E455" t="inlineStr">
        <is>
          <t>ÖSTHAMMAR</t>
        </is>
      </c>
      <c r="G455" t="n">
        <v>1</v>
      </c>
      <c r="H455" t="n">
        <v>0</v>
      </c>
      <c r="I455" t="n">
        <v>0</v>
      </c>
      <c r="J455" t="n">
        <v>0</v>
      </c>
      <c r="K455" t="n">
        <v>0</v>
      </c>
      <c r="L455" t="n">
        <v>0</v>
      </c>
      <c r="M455" t="n">
        <v>0</v>
      </c>
      <c r="N455" t="n">
        <v>0</v>
      </c>
      <c r="O455" t="n">
        <v>0</v>
      </c>
      <c r="P455" t="n">
        <v>0</v>
      </c>
      <c r="Q455" t="n">
        <v>0</v>
      </c>
      <c r="R455" s="2" t="inlineStr"/>
    </row>
    <row r="456" ht="15" customHeight="1">
      <c r="A456" t="inlineStr">
        <is>
          <t>A 47336-2025</t>
        </is>
      </c>
      <c r="B456" s="1" t="n">
        <v>45930.56592592593</v>
      </c>
      <c r="C456" s="1" t="n">
        <v>45995</v>
      </c>
      <c r="D456" t="inlineStr">
        <is>
          <t>UPPSALA LÄN</t>
        </is>
      </c>
      <c r="E456" t="inlineStr">
        <is>
          <t>ÖSTHAMMAR</t>
        </is>
      </c>
      <c r="G456" t="n">
        <v>0.9</v>
      </c>
      <c r="H456" t="n">
        <v>0</v>
      </c>
      <c r="I456" t="n">
        <v>0</v>
      </c>
      <c r="J456" t="n">
        <v>0</v>
      </c>
      <c r="K456" t="n">
        <v>0</v>
      </c>
      <c r="L456" t="n">
        <v>0</v>
      </c>
      <c r="M456" t="n">
        <v>0</v>
      </c>
      <c r="N456" t="n">
        <v>0</v>
      </c>
      <c r="O456" t="n">
        <v>0</v>
      </c>
      <c r="P456" t="n">
        <v>0</v>
      </c>
      <c r="Q456" t="n">
        <v>0</v>
      </c>
      <c r="R456" s="2" t="inlineStr"/>
    </row>
    <row r="457" ht="15" customHeight="1">
      <c r="A457" t="inlineStr">
        <is>
          <t>A 47337-2025</t>
        </is>
      </c>
      <c r="B457" s="1" t="n">
        <v>45930.56607638889</v>
      </c>
      <c r="C457" s="1" t="n">
        <v>45995</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47338-2025</t>
        </is>
      </c>
      <c r="B458" s="1" t="n">
        <v>45930.56626157407</v>
      </c>
      <c r="C458" s="1" t="n">
        <v>45995</v>
      </c>
      <c r="D458" t="inlineStr">
        <is>
          <t>UPPSALA LÄN</t>
        </is>
      </c>
      <c r="E458" t="inlineStr">
        <is>
          <t>ÖSTHAMMAR</t>
        </is>
      </c>
      <c r="G458" t="n">
        <v>2.4</v>
      </c>
      <c r="H458" t="n">
        <v>0</v>
      </c>
      <c r="I458" t="n">
        <v>0</v>
      </c>
      <c r="J458" t="n">
        <v>0</v>
      </c>
      <c r="K458" t="n">
        <v>0</v>
      </c>
      <c r="L458" t="n">
        <v>0</v>
      </c>
      <c r="M458" t="n">
        <v>0</v>
      </c>
      <c r="N458" t="n">
        <v>0</v>
      </c>
      <c r="O458" t="n">
        <v>0</v>
      </c>
      <c r="P458" t="n">
        <v>0</v>
      </c>
      <c r="Q458" t="n">
        <v>0</v>
      </c>
      <c r="R458" s="2" t="inlineStr"/>
    </row>
    <row r="459" ht="15" customHeight="1">
      <c r="A459" t="inlineStr">
        <is>
          <t>A 55298-2025</t>
        </is>
      </c>
      <c r="B459" s="1" t="n">
        <v>45969.76908564815</v>
      </c>
      <c r="C459" s="1" t="n">
        <v>45995</v>
      </c>
      <c r="D459" t="inlineStr">
        <is>
          <t>UPPSALA LÄN</t>
        </is>
      </c>
      <c r="E459" t="inlineStr">
        <is>
          <t>ÖSTHAMMAR</t>
        </is>
      </c>
      <c r="F459" t="inlineStr">
        <is>
          <t>Bergvik skog öst AB</t>
        </is>
      </c>
      <c r="G459" t="n">
        <v>3.6</v>
      </c>
      <c r="H459" t="n">
        <v>0</v>
      </c>
      <c r="I459" t="n">
        <v>0</v>
      </c>
      <c r="J459" t="n">
        <v>0</v>
      </c>
      <c r="K459" t="n">
        <v>0</v>
      </c>
      <c r="L459" t="n">
        <v>0</v>
      </c>
      <c r="M459" t="n">
        <v>0</v>
      </c>
      <c r="N459" t="n">
        <v>0</v>
      </c>
      <c r="O459" t="n">
        <v>0</v>
      </c>
      <c r="P459" t="n">
        <v>0</v>
      </c>
      <c r="Q459" t="n">
        <v>0</v>
      </c>
      <c r="R459" s="2" t="inlineStr"/>
    </row>
    <row r="460" ht="15" customHeight="1">
      <c r="A460" t="inlineStr">
        <is>
          <t>A 4004-2023</t>
        </is>
      </c>
      <c r="B460" s="1" t="n">
        <v>44952</v>
      </c>
      <c r="C460" s="1" t="n">
        <v>45995</v>
      </c>
      <c r="D460" t="inlineStr">
        <is>
          <t>UPPSALA LÄN</t>
        </is>
      </c>
      <c r="E460" t="inlineStr">
        <is>
          <t>ÖSTHAMMAR</t>
        </is>
      </c>
      <c r="G460" t="n">
        <v>4.1</v>
      </c>
      <c r="H460" t="n">
        <v>0</v>
      </c>
      <c r="I460" t="n">
        <v>0</v>
      </c>
      <c r="J460" t="n">
        <v>0</v>
      </c>
      <c r="K460" t="n">
        <v>0</v>
      </c>
      <c r="L460" t="n">
        <v>0</v>
      </c>
      <c r="M460" t="n">
        <v>0</v>
      </c>
      <c r="N460" t="n">
        <v>0</v>
      </c>
      <c r="O460" t="n">
        <v>0</v>
      </c>
      <c r="P460" t="n">
        <v>0</v>
      </c>
      <c r="Q460" t="n">
        <v>0</v>
      </c>
      <c r="R460" s="2" t="inlineStr"/>
    </row>
    <row r="461" ht="15" customHeight="1">
      <c r="A461" t="inlineStr">
        <is>
          <t>A 46826-2025</t>
        </is>
      </c>
      <c r="B461" s="1" t="n">
        <v>45927.00606481481</v>
      </c>
      <c r="C461" s="1" t="n">
        <v>45995</v>
      </c>
      <c r="D461" t="inlineStr">
        <is>
          <t>UPPSALA LÄN</t>
        </is>
      </c>
      <c r="E461" t="inlineStr">
        <is>
          <t>ÖSTHAMMAR</t>
        </is>
      </c>
      <c r="G461" t="n">
        <v>9</v>
      </c>
      <c r="H461" t="n">
        <v>0</v>
      </c>
      <c r="I461" t="n">
        <v>0</v>
      </c>
      <c r="J461" t="n">
        <v>0</v>
      </c>
      <c r="K461" t="n">
        <v>0</v>
      </c>
      <c r="L461" t="n">
        <v>0</v>
      </c>
      <c r="M461" t="n">
        <v>0</v>
      </c>
      <c r="N461" t="n">
        <v>0</v>
      </c>
      <c r="O461" t="n">
        <v>0</v>
      </c>
      <c r="P461" t="n">
        <v>0</v>
      </c>
      <c r="Q461" t="n">
        <v>0</v>
      </c>
      <c r="R461" s="2" t="inlineStr"/>
    </row>
    <row r="462" ht="15" customHeight="1">
      <c r="A462" t="inlineStr">
        <is>
          <t>A 55097-2024</t>
        </is>
      </c>
      <c r="B462" s="1" t="n">
        <v>45621.43855324074</v>
      </c>
      <c r="C462" s="1" t="n">
        <v>45995</v>
      </c>
      <c r="D462" t="inlineStr">
        <is>
          <t>UPPSALA LÄN</t>
        </is>
      </c>
      <c r="E462" t="inlineStr">
        <is>
          <t>ÖSTHAMMAR</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18230-2025</t>
        </is>
      </c>
      <c r="B463" s="1" t="n">
        <v>45761.87114583333</v>
      </c>
      <c r="C463" s="1" t="n">
        <v>45995</v>
      </c>
      <c r="D463" t="inlineStr">
        <is>
          <t>UPPSALA LÄN</t>
        </is>
      </c>
      <c r="E463" t="inlineStr">
        <is>
          <t>ÖSTHAMMAR</t>
        </is>
      </c>
      <c r="F463" t="inlineStr">
        <is>
          <t>Bergvik skog öst AB</t>
        </is>
      </c>
      <c r="G463" t="n">
        <v>4.2</v>
      </c>
      <c r="H463" t="n">
        <v>0</v>
      </c>
      <c r="I463" t="n">
        <v>0</v>
      </c>
      <c r="J463" t="n">
        <v>0</v>
      </c>
      <c r="K463" t="n">
        <v>0</v>
      </c>
      <c r="L463" t="n">
        <v>0</v>
      </c>
      <c r="M463" t="n">
        <v>0</v>
      </c>
      <c r="N463" t="n">
        <v>0</v>
      </c>
      <c r="O463" t="n">
        <v>0</v>
      </c>
      <c r="P463" t="n">
        <v>0</v>
      </c>
      <c r="Q463" t="n">
        <v>0</v>
      </c>
      <c r="R463" s="2" t="inlineStr"/>
    </row>
    <row r="464" ht="15" customHeight="1">
      <c r="A464" t="inlineStr">
        <is>
          <t>A 1527-2025</t>
        </is>
      </c>
      <c r="B464" s="1" t="n">
        <v>45670</v>
      </c>
      <c r="C464" s="1" t="n">
        <v>45995</v>
      </c>
      <c r="D464" t="inlineStr">
        <is>
          <t>UPPSALA LÄN</t>
        </is>
      </c>
      <c r="E464" t="inlineStr">
        <is>
          <t>ÖSTHAMMAR</t>
        </is>
      </c>
      <c r="F464" t="inlineStr">
        <is>
          <t>Bergvik skog öst AB</t>
        </is>
      </c>
      <c r="G464" t="n">
        <v>7.7</v>
      </c>
      <c r="H464" t="n">
        <v>0</v>
      </c>
      <c r="I464" t="n">
        <v>0</v>
      </c>
      <c r="J464" t="n">
        <v>0</v>
      </c>
      <c r="K464" t="n">
        <v>0</v>
      </c>
      <c r="L464" t="n">
        <v>0</v>
      </c>
      <c r="M464" t="n">
        <v>0</v>
      </c>
      <c r="N464" t="n">
        <v>0</v>
      </c>
      <c r="O464" t="n">
        <v>0</v>
      </c>
      <c r="P464" t="n">
        <v>0</v>
      </c>
      <c r="Q464" t="n">
        <v>0</v>
      </c>
      <c r="R464" s="2" t="inlineStr"/>
    </row>
    <row r="465" ht="15" customHeight="1">
      <c r="A465" t="inlineStr">
        <is>
          <t>A 35474-2023</t>
        </is>
      </c>
      <c r="B465" s="1" t="n">
        <v>45146.68921296296</v>
      </c>
      <c r="C465" s="1" t="n">
        <v>45995</v>
      </c>
      <c r="D465" t="inlineStr">
        <is>
          <t>UPPSALA LÄN</t>
        </is>
      </c>
      <c r="E465" t="inlineStr">
        <is>
          <t>ÖSTHAMMAR</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26303-2024</t>
        </is>
      </c>
      <c r="B466" s="1" t="n">
        <v>45468</v>
      </c>
      <c r="C466" s="1" t="n">
        <v>45995</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37865-2023</t>
        </is>
      </c>
      <c r="B467" s="1" t="n">
        <v>45160</v>
      </c>
      <c r="C467" s="1" t="n">
        <v>45995</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44152-2024</t>
        </is>
      </c>
      <c r="B468" s="1" t="n">
        <v>45572</v>
      </c>
      <c r="C468" s="1" t="n">
        <v>45995</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4561-2022</t>
        </is>
      </c>
      <c r="B469" s="1" t="n">
        <v>44591.59170138889</v>
      </c>
      <c r="C469" s="1" t="n">
        <v>45995</v>
      </c>
      <c r="D469" t="inlineStr">
        <is>
          <t>UPPSALA LÄN</t>
        </is>
      </c>
      <c r="E469" t="inlineStr">
        <is>
          <t>ÖSTHAMMAR</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17651-2025</t>
        </is>
      </c>
      <c r="B470" s="1" t="n">
        <v>45758.33304398148</v>
      </c>
      <c r="C470" s="1" t="n">
        <v>45995</v>
      </c>
      <c r="D470" t="inlineStr">
        <is>
          <t>UPPSALA LÄN</t>
        </is>
      </c>
      <c r="E470" t="inlineStr">
        <is>
          <t>ÖSTHAMMAR</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47614-2025</t>
        </is>
      </c>
      <c r="B471" s="1" t="n">
        <v>45931.47211805556</v>
      </c>
      <c r="C471" s="1" t="n">
        <v>45995</v>
      </c>
      <c r="D471" t="inlineStr">
        <is>
          <t>UPPSALA LÄN</t>
        </is>
      </c>
      <c r="E471" t="inlineStr">
        <is>
          <t>ÖSTHAMMAR</t>
        </is>
      </c>
      <c r="G471" t="n">
        <v>22.8</v>
      </c>
      <c r="H471" t="n">
        <v>0</v>
      </c>
      <c r="I471" t="n">
        <v>0</v>
      </c>
      <c r="J471" t="n">
        <v>0</v>
      </c>
      <c r="K471" t="n">
        <v>0</v>
      </c>
      <c r="L471" t="n">
        <v>0</v>
      </c>
      <c r="M471" t="n">
        <v>0</v>
      </c>
      <c r="N471" t="n">
        <v>0</v>
      </c>
      <c r="O471" t="n">
        <v>0</v>
      </c>
      <c r="P471" t="n">
        <v>0</v>
      </c>
      <c r="Q471" t="n">
        <v>0</v>
      </c>
      <c r="R471" s="2" t="inlineStr"/>
    </row>
    <row r="472" ht="15" customHeight="1">
      <c r="A472" t="inlineStr">
        <is>
          <t>A 7100-2025</t>
        </is>
      </c>
      <c r="B472" s="1" t="n">
        <v>45701.83930555556</v>
      </c>
      <c r="C472" s="1" t="n">
        <v>45995</v>
      </c>
      <c r="D472" t="inlineStr">
        <is>
          <t>UPPSALA LÄN</t>
        </is>
      </c>
      <c r="E472" t="inlineStr">
        <is>
          <t>ÖSTHAMMAR</t>
        </is>
      </c>
      <c r="G472" t="n">
        <v>4.3</v>
      </c>
      <c r="H472" t="n">
        <v>0</v>
      </c>
      <c r="I472" t="n">
        <v>0</v>
      </c>
      <c r="J472" t="n">
        <v>0</v>
      </c>
      <c r="K472" t="n">
        <v>0</v>
      </c>
      <c r="L472" t="n">
        <v>0</v>
      </c>
      <c r="M472" t="n">
        <v>0</v>
      </c>
      <c r="N472" t="n">
        <v>0</v>
      </c>
      <c r="O472" t="n">
        <v>0</v>
      </c>
      <c r="P472" t="n">
        <v>0</v>
      </c>
      <c r="Q472" t="n">
        <v>0</v>
      </c>
      <c r="R472" s="2" t="inlineStr"/>
    </row>
    <row r="473" ht="15" customHeight="1">
      <c r="A473" t="inlineStr">
        <is>
          <t>A 54314-2023</t>
        </is>
      </c>
      <c r="B473" s="1" t="n">
        <v>45225</v>
      </c>
      <c r="C473" s="1" t="n">
        <v>45995</v>
      </c>
      <c r="D473" t="inlineStr">
        <is>
          <t>UPPSALA LÄN</t>
        </is>
      </c>
      <c r="E473" t="inlineStr">
        <is>
          <t>ÖSTHAMMAR</t>
        </is>
      </c>
      <c r="G473" t="n">
        <v>5.1</v>
      </c>
      <c r="H473" t="n">
        <v>0</v>
      </c>
      <c r="I473" t="n">
        <v>0</v>
      </c>
      <c r="J473" t="n">
        <v>0</v>
      </c>
      <c r="K473" t="n">
        <v>0</v>
      </c>
      <c r="L473" t="n">
        <v>0</v>
      </c>
      <c r="M473" t="n">
        <v>0</v>
      </c>
      <c r="N473" t="n">
        <v>0</v>
      </c>
      <c r="O473" t="n">
        <v>0</v>
      </c>
      <c r="P473" t="n">
        <v>0</v>
      </c>
      <c r="Q473" t="n">
        <v>0</v>
      </c>
      <c r="R473" s="2" t="inlineStr"/>
    </row>
    <row r="474" ht="15" customHeight="1">
      <c r="A474" t="inlineStr">
        <is>
          <t>A 49796-2024</t>
        </is>
      </c>
      <c r="B474" s="1" t="n">
        <v>45597</v>
      </c>
      <c r="C474" s="1" t="n">
        <v>45995</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10290-2025</t>
        </is>
      </c>
      <c r="B475" s="1" t="n">
        <v>45720.41847222222</v>
      </c>
      <c r="C475" s="1" t="n">
        <v>45995</v>
      </c>
      <c r="D475" t="inlineStr">
        <is>
          <t>UPPSALA LÄN</t>
        </is>
      </c>
      <c r="E475" t="inlineStr">
        <is>
          <t>ÖSTHAMMAR</t>
        </is>
      </c>
      <c r="G475" t="n">
        <v>8.6</v>
      </c>
      <c r="H475" t="n">
        <v>0</v>
      </c>
      <c r="I475" t="n">
        <v>0</v>
      </c>
      <c r="J475" t="n">
        <v>0</v>
      </c>
      <c r="K475" t="n">
        <v>0</v>
      </c>
      <c r="L475" t="n">
        <v>0</v>
      </c>
      <c r="M475" t="n">
        <v>0</v>
      </c>
      <c r="N475" t="n">
        <v>0</v>
      </c>
      <c r="O475" t="n">
        <v>0</v>
      </c>
      <c r="P475" t="n">
        <v>0</v>
      </c>
      <c r="Q475" t="n">
        <v>0</v>
      </c>
      <c r="R475" s="2" t="inlineStr"/>
    </row>
    <row r="476" ht="15" customHeight="1">
      <c r="A476" t="inlineStr">
        <is>
          <t>A 1791-2023</t>
        </is>
      </c>
      <c r="B476" s="1" t="n">
        <v>44938</v>
      </c>
      <c r="C476" s="1" t="n">
        <v>45995</v>
      </c>
      <c r="D476" t="inlineStr">
        <is>
          <t>UPPSALA LÄN</t>
        </is>
      </c>
      <c r="E476" t="inlineStr">
        <is>
          <t>ÖSTHAMMAR</t>
        </is>
      </c>
      <c r="G476" t="n">
        <v>2</v>
      </c>
      <c r="H476" t="n">
        <v>0</v>
      </c>
      <c r="I476" t="n">
        <v>0</v>
      </c>
      <c r="J476" t="n">
        <v>0</v>
      </c>
      <c r="K476" t="n">
        <v>0</v>
      </c>
      <c r="L476" t="n">
        <v>0</v>
      </c>
      <c r="M476" t="n">
        <v>0</v>
      </c>
      <c r="N476" t="n">
        <v>0</v>
      </c>
      <c r="O476" t="n">
        <v>0</v>
      </c>
      <c r="P476" t="n">
        <v>0</v>
      </c>
      <c r="Q476" t="n">
        <v>0</v>
      </c>
      <c r="R476" s="2" t="inlineStr"/>
    </row>
    <row r="477" ht="15" customHeight="1">
      <c r="A477" t="inlineStr">
        <is>
          <t>A 21132-2025</t>
        </is>
      </c>
      <c r="B477" s="1" t="n">
        <v>45778.4108912037</v>
      </c>
      <c r="C477" s="1" t="n">
        <v>45995</v>
      </c>
      <c r="D477" t="inlineStr">
        <is>
          <t>UPPSALA LÄN</t>
        </is>
      </c>
      <c r="E477" t="inlineStr">
        <is>
          <t>ÖSTHAMMAR</t>
        </is>
      </c>
      <c r="G477" t="n">
        <v>10.1</v>
      </c>
      <c r="H477" t="n">
        <v>0</v>
      </c>
      <c r="I477" t="n">
        <v>0</v>
      </c>
      <c r="J477" t="n">
        <v>0</v>
      </c>
      <c r="K477" t="n">
        <v>0</v>
      </c>
      <c r="L477" t="n">
        <v>0</v>
      </c>
      <c r="M477" t="n">
        <v>0</v>
      </c>
      <c r="N477" t="n">
        <v>0</v>
      </c>
      <c r="O477" t="n">
        <v>0</v>
      </c>
      <c r="P477" t="n">
        <v>0</v>
      </c>
      <c r="Q477" t="n">
        <v>0</v>
      </c>
      <c r="R477" s="2" t="inlineStr"/>
    </row>
    <row r="478" ht="15" customHeight="1">
      <c r="A478" t="inlineStr">
        <is>
          <t>A 21133-2025</t>
        </is>
      </c>
      <c r="B478" s="1" t="n">
        <v>45778.415625</v>
      </c>
      <c r="C478" s="1" t="n">
        <v>45995</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47615-2025</t>
        </is>
      </c>
      <c r="B479" s="1" t="n">
        <v>45931.47542824074</v>
      </c>
      <c r="C479" s="1" t="n">
        <v>45995</v>
      </c>
      <c r="D479" t="inlineStr">
        <is>
          <t>UPPSALA LÄN</t>
        </is>
      </c>
      <c r="E479" t="inlineStr">
        <is>
          <t>ÖSTHAMMAR</t>
        </is>
      </c>
      <c r="G479" t="n">
        <v>7</v>
      </c>
      <c r="H479" t="n">
        <v>0</v>
      </c>
      <c r="I479" t="n">
        <v>0</v>
      </c>
      <c r="J479" t="n">
        <v>0</v>
      </c>
      <c r="K479" t="n">
        <v>0</v>
      </c>
      <c r="L479" t="n">
        <v>0</v>
      </c>
      <c r="M479" t="n">
        <v>0</v>
      </c>
      <c r="N479" t="n">
        <v>0</v>
      </c>
      <c r="O479" t="n">
        <v>0</v>
      </c>
      <c r="P479" t="n">
        <v>0</v>
      </c>
      <c r="Q479" t="n">
        <v>0</v>
      </c>
      <c r="R479" s="2" t="inlineStr"/>
    </row>
    <row r="480" ht="15" customHeight="1">
      <c r="A480" t="inlineStr">
        <is>
          <t>A 53961-2025</t>
        </is>
      </c>
      <c r="B480" s="1" t="n">
        <v>45961</v>
      </c>
      <c r="C480" s="1" t="n">
        <v>45995</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45102-2024</t>
        </is>
      </c>
      <c r="B481" s="1" t="n">
        <v>45575.58836805556</v>
      </c>
      <c r="C481" s="1" t="n">
        <v>45995</v>
      </c>
      <c r="D481" t="inlineStr">
        <is>
          <t>UPPSALA LÄN</t>
        </is>
      </c>
      <c r="E481" t="inlineStr">
        <is>
          <t>ÖSTHAMMAR</t>
        </is>
      </c>
      <c r="G481" t="n">
        <v>8.6</v>
      </c>
      <c r="H481" t="n">
        <v>0</v>
      </c>
      <c r="I481" t="n">
        <v>0</v>
      </c>
      <c r="J481" t="n">
        <v>0</v>
      </c>
      <c r="K481" t="n">
        <v>0</v>
      </c>
      <c r="L481" t="n">
        <v>0</v>
      </c>
      <c r="M481" t="n">
        <v>0</v>
      </c>
      <c r="N481" t="n">
        <v>0</v>
      </c>
      <c r="O481" t="n">
        <v>0</v>
      </c>
      <c r="P481" t="n">
        <v>0</v>
      </c>
      <c r="Q481" t="n">
        <v>0</v>
      </c>
      <c r="R481" s="2" t="inlineStr"/>
    </row>
    <row r="482" ht="15" customHeight="1">
      <c r="A482" t="inlineStr">
        <is>
          <t>A 45307-2023</t>
        </is>
      </c>
      <c r="B482" s="1" t="n">
        <v>45191</v>
      </c>
      <c r="C482" s="1" t="n">
        <v>45995</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56582-2025</t>
        </is>
      </c>
      <c r="B483" s="1" t="n">
        <v>45975.54730324074</v>
      </c>
      <c r="C483" s="1" t="n">
        <v>45995</v>
      </c>
      <c r="D483" t="inlineStr">
        <is>
          <t>UPPSALA LÄN</t>
        </is>
      </c>
      <c r="E483" t="inlineStr">
        <is>
          <t>ÖSTHAMMAR</t>
        </is>
      </c>
      <c r="G483" t="n">
        <v>4.1</v>
      </c>
      <c r="H483" t="n">
        <v>0</v>
      </c>
      <c r="I483" t="n">
        <v>0</v>
      </c>
      <c r="J483" t="n">
        <v>0</v>
      </c>
      <c r="K483" t="n">
        <v>0</v>
      </c>
      <c r="L483" t="n">
        <v>0</v>
      </c>
      <c r="M483" t="n">
        <v>0</v>
      </c>
      <c r="N483" t="n">
        <v>0</v>
      </c>
      <c r="O483" t="n">
        <v>0</v>
      </c>
      <c r="P483" t="n">
        <v>0</v>
      </c>
      <c r="Q483" t="n">
        <v>0</v>
      </c>
      <c r="R483" s="2" t="inlineStr"/>
    </row>
    <row r="484" ht="15" customHeight="1">
      <c r="A484" t="inlineStr">
        <is>
          <t>A 56942-2025</t>
        </is>
      </c>
      <c r="B484" s="1" t="n">
        <v>45978.62611111111</v>
      </c>
      <c r="C484" s="1" t="n">
        <v>45995</v>
      </c>
      <c r="D484" t="inlineStr">
        <is>
          <t>UPPSALA LÄN</t>
        </is>
      </c>
      <c r="E484" t="inlineStr">
        <is>
          <t>ÖSTHAMMAR</t>
        </is>
      </c>
      <c r="G484" t="n">
        <v>3.2</v>
      </c>
      <c r="H484" t="n">
        <v>0</v>
      </c>
      <c r="I484" t="n">
        <v>0</v>
      </c>
      <c r="J484" t="n">
        <v>0</v>
      </c>
      <c r="K484" t="n">
        <v>0</v>
      </c>
      <c r="L484" t="n">
        <v>0</v>
      </c>
      <c r="M484" t="n">
        <v>0</v>
      </c>
      <c r="N484" t="n">
        <v>0</v>
      </c>
      <c r="O484" t="n">
        <v>0</v>
      </c>
      <c r="P484" t="n">
        <v>0</v>
      </c>
      <c r="Q484" t="n">
        <v>0</v>
      </c>
      <c r="R484" s="2" t="inlineStr"/>
    </row>
    <row r="485" ht="15" customHeight="1">
      <c r="A485" t="inlineStr">
        <is>
          <t>A 6661-2024</t>
        </is>
      </c>
      <c r="B485" s="1" t="n">
        <v>45341.70582175926</v>
      </c>
      <c r="C485" s="1" t="n">
        <v>45995</v>
      </c>
      <c r="D485" t="inlineStr">
        <is>
          <t>UPPSALA LÄN</t>
        </is>
      </c>
      <c r="E485" t="inlineStr">
        <is>
          <t>ÖSTHAMMAR</t>
        </is>
      </c>
      <c r="G485" t="n">
        <v>0.2</v>
      </c>
      <c r="H485" t="n">
        <v>0</v>
      </c>
      <c r="I485" t="n">
        <v>0</v>
      </c>
      <c r="J485" t="n">
        <v>0</v>
      </c>
      <c r="K485" t="n">
        <v>0</v>
      </c>
      <c r="L485" t="n">
        <v>0</v>
      </c>
      <c r="M485" t="n">
        <v>0</v>
      </c>
      <c r="N485" t="n">
        <v>0</v>
      </c>
      <c r="O485" t="n">
        <v>0</v>
      </c>
      <c r="P485" t="n">
        <v>0</v>
      </c>
      <c r="Q485" t="n">
        <v>0</v>
      </c>
      <c r="R485" s="2" t="inlineStr"/>
    </row>
    <row r="486" ht="15" customHeight="1">
      <c r="A486" t="inlineStr">
        <is>
          <t>A 42262-2024</t>
        </is>
      </c>
      <c r="B486" s="1" t="n">
        <v>45562</v>
      </c>
      <c r="C486" s="1" t="n">
        <v>45995</v>
      </c>
      <c r="D486" t="inlineStr">
        <is>
          <t>UPPSALA LÄN</t>
        </is>
      </c>
      <c r="E486" t="inlineStr">
        <is>
          <t>ÖSTHAMMAR</t>
        </is>
      </c>
      <c r="F486" t="inlineStr">
        <is>
          <t>Bergvik skog öst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4101-2022</t>
        </is>
      </c>
      <c r="B487" s="1" t="n">
        <v>44588</v>
      </c>
      <c r="C487" s="1" t="n">
        <v>45995</v>
      </c>
      <c r="D487" t="inlineStr">
        <is>
          <t>UPPSALA LÄN</t>
        </is>
      </c>
      <c r="E487" t="inlineStr">
        <is>
          <t>ÖSTHAMMAR</t>
        </is>
      </c>
      <c r="G487" t="n">
        <v>4.4</v>
      </c>
      <c r="H487" t="n">
        <v>0</v>
      </c>
      <c r="I487" t="n">
        <v>0</v>
      </c>
      <c r="J487" t="n">
        <v>0</v>
      </c>
      <c r="K487" t="n">
        <v>0</v>
      </c>
      <c r="L487" t="n">
        <v>0</v>
      </c>
      <c r="M487" t="n">
        <v>0</v>
      </c>
      <c r="N487" t="n">
        <v>0</v>
      </c>
      <c r="O487" t="n">
        <v>0</v>
      </c>
      <c r="P487" t="n">
        <v>0</v>
      </c>
      <c r="Q487" t="n">
        <v>0</v>
      </c>
      <c r="R487" s="2" t="inlineStr"/>
    </row>
    <row r="488" ht="15" customHeight="1">
      <c r="A488" t="inlineStr">
        <is>
          <t>A 56757-2025</t>
        </is>
      </c>
      <c r="B488" s="1" t="n">
        <v>45978.37162037037</v>
      </c>
      <c r="C488" s="1" t="n">
        <v>45995</v>
      </c>
      <c r="D488" t="inlineStr">
        <is>
          <t>UPPSALA LÄN</t>
        </is>
      </c>
      <c r="E488" t="inlineStr">
        <is>
          <t>ÖSTHAMMAR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52478-2024</t>
        </is>
      </c>
      <c r="B489" s="1" t="n">
        <v>45609.55065972222</v>
      </c>
      <c r="C489" s="1" t="n">
        <v>45995</v>
      </c>
      <c r="D489" t="inlineStr">
        <is>
          <t>UPPSALA LÄN</t>
        </is>
      </c>
      <c r="E489" t="inlineStr">
        <is>
          <t>ÖSTHAMMAR</t>
        </is>
      </c>
      <c r="G489" t="n">
        <v>0.7</v>
      </c>
      <c r="H489" t="n">
        <v>0</v>
      </c>
      <c r="I489" t="n">
        <v>0</v>
      </c>
      <c r="J489" t="n">
        <v>0</v>
      </c>
      <c r="K489" t="n">
        <v>0</v>
      </c>
      <c r="L489" t="n">
        <v>0</v>
      </c>
      <c r="M489" t="n">
        <v>0</v>
      </c>
      <c r="N489" t="n">
        <v>0</v>
      </c>
      <c r="O489" t="n">
        <v>0</v>
      </c>
      <c r="P489" t="n">
        <v>0</v>
      </c>
      <c r="Q489" t="n">
        <v>0</v>
      </c>
      <c r="R489" s="2" t="inlineStr"/>
    </row>
    <row r="490" ht="15" customHeight="1">
      <c r="A490" t="inlineStr">
        <is>
          <t>A 5933-2022</t>
        </is>
      </c>
      <c r="B490" s="1" t="n">
        <v>44598.82957175926</v>
      </c>
      <c r="C490" s="1" t="n">
        <v>45995</v>
      </c>
      <c r="D490" t="inlineStr">
        <is>
          <t>UPPSALA LÄN</t>
        </is>
      </c>
      <c r="E490" t="inlineStr">
        <is>
          <t>ÖSTHAMMAR</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56823-2025</t>
        </is>
      </c>
      <c r="B491" s="1" t="n">
        <v>45978.46484953703</v>
      </c>
      <c r="C491" s="1" t="n">
        <v>45995</v>
      </c>
      <c r="D491" t="inlineStr">
        <is>
          <t>UPPSALA LÄN</t>
        </is>
      </c>
      <c r="E491" t="inlineStr">
        <is>
          <t>ÖSTHAMMAR</t>
        </is>
      </c>
      <c r="G491" t="n">
        <v>0.1</v>
      </c>
      <c r="H491" t="n">
        <v>0</v>
      </c>
      <c r="I491" t="n">
        <v>0</v>
      </c>
      <c r="J491" t="n">
        <v>0</v>
      </c>
      <c r="K491" t="n">
        <v>0</v>
      </c>
      <c r="L491" t="n">
        <v>0</v>
      </c>
      <c r="M491" t="n">
        <v>0</v>
      </c>
      <c r="N491" t="n">
        <v>0</v>
      </c>
      <c r="O491" t="n">
        <v>0</v>
      </c>
      <c r="P491" t="n">
        <v>0</v>
      </c>
      <c r="Q491" t="n">
        <v>0</v>
      </c>
      <c r="R491" s="2" t="inlineStr"/>
    </row>
    <row r="492" ht="15" customHeight="1">
      <c r="A492" t="inlineStr">
        <is>
          <t>A 29873-2023</t>
        </is>
      </c>
      <c r="B492" s="1" t="n">
        <v>45107</v>
      </c>
      <c r="C492" s="1" t="n">
        <v>45995</v>
      </c>
      <c r="D492" t="inlineStr">
        <is>
          <t>UPPSALA LÄN</t>
        </is>
      </c>
      <c r="E492" t="inlineStr">
        <is>
          <t>ÖSTHAMMAR</t>
        </is>
      </c>
      <c r="F492" t="inlineStr">
        <is>
          <t>Naturvårdsverket</t>
        </is>
      </c>
      <c r="G492" t="n">
        <v>7.8</v>
      </c>
      <c r="H492" t="n">
        <v>0</v>
      </c>
      <c r="I492" t="n">
        <v>0</v>
      </c>
      <c r="J492" t="n">
        <v>0</v>
      </c>
      <c r="K492" t="n">
        <v>0</v>
      </c>
      <c r="L492" t="n">
        <v>0</v>
      </c>
      <c r="M492" t="n">
        <v>0</v>
      </c>
      <c r="N492" t="n">
        <v>0</v>
      </c>
      <c r="O492" t="n">
        <v>0</v>
      </c>
      <c r="P492" t="n">
        <v>0</v>
      </c>
      <c r="Q492" t="n">
        <v>0</v>
      </c>
      <c r="R492" s="2" t="inlineStr"/>
    </row>
    <row r="493" ht="15" customHeight="1">
      <c r="A493" t="inlineStr">
        <is>
          <t>A 48977-2025</t>
        </is>
      </c>
      <c r="B493" s="1" t="n">
        <v>45936</v>
      </c>
      <c r="C493" s="1" t="n">
        <v>45995</v>
      </c>
      <c r="D493" t="inlineStr">
        <is>
          <t>UPPSALA LÄN</t>
        </is>
      </c>
      <c r="E493" t="inlineStr">
        <is>
          <t>ÖSTHAMMAR</t>
        </is>
      </c>
      <c r="G493" t="n">
        <v>21.1</v>
      </c>
      <c r="H493" t="n">
        <v>0</v>
      </c>
      <c r="I493" t="n">
        <v>0</v>
      </c>
      <c r="J493" t="n">
        <v>0</v>
      </c>
      <c r="K493" t="n">
        <v>0</v>
      </c>
      <c r="L493" t="n">
        <v>0</v>
      </c>
      <c r="M493" t="n">
        <v>0</v>
      </c>
      <c r="N493" t="n">
        <v>0</v>
      </c>
      <c r="O493" t="n">
        <v>0</v>
      </c>
      <c r="P493" t="n">
        <v>0</v>
      </c>
      <c r="Q493" t="n">
        <v>0</v>
      </c>
      <c r="R493" s="2" t="inlineStr"/>
    </row>
    <row r="494" ht="15" customHeight="1">
      <c r="A494" t="inlineStr">
        <is>
          <t>A 13279-2022</t>
        </is>
      </c>
      <c r="B494" s="1" t="n">
        <v>44644</v>
      </c>
      <c r="C494" s="1" t="n">
        <v>45995</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6892-2022</t>
        </is>
      </c>
      <c r="B495" s="1" t="n">
        <v>44602</v>
      </c>
      <c r="C495" s="1" t="n">
        <v>45995</v>
      </c>
      <c r="D495" t="inlineStr">
        <is>
          <t>UPPSALA LÄN</t>
        </is>
      </c>
      <c r="E495" t="inlineStr">
        <is>
          <t>ÖSTHAMMAR</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13044-2022</t>
        </is>
      </c>
      <c r="B496" s="1" t="n">
        <v>44643</v>
      </c>
      <c r="C496" s="1" t="n">
        <v>45995</v>
      </c>
      <c r="D496" t="inlineStr">
        <is>
          <t>UPPSALA LÄN</t>
        </is>
      </c>
      <c r="E496" t="inlineStr">
        <is>
          <t>ÖSTHAMMAR</t>
        </is>
      </c>
      <c r="G496" t="n">
        <v>2.5</v>
      </c>
      <c r="H496" t="n">
        <v>0</v>
      </c>
      <c r="I496" t="n">
        <v>0</v>
      </c>
      <c r="J496" t="n">
        <v>0</v>
      </c>
      <c r="K496" t="n">
        <v>0</v>
      </c>
      <c r="L496" t="n">
        <v>0</v>
      </c>
      <c r="M496" t="n">
        <v>0</v>
      </c>
      <c r="N496" t="n">
        <v>0</v>
      </c>
      <c r="O496" t="n">
        <v>0</v>
      </c>
      <c r="P496" t="n">
        <v>0</v>
      </c>
      <c r="Q496" t="n">
        <v>0</v>
      </c>
      <c r="R496" s="2" t="inlineStr"/>
    </row>
    <row r="497" ht="15" customHeight="1">
      <c r="A497" t="inlineStr">
        <is>
          <t>A 56653-2025</t>
        </is>
      </c>
      <c r="B497" s="1" t="n">
        <v>45975.64628472222</v>
      </c>
      <c r="C497" s="1" t="n">
        <v>45995</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56658-2025</t>
        </is>
      </c>
      <c r="B498" s="1" t="n">
        <v>45975.65431712963</v>
      </c>
      <c r="C498" s="1" t="n">
        <v>45995</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8763-2025</t>
        </is>
      </c>
      <c r="B499" s="1" t="n">
        <v>45712.57872685185</v>
      </c>
      <c r="C499" s="1" t="n">
        <v>45995</v>
      </c>
      <c r="D499" t="inlineStr">
        <is>
          <t>UPPSALA LÄN</t>
        </is>
      </c>
      <c r="E499" t="inlineStr">
        <is>
          <t>ÖSTHAMMAR</t>
        </is>
      </c>
      <c r="G499" t="n">
        <v>0.6</v>
      </c>
      <c r="H499" t="n">
        <v>0</v>
      </c>
      <c r="I499" t="n">
        <v>0</v>
      </c>
      <c r="J499" t="n">
        <v>0</v>
      </c>
      <c r="K499" t="n">
        <v>0</v>
      </c>
      <c r="L499" t="n">
        <v>0</v>
      </c>
      <c r="M499" t="n">
        <v>0</v>
      </c>
      <c r="N499" t="n">
        <v>0</v>
      </c>
      <c r="O499" t="n">
        <v>0</v>
      </c>
      <c r="P499" t="n">
        <v>0</v>
      </c>
      <c r="Q499" t="n">
        <v>0</v>
      </c>
      <c r="R499" s="2" t="inlineStr"/>
    </row>
    <row r="500" ht="15" customHeight="1">
      <c r="A500" t="inlineStr">
        <is>
          <t>A 56518-2025</t>
        </is>
      </c>
      <c r="B500" s="1" t="n">
        <v>45975.4581712963</v>
      </c>
      <c r="C500" s="1" t="n">
        <v>45995</v>
      </c>
      <c r="D500" t="inlineStr">
        <is>
          <t>UPPSALA LÄN</t>
        </is>
      </c>
      <c r="E500" t="inlineStr">
        <is>
          <t>ÖSTHAMMAR</t>
        </is>
      </c>
      <c r="G500" t="n">
        <v>2.7</v>
      </c>
      <c r="H500" t="n">
        <v>0</v>
      </c>
      <c r="I500" t="n">
        <v>0</v>
      </c>
      <c r="J500" t="n">
        <v>0</v>
      </c>
      <c r="K500" t="n">
        <v>0</v>
      </c>
      <c r="L500" t="n">
        <v>0</v>
      </c>
      <c r="M500" t="n">
        <v>0</v>
      </c>
      <c r="N500" t="n">
        <v>0</v>
      </c>
      <c r="O500" t="n">
        <v>0</v>
      </c>
      <c r="P500" t="n">
        <v>0</v>
      </c>
      <c r="Q500" t="n">
        <v>0</v>
      </c>
      <c r="R500" s="2" t="inlineStr"/>
    </row>
    <row r="501" ht="15" customHeight="1">
      <c r="A501" t="inlineStr">
        <is>
          <t>A 56745-2025</t>
        </is>
      </c>
      <c r="B501" s="1" t="n">
        <v>45978.36157407407</v>
      </c>
      <c r="C501" s="1" t="n">
        <v>45995</v>
      </c>
      <c r="D501" t="inlineStr">
        <is>
          <t>UPPSALA LÄN</t>
        </is>
      </c>
      <c r="E501" t="inlineStr">
        <is>
          <t>ÖSTHAMMAR</t>
        </is>
      </c>
      <c r="G501" t="n">
        <v>2.6</v>
      </c>
      <c r="H501" t="n">
        <v>0</v>
      </c>
      <c r="I501" t="n">
        <v>0</v>
      </c>
      <c r="J501" t="n">
        <v>0</v>
      </c>
      <c r="K501" t="n">
        <v>0</v>
      </c>
      <c r="L501" t="n">
        <v>0</v>
      </c>
      <c r="M501" t="n">
        <v>0</v>
      </c>
      <c r="N501" t="n">
        <v>0</v>
      </c>
      <c r="O501" t="n">
        <v>0</v>
      </c>
      <c r="P501" t="n">
        <v>0</v>
      </c>
      <c r="Q501" t="n">
        <v>0</v>
      </c>
      <c r="R501" s="2" t="inlineStr"/>
    </row>
    <row r="502" ht="15" customHeight="1">
      <c r="A502" t="inlineStr">
        <is>
          <t>A 56748-2025</t>
        </is>
      </c>
      <c r="B502" s="1" t="n">
        <v>45978.36412037037</v>
      </c>
      <c r="C502" s="1" t="n">
        <v>45995</v>
      </c>
      <c r="D502" t="inlineStr">
        <is>
          <t>UPPSALA LÄN</t>
        </is>
      </c>
      <c r="E502" t="inlineStr">
        <is>
          <t>ÖSTHAMMAR</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56753-2025</t>
        </is>
      </c>
      <c r="B503" s="1" t="n">
        <v>45978.36677083333</v>
      </c>
      <c r="C503" s="1" t="n">
        <v>45995</v>
      </c>
      <c r="D503" t="inlineStr">
        <is>
          <t>UPPSALA LÄN</t>
        </is>
      </c>
      <c r="E503" t="inlineStr">
        <is>
          <t>ÖSTHAMMAR</t>
        </is>
      </c>
      <c r="F503" t="inlineStr">
        <is>
          <t>Sveaskog</t>
        </is>
      </c>
      <c r="G503" t="n">
        <v>8.6</v>
      </c>
      <c r="H503" t="n">
        <v>0</v>
      </c>
      <c r="I503" t="n">
        <v>0</v>
      </c>
      <c r="J503" t="n">
        <v>0</v>
      </c>
      <c r="K503" t="n">
        <v>0</v>
      </c>
      <c r="L503" t="n">
        <v>0</v>
      </c>
      <c r="M503" t="n">
        <v>0</v>
      </c>
      <c r="N503" t="n">
        <v>0</v>
      </c>
      <c r="O503" t="n">
        <v>0</v>
      </c>
      <c r="P503" t="n">
        <v>0</v>
      </c>
      <c r="Q503" t="n">
        <v>0</v>
      </c>
      <c r="R503" s="2" t="inlineStr"/>
    </row>
    <row r="504" ht="15" customHeight="1">
      <c r="A504" t="inlineStr">
        <is>
          <t>A 44796-2024</t>
        </is>
      </c>
      <c r="B504" s="1" t="n">
        <v>45574</v>
      </c>
      <c r="C504" s="1" t="n">
        <v>45995</v>
      </c>
      <c r="D504" t="inlineStr">
        <is>
          <t>UPPSALA LÄN</t>
        </is>
      </c>
      <c r="E504" t="inlineStr">
        <is>
          <t>ÖSTHAMMAR</t>
        </is>
      </c>
      <c r="G504" t="n">
        <v>4.7</v>
      </c>
      <c r="H504" t="n">
        <v>0</v>
      </c>
      <c r="I504" t="n">
        <v>0</v>
      </c>
      <c r="J504" t="n">
        <v>0</v>
      </c>
      <c r="K504" t="n">
        <v>0</v>
      </c>
      <c r="L504" t="n">
        <v>0</v>
      </c>
      <c r="M504" t="n">
        <v>0</v>
      </c>
      <c r="N504" t="n">
        <v>0</v>
      </c>
      <c r="O504" t="n">
        <v>0</v>
      </c>
      <c r="P504" t="n">
        <v>0</v>
      </c>
      <c r="Q504" t="n">
        <v>0</v>
      </c>
      <c r="R504" s="2" t="inlineStr"/>
    </row>
    <row r="505" ht="15" customHeight="1">
      <c r="A505" t="inlineStr">
        <is>
          <t>A 56682-2025</t>
        </is>
      </c>
      <c r="B505" s="1" t="n">
        <v>45975</v>
      </c>
      <c r="C505" s="1" t="n">
        <v>45995</v>
      </c>
      <c r="D505" t="inlineStr">
        <is>
          <t>UPPSALA LÄN</t>
        </is>
      </c>
      <c r="E505" t="inlineStr">
        <is>
          <t>ÖSTHAMMAR</t>
        </is>
      </c>
      <c r="G505" t="n">
        <v>3.9</v>
      </c>
      <c r="H505" t="n">
        <v>0</v>
      </c>
      <c r="I505" t="n">
        <v>0</v>
      </c>
      <c r="J505" t="n">
        <v>0</v>
      </c>
      <c r="K505" t="n">
        <v>0</v>
      </c>
      <c r="L505" t="n">
        <v>0</v>
      </c>
      <c r="M505" t="n">
        <v>0</v>
      </c>
      <c r="N505" t="n">
        <v>0</v>
      </c>
      <c r="O505" t="n">
        <v>0</v>
      </c>
      <c r="P505" t="n">
        <v>0</v>
      </c>
      <c r="Q505" t="n">
        <v>0</v>
      </c>
      <c r="R505" s="2" t="inlineStr"/>
    </row>
    <row r="506" ht="15" customHeight="1">
      <c r="A506" t="inlineStr">
        <is>
          <t>A 48654-2025</t>
        </is>
      </c>
      <c r="B506" s="1" t="n">
        <v>45936.55887731481</v>
      </c>
      <c r="C506" s="1" t="n">
        <v>45995</v>
      </c>
      <c r="D506" t="inlineStr">
        <is>
          <t>UPPSALA LÄN</t>
        </is>
      </c>
      <c r="E506" t="inlineStr">
        <is>
          <t>ÖSTHAMMAR</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22488-2025</t>
        </is>
      </c>
      <c r="B507" s="1" t="n">
        <v>45786.64865740741</v>
      </c>
      <c r="C507" s="1" t="n">
        <v>45995</v>
      </c>
      <c r="D507" t="inlineStr">
        <is>
          <t>UPPSALA LÄN</t>
        </is>
      </c>
      <c r="E507" t="inlineStr">
        <is>
          <t>ÖSTHAMMAR</t>
        </is>
      </c>
      <c r="F507" t="inlineStr">
        <is>
          <t>Bergvik skog öst AB</t>
        </is>
      </c>
      <c r="G507" t="n">
        <v>14.9</v>
      </c>
      <c r="H507" t="n">
        <v>0</v>
      </c>
      <c r="I507" t="n">
        <v>0</v>
      </c>
      <c r="J507" t="n">
        <v>0</v>
      </c>
      <c r="K507" t="n">
        <v>0</v>
      </c>
      <c r="L507" t="n">
        <v>0</v>
      </c>
      <c r="M507" t="n">
        <v>0</v>
      </c>
      <c r="N507" t="n">
        <v>0</v>
      </c>
      <c r="O507" t="n">
        <v>0</v>
      </c>
      <c r="P507" t="n">
        <v>0</v>
      </c>
      <c r="Q507" t="n">
        <v>0</v>
      </c>
      <c r="R507" s="2" t="inlineStr"/>
    </row>
    <row r="508" ht="15" customHeight="1">
      <c r="A508" t="inlineStr">
        <is>
          <t>A 8623-2025</t>
        </is>
      </c>
      <c r="B508" s="1" t="n">
        <v>45711.51902777778</v>
      </c>
      <c r="C508" s="1" t="n">
        <v>45995</v>
      </c>
      <c r="D508" t="inlineStr">
        <is>
          <t>UPPSALA LÄN</t>
        </is>
      </c>
      <c r="E508" t="inlineStr">
        <is>
          <t>ÖSTHAMMAR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48854-2025</t>
        </is>
      </c>
      <c r="B509" s="1" t="n">
        <v>45937.43274305556</v>
      </c>
      <c r="C509" s="1" t="n">
        <v>45995</v>
      </c>
      <c r="D509" t="inlineStr">
        <is>
          <t>UPPSALA LÄN</t>
        </is>
      </c>
      <c r="E509" t="inlineStr">
        <is>
          <t>ÖSTHAMMAR</t>
        </is>
      </c>
      <c r="F509" t="inlineStr">
        <is>
          <t>Övriga Aktiebolag</t>
        </is>
      </c>
      <c r="G509" t="n">
        <v>18.9</v>
      </c>
      <c r="H509" t="n">
        <v>0</v>
      </c>
      <c r="I509" t="n">
        <v>0</v>
      </c>
      <c r="J509" t="n">
        <v>0</v>
      </c>
      <c r="K509" t="n">
        <v>0</v>
      </c>
      <c r="L509" t="n">
        <v>0</v>
      </c>
      <c r="M509" t="n">
        <v>0</v>
      </c>
      <c r="N509" t="n">
        <v>0</v>
      </c>
      <c r="O509" t="n">
        <v>0</v>
      </c>
      <c r="P509" t="n">
        <v>0</v>
      </c>
      <c r="Q509" t="n">
        <v>0</v>
      </c>
      <c r="R509" s="2" t="inlineStr"/>
    </row>
    <row r="510" ht="15" customHeight="1">
      <c r="A510" t="inlineStr">
        <is>
          <t>A 8626-2025</t>
        </is>
      </c>
      <c r="B510" s="1" t="n">
        <v>45711.53565972222</v>
      </c>
      <c r="C510" s="1" t="n">
        <v>45995</v>
      </c>
      <c r="D510" t="inlineStr">
        <is>
          <t>UPPSALA LÄN</t>
        </is>
      </c>
      <c r="E510" t="inlineStr">
        <is>
          <t>ÖSTHAMMAR</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36954-2024</t>
        </is>
      </c>
      <c r="B511" s="1" t="n">
        <v>45538.71109953704</v>
      </c>
      <c r="C511" s="1" t="n">
        <v>45995</v>
      </c>
      <c r="D511" t="inlineStr">
        <is>
          <t>UPPSALA LÄN</t>
        </is>
      </c>
      <c r="E511" t="inlineStr">
        <is>
          <t>ÖSTHAMMAR</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22483-2025</t>
        </is>
      </c>
      <c r="B512" s="1" t="n">
        <v>45786.64141203704</v>
      </c>
      <c r="C512" s="1" t="n">
        <v>45995</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48857-2025</t>
        </is>
      </c>
      <c r="B513" s="1" t="n">
        <v>45937.43621527778</v>
      </c>
      <c r="C513" s="1" t="n">
        <v>45995</v>
      </c>
      <c r="D513" t="inlineStr">
        <is>
          <t>UPPSALA LÄN</t>
        </is>
      </c>
      <c r="E513" t="inlineStr">
        <is>
          <t>ÖSTHAMMAR</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59291-2023</t>
        </is>
      </c>
      <c r="B514" s="1" t="n">
        <v>45253.57559027777</v>
      </c>
      <c r="C514" s="1" t="n">
        <v>45995</v>
      </c>
      <c r="D514" t="inlineStr">
        <is>
          <t>UPPSALA LÄN</t>
        </is>
      </c>
      <c r="E514" t="inlineStr">
        <is>
          <t>ÖSTHAMMAR</t>
        </is>
      </c>
      <c r="G514" t="n">
        <v>1.7</v>
      </c>
      <c r="H514" t="n">
        <v>0</v>
      </c>
      <c r="I514" t="n">
        <v>0</v>
      </c>
      <c r="J514" t="n">
        <v>0</v>
      </c>
      <c r="K514" t="n">
        <v>0</v>
      </c>
      <c r="L514" t="n">
        <v>0</v>
      </c>
      <c r="M514" t="n">
        <v>0</v>
      </c>
      <c r="N514" t="n">
        <v>0</v>
      </c>
      <c r="O514" t="n">
        <v>0</v>
      </c>
      <c r="P514" t="n">
        <v>0</v>
      </c>
      <c r="Q514" t="n">
        <v>0</v>
      </c>
      <c r="R514" s="2" t="inlineStr"/>
    </row>
    <row r="515" ht="15" customHeight="1">
      <c r="A515" t="inlineStr">
        <is>
          <t>A 52694-2023</t>
        </is>
      </c>
      <c r="B515" s="1" t="n">
        <v>45225.76836805556</v>
      </c>
      <c r="C515" s="1" t="n">
        <v>45995</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43685-2024</t>
        </is>
      </c>
      <c r="B516" s="1" t="n">
        <v>45569</v>
      </c>
      <c r="C516" s="1" t="n">
        <v>45995</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38575-2024</t>
        </is>
      </c>
      <c r="B517" s="1" t="n">
        <v>45546.64221064815</v>
      </c>
      <c r="C517" s="1" t="n">
        <v>45995</v>
      </c>
      <c r="D517" t="inlineStr">
        <is>
          <t>UPPSALA LÄN</t>
        </is>
      </c>
      <c r="E517" t="inlineStr">
        <is>
          <t>ÖSTHAMMAR</t>
        </is>
      </c>
      <c r="F517" t="inlineStr">
        <is>
          <t>Bergvik skog öst AB</t>
        </is>
      </c>
      <c r="G517" t="n">
        <v>5.1</v>
      </c>
      <c r="H517" t="n">
        <v>0</v>
      </c>
      <c r="I517" t="n">
        <v>0</v>
      </c>
      <c r="J517" t="n">
        <v>0</v>
      </c>
      <c r="K517" t="n">
        <v>0</v>
      </c>
      <c r="L517" t="n">
        <v>0</v>
      </c>
      <c r="M517" t="n">
        <v>0</v>
      </c>
      <c r="N517" t="n">
        <v>0</v>
      </c>
      <c r="O517" t="n">
        <v>0</v>
      </c>
      <c r="P517" t="n">
        <v>0</v>
      </c>
      <c r="Q517" t="n">
        <v>0</v>
      </c>
      <c r="R517" s="2" t="inlineStr"/>
    </row>
    <row r="518" ht="15" customHeight="1">
      <c r="A518" t="inlineStr">
        <is>
          <t>A 43993-2024</t>
        </is>
      </c>
      <c r="B518" s="1" t="n">
        <v>45572.52690972222</v>
      </c>
      <c r="C518" s="1" t="n">
        <v>45995</v>
      </c>
      <c r="D518" t="inlineStr">
        <is>
          <t>UPPSALA LÄN</t>
        </is>
      </c>
      <c r="E518" t="inlineStr">
        <is>
          <t>ÖSTHAMMAR</t>
        </is>
      </c>
      <c r="G518" t="n">
        <v>1.5</v>
      </c>
      <c r="H518" t="n">
        <v>0</v>
      </c>
      <c r="I518" t="n">
        <v>0</v>
      </c>
      <c r="J518" t="n">
        <v>0</v>
      </c>
      <c r="K518" t="n">
        <v>0</v>
      </c>
      <c r="L518" t="n">
        <v>0</v>
      </c>
      <c r="M518" t="n">
        <v>0</v>
      </c>
      <c r="N518" t="n">
        <v>0</v>
      </c>
      <c r="O518" t="n">
        <v>0</v>
      </c>
      <c r="P518" t="n">
        <v>0</v>
      </c>
      <c r="Q518" t="n">
        <v>0</v>
      </c>
      <c r="R518" s="2" t="inlineStr"/>
    </row>
    <row r="519" ht="15" customHeight="1">
      <c r="A519" t="inlineStr">
        <is>
          <t>A 57248-2025</t>
        </is>
      </c>
      <c r="B519" s="1" t="n">
        <v>45979.635625</v>
      </c>
      <c r="C519" s="1" t="n">
        <v>45995</v>
      </c>
      <c r="D519" t="inlineStr">
        <is>
          <t>UPPSALA LÄN</t>
        </is>
      </c>
      <c r="E519" t="inlineStr">
        <is>
          <t>ÖSTHAMMAR</t>
        </is>
      </c>
      <c r="F519" t="inlineStr">
        <is>
          <t>Bergvik skog öst AB</t>
        </is>
      </c>
      <c r="G519" t="n">
        <v>2.8</v>
      </c>
      <c r="H519" t="n">
        <v>0</v>
      </c>
      <c r="I519" t="n">
        <v>0</v>
      </c>
      <c r="J519" t="n">
        <v>0</v>
      </c>
      <c r="K519" t="n">
        <v>0</v>
      </c>
      <c r="L519" t="n">
        <v>0</v>
      </c>
      <c r="M519" t="n">
        <v>0</v>
      </c>
      <c r="N519" t="n">
        <v>0</v>
      </c>
      <c r="O519" t="n">
        <v>0</v>
      </c>
      <c r="P519" t="n">
        <v>0</v>
      </c>
      <c r="Q519" t="n">
        <v>0</v>
      </c>
      <c r="R519" s="2" t="inlineStr"/>
    </row>
    <row r="520" ht="15" customHeight="1">
      <c r="A520" t="inlineStr">
        <is>
          <t>A 22492-2025</t>
        </is>
      </c>
      <c r="B520" s="1" t="n">
        <v>45786.65072916666</v>
      </c>
      <c r="C520" s="1" t="n">
        <v>45995</v>
      </c>
      <c r="D520" t="inlineStr">
        <is>
          <t>UPPSALA LÄN</t>
        </is>
      </c>
      <c r="E520" t="inlineStr">
        <is>
          <t>ÖSTHAMMAR</t>
        </is>
      </c>
      <c r="F520" t="inlineStr">
        <is>
          <t>Bergvik skog öst AB</t>
        </is>
      </c>
      <c r="G520" t="n">
        <v>16.6</v>
      </c>
      <c r="H520" t="n">
        <v>0</v>
      </c>
      <c r="I520" t="n">
        <v>0</v>
      </c>
      <c r="J520" t="n">
        <v>0</v>
      </c>
      <c r="K520" t="n">
        <v>0</v>
      </c>
      <c r="L520" t="n">
        <v>0</v>
      </c>
      <c r="M520" t="n">
        <v>0</v>
      </c>
      <c r="N520" t="n">
        <v>0</v>
      </c>
      <c r="O520" t="n">
        <v>0</v>
      </c>
      <c r="P520" t="n">
        <v>0</v>
      </c>
      <c r="Q520" t="n">
        <v>0</v>
      </c>
      <c r="R520" s="2" t="inlineStr"/>
    </row>
    <row r="521" ht="15" customHeight="1">
      <c r="A521" t="inlineStr">
        <is>
          <t>A 57156-2025</t>
        </is>
      </c>
      <c r="B521" s="1" t="n">
        <v>45979.51591435185</v>
      </c>
      <c r="C521" s="1" t="n">
        <v>45995</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5303-2025</t>
        </is>
      </c>
      <c r="B522" s="1" t="n">
        <v>45692</v>
      </c>
      <c r="C522" s="1" t="n">
        <v>45995</v>
      </c>
      <c r="D522" t="inlineStr">
        <is>
          <t>UPPSALA LÄN</t>
        </is>
      </c>
      <c r="E522" t="inlineStr">
        <is>
          <t>ÖSTHAMMAR</t>
        </is>
      </c>
      <c r="G522" t="n">
        <v>5</v>
      </c>
      <c r="H522" t="n">
        <v>0</v>
      </c>
      <c r="I522" t="n">
        <v>0</v>
      </c>
      <c r="J522" t="n">
        <v>0</v>
      </c>
      <c r="K522" t="n">
        <v>0</v>
      </c>
      <c r="L522" t="n">
        <v>0</v>
      </c>
      <c r="M522" t="n">
        <v>0</v>
      </c>
      <c r="N522" t="n">
        <v>0</v>
      </c>
      <c r="O522" t="n">
        <v>0</v>
      </c>
      <c r="P522" t="n">
        <v>0</v>
      </c>
      <c r="Q522" t="n">
        <v>0</v>
      </c>
      <c r="R522" s="2" t="inlineStr"/>
    </row>
    <row r="523" ht="15" customHeight="1">
      <c r="A523" t="inlineStr">
        <is>
          <t>A 24493-2023</t>
        </is>
      </c>
      <c r="B523" s="1" t="n">
        <v>45082.62603009259</v>
      </c>
      <c r="C523" s="1" t="n">
        <v>45995</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5931-2022</t>
        </is>
      </c>
      <c r="B524" s="1" t="n">
        <v>44598.82700231481</v>
      </c>
      <c r="C524" s="1" t="n">
        <v>45995</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34742-2022</t>
        </is>
      </c>
      <c r="B525" s="1" t="n">
        <v>44795.61990740741</v>
      </c>
      <c r="C525" s="1" t="n">
        <v>45995</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13622-2025</t>
        </is>
      </c>
      <c r="B526" s="1" t="n">
        <v>45736</v>
      </c>
      <c r="C526" s="1" t="n">
        <v>45995</v>
      </c>
      <c r="D526" t="inlineStr">
        <is>
          <t>UPPSALA LÄN</t>
        </is>
      </c>
      <c r="E526" t="inlineStr">
        <is>
          <t>ÖSTHAMMAR</t>
        </is>
      </c>
      <c r="G526" t="n">
        <v>2.6</v>
      </c>
      <c r="H526" t="n">
        <v>0</v>
      </c>
      <c r="I526" t="n">
        <v>0</v>
      </c>
      <c r="J526" t="n">
        <v>0</v>
      </c>
      <c r="K526" t="n">
        <v>0</v>
      </c>
      <c r="L526" t="n">
        <v>0</v>
      </c>
      <c r="M526" t="n">
        <v>0</v>
      </c>
      <c r="N526" t="n">
        <v>0</v>
      </c>
      <c r="O526" t="n">
        <v>0</v>
      </c>
      <c r="P526" t="n">
        <v>0</v>
      </c>
      <c r="Q526" t="n">
        <v>0</v>
      </c>
      <c r="R526" s="2" t="inlineStr"/>
    </row>
    <row r="527" ht="15" customHeight="1">
      <c r="A527" t="inlineStr">
        <is>
          <t>A 43655-2024</t>
        </is>
      </c>
      <c r="B527" s="1" t="n">
        <v>45569</v>
      </c>
      <c r="C527" s="1" t="n">
        <v>45995</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43683-2024</t>
        </is>
      </c>
      <c r="B528" s="1" t="n">
        <v>45569.57518518518</v>
      </c>
      <c r="C528" s="1" t="n">
        <v>45995</v>
      </c>
      <c r="D528" t="inlineStr">
        <is>
          <t>UPPSALA LÄN</t>
        </is>
      </c>
      <c r="E528" t="inlineStr">
        <is>
          <t>ÖSTHAMMAR</t>
        </is>
      </c>
      <c r="G528" t="n">
        <v>4.7</v>
      </c>
      <c r="H528" t="n">
        <v>0</v>
      </c>
      <c r="I528" t="n">
        <v>0</v>
      </c>
      <c r="J528" t="n">
        <v>0</v>
      </c>
      <c r="K528" t="n">
        <v>0</v>
      </c>
      <c r="L528" t="n">
        <v>0</v>
      </c>
      <c r="M528" t="n">
        <v>0</v>
      </c>
      <c r="N528" t="n">
        <v>0</v>
      </c>
      <c r="O528" t="n">
        <v>0</v>
      </c>
      <c r="P528" t="n">
        <v>0</v>
      </c>
      <c r="Q528" t="n">
        <v>0</v>
      </c>
      <c r="R528" s="2" t="inlineStr"/>
    </row>
    <row r="529" ht="15" customHeight="1">
      <c r="A529" t="inlineStr">
        <is>
          <t>A 32483-2024</t>
        </is>
      </c>
      <c r="B529" s="1" t="n">
        <v>45513.36644675926</v>
      </c>
      <c r="C529" s="1" t="n">
        <v>45995</v>
      </c>
      <c r="D529" t="inlineStr">
        <is>
          <t>UPPSALA LÄN</t>
        </is>
      </c>
      <c r="E529" t="inlineStr">
        <is>
          <t>ÖSTHAMMAR</t>
        </is>
      </c>
      <c r="F529" t="inlineStr">
        <is>
          <t>Kyrkan</t>
        </is>
      </c>
      <c r="G529" t="n">
        <v>4.7</v>
      </c>
      <c r="H529" t="n">
        <v>0</v>
      </c>
      <c r="I529" t="n">
        <v>0</v>
      </c>
      <c r="J529" t="n">
        <v>0</v>
      </c>
      <c r="K529" t="n">
        <v>0</v>
      </c>
      <c r="L529" t="n">
        <v>0</v>
      </c>
      <c r="M529" t="n">
        <v>0</v>
      </c>
      <c r="N529" t="n">
        <v>0</v>
      </c>
      <c r="O529" t="n">
        <v>0</v>
      </c>
      <c r="P529" t="n">
        <v>0</v>
      </c>
      <c r="Q529" t="n">
        <v>0</v>
      </c>
      <c r="R529" s="2" t="inlineStr"/>
    </row>
    <row r="530" ht="15" customHeight="1">
      <c r="A530" t="inlineStr">
        <is>
          <t>A 57257-2025</t>
        </is>
      </c>
      <c r="B530" s="1" t="n">
        <v>45979.65149305556</v>
      </c>
      <c r="C530" s="1" t="n">
        <v>45995</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46399-2023</t>
        </is>
      </c>
      <c r="B531" s="1" t="n">
        <v>45197.49262731482</v>
      </c>
      <c r="C531" s="1" t="n">
        <v>45995</v>
      </c>
      <c r="D531" t="inlineStr">
        <is>
          <t>UPPSALA LÄN</t>
        </is>
      </c>
      <c r="E531" t="inlineStr">
        <is>
          <t>ÖSTHAMMAR</t>
        </is>
      </c>
      <c r="G531" t="n">
        <v>5.8</v>
      </c>
      <c r="H531" t="n">
        <v>0</v>
      </c>
      <c r="I531" t="n">
        <v>0</v>
      </c>
      <c r="J531" t="n">
        <v>0</v>
      </c>
      <c r="K531" t="n">
        <v>0</v>
      </c>
      <c r="L531" t="n">
        <v>0</v>
      </c>
      <c r="M531" t="n">
        <v>0</v>
      </c>
      <c r="N531" t="n">
        <v>0</v>
      </c>
      <c r="O531" t="n">
        <v>0</v>
      </c>
      <c r="P531" t="n">
        <v>0</v>
      </c>
      <c r="Q531" t="n">
        <v>0</v>
      </c>
      <c r="R531" s="2" t="inlineStr"/>
    </row>
    <row r="532" ht="15" customHeight="1">
      <c r="A532" t="inlineStr">
        <is>
          <t>A 14595-2023</t>
        </is>
      </c>
      <c r="B532" s="1" t="n">
        <v>45013.57858796296</v>
      </c>
      <c r="C532" s="1" t="n">
        <v>45995</v>
      </c>
      <c r="D532" t="inlineStr">
        <is>
          <t>UPPSALA LÄN</t>
        </is>
      </c>
      <c r="E532" t="inlineStr">
        <is>
          <t>ÖSTHAMMAR</t>
        </is>
      </c>
      <c r="G532" t="n">
        <v>5</v>
      </c>
      <c r="H532" t="n">
        <v>0</v>
      </c>
      <c r="I532" t="n">
        <v>0</v>
      </c>
      <c r="J532" t="n">
        <v>0</v>
      </c>
      <c r="K532" t="n">
        <v>0</v>
      </c>
      <c r="L532" t="n">
        <v>0</v>
      </c>
      <c r="M532" t="n">
        <v>0</v>
      </c>
      <c r="N532" t="n">
        <v>0</v>
      </c>
      <c r="O532" t="n">
        <v>0</v>
      </c>
      <c r="P532" t="n">
        <v>0</v>
      </c>
      <c r="Q532" t="n">
        <v>0</v>
      </c>
      <c r="R532" s="2" t="inlineStr"/>
    </row>
    <row r="533" ht="15" customHeight="1">
      <c r="A533" t="inlineStr">
        <is>
          <t>A 13358-2024</t>
        </is>
      </c>
      <c r="B533" s="1" t="n">
        <v>45387.3503125</v>
      </c>
      <c r="C533" s="1" t="n">
        <v>45995</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26328-2025</t>
        </is>
      </c>
      <c r="B534" s="1" t="n">
        <v>45805.67305555556</v>
      </c>
      <c r="C534" s="1" t="n">
        <v>45995</v>
      </c>
      <c r="D534" t="inlineStr">
        <is>
          <t>UPPSALA LÄN</t>
        </is>
      </c>
      <c r="E534" t="inlineStr">
        <is>
          <t>ÖSTHAMMAR</t>
        </is>
      </c>
      <c r="G534" t="n">
        <v>1.6</v>
      </c>
      <c r="H534" t="n">
        <v>0</v>
      </c>
      <c r="I534" t="n">
        <v>0</v>
      </c>
      <c r="J534" t="n">
        <v>0</v>
      </c>
      <c r="K534" t="n">
        <v>0</v>
      </c>
      <c r="L534" t="n">
        <v>0</v>
      </c>
      <c r="M534" t="n">
        <v>0</v>
      </c>
      <c r="N534" t="n">
        <v>0</v>
      </c>
      <c r="O534" t="n">
        <v>0</v>
      </c>
      <c r="P534" t="n">
        <v>0</v>
      </c>
      <c r="Q534" t="n">
        <v>0</v>
      </c>
      <c r="R534" s="2" t="inlineStr"/>
    </row>
    <row r="535" ht="15" customHeight="1">
      <c r="A535" t="inlineStr">
        <is>
          <t>A 55079-2024</t>
        </is>
      </c>
      <c r="B535" s="1" t="n">
        <v>45621.42747685185</v>
      </c>
      <c r="C535" s="1" t="n">
        <v>45995</v>
      </c>
      <c r="D535" t="inlineStr">
        <is>
          <t>UPPSALA LÄN</t>
        </is>
      </c>
      <c r="E535" t="inlineStr">
        <is>
          <t>ÖSTHAMMAR</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36873-2022</t>
        </is>
      </c>
      <c r="B536" s="1" t="n">
        <v>44805.63708333333</v>
      </c>
      <c r="C536" s="1" t="n">
        <v>45995</v>
      </c>
      <c r="D536" t="inlineStr">
        <is>
          <t>UPPSALA LÄN</t>
        </is>
      </c>
      <c r="E536" t="inlineStr">
        <is>
          <t>ÖSTHAMMAR</t>
        </is>
      </c>
      <c r="G536" t="n">
        <v>2.5</v>
      </c>
      <c r="H536" t="n">
        <v>0</v>
      </c>
      <c r="I536" t="n">
        <v>0</v>
      </c>
      <c r="J536" t="n">
        <v>0</v>
      </c>
      <c r="K536" t="n">
        <v>0</v>
      </c>
      <c r="L536" t="n">
        <v>0</v>
      </c>
      <c r="M536" t="n">
        <v>0</v>
      </c>
      <c r="N536" t="n">
        <v>0</v>
      </c>
      <c r="O536" t="n">
        <v>0</v>
      </c>
      <c r="P536" t="n">
        <v>0</v>
      </c>
      <c r="Q536" t="n">
        <v>0</v>
      </c>
      <c r="R536" s="2" t="inlineStr"/>
    </row>
    <row r="537" ht="15" customHeight="1">
      <c r="A537" t="inlineStr">
        <is>
          <t>A 53733-2023</t>
        </is>
      </c>
      <c r="B537" s="1" t="n">
        <v>45230.76862268519</v>
      </c>
      <c r="C537" s="1" t="n">
        <v>45995</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53735-2023</t>
        </is>
      </c>
      <c r="B538" s="1" t="n">
        <v>45230.77258101852</v>
      </c>
      <c r="C538" s="1" t="n">
        <v>45995</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33685-2024</t>
        </is>
      </c>
      <c r="B539" s="1" t="n">
        <v>45520.51063657407</v>
      </c>
      <c r="C539" s="1" t="n">
        <v>45995</v>
      </c>
      <c r="D539" t="inlineStr">
        <is>
          <t>UPPSALA LÄN</t>
        </is>
      </c>
      <c r="E539" t="inlineStr">
        <is>
          <t>ÖSTHAMMAR</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44027-2024</t>
        </is>
      </c>
      <c r="B540" s="1" t="n">
        <v>45572</v>
      </c>
      <c r="C540" s="1" t="n">
        <v>45995</v>
      </c>
      <c r="D540" t="inlineStr">
        <is>
          <t>UPPSALA LÄN</t>
        </is>
      </c>
      <c r="E540" t="inlineStr">
        <is>
          <t>ÖSTHAMMAR</t>
        </is>
      </c>
      <c r="G540" t="n">
        <v>6</v>
      </c>
      <c r="H540" t="n">
        <v>0</v>
      </c>
      <c r="I540" t="n">
        <v>0</v>
      </c>
      <c r="J540" t="n">
        <v>0</v>
      </c>
      <c r="K540" t="n">
        <v>0</v>
      </c>
      <c r="L540" t="n">
        <v>0</v>
      </c>
      <c r="M540" t="n">
        <v>0</v>
      </c>
      <c r="N540" t="n">
        <v>0</v>
      </c>
      <c r="O540" t="n">
        <v>0</v>
      </c>
      <c r="P540" t="n">
        <v>0</v>
      </c>
      <c r="Q540" t="n">
        <v>0</v>
      </c>
      <c r="R540" s="2" t="inlineStr"/>
    </row>
    <row r="541" ht="15" customHeight="1">
      <c r="A541" t="inlineStr">
        <is>
          <t>A 57908-2025</t>
        </is>
      </c>
      <c r="B541" s="1" t="n">
        <v>45981.78886574074</v>
      </c>
      <c r="C541" s="1" t="n">
        <v>45995</v>
      </c>
      <c r="D541" t="inlineStr">
        <is>
          <t>UPPSALA LÄN</t>
        </is>
      </c>
      <c r="E541" t="inlineStr">
        <is>
          <t>ÖSTHAMMAR</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21522-2022</t>
        </is>
      </c>
      <c r="B542" s="1" t="n">
        <v>44706</v>
      </c>
      <c r="C542" s="1" t="n">
        <v>45995</v>
      </c>
      <c r="D542" t="inlineStr">
        <is>
          <t>UPPSALA LÄN</t>
        </is>
      </c>
      <c r="E542" t="inlineStr">
        <is>
          <t>ÖSTHAMMAR</t>
        </is>
      </c>
      <c r="G542" t="n">
        <v>1.8</v>
      </c>
      <c r="H542" t="n">
        <v>0</v>
      </c>
      <c r="I542" t="n">
        <v>0</v>
      </c>
      <c r="J542" t="n">
        <v>0</v>
      </c>
      <c r="K542" t="n">
        <v>0</v>
      </c>
      <c r="L542" t="n">
        <v>0</v>
      </c>
      <c r="M542" t="n">
        <v>0</v>
      </c>
      <c r="N542" t="n">
        <v>0</v>
      </c>
      <c r="O542" t="n">
        <v>0</v>
      </c>
      <c r="P542" t="n">
        <v>0</v>
      </c>
      <c r="Q542" t="n">
        <v>0</v>
      </c>
      <c r="R542" s="2" t="inlineStr"/>
    </row>
    <row r="543" ht="15" customHeight="1">
      <c r="A543" t="inlineStr">
        <is>
          <t>A 14187-2022</t>
        </is>
      </c>
      <c r="B543" s="1" t="n">
        <v>44651.5625</v>
      </c>
      <c r="C543" s="1" t="n">
        <v>45995</v>
      </c>
      <c r="D543" t="inlineStr">
        <is>
          <t>UPPSALA LÄN</t>
        </is>
      </c>
      <c r="E543" t="inlineStr">
        <is>
          <t>ÖSTHAMMAR</t>
        </is>
      </c>
      <c r="F543" t="inlineStr">
        <is>
          <t>Övriga Aktiebolag</t>
        </is>
      </c>
      <c r="G543" t="n">
        <v>14.1</v>
      </c>
      <c r="H543" t="n">
        <v>0</v>
      </c>
      <c r="I543" t="n">
        <v>0</v>
      </c>
      <c r="J543" t="n">
        <v>0</v>
      </c>
      <c r="K543" t="n">
        <v>0</v>
      </c>
      <c r="L543" t="n">
        <v>0</v>
      </c>
      <c r="M543" t="n">
        <v>0</v>
      </c>
      <c r="N543" t="n">
        <v>0</v>
      </c>
      <c r="O543" t="n">
        <v>0</v>
      </c>
      <c r="P543" t="n">
        <v>0</v>
      </c>
      <c r="Q543" t="n">
        <v>0</v>
      </c>
      <c r="R543" s="2" t="inlineStr"/>
    </row>
    <row r="544" ht="15" customHeight="1">
      <c r="A544" t="inlineStr">
        <is>
          <t>A 7997-2022</t>
        </is>
      </c>
      <c r="B544" s="1" t="n">
        <v>44609</v>
      </c>
      <c r="C544" s="1" t="n">
        <v>45995</v>
      </c>
      <c r="D544" t="inlineStr">
        <is>
          <t>UPPSALA LÄN</t>
        </is>
      </c>
      <c r="E544" t="inlineStr">
        <is>
          <t>ÖSTHAMMAR</t>
        </is>
      </c>
      <c r="G544" t="n">
        <v>1.8</v>
      </c>
      <c r="H544" t="n">
        <v>0</v>
      </c>
      <c r="I544" t="n">
        <v>0</v>
      </c>
      <c r="J544" t="n">
        <v>0</v>
      </c>
      <c r="K544" t="n">
        <v>0</v>
      </c>
      <c r="L544" t="n">
        <v>0</v>
      </c>
      <c r="M544" t="n">
        <v>0</v>
      </c>
      <c r="N544" t="n">
        <v>0</v>
      </c>
      <c r="O544" t="n">
        <v>0</v>
      </c>
      <c r="P544" t="n">
        <v>0</v>
      </c>
      <c r="Q544" t="n">
        <v>0</v>
      </c>
      <c r="R544" s="2" t="inlineStr"/>
    </row>
    <row r="545" ht="15" customHeight="1">
      <c r="A545" t="inlineStr">
        <is>
          <t>A 4676-2025</t>
        </is>
      </c>
      <c r="B545" s="1" t="n">
        <v>45687.8313425926</v>
      </c>
      <c r="C545" s="1" t="n">
        <v>45995</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49773-2025</t>
        </is>
      </c>
      <c r="B546" s="1" t="n">
        <v>45940.37303240741</v>
      </c>
      <c r="C546" s="1" t="n">
        <v>45995</v>
      </c>
      <c r="D546" t="inlineStr">
        <is>
          <t>UPPSALA LÄN</t>
        </is>
      </c>
      <c r="E546" t="inlineStr">
        <is>
          <t>ÖSTHAMMAR</t>
        </is>
      </c>
      <c r="G546" t="n">
        <v>3.5</v>
      </c>
      <c r="H546" t="n">
        <v>0</v>
      </c>
      <c r="I546" t="n">
        <v>0</v>
      </c>
      <c r="J546" t="n">
        <v>0</v>
      </c>
      <c r="K546" t="n">
        <v>0</v>
      </c>
      <c r="L546" t="n">
        <v>0</v>
      </c>
      <c r="M546" t="n">
        <v>0</v>
      </c>
      <c r="N546" t="n">
        <v>0</v>
      </c>
      <c r="O546" t="n">
        <v>0</v>
      </c>
      <c r="P546" t="n">
        <v>0</v>
      </c>
      <c r="Q546" t="n">
        <v>0</v>
      </c>
      <c r="R546" s="2" t="inlineStr"/>
    </row>
    <row r="547" ht="15" customHeight="1">
      <c r="A547" t="inlineStr">
        <is>
          <t>A 47020-2025</t>
        </is>
      </c>
      <c r="B547" s="1" t="n">
        <v>45929.5775</v>
      </c>
      <c r="C547" s="1" t="n">
        <v>45995</v>
      </c>
      <c r="D547" t="inlineStr">
        <is>
          <t>UPPSALA LÄN</t>
        </is>
      </c>
      <c r="E547" t="inlineStr">
        <is>
          <t>ÖSTHAMMAR</t>
        </is>
      </c>
      <c r="G547" t="n">
        <v>2.1</v>
      </c>
      <c r="H547" t="n">
        <v>0</v>
      </c>
      <c r="I547" t="n">
        <v>0</v>
      </c>
      <c r="J547" t="n">
        <v>0</v>
      </c>
      <c r="K547" t="n">
        <v>0</v>
      </c>
      <c r="L547" t="n">
        <v>0</v>
      </c>
      <c r="M547" t="n">
        <v>0</v>
      </c>
      <c r="N547" t="n">
        <v>0</v>
      </c>
      <c r="O547" t="n">
        <v>0</v>
      </c>
      <c r="P547" t="n">
        <v>0</v>
      </c>
      <c r="Q547" t="n">
        <v>0</v>
      </c>
      <c r="R547" s="2" t="inlineStr"/>
    </row>
    <row r="548" ht="15" customHeight="1">
      <c r="A548" t="inlineStr">
        <is>
          <t>A 55837-2023</t>
        </is>
      </c>
      <c r="B548" s="1" t="n">
        <v>45239</v>
      </c>
      <c r="C548" s="1" t="n">
        <v>45995</v>
      </c>
      <c r="D548" t="inlineStr">
        <is>
          <t>UPPSALA LÄN</t>
        </is>
      </c>
      <c r="E548" t="inlineStr">
        <is>
          <t>ÖSTHAMMAR</t>
        </is>
      </c>
      <c r="G548" t="n">
        <v>0.5</v>
      </c>
      <c r="H548" t="n">
        <v>0</v>
      </c>
      <c r="I548" t="n">
        <v>0</v>
      </c>
      <c r="J548" t="n">
        <v>0</v>
      </c>
      <c r="K548" t="n">
        <v>0</v>
      </c>
      <c r="L548" t="n">
        <v>0</v>
      </c>
      <c r="M548" t="n">
        <v>0</v>
      </c>
      <c r="N548" t="n">
        <v>0</v>
      </c>
      <c r="O548" t="n">
        <v>0</v>
      </c>
      <c r="P548" t="n">
        <v>0</v>
      </c>
      <c r="Q548" t="n">
        <v>0</v>
      </c>
      <c r="R548" s="2" t="inlineStr"/>
    </row>
    <row r="549" ht="15" customHeight="1">
      <c r="A549" t="inlineStr">
        <is>
          <t>A 57907-2025</t>
        </is>
      </c>
      <c r="B549" s="1" t="n">
        <v>45981.78840277778</v>
      </c>
      <c r="C549" s="1" t="n">
        <v>45995</v>
      </c>
      <c r="D549" t="inlineStr">
        <is>
          <t>UPPSALA LÄN</t>
        </is>
      </c>
      <c r="E549" t="inlineStr">
        <is>
          <t>ÖSTHAMMAR</t>
        </is>
      </c>
      <c r="F549" t="inlineStr">
        <is>
          <t>Bergvik skog öst AB</t>
        </is>
      </c>
      <c r="G549" t="n">
        <v>2.9</v>
      </c>
      <c r="H549" t="n">
        <v>0</v>
      </c>
      <c r="I549" t="n">
        <v>0</v>
      </c>
      <c r="J549" t="n">
        <v>0</v>
      </c>
      <c r="K549" t="n">
        <v>0</v>
      </c>
      <c r="L549" t="n">
        <v>0</v>
      </c>
      <c r="M549" t="n">
        <v>0</v>
      </c>
      <c r="N549" t="n">
        <v>0</v>
      </c>
      <c r="O549" t="n">
        <v>0</v>
      </c>
      <c r="P549" t="n">
        <v>0</v>
      </c>
      <c r="Q549" t="n">
        <v>0</v>
      </c>
      <c r="R549" s="2" t="inlineStr"/>
    </row>
    <row r="550" ht="15" customHeight="1">
      <c r="A550" t="inlineStr">
        <is>
          <t>A 49620-2025</t>
        </is>
      </c>
      <c r="B550" s="1" t="n">
        <v>45939.58928240741</v>
      </c>
      <c r="C550" s="1" t="n">
        <v>45995</v>
      </c>
      <c r="D550" t="inlineStr">
        <is>
          <t>UPPSALA LÄN</t>
        </is>
      </c>
      <c r="E550" t="inlineStr">
        <is>
          <t>ÖSTHAMMAR</t>
        </is>
      </c>
      <c r="G550" t="n">
        <v>1.5</v>
      </c>
      <c r="H550" t="n">
        <v>0</v>
      </c>
      <c r="I550" t="n">
        <v>0</v>
      </c>
      <c r="J550" t="n">
        <v>0</v>
      </c>
      <c r="K550" t="n">
        <v>0</v>
      </c>
      <c r="L550" t="n">
        <v>0</v>
      </c>
      <c r="M550" t="n">
        <v>0</v>
      </c>
      <c r="N550" t="n">
        <v>0</v>
      </c>
      <c r="O550" t="n">
        <v>0</v>
      </c>
      <c r="P550" t="n">
        <v>0</v>
      </c>
      <c r="Q550" t="n">
        <v>0</v>
      </c>
      <c r="R550" s="2" t="inlineStr"/>
    </row>
    <row r="551" ht="15" customHeight="1">
      <c r="A551" t="inlineStr">
        <is>
          <t>A 13093-2022</t>
        </is>
      </c>
      <c r="B551" s="1" t="n">
        <v>44643.93269675926</v>
      </c>
      <c r="C551" s="1" t="n">
        <v>45995</v>
      </c>
      <c r="D551" t="inlineStr">
        <is>
          <t>UPPSALA LÄN</t>
        </is>
      </c>
      <c r="E551" t="inlineStr">
        <is>
          <t>ÖSTHAMMAR</t>
        </is>
      </c>
      <c r="F551" t="inlineStr">
        <is>
          <t>Bergvik skog öst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45795-2023</t>
        </is>
      </c>
      <c r="B552" s="1" t="n">
        <v>45195</v>
      </c>
      <c r="C552" s="1" t="n">
        <v>45995</v>
      </c>
      <c r="D552" t="inlineStr">
        <is>
          <t>UPPSALA LÄN</t>
        </is>
      </c>
      <c r="E552" t="inlineStr">
        <is>
          <t>ÖSTHAMMAR</t>
        </is>
      </c>
      <c r="G552" t="n">
        <v>4</v>
      </c>
      <c r="H552" t="n">
        <v>0</v>
      </c>
      <c r="I552" t="n">
        <v>0</v>
      </c>
      <c r="J552" t="n">
        <v>0</v>
      </c>
      <c r="K552" t="n">
        <v>0</v>
      </c>
      <c r="L552" t="n">
        <v>0</v>
      </c>
      <c r="M552" t="n">
        <v>0</v>
      </c>
      <c r="N552" t="n">
        <v>0</v>
      </c>
      <c r="O552" t="n">
        <v>0</v>
      </c>
      <c r="P552" t="n">
        <v>0</v>
      </c>
      <c r="Q552" t="n">
        <v>0</v>
      </c>
      <c r="R552" s="2" t="inlineStr"/>
    </row>
    <row r="553" ht="15" customHeight="1">
      <c r="A553" t="inlineStr">
        <is>
          <t>A 38600-2023</t>
        </is>
      </c>
      <c r="B553" s="1" t="n">
        <v>45162</v>
      </c>
      <c r="C553" s="1" t="n">
        <v>45995</v>
      </c>
      <c r="D553" t="inlineStr">
        <is>
          <t>UPPSALA LÄN</t>
        </is>
      </c>
      <c r="E553" t="inlineStr">
        <is>
          <t>ÖSTHAMMAR</t>
        </is>
      </c>
      <c r="F553" t="inlineStr">
        <is>
          <t>Bergvik skog väst AB</t>
        </is>
      </c>
      <c r="G553" t="n">
        <v>0.1</v>
      </c>
      <c r="H553" t="n">
        <v>0</v>
      </c>
      <c r="I553" t="n">
        <v>0</v>
      </c>
      <c r="J553" t="n">
        <v>0</v>
      </c>
      <c r="K553" t="n">
        <v>0</v>
      </c>
      <c r="L553" t="n">
        <v>0</v>
      </c>
      <c r="M553" t="n">
        <v>0</v>
      </c>
      <c r="N553" t="n">
        <v>0</v>
      </c>
      <c r="O553" t="n">
        <v>0</v>
      </c>
      <c r="P553" t="n">
        <v>0</v>
      </c>
      <c r="Q553" t="n">
        <v>0</v>
      </c>
      <c r="R553" s="2" t="inlineStr"/>
    </row>
    <row r="554" ht="15" customHeight="1">
      <c r="A554" t="inlineStr">
        <is>
          <t>A 8624-2025</t>
        </is>
      </c>
      <c r="B554" s="1" t="n">
        <v>45711.52333333333</v>
      </c>
      <c r="C554" s="1" t="n">
        <v>45995</v>
      </c>
      <c r="D554" t="inlineStr">
        <is>
          <t>UPPSALA LÄN</t>
        </is>
      </c>
      <c r="E554" t="inlineStr">
        <is>
          <t>ÖSTHAMMAR</t>
        </is>
      </c>
      <c r="F554" t="inlineStr">
        <is>
          <t>Bergvik skog väst AB</t>
        </is>
      </c>
      <c r="G554" t="n">
        <v>2.8</v>
      </c>
      <c r="H554" t="n">
        <v>0</v>
      </c>
      <c r="I554" t="n">
        <v>0</v>
      </c>
      <c r="J554" t="n">
        <v>0</v>
      </c>
      <c r="K554" t="n">
        <v>0</v>
      </c>
      <c r="L554" t="n">
        <v>0</v>
      </c>
      <c r="M554" t="n">
        <v>0</v>
      </c>
      <c r="N554" t="n">
        <v>0</v>
      </c>
      <c r="O554" t="n">
        <v>0</v>
      </c>
      <c r="P554" t="n">
        <v>0</v>
      </c>
      <c r="Q554" t="n">
        <v>0</v>
      </c>
      <c r="R554" s="2" t="inlineStr"/>
    </row>
    <row r="555" ht="15" customHeight="1">
      <c r="A555" t="inlineStr">
        <is>
          <t>A 17644-2025</t>
        </is>
      </c>
      <c r="B555" s="1" t="n">
        <v>45758.32645833334</v>
      </c>
      <c r="C555" s="1" t="n">
        <v>45995</v>
      </c>
      <c r="D555" t="inlineStr">
        <is>
          <t>UPPSALA LÄN</t>
        </is>
      </c>
      <c r="E555" t="inlineStr">
        <is>
          <t>ÖSTHAMMAR</t>
        </is>
      </c>
      <c r="F555" t="inlineStr">
        <is>
          <t>Bergvik skog väst AB</t>
        </is>
      </c>
      <c r="G555" t="n">
        <v>6.1</v>
      </c>
      <c r="H555" t="n">
        <v>0</v>
      </c>
      <c r="I555" t="n">
        <v>0</v>
      </c>
      <c r="J555" t="n">
        <v>0</v>
      </c>
      <c r="K555" t="n">
        <v>0</v>
      </c>
      <c r="L555" t="n">
        <v>0</v>
      </c>
      <c r="M555" t="n">
        <v>0</v>
      </c>
      <c r="N555" t="n">
        <v>0</v>
      </c>
      <c r="O555" t="n">
        <v>0</v>
      </c>
      <c r="P555" t="n">
        <v>0</v>
      </c>
      <c r="Q555" t="n">
        <v>0</v>
      </c>
      <c r="R555" s="2" t="inlineStr"/>
    </row>
    <row r="556" ht="15" customHeight="1">
      <c r="A556" t="inlineStr">
        <is>
          <t>A 20385-2025</t>
        </is>
      </c>
      <c r="B556" s="1" t="n">
        <v>45775.44483796296</v>
      </c>
      <c r="C556" s="1" t="n">
        <v>45995</v>
      </c>
      <c r="D556" t="inlineStr">
        <is>
          <t>UPPSALA LÄN</t>
        </is>
      </c>
      <c r="E556" t="inlineStr">
        <is>
          <t>ÖSTHAMMAR</t>
        </is>
      </c>
      <c r="G556" t="n">
        <v>1.9</v>
      </c>
      <c r="H556" t="n">
        <v>0</v>
      </c>
      <c r="I556" t="n">
        <v>0</v>
      </c>
      <c r="J556" t="n">
        <v>0</v>
      </c>
      <c r="K556" t="n">
        <v>0</v>
      </c>
      <c r="L556" t="n">
        <v>0</v>
      </c>
      <c r="M556" t="n">
        <v>0</v>
      </c>
      <c r="N556" t="n">
        <v>0</v>
      </c>
      <c r="O556" t="n">
        <v>0</v>
      </c>
      <c r="P556" t="n">
        <v>0</v>
      </c>
      <c r="Q556" t="n">
        <v>0</v>
      </c>
      <c r="R556" s="2" t="inlineStr"/>
    </row>
    <row r="557" ht="15" customHeight="1">
      <c r="A557" t="inlineStr">
        <is>
          <t>A 23305-2025</t>
        </is>
      </c>
      <c r="B557" s="1" t="n">
        <v>45791.60127314815</v>
      </c>
      <c r="C557" s="1" t="n">
        <v>45995</v>
      </c>
      <c r="D557" t="inlineStr">
        <is>
          <t>UPPSALA LÄN</t>
        </is>
      </c>
      <c r="E557" t="inlineStr">
        <is>
          <t>ÖSTHAMMAR</t>
        </is>
      </c>
      <c r="G557" t="n">
        <v>1.9</v>
      </c>
      <c r="H557" t="n">
        <v>0</v>
      </c>
      <c r="I557" t="n">
        <v>0</v>
      </c>
      <c r="J557" t="n">
        <v>0</v>
      </c>
      <c r="K557" t="n">
        <v>0</v>
      </c>
      <c r="L557" t="n">
        <v>0</v>
      </c>
      <c r="M557" t="n">
        <v>0</v>
      </c>
      <c r="N557" t="n">
        <v>0</v>
      </c>
      <c r="O557" t="n">
        <v>0</v>
      </c>
      <c r="P557" t="n">
        <v>0</v>
      </c>
      <c r="Q557" t="n">
        <v>0</v>
      </c>
      <c r="R557" s="2" t="inlineStr"/>
    </row>
    <row r="558" ht="15" customHeight="1">
      <c r="A558" t="inlineStr">
        <is>
          <t>A 58399-2025</t>
        </is>
      </c>
      <c r="B558" s="1" t="n">
        <v>45985.56244212963</v>
      </c>
      <c r="C558" s="1" t="n">
        <v>45995</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18183-2022</t>
        </is>
      </c>
      <c r="B559" s="1" t="n">
        <v>44684</v>
      </c>
      <c r="C559" s="1" t="n">
        <v>45995</v>
      </c>
      <c r="D559" t="inlineStr">
        <is>
          <t>UPPSALA LÄN</t>
        </is>
      </c>
      <c r="E559" t="inlineStr">
        <is>
          <t>ÖSTHAMMAR</t>
        </is>
      </c>
      <c r="G559" t="n">
        <v>0.2</v>
      </c>
      <c r="H559" t="n">
        <v>0</v>
      </c>
      <c r="I559" t="n">
        <v>0</v>
      </c>
      <c r="J559" t="n">
        <v>0</v>
      </c>
      <c r="K559" t="n">
        <v>0</v>
      </c>
      <c r="L559" t="n">
        <v>0</v>
      </c>
      <c r="M559" t="n">
        <v>0</v>
      </c>
      <c r="N559" t="n">
        <v>0</v>
      </c>
      <c r="O559" t="n">
        <v>0</v>
      </c>
      <c r="P559" t="n">
        <v>0</v>
      </c>
      <c r="Q559" t="n">
        <v>0</v>
      </c>
      <c r="R559" s="2" t="inlineStr"/>
    </row>
    <row r="560" ht="15" customHeight="1">
      <c r="A560" t="inlineStr">
        <is>
          <t>A 4304-2025</t>
        </is>
      </c>
      <c r="B560" s="1" t="n">
        <v>45685.68193287037</v>
      </c>
      <c r="C560" s="1" t="n">
        <v>45995</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28170-2023</t>
        </is>
      </c>
      <c r="B561" s="1" t="n">
        <v>45093</v>
      </c>
      <c r="C561" s="1" t="n">
        <v>45995</v>
      </c>
      <c r="D561" t="inlineStr">
        <is>
          <t>UPPSALA LÄN</t>
        </is>
      </c>
      <c r="E561" t="inlineStr">
        <is>
          <t>ÖSTHAMMAR</t>
        </is>
      </c>
      <c r="G561" t="n">
        <v>7.2</v>
      </c>
      <c r="H561" t="n">
        <v>0</v>
      </c>
      <c r="I561" t="n">
        <v>0</v>
      </c>
      <c r="J561" t="n">
        <v>0</v>
      </c>
      <c r="K561" t="n">
        <v>0</v>
      </c>
      <c r="L561" t="n">
        <v>0</v>
      </c>
      <c r="M561" t="n">
        <v>0</v>
      </c>
      <c r="N561" t="n">
        <v>0</v>
      </c>
      <c r="O561" t="n">
        <v>0</v>
      </c>
      <c r="P561" t="n">
        <v>0</v>
      </c>
      <c r="Q561" t="n">
        <v>0</v>
      </c>
      <c r="R561" s="2" t="inlineStr"/>
    </row>
    <row r="562" ht="15" customHeight="1">
      <c r="A562" t="inlineStr">
        <is>
          <t>A 16933-2022</t>
        </is>
      </c>
      <c r="B562" s="1" t="n">
        <v>44676</v>
      </c>
      <c r="C562" s="1" t="n">
        <v>45995</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23741-2024</t>
        </is>
      </c>
      <c r="B563" s="1" t="n">
        <v>45455</v>
      </c>
      <c r="C563" s="1" t="n">
        <v>45995</v>
      </c>
      <c r="D563" t="inlineStr">
        <is>
          <t>UPPSALA LÄN</t>
        </is>
      </c>
      <c r="E563" t="inlineStr">
        <is>
          <t>ÖSTHAMMAR</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9264-2024</t>
        </is>
      </c>
      <c r="B564" s="1" t="n">
        <v>45358</v>
      </c>
      <c r="C564" s="1" t="n">
        <v>45995</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57043-2022</t>
        </is>
      </c>
      <c r="B565" s="1" t="n">
        <v>44895.36748842592</v>
      </c>
      <c r="C565" s="1" t="n">
        <v>45995</v>
      </c>
      <c r="D565" t="inlineStr">
        <is>
          <t>UPPSALA LÄN</t>
        </is>
      </c>
      <c r="E565" t="inlineStr">
        <is>
          <t>ÖSTHAMMAR</t>
        </is>
      </c>
      <c r="F565" t="inlineStr">
        <is>
          <t>Bergvik skog öst AB</t>
        </is>
      </c>
      <c r="G565" t="n">
        <v>5.7</v>
      </c>
      <c r="H565" t="n">
        <v>0</v>
      </c>
      <c r="I565" t="n">
        <v>0</v>
      </c>
      <c r="J565" t="n">
        <v>0</v>
      </c>
      <c r="K565" t="n">
        <v>0</v>
      </c>
      <c r="L565" t="n">
        <v>0</v>
      </c>
      <c r="M565" t="n">
        <v>0</v>
      </c>
      <c r="N565" t="n">
        <v>0</v>
      </c>
      <c r="O565" t="n">
        <v>0</v>
      </c>
      <c r="P565" t="n">
        <v>0</v>
      </c>
      <c r="Q565" t="n">
        <v>0</v>
      </c>
      <c r="R565" s="2" t="inlineStr"/>
    </row>
    <row r="566" ht="15" customHeight="1">
      <c r="A566" t="inlineStr">
        <is>
          <t>A 24606-2024</t>
        </is>
      </c>
      <c r="B566" s="1" t="n">
        <v>45460</v>
      </c>
      <c r="C566" s="1" t="n">
        <v>45995</v>
      </c>
      <c r="D566" t="inlineStr">
        <is>
          <t>UPPSALA LÄN</t>
        </is>
      </c>
      <c r="E566" t="inlineStr">
        <is>
          <t>ÖSTHAMMAR</t>
        </is>
      </c>
      <c r="F566" t="inlineStr">
        <is>
          <t>Bergvik skog öst AB</t>
        </is>
      </c>
      <c r="G566" t="n">
        <v>2.9</v>
      </c>
      <c r="H566" t="n">
        <v>0</v>
      </c>
      <c r="I566" t="n">
        <v>0</v>
      </c>
      <c r="J566" t="n">
        <v>0</v>
      </c>
      <c r="K566" t="n">
        <v>0</v>
      </c>
      <c r="L566" t="n">
        <v>0</v>
      </c>
      <c r="M566" t="n">
        <v>0</v>
      </c>
      <c r="N566" t="n">
        <v>0</v>
      </c>
      <c r="O566" t="n">
        <v>0</v>
      </c>
      <c r="P566" t="n">
        <v>0</v>
      </c>
      <c r="Q566" t="n">
        <v>0</v>
      </c>
      <c r="R566" s="2" t="inlineStr"/>
    </row>
    <row r="567" ht="15" customHeight="1">
      <c r="A567" t="inlineStr">
        <is>
          <t>A 47390-2023</t>
        </is>
      </c>
      <c r="B567" s="1" t="n">
        <v>45202</v>
      </c>
      <c r="C567" s="1" t="n">
        <v>45995</v>
      </c>
      <c r="D567" t="inlineStr">
        <is>
          <t>UPPSALA LÄN</t>
        </is>
      </c>
      <c r="E567" t="inlineStr">
        <is>
          <t>ÖSTHAMMAR</t>
        </is>
      </c>
      <c r="G567" t="n">
        <v>3.7</v>
      </c>
      <c r="H567" t="n">
        <v>0</v>
      </c>
      <c r="I567" t="n">
        <v>0</v>
      </c>
      <c r="J567" t="n">
        <v>0</v>
      </c>
      <c r="K567" t="n">
        <v>0</v>
      </c>
      <c r="L567" t="n">
        <v>0</v>
      </c>
      <c r="M567" t="n">
        <v>0</v>
      </c>
      <c r="N567" t="n">
        <v>0</v>
      </c>
      <c r="O567" t="n">
        <v>0</v>
      </c>
      <c r="P567" t="n">
        <v>0</v>
      </c>
      <c r="Q567" t="n">
        <v>0</v>
      </c>
      <c r="R567" s="2" t="inlineStr"/>
    </row>
    <row r="568" ht="15" customHeight="1">
      <c r="A568" t="inlineStr">
        <is>
          <t>A 51379-2025</t>
        </is>
      </c>
      <c r="B568" s="1" t="n">
        <v>45950.45677083333</v>
      </c>
      <c r="C568" s="1" t="n">
        <v>45995</v>
      </c>
      <c r="D568" t="inlineStr">
        <is>
          <t>UPPSALA LÄN</t>
        </is>
      </c>
      <c r="E568" t="inlineStr">
        <is>
          <t>ÖSTHAMMAR</t>
        </is>
      </c>
      <c r="G568" t="n">
        <v>2.1</v>
      </c>
      <c r="H568" t="n">
        <v>0</v>
      </c>
      <c r="I568" t="n">
        <v>0</v>
      </c>
      <c r="J568" t="n">
        <v>0</v>
      </c>
      <c r="K568" t="n">
        <v>0</v>
      </c>
      <c r="L568" t="n">
        <v>0</v>
      </c>
      <c r="M568" t="n">
        <v>0</v>
      </c>
      <c r="N568" t="n">
        <v>0</v>
      </c>
      <c r="O568" t="n">
        <v>0</v>
      </c>
      <c r="P568" t="n">
        <v>0</v>
      </c>
      <c r="Q568" t="n">
        <v>0</v>
      </c>
      <c r="R568" s="2" t="inlineStr"/>
    </row>
    <row r="569" ht="15" customHeight="1">
      <c r="A569" t="inlineStr">
        <is>
          <t>A 15928-2022</t>
        </is>
      </c>
      <c r="B569" s="1" t="n">
        <v>44664</v>
      </c>
      <c r="C569" s="1" t="n">
        <v>45995</v>
      </c>
      <c r="D569" t="inlineStr">
        <is>
          <t>UPPSALA LÄN</t>
        </is>
      </c>
      <c r="E569" t="inlineStr">
        <is>
          <t>ÖSTHAMMAR</t>
        </is>
      </c>
      <c r="G569" t="n">
        <v>1.4</v>
      </c>
      <c r="H569" t="n">
        <v>0</v>
      </c>
      <c r="I569" t="n">
        <v>0</v>
      </c>
      <c r="J569" t="n">
        <v>0</v>
      </c>
      <c r="K569" t="n">
        <v>0</v>
      </c>
      <c r="L569" t="n">
        <v>0</v>
      </c>
      <c r="M569" t="n">
        <v>0</v>
      </c>
      <c r="N569" t="n">
        <v>0</v>
      </c>
      <c r="O569" t="n">
        <v>0</v>
      </c>
      <c r="P569" t="n">
        <v>0</v>
      </c>
      <c r="Q569" t="n">
        <v>0</v>
      </c>
      <c r="R569" s="2" t="inlineStr"/>
    </row>
    <row r="570" ht="15" customHeight="1">
      <c r="A570" t="inlineStr">
        <is>
          <t>A 57154-2025</t>
        </is>
      </c>
      <c r="B570" s="1" t="n">
        <v>45979.51086805556</v>
      </c>
      <c r="C570" s="1" t="n">
        <v>45995</v>
      </c>
      <c r="D570" t="inlineStr">
        <is>
          <t>UPPSALA LÄN</t>
        </is>
      </c>
      <c r="E570" t="inlineStr">
        <is>
          <t>ÖSTHAMMAR</t>
        </is>
      </c>
      <c r="G570" t="n">
        <v>1.9</v>
      </c>
      <c r="H570" t="n">
        <v>0</v>
      </c>
      <c r="I570" t="n">
        <v>0</v>
      </c>
      <c r="J570" t="n">
        <v>0</v>
      </c>
      <c r="K570" t="n">
        <v>0</v>
      </c>
      <c r="L570" t="n">
        <v>0</v>
      </c>
      <c r="M570" t="n">
        <v>0</v>
      </c>
      <c r="N570" t="n">
        <v>0</v>
      </c>
      <c r="O570" t="n">
        <v>0</v>
      </c>
      <c r="P570" t="n">
        <v>0</v>
      </c>
      <c r="Q570" t="n">
        <v>0</v>
      </c>
      <c r="R570" s="2" t="inlineStr"/>
    </row>
    <row r="571" ht="15" customHeight="1">
      <c r="A571" t="inlineStr">
        <is>
          <t>A 28228-2022</t>
        </is>
      </c>
      <c r="B571" s="1" t="n">
        <v>44746.65873842593</v>
      </c>
      <c r="C571" s="1" t="n">
        <v>45995</v>
      </c>
      <c r="D571" t="inlineStr">
        <is>
          <t>UPPSALA LÄN</t>
        </is>
      </c>
      <c r="E571" t="inlineStr">
        <is>
          <t>ÖSTHAMMAR</t>
        </is>
      </c>
      <c r="G571" t="n">
        <v>2.7</v>
      </c>
      <c r="H571" t="n">
        <v>0</v>
      </c>
      <c r="I571" t="n">
        <v>0</v>
      </c>
      <c r="J571" t="n">
        <v>0</v>
      </c>
      <c r="K571" t="n">
        <v>0</v>
      </c>
      <c r="L571" t="n">
        <v>0</v>
      </c>
      <c r="M571" t="n">
        <v>0</v>
      </c>
      <c r="N571" t="n">
        <v>0</v>
      </c>
      <c r="O571" t="n">
        <v>0</v>
      </c>
      <c r="P571" t="n">
        <v>0</v>
      </c>
      <c r="Q571" t="n">
        <v>0</v>
      </c>
      <c r="R571" s="2" t="inlineStr"/>
    </row>
    <row r="572" ht="15" customHeight="1">
      <c r="A572" t="inlineStr">
        <is>
          <t>A 15445-2022</t>
        </is>
      </c>
      <c r="B572" s="1" t="n">
        <v>44660.4987962963</v>
      </c>
      <c r="C572" s="1" t="n">
        <v>45995</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59708-2025</t>
        </is>
      </c>
      <c r="B573" s="1" t="n">
        <v>45992.50802083333</v>
      </c>
      <c r="C573" s="1" t="n">
        <v>45995</v>
      </c>
      <c r="D573" t="inlineStr">
        <is>
          <t>UPPSALA LÄN</t>
        </is>
      </c>
      <c r="E573" t="inlineStr">
        <is>
          <t>ÖSTHAMMAR</t>
        </is>
      </c>
      <c r="F573" t="inlineStr">
        <is>
          <t>Bergvik skog öst AB</t>
        </is>
      </c>
      <c r="G573" t="n">
        <v>3.2</v>
      </c>
      <c r="H573" t="n">
        <v>0</v>
      </c>
      <c r="I573" t="n">
        <v>0</v>
      </c>
      <c r="J573" t="n">
        <v>0</v>
      </c>
      <c r="K573" t="n">
        <v>0</v>
      </c>
      <c r="L573" t="n">
        <v>0</v>
      </c>
      <c r="M573" t="n">
        <v>0</v>
      </c>
      <c r="N573" t="n">
        <v>0</v>
      </c>
      <c r="O573" t="n">
        <v>0</v>
      </c>
      <c r="P573" t="n">
        <v>0</v>
      </c>
      <c r="Q573" t="n">
        <v>0</v>
      </c>
      <c r="R573" s="2" t="inlineStr"/>
    </row>
    <row r="574" ht="15" customHeight="1">
      <c r="A574" t="inlineStr">
        <is>
          <t>A 10275-2025</t>
        </is>
      </c>
      <c r="B574" s="1" t="n">
        <v>45720.39715277778</v>
      </c>
      <c r="C574" s="1" t="n">
        <v>45995</v>
      </c>
      <c r="D574" t="inlineStr">
        <is>
          <t>UPPSALA LÄN</t>
        </is>
      </c>
      <c r="E574" t="inlineStr">
        <is>
          <t>ÖSTHAMMAR</t>
        </is>
      </c>
      <c r="G574" t="n">
        <v>6.2</v>
      </c>
      <c r="H574" t="n">
        <v>0</v>
      </c>
      <c r="I574" t="n">
        <v>0</v>
      </c>
      <c r="J574" t="n">
        <v>0</v>
      </c>
      <c r="K574" t="n">
        <v>0</v>
      </c>
      <c r="L574" t="n">
        <v>0</v>
      </c>
      <c r="M574" t="n">
        <v>0</v>
      </c>
      <c r="N574" t="n">
        <v>0</v>
      </c>
      <c r="O574" t="n">
        <v>0</v>
      </c>
      <c r="P574" t="n">
        <v>0</v>
      </c>
      <c r="Q574" t="n">
        <v>0</v>
      </c>
      <c r="R574" s="2" t="inlineStr"/>
    </row>
    <row r="575" ht="15" customHeight="1">
      <c r="A575" t="inlineStr">
        <is>
          <t>A 51266-2025</t>
        </is>
      </c>
      <c r="B575" s="1" t="n">
        <v>45949.71568287037</v>
      </c>
      <c r="C575" s="1" t="n">
        <v>45995</v>
      </c>
      <c r="D575" t="inlineStr">
        <is>
          <t>UPPSALA LÄN</t>
        </is>
      </c>
      <c r="E575" t="inlineStr">
        <is>
          <t>ÖSTHAMMAR</t>
        </is>
      </c>
      <c r="F575" t="inlineStr">
        <is>
          <t>Bergvik skog öst AB</t>
        </is>
      </c>
      <c r="G575" t="n">
        <v>4.7</v>
      </c>
      <c r="H575" t="n">
        <v>0</v>
      </c>
      <c r="I575" t="n">
        <v>0</v>
      </c>
      <c r="J575" t="n">
        <v>0</v>
      </c>
      <c r="K575" t="n">
        <v>0</v>
      </c>
      <c r="L575" t="n">
        <v>0</v>
      </c>
      <c r="M575" t="n">
        <v>0</v>
      </c>
      <c r="N575" t="n">
        <v>0</v>
      </c>
      <c r="O575" t="n">
        <v>0</v>
      </c>
      <c r="P575" t="n">
        <v>0</v>
      </c>
      <c r="Q575" t="n">
        <v>0</v>
      </c>
      <c r="R575" s="2" t="inlineStr"/>
    </row>
    <row r="576" ht="15" customHeight="1">
      <c r="A576" t="inlineStr">
        <is>
          <t>A 14124-2022</t>
        </is>
      </c>
      <c r="B576" s="1" t="n">
        <v>44651.40924768519</v>
      </c>
      <c r="C576" s="1" t="n">
        <v>45995</v>
      </c>
      <c r="D576" t="inlineStr">
        <is>
          <t>UPPSALA LÄN</t>
        </is>
      </c>
      <c r="E576" t="inlineStr">
        <is>
          <t>ÖSTHAMMAR</t>
        </is>
      </c>
      <c r="F576" t="inlineStr">
        <is>
          <t>Bergvik skog öst AB</t>
        </is>
      </c>
      <c r="G576" t="n">
        <v>0.9</v>
      </c>
      <c r="H576" t="n">
        <v>0</v>
      </c>
      <c r="I576" t="n">
        <v>0</v>
      </c>
      <c r="J576" t="n">
        <v>0</v>
      </c>
      <c r="K576" t="n">
        <v>0</v>
      </c>
      <c r="L576" t="n">
        <v>0</v>
      </c>
      <c r="M576" t="n">
        <v>0</v>
      </c>
      <c r="N576" t="n">
        <v>0</v>
      </c>
      <c r="O576" t="n">
        <v>0</v>
      </c>
      <c r="P576" t="n">
        <v>0</v>
      </c>
      <c r="Q576" t="n">
        <v>0</v>
      </c>
      <c r="R576" s="2" t="inlineStr"/>
    </row>
    <row r="577" ht="15" customHeight="1">
      <c r="A577" t="inlineStr">
        <is>
          <t>A 37812-2022</t>
        </is>
      </c>
      <c r="B577" s="1" t="n">
        <v>44810</v>
      </c>
      <c r="C577" s="1" t="n">
        <v>45995</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59743-2025</t>
        </is>
      </c>
      <c r="B578" s="1" t="n">
        <v>45992.57668981481</v>
      </c>
      <c r="C578" s="1" t="n">
        <v>45995</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51156-2025</t>
        </is>
      </c>
      <c r="B579" s="1" t="n">
        <v>45947.57833333333</v>
      </c>
      <c r="C579" s="1" t="n">
        <v>45995</v>
      </c>
      <c r="D579" t="inlineStr">
        <is>
          <t>UPPSALA LÄN</t>
        </is>
      </c>
      <c r="E579" t="inlineStr">
        <is>
          <t>ÖSTHAMMAR</t>
        </is>
      </c>
      <c r="F579" t="inlineStr">
        <is>
          <t>Allmännings- och besparingsskogar</t>
        </is>
      </c>
      <c r="G579" t="n">
        <v>2.8</v>
      </c>
      <c r="H579" t="n">
        <v>0</v>
      </c>
      <c r="I579" t="n">
        <v>0</v>
      </c>
      <c r="J579" t="n">
        <v>0</v>
      </c>
      <c r="K579" t="n">
        <v>0</v>
      </c>
      <c r="L579" t="n">
        <v>0</v>
      </c>
      <c r="M579" t="n">
        <v>0</v>
      </c>
      <c r="N579" t="n">
        <v>0</v>
      </c>
      <c r="O579" t="n">
        <v>0</v>
      </c>
      <c r="P579" t="n">
        <v>0</v>
      </c>
      <c r="Q579" t="n">
        <v>0</v>
      </c>
      <c r="R579" s="2" t="inlineStr"/>
    </row>
    <row r="580" ht="15" customHeight="1">
      <c r="A580" t="inlineStr">
        <is>
          <t>A 19501-2025</t>
        </is>
      </c>
      <c r="B580" s="1" t="n">
        <v>45770.4015625</v>
      </c>
      <c r="C580" s="1" t="n">
        <v>45995</v>
      </c>
      <c r="D580" t="inlineStr">
        <is>
          <t>UPPSALA LÄN</t>
        </is>
      </c>
      <c r="E580" t="inlineStr">
        <is>
          <t>ÖSTHAMMAR</t>
        </is>
      </c>
      <c r="F580" t="inlineStr">
        <is>
          <t>Övriga Aktiebolag</t>
        </is>
      </c>
      <c r="G580" t="n">
        <v>17.3</v>
      </c>
      <c r="H580" t="n">
        <v>0</v>
      </c>
      <c r="I580" t="n">
        <v>0</v>
      </c>
      <c r="J580" t="n">
        <v>0</v>
      </c>
      <c r="K580" t="n">
        <v>0</v>
      </c>
      <c r="L580" t="n">
        <v>0</v>
      </c>
      <c r="M580" t="n">
        <v>0</v>
      </c>
      <c r="N580" t="n">
        <v>0</v>
      </c>
      <c r="O580" t="n">
        <v>0</v>
      </c>
      <c r="P580" t="n">
        <v>0</v>
      </c>
      <c r="Q580" t="n">
        <v>0</v>
      </c>
      <c r="R580" s="2" t="inlineStr"/>
    </row>
    <row r="581" ht="15" customHeight="1">
      <c r="A581" t="inlineStr">
        <is>
          <t>A 23968-2025</t>
        </is>
      </c>
      <c r="B581" s="1" t="n">
        <v>45796</v>
      </c>
      <c r="C581" s="1" t="n">
        <v>45995</v>
      </c>
      <c r="D581" t="inlineStr">
        <is>
          <t>UPPSALA LÄN</t>
        </is>
      </c>
      <c r="E581" t="inlineStr">
        <is>
          <t>ÖSTHAMMAR</t>
        </is>
      </c>
      <c r="F581" t="inlineStr">
        <is>
          <t>Bergvik skog öst AB</t>
        </is>
      </c>
      <c r="G581" t="n">
        <v>7.5</v>
      </c>
      <c r="H581" t="n">
        <v>0</v>
      </c>
      <c r="I581" t="n">
        <v>0</v>
      </c>
      <c r="J581" t="n">
        <v>0</v>
      </c>
      <c r="K581" t="n">
        <v>0</v>
      </c>
      <c r="L581" t="n">
        <v>0</v>
      </c>
      <c r="M581" t="n">
        <v>0</v>
      </c>
      <c r="N581" t="n">
        <v>0</v>
      </c>
      <c r="O581" t="n">
        <v>0</v>
      </c>
      <c r="P581" t="n">
        <v>0</v>
      </c>
      <c r="Q581" t="n">
        <v>0</v>
      </c>
      <c r="R581" s="2" t="inlineStr"/>
    </row>
    <row r="582" ht="15" customHeight="1">
      <c r="A582" t="inlineStr">
        <is>
          <t>A 41821-2023</t>
        </is>
      </c>
      <c r="B582" s="1" t="n">
        <v>45176</v>
      </c>
      <c r="C582" s="1" t="n">
        <v>45995</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53735-2025</t>
        </is>
      </c>
      <c r="B583" s="1" t="n">
        <v>45960.64431712963</v>
      </c>
      <c r="C583" s="1" t="n">
        <v>45995</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32742-2022</t>
        </is>
      </c>
      <c r="B584" s="1" t="n">
        <v>44783.69886574074</v>
      </c>
      <c r="C584" s="1" t="n">
        <v>45995</v>
      </c>
      <c r="D584" t="inlineStr">
        <is>
          <t>UPPSALA LÄN</t>
        </is>
      </c>
      <c r="E584" t="inlineStr">
        <is>
          <t>ÖSTHAMMAR</t>
        </is>
      </c>
      <c r="F584" t="inlineStr">
        <is>
          <t>Bergvik skog öst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41308-2023</t>
        </is>
      </c>
      <c r="B585" s="1" t="n">
        <v>45174.62788194444</v>
      </c>
      <c r="C585" s="1" t="n">
        <v>45995</v>
      </c>
      <c r="D585" t="inlineStr">
        <is>
          <t>UPPSALA LÄN</t>
        </is>
      </c>
      <c r="E585" t="inlineStr">
        <is>
          <t>ÖSTHAMMAR</t>
        </is>
      </c>
      <c r="F585" t="inlineStr">
        <is>
          <t>Övriga Aktiebolag</t>
        </is>
      </c>
      <c r="G585" t="n">
        <v>2.8</v>
      </c>
      <c r="H585" t="n">
        <v>0</v>
      </c>
      <c r="I585" t="n">
        <v>0</v>
      </c>
      <c r="J585" t="n">
        <v>0</v>
      </c>
      <c r="K585" t="n">
        <v>0</v>
      </c>
      <c r="L585" t="n">
        <v>0</v>
      </c>
      <c r="M585" t="n">
        <v>0</v>
      </c>
      <c r="N585" t="n">
        <v>0</v>
      </c>
      <c r="O585" t="n">
        <v>0</v>
      </c>
      <c r="P585" t="n">
        <v>0</v>
      </c>
      <c r="Q585" t="n">
        <v>0</v>
      </c>
      <c r="R585" s="2" t="inlineStr"/>
    </row>
    <row r="586" ht="15" customHeight="1">
      <c r="A586" t="inlineStr">
        <is>
          <t>A 51255-2025</t>
        </is>
      </c>
      <c r="B586" s="1" t="n">
        <v>45949.00917824074</v>
      </c>
      <c r="C586" s="1" t="n">
        <v>45995</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49833-2023</t>
        </is>
      </c>
      <c r="B587" s="1" t="n">
        <v>45212.71481481481</v>
      </c>
      <c r="C587" s="1" t="n">
        <v>45995</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24160-2024</t>
        </is>
      </c>
      <c r="B588" s="1" t="n">
        <v>45456</v>
      </c>
      <c r="C588" s="1" t="n">
        <v>45995</v>
      </c>
      <c r="D588" t="inlineStr">
        <is>
          <t>UPPSALA LÄN</t>
        </is>
      </c>
      <c r="E588" t="inlineStr">
        <is>
          <t>ÖSTHAMMAR</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17433-2025</t>
        </is>
      </c>
      <c r="B589" s="1" t="n">
        <v>45757.40733796296</v>
      </c>
      <c r="C589" s="1" t="n">
        <v>45995</v>
      </c>
      <c r="D589" t="inlineStr">
        <is>
          <t>UPPSALA LÄN</t>
        </is>
      </c>
      <c r="E589" t="inlineStr">
        <is>
          <t>ÖSTHAMMAR</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1584-2025</t>
        </is>
      </c>
      <c r="B590" s="1" t="n">
        <v>45670</v>
      </c>
      <c r="C590" s="1" t="n">
        <v>45995</v>
      </c>
      <c r="D590" t="inlineStr">
        <is>
          <t>UPPSALA LÄN</t>
        </is>
      </c>
      <c r="E590" t="inlineStr">
        <is>
          <t>ÖSTHAMMAR</t>
        </is>
      </c>
      <c r="G590" t="n">
        <v>0.7</v>
      </c>
      <c r="H590" t="n">
        <v>0</v>
      </c>
      <c r="I590" t="n">
        <v>0</v>
      </c>
      <c r="J590" t="n">
        <v>0</v>
      </c>
      <c r="K590" t="n">
        <v>0</v>
      </c>
      <c r="L590" t="n">
        <v>0</v>
      </c>
      <c r="M590" t="n">
        <v>0</v>
      </c>
      <c r="N590" t="n">
        <v>0</v>
      </c>
      <c r="O590" t="n">
        <v>0</v>
      </c>
      <c r="P590" t="n">
        <v>0</v>
      </c>
      <c r="Q590" t="n">
        <v>0</v>
      </c>
      <c r="R590" s="2" t="inlineStr"/>
    </row>
    <row r="591" ht="15" customHeight="1">
      <c r="A591" t="inlineStr">
        <is>
          <t>A 24174-2025</t>
        </is>
      </c>
      <c r="B591" s="1" t="n">
        <v>45796.69207175926</v>
      </c>
      <c r="C591" s="1" t="n">
        <v>45995</v>
      </c>
      <c r="D591" t="inlineStr">
        <is>
          <t>UPPSALA LÄN</t>
        </is>
      </c>
      <c r="E591" t="inlineStr">
        <is>
          <t>ÖSTHAMMAR</t>
        </is>
      </c>
      <c r="G591" t="n">
        <v>4.9</v>
      </c>
      <c r="H591" t="n">
        <v>0</v>
      </c>
      <c r="I591" t="n">
        <v>0</v>
      </c>
      <c r="J591" t="n">
        <v>0</v>
      </c>
      <c r="K591" t="n">
        <v>0</v>
      </c>
      <c r="L591" t="n">
        <v>0</v>
      </c>
      <c r="M591" t="n">
        <v>0</v>
      </c>
      <c r="N591" t="n">
        <v>0</v>
      </c>
      <c r="O591" t="n">
        <v>0</v>
      </c>
      <c r="P591" t="n">
        <v>0</v>
      </c>
      <c r="Q591" t="n">
        <v>0</v>
      </c>
      <c r="R591" s="2" t="inlineStr"/>
    </row>
    <row r="592" ht="15" customHeight="1">
      <c r="A592" t="inlineStr">
        <is>
          <t>A 45550-2023</t>
        </is>
      </c>
      <c r="B592" s="1" t="n">
        <v>45194.57125</v>
      </c>
      <c r="C592" s="1" t="n">
        <v>45995</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59706-2025</t>
        </is>
      </c>
      <c r="B593" s="1" t="n">
        <v>45992.50333333333</v>
      </c>
      <c r="C593" s="1" t="n">
        <v>45995</v>
      </c>
      <c r="D593" t="inlineStr">
        <is>
          <t>UPPSALA LÄN</t>
        </is>
      </c>
      <c r="E593" t="inlineStr">
        <is>
          <t>ÖSTHAMMAR</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30972-2024</t>
        </is>
      </c>
      <c r="B594" s="1" t="n">
        <v>45499.47106481482</v>
      </c>
      <c r="C594" s="1" t="n">
        <v>45995</v>
      </c>
      <c r="D594" t="inlineStr">
        <is>
          <t>UPPSALA LÄN</t>
        </is>
      </c>
      <c r="E594" t="inlineStr">
        <is>
          <t>ÖSTHAMMAR</t>
        </is>
      </c>
      <c r="F594" t="inlineStr">
        <is>
          <t>Bergvik skog öst AB</t>
        </is>
      </c>
      <c r="G594" t="n">
        <v>0.8</v>
      </c>
      <c r="H594" t="n">
        <v>0</v>
      </c>
      <c r="I594" t="n">
        <v>0</v>
      </c>
      <c r="J594" t="n">
        <v>0</v>
      </c>
      <c r="K594" t="n">
        <v>0</v>
      </c>
      <c r="L594" t="n">
        <v>0</v>
      </c>
      <c r="M594" t="n">
        <v>0</v>
      </c>
      <c r="N594" t="n">
        <v>0</v>
      </c>
      <c r="O594" t="n">
        <v>0</v>
      </c>
      <c r="P594" t="n">
        <v>0</v>
      </c>
      <c r="Q594" t="n">
        <v>0</v>
      </c>
      <c r="R594" s="2" t="inlineStr"/>
    </row>
    <row r="595" ht="15" customHeight="1">
      <c r="A595" t="inlineStr">
        <is>
          <t>A 51265-2025</t>
        </is>
      </c>
      <c r="B595" s="1" t="n">
        <v>45949.70971064815</v>
      </c>
      <c r="C595" s="1" t="n">
        <v>45995</v>
      </c>
      <c r="D595" t="inlineStr">
        <is>
          <t>UPPSALA LÄN</t>
        </is>
      </c>
      <c r="E595" t="inlineStr">
        <is>
          <t>ÖSTHAMMAR</t>
        </is>
      </c>
      <c r="F595" t="inlineStr">
        <is>
          <t>Bergvik skog öst AB</t>
        </is>
      </c>
      <c r="G595" t="n">
        <v>0.3</v>
      </c>
      <c r="H595" t="n">
        <v>0</v>
      </c>
      <c r="I595" t="n">
        <v>0</v>
      </c>
      <c r="J595" t="n">
        <v>0</v>
      </c>
      <c r="K595" t="n">
        <v>0</v>
      </c>
      <c r="L595" t="n">
        <v>0</v>
      </c>
      <c r="M595" t="n">
        <v>0</v>
      </c>
      <c r="N595" t="n">
        <v>0</v>
      </c>
      <c r="O595" t="n">
        <v>0</v>
      </c>
      <c r="P595" t="n">
        <v>0</v>
      </c>
      <c r="Q595" t="n">
        <v>0</v>
      </c>
      <c r="R595" s="2" t="inlineStr"/>
    </row>
    <row r="596" ht="15" customHeight="1">
      <c r="A596" t="inlineStr">
        <is>
          <t>A 54368-2023</t>
        </is>
      </c>
      <c r="B596" s="1" t="n">
        <v>45233.33221064815</v>
      </c>
      <c r="C596" s="1" t="n">
        <v>45995</v>
      </c>
      <c r="D596" t="inlineStr">
        <is>
          <t>UPPSALA LÄN</t>
        </is>
      </c>
      <c r="E596" t="inlineStr">
        <is>
          <t>ÖSTHAMMAR</t>
        </is>
      </c>
      <c r="F596" t="inlineStr">
        <is>
          <t>Bergvik skog öst AB</t>
        </is>
      </c>
      <c r="G596" t="n">
        <v>3</v>
      </c>
      <c r="H596" t="n">
        <v>0</v>
      </c>
      <c r="I596" t="n">
        <v>0</v>
      </c>
      <c r="J596" t="n">
        <v>0</v>
      </c>
      <c r="K596" t="n">
        <v>0</v>
      </c>
      <c r="L596" t="n">
        <v>0</v>
      </c>
      <c r="M596" t="n">
        <v>0</v>
      </c>
      <c r="N596" t="n">
        <v>0</v>
      </c>
      <c r="O596" t="n">
        <v>0</v>
      </c>
      <c r="P596" t="n">
        <v>0</v>
      </c>
      <c r="Q596" t="n">
        <v>0</v>
      </c>
      <c r="R596" s="2" t="inlineStr"/>
    </row>
    <row r="597" ht="15" customHeight="1">
      <c r="A597" t="inlineStr">
        <is>
          <t>A 51254-2025</t>
        </is>
      </c>
      <c r="B597" s="1" t="n">
        <v>45948.99313657408</v>
      </c>
      <c r="C597" s="1" t="n">
        <v>45995</v>
      </c>
      <c r="D597" t="inlineStr">
        <is>
          <t>UPPSALA LÄN</t>
        </is>
      </c>
      <c r="E597" t="inlineStr">
        <is>
          <t>ÖSTHAMMAR</t>
        </is>
      </c>
      <c r="G597" t="n">
        <v>8.9</v>
      </c>
      <c r="H597" t="n">
        <v>0</v>
      </c>
      <c r="I597" t="n">
        <v>0</v>
      </c>
      <c r="J597" t="n">
        <v>0</v>
      </c>
      <c r="K597" t="n">
        <v>0</v>
      </c>
      <c r="L597" t="n">
        <v>0</v>
      </c>
      <c r="M597" t="n">
        <v>0</v>
      </c>
      <c r="N597" t="n">
        <v>0</v>
      </c>
      <c r="O597" t="n">
        <v>0</v>
      </c>
      <c r="P597" t="n">
        <v>0</v>
      </c>
      <c r="Q597" t="n">
        <v>0</v>
      </c>
      <c r="R597" s="2" t="inlineStr"/>
    </row>
    <row r="598" ht="15" customHeight="1">
      <c r="A598" t="inlineStr">
        <is>
          <t>A 59745-2025</t>
        </is>
      </c>
      <c r="B598" s="1" t="n">
        <v>45992.57708333333</v>
      </c>
      <c r="C598" s="1" t="n">
        <v>45995</v>
      </c>
      <c r="D598" t="inlineStr">
        <is>
          <t>UPPSALA LÄN</t>
        </is>
      </c>
      <c r="E598" t="inlineStr">
        <is>
          <t>ÖSTHAMMAR</t>
        </is>
      </c>
      <c r="F598" t="inlineStr">
        <is>
          <t>Bergvik skog öst AB</t>
        </is>
      </c>
      <c r="G598" t="n">
        <v>3.3</v>
      </c>
      <c r="H598" t="n">
        <v>0</v>
      </c>
      <c r="I598" t="n">
        <v>0</v>
      </c>
      <c r="J598" t="n">
        <v>0</v>
      </c>
      <c r="K598" t="n">
        <v>0</v>
      </c>
      <c r="L598" t="n">
        <v>0</v>
      </c>
      <c r="M598" t="n">
        <v>0</v>
      </c>
      <c r="N598" t="n">
        <v>0</v>
      </c>
      <c r="O598" t="n">
        <v>0</v>
      </c>
      <c r="P598" t="n">
        <v>0</v>
      </c>
      <c r="Q598" t="n">
        <v>0</v>
      </c>
      <c r="R598" s="2" t="inlineStr"/>
    </row>
    <row r="599" ht="15" customHeight="1">
      <c r="A599" t="inlineStr">
        <is>
          <t>A 51708-2025</t>
        </is>
      </c>
      <c r="B599" s="1" t="n">
        <v>45951.56679398148</v>
      </c>
      <c r="C599" s="1" t="n">
        <v>45995</v>
      </c>
      <c r="D599" t="inlineStr">
        <is>
          <t>UPPSALA LÄN</t>
        </is>
      </c>
      <c r="E599" t="inlineStr">
        <is>
          <t>ÖSTHAMMAR</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17931-2025</t>
        </is>
      </c>
      <c r="B600" s="1" t="n">
        <v>45759.56894675926</v>
      </c>
      <c r="C600" s="1" t="n">
        <v>45995</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17938-2025</t>
        </is>
      </c>
      <c r="B601" s="1" t="n">
        <v>45760.55626157407</v>
      </c>
      <c r="C601" s="1" t="n">
        <v>45995</v>
      </c>
      <c r="D601" t="inlineStr">
        <is>
          <t>UPPSALA LÄN</t>
        </is>
      </c>
      <c r="E601" t="inlineStr">
        <is>
          <t>ÖSTHAMMAR</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8791-2025</t>
        </is>
      </c>
      <c r="B602" s="1" t="n">
        <v>45712</v>
      </c>
      <c r="C602" s="1" t="n">
        <v>45995</v>
      </c>
      <c r="D602" t="inlineStr">
        <is>
          <t>UPPSALA LÄN</t>
        </is>
      </c>
      <c r="E602" t="inlineStr">
        <is>
          <t>ÖSTHAMMAR</t>
        </is>
      </c>
      <c r="G602" t="n">
        <v>0.6</v>
      </c>
      <c r="H602" t="n">
        <v>0</v>
      </c>
      <c r="I602" t="n">
        <v>0</v>
      </c>
      <c r="J602" t="n">
        <v>0</v>
      </c>
      <c r="K602" t="n">
        <v>0</v>
      </c>
      <c r="L602" t="n">
        <v>0</v>
      </c>
      <c r="M602" t="n">
        <v>0</v>
      </c>
      <c r="N602" t="n">
        <v>0</v>
      </c>
      <c r="O602" t="n">
        <v>0</v>
      </c>
      <c r="P602" t="n">
        <v>0</v>
      </c>
      <c r="Q602" t="n">
        <v>0</v>
      </c>
      <c r="R602" s="2" t="inlineStr"/>
    </row>
    <row r="603" ht="15" customHeight="1">
      <c r="A603" t="inlineStr">
        <is>
          <t>A 26552-2022</t>
        </is>
      </c>
      <c r="B603" s="1" t="n">
        <v>44739</v>
      </c>
      <c r="C603" s="1" t="n">
        <v>45995</v>
      </c>
      <c r="D603" t="inlineStr">
        <is>
          <t>UPPSALA LÄN</t>
        </is>
      </c>
      <c r="E603" t="inlineStr">
        <is>
          <t>ÖSTHAMMAR</t>
        </is>
      </c>
      <c r="G603" t="n">
        <v>2.2</v>
      </c>
      <c r="H603" t="n">
        <v>0</v>
      </c>
      <c r="I603" t="n">
        <v>0</v>
      </c>
      <c r="J603" t="n">
        <v>0</v>
      </c>
      <c r="K603" t="n">
        <v>0</v>
      </c>
      <c r="L603" t="n">
        <v>0</v>
      </c>
      <c r="M603" t="n">
        <v>0</v>
      </c>
      <c r="N603" t="n">
        <v>0</v>
      </c>
      <c r="O603" t="n">
        <v>0</v>
      </c>
      <c r="P603" t="n">
        <v>0</v>
      </c>
      <c r="Q603" t="n">
        <v>0</v>
      </c>
      <c r="R603" s="2" t="inlineStr"/>
    </row>
    <row r="604" ht="15" customHeight="1">
      <c r="A604" t="inlineStr">
        <is>
          <t>A 56754-2025</t>
        </is>
      </c>
      <c r="B604" s="1" t="n">
        <v>45978.36700231482</v>
      </c>
      <c r="C604" s="1" t="n">
        <v>45995</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7216-2025</t>
        </is>
      </c>
      <c r="B605" s="1" t="n">
        <v>45702.47630787037</v>
      </c>
      <c r="C605" s="1" t="n">
        <v>45995</v>
      </c>
      <c r="D605" t="inlineStr">
        <is>
          <t>UPPSALA LÄN</t>
        </is>
      </c>
      <c r="E605" t="inlineStr">
        <is>
          <t>ÖSTHAMMAR</t>
        </is>
      </c>
      <c r="F605" t="inlineStr">
        <is>
          <t>Övriga Aktiebolag</t>
        </is>
      </c>
      <c r="G605" t="n">
        <v>12.5</v>
      </c>
      <c r="H605" t="n">
        <v>0</v>
      </c>
      <c r="I605" t="n">
        <v>0</v>
      </c>
      <c r="J605" t="n">
        <v>0</v>
      </c>
      <c r="K605" t="n">
        <v>0</v>
      </c>
      <c r="L605" t="n">
        <v>0</v>
      </c>
      <c r="M605" t="n">
        <v>0</v>
      </c>
      <c r="N605" t="n">
        <v>0</v>
      </c>
      <c r="O605" t="n">
        <v>0</v>
      </c>
      <c r="P605" t="n">
        <v>0</v>
      </c>
      <c r="Q605" t="n">
        <v>0</v>
      </c>
      <c r="R605" s="2" t="inlineStr"/>
    </row>
    <row r="606" ht="15" customHeight="1">
      <c r="A606" t="inlineStr">
        <is>
          <t>A 24415-2025</t>
        </is>
      </c>
      <c r="B606" s="1" t="n">
        <v>45797.67381944445</v>
      </c>
      <c r="C606" s="1" t="n">
        <v>45995</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31137-2022</t>
        </is>
      </c>
      <c r="B607" s="1" t="n">
        <v>44770.42166666667</v>
      </c>
      <c r="C607" s="1" t="n">
        <v>45995</v>
      </c>
      <c r="D607" t="inlineStr">
        <is>
          <t>UPPSALA LÄN</t>
        </is>
      </c>
      <c r="E607" t="inlineStr">
        <is>
          <t>ÖSTHAMMAR</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18094-2025</t>
        </is>
      </c>
      <c r="B608" s="1" t="n">
        <v>45761.54710648148</v>
      </c>
      <c r="C608" s="1" t="n">
        <v>45995</v>
      </c>
      <c r="D608" t="inlineStr">
        <is>
          <t>UPPSALA LÄN</t>
        </is>
      </c>
      <c r="E608" t="inlineStr">
        <is>
          <t>ÖSTHAMMAR</t>
        </is>
      </c>
      <c r="F608" t="inlineStr">
        <is>
          <t>Bergvik skog öst AB</t>
        </is>
      </c>
      <c r="G608" t="n">
        <v>6.5</v>
      </c>
      <c r="H608" t="n">
        <v>0</v>
      </c>
      <c r="I608" t="n">
        <v>0</v>
      </c>
      <c r="J608" t="n">
        <v>0</v>
      </c>
      <c r="K608" t="n">
        <v>0</v>
      </c>
      <c r="L608" t="n">
        <v>0</v>
      </c>
      <c r="M608" t="n">
        <v>0</v>
      </c>
      <c r="N608" t="n">
        <v>0</v>
      </c>
      <c r="O608" t="n">
        <v>0</v>
      </c>
      <c r="P608" t="n">
        <v>0</v>
      </c>
      <c r="Q608" t="n">
        <v>0</v>
      </c>
      <c r="R608" s="2" t="inlineStr"/>
    </row>
    <row r="609" ht="15" customHeight="1">
      <c r="A609" t="inlineStr">
        <is>
          <t>A 44815-2022</t>
        </is>
      </c>
      <c r="B609" s="1" t="n">
        <v>44841.40452546296</v>
      </c>
      <c r="C609" s="1" t="n">
        <v>45995</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29753-2022</t>
        </is>
      </c>
      <c r="B610" s="1" t="n">
        <v>44755</v>
      </c>
      <c r="C610" s="1" t="n">
        <v>45995</v>
      </c>
      <c r="D610" t="inlineStr">
        <is>
          <t>UPPSALA LÄN</t>
        </is>
      </c>
      <c r="E610" t="inlineStr">
        <is>
          <t>ÖSTHAMMAR</t>
        </is>
      </c>
      <c r="G610" t="n">
        <v>9.4</v>
      </c>
      <c r="H610" t="n">
        <v>0</v>
      </c>
      <c r="I610" t="n">
        <v>0</v>
      </c>
      <c r="J610" t="n">
        <v>0</v>
      </c>
      <c r="K610" t="n">
        <v>0</v>
      </c>
      <c r="L610" t="n">
        <v>0</v>
      </c>
      <c r="M610" t="n">
        <v>0</v>
      </c>
      <c r="N610" t="n">
        <v>0</v>
      </c>
      <c r="O610" t="n">
        <v>0</v>
      </c>
      <c r="P610" t="n">
        <v>0</v>
      </c>
      <c r="Q610" t="n">
        <v>0</v>
      </c>
      <c r="R610" s="2" t="inlineStr"/>
    </row>
    <row r="611" ht="15" customHeight="1">
      <c r="A611" t="inlineStr">
        <is>
          <t>A 25049-2025</t>
        </is>
      </c>
      <c r="B611" s="1" t="n">
        <v>45799.66876157407</v>
      </c>
      <c r="C611" s="1" t="n">
        <v>45995</v>
      </c>
      <c r="D611" t="inlineStr">
        <is>
          <t>UPPSALA LÄN</t>
        </is>
      </c>
      <c r="E611" t="inlineStr">
        <is>
          <t>ÖSTHAMMAR</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20072-2025</t>
        </is>
      </c>
      <c r="B612" s="1" t="n">
        <v>45772</v>
      </c>
      <c r="C612" s="1" t="n">
        <v>45995</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52629-2023</t>
        </is>
      </c>
      <c r="B613" s="1" t="n">
        <v>45225</v>
      </c>
      <c r="C613" s="1" t="n">
        <v>45995</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24944-2025</t>
        </is>
      </c>
      <c r="B614" s="1" t="n">
        <v>45799.56347222222</v>
      </c>
      <c r="C614" s="1" t="n">
        <v>45995</v>
      </c>
      <c r="D614" t="inlineStr">
        <is>
          <t>UPPSALA LÄN</t>
        </is>
      </c>
      <c r="E614" t="inlineStr">
        <is>
          <t>ÖSTHAMMAR</t>
        </is>
      </c>
      <c r="G614" t="n">
        <v>7.3</v>
      </c>
      <c r="H614" t="n">
        <v>0</v>
      </c>
      <c r="I614" t="n">
        <v>0</v>
      </c>
      <c r="J614" t="n">
        <v>0</v>
      </c>
      <c r="K614" t="n">
        <v>0</v>
      </c>
      <c r="L614" t="n">
        <v>0</v>
      </c>
      <c r="M614" t="n">
        <v>0</v>
      </c>
      <c r="N614" t="n">
        <v>0</v>
      </c>
      <c r="O614" t="n">
        <v>0</v>
      </c>
      <c r="P614" t="n">
        <v>0</v>
      </c>
      <c r="Q614" t="n">
        <v>0</v>
      </c>
      <c r="R614" s="2" t="inlineStr"/>
    </row>
    <row r="615" ht="15" customHeight="1">
      <c r="A615" t="inlineStr">
        <is>
          <t>A 9642-2024</t>
        </is>
      </c>
      <c r="B615" s="1" t="n">
        <v>45362.36296296296</v>
      </c>
      <c r="C615" s="1" t="n">
        <v>45995</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31549-2022</t>
        </is>
      </c>
      <c r="B616" s="1" t="n">
        <v>44775.400625</v>
      </c>
      <c r="C616" s="1" t="n">
        <v>45995</v>
      </c>
      <c r="D616" t="inlineStr">
        <is>
          <t>UPPSALA LÄN</t>
        </is>
      </c>
      <c r="E616" t="inlineStr">
        <is>
          <t>ÖSTHAMMAR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47522-2023</t>
        </is>
      </c>
      <c r="B617" s="1" t="n">
        <v>45203</v>
      </c>
      <c r="C617" s="1" t="n">
        <v>45995</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16089-2025</t>
        </is>
      </c>
      <c r="B618" s="1" t="n">
        <v>45749.84232638889</v>
      </c>
      <c r="C618" s="1" t="n">
        <v>45995</v>
      </c>
      <c r="D618" t="inlineStr">
        <is>
          <t>UPPSALA LÄN</t>
        </is>
      </c>
      <c r="E618" t="inlineStr">
        <is>
          <t>ÖSTHAMMAR</t>
        </is>
      </c>
      <c r="F618" t="inlineStr">
        <is>
          <t>Bergvik skog öst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34185-2024</t>
        </is>
      </c>
      <c r="B619" s="1" t="n">
        <v>45524</v>
      </c>
      <c r="C619" s="1" t="n">
        <v>45995</v>
      </c>
      <c r="D619" t="inlineStr">
        <is>
          <t>UPPSALA LÄN</t>
        </is>
      </c>
      <c r="E619" t="inlineStr">
        <is>
          <t>ÖSTHAMMAR</t>
        </is>
      </c>
      <c r="G619" t="n">
        <v>2.5</v>
      </c>
      <c r="H619" t="n">
        <v>0</v>
      </c>
      <c r="I619" t="n">
        <v>0</v>
      </c>
      <c r="J619" t="n">
        <v>0</v>
      </c>
      <c r="K619" t="n">
        <v>0</v>
      </c>
      <c r="L619" t="n">
        <v>0</v>
      </c>
      <c r="M619" t="n">
        <v>0</v>
      </c>
      <c r="N619" t="n">
        <v>0</v>
      </c>
      <c r="O619" t="n">
        <v>0</v>
      </c>
      <c r="P619" t="n">
        <v>0</v>
      </c>
      <c r="Q619" t="n">
        <v>0</v>
      </c>
      <c r="R619" s="2" t="inlineStr"/>
    </row>
    <row r="620" ht="15" customHeight="1">
      <c r="A620" t="inlineStr">
        <is>
          <t>A 14170-2025</t>
        </is>
      </c>
      <c r="B620" s="1" t="n">
        <v>45740.51895833333</v>
      </c>
      <c r="C620" s="1" t="n">
        <v>45995</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13738-2023</t>
        </is>
      </c>
      <c r="B621" s="1" t="n">
        <v>45007.37081018519</v>
      </c>
      <c r="C621" s="1" t="n">
        <v>45995</v>
      </c>
      <c r="D621" t="inlineStr">
        <is>
          <t>UPPSALA LÄN</t>
        </is>
      </c>
      <c r="E621" t="inlineStr">
        <is>
          <t>ÖSTHAMMAR</t>
        </is>
      </c>
      <c r="G621" t="n">
        <v>0.7</v>
      </c>
      <c r="H621" t="n">
        <v>0</v>
      </c>
      <c r="I621" t="n">
        <v>0</v>
      </c>
      <c r="J621" t="n">
        <v>0</v>
      </c>
      <c r="K621" t="n">
        <v>0</v>
      </c>
      <c r="L621" t="n">
        <v>0</v>
      </c>
      <c r="M621" t="n">
        <v>0</v>
      </c>
      <c r="N621" t="n">
        <v>0</v>
      </c>
      <c r="O621" t="n">
        <v>0</v>
      </c>
      <c r="P621" t="n">
        <v>0</v>
      </c>
      <c r="Q621" t="n">
        <v>0</v>
      </c>
      <c r="R621" s="2" t="inlineStr"/>
    </row>
    <row r="622" ht="15" customHeight="1">
      <c r="A622" t="inlineStr">
        <is>
          <t>A 34971-2022</t>
        </is>
      </c>
      <c r="B622" s="1" t="n">
        <v>44796.66613425926</v>
      </c>
      <c r="C622" s="1" t="n">
        <v>45995</v>
      </c>
      <c r="D622" t="inlineStr">
        <is>
          <t>UPPSALA LÄN</t>
        </is>
      </c>
      <c r="E622" t="inlineStr">
        <is>
          <t>ÖSTHAMMAR</t>
        </is>
      </c>
      <c r="F622" t="inlineStr">
        <is>
          <t>Bergvik skog öst AB</t>
        </is>
      </c>
      <c r="G622" t="n">
        <v>2.3</v>
      </c>
      <c r="H622" t="n">
        <v>0</v>
      </c>
      <c r="I622" t="n">
        <v>0</v>
      </c>
      <c r="J622" t="n">
        <v>0</v>
      </c>
      <c r="K622" t="n">
        <v>0</v>
      </c>
      <c r="L622" t="n">
        <v>0</v>
      </c>
      <c r="M622" t="n">
        <v>0</v>
      </c>
      <c r="N622" t="n">
        <v>0</v>
      </c>
      <c r="O622" t="n">
        <v>0</v>
      </c>
      <c r="P622" t="n">
        <v>0</v>
      </c>
      <c r="Q622" t="n">
        <v>0</v>
      </c>
      <c r="R622" s="2" t="inlineStr"/>
    </row>
    <row r="623" ht="15" customHeight="1">
      <c r="A623" t="inlineStr">
        <is>
          <t>A 12945-2025</t>
        </is>
      </c>
      <c r="B623" s="1" t="n">
        <v>45734.38159722222</v>
      </c>
      <c r="C623" s="1" t="n">
        <v>45995</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58297-2024</t>
        </is>
      </c>
      <c r="B624" s="1" t="n">
        <v>45632.59780092593</v>
      </c>
      <c r="C624" s="1" t="n">
        <v>45995</v>
      </c>
      <c r="D624" t="inlineStr">
        <is>
          <t>UPPSALA LÄN</t>
        </is>
      </c>
      <c r="E624" t="inlineStr">
        <is>
          <t>ÖSTHAMMAR</t>
        </is>
      </c>
      <c r="G624" t="n">
        <v>5.1</v>
      </c>
      <c r="H624" t="n">
        <v>0</v>
      </c>
      <c r="I624" t="n">
        <v>0</v>
      </c>
      <c r="J624" t="n">
        <v>0</v>
      </c>
      <c r="K624" t="n">
        <v>0</v>
      </c>
      <c r="L624" t="n">
        <v>0</v>
      </c>
      <c r="M624" t="n">
        <v>0</v>
      </c>
      <c r="N624" t="n">
        <v>0</v>
      </c>
      <c r="O624" t="n">
        <v>0</v>
      </c>
      <c r="P624" t="n">
        <v>0</v>
      </c>
      <c r="Q624" t="n">
        <v>0</v>
      </c>
      <c r="R624" s="2" t="inlineStr"/>
    </row>
    <row r="625" ht="15" customHeight="1">
      <c r="A625" t="inlineStr">
        <is>
          <t>A 55646-2021</t>
        </is>
      </c>
      <c r="B625" s="1" t="n">
        <v>44476.3632175926</v>
      </c>
      <c r="C625" s="1" t="n">
        <v>45995</v>
      </c>
      <c r="D625" t="inlineStr">
        <is>
          <t>UPPSALA LÄN</t>
        </is>
      </c>
      <c r="E625" t="inlineStr">
        <is>
          <t>ÖSTHAMMAR</t>
        </is>
      </c>
      <c r="F625" t="inlineStr">
        <is>
          <t>Bergvik skog öst AB</t>
        </is>
      </c>
      <c r="G625" t="n">
        <v>0.2</v>
      </c>
      <c r="H625" t="n">
        <v>0</v>
      </c>
      <c r="I625" t="n">
        <v>0</v>
      </c>
      <c r="J625" t="n">
        <v>0</v>
      </c>
      <c r="K625" t="n">
        <v>0</v>
      </c>
      <c r="L625" t="n">
        <v>0</v>
      </c>
      <c r="M625" t="n">
        <v>0</v>
      </c>
      <c r="N625" t="n">
        <v>0</v>
      </c>
      <c r="O625" t="n">
        <v>0</v>
      </c>
      <c r="P625" t="n">
        <v>0</v>
      </c>
      <c r="Q625" t="n">
        <v>0</v>
      </c>
      <c r="R625" s="2" t="inlineStr"/>
    </row>
    <row r="626" ht="15" customHeight="1">
      <c r="A626" t="inlineStr">
        <is>
          <t>A 26055-2025</t>
        </is>
      </c>
      <c r="B626" s="1" t="n">
        <v>45804.77559027778</v>
      </c>
      <c r="C626" s="1" t="n">
        <v>45995</v>
      </c>
      <c r="D626" t="inlineStr">
        <is>
          <t>UPPSALA LÄN</t>
        </is>
      </c>
      <c r="E626" t="inlineStr">
        <is>
          <t>ÖSTHAMMAR</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26330-2025</t>
        </is>
      </c>
      <c r="B627" s="1" t="n">
        <v>45805.68263888889</v>
      </c>
      <c r="C627" s="1" t="n">
        <v>45995</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26319-2025</t>
        </is>
      </c>
      <c r="B628" s="1" t="n">
        <v>45805.65960648148</v>
      </c>
      <c r="C628" s="1" t="n">
        <v>45995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16240-2025</t>
        </is>
      </c>
      <c r="B629" s="1" t="n">
        <v>45746</v>
      </c>
      <c r="C629" s="1" t="n">
        <v>45995</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20038-2023</t>
        </is>
      </c>
      <c r="B630" s="1" t="n">
        <v>45054.65834490741</v>
      </c>
      <c r="C630" s="1" t="n">
        <v>45995</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6121-2024</t>
        </is>
      </c>
      <c r="B631" s="1" t="n">
        <v>45337.4219212963</v>
      </c>
      <c r="C631" s="1" t="n">
        <v>45995</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8699-2025</t>
        </is>
      </c>
      <c r="B632" s="1" t="n">
        <v>45712.47983796296</v>
      </c>
      <c r="C632" s="1" t="n">
        <v>45995</v>
      </c>
      <c r="D632" t="inlineStr">
        <is>
          <t>UPPSALA LÄN</t>
        </is>
      </c>
      <c r="E632" t="inlineStr">
        <is>
          <t>ÖSTHAMMAR</t>
        </is>
      </c>
      <c r="G632" t="n">
        <v>5.6</v>
      </c>
      <c r="H632" t="n">
        <v>0</v>
      </c>
      <c r="I632" t="n">
        <v>0</v>
      </c>
      <c r="J632" t="n">
        <v>0</v>
      </c>
      <c r="K632" t="n">
        <v>0</v>
      </c>
      <c r="L632" t="n">
        <v>0</v>
      </c>
      <c r="M632" t="n">
        <v>0</v>
      </c>
      <c r="N632" t="n">
        <v>0</v>
      </c>
      <c r="O632" t="n">
        <v>0</v>
      </c>
      <c r="P632" t="n">
        <v>0</v>
      </c>
      <c r="Q632" t="n">
        <v>0</v>
      </c>
      <c r="R632" s="2" t="inlineStr"/>
    </row>
    <row r="633" ht="15" customHeight="1">
      <c r="A633" t="inlineStr">
        <is>
          <t>A 15031-2025</t>
        </is>
      </c>
      <c r="B633" s="1" t="n">
        <v>45743.67333333333</v>
      </c>
      <c r="C633" s="1" t="n">
        <v>45995</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26521-2025</t>
        </is>
      </c>
      <c r="B634" s="1" t="n">
        <v>45807.56275462963</v>
      </c>
      <c r="C634" s="1" t="n">
        <v>45995</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26526-2025</t>
        </is>
      </c>
      <c r="B635" s="1" t="n">
        <v>45807.56612268519</v>
      </c>
      <c r="C635" s="1" t="n">
        <v>45995</v>
      </c>
      <c r="D635" t="inlineStr">
        <is>
          <t>UPPSALA LÄN</t>
        </is>
      </c>
      <c r="E635" t="inlineStr">
        <is>
          <t>ÖSTHAMMAR</t>
        </is>
      </c>
      <c r="G635" t="n">
        <v>0.7</v>
      </c>
      <c r="H635" t="n">
        <v>0</v>
      </c>
      <c r="I635" t="n">
        <v>0</v>
      </c>
      <c r="J635" t="n">
        <v>0</v>
      </c>
      <c r="K635" t="n">
        <v>0</v>
      </c>
      <c r="L635" t="n">
        <v>0</v>
      </c>
      <c r="M635" t="n">
        <v>0</v>
      </c>
      <c r="N635" t="n">
        <v>0</v>
      </c>
      <c r="O635" t="n">
        <v>0</v>
      </c>
      <c r="P635" t="n">
        <v>0</v>
      </c>
      <c r="Q635" t="n">
        <v>0</v>
      </c>
      <c r="R635" s="2" t="inlineStr"/>
    </row>
    <row r="636" ht="15" customHeight="1">
      <c r="A636" t="inlineStr">
        <is>
          <t>A 60555-2023</t>
        </is>
      </c>
      <c r="B636" s="1" t="n">
        <v>45259</v>
      </c>
      <c r="C636" s="1" t="n">
        <v>45995</v>
      </c>
      <c r="D636" t="inlineStr">
        <is>
          <t>UPPSALA LÄN</t>
        </is>
      </c>
      <c r="E636" t="inlineStr">
        <is>
          <t>ÖSTHAMMAR</t>
        </is>
      </c>
      <c r="G636" t="n">
        <v>2</v>
      </c>
      <c r="H636" t="n">
        <v>0</v>
      </c>
      <c r="I636" t="n">
        <v>0</v>
      </c>
      <c r="J636" t="n">
        <v>0</v>
      </c>
      <c r="K636" t="n">
        <v>0</v>
      </c>
      <c r="L636" t="n">
        <v>0</v>
      </c>
      <c r="M636" t="n">
        <v>0</v>
      </c>
      <c r="N636" t="n">
        <v>0</v>
      </c>
      <c r="O636" t="n">
        <v>0</v>
      </c>
      <c r="P636" t="n">
        <v>0</v>
      </c>
      <c r="Q636" t="n">
        <v>0</v>
      </c>
      <c r="R636" s="2" t="inlineStr"/>
    </row>
    <row r="637" ht="15" customHeight="1">
      <c r="A637" t="inlineStr">
        <is>
          <t>A 60584-2021</t>
        </is>
      </c>
      <c r="B637" s="1" t="n">
        <v>44496</v>
      </c>
      <c r="C637" s="1" t="n">
        <v>45995</v>
      </c>
      <c r="D637" t="inlineStr">
        <is>
          <t>UPPSALA LÄN</t>
        </is>
      </c>
      <c r="E637" t="inlineStr">
        <is>
          <t>ÖSTHAMMAR</t>
        </is>
      </c>
      <c r="G637" t="n">
        <v>1.4</v>
      </c>
      <c r="H637" t="n">
        <v>0</v>
      </c>
      <c r="I637" t="n">
        <v>0</v>
      </c>
      <c r="J637" t="n">
        <v>0</v>
      </c>
      <c r="K637" t="n">
        <v>0</v>
      </c>
      <c r="L637" t="n">
        <v>0</v>
      </c>
      <c r="M637" t="n">
        <v>0</v>
      </c>
      <c r="N637" t="n">
        <v>0</v>
      </c>
      <c r="O637" t="n">
        <v>0</v>
      </c>
      <c r="P637" t="n">
        <v>0</v>
      </c>
      <c r="Q637" t="n">
        <v>0</v>
      </c>
      <c r="R637" s="2" t="inlineStr"/>
    </row>
    <row r="638" ht="15" customHeight="1">
      <c r="A638" t="inlineStr">
        <is>
          <t>A 27395-2025</t>
        </is>
      </c>
      <c r="B638" s="1" t="n">
        <v>45812.6850462963</v>
      </c>
      <c r="C638" s="1" t="n">
        <v>45995</v>
      </c>
      <c r="D638" t="inlineStr">
        <is>
          <t>UPPSALA LÄN</t>
        </is>
      </c>
      <c r="E638" t="inlineStr">
        <is>
          <t>ÖSTHAMMAR</t>
        </is>
      </c>
      <c r="F638" t="inlineStr">
        <is>
          <t>Bergvik skog öst AB</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27347-2025</t>
        </is>
      </c>
      <c r="B639" s="1" t="n">
        <v>45812.62390046296</v>
      </c>
      <c r="C639" s="1" t="n">
        <v>45995</v>
      </c>
      <c r="D639" t="inlineStr">
        <is>
          <t>UPPSALA LÄN</t>
        </is>
      </c>
      <c r="E639" t="inlineStr">
        <is>
          <t>ÖSTHAMMAR</t>
        </is>
      </c>
      <c r="G639" t="n">
        <v>0.4</v>
      </c>
      <c r="H639" t="n">
        <v>0</v>
      </c>
      <c r="I639" t="n">
        <v>0</v>
      </c>
      <c r="J639" t="n">
        <v>0</v>
      </c>
      <c r="K639" t="n">
        <v>0</v>
      </c>
      <c r="L639" t="n">
        <v>0</v>
      </c>
      <c r="M639" t="n">
        <v>0</v>
      </c>
      <c r="N639" t="n">
        <v>0</v>
      </c>
      <c r="O639" t="n">
        <v>0</v>
      </c>
      <c r="P639" t="n">
        <v>0</v>
      </c>
      <c r="Q639" t="n">
        <v>0</v>
      </c>
      <c r="R639" s="2" t="inlineStr"/>
    </row>
    <row r="640" ht="15" customHeight="1">
      <c r="A640" t="inlineStr">
        <is>
          <t>A 27383-2025</t>
        </is>
      </c>
      <c r="B640" s="1" t="n">
        <v>45812.66628472223</v>
      </c>
      <c r="C640" s="1" t="n">
        <v>45995</v>
      </c>
      <c r="D640" t="inlineStr">
        <is>
          <t>UPPSALA LÄN</t>
        </is>
      </c>
      <c r="E640" t="inlineStr">
        <is>
          <t>ÖSTHAMMAR</t>
        </is>
      </c>
      <c r="G640" t="n">
        <v>0.7</v>
      </c>
      <c r="H640" t="n">
        <v>0</v>
      </c>
      <c r="I640" t="n">
        <v>0</v>
      </c>
      <c r="J640" t="n">
        <v>0</v>
      </c>
      <c r="K640" t="n">
        <v>0</v>
      </c>
      <c r="L640" t="n">
        <v>0</v>
      </c>
      <c r="M640" t="n">
        <v>0</v>
      </c>
      <c r="N640" t="n">
        <v>0</v>
      </c>
      <c r="O640" t="n">
        <v>0</v>
      </c>
      <c r="P640" t="n">
        <v>0</v>
      </c>
      <c r="Q640" t="n">
        <v>0</v>
      </c>
      <c r="R640" s="2" t="inlineStr"/>
    </row>
    <row r="641" ht="15" customHeight="1">
      <c r="A641" t="inlineStr">
        <is>
          <t>A 27385-2025</t>
        </is>
      </c>
      <c r="B641" s="1" t="n">
        <v>45812.66829861111</v>
      </c>
      <c r="C641" s="1" t="n">
        <v>45995</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27352-2025</t>
        </is>
      </c>
      <c r="B642" s="1" t="n">
        <v>45812.62694444445</v>
      </c>
      <c r="C642" s="1" t="n">
        <v>45995</v>
      </c>
      <c r="D642" t="inlineStr">
        <is>
          <t>UPPSALA LÄN</t>
        </is>
      </c>
      <c r="E642" t="inlineStr">
        <is>
          <t>ÖSTHAMMAR</t>
        </is>
      </c>
      <c r="G642" t="n">
        <v>2.5</v>
      </c>
      <c r="H642" t="n">
        <v>0</v>
      </c>
      <c r="I642" t="n">
        <v>0</v>
      </c>
      <c r="J642" t="n">
        <v>0</v>
      </c>
      <c r="K642" t="n">
        <v>0</v>
      </c>
      <c r="L642" t="n">
        <v>0</v>
      </c>
      <c r="M642" t="n">
        <v>0</v>
      </c>
      <c r="N642" t="n">
        <v>0</v>
      </c>
      <c r="O642" t="n">
        <v>0</v>
      </c>
      <c r="P642" t="n">
        <v>0</v>
      </c>
      <c r="Q642" t="n">
        <v>0</v>
      </c>
      <c r="R642" s="2" t="inlineStr"/>
    </row>
    <row r="643" ht="15" customHeight="1">
      <c r="A643" t="inlineStr">
        <is>
          <t>A 27131-2025</t>
        </is>
      </c>
      <c r="B643" s="1" t="n">
        <v>45811</v>
      </c>
      <c r="C643" s="1" t="n">
        <v>45995</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27392-2025</t>
        </is>
      </c>
      <c r="B644" s="1" t="n">
        <v>45812.68268518519</v>
      </c>
      <c r="C644" s="1" t="n">
        <v>45995</v>
      </c>
      <c r="D644" t="inlineStr">
        <is>
          <t>UPPSALA LÄN</t>
        </is>
      </c>
      <c r="E644" t="inlineStr">
        <is>
          <t>ÖSTHAMMAR</t>
        </is>
      </c>
      <c r="F644" t="inlineStr">
        <is>
          <t>Bergvik skog öst AB</t>
        </is>
      </c>
      <c r="G644" t="n">
        <v>2.1</v>
      </c>
      <c r="H644" t="n">
        <v>0</v>
      </c>
      <c r="I644" t="n">
        <v>0</v>
      </c>
      <c r="J644" t="n">
        <v>0</v>
      </c>
      <c r="K644" t="n">
        <v>0</v>
      </c>
      <c r="L644" t="n">
        <v>0</v>
      </c>
      <c r="M644" t="n">
        <v>0</v>
      </c>
      <c r="N644" t="n">
        <v>0</v>
      </c>
      <c r="O644" t="n">
        <v>0</v>
      </c>
      <c r="P644" t="n">
        <v>0</v>
      </c>
      <c r="Q644" t="n">
        <v>0</v>
      </c>
      <c r="R644" s="2" t="inlineStr"/>
    </row>
    <row r="645" ht="15" customHeight="1">
      <c r="A645" t="inlineStr">
        <is>
          <t>A 27058-2025</t>
        </is>
      </c>
      <c r="B645" s="1" t="n">
        <v>45811.63436342592</v>
      </c>
      <c r="C645" s="1" t="n">
        <v>45995</v>
      </c>
      <c r="D645" t="inlineStr">
        <is>
          <t>UPPSALA LÄN</t>
        </is>
      </c>
      <c r="E645" t="inlineStr">
        <is>
          <t>ÖSTHAMMAR</t>
        </is>
      </c>
      <c r="F645" t="inlineStr">
        <is>
          <t>Bergvik skog öst AB</t>
        </is>
      </c>
      <c r="G645" t="n">
        <v>5.7</v>
      </c>
      <c r="H645" t="n">
        <v>0</v>
      </c>
      <c r="I645" t="n">
        <v>0</v>
      </c>
      <c r="J645" t="n">
        <v>0</v>
      </c>
      <c r="K645" t="n">
        <v>0</v>
      </c>
      <c r="L645" t="n">
        <v>0</v>
      </c>
      <c r="M645" t="n">
        <v>0</v>
      </c>
      <c r="N645" t="n">
        <v>0</v>
      </c>
      <c r="O645" t="n">
        <v>0</v>
      </c>
      <c r="P645" t="n">
        <v>0</v>
      </c>
      <c r="Q645" t="n">
        <v>0</v>
      </c>
      <c r="R645" s="2" t="inlineStr"/>
    </row>
    <row r="646" ht="15" customHeight="1">
      <c r="A646" t="inlineStr">
        <is>
          <t>A 17652-2025</t>
        </is>
      </c>
      <c r="B646" s="1" t="n">
        <v>45758.33583333333</v>
      </c>
      <c r="C646" s="1" t="n">
        <v>45995</v>
      </c>
      <c r="D646" t="inlineStr">
        <is>
          <t>UPPSALA LÄN</t>
        </is>
      </c>
      <c r="E646" t="inlineStr">
        <is>
          <t>ÖSTHAMMAR</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48719-2023</t>
        </is>
      </c>
      <c r="B647" s="1" t="n">
        <v>45208.70452546296</v>
      </c>
      <c r="C647" s="1" t="n">
        <v>45995</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27350-2025</t>
        </is>
      </c>
      <c r="B648" s="1" t="n">
        <v>45812.62571759259</v>
      </c>
      <c r="C648" s="1" t="n">
        <v>45995</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27132-2025</t>
        </is>
      </c>
      <c r="B649" s="1" t="n">
        <v>45811</v>
      </c>
      <c r="C649" s="1" t="n">
        <v>45995</v>
      </c>
      <c r="D649" t="inlineStr">
        <is>
          <t>UPPSALA LÄN</t>
        </is>
      </c>
      <c r="E649" t="inlineStr">
        <is>
          <t>ÖSTHAMMAR</t>
        </is>
      </c>
      <c r="G649" t="n">
        <v>2.3</v>
      </c>
      <c r="H649" t="n">
        <v>0</v>
      </c>
      <c r="I649" t="n">
        <v>0</v>
      </c>
      <c r="J649" t="n">
        <v>0</v>
      </c>
      <c r="K649" t="n">
        <v>0</v>
      </c>
      <c r="L649" t="n">
        <v>0</v>
      </c>
      <c r="M649" t="n">
        <v>0</v>
      </c>
      <c r="N649" t="n">
        <v>0</v>
      </c>
      <c r="O649" t="n">
        <v>0</v>
      </c>
      <c r="P649" t="n">
        <v>0</v>
      </c>
      <c r="Q649" t="n">
        <v>0</v>
      </c>
      <c r="R649" s="2" t="inlineStr"/>
    </row>
    <row r="650" ht="15" customHeight="1">
      <c r="A650" t="inlineStr">
        <is>
          <t>A 33784-2024</t>
        </is>
      </c>
      <c r="B650" s="1" t="n">
        <v>45520</v>
      </c>
      <c r="C650" s="1" t="n">
        <v>45995</v>
      </c>
      <c r="D650" t="inlineStr">
        <is>
          <t>UPPSALA LÄN</t>
        </is>
      </c>
      <c r="E650" t="inlineStr">
        <is>
          <t>ÖSTHAMMAR</t>
        </is>
      </c>
      <c r="F650" t="inlineStr">
        <is>
          <t>Naturvårdsverket</t>
        </is>
      </c>
      <c r="G650" t="n">
        <v>0.6</v>
      </c>
      <c r="H650" t="n">
        <v>0</v>
      </c>
      <c r="I650" t="n">
        <v>0</v>
      </c>
      <c r="J650" t="n">
        <v>0</v>
      </c>
      <c r="K650" t="n">
        <v>0</v>
      </c>
      <c r="L650" t="n">
        <v>0</v>
      </c>
      <c r="M650" t="n">
        <v>0</v>
      </c>
      <c r="N650" t="n">
        <v>0</v>
      </c>
      <c r="O650" t="n">
        <v>0</v>
      </c>
      <c r="P650" t="n">
        <v>0</v>
      </c>
      <c r="Q650" t="n">
        <v>0</v>
      </c>
      <c r="R650" s="2" t="inlineStr"/>
    </row>
    <row r="651" ht="15" customHeight="1">
      <c r="A651" t="inlineStr">
        <is>
          <t>A 8330-2025</t>
        </is>
      </c>
      <c r="B651" s="1" t="n">
        <v>45708</v>
      </c>
      <c r="C651" s="1" t="n">
        <v>45995</v>
      </c>
      <c r="D651" t="inlineStr">
        <is>
          <t>UPPSALA LÄN</t>
        </is>
      </c>
      <c r="E651" t="inlineStr">
        <is>
          <t>ÖSTHAMMAR</t>
        </is>
      </c>
      <c r="F651" t="inlineStr">
        <is>
          <t>Övriga Aktiebolag</t>
        </is>
      </c>
      <c r="G651" t="n">
        <v>2.4</v>
      </c>
      <c r="H651" t="n">
        <v>0</v>
      </c>
      <c r="I651" t="n">
        <v>0</v>
      </c>
      <c r="J651" t="n">
        <v>0</v>
      </c>
      <c r="K651" t="n">
        <v>0</v>
      </c>
      <c r="L651" t="n">
        <v>0</v>
      </c>
      <c r="M651" t="n">
        <v>0</v>
      </c>
      <c r="N651" t="n">
        <v>0</v>
      </c>
      <c r="O651" t="n">
        <v>0</v>
      </c>
      <c r="P651" t="n">
        <v>0</v>
      </c>
      <c r="Q651" t="n">
        <v>0</v>
      </c>
      <c r="R651" s="2" t="inlineStr"/>
    </row>
    <row r="652" ht="15" customHeight="1">
      <c r="A652" t="inlineStr">
        <is>
          <t>A 27563-2025</t>
        </is>
      </c>
      <c r="B652" s="1" t="n">
        <v>45813.48471064815</v>
      </c>
      <c r="C652" s="1" t="n">
        <v>45995</v>
      </c>
      <c r="D652" t="inlineStr">
        <is>
          <t>UPPSALA LÄN</t>
        </is>
      </c>
      <c r="E652" t="inlineStr">
        <is>
          <t>ÖSTHAMMAR</t>
        </is>
      </c>
      <c r="F652" t="inlineStr">
        <is>
          <t>Bergvik skog öst AB</t>
        </is>
      </c>
      <c r="G652" t="n">
        <v>4</v>
      </c>
      <c r="H652" t="n">
        <v>0</v>
      </c>
      <c r="I652" t="n">
        <v>0</v>
      </c>
      <c r="J652" t="n">
        <v>0</v>
      </c>
      <c r="K652" t="n">
        <v>0</v>
      </c>
      <c r="L652" t="n">
        <v>0</v>
      </c>
      <c r="M652" t="n">
        <v>0</v>
      </c>
      <c r="N652" t="n">
        <v>0</v>
      </c>
      <c r="O652" t="n">
        <v>0</v>
      </c>
      <c r="P652" t="n">
        <v>0</v>
      </c>
      <c r="Q652" t="n">
        <v>0</v>
      </c>
      <c r="R652" s="2" t="inlineStr"/>
    </row>
    <row r="653" ht="15" customHeight="1">
      <c r="A653" t="inlineStr">
        <is>
          <t>A 27920-2025</t>
        </is>
      </c>
      <c r="B653" s="1" t="n">
        <v>45817.48454861111</v>
      </c>
      <c r="C653" s="1" t="n">
        <v>45995</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33601-2024</t>
        </is>
      </c>
      <c r="B654" s="1" t="n">
        <v>45520</v>
      </c>
      <c r="C654" s="1" t="n">
        <v>45995</v>
      </c>
      <c r="D654" t="inlineStr">
        <is>
          <t>UPPSALA LÄN</t>
        </is>
      </c>
      <c r="E654" t="inlineStr">
        <is>
          <t>ÖSTHAMMAR</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19009-2023</t>
        </is>
      </c>
      <c r="B655" s="1" t="n">
        <v>45045</v>
      </c>
      <c r="C655" s="1" t="n">
        <v>45995</v>
      </c>
      <c r="D655" t="inlineStr">
        <is>
          <t>UPPSALA LÄN</t>
        </is>
      </c>
      <c r="E655" t="inlineStr">
        <is>
          <t>ÖSTHAMMAR</t>
        </is>
      </c>
      <c r="F655" t="inlineStr">
        <is>
          <t>Bergvik skog öst AB</t>
        </is>
      </c>
      <c r="G655" t="n">
        <v>0.2</v>
      </c>
      <c r="H655" t="n">
        <v>0</v>
      </c>
      <c r="I655" t="n">
        <v>0</v>
      </c>
      <c r="J655" t="n">
        <v>0</v>
      </c>
      <c r="K655" t="n">
        <v>0</v>
      </c>
      <c r="L655" t="n">
        <v>0</v>
      </c>
      <c r="M655" t="n">
        <v>0</v>
      </c>
      <c r="N655" t="n">
        <v>0</v>
      </c>
      <c r="O655" t="n">
        <v>0</v>
      </c>
      <c r="P655" t="n">
        <v>0</v>
      </c>
      <c r="Q655" t="n">
        <v>0</v>
      </c>
      <c r="R655" s="2" t="inlineStr"/>
    </row>
    <row r="656" ht="15" customHeight="1">
      <c r="A656" t="inlineStr">
        <is>
          <t>A 4151-2021</t>
        </is>
      </c>
      <c r="B656" s="1" t="n">
        <v>44221</v>
      </c>
      <c r="C656" s="1" t="n">
        <v>45995</v>
      </c>
      <c r="D656" t="inlineStr">
        <is>
          <t>UPPSALA LÄN</t>
        </is>
      </c>
      <c r="E656" t="inlineStr">
        <is>
          <t>ÖSTHAMMAR</t>
        </is>
      </c>
      <c r="G656" t="n">
        <v>2.9</v>
      </c>
      <c r="H656" t="n">
        <v>0</v>
      </c>
      <c r="I656" t="n">
        <v>0</v>
      </c>
      <c r="J656" t="n">
        <v>0</v>
      </c>
      <c r="K656" t="n">
        <v>0</v>
      </c>
      <c r="L656" t="n">
        <v>0</v>
      </c>
      <c r="M656" t="n">
        <v>0</v>
      </c>
      <c r="N656" t="n">
        <v>0</v>
      </c>
      <c r="O656" t="n">
        <v>0</v>
      </c>
      <c r="P656" t="n">
        <v>0</v>
      </c>
      <c r="Q656" t="n">
        <v>0</v>
      </c>
      <c r="R656" s="2" t="inlineStr"/>
    </row>
    <row r="657" ht="15" customHeight="1">
      <c r="A657" t="inlineStr">
        <is>
          <t>A 27812-2025</t>
        </is>
      </c>
      <c r="B657" s="1" t="n">
        <v>45817.32150462963</v>
      </c>
      <c r="C657" s="1" t="n">
        <v>45995</v>
      </c>
      <c r="D657" t="inlineStr">
        <is>
          <t>UPPSALA LÄN</t>
        </is>
      </c>
      <c r="E657" t="inlineStr">
        <is>
          <t>ÖSTHAMMAR</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30755-2024</t>
        </is>
      </c>
      <c r="B658" s="1" t="n">
        <v>45496</v>
      </c>
      <c r="C658" s="1" t="n">
        <v>45995</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27919-2025</t>
        </is>
      </c>
      <c r="B659" s="1" t="n">
        <v>45817.48384259259</v>
      </c>
      <c r="C659" s="1" t="n">
        <v>45995</v>
      </c>
      <c r="D659" t="inlineStr">
        <is>
          <t>UPPSALA LÄN</t>
        </is>
      </c>
      <c r="E659" t="inlineStr">
        <is>
          <t>ÖSTHAMMAR</t>
        </is>
      </c>
      <c r="F659" t="inlineStr">
        <is>
          <t>Bergvik skog öst AB</t>
        </is>
      </c>
      <c r="G659" t="n">
        <v>3.5</v>
      </c>
      <c r="H659" t="n">
        <v>0</v>
      </c>
      <c r="I659" t="n">
        <v>0</v>
      </c>
      <c r="J659" t="n">
        <v>0</v>
      </c>
      <c r="K659" t="n">
        <v>0</v>
      </c>
      <c r="L659" t="n">
        <v>0</v>
      </c>
      <c r="M659" t="n">
        <v>0</v>
      </c>
      <c r="N659" t="n">
        <v>0</v>
      </c>
      <c r="O659" t="n">
        <v>0</v>
      </c>
      <c r="P659" t="n">
        <v>0</v>
      </c>
      <c r="Q659" t="n">
        <v>0</v>
      </c>
      <c r="R659" s="2" t="inlineStr"/>
    </row>
    <row r="660" ht="15" customHeight="1">
      <c r="A660" t="inlineStr">
        <is>
          <t>A 27853-2025</t>
        </is>
      </c>
      <c r="B660" s="1" t="n">
        <v>45817.40178240741</v>
      </c>
      <c r="C660" s="1" t="n">
        <v>45995</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27509-2025</t>
        </is>
      </c>
      <c r="B661" s="1" t="n">
        <v>45813.4278125</v>
      </c>
      <c r="C661" s="1" t="n">
        <v>45995</v>
      </c>
      <c r="D661" t="inlineStr">
        <is>
          <t>UPPSALA LÄN</t>
        </is>
      </c>
      <c r="E661" t="inlineStr">
        <is>
          <t>ÖSTHAMMAR</t>
        </is>
      </c>
      <c r="F661" t="inlineStr">
        <is>
          <t>Bergvik skog öst AB</t>
        </is>
      </c>
      <c r="G661" t="n">
        <v>3.3</v>
      </c>
      <c r="H661" t="n">
        <v>0</v>
      </c>
      <c r="I661" t="n">
        <v>0</v>
      </c>
      <c r="J661" t="n">
        <v>0</v>
      </c>
      <c r="K661" t="n">
        <v>0</v>
      </c>
      <c r="L661" t="n">
        <v>0</v>
      </c>
      <c r="M661" t="n">
        <v>0</v>
      </c>
      <c r="N661" t="n">
        <v>0</v>
      </c>
      <c r="O661" t="n">
        <v>0</v>
      </c>
      <c r="P661" t="n">
        <v>0</v>
      </c>
      <c r="Q661" t="n">
        <v>0</v>
      </c>
      <c r="R661" s="2" t="inlineStr"/>
    </row>
    <row r="662" ht="15" customHeight="1">
      <c r="A662" t="inlineStr">
        <is>
          <t>A 9052-2023</t>
        </is>
      </c>
      <c r="B662" s="1" t="n">
        <v>44979</v>
      </c>
      <c r="C662" s="1" t="n">
        <v>45995</v>
      </c>
      <c r="D662" t="inlineStr">
        <is>
          <t>UPPSALA LÄN</t>
        </is>
      </c>
      <c r="E662" t="inlineStr">
        <is>
          <t>ÖSTHAMMAR</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28745-2025</t>
        </is>
      </c>
      <c r="B663" s="1" t="n">
        <v>45820.39076388889</v>
      </c>
      <c r="C663" s="1" t="n">
        <v>45995</v>
      </c>
      <c r="D663" t="inlineStr">
        <is>
          <t>UPPSALA LÄN</t>
        </is>
      </c>
      <c r="E663" t="inlineStr">
        <is>
          <t>ÖSTHAMMAR</t>
        </is>
      </c>
      <c r="G663" t="n">
        <v>1.7</v>
      </c>
      <c r="H663" t="n">
        <v>0</v>
      </c>
      <c r="I663" t="n">
        <v>0</v>
      </c>
      <c r="J663" t="n">
        <v>0</v>
      </c>
      <c r="K663" t="n">
        <v>0</v>
      </c>
      <c r="L663" t="n">
        <v>0</v>
      </c>
      <c r="M663" t="n">
        <v>0</v>
      </c>
      <c r="N663" t="n">
        <v>0</v>
      </c>
      <c r="O663" t="n">
        <v>0</v>
      </c>
      <c r="P663" t="n">
        <v>0</v>
      </c>
      <c r="Q663" t="n">
        <v>0</v>
      </c>
      <c r="R663" s="2" t="inlineStr"/>
    </row>
    <row r="664" ht="15" customHeight="1">
      <c r="A664" t="inlineStr">
        <is>
          <t>A 28748-2025</t>
        </is>
      </c>
      <c r="B664" s="1" t="n">
        <v>45820.39540509259</v>
      </c>
      <c r="C664" s="1" t="n">
        <v>45995</v>
      </c>
      <c r="D664" t="inlineStr">
        <is>
          <t>UPPSALA LÄN</t>
        </is>
      </c>
      <c r="E664" t="inlineStr">
        <is>
          <t>ÖSTHAMMAR</t>
        </is>
      </c>
      <c r="G664" t="n">
        <v>2</v>
      </c>
      <c r="H664" t="n">
        <v>0</v>
      </c>
      <c r="I664" t="n">
        <v>0</v>
      </c>
      <c r="J664" t="n">
        <v>0</v>
      </c>
      <c r="K664" t="n">
        <v>0</v>
      </c>
      <c r="L664" t="n">
        <v>0</v>
      </c>
      <c r="M664" t="n">
        <v>0</v>
      </c>
      <c r="N664" t="n">
        <v>0</v>
      </c>
      <c r="O664" t="n">
        <v>0</v>
      </c>
      <c r="P664" t="n">
        <v>0</v>
      </c>
      <c r="Q664" t="n">
        <v>0</v>
      </c>
      <c r="R664" s="2" t="inlineStr"/>
    </row>
    <row r="665" ht="15" customHeight="1">
      <c r="A665" t="inlineStr">
        <is>
          <t>A 33760-2024</t>
        </is>
      </c>
      <c r="B665" s="1" t="n">
        <v>45520</v>
      </c>
      <c r="C665" s="1" t="n">
        <v>45995</v>
      </c>
      <c r="D665" t="inlineStr">
        <is>
          <t>UPPSALA LÄN</t>
        </is>
      </c>
      <c r="E665" t="inlineStr">
        <is>
          <t>ÖSTHAMMAR</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28442-2025</t>
        </is>
      </c>
      <c r="B666" s="1" t="n">
        <v>45819</v>
      </c>
      <c r="C666" s="1" t="n">
        <v>45995</v>
      </c>
      <c r="D666" t="inlineStr">
        <is>
          <t>UPPSALA LÄN</t>
        </is>
      </c>
      <c r="E666" t="inlineStr">
        <is>
          <t>ÖSTHAMMAR</t>
        </is>
      </c>
      <c r="F666" t="inlineStr">
        <is>
          <t>Övriga Aktiebolag</t>
        </is>
      </c>
      <c r="G666" t="n">
        <v>1.8</v>
      </c>
      <c r="H666" t="n">
        <v>0</v>
      </c>
      <c r="I666" t="n">
        <v>0</v>
      </c>
      <c r="J666" t="n">
        <v>0</v>
      </c>
      <c r="K666" t="n">
        <v>0</v>
      </c>
      <c r="L666" t="n">
        <v>0</v>
      </c>
      <c r="M666" t="n">
        <v>0</v>
      </c>
      <c r="N666" t="n">
        <v>0</v>
      </c>
      <c r="O666" t="n">
        <v>0</v>
      </c>
      <c r="P666" t="n">
        <v>0</v>
      </c>
      <c r="Q666" t="n">
        <v>0</v>
      </c>
      <c r="R666" s="2" t="inlineStr"/>
    </row>
    <row r="667" ht="15" customHeight="1">
      <c r="A667" t="inlineStr">
        <is>
          <t>A 23728-2025</t>
        </is>
      </c>
      <c r="B667" s="1" t="n">
        <v>45793.41719907407</v>
      </c>
      <c r="C667" s="1" t="n">
        <v>45995</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28739-2025</t>
        </is>
      </c>
      <c r="B668" s="1" t="n">
        <v>45820</v>
      </c>
      <c r="C668" s="1" t="n">
        <v>45995</v>
      </c>
      <c r="D668" t="inlineStr">
        <is>
          <t>UPPSALA LÄN</t>
        </is>
      </c>
      <c r="E668" t="inlineStr">
        <is>
          <t>ÖSTHAMMAR</t>
        </is>
      </c>
      <c r="G668" t="n">
        <v>1.4</v>
      </c>
      <c r="H668" t="n">
        <v>0</v>
      </c>
      <c r="I668" t="n">
        <v>0</v>
      </c>
      <c r="J668" t="n">
        <v>0</v>
      </c>
      <c r="K668" t="n">
        <v>0</v>
      </c>
      <c r="L668" t="n">
        <v>0</v>
      </c>
      <c r="M668" t="n">
        <v>0</v>
      </c>
      <c r="N668" t="n">
        <v>0</v>
      </c>
      <c r="O668" t="n">
        <v>0</v>
      </c>
      <c r="P668" t="n">
        <v>0</v>
      </c>
      <c r="Q668" t="n">
        <v>0</v>
      </c>
      <c r="R668" s="2" t="inlineStr"/>
    </row>
    <row r="669" ht="15" customHeight="1">
      <c r="A669" t="inlineStr">
        <is>
          <t>A 27486-2025</t>
        </is>
      </c>
      <c r="B669" s="1" t="n">
        <v>45813.38521990741</v>
      </c>
      <c r="C669" s="1" t="n">
        <v>45995</v>
      </c>
      <c r="D669" t="inlineStr">
        <is>
          <t>UPPSALA LÄN</t>
        </is>
      </c>
      <c r="E669" t="inlineStr">
        <is>
          <t>ÖSTHAMMAR</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3725-2022</t>
        </is>
      </c>
      <c r="B670" s="1" t="n">
        <v>44586</v>
      </c>
      <c r="C670" s="1" t="n">
        <v>45995</v>
      </c>
      <c r="D670" t="inlineStr">
        <is>
          <t>UPPSALA LÄN</t>
        </is>
      </c>
      <c r="E670" t="inlineStr">
        <is>
          <t>ÖSTHAMMAR</t>
        </is>
      </c>
      <c r="G670" t="n">
        <v>2</v>
      </c>
      <c r="H670" t="n">
        <v>0</v>
      </c>
      <c r="I670" t="n">
        <v>0</v>
      </c>
      <c r="J670" t="n">
        <v>0</v>
      </c>
      <c r="K670" t="n">
        <v>0</v>
      </c>
      <c r="L670" t="n">
        <v>0</v>
      </c>
      <c r="M670" t="n">
        <v>0</v>
      </c>
      <c r="N670" t="n">
        <v>0</v>
      </c>
      <c r="O670" t="n">
        <v>0</v>
      </c>
      <c r="P670" t="n">
        <v>0</v>
      </c>
      <c r="Q670" t="n">
        <v>0</v>
      </c>
      <c r="R670" s="2" t="inlineStr"/>
    </row>
    <row r="671" ht="15" customHeight="1">
      <c r="A671" t="inlineStr">
        <is>
          <t>A 8006-2023</t>
        </is>
      </c>
      <c r="B671" s="1" t="n">
        <v>44973</v>
      </c>
      <c r="C671" s="1" t="n">
        <v>45995</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11469-2023</t>
        </is>
      </c>
      <c r="B672" s="1" t="n">
        <v>44993.60099537037</v>
      </c>
      <c r="C672" s="1" t="n">
        <v>45995</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29029-2025</t>
        </is>
      </c>
      <c r="B673" s="1" t="n">
        <v>45821.43973379629</v>
      </c>
      <c r="C673" s="1" t="n">
        <v>45995</v>
      </c>
      <c r="D673" t="inlineStr">
        <is>
          <t>UPPSALA LÄN</t>
        </is>
      </c>
      <c r="E673" t="inlineStr">
        <is>
          <t>ÖSTHAMMAR</t>
        </is>
      </c>
      <c r="F673" t="inlineStr">
        <is>
          <t>Bergvik skog öst AB</t>
        </is>
      </c>
      <c r="G673" t="n">
        <v>4.2</v>
      </c>
      <c r="H673" t="n">
        <v>0</v>
      </c>
      <c r="I673" t="n">
        <v>0</v>
      </c>
      <c r="J673" t="n">
        <v>0</v>
      </c>
      <c r="K673" t="n">
        <v>0</v>
      </c>
      <c r="L673" t="n">
        <v>0</v>
      </c>
      <c r="M673" t="n">
        <v>0</v>
      </c>
      <c r="N673" t="n">
        <v>0</v>
      </c>
      <c r="O673" t="n">
        <v>0</v>
      </c>
      <c r="P673" t="n">
        <v>0</v>
      </c>
      <c r="Q673" t="n">
        <v>0</v>
      </c>
      <c r="R673" s="2" t="inlineStr"/>
    </row>
    <row r="674" ht="15" customHeight="1">
      <c r="A674" t="inlineStr">
        <is>
          <t>A 29028-2025</t>
        </is>
      </c>
      <c r="B674" s="1" t="n">
        <v>45821.4384375</v>
      </c>
      <c r="C674" s="1" t="n">
        <v>45995</v>
      </c>
      <c r="D674" t="inlineStr">
        <is>
          <t>UPPSALA LÄN</t>
        </is>
      </c>
      <c r="E674" t="inlineStr">
        <is>
          <t>ÖSTHAMMAR</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29031-2025</t>
        </is>
      </c>
      <c r="B675" s="1" t="n">
        <v>45821.44159722222</v>
      </c>
      <c r="C675" s="1" t="n">
        <v>45995</v>
      </c>
      <c r="D675" t="inlineStr">
        <is>
          <t>UPPSALA LÄN</t>
        </is>
      </c>
      <c r="E675" t="inlineStr">
        <is>
          <t>ÖSTHAMMAR</t>
        </is>
      </c>
      <c r="F675" t="inlineStr">
        <is>
          <t>Bergvik skog öst AB</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27490-2025</t>
        </is>
      </c>
      <c r="B676" s="1" t="n">
        <v>45813.39273148148</v>
      </c>
      <c r="C676" s="1" t="n">
        <v>45995</v>
      </c>
      <c r="D676" t="inlineStr">
        <is>
          <t>UPPSALA LÄN</t>
        </is>
      </c>
      <c r="E676" t="inlineStr">
        <is>
          <t>ÖSTHAMMAR</t>
        </is>
      </c>
      <c r="F676" t="inlineStr">
        <is>
          <t>Bergvik skog öst AB</t>
        </is>
      </c>
      <c r="G676" t="n">
        <v>6.1</v>
      </c>
      <c r="H676" t="n">
        <v>0</v>
      </c>
      <c r="I676" t="n">
        <v>0</v>
      </c>
      <c r="J676" t="n">
        <v>0</v>
      </c>
      <c r="K676" t="n">
        <v>0</v>
      </c>
      <c r="L676" t="n">
        <v>0</v>
      </c>
      <c r="M676" t="n">
        <v>0</v>
      </c>
      <c r="N676" t="n">
        <v>0</v>
      </c>
      <c r="O676" t="n">
        <v>0</v>
      </c>
      <c r="P676" t="n">
        <v>0</v>
      </c>
      <c r="Q676" t="n">
        <v>0</v>
      </c>
      <c r="R676" s="2" t="inlineStr"/>
    </row>
    <row r="677" ht="15" customHeight="1">
      <c r="A677" t="inlineStr">
        <is>
          <t>A 20324-2021</t>
        </is>
      </c>
      <c r="B677" s="1" t="n">
        <v>44308</v>
      </c>
      <c r="C677" s="1" t="n">
        <v>45995</v>
      </c>
      <c r="D677" t="inlineStr">
        <is>
          <t>UPPSALA LÄN</t>
        </is>
      </c>
      <c r="E677" t="inlineStr">
        <is>
          <t>ÖSTHAMMAR</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27494-2025</t>
        </is>
      </c>
      <c r="B678" s="1" t="n">
        <v>45813.39756944445</v>
      </c>
      <c r="C678" s="1" t="n">
        <v>45995</v>
      </c>
      <c r="D678" t="inlineStr">
        <is>
          <t>UPPSALA LÄN</t>
        </is>
      </c>
      <c r="E678" t="inlineStr">
        <is>
          <t>ÖSTHAMMAR</t>
        </is>
      </c>
      <c r="F678" t="inlineStr">
        <is>
          <t>Bergvik skog öst AB</t>
        </is>
      </c>
      <c r="G678" t="n">
        <v>23.4</v>
      </c>
      <c r="H678" t="n">
        <v>0</v>
      </c>
      <c r="I678" t="n">
        <v>0</v>
      </c>
      <c r="J678" t="n">
        <v>0</v>
      </c>
      <c r="K678" t="n">
        <v>0</v>
      </c>
      <c r="L678" t="n">
        <v>0</v>
      </c>
      <c r="M678" t="n">
        <v>0</v>
      </c>
      <c r="N678" t="n">
        <v>0</v>
      </c>
      <c r="O678" t="n">
        <v>0</v>
      </c>
      <c r="P678" t="n">
        <v>0</v>
      </c>
      <c r="Q678" t="n">
        <v>0</v>
      </c>
      <c r="R678" s="2" t="inlineStr"/>
    </row>
    <row r="679" ht="15" customHeight="1">
      <c r="A679" t="inlineStr">
        <is>
          <t>A 29384-2025</t>
        </is>
      </c>
      <c r="B679" s="1" t="n">
        <v>45824</v>
      </c>
      <c r="C679" s="1" t="n">
        <v>45995</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25033-2021</t>
        </is>
      </c>
      <c r="B680" s="1" t="n">
        <v>44341.590625</v>
      </c>
      <c r="C680" s="1" t="n">
        <v>45995</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16212-2021</t>
        </is>
      </c>
      <c r="B681" s="1" t="n">
        <v>44287</v>
      </c>
      <c r="C681" s="1" t="n">
        <v>45995</v>
      </c>
      <c r="D681" t="inlineStr">
        <is>
          <t>UPPSALA LÄN</t>
        </is>
      </c>
      <c r="E681" t="inlineStr">
        <is>
          <t>ÖSTHAMMAR</t>
        </is>
      </c>
      <c r="G681" t="n">
        <v>1.6</v>
      </c>
      <c r="H681" t="n">
        <v>0</v>
      </c>
      <c r="I681" t="n">
        <v>0</v>
      </c>
      <c r="J681" t="n">
        <v>0</v>
      </c>
      <c r="K681" t="n">
        <v>0</v>
      </c>
      <c r="L681" t="n">
        <v>0</v>
      </c>
      <c r="M681" t="n">
        <v>0</v>
      </c>
      <c r="N681" t="n">
        <v>0</v>
      </c>
      <c r="O681" t="n">
        <v>0</v>
      </c>
      <c r="P681" t="n">
        <v>0</v>
      </c>
      <c r="Q681" t="n">
        <v>0</v>
      </c>
      <c r="R681" s="2" t="inlineStr"/>
    </row>
    <row r="682" ht="15" customHeight="1">
      <c r="A682" t="inlineStr">
        <is>
          <t>A 29024-2025</t>
        </is>
      </c>
      <c r="B682" s="1" t="n">
        <v>45821.43233796296</v>
      </c>
      <c r="C682" s="1" t="n">
        <v>45995</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29775-2025</t>
        </is>
      </c>
      <c r="B683" s="1" t="n">
        <v>45825.63803240741</v>
      </c>
      <c r="C683" s="1" t="n">
        <v>45995</v>
      </c>
      <c r="D683" t="inlineStr">
        <is>
          <t>UPPSALA LÄN</t>
        </is>
      </c>
      <c r="E683" t="inlineStr">
        <is>
          <t>ÖSTHAMMAR</t>
        </is>
      </c>
      <c r="G683" t="n">
        <v>0.9</v>
      </c>
      <c r="H683" t="n">
        <v>0</v>
      </c>
      <c r="I683" t="n">
        <v>0</v>
      </c>
      <c r="J683" t="n">
        <v>0</v>
      </c>
      <c r="K683" t="n">
        <v>0</v>
      </c>
      <c r="L683" t="n">
        <v>0</v>
      </c>
      <c r="M683" t="n">
        <v>0</v>
      </c>
      <c r="N683" t="n">
        <v>0</v>
      </c>
      <c r="O683" t="n">
        <v>0</v>
      </c>
      <c r="P683" t="n">
        <v>0</v>
      </c>
      <c r="Q683" t="n">
        <v>0</v>
      </c>
      <c r="R683" s="2" t="inlineStr"/>
    </row>
    <row r="684" ht="15" customHeight="1">
      <c r="A684" t="inlineStr">
        <is>
          <t>A 18113-2023</t>
        </is>
      </c>
      <c r="B684" s="1" t="n">
        <v>45040</v>
      </c>
      <c r="C684" s="1" t="n">
        <v>45995</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23120-2021</t>
        </is>
      </c>
      <c r="B685" s="1" t="n">
        <v>44330</v>
      </c>
      <c r="C685" s="1" t="n">
        <v>45995</v>
      </c>
      <c r="D685" t="inlineStr">
        <is>
          <t>UPPSALA LÄN</t>
        </is>
      </c>
      <c r="E685" t="inlineStr">
        <is>
          <t>ÖSTHAMMAR</t>
        </is>
      </c>
      <c r="G685" t="n">
        <v>0.5</v>
      </c>
      <c r="H685" t="n">
        <v>0</v>
      </c>
      <c r="I685" t="n">
        <v>0</v>
      </c>
      <c r="J685" t="n">
        <v>0</v>
      </c>
      <c r="K685" t="n">
        <v>0</v>
      </c>
      <c r="L685" t="n">
        <v>0</v>
      </c>
      <c r="M685" t="n">
        <v>0</v>
      </c>
      <c r="N685" t="n">
        <v>0</v>
      </c>
      <c r="O685" t="n">
        <v>0</v>
      </c>
      <c r="P685" t="n">
        <v>0</v>
      </c>
      <c r="Q685" t="n">
        <v>0</v>
      </c>
      <c r="R685" s="2" t="inlineStr"/>
    </row>
    <row r="686" ht="15" customHeight="1">
      <c r="A686" t="inlineStr">
        <is>
          <t>A 52389-2022</t>
        </is>
      </c>
      <c r="B686" s="1" t="n">
        <v>44874.38325231482</v>
      </c>
      <c r="C686" s="1" t="n">
        <v>45995</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1238-2022</t>
        </is>
      </c>
      <c r="B687" s="1" t="n">
        <v>44572.5827662037</v>
      </c>
      <c r="C687" s="1" t="n">
        <v>45995</v>
      </c>
      <c r="D687" t="inlineStr">
        <is>
          <t>UPPSALA LÄN</t>
        </is>
      </c>
      <c r="E687" t="inlineStr">
        <is>
          <t>ÖSTHAMMAR</t>
        </is>
      </c>
      <c r="G687" t="n">
        <v>1.1</v>
      </c>
      <c r="H687" t="n">
        <v>0</v>
      </c>
      <c r="I687" t="n">
        <v>0</v>
      </c>
      <c r="J687" t="n">
        <v>0</v>
      </c>
      <c r="K687" t="n">
        <v>0</v>
      </c>
      <c r="L687" t="n">
        <v>0</v>
      </c>
      <c r="M687" t="n">
        <v>0</v>
      </c>
      <c r="N687" t="n">
        <v>0</v>
      </c>
      <c r="O687" t="n">
        <v>0</v>
      </c>
      <c r="P687" t="n">
        <v>0</v>
      </c>
      <c r="Q687" t="n">
        <v>0</v>
      </c>
      <c r="R687" s="2" t="inlineStr"/>
    </row>
    <row r="688" ht="15" customHeight="1">
      <c r="A688" t="inlineStr">
        <is>
          <t>A 30244-2025</t>
        </is>
      </c>
      <c r="B688" s="1" t="n">
        <v>45827.40902777778</v>
      </c>
      <c r="C688" s="1" t="n">
        <v>45995</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3327-2023</t>
        </is>
      </c>
      <c r="B689" s="1" t="n">
        <v>44949.4377662037</v>
      </c>
      <c r="C689" s="1" t="n">
        <v>45995</v>
      </c>
      <c r="D689" t="inlineStr">
        <is>
          <t>UPPSALA LÄN</t>
        </is>
      </c>
      <c r="E689" t="inlineStr">
        <is>
          <t>ÖSTHAMMAR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30504-2025</t>
        </is>
      </c>
      <c r="B690" s="1" t="n">
        <v>45830.8558912037</v>
      </c>
      <c r="C690" s="1" t="n">
        <v>45995</v>
      </c>
      <c r="D690" t="inlineStr">
        <is>
          <t>UPPSALA LÄN</t>
        </is>
      </c>
      <c r="E690" t="inlineStr">
        <is>
          <t>ÖSTHAMMAR</t>
        </is>
      </c>
      <c r="G690" t="n">
        <v>0.6</v>
      </c>
      <c r="H690" t="n">
        <v>0</v>
      </c>
      <c r="I690" t="n">
        <v>0</v>
      </c>
      <c r="J690" t="n">
        <v>0</v>
      </c>
      <c r="K690" t="n">
        <v>0</v>
      </c>
      <c r="L690" t="n">
        <v>0</v>
      </c>
      <c r="M690" t="n">
        <v>0</v>
      </c>
      <c r="N690" t="n">
        <v>0</v>
      </c>
      <c r="O690" t="n">
        <v>0</v>
      </c>
      <c r="P690" t="n">
        <v>0</v>
      </c>
      <c r="Q690" t="n">
        <v>0</v>
      </c>
      <c r="R690" s="2" t="inlineStr"/>
    </row>
    <row r="691" ht="15" customHeight="1">
      <c r="A691" t="inlineStr">
        <is>
          <t>A 4233-2023</t>
        </is>
      </c>
      <c r="B691" s="1" t="n">
        <v>44953.48619212963</v>
      </c>
      <c r="C691" s="1" t="n">
        <v>45995</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30811-2023</t>
        </is>
      </c>
      <c r="B692" s="1" t="n">
        <v>45112.86422453704</v>
      </c>
      <c r="C692" s="1" t="n">
        <v>45995</v>
      </c>
      <c r="D692" t="inlineStr">
        <is>
          <t>UPPSALA LÄN</t>
        </is>
      </c>
      <c r="E692" t="inlineStr">
        <is>
          <t>ÖSTHAMMAR</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30503-2025</t>
        </is>
      </c>
      <c r="B693" s="1" t="n">
        <v>45830.8500462963</v>
      </c>
      <c r="C693" s="1" t="n">
        <v>45995</v>
      </c>
      <c r="D693" t="inlineStr">
        <is>
          <t>UPPSALA LÄN</t>
        </is>
      </c>
      <c r="E693" t="inlineStr">
        <is>
          <t>ÖSTHAMMAR</t>
        </is>
      </c>
      <c r="G693" t="n">
        <v>0.8</v>
      </c>
      <c r="H693" t="n">
        <v>0</v>
      </c>
      <c r="I693" t="n">
        <v>0</v>
      </c>
      <c r="J693" t="n">
        <v>0</v>
      </c>
      <c r="K693" t="n">
        <v>0</v>
      </c>
      <c r="L693" t="n">
        <v>0</v>
      </c>
      <c r="M693" t="n">
        <v>0</v>
      </c>
      <c r="N693" t="n">
        <v>0</v>
      </c>
      <c r="O693" t="n">
        <v>0</v>
      </c>
      <c r="P693" t="n">
        <v>0</v>
      </c>
      <c r="Q693" t="n">
        <v>0</v>
      </c>
      <c r="R693" s="2" t="inlineStr"/>
    </row>
    <row r="694" ht="15" customHeight="1">
      <c r="A694" t="inlineStr">
        <is>
          <t>A 8708-2022</t>
        </is>
      </c>
      <c r="B694" s="1" t="n">
        <v>44613.77238425926</v>
      </c>
      <c r="C694" s="1" t="n">
        <v>45995</v>
      </c>
      <c r="D694" t="inlineStr">
        <is>
          <t>UPPSALA LÄN</t>
        </is>
      </c>
      <c r="E694" t="inlineStr">
        <is>
          <t>ÖSTHAMMAR</t>
        </is>
      </c>
      <c r="G694" t="n">
        <v>4.3</v>
      </c>
      <c r="H694" t="n">
        <v>0</v>
      </c>
      <c r="I694" t="n">
        <v>0</v>
      </c>
      <c r="J694" t="n">
        <v>0</v>
      </c>
      <c r="K694" t="n">
        <v>0</v>
      </c>
      <c r="L694" t="n">
        <v>0</v>
      </c>
      <c r="M694" t="n">
        <v>0</v>
      </c>
      <c r="N694" t="n">
        <v>0</v>
      </c>
      <c r="O694" t="n">
        <v>0</v>
      </c>
      <c r="P694" t="n">
        <v>0</v>
      </c>
      <c r="Q694" t="n">
        <v>0</v>
      </c>
      <c r="R694" s="2" t="inlineStr"/>
    </row>
    <row r="695" ht="15" customHeight="1">
      <c r="A695" t="inlineStr">
        <is>
          <t>A 11547-2022</t>
        </is>
      </c>
      <c r="B695" s="1" t="n">
        <v>44631.43116898148</v>
      </c>
      <c r="C695" s="1" t="n">
        <v>45995</v>
      </c>
      <c r="D695" t="inlineStr">
        <is>
          <t>UPPSALA LÄN</t>
        </is>
      </c>
      <c r="E695" t="inlineStr">
        <is>
          <t>ÖSTHAMMAR</t>
        </is>
      </c>
      <c r="G695" t="n">
        <v>4.4</v>
      </c>
      <c r="H695" t="n">
        <v>0</v>
      </c>
      <c r="I695" t="n">
        <v>0</v>
      </c>
      <c r="J695" t="n">
        <v>0</v>
      </c>
      <c r="K695" t="n">
        <v>0</v>
      </c>
      <c r="L695" t="n">
        <v>0</v>
      </c>
      <c r="M695" t="n">
        <v>0</v>
      </c>
      <c r="N695" t="n">
        <v>0</v>
      </c>
      <c r="O695" t="n">
        <v>0</v>
      </c>
      <c r="P695" t="n">
        <v>0</v>
      </c>
      <c r="Q695" t="n">
        <v>0</v>
      </c>
      <c r="R695" s="2" t="inlineStr"/>
    </row>
    <row r="696" ht="15" customHeight="1">
      <c r="A696" t="inlineStr">
        <is>
          <t>A 30610-2025</t>
        </is>
      </c>
      <c r="B696" s="1" t="n">
        <v>45831.45965277778</v>
      </c>
      <c r="C696" s="1" t="n">
        <v>45995</v>
      </c>
      <c r="D696" t="inlineStr">
        <is>
          <t>UPPSALA LÄN</t>
        </is>
      </c>
      <c r="E696" t="inlineStr">
        <is>
          <t>ÖSTHAMMAR</t>
        </is>
      </c>
      <c r="G696" t="n">
        <v>0.2</v>
      </c>
      <c r="H696" t="n">
        <v>0</v>
      </c>
      <c r="I696" t="n">
        <v>0</v>
      </c>
      <c r="J696" t="n">
        <v>0</v>
      </c>
      <c r="K696" t="n">
        <v>0</v>
      </c>
      <c r="L696" t="n">
        <v>0</v>
      </c>
      <c r="M696" t="n">
        <v>0</v>
      </c>
      <c r="N696" t="n">
        <v>0</v>
      </c>
      <c r="O696" t="n">
        <v>0</v>
      </c>
      <c r="P696" t="n">
        <v>0</v>
      </c>
      <c r="Q696" t="n">
        <v>0</v>
      </c>
      <c r="R696" s="2" t="inlineStr"/>
    </row>
    <row r="697" ht="15" customHeight="1">
      <c r="A697" t="inlineStr">
        <is>
          <t>A 31579-2025</t>
        </is>
      </c>
      <c r="B697" s="1" t="n">
        <v>45833.68211805556</v>
      </c>
      <c r="C697" s="1" t="n">
        <v>45995</v>
      </c>
      <c r="D697" t="inlineStr">
        <is>
          <t>UPPSALA LÄN</t>
        </is>
      </c>
      <c r="E697" t="inlineStr">
        <is>
          <t>ÖSTHAMMAR</t>
        </is>
      </c>
      <c r="G697" t="n">
        <v>1.5</v>
      </c>
      <c r="H697" t="n">
        <v>0</v>
      </c>
      <c r="I697" t="n">
        <v>0</v>
      </c>
      <c r="J697" t="n">
        <v>0</v>
      </c>
      <c r="K697" t="n">
        <v>0</v>
      </c>
      <c r="L697" t="n">
        <v>0</v>
      </c>
      <c r="M697" t="n">
        <v>0</v>
      </c>
      <c r="N697" t="n">
        <v>0</v>
      </c>
      <c r="O697" t="n">
        <v>0</v>
      </c>
      <c r="P697" t="n">
        <v>0</v>
      </c>
      <c r="Q697" t="n">
        <v>0</v>
      </c>
      <c r="R697" s="2" t="inlineStr"/>
    </row>
    <row r="698" ht="15" customHeight="1">
      <c r="A698" t="inlineStr">
        <is>
          <t>A 31360-2025</t>
        </is>
      </c>
      <c r="B698" s="1" t="n">
        <v>45833.43527777777</v>
      </c>
      <c r="C698" s="1" t="n">
        <v>45995</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25269-2024</t>
        </is>
      </c>
      <c r="B699" s="1" t="n">
        <v>45462</v>
      </c>
      <c r="C699" s="1" t="n">
        <v>45995</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31249-2025</t>
        </is>
      </c>
      <c r="B700" s="1" t="n">
        <v>45832.89476851852</v>
      </c>
      <c r="C700" s="1" t="n">
        <v>45995</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59382-2022</t>
        </is>
      </c>
      <c r="B701" s="1" t="n">
        <v>44905.50363425926</v>
      </c>
      <c r="C701" s="1" t="n">
        <v>45995</v>
      </c>
      <c r="D701" t="inlineStr">
        <is>
          <t>UPPSALA LÄN</t>
        </is>
      </c>
      <c r="E701" t="inlineStr">
        <is>
          <t>ÖSTHAMMAR</t>
        </is>
      </c>
      <c r="G701" t="n">
        <v>2.9</v>
      </c>
      <c r="H701" t="n">
        <v>0</v>
      </c>
      <c r="I701" t="n">
        <v>0</v>
      </c>
      <c r="J701" t="n">
        <v>0</v>
      </c>
      <c r="K701" t="n">
        <v>0</v>
      </c>
      <c r="L701" t="n">
        <v>0</v>
      </c>
      <c r="M701" t="n">
        <v>0</v>
      </c>
      <c r="N701" t="n">
        <v>0</v>
      </c>
      <c r="O701" t="n">
        <v>0</v>
      </c>
      <c r="P701" t="n">
        <v>0</v>
      </c>
      <c r="Q701" t="n">
        <v>0</v>
      </c>
      <c r="R701" s="2" t="inlineStr"/>
    </row>
    <row r="702" ht="15" customHeight="1">
      <c r="A702" t="inlineStr">
        <is>
          <t>A 31896-2025</t>
        </is>
      </c>
      <c r="B702" s="1" t="n">
        <v>45834.67556712963</v>
      </c>
      <c r="C702" s="1" t="n">
        <v>45995</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25969-2023</t>
        </is>
      </c>
      <c r="B703" s="1" t="n">
        <v>45090</v>
      </c>
      <c r="C703" s="1" t="n">
        <v>45995</v>
      </c>
      <c r="D703" t="inlineStr">
        <is>
          <t>UPPSALA LÄN</t>
        </is>
      </c>
      <c r="E703" t="inlineStr">
        <is>
          <t>ÖSTHAMMAR</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56903-2023</t>
        </is>
      </c>
      <c r="B704" s="1" t="n">
        <v>45244.56943287037</v>
      </c>
      <c r="C704" s="1" t="n">
        <v>45995</v>
      </c>
      <c r="D704" t="inlineStr">
        <is>
          <t>UPPSALA LÄN</t>
        </is>
      </c>
      <c r="E704" t="inlineStr">
        <is>
          <t>ÖSTHAMMAR</t>
        </is>
      </c>
      <c r="G704" t="n">
        <v>3.1</v>
      </c>
      <c r="H704" t="n">
        <v>0</v>
      </c>
      <c r="I704" t="n">
        <v>0</v>
      </c>
      <c r="J704" t="n">
        <v>0</v>
      </c>
      <c r="K704" t="n">
        <v>0</v>
      </c>
      <c r="L704" t="n">
        <v>0</v>
      </c>
      <c r="M704" t="n">
        <v>0</v>
      </c>
      <c r="N704" t="n">
        <v>0</v>
      </c>
      <c r="O704" t="n">
        <v>0</v>
      </c>
      <c r="P704" t="n">
        <v>0</v>
      </c>
      <c r="Q704" t="n">
        <v>0</v>
      </c>
      <c r="R704" s="2" t="inlineStr"/>
    </row>
    <row r="705" ht="15" customHeight="1">
      <c r="A705" t="inlineStr">
        <is>
          <t>A 67151-2021</t>
        </is>
      </c>
      <c r="B705" s="1" t="n">
        <v>44523</v>
      </c>
      <c r="C705" s="1" t="n">
        <v>45995</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29824-2023</t>
        </is>
      </c>
      <c r="B706" s="1" t="n">
        <v>45107</v>
      </c>
      <c r="C706" s="1" t="n">
        <v>45995</v>
      </c>
      <c r="D706" t="inlineStr">
        <is>
          <t>UPPSALA LÄN</t>
        </is>
      </c>
      <c r="E706" t="inlineStr">
        <is>
          <t>ÖSTHAMMAR</t>
        </is>
      </c>
      <c r="F706" t="inlineStr">
        <is>
          <t>Naturvårdsverket</t>
        </is>
      </c>
      <c r="G706" t="n">
        <v>1.6</v>
      </c>
      <c r="H706" t="n">
        <v>0</v>
      </c>
      <c r="I706" t="n">
        <v>0</v>
      </c>
      <c r="J706" t="n">
        <v>0</v>
      </c>
      <c r="K706" t="n">
        <v>0</v>
      </c>
      <c r="L706" t="n">
        <v>0</v>
      </c>
      <c r="M706" t="n">
        <v>0</v>
      </c>
      <c r="N706" t="n">
        <v>0</v>
      </c>
      <c r="O706" t="n">
        <v>0</v>
      </c>
      <c r="P706" t="n">
        <v>0</v>
      </c>
      <c r="Q706" t="n">
        <v>0</v>
      </c>
      <c r="R706" s="2" t="inlineStr"/>
    </row>
    <row r="707" ht="15" customHeight="1">
      <c r="A707" t="inlineStr">
        <is>
          <t>A 64586-2021</t>
        </is>
      </c>
      <c r="B707" s="1" t="n">
        <v>44511</v>
      </c>
      <c r="C707" s="1" t="n">
        <v>45995</v>
      </c>
      <c r="D707" t="inlineStr">
        <is>
          <t>UPPSALA LÄN</t>
        </is>
      </c>
      <c r="E707" t="inlineStr">
        <is>
          <t>ÖSTHAMMAR</t>
        </is>
      </c>
      <c r="G707" t="n">
        <v>2</v>
      </c>
      <c r="H707" t="n">
        <v>0</v>
      </c>
      <c r="I707" t="n">
        <v>0</v>
      </c>
      <c r="J707" t="n">
        <v>0</v>
      </c>
      <c r="K707" t="n">
        <v>0</v>
      </c>
      <c r="L707" t="n">
        <v>0</v>
      </c>
      <c r="M707" t="n">
        <v>0</v>
      </c>
      <c r="N707" t="n">
        <v>0</v>
      </c>
      <c r="O707" t="n">
        <v>0</v>
      </c>
      <c r="P707" t="n">
        <v>0</v>
      </c>
      <c r="Q707" t="n">
        <v>0</v>
      </c>
      <c r="R707" s="2" t="inlineStr"/>
    </row>
    <row r="708" ht="15" customHeight="1">
      <c r="A708" t="inlineStr">
        <is>
          <t>A 31977-2025</t>
        </is>
      </c>
      <c r="B708" s="1" t="n">
        <v>45835.3554050926</v>
      </c>
      <c r="C708" s="1" t="n">
        <v>45995</v>
      </c>
      <c r="D708" t="inlineStr">
        <is>
          <t>UPPSALA LÄN</t>
        </is>
      </c>
      <c r="E708" t="inlineStr">
        <is>
          <t>ÖSTHAMMAR</t>
        </is>
      </c>
      <c r="F708" t="inlineStr">
        <is>
          <t>Övriga Aktiebolag</t>
        </is>
      </c>
      <c r="G708" t="n">
        <v>35.3</v>
      </c>
      <c r="H708" t="n">
        <v>0</v>
      </c>
      <c r="I708" t="n">
        <v>0</v>
      </c>
      <c r="J708" t="n">
        <v>0</v>
      </c>
      <c r="K708" t="n">
        <v>0</v>
      </c>
      <c r="L708" t="n">
        <v>0</v>
      </c>
      <c r="M708" t="n">
        <v>0</v>
      </c>
      <c r="N708" t="n">
        <v>0</v>
      </c>
      <c r="O708" t="n">
        <v>0</v>
      </c>
      <c r="P708" t="n">
        <v>0</v>
      </c>
      <c r="Q708" t="n">
        <v>0</v>
      </c>
      <c r="R708" s="2" t="inlineStr"/>
    </row>
    <row r="709" ht="15" customHeight="1">
      <c r="A709" t="inlineStr">
        <is>
          <t>A 31956-2025</t>
        </is>
      </c>
      <c r="B709" s="1" t="n">
        <v>45835.34184027778</v>
      </c>
      <c r="C709" s="1" t="n">
        <v>45995</v>
      </c>
      <c r="D709" t="inlineStr">
        <is>
          <t>UPPSALA LÄN</t>
        </is>
      </c>
      <c r="E709" t="inlineStr">
        <is>
          <t>ÖSTHAMMAR</t>
        </is>
      </c>
      <c r="F709" t="inlineStr">
        <is>
          <t>Övriga Aktiebolag</t>
        </is>
      </c>
      <c r="G709" t="n">
        <v>4.2</v>
      </c>
      <c r="H709" t="n">
        <v>0</v>
      </c>
      <c r="I709" t="n">
        <v>0</v>
      </c>
      <c r="J709" t="n">
        <v>0</v>
      </c>
      <c r="K709" t="n">
        <v>0</v>
      </c>
      <c r="L709" t="n">
        <v>0</v>
      </c>
      <c r="M709" t="n">
        <v>0</v>
      </c>
      <c r="N709" t="n">
        <v>0</v>
      </c>
      <c r="O709" t="n">
        <v>0</v>
      </c>
      <c r="P709" t="n">
        <v>0</v>
      </c>
      <c r="Q709" t="n">
        <v>0</v>
      </c>
      <c r="R709" s="2" t="inlineStr"/>
    </row>
    <row r="710" ht="15" customHeight="1">
      <c r="A710" t="inlineStr">
        <is>
          <t>A 17009-2021</t>
        </is>
      </c>
      <c r="B710" s="1" t="n">
        <v>44295.63969907408</v>
      </c>
      <c r="C710" s="1" t="n">
        <v>45995</v>
      </c>
      <c r="D710" t="inlineStr">
        <is>
          <t>UPPSALA LÄN</t>
        </is>
      </c>
      <c r="E710" t="inlineStr">
        <is>
          <t>ÖSTHAMMAR</t>
        </is>
      </c>
      <c r="F710" t="inlineStr">
        <is>
          <t>Bergvik skog öst AB</t>
        </is>
      </c>
      <c r="G710" t="n">
        <v>3.2</v>
      </c>
      <c r="H710" t="n">
        <v>0</v>
      </c>
      <c r="I710" t="n">
        <v>0</v>
      </c>
      <c r="J710" t="n">
        <v>0</v>
      </c>
      <c r="K710" t="n">
        <v>0</v>
      </c>
      <c r="L710" t="n">
        <v>0</v>
      </c>
      <c r="M710" t="n">
        <v>0</v>
      </c>
      <c r="N710" t="n">
        <v>0</v>
      </c>
      <c r="O710" t="n">
        <v>0</v>
      </c>
      <c r="P710" t="n">
        <v>0</v>
      </c>
      <c r="Q710" t="n">
        <v>0</v>
      </c>
      <c r="R710" s="2" t="inlineStr"/>
    </row>
    <row r="711" ht="15" customHeight="1">
      <c r="A711" t="inlineStr">
        <is>
          <t>A 13755-2023</t>
        </is>
      </c>
      <c r="B711" s="1" t="n">
        <v>45007</v>
      </c>
      <c r="C711" s="1" t="n">
        <v>45995</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33048-2025</t>
        </is>
      </c>
      <c r="B712" s="1" t="n">
        <v>45840.41451388889</v>
      </c>
      <c r="C712" s="1" t="n">
        <v>45995</v>
      </c>
      <c r="D712" t="inlineStr">
        <is>
          <t>UPPSALA LÄN</t>
        </is>
      </c>
      <c r="E712" t="inlineStr">
        <is>
          <t>ÖSTHAMMAR</t>
        </is>
      </c>
      <c r="G712" t="n">
        <v>1.8</v>
      </c>
      <c r="H712" t="n">
        <v>0</v>
      </c>
      <c r="I712" t="n">
        <v>0</v>
      </c>
      <c r="J712" t="n">
        <v>0</v>
      </c>
      <c r="K712" t="n">
        <v>0</v>
      </c>
      <c r="L712" t="n">
        <v>0</v>
      </c>
      <c r="M712" t="n">
        <v>0</v>
      </c>
      <c r="N712" t="n">
        <v>0</v>
      </c>
      <c r="O712" t="n">
        <v>0</v>
      </c>
      <c r="P712" t="n">
        <v>0</v>
      </c>
      <c r="Q712" t="n">
        <v>0</v>
      </c>
      <c r="R712" s="2" t="inlineStr"/>
    </row>
    <row r="713" ht="15" customHeight="1">
      <c r="A713" t="inlineStr">
        <is>
          <t>A 27476-2025</t>
        </is>
      </c>
      <c r="B713" s="1" t="n">
        <v>45813.37517361111</v>
      </c>
      <c r="C713" s="1" t="n">
        <v>45995</v>
      </c>
      <c r="D713" t="inlineStr">
        <is>
          <t>UPPSALA LÄN</t>
        </is>
      </c>
      <c r="E713" t="inlineStr">
        <is>
          <t>ÖSTHAMMAR</t>
        </is>
      </c>
      <c r="F713" t="inlineStr">
        <is>
          <t>Bergvik skog öst AB</t>
        </is>
      </c>
      <c r="G713" t="n">
        <v>1.3</v>
      </c>
      <c r="H713" t="n">
        <v>0</v>
      </c>
      <c r="I713" t="n">
        <v>0</v>
      </c>
      <c r="J713" t="n">
        <v>0</v>
      </c>
      <c r="K713" t="n">
        <v>0</v>
      </c>
      <c r="L713" t="n">
        <v>0</v>
      </c>
      <c r="M713" t="n">
        <v>0</v>
      </c>
      <c r="N713" t="n">
        <v>0</v>
      </c>
      <c r="O713" t="n">
        <v>0</v>
      </c>
      <c r="P713" t="n">
        <v>0</v>
      </c>
      <c r="Q713" t="n">
        <v>0</v>
      </c>
      <c r="R713" s="2" t="inlineStr"/>
    </row>
    <row r="714" ht="15" customHeight="1">
      <c r="A714" t="inlineStr">
        <is>
          <t>A 64774-2023</t>
        </is>
      </c>
      <c r="B714" s="1" t="n">
        <v>45282</v>
      </c>
      <c r="C714" s="1" t="n">
        <v>45995</v>
      </c>
      <c r="D714" t="inlineStr">
        <is>
          <t>UPPSALA LÄN</t>
        </is>
      </c>
      <c r="E714" t="inlineStr">
        <is>
          <t>ÖSTHAMMAR</t>
        </is>
      </c>
      <c r="F714" t="inlineStr">
        <is>
          <t>Övriga Aktiebolag</t>
        </is>
      </c>
      <c r="G714" t="n">
        <v>3.7</v>
      </c>
      <c r="H714" t="n">
        <v>0</v>
      </c>
      <c r="I714" t="n">
        <v>0</v>
      </c>
      <c r="J714" t="n">
        <v>0</v>
      </c>
      <c r="K714" t="n">
        <v>0</v>
      </c>
      <c r="L714" t="n">
        <v>0</v>
      </c>
      <c r="M714" t="n">
        <v>0</v>
      </c>
      <c r="N714" t="n">
        <v>0</v>
      </c>
      <c r="O714" t="n">
        <v>0</v>
      </c>
      <c r="P714" t="n">
        <v>0</v>
      </c>
      <c r="Q714" t="n">
        <v>0</v>
      </c>
      <c r="R714" s="2" t="inlineStr"/>
    </row>
    <row r="715" ht="15" customHeight="1">
      <c r="A715" t="inlineStr">
        <is>
          <t>A 65020-2021</t>
        </is>
      </c>
      <c r="B715" s="1" t="n">
        <v>44515</v>
      </c>
      <c r="C715" s="1" t="n">
        <v>45995</v>
      </c>
      <c r="D715" t="inlineStr">
        <is>
          <t>UPPSALA LÄN</t>
        </is>
      </c>
      <c r="E715" t="inlineStr">
        <is>
          <t>ÖSTHAMMAR</t>
        </is>
      </c>
      <c r="F715" t="inlineStr">
        <is>
          <t>Sveaskog</t>
        </is>
      </c>
      <c r="G715" t="n">
        <v>4.7</v>
      </c>
      <c r="H715" t="n">
        <v>0</v>
      </c>
      <c r="I715" t="n">
        <v>0</v>
      </c>
      <c r="J715" t="n">
        <v>0</v>
      </c>
      <c r="K715" t="n">
        <v>0</v>
      </c>
      <c r="L715" t="n">
        <v>0</v>
      </c>
      <c r="M715" t="n">
        <v>0</v>
      </c>
      <c r="N715" t="n">
        <v>0</v>
      </c>
      <c r="O715" t="n">
        <v>0</v>
      </c>
      <c r="P715" t="n">
        <v>0</v>
      </c>
      <c r="Q715" t="n">
        <v>0</v>
      </c>
      <c r="R715" s="2" t="inlineStr"/>
    </row>
    <row r="716" ht="15" customHeight="1">
      <c r="A716" t="inlineStr">
        <is>
          <t>A 33271-2025</t>
        </is>
      </c>
      <c r="B716" s="1" t="n">
        <v>45840.68381944444</v>
      </c>
      <c r="C716" s="1" t="n">
        <v>45995</v>
      </c>
      <c r="D716" t="inlineStr">
        <is>
          <t>UPPSALA LÄN</t>
        </is>
      </c>
      <c r="E716" t="inlineStr">
        <is>
          <t>ÖSTHAMMAR</t>
        </is>
      </c>
      <c r="G716" t="n">
        <v>1.3</v>
      </c>
      <c r="H716" t="n">
        <v>0</v>
      </c>
      <c r="I716" t="n">
        <v>0</v>
      </c>
      <c r="J716" t="n">
        <v>0</v>
      </c>
      <c r="K716" t="n">
        <v>0</v>
      </c>
      <c r="L716" t="n">
        <v>0</v>
      </c>
      <c r="M716" t="n">
        <v>0</v>
      </c>
      <c r="N716" t="n">
        <v>0</v>
      </c>
      <c r="O716" t="n">
        <v>0</v>
      </c>
      <c r="P716" t="n">
        <v>0</v>
      </c>
      <c r="Q716" t="n">
        <v>0</v>
      </c>
      <c r="R716" s="2" t="inlineStr"/>
    </row>
    <row r="717" ht="15" customHeight="1">
      <c r="A717" t="inlineStr">
        <is>
          <t>A 32718-2025</t>
        </is>
      </c>
      <c r="B717" s="1" t="n">
        <v>45839.37740740741</v>
      </c>
      <c r="C717" s="1" t="n">
        <v>45995</v>
      </c>
      <c r="D717" t="inlineStr">
        <is>
          <t>UPPSALA LÄN</t>
        </is>
      </c>
      <c r="E717" t="inlineStr">
        <is>
          <t>ÖSTHAMMAR</t>
        </is>
      </c>
      <c r="G717" t="n">
        <v>10.4</v>
      </c>
      <c r="H717" t="n">
        <v>0</v>
      </c>
      <c r="I717" t="n">
        <v>0</v>
      </c>
      <c r="J717" t="n">
        <v>0</v>
      </c>
      <c r="K717" t="n">
        <v>0</v>
      </c>
      <c r="L717" t="n">
        <v>0</v>
      </c>
      <c r="M717" t="n">
        <v>0</v>
      </c>
      <c r="N717" t="n">
        <v>0</v>
      </c>
      <c r="O717" t="n">
        <v>0</v>
      </c>
      <c r="P717" t="n">
        <v>0</v>
      </c>
      <c r="Q717" t="n">
        <v>0</v>
      </c>
      <c r="R717" s="2" t="inlineStr"/>
    </row>
    <row r="718" ht="15" customHeight="1">
      <c r="A718" t="inlineStr">
        <is>
          <t>A 2085-2022</t>
        </is>
      </c>
      <c r="B718" s="1" t="n">
        <v>44576.78626157407</v>
      </c>
      <c r="C718" s="1" t="n">
        <v>45995</v>
      </c>
      <c r="D718" t="inlineStr">
        <is>
          <t>UPPSALA LÄN</t>
        </is>
      </c>
      <c r="E718" t="inlineStr">
        <is>
          <t>ÖSTHAMMAR</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14671-2022</t>
        </is>
      </c>
      <c r="B719" s="1" t="n">
        <v>44655.80475694445</v>
      </c>
      <c r="C719" s="1" t="n">
        <v>45995</v>
      </c>
      <c r="D719" t="inlineStr">
        <is>
          <t>UPPSALA LÄN</t>
        </is>
      </c>
      <c r="E719" t="inlineStr">
        <is>
          <t>ÖSTHAMMAR</t>
        </is>
      </c>
      <c r="G719" t="n">
        <v>1.9</v>
      </c>
      <c r="H719" t="n">
        <v>0</v>
      </c>
      <c r="I719" t="n">
        <v>0</v>
      </c>
      <c r="J719" t="n">
        <v>0</v>
      </c>
      <c r="K719" t="n">
        <v>0</v>
      </c>
      <c r="L719" t="n">
        <v>0</v>
      </c>
      <c r="M719" t="n">
        <v>0</v>
      </c>
      <c r="N719" t="n">
        <v>0</v>
      </c>
      <c r="O719" t="n">
        <v>0</v>
      </c>
      <c r="P719" t="n">
        <v>0</v>
      </c>
      <c r="Q719" t="n">
        <v>0</v>
      </c>
      <c r="R719" s="2" t="inlineStr"/>
    </row>
    <row r="720" ht="15" customHeight="1">
      <c r="A720" t="inlineStr">
        <is>
          <t>A 33529-2025</t>
        </is>
      </c>
      <c r="B720" s="1" t="n">
        <v>45841.55199074074</v>
      </c>
      <c r="C720" s="1" t="n">
        <v>45995</v>
      </c>
      <c r="D720" t="inlineStr">
        <is>
          <t>UPPSALA LÄN</t>
        </is>
      </c>
      <c r="E720" t="inlineStr">
        <is>
          <t>ÖSTHAMMAR</t>
        </is>
      </c>
      <c r="F720" t="inlineStr">
        <is>
          <t>Bergvik skog öst AB</t>
        </is>
      </c>
      <c r="G720" t="n">
        <v>11.8</v>
      </c>
      <c r="H720" t="n">
        <v>0</v>
      </c>
      <c r="I720" t="n">
        <v>0</v>
      </c>
      <c r="J720" t="n">
        <v>0</v>
      </c>
      <c r="K720" t="n">
        <v>0</v>
      </c>
      <c r="L720" t="n">
        <v>0</v>
      </c>
      <c r="M720" t="n">
        <v>0</v>
      </c>
      <c r="N720" t="n">
        <v>0</v>
      </c>
      <c r="O720" t="n">
        <v>0</v>
      </c>
      <c r="P720" t="n">
        <v>0</v>
      </c>
      <c r="Q720" t="n">
        <v>0</v>
      </c>
      <c r="R720" s="2" t="inlineStr"/>
    </row>
    <row r="721" ht="15" customHeight="1">
      <c r="A721" t="inlineStr">
        <is>
          <t>A 12215-2023</t>
        </is>
      </c>
      <c r="B721" s="1" t="n">
        <v>44998</v>
      </c>
      <c r="C721" s="1" t="n">
        <v>45995</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41996-2024</t>
        </is>
      </c>
      <c r="B722" s="1" t="n">
        <v>45561</v>
      </c>
      <c r="C722" s="1" t="n">
        <v>45995</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15449-2022</t>
        </is>
      </c>
      <c r="B723" s="1" t="n">
        <v>44660.91659722223</v>
      </c>
      <c r="C723" s="1" t="n">
        <v>45995</v>
      </c>
      <c r="D723" t="inlineStr">
        <is>
          <t>UPPSALA LÄN</t>
        </is>
      </c>
      <c r="E723" t="inlineStr">
        <is>
          <t>ÖSTHAMMAR</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1439-2025</t>
        </is>
      </c>
      <c r="B724" s="1" t="n">
        <v>45669.69075231482</v>
      </c>
      <c r="C724" s="1" t="n">
        <v>45995</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5884-2023</t>
        </is>
      </c>
      <c r="B725" s="1" t="n">
        <v>44963</v>
      </c>
      <c r="C725" s="1" t="n">
        <v>45995</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5215-2025</t>
        </is>
      </c>
      <c r="B726" s="1" t="n">
        <v>45691</v>
      </c>
      <c r="C726" s="1" t="n">
        <v>45995</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65028-2021</t>
        </is>
      </c>
      <c r="B727" s="1" t="n">
        <v>44515</v>
      </c>
      <c r="C727" s="1" t="n">
        <v>45995</v>
      </c>
      <c r="D727" t="inlineStr">
        <is>
          <t>UPPSALA LÄN</t>
        </is>
      </c>
      <c r="E727" t="inlineStr">
        <is>
          <t>ÖSTHAMMAR</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33973-2025</t>
        </is>
      </c>
      <c r="B728" s="1" t="n">
        <v>45842.98429398148</v>
      </c>
      <c r="C728" s="1" t="n">
        <v>45995</v>
      </c>
      <c r="D728" t="inlineStr">
        <is>
          <t>UPPSALA LÄN</t>
        </is>
      </c>
      <c r="E728" t="inlineStr">
        <is>
          <t>ÖSTHAMMAR</t>
        </is>
      </c>
      <c r="G728" t="n">
        <v>1.9</v>
      </c>
      <c r="H728" t="n">
        <v>0</v>
      </c>
      <c r="I728" t="n">
        <v>0</v>
      </c>
      <c r="J728" t="n">
        <v>0</v>
      </c>
      <c r="K728" t="n">
        <v>0</v>
      </c>
      <c r="L728" t="n">
        <v>0</v>
      </c>
      <c r="M728" t="n">
        <v>0</v>
      </c>
      <c r="N728" t="n">
        <v>0</v>
      </c>
      <c r="O728" t="n">
        <v>0</v>
      </c>
      <c r="P728" t="n">
        <v>0</v>
      </c>
      <c r="Q728" t="n">
        <v>0</v>
      </c>
      <c r="R728" s="2" t="inlineStr"/>
    </row>
    <row r="729" ht="15" customHeight="1">
      <c r="A729" t="inlineStr">
        <is>
          <t>A 1525-2025</t>
        </is>
      </c>
      <c r="B729" s="1" t="n">
        <v>45670.47300925926</v>
      </c>
      <c r="C729" s="1" t="n">
        <v>45995</v>
      </c>
      <c r="D729" t="inlineStr">
        <is>
          <t>UPPSALA LÄN</t>
        </is>
      </c>
      <c r="E729" t="inlineStr">
        <is>
          <t>ÖSTHAMMAR</t>
        </is>
      </c>
      <c r="F729" t="inlineStr">
        <is>
          <t>Bergvik skog öst AB</t>
        </is>
      </c>
      <c r="G729" t="n">
        <v>2</v>
      </c>
      <c r="H729" t="n">
        <v>0</v>
      </c>
      <c r="I729" t="n">
        <v>0</v>
      </c>
      <c r="J729" t="n">
        <v>0</v>
      </c>
      <c r="K729" t="n">
        <v>0</v>
      </c>
      <c r="L729" t="n">
        <v>0</v>
      </c>
      <c r="M729" t="n">
        <v>0</v>
      </c>
      <c r="N729" t="n">
        <v>0</v>
      </c>
      <c r="O729" t="n">
        <v>0</v>
      </c>
      <c r="P729" t="n">
        <v>0</v>
      </c>
      <c r="Q729" t="n">
        <v>0</v>
      </c>
      <c r="R729" s="2" t="inlineStr"/>
    </row>
    <row r="730" ht="15" customHeight="1">
      <c r="A730" t="inlineStr">
        <is>
          <t>A 33972-2025</t>
        </is>
      </c>
      <c r="B730" s="1" t="n">
        <v>45842.97236111111</v>
      </c>
      <c r="C730" s="1" t="n">
        <v>45995</v>
      </c>
      <c r="D730" t="inlineStr">
        <is>
          <t>UPPSALA LÄN</t>
        </is>
      </c>
      <c r="E730" t="inlineStr">
        <is>
          <t>ÖSTHAMMAR</t>
        </is>
      </c>
      <c r="G730" t="n">
        <v>0.8</v>
      </c>
      <c r="H730" t="n">
        <v>0</v>
      </c>
      <c r="I730" t="n">
        <v>0</v>
      </c>
      <c r="J730" t="n">
        <v>0</v>
      </c>
      <c r="K730" t="n">
        <v>0</v>
      </c>
      <c r="L730" t="n">
        <v>0</v>
      </c>
      <c r="M730" t="n">
        <v>0</v>
      </c>
      <c r="N730" t="n">
        <v>0</v>
      </c>
      <c r="O730" t="n">
        <v>0</v>
      </c>
      <c r="P730" t="n">
        <v>0</v>
      </c>
      <c r="Q730" t="n">
        <v>0</v>
      </c>
      <c r="R730" s="2" t="inlineStr"/>
    </row>
    <row r="731" ht="15" customHeight="1">
      <c r="A731" t="inlineStr">
        <is>
          <t>A 26395-2025</t>
        </is>
      </c>
      <c r="B731" s="1" t="n">
        <v>45807</v>
      </c>
      <c r="C731" s="1" t="n">
        <v>45995</v>
      </c>
      <c r="D731" t="inlineStr">
        <is>
          <t>UPPSALA LÄN</t>
        </is>
      </c>
      <c r="E731" t="inlineStr">
        <is>
          <t>ÖSTHAMMAR</t>
        </is>
      </c>
      <c r="G731" t="n">
        <v>7</v>
      </c>
      <c r="H731" t="n">
        <v>0</v>
      </c>
      <c r="I731" t="n">
        <v>0</v>
      </c>
      <c r="J731" t="n">
        <v>0</v>
      </c>
      <c r="K731" t="n">
        <v>0</v>
      </c>
      <c r="L731" t="n">
        <v>0</v>
      </c>
      <c r="M731" t="n">
        <v>0</v>
      </c>
      <c r="N731" t="n">
        <v>0</v>
      </c>
      <c r="O731" t="n">
        <v>0</v>
      </c>
      <c r="P731" t="n">
        <v>0</v>
      </c>
      <c r="Q731" t="n">
        <v>0</v>
      </c>
      <c r="R731" s="2" t="inlineStr"/>
    </row>
    <row r="732" ht="15" customHeight="1">
      <c r="A732" t="inlineStr">
        <is>
          <t>A 61257-2022</t>
        </is>
      </c>
      <c r="B732" s="1" t="n">
        <v>44915.59418981482</v>
      </c>
      <c r="C732" s="1" t="n">
        <v>45995</v>
      </c>
      <c r="D732" t="inlineStr">
        <is>
          <t>UPPSALA LÄN</t>
        </is>
      </c>
      <c r="E732" t="inlineStr">
        <is>
          <t>ÖSTHAMMAR</t>
        </is>
      </c>
      <c r="G732" t="n">
        <v>1</v>
      </c>
      <c r="H732" t="n">
        <v>0</v>
      </c>
      <c r="I732" t="n">
        <v>0</v>
      </c>
      <c r="J732" t="n">
        <v>0</v>
      </c>
      <c r="K732" t="n">
        <v>0</v>
      </c>
      <c r="L732" t="n">
        <v>0</v>
      </c>
      <c r="M732" t="n">
        <v>0</v>
      </c>
      <c r="N732" t="n">
        <v>0</v>
      </c>
      <c r="O732" t="n">
        <v>0</v>
      </c>
      <c r="P732" t="n">
        <v>0</v>
      </c>
      <c r="Q732" t="n">
        <v>0</v>
      </c>
      <c r="R732" s="2" t="inlineStr"/>
    </row>
    <row r="733" ht="15" customHeight="1">
      <c r="A733" t="inlineStr">
        <is>
          <t>A 36857-2023</t>
        </is>
      </c>
      <c r="B733" s="1" t="n">
        <v>45154.55175925926</v>
      </c>
      <c r="C733" s="1" t="n">
        <v>45995</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6206-2022</t>
        </is>
      </c>
      <c r="B734" s="1" t="n">
        <v>44600.35755787037</v>
      </c>
      <c r="C734" s="1" t="n">
        <v>45995</v>
      </c>
      <c r="D734" t="inlineStr">
        <is>
          <t>UPPSALA LÄN</t>
        </is>
      </c>
      <c r="E734" t="inlineStr">
        <is>
          <t>ÖSTHAMMAR</t>
        </is>
      </c>
      <c r="G734" t="n">
        <v>7.4</v>
      </c>
      <c r="H734" t="n">
        <v>0</v>
      </c>
      <c r="I734" t="n">
        <v>0</v>
      </c>
      <c r="J734" t="n">
        <v>0</v>
      </c>
      <c r="K734" t="n">
        <v>0</v>
      </c>
      <c r="L734" t="n">
        <v>0</v>
      </c>
      <c r="M734" t="n">
        <v>0</v>
      </c>
      <c r="N734" t="n">
        <v>0</v>
      </c>
      <c r="O734" t="n">
        <v>0</v>
      </c>
      <c r="P734" t="n">
        <v>0</v>
      </c>
      <c r="Q734" t="n">
        <v>0</v>
      </c>
      <c r="R734" s="2" t="inlineStr"/>
    </row>
    <row r="735" ht="15" customHeight="1">
      <c r="A735" t="inlineStr">
        <is>
          <t>A 6143-2022</t>
        </is>
      </c>
      <c r="B735" s="1" t="n">
        <v>44599.72306712963</v>
      </c>
      <c r="C735" s="1" t="n">
        <v>45995</v>
      </c>
      <c r="D735" t="inlineStr">
        <is>
          <t>UPPSALA LÄN</t>
        </is>
      </c>
      <c r="E735" t="inlineStr">
        <is>
          <t>ÖSTHAMMAR</t>
        </is>
      </c>
      <c r="G735" t="n">
        <v>3.4</v>
      </c>
      <c r="H735" t="n">
        <v>0</v>
      </c>
      <c r="I735" t="n">
        <v>0</v>
      </c>
      <c r="J735" t="n">
        <v>0</v>
      </c>
      <c r="K735" t="n">
        <v>0</v>
      </c>
      <c r="L735" t="n">
        <v>0</v>
      </c>
      <c r="M735" t="n">
        <v>0</v>
      </c>
      <c r="N735" t="n">
        <v>0</v>
      </c>
      <c r="O735" t="n">
        <v>0</v>
      </c>
      <c r="P735" t="n">
        <v>0</v>
      </c>
      <c r="Q735" t="n">
        <v>0</v>
      </c>
      <c r="R735" s="2" t="inlineStr"/>
    </row>
    <row r="736" ht="15" customHeight="1">
      <c r="A736" t="inlineStr">
        <is>
          <t>A 3514-2023</t>
        </is>
      </c>
      <c r="B736" s="1" t="n">
        <v>44950</v>
      </c>
      <c r="C736" s="1" t="n">
        <v>45995</v>
      </c>
      <c r="D736" t="inlineStr">
        <is>
          <t>UPPSALA LÄN</t>
        </is>
      </c>
      <c r="E736" t="inlineStr">
        <is>
          <t>ÖSTHAMMAR</t>
        </is>
      </c>
      <c r="F736" t="inlineStr">
        <is>
          <t>Övriga Aktiebolag</t>
        </is>
      </c>
      <c r="G736" t="n">
        <v>1.9</v>
      </c>
      <c r="H736" t="n">
        <v>0</v>
      </c>
      <c r="I736" t="n">
        <v>0</v>
      </c>
      <c r="J736" t="n">
        <v>0</v>
      </c>
      <c r="K736" t="n">
        <v>0</v>
      </c>
      <c r="L736" t="n">
        <v>0</v>
      </c>
      <c r="M736" t="n">
        <v>0</v>
      </c>
      <c r="N736" t="n">
        <v>0</v>
      </c>
      <c r="O736" t="n">
        <v>0</v>
      </c>
      <c r="P736" t="n">
        <v>0</v>
      </c>
      <c r="Q736" t="n">
        <v>0</v>
      </c>
      <c r="R736" s="2" t="inlineStr"/>
    </row>
    <row r="737" ht="15" customHeight="1">
      <c r="A737" t="inlineStr">
        <is>
          <t>A 45561-2023</t>
        </is>
      </c>
      <c r="B737" s="1" t="n">
        <v>45194.59335648148</v>
      </c>
      <c r="C737" s="1" t="n">
        <v>45995</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10117-2025</t>
        </is>
      </c>
      <c r="B738" s="1" t="n">
        <v>45719.59866898148</v>
      </c>
      <c r="C738" s="1" t="n">
        <v>45995</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25859-2024</t>
        </is>
      </c>
      <c r="B739" s="1" t="n">
        <v>45467</v>
      </c>
      <c r="C739" s="1" t="n">
        <v>45995</v>
      </c>
      <c r="D739" t="inlineStr">
        <is>
          <t>UPPSALA LÄN</t>
        </is>
      </c>
      <c r="E739" t="inlineStr">
        <is>
          <t>ÖSTHAMMAR</t>
        </is>
      </c>
      <c r="G739" t="n">
        <v>7.9</v>
      </c>
      <c r="H739" t="n">
        <v>0</v>
      </c>
      <c r="I739" t="n">
        <v>0</v>
      </c>
      <c r="J739" t="n">
        <v>0</v>
      </c>
      <c r="K739" t="n">
        <v>0</v>
      </c>
      <c r="L739" t="n">
        <v>0</v>
      </c>
      <c r="M739" t="n">
        <v>0</v>
      </c>
      <c r="N739" t="n">
        <v>0</v>
      </c>
      <c r="O739" t="n">
        <v>0</v>
      </c>
      <c r="P739" t="n">
        <v>0</v>
      </c>
      <c r="Q739" t="n">
        <v>0</v>
      </c>
      <c r="R739" s="2" t="inlineStr"/>
    </row>
    <row r="740" ht="15" customHeight="1">
      <c r="A740" t="inlineStr">
        <is>
          <t>A 43439-2024</t>
        </is>
      </c>
      <c r="B740" s="1" t="n">
        <v>45568</v>
      </c>
      <c r="C740" s="1" t="n">
        <v>45995</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19640-2025</t>
        </is>
      </c>
      <c r="B741" s="1" t="n">
        <v>45770.65739583333</v>
      </c>
      <c r="C741" s="1" t="n">
        <v>45995</v>
      </c>
      <c r="D741" t="inlineStr">
        <is>
          <t>UPPSALA LÄN</t>
        </is>
      </c>
      <c r="E741" t="inlineStr">
        <is>
          <t>ÖSTHAMMAR</t>
        </is>
      </c>
      <c r="F741" t="inlineStr">
        <is>
          <t>Övriga Aktiebolag</t>
        </is>
      </c>
      <c r="G741" t="n">
        <v>1.7</v>
      </c>
      <c r="H741" t="n">
        <v>0</v>
      </c>
      <c r="I741" t="n">
        <v>0</v>
      </c>
      <c r="J741" t="n">
        <v>0</v>
      </c>
      <c r="K741" t="n">
        <v>0</v>
      </c>
      <c r="L741" t="n">
        <v>0</v>
      </c>
      <c r="M741" t="n">
        <v>0</v>
      </c>
      <c r="N741" t="n">
        <v>0</v>
      </c>
      <c r="O741" t="n">
        <v>0</v>
      </c>
      <c r="P741" t="n">
        <v>0</v>
      </c>
      <c r="Q741" t="n">
        <v>0</v>
      </c>
      <c r="R741" s="2" t="inlineStr"/>
    </row>
    <row r="742" ht="15" customHeight="1">
      <c r="A742" t="inlineStr">
        <is>
          <t>A 59880-2022</t>
        </is>
      </c>
      <c r="B742" s="1" t="n">
        <v>44908.69575231482</v>
      </c>
      <c r="C742" s="1" t="n">
        <v>45995</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4562-2022</t>
        </is>
      </c>
      <c r="B743" s="1" t="n">
        <v>44591</v>
      </c>
      <c r="C743" s="1" t="n">
        <v>45995</v>
      </c>
      <c r="D743" t="inlineStr">
        <is>
          <t>UPPSALA LÄN</t>
        </is>
      </c>
      <c r="E743" t="inlineStr">
        <is>
          <t>ÖSTHAMMAR</t>
        </is>
      </c>
      <c r="G743" t="n">
        <v>3.4</v>
      </c>
      <c r="H743" t="n">
        <v>0</v>
      </c>
      <c r="I743" t="n">
        <v>0</v>
      </c>
      <c r="J743" t="n">
        <v>0</v>
      </c>
      <c r="K743" t="n">
        <v>0</v>
      </c>
      <c r="L743" t="n">
        <v>0</v>
      </c>
      <c r="M743" t="n">
        <v>0</v>
      </c>
      <c r="N743" t="n">
        <v>0</v>
      </c>
      <c r="O743" t="n">
        <v>0</v>
      </c>
      <c r="P743" t="n">
        <v>0</v>
      </c>
      <c r="Q743" t="n">
        <v>0</v>
      </c>
      <c r="R743" s="2" t="inlineStr"/>
    </row>
    <row r="744" ht="15" customHeight="1">
      <c r="A744" t="inlineStr">
        <is>
          <t>A 17929-2025</t>
        </is>
      </c>
      <c r="B744" s="1" t="n">
        <v>45759.56462962963</v>
      </c>
      <c r="C744" s="1" t="n">
        <v>45995</v>
      </c>
      <c r="D744" t="inlineStr">
        <is>
          <t>UPPSALA LÄN</t>
        </is>
      </c>
      <c r="E744" t="inlineStr">
        <is>
          <t>ÖSTHAMMAR</t>
        </is>
      </c>
      <c r="G744" t="n">
        <v>3.4</v>
      </c>
      <c r="H744" t="n">
        <v>0</v>
      </c>
      <c r="I744" t="n">
        <v>0</v>
      </c>
      <c r="J744" t="n">
        <v>0</v>
      </c>
      <c r="K744" t="n">
        <v>0</v>
      </c>
      <c r="L744" t="n">
        <v>0</v>
      </c>
      <c r="M744" t="n">
        <v>0</v>
      </c>
      <c r="N744" t="n">
        <v>0</v>
      </c>
      <c r="O744" t="n">
        <v>0</v>
      </c>
      <c r="P744" t="n">
        <v>0</v>
      </c>
      <c r="Q744" t="n">
        <v>0</v>
      </c>
      <c r="R744" s="2" t="inlineStr"/>
    </row>
    <row r="745" ht="15" customHeight="1">
      <c r="A745" t="inlineStr">
        <is>
          <t>A 36092-2025</t>
        </is>
      </c>
      <c r="B745" s="1" t="n">
        <v>45866.48244212963</v>
      </c>
      <c r="C745" s="1" t="n">
        <v>45995</v>
      </c>
      <c r="D745" t="inlineStr">
        <is>
          <t>UPPSALA LÄN</t>
        </is>
      </c>
      <c r="E745" t="inlineStr">
        <is>
          <t>ÖSTHAMMAR</t>
        </is>
      </c>
      <c r="G745" t="n">
        <v>1.2</v>
      </c>
      <c r="H745" t="n">
        <v>0</v>
      </c>
      <c r="I745" t="n">
        <v>0</v>
      </c>
      <c r="J745" t="n">
        <v>0</v>
      </c>
      <c r="K745" t="n">
        <v>0</v>
      </c>
      <c r="L745" t="n">
        <v>0</v>
      </c>
      <c r="M745" t="n">
        <v>0</v>
      </c>
      <c r="N745" t="n">
        <v>0</v>
      </c>
      <c r="O745" t="n">
        <v>0</v>
      </c>
      <c r="P745" t="n">
        <v>0</v>
      </c>
      <c r="Q745" t="n">
        <v>0</v>
      </c>
      <c r="R745" s="2" t="inlineStr"/>
    </row>
    <row r="746" ht="15" customHeight="1">
      <c r="A746" t="inlineStr">
        <is>
          <t>A 36451-2025</t>
        </is>
      </c>
      <c r="B746" s="1" t="n">
        <v>45869.4290625</v>
      </c>
      <c r="C746" s="1" t="n">
        <v>45995</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36646-2025</t>
        </is>
      </c>
      <c r="B747" s="1" t="n">
        <v>45872</v>
      </c>
      <c r="C747" s="1" t="n">
        <v>45995</v>
      </c>
      <c r="D747" t="inlineStr">
        <is>
          <t>UPPSALA LÄN</t>
        </is>
      </c>
      <c r="E747" t="inlineStr">
        <is>
          <t>ÖSTHAMMAR</t>
        </is>
      </c>
      <c r="F747" t="inlineStr">
        <is>
          <t>Bergvik skog öst AB</t>
        </is>
      </c>
      <c r="G747" t="n">
        <v>0.7</v>
      </c>
      <c r="H747" t="n">
        <v>0</v>
      </c>
      <c r="I747" t="n">
        <v>0</v>
      </c>
      <c r="J747" t="n">
        <v>0</v>
      </c>
      <c r="K747" t="n">
        <v>0</v>
      </c>
      <c r="L747" t="n">
        <v>0</v>
      </c>
      <c r="M747" t="n">
        <v>0</v>
      </c>
      <c r="N747" t="n">
        <v>0</v>
      </c>
      <c r="O747" t="n">
        <v>0</v>
      </c>
      <c r="P747" t="n">
        <v>0</v>
      </c>
      <c r="Q747" t="n">
        <v>0</v>
      </c>
      <c r="R747" s="2" t="inlineStr"/>
    </row>
    <row r="748" ht="15" customHeight="1">
      <c r="A748" t="inlineStr">
        <is>
          <t>A 36643-2025</t>
        </is>
      </c>
      <c r="B748" s="1" t="n">
        <v>45872.47782407407</v>
      </c>
      <c r="C748" s="1" t="n">
        <v>45995</v>
      </c>
      <c r="D748" t="inlineStr">
        <is>
          <t>UPPSALA LÄN</t>
        </is>
      </c>
      <c r="E748" t="inlineStr">
        <is>
          <t>ÖSTHAMMAR</t>
        </is>
      </c>
      <c r="F748" t="inlineStr">
        <is>
          <t>Bergvik skog öst AB</t>
        </is>
      </c>
      <c r="G748" t="n">
        <v>15.1</v>
      </c>
      <c r="H748" t="n">
        <v>0</v>
      </c>
      <c r="I748" t="n">
        <v>0</v>
      </c>
      <c r="J748" t="n">
        <v>0</v>
      </c>
      <c r="K748" t="n">
        <v>0</v>
      </c>
      <c r="L748" t="n">
        <v>0</v>
      </c>
      <c r="M748" t="n">
        <v>0</v>
      </c>
      <c r="N748" t="n">
        <v>0</v>
      </c>
      <c r="O748" t="n">
        <v>0</v>
      </c>
      <c r="P748" t="n">
        <v>0</v>
      </c>
      <c r="Q748" t="n">
        <v>0</v>
      </c>
      <c r="R748" s="2" t="inlineStr"/>
    </row>
    <row r="749" ht="15" customHeight="1">
      <c r="A749" t="inlineStr">
        <is>
          <t>A 36645-2025</t>
        </is>
      </c>
      <c r="B749" s="1" t="n">
        <v>45872</v>
      </c>
      <c r="C749" s="1" t="n">
        <v>45995</v>
      </c>
      <c r="D749" t="inlineStr">
        <is>
          <t>UPPSALA LÄN</t>
        </is>
      </c>
      <c r="E749" t="inlineStr">
        <is>
          <t>ÖSTHAMMAR</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36644-2025</t>
        </is>
      </c>
      <c r="B750" s="1" t="n">
        <v>45872.48738425926</v>
      </c>
      <c r="C750" s="1" t="n">
        <v>45995</v>
      </c>
      <c r="D750" t="inlineStr">
        <is>
          <t>UPPSALA LÄN</t>
        </is>
      </c>
      <c r="E750" t="inlineStr">
        <is>
          <t>ÖSTHAMMAR</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37656-2025</t>
        </is>
      </c>
      <c r="B751" s="1" t="n">
        <v>45880</v>
      </c>
      <c r="C751" s="1" t="n">
        <v>45995</v>
      </c>
      <c r="D751" t="inlineStr">
        <is>
          <t>UPPSALA LÄN</t>
        </is>
      </c>
      <c r="E751" t="inlineStr">
        <is>
          <t>ÖSTHAMMAR</t>
        </is>
      </c>
      <c r="G751" t="n">
        <v>4.3</v>
      </c>
      <c r="H751" t="n">
        <v>0</v>
      </c>
      <c r="I751" t="n">
        <v>0</v>
      </c>
      <c r="J751" t="n">
        <v>0</v>
      </c>
      <c r="K751" t="n">
        <v>0</v>
      </c>
      <c r="L751" t="n">
        <v>0</v>
      </c>
      <c r="M751" t="n">
        <v>0</v>
      </c>
      <c r="N751" t="n">
        <v>0</v>
      </c>
      <c r="O751" t="n">
        <v>0</v>
      </c>
      <c r="P751" t="n">
        <v>0</v>
      </c>
      <c r="Q751" t="n">
        <v>0</v>
      </c>
      <c r="R751" s="2" t="inlineStr"/>
    </row>
    <row r="752" ht="15" customHeight="1">
      <c r="A752" t="inlineStr">
        <is>
          <t>A 37764-2025</t>
        </is>
      </c>
      <c r="B752" s="1" t="n">
        <v>45880.70917824074</v>
      </c>
      <c r="C752" s="1" t="n">
        <v>45995</v>
      </c>
      <c r="D752" t="inlineStr">
        <is>
          <t>UPPSALA LÄN</t>
        </is>
      </c>
      <c r="E752" t="inlineStr">
        <is>
          <t>ÖSTHAMMAR</t>
        </is>
      </c>
      <c r="G752" t="n">
        <v>4.6</v>
      </c>
      <c r="H752" t="n">
        <v>0</v>
      </c>
      <c r="I752" t="n">
        <v>0</v>
      </c>
      <c r="J752" t="n">
        <v>0</v>
      </c>
      <c r="K752" t="n">
        <v>0</v>
      </c>
      <c r="L752" t="n">
        <v>0</v>
      </c>
      <c r="M752" t="n">
        <v>0</v>
      </c>
      <c r="N752" t="n">
        <v>0</v>
      </c>
      <c r="O752" t="n">
        <v>0</v>
      </c>
      <c r="P752" t="n">
        <v>0</v>
      </c>
      <c r="Q752" t="n">
        <v>0</v>
      </c>
      <c r="R752" s="2" t="inlineStr"/>
    </row>
    <row r="753" ht="15" customHeight="1">
      <c r="A753" t="inlineStr">
        <is>
          <t>A 5189-2025</t>
        </is>
      </c>
      <c r="B753" s="1" t="n">
        <v>45691</v>
      </c>
      <c r="C753" s="1" t="n">
        <v>45995</v>
      </c>
      <c r="D753" t="inlineStr">
        <is>
          <t>UPPSALA LÄN</t>
        </is>
      </c>
      <c r="E753" t="inlineStr">
        <is>
          <t>ÖSTHAMMAR</t>
        </is>
      </c>
      <c r="F753" t="inlineStr">
        <is>
          <t>Bergvik skog öst AB</t>
        </is>
      </c>
      <c r="G753" t="n">
        <v>24.4</v>
      </c>
      <c r="H753" t="n">
        <v>0</v>
      </c>
      <c r="I753" t="n">
        <v>0</v>
      </c>
      <c r="J753" t="n">
        <v>0</v>
      </c>
      <c r="K753" t="n">
        <v>0</v>
      </c>
      <c r="L753" t="n">
        <v>0</v>
      </c>
      <c r="M753" t="n">
        <v>0</v>
      </c>
      <c r="N753" t="n">
        <v>0</v>
      </c>
      <c r="O753" t="n">
        <v>0</v>
      </c>
      <c r="P753" t="n">
        <v>0</v>
      </c>
      <c r="Q753" t="n">
        <v>0</v>
      </c>
      <c r="R753" s="2" t="inlineStr"/>
    </row>
    <row r="754" ht="15" customHeight="1">
      <c r="A754" t="inlineStr">
        <is>
          <t>A 7118-2023</t>
        </is>
      </c>
      <c r="B754" s="1" t="n">
        <v>44970.39591435185</v>
      </c>
      <c r="C754" s="1" t="n">
        <v>45995</v>
      </c>
      <c r="D754" t="inlineStr">
        <is>
          <t>UPPSALA LÄN</t>
        </is>
      </c>
      <c r="E754" t="inlineStr">
        <is>
          <t>ÖSTHAMMAR</t>
        </is>
      </c>
      <c r="G754" t="n">
        <v>2.1</v>
      </c>
      <c r="H754" t="n">
        <v>0</v>
      </c>
      <c r="I754" t="n">
        <v>0</v>
      </c>
      <c r="J754" t="n">
        <v>0</v>
      </c>
      <c r="K754" t="n">
        <v>0</v>
      </c>
      <c r="L754" t="n">
        <v>0</v>
      </c>
      <c r="M754" t="n">
        <v>0</v>
      </c>
      <c r="N754" t="n">
        <v>0</v>
      </c>
      <c r="O754" t="n">
        <v>0</v>
      </c>
      <c r="P754" t="n">
        <v>0</v>
      </c>
      <c r="Q754" t="n">
        <v>0</v>
      </c>
      <c r="R754" s="2" t="inlineStr"/>
    </row>
    <row r="755">
      <c r="A755" t="inlineStr">
        <is>
          <t>A 37770-2025</t>
        </is>
      </c>
      <c r="B755" s="1" t="n">
        <v>45880.7505787037</v>
      </c>
      <c r="C755" s="1" t="n">
        <v>45995</v>
      </c>
      <c r="D755" t="inlineStr">
        <is>
          <t>UPPSALA LÄN</t>
        </is>
      </c>
      <c r="E755" t="inlineStr">
        <is>
          <t>ÖSTHAMMAR</t>
        </is>
      </c>
      <c r="G755" t="n">
        <v>2.9</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2025-12-04T10:28:27Z</dcterms:created>
  <dcterms:modified xmlns:dcterms="http://purl.org/dc/terms/" xmlns:xsi="http://www.w3.org/2001/XMLSchema-instance" xsi:type="dcterms:W3CDTF">2025-12-04T10:28:28Z</dcterms:modified>
</cp:coreProperties>
</file>