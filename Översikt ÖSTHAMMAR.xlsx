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45984</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45984</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45984</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45984</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45984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45984</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45984</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45984</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45984</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45984</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40395-2025</t>
        </is>
      </c>
      <c r="B13" s="1" t="n">
        <v>45895.55805555556</v>
      </c>
      <c r="C13" s="1" t="n">
        <v>45984</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40406-2025</t>
        </is>
      </c>
      <c r="B14" s="1" t="n">
        <v>45895.57082175926</v>
      </c>
      <c r="C14" s="1" t="n">
        <v>45984</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52808-2023</t>
        </is>
      </c>
      <c r="B15" s="1" t="n">
        <v>45226</v>
      </c>
      <c r="C15" s="1" t="n">
        <v>45984</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45984</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45984</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45984</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16239-2025</t>
        </is>
      </c>
      <c r="B19" s="1" t="n">
        <v>45746</v>
      </c>
      <c r="C19" s="1" t="n">
        <v>45984</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45984</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16242-2025</t>
        </is>
      </c>
      <c r="B21" s="1" t="n">
        <v>45746</v>
      </c>
      <c r="C21" s="1" t="n">
        <v>45984</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221-2025</t>
        </is>
      </c>
      <c r="B22" s="1" t="n">
        <v>45660</v>
      </c>
      <c r="C22" s="1" t="n">
        <v>45984</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35911-2021</t>
        </is>
      </c>
      <c r="B23" s="1" t="n">
        <v>44387</v>
      </c>
      <c r="C23" s="1" t="n">
        <v>45984</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45984</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45984</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23496-2023</t>
        </is>
      </c>
      <c r="B26" s="1" t="n">
        <v>45076</v>
      </c>
      <c r="C26" s="1" t="n">
        <v>45984</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48277-2023</t>
        </is>
      </c>
      <c r="B27" s="1" t="n">
        <v>45205</v>
      </c>
      <c r="C27" s="1" t="n">
        <v>45984</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39763-2022</t>
        </is>
      </c>
      <c r="B28" s="1" t="n">
        <v>44819.44055555556</v>
      </c>
      <c r="C28" s="1" t="n">
        <v>45984</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45984</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45984</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26056-2025</t>
        </is>
      </c>
      <c r="B31" s="1" t="n">
        <v>45804.79280092593</v>
      </c>
      <c r="C31" s="1" t="n">
        <v>45984</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51517-2025</t>
        </is>
      </c>
      <c r="B32" s="1" t="n">
        <v>45950.65636574074</v>
      </c>
      <c r="C32" s="1" t="n">
        <v>45984</v>
      </c>
      <c r="D32" t="inlineStr">
        <is>
          <t>UPPSALA LÄN</t>
        </is>
      </c>
      <c r="E32" t="inlineStr">
        <is>
          <t>ÖSTHAMMAR</t>
        </is>
      </c>
      <c r="F32" t="inlineStr">
        <is>
          <t>Bergvik skog öst AB</t>
        </is>
      </c>
      <c r="G32" t="n">
        <v>9.699999999999999</v>
      </c>
      <c r="H32" t="n">
        <v>1</v>
      </c>
      <c r="I32" t="n">
        <v>2</v>
      </c>
      <c r="J32" t="n">
        <v>1</v>
      </c>
      <c r="K32" t="n">
        <v>2</v>
      </c>
      <c r="L32" t="n">
        <v>0</v>
      </c>
      <c r="M32" t="n">
        <v>0</v>
      </c>
      <c r="N32" t="n">
        <v>0</v>
      </c>
      <c r="O32" t="n">
        <v>3</v>
      </c>
      <c r="P32" t="n">
        <v>2</v>
      </c>
      <c r="Q32" t="n">
        <v>5</v>
      </c>
      <c r="R32" s="2" t="inlineStr">
        <is>
          <t>Knärot
Vågticka
Ullticka
Kalktallört
Trådticka</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row>
    <row r="33" ht="15" customHeight="1">
      <c r="A33" t="inlineStr">
        <is>
          <t>A 51154-2025</t>
        </is>
      </c>
      <c r="B33" s="1" t="n">
        <v>45947.57583333334</v>
      </c>
      <c r="C33" s="1" t="n">
        <v>45984</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15556-2022</t>
        </is>
      </c>
      <c r="B34" s="1" t="n">
        <v>44662</v>
      </c>
      <c r="C34" s="1" t="n">
        <v>45984</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23498-2023</t>
        </is>
      </c>
      <c r="B35" s="1" t="n">
        <v>45076</v>
      </c>
      <c r="C35" s="1" t="n">
        <v>45984</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43992-2022</t>
        </is>
      </c>
      <c r="B36" s="1" t="n">
        <v>44837</v>
      </c>
      <c r="C36" s="1" t="n">
        <v>45984</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24563-2022</t>
        </is>
      </c>
      <c r="B37" s="1" t="n">
        <v>44727</v>
      </c>
      <c r="C37" s="1" t="n">
        <v>45984</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55492-2023</t>
        </is>
      </c>
      <c r="B38" s="1" t="n">
        <v>45238</v>
      </c>
      <c r="C38" s="1" t="n">
        <v>45984</v>
      </c>
      <c r="D38" t="inlineStr">
        <is>
          <t>UPPSALA LÄN</t>
        </is>
      </c>
      <c r="E38" t="inlineStr">
        <is>
          <t>ÖSTHAMMAR</t>
        </is>
      </c>
      <c r="G38" t="n">
        <v>3.1</v>
      </c>
      <c r="H38" t="n">
        <v>4</v>
      </c>
      <c r="I38" t="n">
        <v>2</v>
      </c>
      <c r="J38" t="n">
        <v>0</v>
      </c>
      <c r="K38" t="n">
        <v>2</v>
      </c>
      <c r="L38" t="n">
        <v>0</v>
      </c>
      <c r="M38" t="n">
        <v>0</v>
      </c>
      <c r="N38" t="n">
        <v>0</v>
      </c>
      <c r="O38" t="n">
        <v>2</v>
      </c>
      <c r="P38" t="n">
        <v>2</v>
      </c>
      <c r="Q38" t="n">
        <v>5</v>
      </c>
      <c r="R38" s="2" t="inlineStr">
        <is>
          <t>Knärot
Violgubbe
Skogsknipprot
Tvåblad
Fläcknycklar</t>
        </is>
      </c>
      <c r="S38">
        <f>HYPERLINK("https://klasma.github.io/Logging_0382/artfynd/A 55492-2023 artfynd.xlsx", "A 55492-2023")</f>
        <v/>
      </c>
      <c r="T38">
        <f>HYPERLINK("https://klasma.github.io/Logging_0382/kartor/A 55492-2023 karta.png", "A 55492-2023")</f>
        <v/>
      </c>
      <c r="U38">
        <f>HYPERLINK("https://klasma.github.io/Logging_0382/knärot/A 55492-2023 karta knärot.png", "A 55492-2023")</f>
        <v/>
      </c>
      <c r="V38">
        <f>HYPERLINK("https://klasma.github.io/Logging_0382/klagomål/A 55492-2023 FSC-klagomål.docx", "A 55492-2023")</f>
        <v/>
      </c>
      <c r="W38">
        <f>HYPERLINK("https://klasma.github.io/Logging_0382/klagomålsmail/A 55492-2023 FSC-klagomål mail.docx", "A 55492-2023")</f>
        <v/>
      </c>
      <c r="X38">
        <f>HYPERLINK("https://klasma.github.io/Logging_0382/tillsyn/A 55492-2023 tillsynsbegäran.docx", "A 55492-2023")</f>
        <v/>
      </c>
      <c r="Y38">
        <f>HYPERLINK("https://klasma.github.io/Logging_0382/tillsynsmail/A 55492-2023 tillsynsbegäran mail.docx", "A 55492-2023")</f>
        <v/>
      </c>
    </row>
    <row r="39" ht="15" customHeight="1">
      <c r="A39" t="inlineStr">
        <is>
          <t>A 52808-2022</t>
        </is>
      </c>
      <c r="B39" s="1" t="n">
        <v>44875</v>
      </c>
      <c r="C39" s="1" t="n">
        <v>45984</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45984</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45984</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45984</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54492-2024</t>
        </is>
      </c>
      <c r="B43" s="1" t="n">
        <v>45617</v>
      </c>
      <c r="C43" s="1" t="n">
        <v>45984</v>
      </c>
      <c r="D43" t="inlineStr">
        <is>
          <t>UPPSALA LÄN</t>
        </is>
      </c>
      <c r="E43" t="inlineStr">
        <is>
          <t>ÖSTHAMMAR</t>
        </is>
      </c>
      <c r="G43" t="n">
        <v>23.9</v>
      </c>
      <c r="H43" t="n">
        <v>1</v>
      </c>
      <c r="I43" t="n">
        <v>3</v>
      </c>
      <c r="J43" t="n">
        <v>0</v>
      </c>
      <c r="K43" t="n">
        <v>0</v>
      </c>
      <c r="L43" t="n">
        <v>0</v>
      </c>
      <c r="M43" t="n">
        <v>0</v>
      </c>
      <c r="N43" t="n">
        <v>0</v>
      </c>
      <c r="O43" t="n">
        <v>0</v>
      </c>
      <c r="P43" t="n">
        <v>0</v>
      </c>
      <c r="Q43" t="n">
        <v>4</v>
      </c>
      <c r="R43" s="2" t="inlineStr">
        <is>
          <t>Bårdlav
Hasselticka
Läderskål
Blåsippa</t>
        </is>
      </c>
      <c r="S43">
        <f>HYPERLINK("https://klasma.github.io/Logging_0382/artfynd/A 54492-2024 artfynd.xlsx", "A 54492-2024")</f>
        <v/>
      </c>
      <c r="T43">
        <f>HYPERLINK("https://klasma.github.io/Logging_0382/kartor/A 54492-2024 karta.png", "A 54492-2024")</f>
        <v/>
      </c>
      <c r="V43">
        <f>HYPERLINK("https://klasma.github.io/Logging_0382/klagomål/A 54492-2024 FSC-klagomål.docx", "A 54492-2024")</f>
        <v/>
      </c>
      <c r="W43">
        <f>HYPERLINK("https://klasma.github.io/Logging_0382/klagomålsmail/A 54492-2024 FSC-klagomål mail.docx", "A 54492-2024")</f>
        <v/>
      </c>
      <c r="X43">
        <f>HYPERLINK("https://klasma.github.io/Logging_0382/tillsyn/A 54492-2024 tillsynsbegäran.docx", "A 54492-2024")</f>
        <v/>
      </c>
      <c r="Y43">
        <f>HYPERLINK("https://klasma.github.io/Logging_0382/tillsynsmail/A 54492-2024 tillsynsbegäran mail.docx", "A 54492-2024")</f>
        <v/>
      </c>
    </row>
    <row r="44" ht="15" customHeight="1">
      <c r="A44" t="inlineStr">
        <is>
          <t>A 74364-2021</t>
        </is>
      </c>
      <c r="B44" s="1" t="n">
        <v>44559</v>
      </c>
      <c r="C44" s="1" t="n">
        <v>45984</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26279-2024</t>
        </is>
      </c>
      <c r="B45" s="1" t="n">
        <v>45468</v>
      </c>
      <c r="C45" s="1" t="n">
        <v>45984</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25044-2025</t>
        </is>
      </c>
      <c r="B46" s="1" t="n">
        <v>45799.66607638889</v>
      </c>
      <c r="C46" s="1" t="n">
        <v>45984</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45984</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46204-2023</t>
        </is>
      </c>
      <c r="B48" s="1" t="n">
        <v>45190</v>
      </c>
      <c r="C48" s="1" t="n">
        <v>45984</v>
      </c>
      <c r="D48" t="inlineStr">
        <is>
          <t>UPPSALA LÄN</t>
        </is>
      </c>
      <c r="E48" t="inlineStr">
        <is>
          <t>ÖSTHAMMAR</t>
        </is>
      </c>
      <c r="F48" t="inlineStr">
        <is>
          <t>Övriga statliga verk och myndigheter</t>
        </is>
      </c>
      <c r="G48" t="n">
        <v>3.5</v>
      </c>
      <c r="H48" t="n">
        <v>3</v>
      </c>
      <c r="I48" t="n">
        <v>0</v>
      </c>
      <c r="J48" t="n">
        <v>3</v>
      </c>
      <c r="K48" t="n">
        <v>0</v>
      </c>
      <c r="L48" t="n">
        <v>0</v>
      </c>
      <c r="M48" t="n">
        <v>0</v>
      </c>
      <c r="N48" t="n">
        <v>0</v>
      </c>
      <c r="O48" t="n">
        <v>3</v>
      </c>
      <c r="P48" t="n">
        <v>0</v>
      </c>
      <c r="Q48" t="n">
        <v>3</v>
      </c>
      <c r="R48" s="2" t="inlineStr">
        <is>
          <t>Grönsångare
Gulsparv
Ärtsångare</t>
        </is>
      </c>
      <c r="S48">
        <f>HYPERLINK("https://klasma.github.io/Logging_0382/artfynd/A 46204-2023 artfynd.xlsx", "A 46204-2023")</f>
        <v/>
      </c>
      <c r="T48">
        <f>HYPERLINK("https://klasma.github.io/Logging_0382/kartor/A 46204-2023 karta.png", "A 46204-2023")</f>
        <v/>
      </c>
      <c r="V48">
        <f>HYPERLINK("https://klasma.github.io/Logging_0382/klagomål/A 46204-2023 FSC-klagomål.docx", "A 46204-2023")</f>
        <v/>
      </c>
      <c r="W48">
        <f>HYPERLINK("https://klasma.github.io/Logging_0382/klagomålsmail/A 46204-2023 FSC-klagomål mail.docx", "A 46204-2023")</f>
        <v/>
      </c>
      <c r="X48">
        <f>HYPERLINK("https://klasma.github.io/Logging_0382/tillsyn/A 46204-2023 tillsynsbegäran.docx", "A 46204-2023")</f>
        <v/>
      </c>
      <c r="Y48">
        <f>HYPERLINK("https://klasma.github.io/Logging_0382/tillsynsmail/A 46204-2023 tillsynsbegäran mail.docx", "A 46204-2023")</f>
        <v/>
      </c>
      <c r="Z48">
        <f>HYPERLINK("https://klasma.github.io/Logging_0382/fåglar/A 46204-2023 prioriterade fågelarter.docx", "A 46204-2023")</f>
        <v/>
      </c>
    </row>
    <row r="49" ht="15" customHeight="1">
      <c r="A49" t="inlineStr">
        <is>
          <t>A 9715-2024</t>
        </is>
      </c>
      <c r="B49" s="1" t="n">
        <v>45362.53928240741</v>
      </c>
      <c r="C49" s="1" t="n">
        <v>45984</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55051-2021</t>
        </is>
      </c>
      <c r="B50" s="1" t="n">
        <v>44474</v>
      </c>
      <c r="C50" s="1" t="n">
        <v>45984</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33035-2021</t>
        </is>
      </c>
      <c r="B51" s="1" t="n">
        <v>44376</v>
      </c>
      <c r="C51" s="1" t="n">
        <v>45984</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45984</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9683-2023</t>
        </is>
      </c>
      <c r="B53" s="1" t="n">
        <v>44984.43856481482</v>
      </c>
      <c r="C53" s="1" t="n">
        <v>45984</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60078-2021</t>
        </is>
      </c>
      <c r="B54" s="1" t="n">
        <v>44495</v>
      </c>
      <c r="C54" s="1" t="n">
        <v>45984</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45984</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45984</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6223-2021</t>
        </is>
      </c>
      <c r="B57" s="1" t="n">
        <v>44235</v>
      </c>
      <c r="C57" s="1" t="n">
        <v>45984</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45984</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45984</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41303-2025</t>
        </is>
      </c>
      <c r="B60" s="1" t="n">
        <v>45898.69215277778</v>
      </c>
      <c r="C60" s="1" t="n">
        <v>45984</v>
      </c>
      <c r="D60" t="inlineStr">
        <is>
          <t>UPPSALA LÄN</t>
        </is>
      </c>
      <c r="E60" t="inlineStr">
        <is>
          <t>ÖSTHAMMAR</t>
        </is>
      </c>
      <c r="G60" t="n">
        <v>10.1</v>
      </c>
      <c r="H60" t="n">
        <v>1</v>
      </c>
      <c r="I60" t="n">
        <v>1</v>
      </c>
      <c r="J60" t="n">
        <v>0</v>
      </c>
      <c r="K60" t="n">
        <v>0</v>
      </c>
      <c r="L60" t="n">
        <v>0</v>
      </c>
      <c r="M60" t="n">
        <v>0</v>
      </c>
      <c r="N60" t="n">
        <v>0</v>
      </c>
      <c r="O60" t="n">
        <v>0</v>
      </c>
      <c r="P60" t="n">
        <v>0</v>
      </c>
      <c r="Q60" t="n">
        <v>2</v>
      </c>
      <c r="R60" s="2" t="inlineStr">
        <is>
          <t>Svavelriska
Revlummer</t>
        </is>
      </c>
      <c r="S60">
        <f>HYPERLINK("https://klasma.github.io/Logging_0382/artfynd/A 41303-2025 artfynd.xlsx", "A 41303-2025")</f>
        <v/>
      </c>
      <c r="T60">
        <f>HYPERLINK("https://klasma.github.io/Logging_0382/kartor/A 41303-2025 karta.png", "A 41303-2025")</f>
        <v/>
      </c>
      <c r="V60">
        <f>HYPERLINK("https://klasma.github.io/Logging_0382/klagomål/A 41303-2025 FSC-klagomål.docx", "A 41303-2025")</f>
        <v/>
      </c>
      <c r="W60">
        <f>HYPERLINK("https://klasma.github.io/Logging_0382/klagomålsmail/A 41303-2025 FSC-klagomål mail.docx", "A 41303-2025")</f>
        <v/>
      </c>
      <c r="X60">
        <f>HYPERLINK("https://klasma.github.io/Logging_0382/tillsyn/A 41303-2025 tillsynsbegäran.docx", "A 41303-2025")</f>
        <v/>
      </c>
      <c r="Y60">
        <f>HYPERLINK("https://klasma.github.io/Logging_0382/tillsynsmail/A 41303-2025 tillsynsbegäran mail.docx", "A 41303-2025")</f>
        <v/>
      </c>
    </row>
    <row r="61" ht="15" customHeight="1">
      <c r="A61" t="inlineStr">
        <is>
          <t>A 51522-2025</t>
        </is>
      </c>
      <c r="B61" s="1" t="n">
        <v>45950.65743055556</v>
      </c>
      <c r="C61" s="1" t="n">
        <v>45984</v>
      </c>
      <c r="D61" t="inlineStr">
        <is>
          <t>UPPSALA LÄN</t>
        </is>
      </c>
      <c r="E61" t="inlineStr">
        <is>
          <t>ÖSTHAMMAR</t>
        </is>
      </c>
      <c r="F61" t="inlineStr">
        <is>
          <t>Bergvik skog öst AB</t>
        </is>
      </c>
      <c r="G61" t="n">
        <v>11</v>
      </c>
      <c r="H61" t="n">
        <v>0</v>
      </c>
      <c r="I61" t="n">
        <v>0</v>
      </c>
      <c r="J61" t="n">
        <v>2</v>
      </c>
      <c r="K61" t="n">
        <v>0</v>
      </c>
      <c r="L61" t="n">
        <v>0</v>
      </c>
      <c r="M61" t="n">
        <v>0</v>
      </c>
      <c r="N61" t="n">
        <v>0</v>
      </c>
      <c r="O61" t="n">
        <v>2</v>
      </c>
      <c r="P61" t="n">
        <v>0</v>
      </c>
      <c r="Q61" t="n">
        <v>2</v>
      </c>
      <c r="R61" s="2" t="inlineStr">
        <is>
          <t>Puderspindling
Rosenticka</t>
        </is>
      </c>
      <c r="S61">
        <f>HYPERLINK("https://klasma.github.io/Logging_0382/artfynd/A 51522-2025 artfynd.xlsx", "A 51522-2025")</f>
        <v/>
      </c>
      <c r="T61">
        <f>HYPERLINK("https://klasma.github.io/Logging_0382/kartor/A 51522-2025 karta.png", "A 51522-2025")</f>
        <v/>
      </c>
      <c r="U61">
        <f>HYPERLINK("https://klasma.github.io/Logging_0382/knärot/A 51522-2025 karta knärot.png", "A 51522-2025")</f>
        <v/>
      </c>
      <c r="V61">
        <f>HYPERLINK("https://klasma.github.io/Logging_0382/klagomål/A 51522-2025 FSC-klagomål.docx", "A 51522-2025")</f>
        <v/>
      </c>
      <c r="W61">
        <f>HYPERLINK("https://klasma.github.io/Logging_0382/klagomålsmail/A 51522-2025 FSC-klagomål mail.docx", "A 51522-2025")</f>
        <v/>
      </c>
      <c r="X61">
        <f>HYPERLINK("https://klasma.github.io/Logging_0382/tillsyn/A 51522-2025 tillsynsbegäran.docx", "A 51522-2025")</f>
        <v/>
      </c>
      <c r="Y61">
        <f>HYPERLINK("https://klasma.github.io/Logging_0382/tillsynsmail/A 51522-2025 tillsynsbegäran mail.docx", "A 51522-2025")</f>
        <v/>
      </c>
    </row>
    <row r="62" ht="15" customHeight="1">
      <c r="A62" t="inlineStr">
        <is>
          <t>A 2916-2025</t>
        </is>
      </c>
      <c r="B62" s="1" t="n">
        <v>45677</v>
      </c>
      <c r="C62" s="1" t="n">
        <v>45984</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33269-2025</t>
        </is>
      </c>
      <c r="B63" s="1" t="n">
        <v>45840.68208333333</v>
      </c>
      <c r="C63" s="1" t="n">
        <v>45984</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56669-2025</t>
        </is>
      </c>
      <c r="B64" s="1" t="n">
        <v>45975.69306712963</v>
      </c>
      <c r="C64" s="1" t="n">
        <v>45984</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37768-2025</t>
        </is>
      </c>
      <c r="B65" s="1" t="n">
        <v>45880</v>
      </c>
      <c r="C65" s="1" t="n">
        <v>45984</v>
      </c>
      <c r="D65" t="inlineStr">
        <is>
          <t>UPPSALA LÄN</t>
        </is>
      </c>
      <c r="E65" t="inlineStr">
        <is>
          <t>ÖSTHAMMAR</t>
        </is>
      </c>
      <c r="G65" t="n">
        <v>4.8</v>
      </c>
      <c r="H65" t="n">
        <v>0</v>
      </c>
      <c r="I65" t="n">
        <v>1</v>
      </c>
      <c r="J65" t="n">
        <v>1</v>
      </c>
      <c r="K65" t="n">
        <v>0</v>
      </c>
      <c r="L65" t="n">
        <v>0</v>
      </c>
      <c r="M65" t="n">
        <v>0</v>
      </c>
      <c r="N65" t="n">
        <v>0</v>
      </c>
      <c r="O65" t="n">
        <v>1</v>
      </c>
      <c r="P65" t="n">
        <v>0</v>
      </c>
      <c r="Q65" t="n">
        <v>2</v>
      </c>
      <c r="R65" s="2" t="inlineStr">
        <is>
          <t>Äggspindling
Anisspindling</t>
        </is>
      </c>
      <c r="S65">
        <f>HYPERLINK("https://klasma.github.io/Logging_0382/artfynd/A 37768-2025 artfynd.xlsx", "A 37768-2025")</f>
        <v/>
      </c>
      <c r="T65">
        <f>HYPERLINK("https://klasma.github.io/Logging_0382/kartor/A 37768-2025 karta.png", "A 37768-2025")</f>
        <v/>
      </c>
      <c r="V65">
        <f>HYPERLINK("https://klasma.github.io/Logging_0382/klagomål/A 37768-2025 FSC-klagomål.docx", "A 37768-2025")</f>
        <v/>
      </c>
      <c r="W65">
        <f>HYPERLINK("https://klasma.github.io/Logging_0382/klagomålsmail/A 37768-2025 FSC-klagomål mail.docx", "A 37768-2025")</f>
        <v/>
      </c>
      <c r="X65">
        <f>HYPERLINK("https://klasma.github.io/Logging_0382/tillsyn/A 37768-2025 tillsynsbegäran.docx", "A 37768-2025")</f>
        <v/>
      </c>
      <c r="Y65">
        <f>HYPERLINK("https://klasma.github.io/Logging_0382/tillsynsmail/A 37768-2025 tillsynsbegäran mail.docx", "A 37768-2025")</f>
        <v/>
      </c>
    </row>
    <row r="66" ht="15" customHeight="1">
      <c r="A66" t="inlineStr">
        <is>
          <t>A 9646-2024</t>
        </is>
      </c>
      <c r="B66" s="1" t="n">
        <v>45362.37055555556</v>
      </c>
      <c r="C66" s="1" t="n">
        <v>45984</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45984</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45984</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25098-2022</t>
        </is>
      </c>
      <c r="B69" s="1" t="n">
        <v>44729.44149305556</v>
      </c>
      <c r="C69" s="1" t="n">
        <v>45984</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45984</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67855-2021</t>
        </is>
      </c>
      <c r="B71" s="1" t="n">
        <v>44525</v>
      </c>
      <c r="C71" s="1" t="n">
        <v>45984</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21453-2023</t>
        </is>
      </c>
      <c r="B72" s="1" t="n">
        <v>45063</v>
      </c>
      <c r="C72" s="1" t="n">
        <v>45984</v>
      </c>
      <c r="D72" t="inlineStr">
        <is>
          <t>UPPSALA LÄN</t>
        </is>
      </c>
      <c r="E72" t="inlineStr">
        <is>
          <t>ÖSTHAMMAR</t>
        </is>
      </c>
      <c r="F72" t="inlineStr">
        <is>
          <t>Bergvik skog väst AB</t>
        </is>
      </c>
      <c r="G72" t="n">
        <v>6.1</v>
      </c>
      <c r="H72" t="n">
        <v>1</v>
      </c>
      <c r="I72" t="n">
        <v>1</v>
      </c>
      <c r="J72" t="n">
        <v>0</v>
      </c>
      <c r="K72" t="n">
        <v>0</v>
      </c>
      <c r="L72" t="n">
        <v>0</v>
      </c>
      <c r="M72" t="n">
        <v>0</v>
      </c>
      <c r="N72" t="n">
        <v>0</v>
      </c>
      <c r="O72" t="n">
        <v>0</v>
      </c>
      <c r="P72" t="n">
        <v>0</v>
      </c>
      <c r="Q72" t="n">
        <v>2</v>
      </c>
      <c r="R72" s="2" t="inlineStr">
        <is>
          <t>Fransig jordstjärna
Blåsippa</t>
        </is>
      </c>
      <c r="S72">
        <f>HYPERLINK("https://klasma.github.io/Logging_0382/artfynd/A 21453-2023 artfynd.xlsx", "A 21453-2023")</f>
        <v/>
      </c>
      <c r="T72">
        <f>HYPERLINK("https://klasma.github.io/Logging_0382/kartor/A 21453-2023 karta.png", "A 21453-2023")</f>
        <v/>
      </c>
      <c r="V72">
        <f>HYPERLINK("https://klasma.github.io/Logging_0382/klagomål/A 21453-2023 FSC-klagomål.docx", "A 21453-2023")</f>
        <v/>
      </c>
      <c r="W72">
        <f>HYPERLINK("https://klasma.github.io/Logging_0382/klagomålsmail/A 21453-2023 FSC-klagomål mail.docx", "A 21453-2023")</f>
        <v/>
      </c>
      <c r="X72">
        <f>HYPERLINK("https://klasma.github.io/Logging_0382/tillsyn/A 21453-2023 tillsynsbegäran.docx", "A 21453-2023")</f>
        <v/>
      </c>
      <c r="Y72">
        <f>HYPERLINK("https://klasma.github.io/Logging_0382/tillsynsmail/A 21453-2023 tillsynsbegäran mail.docx", "A 21453-2023")</f>
        <v/>
      </c>
    </row>
    <row r="73" ht="15" customHeight="1">
      <c r="A73" t="inlineStr">
        <is>
          <t>A 20553-2025</t>
        </is>
      </c>
      <c r="B73" s="1" t="n">
        <v>45775.63983796296</v>
      </c>
      <c r="C73" s="1" t="n">
        <v>45984</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30943-2024</t>
        </is>
      </c>
      <c r="B74" s="1" t="n">
        <v>45499</v>
      </c>
      <c r="C74" s="1" t="n">
        <v>45984</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38442-2022</t>
        </is>
      </c>
      <c r="B75" s="1" t="n">
        <v>44813</v>
      </c>
      <c r="C75" s="1" t="n">
        <v>45984</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45984</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45984</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45984</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14203-2024</t>
        </is>
      </c>
      <c r="B79" s="1" t="n">
        <v>45393</v>
      </c>
      <c r="C79" s="1" t="n">
        <v>45984</v>
      </c>
      <c r="D79" t="inlineStr">
        <is>
          <t>UPPSALA LÄN</t>
        </is>
      </c>
      <c r="E79" t="inlineStr">
        <is>
          <t>ÖSTHAMMAR</t>
        </is>
      </c>
      <c r="G79" t="n">
        <v>1.4</v>
      </c>
      <c r="H79" t="n">
        <v>0</v>
      </c>
      <c r="I79" t="n">
        <v>0</v>
      </c>
      <c r="J79" t="n">
        <v>1</v>
      </c>
      <c r="K79" t="n">
        <v>0</v>
      </c>
      <c r="L79" t="n">
        <v>0</v>
      </c>
      <c r="M79" t="n">
        <v>0</v>
      </c>
      <c r="N79" t="n">
        <v>0</v>
      </c>
      <c r="O79" t="n">
        <v>1</v>
      </c>
      <c r="P79" t="n">
        <v>0</v>
      </c>
      <c r="Q79" t="n">
        <v>1</v>
      </c>
      <c r="R79" s="2" t="inlineStr">
        <is>
          <t>Scharlakansvaxing</t>
        </is>
      </c>
      <c r="S79">
        <f>HYPERLINK("https://klasma.github.io/Logging_0382/artfynd/A 14203-2024 artfynd.xlsx", "A 14203-2024")</f>
        <v/>
      </c>
      <c r="T79">
        <f>HYPERLINK("https://klasma.github.io/Logging_0382/kartor/A 14203-2024 karta.png", "A 14203-2024")</f>
        <v/>
      </c>
      <c r="V79">
        <f>HYPERLINK("https://klasma.github.io/Logging_0382/klagomål/A 14203-2024 FSC-klagomål.docx", "A 14203-2024")</f>
        <v/>
      </c>
      <c r="W79">
        <f>HYPERLINK("https://klasma.github.io/Logging_0382/klagomålsmail/A 14203-2024 FSC-klagomål mail.docx", "A 14203-2024")</f>
        <v/>
      </c>
      <c r="X79">
        <f>HYPERLINK("https://klasma.github.io/Logging_0382/tillsyn/A 14203-2024 tillsynsbegäran.docx", "A 14203-2024")</f>
        <v/>
      </c>
      <c r="Y79">
        <f>HYPERLINK("https://klasma.github.io/Logging_0382/tillsynsmail/A 14203-2024 tillsynsbegäran mail.docx", "A 14203-2024")</f>
        <v/>
      </c>
    </row>
    <row r="80" ht="15" customHeight="1">
      <c r="A80" t="inlineStr">
        <is>
          <t>A 63615-2021</t>
        </is>
      </c>
      <c r="B80" s="1" t="n">
        <v>44509</v>
      </c>
      <c r="C80" s="1" t="n">
        <v>45984</v>
      </c>
      <c r="D80" t="inlineStr">
        <is>
          <t>UPPSALA LÄN</t>
        </is>
      </c>
      <c r="E80" t="inlineStr">
        <is>
          <t>ÖSTHAMMAR</t>
        </is>
      </c>
      <c r="G80" t="n">
        <v>1.9</v>
      </c>
      <c r="H80" t="n">
        <v>0</v>
      </c>
      <c r="I80" t="n">
        <v>0</v>
      </c>
      <c r="J80" t="n">
        <v>1</v>
      </c>
      <c r="K80" t="n">
        <v>0</v>
      </c>
      <c r="L80" t="n">
        <v>0</v>
      </c>
      <c r="M80" t="n">
        <v>0</v>
      </c>
      <c r="N80" t="n">
        <v>0</v>
      </c>
      <c r="O80" t="n">
        <v>1</v>
      </c>
      <c r="P80" t="n">
        <v>0</v>
      </c>
      <c r="Q80" t="n">
        <v>1</v>
      </c>
      <c r="R80" s="2" t="inlineStr">
        <is>
          <t>Gul taggsvamp</t>
        </is>
      </c>
      <c r="S80">
        <f>HYPERLINK("https://klasma.github.io/Logging_0382/artfynd/A 63615-2021 artfynd.xlsx", "A 63615-2021")</f>
        <v/>
      </c>
      <c r="T80">
        <f>HYPERLINK("https://klasma.github.io/Logging_0382/kartor/A 63615-2021 karta.png", "A 63615-2021")</f>
        <v/>
      </c>
      <c r="V80">
        <f>HYPERLINK("https://klasma.github.io/Logging_0382/klagomål/A 63615-2021 FSC-klagomål.docx", "A 63615-2021")</f>
        <v/>
      </c>
      <c r="W80">
        <f>HYPERLINK("https://klasma.github.io/Logging_0382/klagomålsmail/A 63615-2021 FSC-klagomål mail.docx", "A 63615-2021")</f>
        <v/>
      </c>
      <c r="X80">
        <f>HYPERLINK("https://klasma.github.io/Logging_0382/tillsyn/A 63615-2021 tillsynsbegäran.docx", "A 63615-2021")</f>
        <v/>
      </c>
      <c r="Y80">
        <f>HYPERLINK("https://klasma.github.io/Logging_0382/tillsynsmail/A 63615-2021 tillsynsbegäran mail.docx", "A 63615-2021")</f>
        <v/>
      </c>
    </row>
    <row r="81" ht="15" customHeight="1">
      <c r="A81" t="inlineStr">
        <is>
          <t>A 11017-2023</t>
        </is>
      </c>
      <c r="B81" s="1" t="n">
        <v>44991</v>
      </c>
      <c r="C81" s="1" t="n">
        <v>45984</v>
      </c>
      <c r="D81" t="inlineStr">
        <is>
          <t>UPPSALA LÄN</t>
        </is>
      </c>
      <c r="E81" t="inlineStr">
        <is>
          <t>ÖSTHAMMAR</t>
        </is>
      </c>
      <c r="G81" t="n">
        <v>1.9</v>
      </c>
      <c r="H81" t="n">
        <v>1</v>
      </c>
      <c r="I81" t="n">
        <v>0</v>
      </c>
      <c r="J81" t="n">
        <v>1</v>
      </c>
      <c r="K81" t="n">
        <v>0</v>
      </c>
      <c r="L81" t="n">
        <v>0</v>
      </c>
      <c r="M81" t="n">
        <v>0</v>
      </c>
      <c r="N81" t="n">
        <v>0</v>
      </c>
      <c r="O81" t="n">
        <v>1</v>
      </c>
      <c r="P81" t="n">
        <v>0</v>
      </c>
      <c r="Q81" t="n">
        <v>1</v>
      </c>
      <c r="R81" s="2" t="inlineStr">
        <is>
          <t>Kornknarr</t>
        </is>
      </c>
      <c r="S81">
        <f>HYPERLINK("https://klasma.github.io/Logging_0382/artfynd/A 11017-2023 artfynd.xlsx", "A 11017-2023")</f>
        <v/>
      </c>
      <c r="T81">
        <f>HYPERLINK("https://klasma.github.io/Logging_0382/kartor/A 11017-2023 karta.png", "A 11017-2023")</f>
        <v/>
      </c>
      <c r="V81">
        <f>HYPERLINK("https://klasma.github.io/Logging_0382/klagomål/A 11017-2023 FSC-klagomål.docx", "A 11017-2023")</f>
        <v/>
      </c>
      <c r="W81">
        <f>HYPERLINK("https://klasma.github.io/Logging_0382/klagomålsmail/A 11017-2023 FSC-klagomål mail.docx", "A 11017-2023")</f>
        <v/>
      </c>
      <c r="X81">
        <f>HYPERLINK("https://klasma.github.io/Logging_0382/tillsyn/A 11017-2023 tillsynsbegäran.docx", "A 11017-2023")</f>
        <v/>
      </c>
      <c r="Y81">
        <f>HYPERLINK("https://klasma.github.io/Logging_0382/tillsynsmail/A 11017-2023 tillsynsbegäran mail.docx", "A 11017-2023")</f>
        <v/>
      </c>
    </row>
    <row r="82" ht="15" customHeight="1">
      <c r="A82" t="inlineStr">
        <is>
          <t>A 41220-2025</t>
        </is>
      </c>
      <c r="B82" s="1" t="n">
        <v>45898.58630787037</v>
      </c>
      <c r="C82" s="1" t="n">
        <v>45984</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52818-2022</t>
        </is>
      </c>
      <c r="B83" s="1" t="n">
        <v>44875</v>
      </c>
      <c r="C83" s="1" t="n">
        <v>45984</v>
      </c>
      <c r="D83" t="inlineStr">
        <is>
          <t>UPPSALA LÄN</t>
        </is>
      </c>
      <c r="E83" t="inlineStr">
        <is>
          <t>ÖSTHAMMAR</t>
        </is>
      </c>
      <c r="G83" t="n">
        <v>0.9</v>
      </c>
      <c r="H83" t="n">
        <v>1</v>
      </c>
      <c r="I83" t="n">
        <v>1</v>
      </c>
      <c r="J83" t="n">
        <v>0</v>
      </c>
      <c r="K83" t="n">
        <v>0</v>
      </c>
      <c r="L83" t="n">
        <v>0</v>
      </c>
      <c r="M83" t="n">
        <v>0</v>
      </c>
      <c r="N83" t="n">
        <v>0</v>
      </c>
      <c r="O83" t="n">
        <v>0</v>
      </c>
      <c r="P83" t="n">
        <v>0</v>
      </c>
      <c r="Q83" t="n">
        <v>1</v>
      </c>
      <c r="R83" s="2" t="inlineStr">
        <is>
          <t>Guckusko</t>
        </is>
      </c>
      <c r="S83">
        <f>HYPERLINK("https://klasma.github.io/Logging_0382/artfynd/A 52818-2022 artfynd.xlsx", "A 52818-2022")</f>
        <v/>
      </c>
      <c r="T83">
        <f>HYPERLINK("https://klasma.github.io/Logging_0382/kartor/A 52818-2022 karta.png", "A 52818-2022")</f>
        <v/>
      </c>
      <c r="V83">
        <f>HYPERLINK("https://klasma.github.io/Logging_0382/klagomål/A 52818-2022 FSC-klagomål.docx", "A 52818-2022")</f>
        <v/>
      </c>
      <c r="W83">
        <f>HYPERLINK("https://klasma.github.io/Logging_0382/klagomålsmail/A 52818-2022 FSC-klagomål mail.docx", "A 52818-2022")</f>
        <v/>
      </c>
      <c r="X83">
        <f>HYPERLINK("https://klasma.github.io/Logging_0382/tillsyn/A 52818-2022 tillsynsbegäran.docx", "A 52818-2022")</f>
        <v/>
      </c>
      <c r="Y83">
        <f>HYPERLINK("https://klasma.github.io/Logging_0382/tillsynsmail/A 52818-2022 tillsynsbegäran mail.docx", "A 52818-2022")</f>
        <v/>
      </c>
    </row>
    <row r="84" ht="15" customHeight="1">
      <c r="A84" t="inlineStr">
        <is>
          <t>A 70495-2021</t>
        </is>
      </c>
      <c r="B84" s="1" t="n">
        <v>44536</v>
      </c>
      <c r="C84" s="1" t="n">
        <v>45984</v>
      </c>
      <c r="D84" t="inlineStr">
        <is>
          <t>UPPSALA LÄN</t>
        </is>
      </c>
      <c r="E84" t="inlineStr">
        <is>
          <t>ÖSTHAMMAR</t>
        </is>
      </c>
      <c r="G84" t="n">
        <v>1</v>
      </c>
      <c r="H84" t="n">
        <v>1</v>
      </c>
      <c r="I84" t="n">
        <v>0</v>
      </c>
      <c r="J84" t="n">
        <v>1</v>
      </c>
      <c r="K84" t="n">
        <v>0</v>
      </c>
      <c r="L84" t="n">
        <v>0</v>
      </c>
      <c r="M84" t="n">
        <v>0</v>
      </c>
      <c r="N84" t="n">
        <v>0</v>
      </c>
      <c r="O84" t="n">
        <v>1</v>
      </c>
      <c r="P84" t="n">
        <v>0</v>
      </c>
      <c r="Q84" t="n">
        <v>1</v>
      </c>
      <c r="R84" s="2" t="inlineStr">
        <is>
          <t>Slaguggla</t>
        </is>
      </c>
      <c r="S84">
        <f>HYPERLINK("https://klasma.github.io/Logging_0382/artfynd/A 70495-2021 artfynd.xlsx", "A 70495-2021")</f>
        <v/>
      </c>
      <c r="T84">
        <f>HYPERLINK("https://klasma.github.io/Logging_0382/kartor/A 70495-2021 karta.png", "A 70495-2021")</f>
        <v/>
      </c>
      <c r="V84">
        <f>HYPERLINK("https://klasma.github.io/Logging_0382/klagomål/A 70495-2021 FSC-klagomål.docx", "A 70495-2021")</f>
        <v/>
      </c>
      <c r="W84">
        <f>HYPERLINK("https://klasma.github.io/Logging_0382/klagomålsmail/A 70495-2021 FSC-klagomål mail.docx", "A 70495-2021")</f>
        <v/>
      </c>
      <c r="X84">
        <f>HYPERLINK("https://klasma.github.io/Logging_0382/tillsyn/A 70495-2021 tillsynsbegäran.docx", "A 70495-2021")</f>
        <v/>
      </c>
      <c r="Y84">
        <f>HYPERLINK("https://klasma.github.io/Logging_0382/tillsynsmail/A 70495-2021 tillsynsbegäran mail.docx", "A 70495-2021")</f>
        <v/>
      </c>
      <c r="Z84">
        <f>HYPERLINK("https://klasma.github.io/Logging_0382/fåglar/A 70495-2021 prioriterade fågelarter.docx", "A 70495-2021")</f>
        <v/>
      </c>
    </row>
    <row r="85" ht="15" customHeight="1">
      <c r="A85" t="inlineStr">
        <is>
          <t>A 52879-2025</t>
        </is>
      </c>
      <c r="B85" s="1" t="n">
        <v>45957.544375</v>
      </c>
      <c r="C85" s="1" t="n">
        <v>45984</v>
      </c>
      <c r="D85" t="inlineStr">
        <is>
          <t>UPPSALA LÄN</t>
        </is>
      </c>
      <c r="E85" t="inlineStr">
        <is>
          <t>ÖSTHAMMAR</t>
        </is>
      </c>
      <c r="G85" t="n">
        <v>2.2</v>
      </c>
      <c r="H85" t="n">
        <v>1</v>
      </c>
      <c r="I85" t="n">
        <v>0</v>
      </c>
      <c r="J85" t="n">
        <v>0</v>
      </c>
      <c r="K85" t="n">
        <v>0</v>
      </c>
      <c r="L85" t="n">
        <v>0</v>
      </c>
      <c r="M85" t="n">
        <v>0</v>
      </c>
      <c r="N85" t="n">
        <v>0</v>
      </c>
      <c r="O85" t="n">
        <v>0</v>
      </c>
      <c r="P85" t="n">
        <v>0</v>
      </c>
      <c r="Q85" t="n">
        <v>1</v>
      </c>
      <c r="R85" s="2" t="inlineStr">
        <is>
          <t>Blåsippa</t>
        </is>
      </c>
      <c r="S85">
        <f>HYPERLINK("https://klasma.github.io/Logging_0382/artfynd/A 52879-2025 artfynd.xlsx", "A 52879-2025")</f>
        <v/>
      </c>
      <c r="T85">
        <f>HYPERLINK("https://klasma.github.io/Logging_0382/kartor/A 52879-2025 karta.png", "A 52879-2025")</f>
        <v/>
      </c>
      <c r="V85">
        <f>HYPERLINK("https://klasma.github.io/Logging_0382/klagomål/A 52879-2025 FSC-klagomål.docx", "A 52879-2025")</f>
        <v/>
      </c>
      <c r="W85">
        <f>HYPERLINK("https://klasma.github.io/Logging_0382/klagomålsmail/A 52879-2025 FSC-klagomål mail.docx", "A 52879-2025")</f>
        <v/>
      </c>
      <c r="X85">
        <f>HYPERLINK("https://klasma.github.io/Logging_0382/tillsyn/A 52879-2025 tillsynsbegäran.docx", "A 52879-2025")</f>
        <v/>
      </c>
      <c r="Y85">
        <f>HYPERLINK("https://klasma.github.io/Logging_0382/tillsynsmail/A 52879-2025 tillsynsbegäran mail.docx", "A 52879-2025")</f>
        <v/>
      </c>
    </row>
    <row r="86" ht="15" customHeight="1">
      <c r="A86" t="inlineStr">
        <is>
          <t>A 10034-2023</t>
        </is>
      </c>
      <c r="B86" s="1" t="n">
        <v>44985</v>
      </c>
      <c r="C86" s="1" t="n">
        <v>45984</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45984</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30605-2025</t>
        </is>
      </c>
      <c r="B88" s="1" t="n">
        <v>45831.45510416666</v>
      </c>
      <c r="C88" s="1" t="n">
        <v>45984</v>
      </c>
      <c r="D88" t="inlineStr">
        <is>
          <t>UPPSALA LÄN</t>
        </is>
      </c>
      <c r="E88" t="inlineStr">
        <is>
          <t>ÖSTHAMMAR</t>
        </is>
      </c>
      <c r="G88" t="n">
        <v>1.7</v>
      </c>
      <c r="H88" t="n">
        <v>0</v>
      </c>
      <c r="I88" t="n">
        <v>0</v>
      </c>
      <c r="J88" t="n">
        <v>0</v>
      </c>
      <c r="K88" t="n">
        <v>1</v>
      </c>
      <c r="L88" t="n">
        <v>0</v>
      </c>
      <c r="M88" t="n">
        <v>0</v>
      </c>
      <c r="N88" t="n">
        <v>0</v>
      </c>
      <c r="O88" t="n">
        <v>1</v>
      </c>
      <c r="P88" t="n">
        <v>1</v>
      </c>
      <c r="Q88" t="n">
        <v>1</v>
      </c>
      <c r="R88" s="2" t="inlineStr">
        <is>
          <t>Plattsäv</t>
        </is>
      </c>
      <c r="S88">
        <f>HYPERLINK("https://klasma.github.io/Logging_0382/artfynd/A 30605-2025 artfynd.xlsx", "A 30605-2025")</f>
        <v/>
      </c>
      <c r="T88">
        <f>HYPERLINK("https://klasma.github.io/Logging_0382/kartor/A 30605-2025 karta.png", "A 30605-2025")</f>
        <v/>
      </c>
      <c r="V88">
        <f>HYPERLINK("https://klasma.github.io/Logging_0382/klagomål/A 30605-2025 FSC-klagomål.docx", "A 30605-2025")</f>
        <v/>
      </c>
      <c r="W88">
        <f>HYPERLINK("https://klasma.github.io/Logging_0382/klagomålsmail/A 30605-2025 FSC-klagomål mail.docx", "A 30605-2025")</f>
        <v/>
      </c>
      <c r="X88">
        <f>HYPERLINK("https://klasma.github.io/Logging_0382/tillsyn/A 30605-2025 tillsynsbegäran.docx", "A 30605-2025")</f>
        <v/>
      </c>
      <c r="Y88">
        <f>HYPERLINK("https://klasma.github.io/Logging_0382/tillsynsmail/A 30605-2025 tillsynsbegäran mail.docx", "A 30605-2025")</f>
        <v/>
      </c>
    </row>
    <row r="89" ht="15" customHeight="1">
      <c r="A89" t="inlineStr">
        <is>
          <t>A 25179-2023</t>
        </is>
      </c>
      <c r="B89" s="1" t="n">
        <v>45078</v>
      </c>
      <c r="C89" s="1" t="n">
        <v>45984</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22209-2022</t>
        </is>
      </c>
      <c r="B90" s="1" t="n">
        <v>44712</v>
      </c>
      <c r="C90" s="1" t="n">
        <v>45984</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22287-2023</t>
        </is>
      </c>
      <c r="B91" s="1" t="n">
        <v>45070</v>
      </c>
      <c r="C91" s="1" t="n">
        <v>45984</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7470-2022</t>
        </is>
      </c>
      <c r="B92" s="1" t="n">
        <v>44607</v>
      </c>
      <c r="C92" s="1" t="n">
        <v>45984</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33800-2024</t>
        </is>
      </c>
      <c r="B93" s="1" t="n">
        <v>45520</v>
      </c>
      <c r="C93" s="1" t="n">
        <v>45984</v>
      </c>
      <c r="D93" t="inlineStr">
        <is>
          <t>UPPSALA LÄN</t>
        </is>
      </c>
      <c r="E93" t="inlineStr">
        <is>
          <t>ÖSTHAMMAR</t>
        </is>
      </c>
      <c r="F93" t="inlineStr">
        <is>
          <t>Naturvårdsverket</t>
        </is>
      </c>
      <c r="G93" t="n">
        <v>1.5</v>
      </c>
      <c r="H93" t="n">
        <v>1</v>
      </c>
      <c r="I93" t="n">
        <v>0</v>
      </c>
      <c r="J93" t="n">
        <v>0</v>
      </c>
      <c r="K93" t="n">
        <v>0</v>
      </c>
      <c r="L93" t="n">
        <v>0</v>
      </c>
      <c r="M93" t="n">
        <v>0</v>
      </c>
      <c r="N93" t="n">
        <v>0</v>
      </c>
      <c r="O93" t="n">
        <v>0</v>
      </c>
      <c r="P93" t="n">
        <v>0</v>
      </c>
      <c r="Q93" t="n">
        <v>1</v>
      </c>
      <c r="R93" s="2" t="inlineStr">
        <is>
          <t>Fläcknycklar</t>
        </is>
      </c>
      <c r="S93">
        <f>HYPERLINK("https://klasma.github.io/Logging_0382/artfynd/A 33800-2024 artfynd.xlsx", "A 33800-2024")</f>
        <v/>
      </c>
      <c r="T93">
        <f>HYPERLINK("https://klasma.github.io/Logging_0382/kartor/A 33800-2024 karta.png", "A 33800-2024")</f>
        <v/>
      </c>
      <c r="V93">
        <f>HYPERLINK("https://klasma.github.io/Logging_0382/klagomål/A 33800-2024 FSC-klagomål.docx", "A 33800-2024")</f>
        <v/>
      </c>
      <c r="W93">
        <f>HYPERLINK("https://klasma.github.io/Logging_0382/klagomålsmail/A 33800-2024 FSC-klagomål mail.docx", "A 33800-2024")</f>
        <v/>
      </c>
      <c r="X93">
        <f>HYPERLINK("https://klasma.github.io/Logging_0382/tillsyn/A 33800-2024 tillsynsbegäran.docx", "A 33800-2024")</f>
        <v/>
      </c>
      <c r="Y93">
        <f>HYPERLINK("https://klasma.github.io/Logging_0382/tillsynsmail/A 33800-2024 tillsynsbegäran mail.docx", "A 33800-2024")</f>
        <v/>
      </c>
    </row>
    <row r="94" ht="15" customHeight="1">
      <c r="A94" t="inlineStr">
        <is>
          <t>A 49839-2021</t>
        </is>
      </c>
      <c r="B94" s="1" t="n">
        <v>44455</v>
      </c>
      <c r="C94" s="1" t="n">
        <v>45984</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22375-2024</t>
        </is>
      </c>
      <c r="B95" s="1" t="n">
        <v>45446</v>
      </c>
      <c r="C95" s="1" t="n">
        <v>45984</v>
      </c>
      <c r="D95" t="inlineStr">
        <is>
          <t>UPPSALA LÄN</t>
        </is>
      </c>
      <c r="E95" t="inlineStr">
        <is>
          <t>ÖSTHAMMAR</t>
        </is>
      </c>
      <c r="F95" t="inlineStr">
        <is>
          <t>Bergvik skog öst AB</t>
        </is>
      </c>
      <c r="G95" t="n">
        <v>2.2</v>
      </c>
      <c r="H95" t="n">
        <v>0</v>
      </c>
      <c r="I95" t="n">
        <v>0</v>
      </c>
      <c r="J95" t="n">
        <v>1</v>
      </c>
      <c r="K95" t="n">
        <v>0</v>
      </c>
      <c r="L95" t="n">
        <v>0</v>
      </c>
      <c r="M95" t="n">
        <v>0</v>
      </c>
      <c r="N95" t="n">
        <v>0</v>
      </c>
      <c r="O95" t="n">
        <v>1</v>
      </c>
      <c r="P95" t="n">
        <v>0</v>
      </c>
      <c r="Q95" t="n">
        <v>1</v>
      </c>
      <c r="R95" s="2" t="inlineStr">
        <is>
          <t>Slåtterfibbla</t>
        </is>
      </c>
      <c r="S95">
        <f>HYPERLINK("https://klasma.github.io/Logging_0382/artfynd/A 22375-2024 artfynd.xlsx", "A 22375-2024")</f>
        <v/>
      </c>
      <c r="T95">
        <f>HYPERLINK("https://klasma.github.io/Logging_0382/kartor/A 22375-2024 karta.png", "A 22375-2024")</f>
        <v/>
      </c>
      <c r="V95">
        <f>HYPERLINK("https://klasma.github.io/Logging_0382/klagomål/A 22375-2024 FSC-klagomål.docx", "A 22375-2024")</f>
        <v/>
      </c>
      <c r="W95">
        <f>HYPERLINK("https://klasma.github.io/Logging_0382/klagomålsmail/A 22375-2024 FSC-klagomål mail.docx", "A 22375-2024")</f>
        <v/>
      </c>
      <c r="X95">
        <f>HYPERLINK("https://klasma.github.io/Logging_0382/tillsyn/A 22375-2024 tillsynsbegäran.docx", "A 22375-2024")</f>
        <v/>
      </c>
      <c r="Y95">
        <f>HYPERLINK("https://klasma.github.io/Logging_0382/tillsynsmail/A 22375-2024 tillsynsbegäran mail.docx", "A 22375-2024")</f>
        <v/>
      </c>
    </row>
    <row r="96" ht="15" customHeight="1">
      <c r="A96" t="inlineStr">
        <is>
          <t>A 37296-2023</t>
        </is>
      </c>
      <c r="B96" s="1" t="n">
        <v>45156</v>
      </c>
      <c r="C96" s="1" t="n">
        <v>45984</v>
      </c>
      <c r="D96" t="inlineStr">
        <is>
          <t>UPPSALA LÄN</t>
        </is>
      </c>
      <c r="E96" t="inlineStr">
        <is>
          <t>ÖSTHAMMAR</t>
        </is>
      </c>
      <c r="G96" t="n">
        <v>4.7</v>
      </c>
      <c r="H96" t="n">
        <v>1</v>
      </c>
      <c r="I96" t="n">
        <v>0</v>
      </c>
      <c r="J96" t="n">
        <v>0</v>
      </c>
      <c r="K96" t="n">
        <v>1</v>
      </c>
      <c r="L96" t="n">
        <v>0</v>
      </c>
      <c r="M96" t="n">
        <v>0</v>
      </c>
      <c r="N96" t="n">
        <v>0</v>
      </c>
      <c r="O96" t="n">
        <v>1</v>
      </c>
      <c r="P96" t="n">
        <v>1</v>
      </c>
      <c r="Q96" t="n">
        <v>1</v>
      </c>
      <c r="R96" s="2" t="inlineStr">
        <is>
          <t>Backsippa</t>
        </is>
      </c>
      <c r="S96">
        <f>HYPERLINK("https://klasma.github.io/Logging_0382/artfynd/A 37296-2023 artfynd.xlsx", "A 37296-2023")</f>
        <v/>
      </c>
      <c r="T96">
        <f>HYPERLINK("https://klasma.github.io/Logging_0382/kartor/A 37296-2023 karta.png", "A 37296-2023")</f>
        <v/>
      </c>
      <c r="V96">
        <f>HYPERLINK("https://klasma.github.io/Logging_0382/klagomål/A 37296-2023 FSC-klagomål.docx", "A 37296-2023")</f>
        <v/>
      </c>
      <c r="W96">
        <f>HYPERLINK("https://klasma.github.io/Logging_0382/klagomålsmail/A 37296-2023 FSC-klagomål mail.docx", "A 37296-2023")</f>
        <v/>
      </c>
      <c r="X96">
        <f>HYPERLINK("https://klasma.github.io/Logging_0382/tillsyn/A 37296-2023 tillsynsbegäran.docx", "A 37296-2023")</f>
        <v/>
      </c>
      <c r="Y96">
        <f>HYPERLINK("https://klasma.github.io/Logging_0382/tillsynsmail/A 37296-2023 tillsynsbegäran mail.docx", "A 37296-2023")</f>
        <v/>
      </c>
    </row>
    <row r="97" ht="15" customHeight="1">
      <c r="A97" t="inlineStr">
        <is>
          <t>A 65989-2021</t>
        </is>
      </c>
      <c r="B97" s="1" t="n">
        <v>44517</v>
      </c>
      <c r="C97" s="1" t="n">
        <v>45984</v>
      </c>
      <c r="D97" t="inlineStr">
        <is>
          <t>UPPSALA LÄN</t>
        </is>
      </c>
      <c r="E97" t="inlineStr">
        <is>
          <t>ÖSTHAMMAR</t>
        </is>
      </c>
      <c r="G97" t="n">
        <v>6.9</v>
      </c>
      <c r="H97" t="n">
        <v>1</v>
      </c>
      <c r="I97" t="n">
        <v>1</v>
      </c>
      <c r="J97" t="n">
        <v>0</v>
      </c>
      <c r="K97" t="n">
        <v>0</v>
      </c>
      <c r="L97" t="n">
        <v>0</v>
      </c>
      <c r="M97" t="n">
        <v>0</v>
      </c>
      <c r="N97" t="n">
        <v>0</v>
      </c>
      <c r="O97" t="n">
        <v>0</v>
      </c>
      <c r="P97" t="n">
        <v>0</v>
      </c>
      <c r="Q97" t="n">
        <v>1</v>
      </c>
      <c r="R97" s="2" t="inlineStr">
        <is>
          <t>Skogsknipprot</t>
        </is>
      </c>
      <c r="S97">
        <f>HYPERLINK("https://klasma.github.io/Logging_0382/artfynd/A 65989-2021 artfynd.xlsx", "A 65989-2021")</f>
        <v/>
      </c>
      <c r="T97">
        <f>HYPERLINK("https://klasma.github.io/Logging_0382/kartor/A 65989-2021 karta.png", "A 65989-2021")</f>
        <v/>
      </c>
      <c r="V97">
        <f>HYPERLINK("https://klasma.github.io/Logging_0382/klagomål/A 65989-2021 FSC-klagomål.docx", "A 65989-2021")</f>
        <v/>
      </c>
      <c r="W97">
        <f>HYPERLINK("https://klasma.github.io/Logging_0382/klagomålsmail/A 65989-2021 FSC-klagomål mail.docx", "A 65989-2021")</f>
        <v/>
      </c>
      <c r="X97">
        <f>HYPERLINK("https://klasma.github.io/Logging_0382/tillsyn/A 65989-2021 tillsynsbegäran.docx", "A 65989-2021")</f>
        <v/>
      </c>
      <c r="Y97">
        <f>HYPERLINK("https://klasma.github.io/Logging_0382/tillsynsmail/A 65989-2021 tillsynsbegäran mail.docx", "A 65989-2021")</f>
        <v/>
      </c>
    </row>
    <row r="98" ht="15" customHeight="1">
      <c r="A98" t="inlineStr">
        <is>
          <t>A 7446-2022</t>
        </is>
      </c>
      <c r="B98" s="1" t="n">
        <v>44606</v>
      </c>
      <c r="C98" s="1" t="n">
        <v>45984</v>
      </c>
      <c r="D98" t="inlineStr">
        <is>
          <t>UPPSALA LÄN</t>
        </is>
      </c>
      <c r="E98" t="inlineStr">
        <is>
          <t>ÖSTHAMMAR</t>
        </is>
      </c>
      <c r="G98" t="n">
        <v>5</v>
      </c>
      <c r="H98" t="n">
        <v>1</v>
      </c>
      <c r="I98" t="n">
        <v>0</v>
      </c>
      <c r="J98" t="n">
        <v>0</v>
      </c>
      <c r="K98" t="n">
        <v>0</v>
      </c>
      <c r="L98" t="n">
        <v>0</v>
      </c>
      <c r="M98" t="n">
        <v>0</v>
      </c>
      <c r="N98" t="n">
        <v>0</v>
      </c>
      <c r="O98" t="n">
        <v>0</v>
      </c>
      <c r="P98" t="n">
        <v>0</v>
      </c>
      <c r="Q98" t="n">
        <v>1</v>
      </c>
      <c r="R98" s="2" t="inlineStr">
        <is>
          <t>Mattlummer</t>
        </is>
      </c>
      <c r="S98">
        <f>HYPERLINK("https://klasma.github.io/Logging_0382/artfynd/A 7446-2022 artfynd.xlsx", "A 7446-2022")</f>
        <v/>
      </c>
      <c r="T98">
        <f>HYPERLINK("https://klasma.github.io/Logging_0382/kartor/A 7446-2022 karta.png", "A 7446-2022")</f>
        <v/>
      </c>
      <c r="V98">
        <f>HYPERLINK("https://klasma.github.io/Logging_0382/klagomål/A 7446-2022 FSC-klagomål.docx", "A 7446-2022")</f>
        <v/>
      </c>
      <c r="W98">
        <f>HYPERLINK("https://klasma.github.io/Logging_0382/klagomålsmail/A 7446-2022 FSC-klagomål mail.docx", "A 7446-2022")</f>
        <v/>
      </c>
      <c r="X98">
        <f>HYPERLINK("https://klasma.github.io/Logging_0382/tillsyn/A 7446-2022 tillsynsbegäran.docx", "A 7446-2022")</f>
        <v/>
      </c>
      <c r="Y98">
        <f>HYPERLINK("https://klasma.github.io/Logging_0382/tillsynsmail/A 7446-2022 tillsynsbegäran mail.docx", "A 7446-2022")</f>
        <v/>
      </c>
    </row>
    <row r="99" ht="15" customHeight="1">
      <c r="A99" t="inlineStr">
        <is>
          <t>A 1227-2022</t>
        </is>
      </c>
      <c r="B99" s="1" t="n">
        <v>44572.57641203704</v>
      </c>
      <c r="C99" s="1" t="n">
        <v>45984</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29679-2023</t>
        </is>
      </c>
      <c r="B100" s="1" t="n">
        <v>45107</v>
      </c>
      <c r="C100" s="1" t="n">
        <v>45984</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45984</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34090-2023</t>
        </is>
      </c>
      <c r="B102" s="1" t="n">
        <v>45135</v>
      </c>
      <c r="C102" s="1" t="n">
        <v>45984</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14706-2023</t>
        </is>
      </c>
      <c r="B103" s="1" t="n">
        <v>45013</v>
      </c>
      <c r="C103" s="1" t="n">
        <v>45984</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12753-2024</t>
        </is>
      </c>
      <c r="B104" s="1" t="n">
        <v>45384</v>
      </c>
      <c r="C104" s="1" t="n">
        <v>45984</v>
      </c>
      <c r="D104" t="inlineStr">
        <is>
          <t>UPPSALA LÄN</t>
        </is>
      </c>
      <c r="E104" t="inlineStr">
        <is>
          <t>ÖSTHAMMAR</t>
        </is>
      </c>
      <c r="G104" t="n">
        <v>1.7</v>
      </c>
      <c r="H104" t="n">
        <v>0</v>
      </c>
      <c r="I104" t="n">
        <v>0</v>
      </c>
      <c r="J104" t="n">
        <v>1</v>
      </c>
      <c r="K104" t="n">
        <v>0</v>
      </c>
      <c r="L104" t="n">
        <v>0</v>
      </c>
      <c r="M104" t="n">
        <v>0</v>
      </c>
      <c r="N104" t="n">
        <v>0</v>
      </c>
      <c r="O104" t="n">
        <v>1</v>
      </c>
      <c r="P104" t="n">
        <v>0</v>
      </c>
      <c r="Q104" t="n">
        <v>1</v>
      </c>
      <c r="R104" s="2" t="inlineStr">
        <is>
          <t>Flattoppad klubbsvamp</t>
        </is>
      </c>
      <c r="S104">
        <f>HYPERLINK("https://klasma.github.io/Logging_0382/artfynd/A 12753-2024 artfynd.xlsx", "A 12753-2024")</f>
        <v/>
      </c>
      <c r="T104">
        <f>HYPERLINK("https://klasma.github.io/Logging_0382/kartor/A 12753-2024 karta.png", "A 12753-2024")</f>
        <v/>
      </c>
      <c r="V104">
        <f>HYPERLINK("https://klasma.github.io/Logging_0382/klagomål/A 12753-2024 FSC-klagomål.docx", "A 12753-2024")</f>
        <v/>
      </c>
      <c r="W104">
        <f>HYPERLINK("https://klasma.github.io/Logging_0382/klagomålsmail/A 12753-2024 FSC-klagomål mail.docx", "A 12753-2024")</f>
        <v/>
      </c>
      <c r="X104">
        <f>HYPERLINK("https://klasma.github.io/Logging_0382/tillsyn/A 12753-2024 tillsynsbegäran.docx", "A 12753-2024")</f>
        <v/>
      </c>
      <c r="Y104">
        <f>HYPERLINK("https://klasma.github.io/Logging_0382/tillsynsmail/A 12753-2024 tillsynsbegäran mail.docx", "A 12753-2024")</f>
        <v/>
      </c>
    </row>
    <row r="105" ht="15" customHeight="1">
      <c r="A105" t="inlineStr">
        <is>
          <t>A 3693-2021</t>
        </is>
      </c>
      <c r="B105" s="1" t="n">
        <v>44221</v>
      </c>
      <c r="C105" s="1" t="n">
        <v>45984</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45984</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45984</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45984</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62484-2020</t>
        </is>
      </c>
      <c r="B109" s="1" t="n">
        <v>44160</v>
      </c>
      <c r="C109" s="1" t="n">
        <v>45984</v>
      </c>
      <c r="D109" t="inlineStr">
        <is>
          <t>UPPSALA LÄN</t>
        </is>
      </c>
      <c r="E109" t="inlineStr">
        <is>
          <t>ÖSTHAMMAR</t>
        </is>
      </c>
      <c r="G109" t="n">
        <v>1.4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45984</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25434-2022</t>
        </is>
      </c>
      <c r="B111" s="1" t="n">
        <v>44732.48165509259</v>
      </c>
      <c r="C111" s="1" t="n">
        <v>45984</v>
      </c>
      <c r="D111" t="inlineStr">
        <is>
          <t>UPPSALA LÄN</t>
        </is>
      </c>
      <c r="E111" t="inlineStr">
        <is>
          <t>ÖSTHAMMAR</t>
        </is>
      </c>
      <c r="G111" t="n">
        <v>0.8</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45984</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45984</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45984</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45984</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45984</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45984</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45984</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45984</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45984</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45984</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45984</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45984</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45984</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45984</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45984</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45984</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45984</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45984</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45984</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45984</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13867-2022</t>
        </is>
      </c>
      <c r="B132" s="1" t="n">
        <v>44649.90252314815</v>
      </c>
      <c r="C132" s="1" t="n">
        <v>45984</v>
      </c>
      <c r="D132" t="inlineStr">
        <is>
          <t>UPPSALA LÄN</t>
        </is>
      </c>
      <c r="E132" t="inlineStr">
        <is>
          <t>ÖSTHAMMAR</t>
        </is>
      </c>
      <c r="F132" t="inlineStr">
        <is>
          <t>Bergvik skog öst AB</t>
        </is>
      </c>
      <c r="G132" t="n">
        <v>1.1</v>
      </c>
      <c r="H132" t="n">
        <v>0</v>
      </c>
      <c r="I132" t="n">
        <v>0</v>
      </c>
      <c r="J132" t="n">
        <v>0</v>
      </c>
      <c r="K132" t="n">
        <v>0</v>
      </c>
      <c r="L132" t="n">
        <v>0</v>
      </c>
      <c r="M132" t="n">
        <v>0</v>
      </c>
      <c r="N132" t="n">
        <v>0</v>
      </c>
      <c r="O132" t="n">
        <v>0</v>
      </c>
      <c r="P132" t="n">
        <v>0</v>
      </c>
      <c r="Q132" t="n">
        <v>0</v>
      </c>
      <c r="R132" s="2" t="inlineStr"/>
    </row>
    <row r="133" ht="15" customHeight="1">
      <c r="A133" t="inlineStr">
        <is>
          <t>A 26257-2021</t>
        </is>
      </c>
      <c r="B133" s="1" t="n">
        <v>44347</v>
      </c>
      <c r="C133" s="1" t="n">
        <v>45984</v>
      </c>
      <c r="D133" t="inlineStr">
        <is>
          <t>UPPSALA LÄN</t>
        </is>
      </c>
      <c r="E133" t="inlineStr">
        <is>
          <t>ÖSTHAMMAR</t>
        </is>
      </c>
      <c r="G133" t="n">
        <v>3.2</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45984</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45984</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45984</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45984</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45984</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45984</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45984</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8009-2021</t>
        </is>
      </c>
      <c r="B141" s="1" t="n">
        <v>44243</v>
      </c>
      <c r="C141" s="1" t="n">
        <v>45984</v>
      </c>
      <c r="D141" t="inlineStr">
        <is>
          <t>UPPSALA LÄN</t>
        </is>
      </c>
      <c r="E141" t="inlineStr">
        <is>
          <t>ÖSTHAMMAR</t>
        </is>
      </c>
      <c r="G141" t="n">
        <v>9.9</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45984</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4315-2022</t>
        </is>
      </c>
      <c r="B143" s="1" t="n">
        <v>44588</v>
      </c>
      <c r="C143" s="1" t="n">
        <v>45984</v>
      </c>
      <c r="D143" t="inlineStr">
        <is>
          <t>UPPSALA LÄN</t>
        </is>
      </c>
      <c r="E143" t="inlineStr">
        <is>
          <t>ÖSTHAMMAR</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45984</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45984</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45984</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45984</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45984</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45984</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45984</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45984</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45984</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45984</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45984</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45984</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45984</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45984</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45984</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45984</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45984</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45984</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45984</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4491-2022</t>
        </is>
      </c>
      <c r="B163" s="1" t="n">
        <v>44589.66446759259</v>
      </c>
      <c r="C163" s="1" t="n">
        <v>45984</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41558-2021</t>
        </is>
      </c>
      <c r="B164" s="1" t="n">
        <v>44425.37835648148</v>
      </c>
      <c r="C164" s="1" t="n">
        <v>45984</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15457-2022</t>
        </is>
      </c>
      <c r="B165" s="1" t="n">
        <v>44661.74027777778</v>
      </c>
      <c r="C165" s="1" t="n">
        <v>45984</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45984</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45984</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25987-2022</t>
        </is>
      </c>
      <c r="B168" s="1" t="n">
        <v>44734.49601851852</v>
      </c>
      <c r="C168" s="1" t="n">
        <v>45984</v>
      </c>
      <c r="D168" t="inlineStr">
        <is>
          <t>UPPSALA LÄN</t>
        </is>
      </c>
      <c r="E168" t="inlineStr">
        <is>
          <t>ÖSTHAMMAR</t>
        </is>
      </c>
      <c r="G168" t="n">
        <v>0.6</v>
      </c>
      <c r="H168" t="n">
        <v>0</v>
      </c>
      <c r="I168" t="n">
        <v>0</v>
      </c>
      <c r="J168" t="n">
        <v>0</v>
      </c>
      <c r="K168" t="n">
        <v>0</v>
      </c>
      <c r="L168" t="n">
        <v>0</v>
      </c>
      <c r="M168" t="n">
        <v>0</v>
      </c>
      <c r="N168" t="n">
        <v>0</v>
      </c>
      <c r="O168" t="n">
        <v>0</v>
      </c>
      <c r="P168" t="n">
        <v>0</v>
      </c>
      <c r="Q168" t="n">
        <v>0</v>
      </c>
      <c r="R168" s="2" t="inlineStr"/>
    </row>
    <row r="169" ht="15" customHeight="1">
      <c r="A169" t="inlineStr">
        <is>
          <t>A 37545-2022</t>
        </is>
      </c>
      <c r="B169" s="1" t="n">
        <v>44809.63373842592</v>
      </c>
      <c r="C169" s="1" t="n">
        <v>45984</v>
      </c>
      <c r="D169" t="inlineStr">
        <is>
          <t>UPPSALA LÄN</t>
        </is>
      </c>
      <c r="E169" t="inlineStr">
        <is>
          <t>ÖSTHAMMAR</t>
        </is>
      </c>
      <c r="G169" t="n">
        <v>3.1</v>
      </c>
      <c r="H169" t="n">
        <v>0</v>
      </c>
      <c r="I169" t="n">
        <v>0</v>
      </c>
      <c r="J169" t="n">
        <v>0</v>
      </c>
      <c r="K169" t="n">
        <v>0</v>
      </c>
      <c r="L169" t="n">
        <v>0</v>
      </c>
      <c r="M169" t="n">
        <v>0</v>
      </c>
      <c r="N169" t="n">
        <v>0</v>
      </c>
      <c r="O169" t="n">
        <v>0</v>
      </c>
      <c r="P169" t="n">
        <v>0</v>
      </c>
      <c r="Q169" t="n">
        <v>0</v>
      </c>
      <c r="R169" s="2" t="inlineStr"/>
    </row>
    <row r="170" ht="15" customHeight="1">
      <c r="A170" t="inlineStr">
        <is>
          <t>A 38501-2022</t>
        </is>
      </c>
      <c r="B170" s="1" t="n">
        <v>44813</v>
      </c>
      <c r="C170" s="1" t="n">
        <v>45984</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37813-2022</t>
        </is>
      </c>
      <c r="B171" s="1" t="n">
        <v>44810</v>
      </c>
      <c r="C171" s="1" t="n">
        <v>45984</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45984</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22207-2022</t>
        </is>
      </c>
      <c r="B173" s="1" t="n">
        <v>44712.51509259259</v>
      </c>
      <c r="C173" s="1" t="n">
        <v>45984</v>
      </c>
      <c r="D173" t="inlineStr">
        <is>
          <t>UPPSALA LÄN</t>
        </is>
      </c>
      <c r="E173" t="inlineStr">
        <is>
          <t>ÖSTHAMMAR</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45984</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45984</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45984</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7871-2022</t>
        </is>
      </c>
      <c r="B177" s="1" t="n">
        <v>44608</v>
      </c>
      <c r="C177" s="1" t="n">
        <v>45984</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51906-2022</t>
        </is>
      </c>
      <c r="B178" s="1" t="n">
        <v>44872.62109953703</v>
      </c>
      <c r="C178" s="1" t="n">
        <v>45984</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6221-2021</t>
        </is>
      </c>
      <c r="B179" s="1" t="n">
        <v>44235</v>
      </c>
      <c r="C179" s="1" t="n">
        <v>45984</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31182-2022</t>
        </is>
      </c>
      <c r="B180" s="1" t="n">
        <v>44770</v>
      </c>
      <c r="C180" s="1" t="n">
        <v>45984</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26534-2022</t>
        </is>
      </c>
      <c r="B181" s="1" t="n">
        <v>44739</v>
      </c>
      <c r="C181" s="1" t="n">
        <v>45984</v>
      </c>
      <c r="D181" t="inlineStr">
        <is>
          <t>UPPSALA LÄN</t>
        </is>
      </c>
      <c r="E181" t="inlineStr">
        <is>
          <t>ÖSTHAMMAR</t>
        </is>
      </c>
      <c r="F181" t="inlineStr">
        <is>
          <t>Övriga statliga verk och myndigheter</t>
        </is>
      </c>
      <c r="G181" t="n">
        <v>0.6</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45984</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45984</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2168-2022</t>
        </is>
      </c>
      <c r="B184" s="1" t="n">
        <v>44578</v>
      </c>
      <c r="C184" s="1" t="n">
        <v>45984</v>
      </c>
      <c r="D184" t="inlineStr">
        <is>
          <t>UPPSALA LÄN</t>
        </is>
      </c>
      <c r="E184" t="inlineStr">
        <is>
          <t>ÖSTHAMMAR</t>
        </is>
      </c>
      <c r="G184" t="n">
        <v>2.9</v>
      </c>
      <c r="H184" t="n">
        <v>0</v>
      </c>
      <c r="I184" t="n">
        <v>0</v>
      </c>
      <c r="J184" t="n">
        <v>0</v>
      </c>
      <c r="K184" t="n">
        <v>0</v>
      </c>
      <c r="L184" t="n">
        <v>0</v>
      </c>
      <c r="M184" t="n">
        <v>0</v>
      </c>
      <c r="N184" t="n">
        <v>0</v>
      </c>
      <c r="O184" t="n">
        <v>0</v>
      </c>
      <c r="P184" t="n">
        <v>0</v>
      </c>
      <c r="Q184" t="n">
        <v>0</v>
      </c>
      <c r="R184" s="2" t="inlineStr"/>
    </row>
    <row r="185" ht="15" customHeight="1">
      <c r="A185" t="inlineStr">
        <is>
          <t>A 18734-2022</t>
        </is>
      </c>
      <c r="B185" s="1" t="n">
        <v>44687.86751157408</v>
      </c>
      <c r="C185" s="1" t="n">
        <v>45984</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45984</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19214-2021</t>
        </is>
      </c>
      <c r="B187" s="1" t="n">
        <v>44309.28576388889</v>
      </c>
      <c r="C187" s="1" t="n">
        <v>45984</v>
      </c>
      <c r="D187" t="inlineStr">
        <is>
          <t>UPPSALA LÄN</t>
        </is>
      </c>
      <c r="E187" t="inlineStr">
        <is>
          <t>ÖSTHAMMAR</t>
        </is>
      </c>
      <c r="F187" t="inlineStr">
        <is>
          <t>Bergvik skog öst AB</t>
        </is>
      </c>
      <c r="G187" t="n">
        <v>6</v>
      </c>
      <c r="H187" t="n">
        <v>0</v>
      </c>
      <c r="I187" t="n">
        <v>0</v>
      </c>
      <c r="J187" t="n">
        <v>0</v>
      </c>
      <c r="K187" t="n">
        <v>0</v>
      </c>
      <c r="L187" t="n">
        <v>0</v>
      </c>
      <c r="M187" t="n">
        <v>0</v>
      </c>
      <c r="N187" t="n">
        <v>0</v>
      </c>
      <c r="O187" t="n">
        <v>0</v>
      </c>
      <c r="P187" t="n">
        <v>0</v>
      </c>
      <c r="Q187" t="n">
        <v>0</v>
      </c>
      <c r="R187" s="2" t="inlineStr"/>
    </row>
    <row r="188" ht="15" customHeight="1">
      <c r="A188" t="inlineStr">
        <is>
          <t>A 17013-2022</t>
        </is>
      </c>
      <c r="B188" s="1" t="n">
        <v>44676</v>
      </c>
      <c r="C188" s="1" t="n">
        <v>45984</v>
      </c>
      <c r="D188" t="inlineStr">
        <is>
          <t>UPPSALA LÄN</t>
        </is>
      </c>
      <c r="E188" t="inlineStr">
        <is>
          <t>ÖSTHAMMAR</t>
        </is>
      </c>
      <c r="F188" t="inlineStr">
        <is>
          <t>Bergvik skog öst AB</t>
        </is>
      </c>
      <c r="G188" t="n">
        <v>0.2</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45984</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16185-2022</t>
        </is>
      </c>
      <c r="B190" s="1" t="n">
        <v>44669</v>
      </c>
      <c r="C190" s="1" t="n">
        <v>45984</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24316-2021</t>
        </is>
      </c>
      <c r="B191" s="1" t="n">
        <v>44337</v>
      </c>
      <c r="C191" s="1" t="n">
        <v>45984</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45984</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45984</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34418-2022</t>
        </is>
      </c>
      <c r="B194" s="1" t="n">
        <v>44792</v>
      </c>
      <c r="C194" s="1" t="n">
        <v>45984</v>
      </c>
      <c r="D194" t="inlineStr">
        <is>
          <t>UPPSALA LÄN</t>
        </is>
      </c>
      <c r="E194" t="inlineStr">
        <is>
          <t>ÖSTHAMMAR</t>
        </is>
      </c>
      <c r="G194" t="n">
        <v>0.3</v>
      </c>
      <c r="H194" t="n">
        <v>0</v>
      </c>
      <c r="I194" t="n">
        <v>0</v>
      </c>
      <c r="J194" t="n">
        <v>0</v>
      </c>
      <c r="K194" t="n">
        <v>0</v>
      </c>
      <c r="L194" t="n">
        <v>0</v>
      </c>
      <c r="M194" t="n">
        <v>0</v>
      </c>
      <c r="N194" t="n">
        <v>0</v>
      </c>
      <c r="O194" t="n">
        <v>0</v>
      </c>
      <c r="P194" t="n">
        <v>0</v>
      </c>
      <c r="Q194" t="n">
        <v>0</v>
      </c>
      <c r="R194" s="2" t="inlineStr"/>
    </row>
    <row r="195" ht="15" customHeight="1">
      <c r="A195" t="inlineStr">
        <is>
          <t>A 17022-2021</t>
        </is>
      </c>
      <c r="B195" s="1" t="n">
        <v>44295.65875</v>
      </c>
      <c r="C195" s="1" t="n">
        <v>45984</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33062-2021</t>
        </is>
      </c>
      <c r="B196" s="1" t="n">
        <v>44376</v>
      </c>
      <c r="C196" s="1" t="n">
        <v>45984</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19040-2023</t>
        </is>
      </c>
      <c r="B197" s="1" t="n">
        <v>45047</v>
      </c>
      <c r="C197" s="1" t="n">
        <v>45984</v>
      </c>
      <c r="D197" t="inlineStr">
        <is>
          <t>UPPSALA LÄN</t>
        </is>
      </c>
      <c r="E197" t="inlineStr">
        <is>
          <t>ÖSTHAMMAR</t>
        </is>
      </c>
      <c r="F197" t="inlineStr">
        <is>
          <t>Bergvik skog öst AB</t>
        </is>
      </c>
      <c r="G197" t="n">
        <v>1.7</v>
      </c>
      <c r="H197" t="n">
        <v>0</v>
      </c>
      <c r="I197" t="n">
        <v>0</v>
      </c>
      <c r="J197" t="n">
        <v>0</v>
      </c>
      <c r="K197" t="n">
        <v>0</v>
      </c>
      <c r="L197" t="n">
        <v>0</v>
      </c>
      <c r="M197" t="n">
        <v>0</v>
      </c>
      <c r="N197" t="n">
        <v>0</v>
      </c>
      <c r="O197" t="n">
        <v>0</v>
      </c>
      <c r="P197" t="n">
        <v>0</v>
      </c>
      <c r="Q197" t="n">
        <v>0</v>
      </c>
      <c r="R197" s="2" t="inlineStr"/>
    </row>
    <row r="198" ht="15" customHeight="1">
      <c r="A198" t="inlineStr">
        <is>
          <t>A 1436-2025</t>
        </is>
      </c>
      <c r="B198" s="1" t="n">
        <v>45669.67625</v>
      </c>
      <c r="C198" s="1" t="n">
        <v>45984</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18838-2023</t>
        </is>
      </c>
      <c r="B199" s="1" t="n">
        <v>45044</v>
      </c>
      <c r="C199" s="1" t="n">
        <v>45984</v>
      </c>
      <c r="D199" t="inlineStr">
        <is>
          <t>UPPSALA LÄN</t>
        </is>
      </c>
      <c r="E199" t="inlineStr">
        <is>
          <t>ÖSTHAMMAR</t>
        </is>
      </c>
      <c r="G199" t="n">
        <v>2.8</v>
      </c>
      <c r="H199" t="n">
        <v>0</v>
      </c>
      <c r="I199" t="n">
        <v>0</v>
      </c>
      <c r="J199" t="n">
        <v>0</v>
      </c>
      <c r="K199" t="n">
        <v>0</v>
      </c>
      <c r="L199" t="n">
        <v>0</v>
      </c>
      <c r="M199" t="n">
        <v>0</v>
      </c>
      <c r="N199" t="n">
        <v>0</v>
      </c>
      <c r="O199" t="n">
        <v>0</v>
      </c>
      <c r="P199" t="n">
        <v>0</v>
      </c>
      <c r="Q199" t="n">
        <v>0</v>
      </c>
      <c r="R199" s="2" t="inlineStr"/>
    </row>
    <row r="200" ht="15" customHeight="1">
      <c r="A200" t="inlineStr">
        <is>
          <t>A 38702-2022</t>
        </is>
      </c>
      <c r="B200" s="1" t="n">
        <v>44814.5991087963</v>
      </c>
      <c r="C200" s="1" t="n">
        <v>45984</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49097-2022</t>
        </is>
      </c>
      <c r="B201" s="1" t="n">
        <v>44860</v>
      </c>
      <c r="C201" s="1" t="n">
        <v>45984</v>
      </c>
      <c r="D201" t="inlineStr">
        <is>
          <t>UPPSALA LÄN</t>
        </is>
      </c>
      <c r="E201" t="inlineStr">
        <is>
          <t>ÖSTHAMMAR</t>
        </is>
      </c>
      <c r="G201" t="n">
        <v>6.9</v>
      </c>
      <c r="H201" t="n">
        <v>0</v>
      </c>
      <c r="I201" t="n">
        <v>0</v>
      </c>
      <c r="J201" t="n">
        <v>0</v>
      </c>
      <c r="K201" t="n">
        <v>0</v>
      </c>
      <c r="L201" t="n">
        <v>0</v>
      </c>
      <c r="M201" t="n">
        <v>0</v>
      </c>
      <c r="N201" t="n">
        <v>0</v>
      </c>
      <c r="O201" t="n">
        <v>0</v>
      </c>
      <c r="P201" t="n">
        <v>0</v>
      </c>
      <c r="Q201" t="n">
        <v>0</v>
      </c>
      <c r="R201" s="2" t="inlineStr"/>
    </row>
    <row r="202" ht="15" customHeight="1">
      <c r="A202" t="inlineStr">
        <is>
          <t>A 20326-2021</t>
        </is>
      </c>
      <c r="B202" s="1" t="n">
        <v>44308</v>
      </c>
      <c r="C202" s="1" t="n">
        <v>45984</v>
      </c>
      <c r="D202" t="inlineStr">
        <is>
          <t>UPPSALA LÄN</t>
        </is>
      </c>
      <c r="E202" t="inlineStr">
        <is>
          <t>ÖSTHAMMAR</t>
        </is>
      </c>
      <c r="G202" t="n">
        <v>0.7</v>
      </c>
      <c r="H202" t="n">
        <v>0</v>
      </c>
      <c r="I202" t="n">
        <v>0</v>
      </c>
      <c r="J202" t="n">
        <v>0</v>
      </c>
      <c r="K202" t="n">
        <v>0</v>
      </c>
      <c r="L202" t="n">
        <v>0</v>
      </c>
      <c r="M202" t="n">
        <v>0</v>
      </c>
      <c r="N202" t="n">
        <v>0</v>
      </c>
      <c r="O202" t="n">
        <v>0</v>
      </c>
      <c r="P202" t="n">
        <v>0</v>
      </c>
      <c r="Q202" t="n">
        <v>0</v>
      </c>
      <c r="R202" s="2" t="inlineStr"/>
    </row>
    <row r="203" ht="15" customHeight="1">
      <c r="A203" t="inlineStr">
        <is>
          <t>A 28421-2023</t>
        </is>
      </c>
      <c r="B203" s="1" t="n">
        <v>45102</v>
      </c>
      <c r="C203" s="1" t="n">
        <v>45984</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17867-2024</t>
        </is>
      </c>
      <c r="B204" s="1" t="n">
        <v>45419.44106481481</v>
      </c>
      <c r="C204" s="1" t="n">
        <v>45984</v>
      </c>
      <c r="D204" t="inlineStr">
        <is>
          <t>UPPSALA LÄN</t>
        </is>
      </c>
      <c r="E204" t="inlineStr">
        <is>
          <t>ÖSTHAMMAR</t>
        </is>
      </c>
      <c r="G204" t="n">
        <v>7.2</v>
      </c>
      <c r="H204" t="n">
        <v>0</v>
      </c>
      <c r="I204" t="n">
        <v>0</v>
      </c>
      <c r="J204" t="n">
        <v>0</v>
      </c>
      <c r="K204" t="n">
        <v>0</v>
      </c>
      <c r="L204" t="n">
        <v>0</v>
      </c>
      <c r="M204" t="n">
        <v>0</v>
      </c>
      <c r="N204" t="n">
        <v>0</v>
      </c>
      <c r="O204" t="n">
        <v>0</v>
      </c>
      <c r="P204" t="n">
        <v>0</v>
      </c>
      <c r="Q204" t="n">
        <v>0</v>
      </c>
      <c r="R204" s="2" t="inlineStr"/>
    </row>
    <row r="205" ht="15" customHeight="1">
      <c r="A205" t="inlineStr">
        <is>
          <t>A 22488-2025</t>
        </is>
      </c>
      <c r="B205" s="1" t="n">
        <v>45786.64865740741</v>
      </c>
      <c r="C205" s="1" t="n">
        <v>45984</v>
      </c>
      <c r="D205" t="inlineStr">
        <is>
          <t>UPPSALA LÄN</t>
        </is>
      </c>
      <c r="E205" t="inlineStr">
        <is>
          <t>ÖSTHAMMAR</t>
        </is>
      </c>
      <c r="F205" t="inlineStr">
        <is>
          <t>Bergvik skog öst AB</t>
        </is>
      </c>
      <c r="G205" t="n">
        <v>14.9</v>
      </c>
      <c r="H205" t="n">
        <v>0</v>
      </c>
      <c r="I205" t="n">
        <v>0</v>
      </c>
      <c r="J205" t="n">
        <v>0</v>
      </c>
      <c r="K205" t="n">
        <v>0</v>
      </c>
      <c r="L205" t="n">
        <v>0</v>
      </c>
      <c r="M205" t="n">
        <v>0</v>
      </c>
      <c r="N205" t="n">
        <v>0</v>
      </c>
      <c r="O205" t="n">
        <v>0</v>
      </c>
      <c r="P205" t="n">
        <v>0</v>
      </c>
      <c r="Q205" t="n">
        <v>0</v>
      </c>
      <c r="R205" s="2" t="inlineStr"/>
    </row>
    <row r="206" ht="15" customHeight="1">
      <c r="A206" t="inlineStr">
        <is>
          <t>A 36954-2024</t>
        </is>
      </c>
      <c r="B206" s="1" t="n">
        <v>45538.71109953704</v>
      </c>
      <c r="C206" s="1" t="n">
        <v>45984</v>
      </c>
      <c r="D206" t="inlineStr">
        <is>
          <t>UPPSALA LÄN</t>
        </is>
      </c>
      <c r="E206" t="inlineStr">
        <is>
          <t>ÖSTHAMMAR</t>
        </is>
      </c>
      <c r="F206" t="inlineStr">
        <is>
          <t>Bergvik skog öst AB</t>
        </is>
      </c>
      <c r="G206" t="n">
        <v>5.1</v>
      </c>
      <c r="H206" t="n">
        <v>0</v>
      </c>
      <c r="I206" t="n">
        <v>0</v>
      </c>
      <c r="J206" t="n">
        <v>0</v>
      </c>
      <c r="K206" t="n">
        <v>0</v>
      </c>
      <c r="L206" t="n">
        <v>0</v>
      </c>
      <c r="M206" t="n">
        <v>0</v>
      </c>
      <c r="N206" t="n">
        <v>0</v>
      </c>
      <c r="O206" t="n">
        <v>0</v>
      </c>
      <c r="P206" t="n">
        <v>0</v>
      </c>
      <c r="Q206" t="n">
        <v>0</v>
      </c>
      <c r="R206" s="2" t="inlineStr"/>
    </row>
    <row r="207" ht="15" customHeight="1">
      <c r="A207" t="inlineStr">
        <is>
          <t>A 12756-2024</t>
        </is>
      </c>
      <c r="B207" s="1" t="n">
        <v>45384</v>
      </c>
      <c r="C207" s="1" t="n">
        <v>45984</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22483-2025</t>
        </is>
      </c>
      <c r="B208" s="1" t="n">
        <v>45786.64141203704</v>
      </c>
      <c r="C208" s="1" t="n">
        <v>45984</v>
      </c>
      <c r="D208" t="inlineStr">
        <is>
          <t>UPPSALA LÄN</t>
        </is>
      </c>
      <c r="E208" t="inlineStr">
        <is>
          <t>ÖSTHAMMAR</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59291-2023</t>
        </is>
      </c>
      <c r="B209" s="1" t="n">
        <v>45253.57559027777</v>
      </c>
      <c r="C209" s="1" t="n">
        <v>45984</v>
      </c>
      <c r="D209" t="inlineStr">
        <is>
          <t>UPPSALA LÄN</t>
        </is>
      </c>
      <c r="E209" t="inlineStr">
        <is>
          <t>ÖSTHAMMAR</t>
        </is>
      </c>
      <c r="G209" t="n">
        <v>1.7</v>
      </c>
      <c r="H209" t="n">
        <v>0</v>
      </c>
      <c r="I209" t="n">
        <v>0</v>
      </c>
      <c r="J209" t="n">
        <v>0</v>
      </c>
      <c r="K209" t="n">
        <v>0</v>
      </c>
      <c r="L209" t="n">
        <v>0</v>
      </c>
      <c r="M209" t="n">
        <v>0</v>
      </c>
      <c r="N209" t="n">
        <v>0</v>
      </c>
      <c r="O209" t="n">
        <v>0</v>
      </c>
      <c r="P209" t="n">
        <v>0</v>
      </c>
      <c r="Q209" t="n">
        <v>0</v>
      </c>
      <c r="R209" s="2" t="inlineStr"/>
    </row>
    <row r="210" ht="15" customHeight="1">
      <c r="A210" t="inlineStr">
        <is>
          <t>A 43685-2024</t>
        </is>
      </c>
      <c r="B210" s="1" t="n">
        <v>45569</v>
      </c>
      <c r="C210" s="1" t="n">
        <v>45984</v>
      </c>
      <c r="D210" t="inlineStr">
        <is>
          <t>UPPSALA LÄN</t>
        </is>
      </c>
      <c r="E210" t="inlineStr">
        <is>
          <t>ÖSTHAMMAR</t>
        </is>
      </c>
      <c r="G210" t="n">
        <v>1.1</v>
      </c>
      <c r="H210" t="n">
        <v>0</v>
      </c>
      <c r="I210" t="n">
        <v>0</v>
      </c>
      <c r="J210" t="n">
        <v>0</v>
      </c>
      <c r="K210" t="n">
        <v>0</v>
      </c>
      <c r="L210" t="n">
        <v>0</v>
      </c>
      <c r="M210" t="n">
        <v>0</v>
      </c>
      <c r="N210" t="n">
        <v>0</v>
      </c>
      <c r="O210" t="n">
        <v>0</v>
      </c>
      <c r="P210" t="n">
        <v>0</v>
      </c>
      <c r="Q210" t="n">
        <v>0</v>
      </c>
      <c r="R210" s="2" t="inlineStr"/>
    </row>
    <row r="211" ht="15" customHeight="1">
      <c r="A211" t="inlineStr">
        <is>
          <t>A 38575-2024</t>
        </is>
      </c>
      <c r="B211" s="1" t="n">
        <v>45546.64221064815</v>
      </c>
      <c r="C211" s="1" t="n">
        <v>45984</v>
      </c>
      <c r="D211" t="inlineStr">
        <is>
          <t>UPPSALA LÄN</t>
        </is>
      </c>
      <c r="E211" t="inlineStr">
        <is>
          <t>ÖSTHAMMAR</t>
        </is>
      </c>
      <c r="F211" t="inlineStr">
        <is>
          <t>Bergvik skog öst AB</t>
        </is>
      </c>
      <c r="G211" t="n">
        <v>5.1</v>
      </c>
      <c r="H211" t="n">
        <v>0</v>
      </c>
      <c r="I211" t="n">
        <v>0</v>
      </c>
      <c r="J211" t="n">
        <v>0</v>
      </c>
      <c r="K211" t="n">
        <v>0</v>
      </c>
      <c r="L211" t="n">
        <v>0</v>
      </c>
      <c r="M211" t="n">
        <v>0</v>
      </c>
      <c r="N211" t="n">
        <v>0</v>
      </c>
      <c r="O211" t="n">
        <v>0</v>
      </c>
      <c r="P211" t="n">
        <v>0</v>
      </c>
      <c r="Q211" t="n">
        <v>0</v>
      </c>
      <c r="R211" s="2" t="inlineStr"/>
    </row>
    <row r="212" ht="15" customHeight="1">
      <c r="A212" t="inlineStr">
        <is>
          <t>A 43993-2024</t>
        </is>
      </c>
      <c r="B212" s="1" t="n">
        <v>45572.52690972222</v>
      </c>
      <c r="C212" s="1" t="n">
        <v>45984</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22492-2025</t>
        </is>
      </c>
      <c r="B213" s="1" t="n">
        <v>45786.65072916666</v>
      </c>
      <c r="C213" s="1" t="n">
        <v>45984</v>
      </c>
      <c r="D213" t="inlineStr">
        <is>
          <t>UPPSALA LÄN</t>
        </is>
      </c>
      <c r="E213" t="inlineStr">
        <is>
          <t>ÖSTHAMMAR</t>
        </is>
      </c>
      <c r="F213" t="inlineStr">
        <is>
          <t>Bergvik skog öst AB</t>
        </is>
      </c>
      <c r="G213" t="n">
        <v>16.6</v>
      </c>
      <c r="H213" t="n">
        <v>0</v>
      </c>
      <c r="I213" t="n">
        <v>0</v>
      </c>
      <c r="J213" t="n">
        <v>0</v>
      </c>
      <c r="K213" t="n">
        <v>0</v>
      </c>
      <c r="L213" t="n">
        <v>0</v>
      </c>
      <c r="M213" t="n">
        <v>0</v>
      </c>
      <c r="N213" t="n">
        <v>0</v>
      </c>
      <c r="O213" t="n">
        <v>0</v>
      </c>
      <c r="P213" t="n">
        <v>0</v>
      </c>
      <c r="Q213" t="n">
        <v>0</v>
      </c>
      <c r="R213" s="2" t="inlineStr"/>
    </row>
    <row r="214" ht="15" customHeight="1">
      <c r="A214" t="inlineStr">
        <is>
          <t>A 5931-2022</t>
        </is>
      </c>
      <c r="B214" s="1" t="n">
        <v>44598.82700231481</v>
      </c>
      <c r="C214" s="1" t="n">
        <v>45984</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43655-2024</t>
        </is>
      </c>
      <c r="B215" s="1" t="n">
        <v>45569</v>
      </c>
      <c r="C215" s="1" t="n">
        <v>45984</v>
      </c>
      <c r="D215" t="inlineStr">
        <is>
          <t>UPPSALA LÄN</t>
        </is>
      </c>
      <c r="E215" t="inlineStr">
        <is>
          <t>ÖSTHAMMAR</t>
        </is>
      </c>
      <c r="G215" t="n">
        <v>2.1</v>
      </c>
      <c r="H215" t="n">
        <v>0</v>
      </c>
      <c r="I215" t="n">
        <v>0</v>
      </c>
      <c r="J215" t="n">
        <v>0</v>
      </c>
      <c r="K215" t="n">
        <v>0</v>
      </c>
      <c r="L215" t="n">
        <v>0</v>
      </c>
      <c r="M215" t="n">
        <v>0</v>
      </c>
      <c r="N215" t="n">
        <v>0</v>
      </c>
      <c r="O215" t="n">
        <v>0</v>
      </c>
      <c r="P215" t="n">
        <v>0</v>
      </c>
      <c r="Q215" t="n">
        <v>0</v>
      </c>
      <c r="R215" s="2" t="inlineStr"/>
    </row>
    <row r="216" ht="15" customHeight="1">
      <c r="A216" t="inlineStr">
        <is>
          <t>A 43683-2024</t>
        </is>
      </c>
      <c r="B216" s="1" t="n">
        <v>45569.57518518518</v>
      </c>
      <c r="C216" s="1" t="n">
        <v>45984</v>
      </c>
      <c r="D216" t="inlineStr">
        <is>
          <t>UPPSALA LÄN</t>
        </is>
      </c>
      <c r="E216" t="inlineStr">
        <is>
          <t>ÖSTHAMMAR</t>
        </is>
      </c>
      <c r="G216" t="n">
        <v>4.7</v>
      </c>
      <c r="H216" t="n">
        <v>0</v>
      </c>
      <c r="I216" t="n">
        <v>0</v>
      </c>
      <c r="J216" t="n">
        <v>0</v>
      </c>
      <c r="K216" t="n">
        <v>0</v>
      </c>
      <c r="L216" t="n">
        <v>0</v>
      </c>
      <c r="M216" t="n">
        <v>0</v>
      </c>
      <c r="N216" t="n">
        <v>0</v>
      </c>
      <c r="O216" t="n">
        <v>0</v>
      </c>
      <c r="P216" t="n">
        <v>0</v>
      </c>
      <c r="Q216" t="n">
        <v>0</v>
      </c>
      <c r="R216" s="2" t="inlineStr"/>
    </row>
    <row r="217" ht="15" customHeight="1">
      <c r="A217" t="inlineStr">
        <is>
          <t>A 32483-2024</t>
        </is>
      </c>
      <c r="B217" s="1" t="n">
        <v>45513.36644675926</v>
      </c>
      <c r="C217" s="1" t="n">
        <v>45984</v>
      </c>
      <c r="D217" t="inlineStr">
        <is>
          <t>UPPSALA LÄN</t>
        </is>
      </c>
      <c r="E217" t="inlineStr">
        <is>
          <t>ÖSTHAMMAR</t>
        </is>
      </c>
      <c r="F217" t="inlineStr">
        <is>
          <t>Kyrkan</t>
        </is>
      </c>
      <c r="G217" t="n">
        <v>4.7</v>
      </c>
      <c r="H217" t="n">
        <v>0</v>
      </c>
      <c r="I217" t="n">
        <v>0</v>
      </c>
      <c r="J217" t="n">
        <v>0</v>
      </c>
      <c r="K217" t="n">
        <v>0</v>
      </c>
      <c r="L217" t="n">
        <v>0</v>
      </c>
      <c r="M217" t="n">
        <v>0</v>
      </c>
      <c r="N217" t="n">
        <v>0</v>
      </c>
      <c r="O217" t="n">
        <v>0</v>
      </c>
      <c r="P217" t="n">
        <v>0</v>
      </c>
      <c r="Q217" t="n">
        <v>0</v>
      </c>
      <c r="R217" s="2" t="inlineStr"/>
    </row>
    <row r="218" ht="15" customHeight="1">
      <c r="A218" t="inlineStr">
        <is>
          <t>A 14595-2023</t>
        </is>
      </c>
      <c r="B218" s="1" t="n">
        <v>45013.57858796296</v>
      </c>
      <c r="C218" s="1" t="n">
        <v>45984</v>
      </c>
      <c r="D218" t="inlineStr">
        <is>
          <t>UPPSALA LÄN</t>
        </is>
      </c>
      <c r="E218" t="inlineStr">
        <is>
          <t>ÖSTHAMMAR</t>
        </is>
      </c>
      <c r="G218" t="n">
        <v>5</v>
      </c>
      <c r="H218" t="n">
        <v>0</v>
      </c>
      <c r="I218" t="n">
        <v>0</v>
      </c>
      <c r="J218" t="n">
        <v>0</v>
      </c>
      <c r="K218" t="n">
        <v>0</v>
      </c>
      <c r="L218" t="n">
        <v>0</v>
      </c>
      <c r="M218" t="n">
        <v>0</v>
      </c>
      <c r="N218" t="n">
        <v>0</v>
      </c>
      <c r="O218" t="n">
        <v>0</v>
      </c>
      <c r="P218" t="n">
        <v>0</v>
      </c>
      <c r="Q218" t="n">
        <v>0</v>
      </c>
      <c r="R218" s="2" t="inlineStr"/>
    </row>
    <row r="219" ht="15" customHeight="1">
      <c r="A219" t="inlineStr">
        <is>
          <t>A 33685-2024</t>
        </is>
      </c>
      <c r="B219" s="1" t="n">
        <v>45520.51063657407</v>
      </c>
      <c r="C219" s="1" t="n">
        <v>45984</v>
      </c>
      <c r="D219" t="inlineStr">
        <is>
          <t>UPPSALA LÄN</t>
        </is>
      </c>
      <c r="E219" t="inlineStr">
        <is>
          <t>ÖSTHAMMAR</t>
        </is>
      </c>
      <c r="F219" t="inlineStr">
        <is>
          <t>Bergvik skog öst AB</t>
        </is>
      </c>
      <c r="G219" t="n">
        <v>3.8</v>
      </c>
      <c r="H219" t="n">
        <v>0</v>
      </c>
      <c r="I219" t="n">
        <v>0</v>
      </c>
      <c r="J219" t="n">
        <v>0</v>
      </c>
      <c r="K219" t="n">
        <v>0</v>
      </c>
      <c r="L219" t="n">
        <v>0</v>
      </c>
      <c r="M219" t="n">
        <v>0</v>
      </c>
      <c r="N219" t="n">
        <v>0</v>
      </c>
      <c r="O219" t="n">
        <v>0</v>
      </c>
      <c r="P219" t="n">
        <v>0</v>
      </c>
      <c r="Q219" t="n">
        <v>0</v>
      </c>
      <c r="R219" s="2" t="inlineStr"/>
    </row>
    <row r="220" ht="15" customHeight="1">
      <c r="A220" t="inlineStr">
        <is>
          <t>A 57-2023</t>
        </is>
      </c>
      <c r="B220" s="1" t="n">
        <v>44928.40917824074</v>
      </c>
      <c r="C220" s="1" t="n">
        <v>45984</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59-2023</t>
        </is>
      </c>
      <c r="B221" s="1" t="n">
        <v>44928.41822916667</v>
      </c>
      <c r="C221" s="1" t="n">
        <v>45984</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44027-2024</t>
        </is>
      </c>
      <c r="B222" s="1" t="n">
        <v>45572</v>
      </c>
      <c r="C222" s="1" t="n">
        <v>45984</v>
      </c>
      <c r="D222" t="inlineStr">
        <is>
          <t>UPPSALA LÄN</t>
        </is>
      </c>
      <c r="E222" t="inlineStr">
        <is>
          <t>ÖSTHAMMAR</t>
        </is>
      </c>
      <c r="G222" t="n">
        <v>6</v>
      </c>
      <c r="H222" t="n">
        <v>0</v>
      </c>
      <c r="I222" t="n">
        <v>0</v>
      </c>
      <c r="J222" t="n">
        <v>0</v>
      </c>
      <c r="K222" t="n">
        <v>0</v>
      </c>
      <c r="L222" t="n">
        <v>0</v>
      </c>
      <c r="M222" t="n">
        <v>0</v>
      </c>
      <c r="N222" t="n">
        <v>0</v>
      </c>
      <c r="O222" t="n">
        <v>0</v>
      </c>
      <c r="P222" t="n">
        <v>0</v>
      </c>
      <c r="Q222" t="n">
        <v>0</v>
      </c>
      <c r="R222" s="2" t="inlineStr"/>
    </row>
    <row r="223" ht="15" customHeight="1">
      <c r="A223" t="inlineStr">
        <is>
          <t>A 19947-2024</t>
        </is>
      </c>
      <c r="B223" s="1" t="n">
        <v>45433</v>
      </c>
      <c r="C223" s="1" t="n">
        <v>45984</v>
      </c>
      <c r="D223" t="inlineStr">
        <is>
          <t>UPPSALA LÄN</t>
        </is>
      </c>
      <c r="E223" t="inlineStr">
        <is>
          <t>ÖSTHAMMAR</t>
        </is>
      </c>
      <c r="G223" t="n">
        <v>0.3</v>
      </c>
      <c r="H223" t="n">
        <v>0</v>
      </c>
      <c r="I223" t="n">
        <v>0</v>
      </c>
      <c r="J223" t="n">
        <v>0</v>
      </c>
      <c r="K223" t="n">
        <v>0</v>
      </c>
      <c r="L223" t="n">
        <v>0</v>
      </c>
      <c r="M223" t="n">
        <v>0</v>
      </c>
      <c r="N223" t="n">
        <v>0</v>
      </c>
      <c r="O223" t="n">
        <v>0</v>
      </c>
      <c r="P223" t="n">
        <v>0</v>
      </c>
      <c r="Q223" t="n">
        <v>0</v>
      </c>
      <c r="R223" s="2" t="inlineStr"/>
    </row>
    <row r="224" ht="15" customHeight="1">
      <c r="A224" t="inlineStr">
        <is>
          <t>A 11385-2024</t>
        </is>
      </c>
      <c r="B224" s="1" t="n">
        <v>45372</v>
      </c>
      <c r="C224" s="1" t="n">
        <v>45984</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14433-2024</t>
        </is>
      </c>
      <c r="B225" s="1" t="n">
        <v>45394.46115740741</v>
      </c>
      <c r="C225" s="1" t="n">
        <v>45984</v>
      </c>
      <c r="D225" t="inlineStr">
        <is>
          <t>UPPSALA LÄN</t>
        </is>
      </c>
      <c r="E225" t="inlineStr">
        <is>
          <t>ÖSTHAMMAR</t>
        </is>
      </c>
      <c r="G225" t="n">
        <v>1.2</v>
      </c>
      <c r="H225" t="n">
        <v>0</v>
      </c>
      <c r="I225" t="n">
        <v>0</v>
      </c>
      <c r="J225" t="n">
        <v>0</v>
      </c>
      <c r="K225" t="n">
        <v>0</v>
      </c>
      <c r="L225" t="n">
        <v>0</v>
      </c>
      <c r="M225" t="n">
        <v>0</v>
      </c>
      <c r="N225" t="n">
        <v>0</v>
      </c>
      <c r="O225" t="n">
        <v>0</v>
      </c>
      <c r="P225" t="n">
        <v>0</v>
      </c>
      <c r="Q225" t="n">
        <v>0</v>
      </c>
      <c r="R225" s="2" t="inlineStr"/>
    </row>
    <row r="226" ht="15" customHeight="1">
      <c r="A226" t="inlineStr">
        <is>
          <t>A 25252-2024</t>
        </is>
      </c>
      <c r="B226" s="1" t="n">
        <v>45462</v>
      </c>
      <c r="C226" s="1" t="n">
        <v>45984</v>
      </c>
      <c r="D226" t="inlineStr">
        <is>
          <t>UPPSALA LÄN</t>
        </is>
      </c>
      <c r="E226" t="inlineStr">
        <is>
          <t>ÖSTHAMMAR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56382-2022</t>
        </is>
      </c>
      <c r="B227" s="1" t="n">
        <v>44890.75795138889</v>
      </c>
      <c r="C227" s="1" t="n">
        <v>45984</v>
      </c>
      <c r="D227" t="inlineStr">
        <is>
          <t>UPPSALA LÄN</t>
        </is>
      </c>
      <c r="E227" t="inlineStr">
        <is>
          <t>ÖSTHAMMAR</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5877-2023</t>
        </is>
      </c>
      <c r="B228" s="1" t="n">
        <v>44963.62001157407</v>
      </c>
      <c r="C228" s="1" t="n">
        <v>45984</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23305-2025</t>
        </is>
      </c>
      <c r="B229" s="1" t="n">
        <v>45791.60127314815</v>
      </c>
      <c r="C229" s="1" t="n">
        <v>45984</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25938-2024</t>
        </is>
      </c>
      <c r="B230" s="1" t="n">
        <v>45467.63127314814</v>
      </c>
      <c r="C230" s="1" t="n">
        <v>45984</v>
      </c>
      <c r="D230" t="inlineStr">
        <is>
          <t>UPPSALA LÄN</t>
        </is>
      </c>
      <c r="E230" t="inlineStr">
        <is>
          <t>ÖSTHAMMAR</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33552-2024</t>
        </is>
      </c>
      <c r="B231" s="1" t="n">
        <v>45519</v>
      </c>
      <c r="C231" s="1" t="n">
        <v>45984</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33553-2024</t>
        </is>
      </c>
      <c r="B232" s="1" t="n">
        <v>45519</v>
      </c>
      <c r="C232" s="1" t="n">
        <v>45984</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24606-2024</t>
        </is>
      </c>
      <c r="B233" s="1" t="n">
        <v>45460</v>
      </c>
      <c r="C233" s="1" t="n">
        <v>45984</v>
      </c>
      <c r="D233" t="inlineStr">
        <is>
          <t>UPPSALA LÄN</t>
        </is>
      </c>
      <c r="E233" t="inlineStr">
        <is>
          <t>ÖSTHAMMAR</t>
        </is>
      </c>
      <c r="F233" t="inlineStr">
        <is>
          <t>Bergvik skog öst AB</t>
        </is>
      </c>
      <c r="G233" t="n">
        <v>2.9</v>
      </c>
      <c r="H233" t="n">
        <v>0</v>
      </c>
      <c r="I233" t="n">
        <v>0</v>
      </c>
      <c r="J233" t="n">
        <v>0</v>
      </c>
      <c r="K233" t="n">
        <v>0</v>
      </c>
      <c r="L233" t="n">
        <v>0</v>
      </c>
      <c r="M233" t="n">
        <v>0</v>
      </c>
      <c r="N233" t="n">
        <v>0</v>
      </c>
      <c r="O233" t="n">
        <v>0</v>
      </c>
      <c r="P233" t="n">
        <v>0</v>
      </c>
      <c r="Q233" t="n">
        <v>0</v>
      </c>
      <c r="R233" s="2" t="inlineStr"/>
    </row>
    <row r="234" ht="15" customHeight="1">
      <c r="A234" t="inlineStr">
        <is>
          <t>A 38886-2025</t>
        </is>
      </c>
      <c r="B234" s="1" t="n">
        <v>45887.58370370371</v>
      </c>
      <c r="C234" s="1" t="n">
        <v>45984</v>
      </c>
      <c r="D234" t="inlineStr">
        <is>
          <t>UPPSALA LÄN</t>
        </is>
      </c>
      <c r="E234" t="inlineStr">
        <is>
          <t>ÖSTHAMMAR</t>
        </is>
      </c>
      <c r="F234" t="inlineStr">
        <is>
          <t>Bergvik skog öst AB</t>
        </is>
      </c>
      <c r="G234" t="n">
        <v>4.7</v>
      </c>
      <c r="H234" t="n">
        <v>0</v>
      </c>
      <c r="I234" t="n">
        <v>0</v>
      </c>
      <c r="J234" t="n">
        <v>0</v>
      </c>
      <c r="K234" t="n">
        <v>0</v>
      </c>
      <c r="L234" t="n">
        <v>0</v>
      </c>
      <c r="M234" t="n">
        <v>0</v>
      </c>
      <c r="N234" t="n">
        <v>0</v>
      </c>
      <c r="O234" t="n">
        <v>0</v>
      </c>
      <c r="P234" t="n">
        <v>0</v>
      </c>
      <c r="Q234" t="n">
        <v>0</v>
      </c>
      <c r="R234" s="2" t="inlineStr"/>
    </row>
    <row r="235" ht="15" customHeight="1">
      <c r="A235" t="inlineStr">
        <is>
          <t>A 5344-2025</t>
        </is>
      </c>
      <c r="B235" s="1" t="n">
        <v>45692</v>
      </c>
      <c r="C235" s="1" t="n">
        <v>45984</v>
      </c>
      <c r="D235" t="inlineStr">
        <is>
          <t>UPPSALA LÄN</t>
        </is>
      </c>
      <c r="E235" t="inlineStr">
        <is>
          <t>ÖSTHAMMAR</t>
        </is>
      </c>
      <c r="F235" t="inlineStr">
        <is>
          <t>Bergvik skog öst AB</t>
        </is>
      </c>
      <c r="G235" t="n">
        <v>3.2</v>
      </c>
      <c r="H235" t="n">
        <v>0</v>
      </c>
      <c r="I235" t="n">
        <v>0</v>
      </c>
      <c r="J235" t="n">
        <v>0</v>
      </c>
      <c r="K235" t="n">
        <v>0</v>
      </c>
      <c r="L235" t="n">
        <v>0</v>
      </c>
      <c r="M235" t="n">
        <v>0</v>
      </c>
      <c r="N235" t="n">
        <v>0</v>
      </c>
      <c r="O235" t="n">
        <v>0</v>
      </c>
      <c r="P235" t="n">
        <v>0</v>
      </c>
      <c r="Q235" t="n">
        <v>0</v>
      </c>
      <c r="R235" s="2" t="inlineStr"/>
    </row>
    <row r="236" ht="15" customHeight="1">
      <c r="A236" t="inlineStr">
        <is>
          <t>A 5429-2023</t>
        </is>
      </c>
      <c r="B236" s="1" t="n">
        <v>44959.83037037037</v>
      </c>
      <c r="C236" s="1" t="n">
        <v>45984</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59731-2023</t>
        </is>
      </c>
      <c r="B237" s="1" t="n">
        <v>45257</v>
      </c>
      <c r="C237" s="1" t="n">
        <v>45984</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34607-2023</t>
        </is>
      </c>
      <c r="B238" s="1" t="n">
        <v>45138</v>
      </c>
      <c r="C238" s="1" t="n">
        <v>45984</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54666-2022</t>
        </is>
      </c>
      <c r="B239" s="1" t="n">
        <v>44883</v>
      </c>
      <c r="C239" s="1" t="n">
        <v>45984</v>
      </c>
      <c r="D239" t="inlineStr">
        <is>
          <t>UPPSALA LÄN</t>
        </is>
      </c>
      <c r="E239" t="inlineStr">
        <is>
          <t>ÖSTHAMMAR</t>
        </is>
      </c>
      <c r="G239" t="n">
        <v>14.3</v>
      </c>
      <c r="H239" t="n">
        <v>0</v>
      </c>
      <c r="I239" t="n">
        <v>0</v>
      </c>
      <c r="J239" t="n">
        <v>0</v>
      </c>
      <c r="K239" t="n">
        <v>0</v>
      </c>
      <c r="L239" t="n">
        <v>0</v>
      </c>
      <c r="M239" t="n">
        <v>0</v>
      </c>
      <c r="N239" t="n">
        <v>0</v>
      </c>
      <c r="O239" t="n">
        <v>0</v>
      </c>
      <c r="P239" t="n">
        <v>0</v>
      </c>
      <c r="Q239" t="n">
        <v>0</v>
      </c>
      <c r="R239" s="2" t="inlineStr"/>
    </row>
    <row r="240" ht="15" customHeight="1">
      <c r="A240" t="inlineStr">
        <is>
          <t>A 23968-2025</t>
        </is>
      </c>
      <c r="B240" s="1" t="n">
        <v>45796</v>
      </c>
      <c r="C240" s="1" t="n">
        <v>45984</v>
      </c>
      <c r="D240" t="inlineStr">
        <is>
          <t>UPPSALA LÄN</t>
        </is>
      </c>
      <c r="E240" t="inlineStr">
        <is>
          <t>ÖSTHAMMAR</t>
        </is>
      </c>
      <c r="F240" t="inlineStr">
        <is>
          <t>Bergvik skog öst AB</t>
        </is>
      </c>
      <c r="G240" t="n">
        <v>7.5</v>
      </c>
      <c r="H240" t="n">
        <v>0</v>
      </c>
      <c r="I240" t="n">
        <v>0</v>
      </c>
      <c r="J240" t="n">
        <v>0</v>
      </c>
      <c r="K240" t="n">
        <v>0</v>
      </c>
      <c r="L240" t="n">
        <v>0</v>
      </c>
      <c r="M240" t="n">
        <v>0</v>
      </c>
      <c r="N240" t="n">
        <v>0</v>
      </c>
      <c r="O240" t="n">
        <v>0</v>
      </c>
      <c r="P240" t="n">
        <v>0</v>
      </c>
      <c r="Q240" t="n">
        <v>0</v>
      </c>
      <c r="R240" s="2" t="inlineStr"/>
    </row>
    <row r="241" ht="15" customHeight="1">
      <c r="A241" t="inlineStr">
        <is>
          <t>A 24160-2024</t>
        </is>
      </c>
      <c r="B241" s="1" t="n">
        <v>45456</v>
      </c>
      <c r="C241" s="1" t="n">
        <v>45984</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1584-2025</t>
        </is>
      </c>
      <c r="B242" s="1" t="n">
        <v>45670</v>
      </c>
      <c r="C242" s="1" t="n">
        <v>45984</v>
      </c>
      <c r="D242" t="inlineStr">
        <is>
          <t>UPPSALA LÄN</t>
        </is>
      </c>
      <c r="E242" t="inlineStr">
        <is>
          <t>ÖSTHAMMAR</t>
        </is>
      </c>
      <c r="G242" t="n">
        <v>0.7</v>
      </c>
      <c r="H242" t="n">
        <v>0</v>
      </c>
      <c r="I242" t="n">
        <v>0</v>
      </c>
      <c r="J242" t="n">
        <v>0</v>
      </c>
      <c r="K242" t="n">
        <v>0</v>
      </c>
      <c r="L242" t="n">
        <v>0</v>
      </c>
      <c r="M242" t="n">
        <v>0</v>
      </c>
      <c r="N242" t="n">
        <v>0</v>
      </c>
      <c r="O242" t="n">
        <v>0</v>
      </c>
      <c r="P242" t="n">
        <v>0</v>
      </c>
      <c r="Q242" t="n">
        <v>0</v>
      </c>
      <c r="R242" s="2" t="inlineStr"/>
    </row>
    <row r="243" ht="15" customHeight="1">
      <c r="A243" t="inlineStr">
        <is>
          <t>A 24174-2025</t>
        </is>
      </c>
      <c r="B243" s="1" t="n">
        <v>45796.69207175926</v>
      </c>
      <c r="C243" s="1" t="n">
        <v>45984</v>
      </c>
      <c r="D243" t="inlineStr">
        <is>
          <t>UPPSALA LÄN</t>
        </is>
      </c>
      <c r="E243" t="inlineStr">
        <is>
          <t>ÖSTHAMMAR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30972-2024</t>
        </is>
      </c>
      <c r="B244" s="1" t="n">
        <v>45499.47106481482</v>
      </c>
      <c r="C244" s="1" t="n">
        <v>45984</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52659-2021</t>
        </is>
      </c>
      <c r="B245" s="1" t="n">
        <v>44466</v>
      </c>
      <c r="C245" s="1" t="n">
        <v>45984</v>
      </c>
      <c r="D245" t="inlineStr">
        <is>
          <t>UPPSALA LÄN</t>
        </is>
      </c>
      <c r="E245" t="inlineStr">
        <is>
          <t>ÖSTHAMMAR</t>
        </is>
      </c>
      <c r="G245" t="n">
        <v>13</v>
      </c>
      <c r="H245" t="n">
        <v>0</v>
      </c>
      <c r="I245" t="n">
        <v>0</v>
      </c>
      <c r="J245" t="n">
        <v>0</v>
      </c>
      <c r="K245" t="n">
        <v>0</v>
      </c>
      <c r="L245" t="n">
        <v>0</v>
      </c>
      <c r="M245" t="n">
        <v>0</v>
      </c>
      <c r="N245" t="n">
        <v>0</v>
      </c>
      <c r="O245" t="n">
        <v>0</v>
      </c>
      <c r="P245" t="n">
        <v>0</v>
      </c>
      <c r="Q245" t="n">
        <v>0</v>
      </c>
      <c r="R245" s="2" t="inlineStr"/>
    </row>
    <row r="246" ht="15" customHeight="1">
      <c r="A246" t="inlineStr">
        <is>
          <t>A 40044-2025</t>
        </is>
      </c>
      <c r="B246" s="1" t="n">
        <v>45894.40133101852</v>
      </c>
      <c r="C246" s="1" t="n">
        <v>45984</v>
      </c>
      <c r="D246" t="inlineStr">
        <is>
          <t>UPPSALA LÄN</t>
        </is>
      </c>
      <c r="E246" t="inlineStr">
        <is>
          <t>ÖSTHAMMAR</t>
        </is>
      </c>
      <c r="F246" t="inlineStr">
        <is>
          <t>Kyrkan</t>
        </is>
      </c>
      <c r="G246" t="n">
        <v>8.9</v>
      </c>
      <c r="H246" t="n">
        <v>0</v>
      </c>
      <c r="I246" t="n">
        <v>0</v>
      </c>
      <c r="J246" t="n">
        <v>0</v>
      </c>
      <c r="K246" t="n">
        <v>0</v>
      </c>
      <c r="L246" t="n">
        <v>0</v>
      </c>
      <c r="M246" t="n">
        <v>0</v>
      </c>
      <c r="N246" t="n">
        <v>0</v>
      </c>
      <c r="O246" t="n">
        <v>0</v>
      </c>
      <c r="P246" t="n">
        <v>0</v>
      </c>
      <c r="Q246" t="n">
        <v>0</v>
      </c>
      <c r="R246" s="2" t="inlineStr"/>
    </row>
    <row r="247" ht="15" customHeight="1">
      <c r="A247" t="inlineStr">
        <is>
          <t>A 40016-2025</t>
        </is>
      </c>
      <c r="B247" s="1" t="n">
        <v>45894.34747685185</v>
      </c>
      <c r="C247" s="1" t="n">
        <v>45984</v>
      </c>
      <c r="D247" t="inlineStr">
        <is>
          <t>UPPSALA LÄN</t>
        </is>
      </c>
      <c r="E247" t="inlineStr">
        <is>
          <t>ÖSTHAMMAR</t>
        </is>
      </c>
      <c r="F247" t="inlineStr">
        <is>
          <t>Kyrkan</t>
        </is>
      </c>
      <c r="G247" t="n">
        <v>6.6</v>
      </c>
      <c r="H247" t="n">
        <v>0</v>
      </c>
      <c r="I247" t="n">
        <v>0</v>
      </c>
      <c r="J247" t="n">
        <v>0</v>
      </c>
      <c r="K247" t="n">
        <v>0</v>
      </c>
      <c r="L247" t="n">
        <v>0</v>
      </c>
      <c r="M247" t="n">
        <v>0</v>
      </c>
      <c r="N247" t="n">
        <v>0</v>
      </c>
      <c r="O247" t="n">
        <v>0</v>
      </c>
      <c r="P247" t="n">
        <v>0</v>
      </c>
      <c r="Q247" t="n">
        <v>0</v>
      </c>
      <c r="R247" s="2" t="inlineStr"/>
    </row>
    <row r="248" ht="15" customHeight="1">
      <c r="A248" t="inlineStr">
        <is>
          <t>A 56969-2022</t>
        </is>
      </c>
      <c r="B248" s="1" t="n">
        <v>44894.68043981482</v>
      </c>
      <c r="C248" s="1" t="n">
        <v>45984</v>
      </c>
      <c r="D248" t="inlineStr">
        <is>
          <t>UPPSALA LÄN</t>
        </is>
      </c>
      <c r="E248" t="inlineStr">
        <is>
          <t>ÖSTHAMMAR</t>
        </is>
      </c>
      <c r="G248" t="n">
        <v>5.5</v>
      </c>
      <c r="H248" t="n">
        <v>0</v>
      </c>
      <c r="I248" t="n">
        <v>0</v>
      </c>
      <c r="J248" t="n">
        <v>0</v>
      </c>
      <c r="K248" t="n">
        <v>0</v>
      </c>
      <c r="L248" t="n">
        <v>0</v>
      </c>
      <c r="M248" t="n">
        <v>0</v>
      </c>
      <c r="N248" t="n">
        <v>0</v>
      </c>
      <c r="O248" t="n">
        <v>0</v>
      </c>
      <c r="P248" t="n">
        <v>0</v>
      </c>
      <c r="Q248" t="n">
        <v>0</v>
      </c>
      <c r="R248" s="2" t="inlineStr"/>
    </row>
    <row r="249" ht="15" customHeight="1">
      <c r="A249" t="inlineStr">
        <is>
          <t>A 7876-2023</t>
        </is>
      </c>
      <c r="B249" s="1" t="n">
        <v>44973.57263888889</v>
      </c>
      <c r="C249" s="1" t="n">
        <v>45984</v>
      </c>
      <c r="D249" t="inlineStr">
        <is>
          <t>UPPSALA LÄN</t>
        </is>
      </c>
      <c r="E249" t="inlineStr">
        <is>
          <t>ÖSTHAMMAR</t>
        </is>
      </c>
      <c r="G249" t="n">
        <v>0.9</v>
      </c>
      <c r="H249" t="n">
        <v>0</v>
      </c>
      <c r="I249" t="n">
        <v>0</v>
      </c>
      <c r="J249" t="n">
        <v>0</v>
      </c>
      <c r="K249" t="n">
        <v>0</v>
      </c>
      <c r="L249" t="n">
        <v>0</v>
      </c>
      <c r="M249" t="n">
        <v>0</v>
      </c>
      <c r="N249" t="n">
        <v>0</v>
      </c>
      <c r="O249" t="n">
        <v>0</v>
      </c>
      <c r="P249" t="n">
        <v>0</v>
      </c>
      <c r="Q249" t="n">
        <v>0</v>
      </c>
      <c r="R249" s="2" t="inlineStr"/>
    </row>
    <row r="250" ht="15" customHeight="1">
      <c r="A250" t="inlineStr">
        <is>
          <t>A 40416-2025</t>
        </is>
      </c>
      <c r="B250" s="1" t="n">
        <v>45895.57736111111</v>
      </c>
      <c r="C250" s="1" t="n">
        <v>45984</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24415-2025</t>
        </is>
      </c>
      <c r="B251" s="1" t="n">
        <v>45797.67381944445</v>
      </c>
      <c r="C251" s="1" t="n">
        <v>45984</v>
      </c>
      <c r="D251" t="inlineStr">
        <is>
          <t>UPPSALA LÄN</t>
        </is>
      </c>
      <c r="E251" t="inlineStr">
        <is>
          <t>ÖSTHAMMAR</t>
        </is>
      </c>
      <c r="G251" t="n">
        <v>0.8</v>
      </c>
      <c r="H251" t="n">
        <v>0</v>
      </c>
      <c r="I251" t="n">
        <v>0</v>
      </c>
      <c r="J251" t="n">
        <v>0</v>
      </c>
      <c r="K251" t="n">
        <v>0</v>
      </c>
      <c r="L251" t="n">
        <v>0</v>
      </c>
      <c r="M251" t="n">
        <v>0</v>
      </c>
      <c r="N251" t="n">
        <v>0</v>
      </c>
      <c r="O251" t="n">
        <v>0</v>
      </c>
      <c r="P251" t="n">
        <v>0</v>
      </c>
      <c r="Q251" t="n">
        <v>0</v>
      </c>
      <c r="R251" s="2" t="inlineStr"/>
    </row>
    <row r="252" ht="15" customHeight="1">
      <c r="A252" t="inlineStr">
        <is>
          <t>A 36904-2023</t>
        </is>
      </c>
      <c r="B252" s="1" t="n">
        <v>45154</v>
      </c>
      <c r="C252" s="1" t="n">
        <v>45984</v>
      </c>
      <c r="D252" t="inlineStr">
        <is>
          <t>UPPSALA LÄN</t>
        </is>
      </c>
      <c r="E252" t="inlineStr">
        <is>
          <t>ÖSTHAMMAR</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35539-2023</t>
        </is>
      </c>
      <c r="B253" s="1" t="n">
        <v>45147.37006944444</v>
      </c>
      <c r="C253" s="1" t="n">
        <v>45984</v>
      </c>
      <c r="D253" t="inlineStr">
        <is>
          <t>UPPSALA LÄN</t>
        </is>
      </c>
      <c r="E253" t="inlineStr">
        <is>
          <t>ÖSTHAMMAR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40377-2025</t>
        </is>
      </c>
      <c r="B254" s="1" t="n">
        <v>45895.53020833333</v>
      </c>
      <c r="C254" s="1" t="n">
        <v>45984</v>
      </c>
      <c r="D254" t="inlineStr">
        <is>
          <t>UPPSALA LÄN</t>
        </is>
      </c>
      <c r="E254" t="inlineStr">
        <is>
          <t>ÖSTHAMMAR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40462-2025</t>
        </is>
      </c>
      <c r="B255" s="1" t="n">
        <v>45895.65179398148</v>
      </c>
      <c r="C255" s="1" t="n">
        <v>45984</v>
      </c>
      <c r="D255" t="inlineStr">
        <is>
          <t>UPPSALA LÄN</t>
        </is>
      </c>
      <c r="E255" t="inlineStr">
        <is>
          <t>ÖSTHAMMAR</t>
        </is>
      </c>
      <c r="G255" t="n">
        <v>4.5</v>
      </c>
      <c r="H255" t="n">
        <v>0</v>
      </c>
      <c r="I255" t="n">
        <v>0</v>
      </c>
      <c r="J255" t="n">
        <v>0</v>
      </c>
      <c r="K255" t="n">
        <v>0</v>
      </c>
      <c r="L255" t="n">
        <v>0</v>
      </c>
      <c r="M255" t="n">
        <v>0</v>
      </c>
      <c r="N255" t="n">
        <v>0</v>
      </c>
      <c r="O255" t="n">
        <v>0</v>
      </c>
      <c r="P255" t="n">
        <v>0</v>
      </c>
      <c r="Q255" t="n">
        <v>0</v>
      </c>
      <c r="R255" s="2" t="inlineStr"/>
    </row>
    <row r="256" ht="15" customHeight="1">
      <c r="A256" t="inlineStr">
        <is>
          <t>A 40570-2025</t>
        </is>
      </c>
      <c r="B256" s="1" t="n">
        <v>45896.47878472223</v>
      </c>
      <c r="C256" s="1" t="n">
        <v>45984</v>
      </c>
      <c r="D256" t="inlineStr">
        <is>
          <t>UPPSALA LÄN</t>
        </is>
      </c>
      <c r="E256" t="inlineStr">
        <is>
          <t>ÖSTHAMMAR</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40382-2025</t>
        </is>
      </c>
      <c r="B257" s="1" t="n">
        <v>45895.53689814815</v>
      </c>
      <c r="C257" s="1" t="n">
        <v>45984</v>
      </c>
      <c r="D257" t="inlineStr">
        <is>
          <t>UPPSALA LÄN</t>
        </is>
      </c>
      <c r="E257" t="inlineStr">
        <is>
          <t>ÖSTHAMMAR</t>
        </is>
      </c>
      <c r="G257" t="n">
        <v>2.2</v>
      </c>
      <c r="H257" t="n">
        <v>0</v>
      </c>
      <c r="I257" t="n">
        <v>0</v>
      </c>
      <c r="J257" t="n">
        <v>0</v>
      </c>
      <c r="K257" t="n">
        <v>0</v>
      </c>
      <c r="L257" t="n">
        <v>0</v>
      </c>
      <c r="M257" t="n">
        <v>0</v>
      </c>
      <c r="N257" t="n">
        <v>0</v>
      </c>
      <c r="O257" t="n">
        <v>0</v>
      </c>
      <c r="P257" t="n">
        <v>0</v>
      </c>
      <c r="Q257" t="n">
        <v>0</v>
      </c>
      <c r="R257" s="2" t="inlineStr"/>
    </row>
    <row r="258" ht="15" customHeight="1">
      <c r="A258" t="inlineStr">
        <is>
          <t>A 40384-2025</t>
        </is>
      </c>
      <c r="B258" s="1" t="n">
        <v>45895.54085648148</v>
      </c>
      <c r="C258" s="1" t="n">
        <v>45984</v>
      </c>
      <c r="D258" t="inlineStr">
        <is>
          <t>UPPSALA LÄN</t>
        </is>
      </c>
      <c r="E258" t="inlineStr">
        <is>
          <t>ÖSTHAMMAR</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38233-2024</t>
        </is>
      </c>
      <c r="B259" s="1" t="n">
        <v>45545</v>
      </c>
      <c r="C259" s="1" t="n">
        <v>45984</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40460-2025</t>
        </is>
      </c>
      <c r="B260" s="1" t="n">
        <v>45895.65013888889</v>
      </c>
      <c r="C260" s="1" t="n">
        <v>45984</v>
      </c>
      <c r="D260" t="inlineStr">
        <is>
          <t>UPPSALA LÄN</t>
        </is>
      </c>
      <c r="E260" t="inlineStr">
        <is>
          <t>ÖSTHAMMAR</t>
        </is>
      </c>
      <c r="G260" t="n">
        <v>2.7</v>
      </c>
      <c r="H260" t="n">
        <v>0</v>
      </c>
      <c r="I260" t="n">
        <v>0</v>
      </c>
      <c r="J260" t="n">
        <v>0</v>
      </c>
      <c r="K260" t="n">
        <v>0</v>
      </c>
      <c r="L260" t="n">
        <v>0</v>
      </c>
      <c r="M260" t="n">
        <v>0</v>
      </c>
      <c r="N260" t="n">
        <v>0</v>
      </c>
      <c r="O260" t="n">
        <v>0</v>
      </c>
      <c r="P260" t="n">
        <v>0</v>
      </c>
      <c r="Q260" t="n">
        <v>0</v>
      </c>
      <c r="R260" s="2" t="inlineStr"/>
    </row>
    <row r="261" ht="15" customHeight="1">
      <c r="A261" t="inlineStr">
        <is>
          <t>A 56260-2022</t>
        </is>
      </c>
      <c r="B261" s="1" t="n">
        <v>44890</v>
      </c>
      <c r="C261" s="1" t="n">
        <v>45984</v>
      </c>
      <c r="D261" t="inlineStr">
        <is>
          <t>UPPSALA LÄN</t>
        </is>
      </c>
      <c r="E261" t="inlineStr">
        <is>
          <t>ÖSTHAMMAR</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25049-2025</t>
        </is>
      </c>
      <c r="B262" s="1" t="n">
        <v>45799.66876157407</v>
      </c>
      <c r="C262" s="1" t="n">
        <v>45984</v>
      </c>
      <c r="D262" t="inlineStr">
        <is>
          <t>UPPSALA LÄN</t>
        </is>
      </c>
      <c r="E262" t="inlineStr">
        <is>
          <t>ÖSTHAMMAR</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29231-2024</t>
        </is>
      </c>
      <c r="B263" s="1" t="n">
        <v>45482</v>
      </c>
      <c r="C263" s="1" t="n">
        <v>45984</v>
      </c>
      <c r="D263" t="inlineStr">
        <is>
          <t>UPPSALA LÄN</t>
        </is>
      </c>
      <c r="E263" t="inlineStr">
        <is>
          <t>ÖSTHAMMAR</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24944-2025</t>
        </is>
      </c>
      <c r="B264" s="1" t="n">
        <v>45799.56347222222</v>
      </c>
      <c r="C264" s="1" t="n">
        <v>45984</v>
      </c>
      <c r="D264" t="inlineStr">
        <is>
          <t>UPPSALA LÄN</t>
        </is>
      </c>
      <c r="E264" t="inlineStr">
        <is>
          <t>ÖSTHAMMAR</t>
        </is>
      </c>
      <c r="G264" t="n">
        <v>7.3</v>
      </c>
      <c r="H264" t="n">
        <v>0</v>
      </c>
      <c r="I264" t="n">
        <v>0</v>
      </c>
      <c r="J264" t="n">
        <v>0</v>
      </c>
      <c r="K264" t="n">
        <v>0</v>
      </c>
      <c r="L264" t="n">
        <v>0</v>
      </c>
      <c r="M264" t="n">
        <v>0</v>
      </c>
      <c r="N264" t="n">
        <v>0</v>
      </c>
      <c r="O264" t="n">
        <v>0</v>
      </c>
      <c r="P264" t="n">
        <v>0</v>
      </c>
      <c r="Q264" t="n">
        <v>0</v>
      </c>
      <c r="R264" s="2" t="inlineStr"/>
    </row>
    <row r="265" ht="15" customHeight="1">
      <c r="A265" t="inlineStr">
        <is>
          <t>A 30931-2021</t>
        </is>
      </c>
      <c r="B265" s="1" t="n">
        <v>44365</v>
      </c>
      <c r="C265" s="1" t="n">
        <v>45984</v>
      </c>
      <c r="D265" t="inlineStr">
        <is>
          <t>UPPSALA LÄN</t>
        </is>
      </c>
      <c r="E265" t="inlineStr">
        <is>
          <t>ÖSTHAMMAR</t>
        </is>
      </c>
      <c r="F265" t="inlineStr">
        <is>
          <t>Bergvik skog öst AB</t>
        </is>
      </c>
      <c r="G265" t="n">
        <v>2.3</v>
      </c>
      <c r="H265" t="n">
        <v>0</v>
      </c>
      <c r="I265" t="n">
        <v>0</v>
      </c>
      <c r="J265" t="n">
        <v>0</v>
      </c>
      <c r="K265" t="n">
        <v>0</v>
      </c>
      <c r="L265" t="n">
        <v>0</v>
      </c>
      <c r="M265" t="n">
        <v>0</v>
      </c>
      <c r="N265" t="n">
        <v>0</v>
      </c>
      <c r="O265" t="n">
        <v>0</v>
      </c>
      <c r="P265" t="n">
        <v>0</v>
      </c>
      <c r="Q265" t="n">
        <v>0</v>
      </c>
      <c r="R265" s="2" t="inlineStr"/>
    </row>
    <row r="266" ht="15" customHeight="1">
      <c r="A266" t="inlineStr">
        <is>
          <t>A 16089-2025</t>
        </is>
      </c>
      <c r="B266" s="1" t="n">
        <v>45749.84232638889</v>
      </c>
      <c r="C266" s="1" t="n">
        <v>45984</v>
      </c>
      <c r="D266" t="inlineStr">
        <is>
          <t>UPPSALA LÄN</t>
        </is>
      </c>
      <c r="E266" t="inlineStr">
        <is>
          <t>ÖSTHAMMAR</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34185-2024</t>
        </is>
      </c>
      <c r="B267" s="1" t="n">
        <v>45524</v>
      </c>
      <c r="C267" s="1" t="n">
        <v>45984</v>
      </c>
      <c r="D267" t="inlineStr">
        <is>
          <t>UPPSALA LÄN</t>
        </is>
      </c>
      <c r="E267" t="inlineStr">
        <is>
          <t>ÖSTHAMMAR</t>
        </is>
      </c>
      <c r="G267" t="n">
        <v>2.5</v>
      </c>
      <c r="H267" t="n">
        <v>0</v>
      </c>
      <c r="I267" t="n">
        <v>0</v>
      </c>
      <c r="J267" t="n">
        <v>0</v>
      </c>
      <c r="K267" t="n">
        <v>0</v>
      </c>
      <c r="L267" t="n">
        <v>0</v>
      </c>
      <c r="M267" t="n">
        <v>0</v>
      </c>
      <c r="N267" t="n">
        <v>0</v>
      </c>
      <c r="O267" t="n">
        <v>0</v>
      </c>
      <c r="P267" t="n">
        <v>0</v>
      </c>
      <c r="Q267" t="n">
        <v>0</v>
      </c>
      <c r="R267" s="2" t="inlineStr"/>
    </row>
    <row r="268" ht="15" customHeight="1">
      <c r="A268" t="inlineStr">
        <is>
          <t>A 14170-2025</t>
        </is>
      </c>
      <c r="B268" s="1" t="n">
        <v>45740.51895833333</v>
      </c>
      <c r="C268" s="1" t="n">
        <v>45984</v>
      </c>
      <c r="D268" t="inlineStr">
        <is>
          <t>UPPSALA LÄN</t>
        </is>
      </c>
      <c r="E268" t="inlineStr">
        <is>
          <t>ÖSTHAMMAR</t>
        </is>
      </c>
      <c r="G268" t="n">
        <v>1.2</v>
      </c>
      <c r="H268" t="n">
        <v>0</v>
      </c>
      <c r="I268" t="n">
        <v>0</v>
      </c>
      <c r="J268" t="n">
        <v>0</v>
      </c>
      <c r="K268" t="n">
        <v>0</v>
      </c>
      <c r="L268" t="n">
        <v>0</v>
      </c>
      <c r="M268" t="n">
        <v>0</v>
      </c>
      <c r="N268" t="n">
        <v>0</v>
      </c>
      <c r="O268" t="n">
        <v>0</v>
      </c>
      <c r="P268" t="n">
        <v>0</v>
      </c>
      <c r="Q268" t="n">
        <v>0</v>
      </c>
      <c r="R268" s="2" t="inlineStr"/>
    </row>
    <row r="269" ht="15" customHeight="1">
      <c r="A269" t="inlineStr">
        <is>
          <t>A 24401-2025</t>
        </is>
      </c>
      <c r="B269" s="1" t="n">
        <v>45797.64908564815</v>
      </c>
      <c r="C269" s="1" t="n">
        <v>45984</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64811-2021</t>
        </is>
      </c>
      <c r="B270" s="1" t="n">
        <v>44512</v>
      </c>
      <c r="C270" s="1" t="n">
        <v>45984</v>
      </c>
      <c r="D270" t="inlineStr">
        <is>
          <t>UPPSALA LÄN</t>
        </is>
      </c>
      <c r="E270" t="inlineStr">
        <is>
          <t>ÖSTHAMMAR</t>
        </is>
      </c>
      <c r="G270" t="n">
        <v>4.2</v>
      </c>
      <c r="H270" t="n">
        <v>0</v>
      </c>
      <c r="I270" t="n">
        <v>0</v>
      </c>
      <c r="J270" t="n">
        <v>0</v>
      </c>
      <c r="K270" t="n">
        <v>0</v>
      </c>
      <c r="L270" t="n">
        <v>0</v>
      </c>
      <c r="M270" t="n">
        <v>0</v>
      </c>
      <c r="N270" t="n">
        <v>0</v>
      </c>
      <c r="O270" t="n">
        <v>0</v>
      </c>
      <c r="P270" t="n">
        <v>0</v>
      </c>
      <c r="Q270" t="n">
        <v>0</v>
      </c>
      <c r="R270" s="2" t="inlineStr"/>
    </row>
    <row r="271" ht="15" customHeight="1">
      <c r="A271" t="inlineStr">
        <is>
          <t>A 8830-2023</t>
        </is>
      </c>
      <c r="B271" s="1" t="n">
        <v>44978</v>
      </c>
      <c r="C271" s="1" t="n">
        <v>45984</v>
      </c>
      <c r="D271" t="inlineStr">
        <is>
          <t>UPPSALA LÄN</t>
        </is>
      </c>
      <c r="E271" t="inlineStr">
        <is>
          <t>ÖSTHAMMAR</t>
        </is>
      </c>
      <c r="F271" t="inlineStr">
        <is>
          <t>Bergvik skog öst AB</t>
        </is>
      </c>
      <c r="G271" t="n">
        <v>1.6</v>
      </c>
      <c r="H271" t="n">
        <v>0</v>
      </c>
      <c r="I271" t="n">
        <v>0</v>
      </c>
      <c r="J271" t="n">
        <v>0</v>
      </c>
      <c r="K271" t="n">
        <v>0</v>
      </c>
      <c r="L271" t="n">
        <v>0</v>
      </c>
      <c r="M271" t="n">
        <v>0</v>
      </c>
      <c r="N271" t="n">
        <v>0</v>
      </c>
      <c r="O271" t="n">
        <v>0</v>
      </c>
      <c r="P271" t="n">
        <v>0</v>
      </c>
      <c r="Q271" t="n">
        <v>0</v>
      </c>
      <c r="R271" s="2" t="inlineStr"/>
    </row>
    <row r="272" ht="15" customHeight="1">
      <c r="A272" t="inlineStr">
        <is>
          <t>A 6106-2024</t>
        </is>
      </c>
      <c r="B272" s="1" t="n">
        <v>45337.36831018519</v>
      </c>
      <c r="C272" s="1" t="n">
        <v>45984</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12945-2025</t>
        </is>
      </c>
      <c r="B273" s="1" t="n">
        <v>45734.38159722222</v>
      </c>
      <c r="C273" s="1" t="n">
        <v>45984</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33550-2024</t>
        </is>
      </c>
      <c r="B274" s="1" t="n">
        <v>45519.81043981481</v>
      </c>
      <c r="C274" s="1" t="n">
        <v>45984</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8908-2025</t>
        </is>
      </c>
      <c r="B275" s="1" t="n">
        <v>45713.4196875</v>
      </c>
      <c r="C275" s="1" t="n">
        <v>45984</v>
      </c>
      <c r="D275" t="inlineStr">
        <is>
          <t>UPPSALA LÄN</t>
        </is>
      </c>
      <c r="E275" t="inlineStr">
        <is>
          <t>ÖSTHAMMAR</t>
        </is>
      </c>
      <c r="F275" t="inlineStr">
        <is>
          <t>Bergvik skog öst AB</t>
        </is>
      </c>
      <c r="G275" t="n">
        <v>3.3</v>
      </c>
      <c r="H275" t="n">
        <v>0</v>
      </c>
      <c r="I275" t="n">
        <v>0</v>
      </c>
      <c r="J275" t="n">
        <v>0</v>
      </c>
      <c r="K275" t="n">
        <v>0</v>
      </c>
      <c r="L275" t="n">
        <v>0</v>
      </c>
      <c r="M275" t="n">
        <v>0</v>
      </c>
      <c r="N275" t="n">
        <v>0</v>
      </c>
      <c r="O275" t="n">
        <v>0</v>
      </c>
      <c r="P275" t="n">
        <v>0</v>
      </c>
      <c r="Q275" t="n">
        <v>0</v>
      </c>
      <c r="R275" s="2" t="inlineStr"/>
    </row>
    <row r="276" ht="15" customHeight="1">
      <c r="A276" t="inlineStr">
        <is>
          <t>A 62295-2022</t>
        </is>
      </c>
      <c r="B276" s="1" t="n">
        <v>44916</v>
      </c>
      <c r="C276" s="1" t="n">
        <v>45984</v>
      </c>
      <c r="D276" t="inlineStr">
        <is>
          <t>UPPSALA LÄN</t>
        </is>
      </c>
      <c r="E276" t="inlineStr">
        <is>
          <t>ÖSTHAMMAR</t>
        </is>
      </c>
      <c r="G276" t="n">
        <v>3.3</v>
      </c>
      <c r="H276" t="n">
        <v>0</v>
      </c>
      <c r="I276" t="n">
        <v>0</v>
      </c>
      <c r="J276" t="n">
        <v>0</v>
      </c>
      <c r="K276" t="n">
        <v>0</v>
      </c>
      <c r="L276" t="n">
        <v>0</v>
      </c>
      <c r="M276" t="n">
        <v>0</v>
      </c>
      <c r="N276" t="n">
        <v>0</v>
      </c>
      <c r="O276" t="n">
        <v>0</v>
      </c>
      <c r="P276" t="n">
        <v>0</v>
      </c>
      <c r="Q276" t="n">
        <v>0</v>
      </c>
      <c r="R276" s="2" t="inlineStr"/>
    </row>
    <row r="277" ht="15" customHeight="1">
      <c r="A277" t="inlineStr">
        <is>
          <t>A 22709-2021</t>
        </is>
      </c>
      <c r="B277" s="1" t="n">
        <v>44327.61518518518</v>
      </c>
      <c r="C277" s="1" t="n">
        <v>45984</v>
      </c>
      <c r="D277" t="inlineStr">
        <is>
          <t>UPPSALA LÄN</t>
        </is>
      </c>
      <c r="E277" t="inlineStr">
        <is>
          <t>ÖSTHAMMAR</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58297-2024</t>
        </is>
      </c>
      <c r="B278" s="1" t="n">
        <v>45632.59780092593</v>
      </c>
      <c r="C278" s="1" t="n">
        <v>45984</v>
      </c>
      <c r="D278" t="inlineStr">
        <is>
          <t>UPPSALA LÄN</t>
        </is>
      </c>
      <c r="E278" t="inlineStr">
        <is>
          <t>ÖSTHAMMAR</t>
        </is>
      </c>
      <c r="G278" t="n">
        <v>5.1</v>
      </c>
      <c r="H278" t="n">
        <v>0</v>
      </c>
      <c r="I278" t="n">
        <v>0</v>
      </c>
      <c r="J278" t="n">
        <v>0</v>
      </c>
      <c r="K278" t="n">
        <v>0</v>
      </c>
      <c r="L278" t="n">
        <v>0</v>
      </c>
      <c r="M278" t="n">
        <v>0</v>
      </c>
      <c r="N278" t="n">
        <v>0</v>
      </c>
      <c r="O278" t="n">
        <v>0</v>
      </c>
      <c r="P278" t="n">
        <v>0</v>
      </c>
      <c r="Q278" t="n">
        <v>0</v>
      </c>
      <c r="R278" s="2" t="inlineStr"/>
    </row>
    <row r="279" ht="15" customHeight="1">
      <c r="A279" t="inlineStr">
        <is>
          <t>A 26055-2025</t>
        </is>
      </c>
      <c r="B279" s="1" t="n">
        <v>45804.77559027778</v>
      </c>
      <c r="C279" s="1" t="n">
        <v>45984</v>
      </c>
      <c r="D279" t="inlineStr">
        <is>
          <t>UPPSALA LÄN</t>
        </is>
      </c>
      <c r="E279" t="inlineStr">
        <is>
          <t>ÖSTHAMMAR</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32815-2024</t>
        </is>
      </c>
      <c r="B280" s="1" t="n">
        <v>45516.57682870371</v>
      </c>
      <c r="C280" s="1" t="n">
        <v>45984</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32884-2024</t>
        </is>
      </c>
      <c r="B281" s="1" t="n">
        <v>45516.72097222223</v>
      </c>
      <c r="C281" s="1" t="n">
        <v>45984</v>
      </c>
      <c r="D281" t="inlineStr">
        <is>
          <t>UPPSALA LÄN</t>
        </is>
      </c>
      <c r="E281" t="inlineStr">
        <is>
          <t>ÖSTHAMMAR</t>
        </is>
      </c>
      <c r="G281" t="n">
        <v>0.6</v>
      </c>
      <c r="H281" t="n">
        <v>0</v>
      </c>
      <c r="I281" t="n">
        <v>0</v>
      </c>
      <c r="J281" t="n">
        <v>0</v>
      </c>
      <c r="K281" t="n">
        <v>0</v>
      </c>
      <c r="L281" t="n">
        <v>0</v>
      </c>
      <c r="M281" t="n">
        <v>0</v>
      </c>
      <c r="N281" t="n">
        <v>0</v>
      </c>
      <c r="O281" t="n">
        <v>0</v>
      </c>
      <c r="P281" t="n">
        <v>0</v>
      </c>
      <c r="Q281" t="n">
        <v>0</v>
      </c>
      <c r="R281" s="2" t="inlineStr"/>
    </row>
    <row r="282" ht="15" customHeight="1">
      <c r="A282" t="inlineStr">
        <is>
          <t>A 41519-2025</t>
        </is>
      </c>
      <c r="B282" s="1" t="n">
        <v>45901.54751157408</v>
      </c>
      <c r="C282" s="1" t="n">
        <v>45984</v>
      </c>
      <c r="D282" t="inlineStr">
        <is>
          <t>UPPSALA LÄN</t>
        </is>
      </c>
      <c r="E282" t="inlineStr">
        <is>
          <t>ÖSTHAMMAR</t>
        </is>
      </c>
      <c r="F282" t="inlineStr">
        <is>
          <t>Övriga Aktiebolag</t>
        </is>
      </c>
      <c r="G282" t="n">
        <v>17.1</v>
      </c>
      <c r="H282" t="n">
        <v>0</v>
      </c>
      <c r="I282" t="n">
        <v>0</v>
      </c>
      <c r="J282" t="n">
        <v>0</v>
      </c>
      <c r="K282" t="n">
        <v>0</v>
      </c>
      <c r="L282" t="n">
        <v>0</v>
      </c>
      <c r="M282" t="n">
        <v>0</v>
      </c>
      <c r="N282" t="n">
        <v>0</v>
      </c>
      <c r="O282" t="n">
        <v>0</v>
      </c>
      <c r="P282" t="n">
        <v>0</v>
      </c>
      <c r="Q282" t="n">
        <v>0</v>
      </c>
      <c r="R282" s="2" t="inlineStr"/>
    </row>
    <row r="283" ht="15" customHeight="1">
      <c r="A283" t="inlineStr">
        <is>
          <t>A 26330-2025</t>
        </is>
      </c>
      <c r="B283" s="1" t="n">
        <v>45805.68263888889</v>
      </c>
      <c r="C283" s="1" t="n">
        <v>45984</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26319-2025</t>
        </is>
      </c>
      <c r="B284" s="1" t="n">
        <v>45805.65960648148</v>
      </c>
      <c r="C284" s="1" t="n">
        <v>45984</v>
      </c>
      <c r="D284" t="inlineStr">
        <is>
          <t>UPPSALA LÄN</t>
        </is>
      </c>
      <c r="E284" t="inlineStr">
        <is>
          <t>ÖSTHAMMAR</t>
        </is>
      </c>
      <c r="G284" t="n">
        <v>1</v>
      </c>
      <c r="H284" t="n">
        <v>0</v>
      </c>
      <c r="I284" t="n">
        <v>0</v>
      </c>
      <c r="J284" t="n">
        <v>0</v>
      </c>
      <c r="K284" t="n">
        <v>0</v>
      </c>
      <c r="L284" t="n">
        <v>0</v>
      </c>
      <c r="M284" t="n">
        <v>0</v>
      </c>
      <c r="N284" t="n">
        <v>0</v>
      </c>
      <c r="O284" t="n">
        <v>0</v>
      </c>
      <c r="P284" t="n">
        <v>0</v>
      </c>
      <c r="Q284" t="n">
        <v>0</v>
      </c>
      <c r="R284" s="2" t="inlineStr"/>
    </row>
    <row r="285" ht="15" customHeight="1">
      <c r="A285" t="inlineStr">
        <is>
          <t>A 24408-2025</t>
        </is>
      </c>
      <c r="B285" s="1" t="n">
        <v>45797.65774305556</v>
      </c>
      <c r="C285" s="1" t="n">
        <v>45984</v>
      </c>
      <c r="D285" t="inlineStr">
        <is>
          <t>UPPSALA LÄN</t>
        </is>
      </c>
      <c r="E285" t="inlineStr">
        <is>
          <t>ÖSTHAMMAR</t>
        </is>
      </c>
      <c r="G285" t="n">
        <v>1.6</v>
      </c>
      <c r="H285" t="n">
        <v>0</v>
      </c>
      <c r="I285" t="n">
        <v>0</v>
      </c>
      <c r="J285" t="n">
        <v>0</v>
      </c>
      <c r="K285" t="n">
        <v>0</v>
      </c>
      <c r="L285" t="n">
        <v>0</v>
      </c>
      <c r="M285" t="n">
        <v>0</v>
      </c>
      <c r="N285" t="n">
        <v>0</v>
      </c>
      <c r="O285" t="n">
        <v>0</v>
      </c>
      <c r="P285" t="n">
        <v>0</v>
      </c>
      <c r="Q285" t="n">
        <v>0</v>
      </c>
      <c r="R285" s="2" t="inlineStr"/>
    </row>
    <row r="286" ht="15" customHeight="1">
      <c r="A286" t="inlineStr">
        <is>
          <t>A 61261-2022</t>
        </is>
      </c>
      <c r="B286" s="1" t="n">
        <v>44915.59645833333</v>
      </c>
      <c r="C286" s="1" t="n">
        <v>45984</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4984-2024</t>
        </is>
      </c>
      <c r="B287" s="1" t="n">
        <v>45329</v>
      </c>
      <c r="C287" s="1" t="n">
        <v>45984</v>
      </c>
      <c r="D287" t="inlineStr">
        <is>
          <t>UPPSALA LÄN</t>
        </is>
      </c>
      <c r="E287" t="inlineStr">
        <is>
          <t>ÖSTHAMMAR</t>
        </is>
      </c>
      <c r="G287" t="n">
        <v>2.2</v>
      </c>
      <c r="H287" t="n">
        <v>0</v>
      </c>
      <c r="I287" t="n">
        <v>0</v>
      </c>
      <c r="J287" t="n">
        <v>0</v>
      </c>
      <c r="K287" t="n">
        <v>0</v>
      </c>
      <c r="L287" t="n">
        <v>0</v>
      </c>
      <c r="M287" t="n">
        <v>0</v>
      </c>
      <c r="N287" t="n">
        <v>0</v>
      </c>
      <c r="O287" t="n">
        <v>0</v>
      </c>
      <c r="P287" t="n">
        <v>0</v>
      </c>
      <c r="Q287" t="n">
        <v>0</v>
      </c>
      <c r="R287" s="2" t="inlineStr"/>
    </row>
    <row r="288" ht="15" customHeight="1">
      <c r="A288" t="inlineStr">
        <is>
          <t>A 74429-2021</t>
        </is>
      </c>
      <c r="B288" s="1" t="n">
        <v>44560.43136574074</v>
      </c>
      <c r="C288" s="1" t="n">
        <v>45984</v>
      </c>
      <c r="D288" t="inlineStr">
        <is>
          <t>UPPSALA LÄN</t>
        </is>
      </c>
      <c r="E288" t="inlineStr">
        <is>
          <t>ÖSTHAMMAR</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7543-2023</t>
        </is>
      </c>
      <c r="B289" s="1" t="n">
        <v>44972</v>
      </c>
      <c r="C289" s="1" t="n">
        <v>45984</v>
      </c>
      <c r="D289" t="inlineStr">
        <is>
          <t>UPPSALA LÄN</t>
        </is>
      </c>
      <c r="E289" t="inlineStr">
        <is>
          <t>ÖSTHAMMAR</t>
        </is>
      </c>
      <c r="F289" t="inlineStr">
        <is>
          <t>Bergvik skog öst AB</t>
        </is>
      </c>
      <c r="G289" t="n">
        <v>13.3</v>
      </c>
      <c r="H289" t="n">
        <v>0</v>
      </c>
      <c r="I289" t="n">
        <v>0</v>
      </c>
      <c r="J289" t="n">
        <v>0</v>
      </c>
      <c r="K289" t="n">
        <v>0</v>
      </c>
      <c r="L289" t="n">
        <v>0</v>
      </c>
      <c r="M289" t="n">
        <v>0</v>
      </c>
      <c r="N289" t="n">
        <v>0</v>
      </c>
      <c r="O289" t="n">
        <v>0</v>
      </c>
      <c r="P289" t="n">
        <v>0</v>
      </c>
      <c r="Q289" t="n">
        <v>0</v>
      </c>
      <c r="R289" s="2" t="inlineStr"/>
    </row>
    <row r="290" ht="15" customHeight="1">
      <c r="A290" t="inlineStr">
        <is>
          <t>A 26521-2025</t>
        </is>
      </c>
      <c r="B290" s="1" t="n">
        <v>45807.56275462963</v>
      </c>
      <c r="C290" s="1" t="n">
        <v>45984</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20634-2024</t>
        </is>
      </c>
      <c r="B291" s="1" t="n">
        <v>45436</v>
      </c>
      <c r="C291" s="1" t="n">
        <v>45984</v>
      </c>
      <c r="D291" t="inlineStr">
        <is>
          <t>UPPSALA LÄN</t>
        </is>
      </c>
      <c r="E291" t="inlineStr">
        <is>
          <t>ÖSTHAMMAR</t>
        </is>
      </c>
      <c r="G291" t="n">
        <v>6.5</v>
      </c>
      <c r="H291" t="n">
        <v>0</v>
      </c>
      <c r="I291" t="n">
        <v>0</v>
      </c>
      <c r="J291" t="n">
        <v>0</v>
      </c>
      <c r="K291" t="n">
        <v>0</v>
      </c>
      <c r="L291" t="n">
        <v>0</v>
      </c>
      <c r="M291" t="n">
        <v>0</v>
      </c>
      <c r="N291" t="n">
        <v>0</v>
      </c>
      <c r="O291" t="n">
        <v>0</v>
      </c>
      <c r="P291" t="n">
        <v>0</v>
      </c>
      <c r="Q291" t="n">
        <v>0</v>
      </c>
      <c r="R291" s="2" t="inlineStr"/>
    </row>
    <row r="292" ht="15" customHeight="1">
      <c r="A292" t="inlineStr">
        <is>
          <t>A 26526-2025</t>
        </is>
      </c>
      <c r="B292" s="1" t="n">
        <v>45807.56612268519</v>
      </c>
      <c r="C292" s="1" t="n">
        <v>45984</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42213-2025</t>
        </is>
      </c>
      <c r="B293" s="1" t="n">
        <v>45904.50652777778</v>
      </c>
      <c r="C293" s="1" t="n">
        <v>45984</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27395-2025</t>
        </is>
      </c>
      <c r="B294" s="1" t="n">
        <v>45812.6850462963</v>
      </c>
      <c r="C294" s="1" t="n">
        <v>45984</v>
      </c>
      <c r="D294" t="inlineStr">
        <is>
          <t>UPPSALA LÄN</t>
        </is>
      </c>
      <c r="E294" t="inlineStr">
        <is>
          <t>ÖSTHAMMAR</t>
        </is>
      </c>
      <c r="F294" t="inlineStr">
        <is>
          <t>Bergvik skog öst AB</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27347-2025</t>
        </is>
      </c>
      <c r="B295" s="1" t="n">
        <v>45812.62390046296</v>
      </c>
      <c r="C295" s="1" t="n">
        <v>45984</v>
      </c>
      <c r="D295" t="inlineStr">
        <is>
          <t>UPPSALA LÄN</t>
        </is>
      </c>
      <c r="E295" t="inlineStr">
        <is>
          <t>ÖSTHAMMAR</t>
        </is>
      </c>
      <c r="G295" t="n">
        <v>0.4</v>
      </c>
      <c r="H295" t="n">
        <v>0</v>
      </c>
      <c r="I295" t="n">
        <v>0</v>
      </c>
      <c r="J295" t="n">
        <v>0</v>
      </c>
      <c r="K295" t="n">
        <v>0</v>
      </c>
      <c r="L295" t="n">
        <v>0</v>
      </c>
      <c r="M295" t="n">
        <v>0</v>
      </c>
      <c r="N295" t="n">
        <v>0</v>
      </c>
      <c r="O295" t="n">
        <v>0</v>
      </c>
      <c r="P295" t="n">
        <v>0</v>
      </c>
      <c r="Q295" t="n">
        <v>0</v>
      </c>
      <c r="R295" s="2" t="inlineStr"/>
    </row>
    <row r="296" ht="15" customHeight="1">
      <c r="A296" t="inlineStr">
        <is>
          <t>A 27383-2025</t>
        </is>
      </c>
      <c r="B296" s="1" t="n">
        <v>45812.66628472223</v>
      </c>
      <c r="C296" s="1" t="n">
        <v>45984</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27385-2025</t>
        </is>
      </c>
      <c r="B297" s="1" t="n">
        <v>45812.66829861111</v>
      </c>
      <c r="C297" s="1" t="n">
        <v>45984</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27352-2025</t>
        </is>
      </c>
      <c r="B298" s="1" t="n">
        <v>45812.62694444445</v>
      </c>
      <c r="C298" s="1" t="n">
        <v>45984</v>
      </c>
      <c r="D298" t="inlineStr">
        <is>
          <t>UPPSALA LÄN</t>
        </is>
      </c>
      <c r="E298" t="inlineStr">
        <is>
          <t>ÖSTHAMMAR</t>
        </is>
      </c>
      <c r="G298" t="n">
        <v>2.5</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45984</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27131-2025</t>
        </is>
      </c>
      <c r="B300" s="1" t="n">
        <v>45811</v>
      </c>
      <c r="C300" s="1" t="n">
        <v>45984</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27384-2025</t>
        </is>
      </c>
      <c r="B301" s="1" t="n">
        <v>45812.6672337963</v>
      </c>
      <c r="C301" s="1" t="n">
        <v>45984</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27392-2025</t>
        </is>
      </c>
      <c r="B302" s="1" t="n">
        <v>45812.68268518519</v>
      </c>
      <c r="C302" s="1" t="n">
        <v>45984</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52650-2022</t>
        </is>
      </c>
      <c r="B303" s="1" t="n">
        <v>44874</v>
      </c>
      <c r="C303" s="1" t="n">
        <v>45984</v>
      </c>
      <c r="D303" t="inlineStr">
        <is>
          <t>UPPSALA LÄN</t>
        </is>
      </c>
      <c r="E303" t="inlineStr">
        <is>
          <t>ÖSTHAMMAR</t>
        </is>
      </c>
      <c r="F303" t="inlineStr">
        <is>
          <t>Bergvik skog öst AB</t>
        </is>
      </c>
      <c r="G303" t="n">
        <v>0.4</v>
      </c>
      <c r="H303" t="n">
        <v>0</v>
      </c>
      <c r="I303" t="n">
        <v>0</v>
      </c>
      <c r="J303" t="n">
        <v>0</v>
      </c>
      <c r="K303" t="n">
        <v>0</v>
      </c>
      <c r="L303" t="n">
        <v>0</v>
      </c>
      <c r="M303" t="n">
        <v>0</v>
      </c>
      <c r="N303" t="n">
        <v>0</v>
      </c>
      <c r="O303" t="n">
        <v>0</v>
      </c>
      <c r="P303" t="n">
        <v>0</v>
      </c>
      <c r="Q303" t="n">
        <v>0</v>
      </c>
      <c r="R303" s="2" t="inlineStr"/>
    </row>
    <row r="304" ht="15" customHeight="1">
      <c r="A304" t="inlineStr">
        <is>
          <t>A 52661-2022</t>
        </is>
      </c>
      <c r="B304" s="1" t="n">
        <v>44874</v>
      </c>
      <c r="C304" s="1" t="n">
        <v>45984</v>
      </c>
      <c r="D304" t="inlineStr">
        <is>
          <t>UPPSALA LÄN</t>
        </is>
      </c>
      <c r="E304" t="inlineStr">
        <is>
          <t>ÖSTHAMMAR</t>
        </is>
      </c>
      <c r="F304" t="inlineStr">
        <is>
          <t>Bergvik skog öst AB</t>
        </is>
      </c>
      <c r="G304" t="n">
        <v>0.2</v>
      </c>
      <c r="H304" t="n">
        <v>0</v>
      </c>
      <c r="I304" t="n">
        <v>0</v>
      </c>
      <c r="J304" t="n">
        <v>0</v>
      </c>
      <c r="K304" t="n">
        <v>0</v>
      </c>
      <c r="L304" t="n">
        <v>0</v>
      </c>
      <c r="M304" t="n">
        <v>0</v>
      </c>
      <c r="N304" t="n">
        <v>0</v>
      </c>
      <c r="O304" t="n">
        <v>0</v>
      </c>
      <c r="P304" t="n">
        <v>0</v>
      </c>
      <c r="Q304" t="n">
        <v>0</v>
      </c>
      <c r="R304" s="2" t="inlineStr"/>
    </row>
    <row r="305" ht="15" customHeight="1">
      <c r="A305" t="inlineStr">
        <is>
          <t>A 27058-2025</t>
        </is>
      </c>
      <c r="B305" s="1" t="n">
        <v>45811.63436342592</v>
      </c>
      <c r="C305" s="1" t="n">
        <v>45984</v>
      </c>
      <c r="D305" t="inlineStr">
        <is>
          <t>UPPSALA LÄN</t>
        </is>
      </c>
      <c r="E305" t="inlineStr">
        <is>
          <t>ÖSTHAMMAR</t>
        </is>
      </c>
      <c r="F305" t="inlineStr">
        <is>
          <t>Bergvik skog öst AB</t>
        </is>
      </c>
      <c r="G305" t="n">
        <v>5.7</v>
      </c>
      <c r="H305" t="n">
        <v>0</v>
      </c>
      <c r="I305" t="n">
        <v>0</v>
      </c>
      <c r="J305" t="n">
        <v>0</v>
      </c>
      <c r="K305" t="n">
        <v>0</v>
      </c>
      <c r="L305" t="n">
        <v>0</v>
      </c>
      <c r="M305" t="n">
        <v>0</v>
      </c>
      <c r="N305" t="n">
        <v>0</v>
      </c>
      <c r="O305" t="n">
        <v>0</v>
      </c>
      <c r="P305" t="n">
        <v>0</v>
      </c>
      <c r="Q305" t="n">
        <v>0</v>
      </c>
      <c r="R305" s="2" t="inlineStr"/>
    </row>
    <row r="306" ht="15" customHeight="1">
      <c r="A306" t="inlineStr">
        <is>
          <t>A 3732-2022</t>
        </is>
      </c>
      <c r="B306" s="1" t="n">
        <v>44586.64851851852</v>
      </c>
      <c r="C306" s="1" t="n">
        <v>45984</v>
      </c>
      <c r="D306" t="inlineStr">
        <is>
          <t>UPPSALA LÄN</t>
        </is>
      </c>
      <c r="E306" t="inlineStr">
        <is>
          <t>ÖSTHAMMAR</t>
        </is>
      </c>
      <c r="F306" t="inlineStr">
        <is>
          <t>Bergvik skog öst AB</t>
        </is>
      </c>
      <c r="G306" t="n">
        <v>3.6</v>
      </c>
      <c r="H306" t="n">
        <v>0</v>
      </c>
      <c r="I306" t="n">
        <v>0</v>
      </c>
      <c r="J306" t="n">
        <v>0</v>
      </c>
      <c r="K306" t="n">
        <v>0</v>
      </c>
      <c r="L306" t="n">
        <v>0</v>
      </c>
      <c r="M306" t="n">
        <v>0</v>
      </c>
      <c r="N306" t="n">
        <v>0</v>
      </c>
      <c r="O306" t="n">
        <v>0</v>
      </c>
      <c r="P306" t="n">
        <v>0</v>
      </c>
      <c r="Q306" t="n">
        <v>0</v>
      </c>
      <c r="R306" s="2" t="inlineStr"/>
    </row>
    <row r="307" ht="15" customHeight="1">
      <c r="A307" t="inlineStr">
        <is>
          <t>A 27350-2025</t>
        </is>
      </c>
      <c r="B307" s="1" t="n">
        <v>45812.62571759259</v>
      </c>
      <c r="C307" s="1" t="n">
        <v>45984</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27132-2025</t>
        </is>
      </c>
      <c r="B308" s="1" t="n">
        <v>45811</v>
      </c>
      <c r="C308" s="1" t="n">
        <v>45984</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38003-2024</t>
        </is>
      </c>
      <c r="B309" s="1" t="n">
        <v>45544</v>
      </c>
      <c r="C309" s="1" t="n">
        <v>45984</v>
      </c>
      <c r="D309" t="inlineStr">
        <is>
          <t>UPPSALA LÄN</t>
        </is>
      </c>
      <c r="E309" t="inlineStr">
        <is>
          <t>ÖSTHAMMAR</t>
        </is>
      </c>
      <c r="F309" t="inlineStr">
        <is>
          <t>Naturvårdsverket</t>
        </is>
      </c>
      <c r="G309" t="n">
        <v>4.2</v>
      </c>
      <c r="H309" t="n">
        <v>0</v>
      </c>
      <c r="I309" t="n">
        <v>0</v>
      </c>
      <c r="J309" t="n">
        <v>0</v>
      </c>
      <c r="K309" t="n">
        <v>0</v>
      </c>
      <c r="L309" t="n">
        <v>0</v>
      </c>
      <c r="M309" t="n">
        <v>0</v>
      </c>
      <c r="N309" t="n">
        <v>0</v>
      </c>
      <c r="O309" t="n">
        <v>0</v>
      </c>
      <c r="P309" t="n">
        <v>0</v>
      </c>
      <c r="Q309" t="n">
        <v>0</v>
      </c>
      <c r="R309" s="2" t="inlineStr"/>
    </row>
    <row r="310" ht="15" customHeight="1">
      <c r="A310" t="inlineStr">
        <is>
          <t>A 51156-2025</t>
        </is>
      </c>
      <c r="B310" s="1" t="n">
        <v>45947.57833333333</v>
      </c>
      <c r="C310" s="1" t="n">
        <v>45984</v>
      </c>
      <c r="D310" t="inlineStr">
        <is>
          <t>UPPSALA LÄN</t>
        </is>
      </c>
      <c r="E310" t="inlineStr">
        <is>
          <t>ÖSTHAMMAR</t>
        </is>
      </c>
      <c r="F310" t="inlineStr">
        <is>
          <t>Allmännings- och besparingsskogar</t>
        </is>
      </c>
      <c r="G310" t="n">
        <v>2.8</v>
      </c>
      <c r="H310" t="n">
        <v>0</v>
      </c>
      <c r="I310" t="n">
        <v>0</v>
      </c>
      <c r="J310" t="n">
        <v>0</v>
      </c>
      <c r="K310" t="n">
        <v>0</v>
      </c>
      <c r="L310" t="n">
        <v>0</v>
      </c>
      <c r="M310" t="n">
        <v>0</v>
      </c>
      <c r="N310" t="n">
        <v>0</v>
      </c>
      <c r="O310" t="n">
        <v>0</v>
      </c>
      <c r="P310" t="n">
        <v>0</v>
      </c>
      <c r="Q310" t="n">
        <v>0</v>
      </c>
      <c r="R310" s="2" t="inlineStr"/>
    </row>
    <row r="311" ht="15" customHeight="1">
      <c r="A311" t="inlineStr">
        <is>
          <t>A 8330-2025</t>
        </is>
      </c>
      <c r="B311" s="1" t="n">
        <v>45708</v>
      </c>
      <c r="C311" s="1" t="n">
        <v>45984</v>
      </c>
      <c r="D311" t="inlineStr">
        <is>
          <t>UPPSALA LÄN</t>
        </is>
      </c>
      <c r="E311" t="inlineStr">
        <is>
          <t>ÖSTHAMMAR</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1575-2025</t>
        </is>
      </c>
      <c r="B312" s="1" t="n">
        <v>45670</v>
      </c>
      <c r="C312" s="1" t="n">
        <v>45984</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16141-2022</t>
        </is>
      </c>
      <c r="B313" s="1" t="n">
        <v>44665</v>
      </c>
      <c r="C313" s="1" t="n">
        <v>45984</v>
      </c>
      <c r="D313" t="inlineStr">
        <is>
          <t>UPPSALA LÄN</t>
        </is>
      </c>
      <c r="E313" t="inlineStr">
        <is>
          <t>ÖSTHAMMAR</t>
        </is>
      </c>
      <c r="F313" t="inlineStr">
        <is>
          <t>Bergvik skog öst AB</t>
        </is>
      </c>
      <c r="G313" t="n">
        <v>1.3</v>
      </c>
      <c r="H313" t="n">
        <v>0</v>
      </c>
      <c r="I313" t="n">
        <v>0</v>
      </c>
      <c r="J313" t="n">
        <v>0</v>
      </c>
      <c r="K313" t="n">
        <v>0</v>
      </c>
      <c r="L313" t="n">
        <v>0</v>
      </c>
      <c r="M313" t="n">
        <v>0</v>
      </c>
      <c r="N313" t="n">
        <v>0</v>
      </c>
      <c r="O313" t="n">
        <v>0</v>
      </c>
      <c r="P313" t="n">
        <v>0</v>
      </c>
      <c r="Q313" t="n">
        <v>0</v>
      </c>
      <c r="R313" s="2" t="inlineStr"/>
    </row>
    <row r="314" ht="15" customHeight="1">
      <c r="A314" t="inlineStr">
        <is>
          <t>A 51255-2025</t>
        </is>
      </c>
      <c r="B314" s="1" t="n">
        <v>45949.00917824074</v>
      </c>
      <c r="C314" s="1" t="n">
        <v>45984</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28152-2024</t>
        </is>
      </c>
      <c r="B315" s="1" t="n">
        <v>45476.77056712963</v>
      </c>
      <c r="C315" s="1" t="n">
        <v>45984</v>
      </c>
      <c r="D315" t="inlineStr">
        <is>
          <t>UPPSALA LÄN</t>
        </is>
      </c>
      <c r="E315" t="inlineStr">
        <is>
          <t>ÖSTHAMMAR</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28099-2025</t>
        </is>
      </c>
      <c r="B316" s="1" t="n">
        <v>45817.82967592592</v>
      </c>
      <c r="C316" s="1" t="n">
        <v>45984</v>
      </c>
      <c r="D316" t="inlineStr">
        <is>
          <t>UPPSALA LÄN</t>
        </is>
      </c>
      <c r="E316" t="inlineStr">
        <is>
          <t>ÖSTHAMMAR</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27563-2025</t>
        </is>
      </c>
      <c r="B317" s="1" t="n">
        <v>45813.48471064815</v>
      </c>
      <c r="C317" s="1" t="n">
        <v>45984</v>
      </c>
      <c r="D317" t="inlineStr">
        <is>
          <t>UPPSALA LÄN</t>
        </is>
      </c>
      <c r="E317" t="inlineStr">
        <is>
          <t>ÖSTHAMMAR</t>
        </is>
      </c>
      <c r="F317" t="inlineStr">
        <is>
          <t>Bergvik skog öst AB</t>
        </is>
      </c>
      <c r="G317" t="n">
        <v>4</v>
      </c>
      <c r="H317" t="n">
        <v>0</v>
      </c>
      <c r="I317" t="n">
        <v>0</v>
      </c>
      <c r="J317" t="n">
        <v>0</v>
      </c>
      <c r="K317" t="n">
        <v>0</v>
      </c>
      <c r="L317" t="n">
        <v>0</v>
      </c>
      <c r="M317" t="n">
        <v>0</v>
      </c>
      <c r="N317" t="n">
        <v>0</v>
      </c>
      <c r="O317" t="n">
        <v>0</v>
      </c>
      <c r="P317" t="n">
        <v>0</v>
      </c>
      <c r="Q317" t="n">
        <v>0</v>
      </c>
      <c r="R317" s="2" t="inlineStr"/>
    </row>
    <row r="318" ht="15" customHeight="1">
      <c r="A318" t="inlineStr">
        <is>
          <t>A 5076-2025</t>
        </is>
      </c>
      <c r="B318" s="1" t="n">
        <v>45691</v>
      </c>
      <c r="C318" s="1" t="n">
        <v>45984</v>
      </c>
      <c r="D318" t="inlineStr">
        <is>
          <t>UPPSALA LÄN</t>
        </is>
      </c>
      <c r="E318" t="inlineStr">
        <is>
          <t>ÖSTHAMMAR</t>
        </is>
      </c>
      <c r="G318" t="n">
        <v>5.8</v>
      </c>
      <c r="H318" t="n">
        <v>0</v>
      </c>
      <c r="I318" t="n">
        <v>0</v>
      </c>
      <c r="J318" t="n">
        <v>0</v>
      </c>
      <c r="K318" t="n">
        <v>0</v>
      </c>
      <c r="L318" t="n">
        <v>0</v>
      </c>
      <c r="M318" t="n">
        <v>0</v>
      </c>
      <c r="N318" t="n">
        <v>0</v>
      </c>
      <c r="O318" t="n">
        <v>0</v>
      </c>
      <c r="P318" t="n">
        <v>0</v>
      </c>
      <c r="Q318" t="n">
        <v>0</v>
      </c>
      <c r="R318" s="2" t="inlineStr"/>
    </row>
    <row r="319" ht="15" customHeight="1">
      <c r="A319" t="inlineStr">
        <is>
          <t>A 57453-2022</t>
        </is>
      </c>
      <c r="B319" s="1" t="n">
        <v>44896.56266203704</v>
      </c>
      <c r="C319" s="1" t="n">
        <v>45984</v>
      </c>
      <c r="D319" t="inlineStr">
        <is>
          <t>UPPSALA LÄN</t>
        </is>
      </c>
      <c r="E319" t="inlineStr">
        <is>
          <t>ÖSTHAMMAR</t>
        </is>
      </c>
      <c r="G319" t="n">
        <v>1.7</v>
      </c>
      <c r="H319" t="n">
        <v>0</v>
      </c>
      <c r="I319" t="n">
        <v>0</v>
      </c>
      <c r="J319" t="n">
        <v>0</v>
      </c>
      <c r="K319" t="n">
        <v>0</v>
      </c>
      <c r="L319" t="n">
        <v>0</v>
      </c>
      <c r="M319" t="n">
        <v>0</v>
      </c>
      <c r="N319" t="n">
        <v>0</v>
      </c>
      <c r="O319" t="n">
        <v>0</v>
      </c>
      <c r="P319" t="n">
        <v>0</v>
      </c>
      <c r="Q319" t="n">
        <v>0</v>
      </c>
      <c r="R319" s="2" t="inlineStr"/>
    </row>
    <row r="320" ht="15" customHeight="1">
      <c r="A320" t="inlineStr">
        <is>
          <t>A 57462-2022</t>
        </is>
      </c>
      <c r="B320" s="1" t="n">
        <v>44896.57527777777</v>
      </c>
      <c r="C320" s="1" t="n">
        <v>45984</v>
      </c>
      <c r="D320" t="inlineStr">
        <is>
          <t>UPPSALA LÄN</t>
        </is>
      </c>
      <c r="E320" t="inlineStr">
        <is>
          <t>ÖSTHAMMAR</t>
        </is>
      </c>
      <c r="G320" t="n">
        <v>1.9</v>
      </c>
      <c r="H320" t="n">
        <v>0</v>
      </c>
      <c r="I320" t="n">
        <v>0</v>
      </c>
      <c r="J320" t="n">
        <v>0</v>
      </c>
      <c r="K320" t="n">
        <v>0</v>
      </c>
      <c r="L320" t="n">
        <v>0</v>
      </c>
      <c r="M320" t="n">
        <v>0</v>
      </c>
      <c r="N320" t="n">
        <v>0</v>
      </c>
      <c r="O320" t="n">
        <v>0</v>
      </c>
      <c r="P320" t="n">
        <v>0</v>
      </c>
      <c r="Q320" t="n">
        <v>0</v>
      </c>
      <c r="R320" s="2" t="inlineStr"/>
    </row>
    <row r="321" ht="15" customHeight="1">
      <c r="A321" t="inlineStr">
        <is>
          <t>A 51254-2025</t>
        </is>
      </c>
      <c r="B321" s="1" t="n">
        <v>45948.99313657408</v>
      </c>
      <c r="C321" s="1" t="n">
        <v>45984</v>
      </c>
      <c r="D321" t="inlineStr">
        <is>
          <t>UPPSALA LÄN</t>
        </is>
      </c>
      <c r="E321" t="inlineStr">
        <is>
          <t>ÖSTHAMMAR</t>
        </is>
      </c>
      <c r="G321" t="n">
        <v>8.9</v>
      </c>
      <c r="H321" t="n">
        <v>0</v>
      </c>
      <c r="I321" t="n">
        <v>0</v>
      </c>
      <c r="J321" t="n">
        <v>0</v>
      </c>
      <c r="K321" t="n">
        <v>0</v>
      </c>
      <c r="L321" t="n">
        <v>0</v>
      </c>
      <c r="M321" t="n">
        <v>0</v>
      </c>
      <c r="N321" t="n">
        <v>0</v>
      </c>
      <c r="O321" t="n">
        <v>0</v>
      </c>
      <c r="P321" t="n">
        <v>0</v>
      </c>
      <c r="Q321" t="n">
        <v>0</v>
      </c>
      <c r="R321" s="2" t="inlineStr"/>
    </row>
    <row r="322" ht="15" customHeight="1">
      <c r="A322" t="inlineStr">
        <is>
          <t>A 27920-2025</t>
        </is>
      </c>
      <c r="B322" s="1" t="n">
        <v>45817.48454861111</v>
      </c>
      <c r="C322" s="1" t="n">
        <v>45984</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2839-2025</t>
        </is>
      </c>
      <c r="B323" s="1" t="n">
        <v>45677</v>
      </c>
      <c r="C323" s="1" t="n">
        <v>45984</v>
      </c>
      <c r="D323" t="inlineStr">
        <is>
          <t>UPPSALA LÄN</t>
        </is>
      </c>
      <c r="E323" t="inlineStr">
        <is>
          <t>ÖSTHAMMAR</t>
        </is>
      </c>
      <c r="F323" t="inlineStr">
        <is>
          <t>Övriga Aktiebolag</t>
        </is>
      </c>
      <c r="G323" t="n">
        <v>4</v>
      </c>
      <c r="H323" t="n">
        <v>0</v>
      </c>
      <c r="I323" t="n">
        <v>0</v>
      </c>
      <c r="J323" t="n">
        <v>0</v>
      </c>
      <c r="K323" t="n">
        <v>0</v>
      </c>
      <c r="L323" t="n">
        <v>0</v>
      </c>
      <c r="M323" t="n">
        <v>0</v>
      </c>
      <c r="N323" t="n">
        <v>0</v>
      </c>
      <c r="O323" t="n">
        <v>0</v>
      </c>
      <c r="P323" t="n">
        <v>0</v>
      </c>
      <c r="Q323" t="n">
        <v>0</v>
      </c>
      <c r="R323" s="2" t="inlineStr"/>
    </row>
    <row r="324" ht="15" customHeight="1">
      <c r="A324" t="inlineStr">
        <is>
          <t>A 2947-2025</t>
        </is>
      </c>
      <c r="B324" s="1" t="n">
        <v>45678</v>
      </c>
      <c r="C324" s="1" t="n">
        <v>45984</v>
      </c>
      <c r="D324" t="inlineStr">
        <is>
          <t>UPPSALA LÄN</t>
        </is>
      </c>
      <c r="E324" t="inlineStr">
        <is>
          <t>ÖSTHAMMAR</t>
        </is>
      </c>
      <c r="G324" t="n">
        <v>3.6</v>
      </c>
      <c r="H324" t="n">
        <v>0</v>
      </c>
      <c r="I324" t="n">
        <v>0</v>
      </c>
      <c r="J324" t="n">
        <v>0</v>
      </c>
      <c r="K324" t="n">
        <v>0</v>
      </c>
      <c r="L324" t="n">
        <v>0</v>
      </c>
      <c r="M324" t="n">
        <v>0</v>
      </c>
      <c r="N324" t="n">
        <v>0</v>
      </c>
      <c r="O324" t="n">
        <v>0</v>
      </c>
      <c r="P324" t="n">
        <v>0</v>
      </c>
      <c r="Q324" t="n">
        <v>0</v>
      </c>
      <c r="R324" s="2" t="inlineStr"/>
    </row>
    <row r="325" ht="15" customHeight="1">
      <c r="A325" t="inlineStr">
        <is>
          <t>A 27812-2025</t>
        </is>
      </c>
      <c r="B325" s="1" t="n">
        <v>45817.32150462963</v>
      </c>
      <c r="C325" s="1" t="n">
        <v>45984</v>
      </c>
      <c r="D325" t="inlineStr">
        <is>
          <t>UPPSALA LÄN</t>
        </is>
      </c>
      <c r="E325" t="inlineStr">
        <is>
          <t>ÖSTHAMMAR</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33927-2025</t>
        </is>
      </c>
      <c r="B326" s="1" t="n">
        <v>45842.62363425926</v>
      </c>
      <c r="C326" s="1" t="n">
        <v>45984</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43011-2025</t>
        </is>
      </c>
      <c r="B327" s="1" t="n">
        <v>45909.48989583334</v>
      </c>
      <c r="C327" s="1" t="n">
        <v>45984</v>
      </c>
      <c r="D327" t="inlineStr">
        <is>
          <t>UPPSALA LÄN</t>
        </is>
      </c>
      <c r="E327" t="inlineStr">
        <is>
          <t>ÖSTHAMMAR</t>
        </is>
      </c>
      <c r="F327" t="inlineStr">
        <is>
          <t>Övriga Aktiebolag</t>
        </is>
      </c>
      <c r="G327" t="n">
        <v>4.7</v>
      </c>
      <c r="H327" t="n">
        <v>0</v>
      </c>
      <c r="I327" t="n">
        <v>0</v>
      </c>
      <c r="J327" t="n">
        <v>0</v>
      </c>
      <c r="K327" t="n">
        <v>0</v>
      </c>
      <c r="L327" t="n">
        <v>0</v>
      </c>
      <c r="M327" t="n">
        <v>0</v>
      </c>
      <c r="N327" t="n">
        <v>0</v>
      </c>
      <c r="O327" t="n">
        <v>0</v>
      </c>
      <c r="P327" t="n">
        <v>0</v>
      </c>
      <c r="Q327" t="n">
        <v>0</v>
      </c>
      <c r="R327" s="2" t="inlineStr"/>
    </row>
    <row r="328" ht="15" customHeight="1">
      <c r="A328" t="inlineStr">
        <is>
          <t>A 51708-2025</t>
        </is>
      </c>
      <c r="B328" s="1" t="n">
        <v>45951.56679398148</v>
      </c>
      <c r="C328" s="1" t="n">
        <v>45984</v>
      </c>
      <c r="D328" t="inlineStr">
        <is>
          <t>UPPSALA LÄN</t>
        </is>
      </c>
      <c r="E328" t="inlineStr">
        <is>
          <t>ÖSTHAMMAR</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27919-2025</t>
        </is>
      </c>
      <c r="B329" s="1" t="n">
        <v>45817.48384259259</v>
      </c>
      <c r="C329" s="1" t="n">
        <v>45984</v>
      </c>
      <c r="D329" t="inlineStr">
        <is>
          <t>UPPSALA LÄN</t>
        </is>
      </c>
      <c r="E329" t="inlineStr">
        <is>
          <t>ÖSTHAMMAR</t>
        </is>
      </c>
      <c r="F329" t="inlineStr">
        <is>
          <t>Bergvik skog öst AB</t>
        </is>
      </c>
      <c r="G329" t="n">
        <v>3.5</v>
      </c>
      <c r="H329" t="n">
        <v>0</v>
      </c>
      <c r="I329" t="n">
        <v>0</v>
      </c>
      <c r="J329" t="n">
        <v>0</v>
      </c>
      <c r="K329" t="n">
        <v>0</v>
      </c>
      <c r="L329" t="n">
        <v>0</v>
      </c>
      <c r="M329" t="n">
        <v>0</v>
      </c>
      <c r="N329" t="n">
        <v>0</v>
      </c>
      <c r="O329" t="n">
        <v>0</v>
      </c>
      <c r="P329" t="n">
        <v>0</v>
      </c>
      <c r="Q329" t="n">
        <v>0</v>
      </c>
      <c r="R329" s="2" t="inlineStr"/>
    </row>
    <row r="330" ht="15" customHeight="1">
      <c r="A330" t="inlineStr">
        <is>
          <t>A 27853-2025</t>
        </is>
      </c>
      <c r="B330" s="1" t="n">
        <v>45817.40178240741</v>
      </c>
      <c r="C330" s="1" t="n">
        <v>45984</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27509-2025</t>
        </is>
      </c>
      <c r="B331" s="1" t="n">
        <v>45813.4278125</v>
      </c>
      <c r="C331" s="1" t="n">
        <v>45984</v>
      </c>
      <c r="D331" t="inlineStr">
        <is>
          <t>UPPSALA LÄN</t>
        </is>
      </c>
      <c r="E331" t="inlineStr">
        <is>
          <t>ÖSTHAMMAR</t>
        </is>
      </c>
      <c r="F331" t="inlineStr">
        <is>
          <t>Bergvik skog öst AB</t>
        </is>
      </c>
      <c r="G331" t="n">
        <v>3.3</v>
      </c>
      <c r="H331" t="n">
        <v>0</v>
      </c>
      <c r="I331" t="n">
        <v>0</v>
      </c>
      <c r="J331" t="n">
        <v>0</v>
      </c>
      <c r="K331" t="n">
        <v>0</v>
      </c>
      <c r="L331" t="n">
        <v>0</v>
      </c>
      <c r="M331" t="n">
        <v>0</v>
      </c>
      <c r="N331" t="n">
        <v>0</v>
      </c>
      <c r="O331" t="n">
        <v>0</v>
      </c>
      <c r="P331" t="n">
        <v>0</v>
      </c>
      <c r="Q331" t="n">
        <v>0</v>
      </c>
      <c r="R331" s="2" t="inlineStr"/>
    </row>
    <row r="332" ht="15" customHeight="1">
      <c r="A332" t="inlineStr">
        <is>
          <t>A 28745-2025</t>
        </is>
      </c>
      <c r="B332" s="1" t="n">
        <v>45820.39076388889</v>
      </c>
      <c r="C332" s="1" t="n">
        <v>45984</v>
      </c>
      <c r="D332" t="inlineStr">
        <is>
          <t>UPPSALA LÄN</t>
        </is>
      </c>
      <c r="E332" t="inlineStr">
        <is>
          <t>ÖSTHAMMAR</t>
        </is>
      </c>
      <c r="G332" t="n">
        <v>1.7</v>
      </c>
      <c r="H332" t="n">
        <v>0</v>
      </c>
      <c r="I332" t="n">
        <v>0</v>
      </c>
      <c r="J332" t="n">
        <v>0</v>
      </c>
      <c r="K332" t="n">
        <v>0</v>
      </c>
      <c r="L332" t="n">
        <v>0</v>
      </c>
      <c r="M332" t="n">
        <v>0</v>
      </c>
      <c r="N332" t="n">
        <v>0</v>
      </c>
      <c r="O332" t="n">
        <v>0</v>
      </c>
      <c r="P332" t="n">
        <v>0</v>
      </c>
      <c r="Q332" t="n">
        <v>0</v>
      </c>
      <c r="R332" s="2" t="inlineStr"/>
    </row>
    <row r="333" ht="15" customHeight="1">
      <c r="A333" t="inlineStr">
        <is>
          <t>A 28748-2025</t>
        </is>
      </c>
      <c r="B333" s="1" t="n">
        <v>45820.39540509259</v>
      </c>
      <c r="C333" s="1" t="n">
        <v>45984</v>
      </c>
      <c r="D333" t="inlineStr">
        <is>
          <t>UPPSALA LÄN</t>
        </is>
      </c>
      <c r="E333" t="inlineStr">
        <is>
          <t>ÖSTHAMMAR</t>
        </is>
      </c>
      <c r="G333" t="n">
        <v>2</v>
      </c>
      <c r="H333" t="n">
        <v>0</v>
      </c>
      <c r="I333" t="n">
        <v>0</v>
      </c>
      <c r="J333" t="n">
        <v>0</v>
      </c>
      <c r="K333" t="n">
        <v>0</v>
      </c>
      <c r="L333" t="n">
        <v>0</v>
      </c>
      <c r="M333" t="n">
        <v>0</v>
      </c>
      <c r="N333" t="n">
        <v>0</v>
      </c>
      <c r="O333" t="n">
        <v>0</v>
      </c>
      <c r="P333" t="n">
        <v>0</v>
      </c>
      <c r="Q333" t="n">
        <v>0</v>
      </c>
      <c r="R333" s="2" t="inlineStr"/>
    </row>
    <row r="334" ht="15" customHeight="1">
      <c r="A334" t="inlineStr">
        <is>
          <t>A 61817-2021</t>
        </is>
      </c>
      <c r="B334" s="1" t="n">
        <v>44501.76855324074</v>
      </c>
      <c r="C334" s="1" t="n">
        <v>45984</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73982-2021</t>
        </is>
      </c>
      <c r="B335" s="1" t="n">
        <v>44555.80339120371</v>
      </c>
      <c r="C335" s="1" t="n">
        <v>45984</v>
      </c>
      <c r="D335" t="inlineStr">
        <is>
          <t>UPPSALA LÄN</t>
        </is>
      </c>
      <c r="E335" t="inlineStr">
        <is>
          <t>ÖSTHAMMAR</t>
        </is>
      </c>
      <c r="G335" t="n">
        <v>0.9</v>
      </c>
      <c r="H335" t="n">
        <v>0</v>
      </c>
      <c r="I335" t="n">
        <v>0</v>
      </c>
      <c r="J335" t="n">
        <v>0</v>
      </c>
      <c r="K335" t="n">
        <v>0</v>
      </c>
      <c r="L335" t="n">
        <v>0</v>
      </c>
      <c r="M335" t="n">
        <v>0</v>
      </c>
      <c r="N335" t="n">
        <v>0</v>
      </c>
      <c r="O335" t="n">
        <v>0</v>
      </c>
      <c r="P335" t="n">
        <v>0</v>
      </c>
      <c r="Q335" t="n">
        <v>0</v>
      </c>
      <c r="R335" s="2" t="inlineStr"/>
    </row>
    <row r="336" ht="15" customHeight="1">
      <c r="A336" t="inlineStr">
        <is>
          <t>A 28442-2025</t>
        </is>
      </c>
      <c r="B336" s="1" t="n">
        <v>45819</v>
      </c>
      <c r="C336" s="1" t="n">
        <v>45984</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23728-2025</t>
        </is>
      </c>
      <c r="B337" s="1" t="n">
        <v>45793.41719907407</v>
      </c>
      <c r="C337" s="1" t="n">
        <v>45984</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28739-2025</t>
        </is>
      </c>
      <c r="B338" s="1" t="n">
        <v>45820</v>
      </c>
      <c r="C338" s="1" t="n">
        <v>45984</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14859-2025</t>
        </is>
      </c>
      <c r="B339" s="1" t="n">
        <v>45743.42427083333</v>
      </c>
      <c r="C339" s="1" t="n">
        <v>45984</v>
      </c>
      <c r="D339" t="inlineStr">
        <is>
          <t>UPPSALA LÄN</t>
        </is>
      </c>
      <c r="E339" t="inlineStr">
        <is>
          <t>ÖSTHAMMAR</t>
        </is>
      </c>
      <c r="G339" t="n">
        <v>1.1</v>
      </c>
      <c r="H339" t="n">
        <v>0</v>
      </c>
      <c r="I339" t="n">
        <v>0</v>
      </c>
      <c r="J339" t="n">
        <v>0</v>
      </c>
      <c r="K339" t="n">
        <v>0</v>
      </c>
      <c r="L339" t="n">
        <v>0</v>
      </c>
      <c r="M339" t="n">
        <v>0</v>
      </c>
      <c r="N339" t="n">
        <v>0</v>
      </c>
      <c r="O339" t="n">
        <v>0</v>
      </c>
      <c r="P339" t="n">
        <v>0</v>
      </c>
      <c r="Q339" t="n">
        <v>0</v>
      </c>
      <c r="R339" s="2" t="inlineStr"/>
    </row>
    <row r="340" ht="15" customHeight="1">
      <c r="A340" t="inlineStr">
        <is>
          <t>A 27486-2025</t>
        </is>
      </c>
      <c r="B340" s="1" t="n">
        <v>45813.38521990741</v>
      </c>
      <c r="C340" s="1" t="n">
        <v>45984</v>
      </c>
      <c r="D340" t="inlineStr">
        <is>
          <t>UPPSALA LÄN</t>
        </is>
      </c>
      <c r="E340" t="inlineStr">
        <is>
          <t>ÖSTHAMMAR</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14272-2025</t>
        </is>
      </c>
      <c r="B341" s="1" t="n">
        <v>45740.64327546296</v>
      </c>
      <c r="C341" s="1" t="n">
        <v>45984</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42940-2025</t>
        </is>
      </c>
      <c r="B342" s="1" t="n">
        <v>45909.33440972222</v>
      </c>
      <c r="C342" s="1" t="n">
        <v>45984</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29029-2025</t>
        </is>
      </c>
      <c r="B343" s="1" t="n">
        <v>45821.43973379629</v>
      </c>
      <c r="C343" s="1" t="n">
        <v>45984</v>
      </c>
      <c r="D343" t="inlineStr">
        <is>
          <t>UPPSALA LÄN</t>
        </is>
      </c>
      <c r="E343" t="inlineStr">
        <is>
          <t>ÖSTHAMMAR</t>
        </is>
      </c>
      <c r="F343" t="inlineStr">
        <is>
          <t>Bergvik skog öst AB</t>
        </is>
      </c>
      <c r="G343" t="n">
        <v>4.2</v>
      </c>
      <c r="H343" t="n">
        <v>0</v>
      </c>
      <c r="I343" t="n">
        <v>0</v>
      </c>
      <c r="J343" t="n">
        <v>0</v>
      </c>
      <c r="K343" t="n">
        <v>0</v>
      </c>
      <c r="L343" t="n">
        <v>0</v>
      </c>
      <c r="M343" t="n">
        <v>0</v>
      </c>
      <c r="N343" t="n">
        <v>0</v>
      </c>
      <c r="O343" t="n">
        <v>0</v>
      </c>
      <c r="P343" t="n">
        <v>0</v>
      </c>
      <c r="Q343" t="n">
        <v>0</v>
      </c>
      <c r="R343" s="2" t="inlineStr"/>
    </row>
    <row r="344" ht="15" customHeight="1">
      <c r="A344" t="inlineStr">
        <is>
          <t>A 29028-2025</t>
        </is>
      </c>
      <c r="B344" s="1" t="n">
        <v>45821.4384375</v>
      </c>
      <c r="C344" s="1" t="n">
        <v>45984</v>
      </c>
      <c r="D344" t="inlineStr">
        <is>
          <t>UPPSALA LÄN</t>
        </is>
      </c>
      <c r="E344" t="inlineStr">
        <is>
          <t>ÖSTHAMMAR</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27660-2023</t>
        </is>
      </c>
      <c r="B345" s="1" t="n">
        <v>45097</v>
      </c>
      <c r="C345" s="1" t="n">
        <v>45984</v>
      </c>
      <c r="D345" t="inlineStr">
        <is>
          <t>UPPSALA LÄN</t>
        </is>
      </c>
      <c r="E345" t="inlineStr">
        <is>
          <t>ÖSTHAMMAR</t>
        </is>
      </c>
      <c r="G345" t="n">
        <v>2.8</v>
      </c>
      <c r="H345" t="n">
        <v>0</v>
      </c>
      <c r="I345" t="n">
        <v>0</v>
      </c>
      <c r="J345" t="n">
        <v>0</v>
      </c>
      <c r="K345" t="n">
        <v>0</v>
      </c>
      <c r="L345" t="n">
        <v>0</v>
      </c>
      <c r="M345" t="n">
        <v>0</v>
      </c>
      <c r="N345" t="n">
        <v>0</v>
      </c>
      <c r="O345" t="n">
        <v>0</v>
      </c>
      <c r="P345" t="n">
        <v>0</v>
      </c>
      <c r="Q345" t="n">
        <v>0</v>
      </c>
      <c r="R345" s="2" t="inlineStr"/>
    </row>
    <row r="346" ht="15" customHeight="1">
      <c r="A346" t="inlineStr">
        <is>
          <t>A 29031-2025</t>
        </is>
      </c>
      <c r="B346" s="1" t="n">
        <v>45821.44159722222</v>
      </c>
      <c r="C346" s="1" t="n">
        <v>45984</v>
      </c>
      <c r="D346" t="inlineStr">
        <is>
          <t>UPPSALA LÄN</t>
        </is>
      </c>
      <c r="E346" t="inlineStr">
        <is>
          <t>ÖSTHAMMAR</t>
        </is>
      </c>
      <c r="F346" t="inlineStr">
        <is>
          <t>Bergvik skog öst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27490-2025</t>
        </is>
      </c>
      <c r="B347" s="1" t="n">
        <v>45813.39273148148</v>
      </c>
      <c r="C347" s="1" t="n">
        <v>45984</v>
      </c>
      <c r="D347" t="inlineStr">
        <is>
          <t>UPPSALA LÄN</t>
        </is>
      </c>
      <c r="E347" t="inlineStr">
        <is>
          <t>ÖSTHAMMAR</t>
        </is>
      </c>
      <c r="F347" t="inlineStr">
        <is>
          <t>Bergvik skog öst AB</t>
        </is>
      </c>
      <c r="G347" t="n">
        <v>6.1</v>
      </c>
      <c r="H347" t="n">
        <v>0</v>
      </c>
      <c r="I347" t="n">
        <v>0</v>
      </c>
      <c r="J347" t="n">
        <v>0</v>
      </c>
      <c r="K347" t="n">
        <v>0</v>
      </c>
      <c r="L347" t="n">
        <v>0</v>
      </c>
      <c r="M347" t="n">
        <v>0</v>
      </c>
      <c r="N347" t="n">
        <v>0</v>
      </c>
      <c r="O347" t="n">
        <v>0</v>
      </c>
      <c r="P347" t="n">
        <v>0</v>
      </c>
      <c r="Q347" t="n">
        <v>0</v>
      </c>
      <c r="R347" s="2" t="inlineStr"/>
    </row>
    <row r="348" ht="15" customHeight="1">
      <c r="A348" t="inlineStr">
        <is>
          <t>A 27494-2025</t>
        </is>
      </c>
      <c r="B348" s="1" t="n">
        <v>45813.39756944445</v>
      </c>
      <c r="C348" s="1" t="n">
        <v>45984</v>
      </c>
      <c r="D348" t="inlineStr">
        <is>
          <t>UPPSALA LÄN</t>
        </is>
      </c>
      <c r="E348" t="inlineStr">
        <is>
          <t>ÖSTHAMMAR</t>
        </is>
      </c>
      <c r="F348" t="inlineStr">
        <is>
          <t>Bergvik skog öst AB</t>
        </is>
      </c>
      <c r="G348" t="n">
        <v>23.4</v>
      </c>
      <c r="H348" t="n">
        <v>0</v>
      </c>
      <c r="I348" t="n">
        <v>0</v>
      </c>
      <c r="J348" t="n">
        <v>0</v>
      </c>
      <c r="K348" t="n">
        <v>0</v>
      </c>
      <c r="L348" t="n">
        <v>0</v>
      </c>
      <c r="M348" t="n">
        <v>0</v>
      </c>
      <c r="N348" t="n">
        <v>0</v>
      </c>
      <c r="O348" t="n">
        <v>0</v>
      </c>
      <c r="P348" t="n">
        <v>0</v>
      </c>
      <c r="Q348" t="n">
        <v>0</v>
      </c>
      <c r="R348" s="2" t="inlineStr"/>
    </row>
    <row r="349" ht="15" customHeight="1">
      <c r="A349" t="inlineStr">
        <is>
          <t>A 29384-2025</t>
        </is>
      </c>
      <c r="B349" s="1" t="n">
        <v>45824</v>
      </c>
      <c r="C349" s="1" t="n">
        <v>45984</v>
      </c>
      <c r="D349" t="inlineStr">
        <is>
          <t>UPPSALA LÄN</t>
        </is>
      </c>
      <c r="E349" t="inlineStr">
        <is>
          <t>ÖSTHAMMAR</t>
        </is>
      </c>
      <c r="G349" t="n">
        <v>3.1</v>
      </c>
      <c r="H349" t="n">
        <v>0</v>
      </c>
      <c r="I349" t="n">
        <v>0</v>
      </c>
      <c r="J349" t="n">
        <v>0</v>
      </c>
      <c r="K349" t="n">
        <v>0</v>
      </c>
      <c r="L349" t="n">
        <v>0</v>
      </c>
      <c r="M349" t="n">
        <v>0</v>
      </c>
      <c r="N349" t="n">
        <v>0</v>
      </c>
      <c r="O349" t="n">
        <v>0</v>
      </c>
      <c r="P349" t="n">
        <v>0</v>
      </c>
      <c r="Q349" t="n">
        <v>0</v>
      </c>
      <c r="R349" s="2" t="inlineStr"/>
    </row>
    <row r="350" ht="15" customHeight="1">
      <c r="A350" t="inlineStr">
        <is>
          <t>A 29024-2025</t>
        </is>
      </c>
      <c r="B350" s="1" t="n">
        <v>45821.43233796296</v>
      </c>
      <c r="C350" s="1" t="n">
        <v>45984</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62394-2022</t>
        </is>
      </c>
      <c r="B351" s="1" t="n">
        <v>44923.82017361111</v>
      </c>
      <c r="C351" s="1" t="n">
        <v>45984</v>
      </c>
      <c r="D351" t="inlineStr">
        <is>
          <t>UPPSALA LÄN</t>
        </is>
      </c>
      <c r="E351" t="inlineStr">
        <is>
          <t>ÖSTHAMMAR</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29775-2025</t>
        </is>
      </c>
      <c r="B352" s="1" t="n">
        <v>45825.63803240741</v>
      </c>
      <c r="C352" s="1" t="n">
        <v>45984</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43622-2025</t>
        </is>
      </c>
      <c r="B353" s="1" t="n">
        <v>45911.68295138889</v>
      </c>
      <c r="C353" s="1" t="n">
        <v>45984</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52332-2025</t>
        </is>
      </c>
      <c r="B354" s="1" t="n">
        <v>45953.67853009259</v>
      </c>
      <c r="C354" s="1" t="n">
        <v>45984</v>
      </c>
      <c r="D354" t="inlineStr">
        <is>
          <t>UPPSALA LÄN</t>
        </is>
      </c>
      <c r="E354" t="inlineStr">
        <is>
          <t>ÖSTHAMMAR</t>
        </is>
      </c>
      <c r="F354" t="inlineStr">
        <is>
          <t>Bergvik skog öst AB</t>
        </is>
      </c>
      <c r="G354" t="n">
        <v>3.8</v>
      </c>
      <c r="H354" t="n">
        <v>0</v>
      </c>
      <c r="I354" t="n">
        <v>0</v>
      </c>
      <c r="J354" t="n">
        <v>0</v>
      </c>
      <c r="K354" t="n">
        <v>0</v>
      </c>
      <c r="L354" t="n">
        <v>0</v>
      </c>
      <c r="M354" t="n">
        <v>0</v>
      </c>
      <c r="N354" t="n">
        <v>0</v>
      </c>
      <c r="O354" t="n">
        <v>0</v>
      </c>
      <c r="P354" t="n">
        <v>0</v>
      </c>
      <c r="Q354" t="n">
        <v>0</v>
      </c>
      <c r="R354" s="2" t="inlineStr"/>
    </row>
    <row r="355" ht="15" customHeight="1">
      <c r="A355" t="inlineStr">
        <is>
          <t>A 43604-2025</t>
        </is>
      </c>
      <c r="B355" s="1" t="n">
        <v>45911.66671296296</v>
      </c>
      <c r="C355" s="1" t="n">
        <v>45984</v>
      </c>
      <c r="D355" t="inlineStr">
        <is>
          <t>UPPSALA LÄN</t>
        </is>
      </c>
      <c r="E355" t="inlineStr">
        <is>
          <t>ÖSTHAMMAR</t>
        </is>
      </c>
      <c r="G355" t="n">
        <v>8.5</v>
      </c>
      <c r="H355" t="n">
        <v>0</v>
      </c>
      <c r="I355" t="n">
        <v>0</v>
      </c>
      <c r="J355" t="n">
        <v>0</v>
      </c>
      <c r="K355" t="n">
        <v>0</v>
      </c>
      <c r="L355" t="n">
        <v>0</v>
      </c>
      <c r="M355" t="n">
        <v>0</v>
      </c>
      <c r="N355" t="n">
        <v>0</v>
      </c>
      <c r="O355" t="n">
        <v>0</v>
      </c>
      <c r="P355" t="n">
        <v>0</v>
      </c>
      <c r="Q355" t="n">
        <v>0</v>
      </c>
      <c r="R355" s="2" t="inlineStr"/>
    </row>
    <row r="356" ht="15" customHeight="1">
      <c r="A356" t="inlineStr">
        <is>
          <t>A 6153-2022</t>
        </is>
      </c>
      <c r="B356" s="1" t="n">
        <v>44599</v>
      </c>
      <c r="C356" s="1" t="n">
        <v>45984</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1800-2023</t>
        </is>
      </c>
      <c r="B357" s="1" t="n">
        <v>44938</v>
      </c>
      <c r="C357" s="1" t="n">
        <v>45984</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30244-2025</t>
        </is>
      </c>
      <c r="B358" s="1" t="n">
        <v>45827.40902777778</v>
      </c>
      <c r="C358" s="1" t="n">
        <v>45984</v>
      </c>
      <c r="D358" t="inlineStr">
        <is>
          <t>UPPSALA LÄN</t>
        </is>
      </c>
      <c r="E358" t="inlineStr">
        <is>
          <t>ÖSTHAMMAR</t>
        </is>
      </c>
      <c r="G358" t="n">
        <v>1.4</v>
      </c>
      <c r="H358" t="n">
        <v>0</v>
      </c>
      <c r="I358" t="n">
        <v>0</v>
      </c>
      <c r="J358" t="n">
        <v>0</v>
      </c>
      <c r="K358" t="n">
        <v>0</v>
      </c>
      <c r="L358" t="n">
        <v>0</v>
      </c>
      <c r="M358" t="n">
        <v>0</v>
      </c>
      <c r="N358" t="n">
        <v>0</v>
      </c>
      <c r="O358" t="n">
        <v>0</v>
      </c>
      <c r="P358" t="n">
        <v>0</v>
      </c>
      <c r="Q358" t="n">
        <v>0</v>
      </c>
      <c r="R358" s="2" t="inlineStr"/>
    </row>
    <row r="359" ht="15" customHeight="1">
      <c r="A359" t="inlineStr">
        <is>
          <t>A 47341-2023</t>
        </is>
      </c>
      <c r="B359" s="1" t="n">
        <v>45202.55721064815</v>
      </c>
      <c r="C359" s="1" t="n">
        <v>45984</v>
      </c>
      <c r="D359" t="inlineStr">
        <is>
          <t>UPPSALA LÄN</t>
        </is>
      </c>
      <c r="E359" t="inlineStr">
        <is>
          <t>ÖSTHAMMAR</t>
        </is>
      </c>
      <c r="G359" t="n">
        <v>4.9</v>
      </c>
      <c r="H359" t="n">
        <v>0</v>
      </c>
      <c r="I359" t="n">
        <v>0</v>
      </c>
      <c r="J359" t="n">
        <v>0</v>
      </c>
      <c r="K359" t="n">
        <v>0</v>
      </c>
      <c r="L359" t="n">
        <v>0</v>
      </c>
      <c r="M359" t="n">
        <v>0</v>
      </c>
      <c r="N359" t="n">
        <v>0</v>
      </c>
      <c r="O359" t="n">
        <v>0</v>
      </c>
      <c r="P359" t="n">
        <v>0</v>
      </c>
      <c r="Q359" t="n">
        <v>0</v>
      </c>
      <c r="R359" s="2" t="inlineStr"/>
    </row>
    <row r="360" ht="15" customHeight="1">
      <c r="A360" t="inlineStr">
        <is>
          <t>A 30504-2025</t>
        </is>
      </c>
      <c r="B360" s="1" t="n">
        <v>45830.8558912037</v>
      </c>
      <c r="C360" s="1" t="n">
        <v>45984</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30503-2025</t>
        </is>
      </c>
      <c r="B361" s="1" t="n">
        <v>45830.8500462963</v>
      </c>
      <c r="C361" s="1" t="n">
        <v>45984</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61216-2022</t>
        </is>
      </c>
      <c r="B362" s="1" t="n">
        <v>44915.55423611111</v>
      </c>
      <c r="C362" s="1" t="n">
        <v>45984</v>
      </c>
      <c r="D362" t="inlineStr">
        <is>
          <t>UPPSALA LÄN</t>
        </is>
      </c>
      <c r="E362" t="inlineStr">
        <is>
          <t>ÖSTHAMMAR</t>
        </is>
      </c>
      <c r="G362" t="n">
        <v>2.9</v>
      </c>
      <c r="H362" t="n">
        <v>0</v>
      </c>
      <c r="I362" t="n">
        <v>0</v>
      </c>
      <c r="J362" t="n">
        <v>0</v>
      </c>
      <c r="K362" t="n">
        <v>0</v>
      </c>
      <c r="L362" t="n">
        <v>0</v>
      </c>
      <c r="M362" t="n">
        <v>0</v>
      </c>
      <c r="N362" t="n">
        <v>0</v>
      </c>
      <c r="O362" t="n">
        <v>0</v>
      </c>
      <c r="P362" t="n">
        <v>0</v>
      </c>
      <c r="Q362" t="n">
        <v>0</v>
      </c>
      <c r="R362" s="2" t="inlineStr"/>
    </row>
    <row r="363" ht="15" customHeight="1">
      <c r="A363" t="inlineStr">
        <is>
          <t>A 70008-2021</t>
        </is>
      </c>
      <c r="B363" s="1" t="n">
        <v>44533.44887731481</v>
      </c>
      <c r="C363" s="1" t="n">
        <v>45984</v>
      </c>
      <c r="D363" t="inlineStr">
        <is>
          <t>UPPSALA LÄN</t>
        </is>
      </c>
      <c r="E363" t="inlineStr">
        <is>
          <t>ÖSTHAMMAR</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21478-2023</t>
        </is>
      </c>
      <c r="B364" s="1" t="n">
        <v>45063.47773148148</v>
      </c>
      <c r="C364" s="1" t="n">
        <v>45984</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30610-2025</t>
        </is>
      </c>
      <c r="B365" s="1" t="n">
        <v>45831.45965277778</v>
      </c>
      <c r="C365" s="1" t="n">
        <v>45984</v>
      </c>
      <c r="D365" t="inlineStr">
        <is>
          <t>UPPSALA LÄN</t>
        </is>
      </c>
      <c r="E365" t="inlineStr">
        <is>
          <t>ÖSTHAMMAR</t>
        </is>
      </c>
      <c r="G365" t="n">
        <v>0.2</v>
      </c>
      <c r="H365" t="n">
        <v>0</v>
      </c>
      <c r="I365" t="n">
        <v>0</v>
      </c>
      <c r="J365" t="n">
        <v>0</v>
      </c>
      <c r="K365" t="n">
        <v>0</v>
      </c>
      <c r="L365" t="n">
        <v>0</v>
      </c>
      <c r="M365" t="n">
        <v>0</v>
      </c>
      <c r="N365" t="n">
        <v>0</v>
      </c>
      <c r="O365" t="n">
        <v>0</v>
      </c>
      <c r="P365" t="n">
        <v>0</v>
      </c>
      <c r="Q365" t="n">
        <v>0</v>
      </c>
      <c r="R365" s="2" t="inlineStr"/>
    </row>
    <row r="366" ht="15" customHeight="1">
      <c r="A366" t="inlineStr">
        <is>
          <t>A 31579-2025</t>
        </is>
      </c>
      <c r="B366" s="1" t="n">
        <v>45833.68211805556</v>
      </c>
      <c r="C366" s="1" t="n">
        <v>45984</v>
      </c>
      <c r="D366" t="inlineStr">
        <is>
          <t>UPPSALA LÄN</t>
        </is>
      </c>
      <c r="E366" t="inlineStr">
        <is>
          <t>ÖSTHAMMAR</t>
        </is>
      </c>
      <c r="G366" t="n">
        <v>1.5</v>
      </c>
      <c r="H366" t="n">
        <v>0</v>
      </c>
      <c r="I366" t="n">
        <v>0</v>
      </c>
      <c r="J366" t="n">
        <v>0</v>
      </c>
      <c r="K366" t="n">
        <v>0</v>
      </c>
      <c r="L366" t="n">
        <v>0</v>
      </c>
      <c r="M366" t="n">
        <v>0</v>
      </c>
      <c r="N366" t="n">
        <v>0</v>
      </c>
      <c r="O366" t="n">
        <v>0</v>
      </c>
      <c r="P366" t="n">
        <v>0</v>
      </c>
      <c r="Q366" t="n">
        <v>0</v>
      </c>
      <c r="R366" s="2" t="inlineStr"/>
    </row>
    <row r="367" ht="15" customHeight="1">
      <c r="A367" t="inlineStr">
        <is>
          <t>A 31360-2025</t>
        </is>
      </c>
      <c r="B367" s="1" t="n">
        <v>45833.43527777777</v>
      </c>
      <c r="C367" s="1" t="n">
        <v>45984</v>
      </c>
      <c r="D367" t="inlineStr">
        <is>
          <t>UPPSALA LÄN</t>
        </is>
      </c>
      <c r="E367" t="inlineStr">
        <is>
          <t>ÖSTHAMMAR</t>
        </is>
      </c>
      <c r="G367" t="n">
        <v>1.1</v>
      </c>
      <c r="H367" t="n">
        <v>0</v>
      </c>
      <c r="I367" t="n">
        <v>0</v>
      </c>
      <c r="J367" t="n">
        <v>0</v>
      </c>
      <c r="K367" t="n">
        <v>0</v>
      </c>
      <c r="L367" t="n">
        <v>0</v>
      </c>
      <c r="M367" t="n">
        <v>0</v>
      </c>
      <c r="N367" t="n">
        <v>0</v>
      </c>
      <c r="O367" t="n">
        <v>0</v>
      </c>
      <c r="P367" t="n">
        <v>0</v>
      </c>
      <c r="Q367" t="n">
        <v>0</v>
      </c>
      <c r="R367" s="2" t="inlineStr"/>
    </row>
    <row r="368" ht="15" customHeight="1">
      <c r="A368" t="inlineStr">
        <is>
          <t>A 2733-2023</t>
        </is>
      </c>
      <c r="B368" s="1" t="n">
        <v>44943</v>
      </c>
      <c r="C368" s="1" t="n">
        <v>45984</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44491-2025</t>
        </is>
      </c>
      <c r="B369" s="1" t="n">
        <v>45916.66152777777</v>
      </c>
      <c r="C369" s="1" t="n">
        <v>45984</v>
      </c>
      <c r="D369" t="inlineStr">
        <is>
          <t>UPPSALA LÄN</t>
        </is>
      </c>
      <c r="E369" t="inlineStr">
        <is>
          <t>ÖSTHAMMAR</t>
        </is>
      </c>
      <c r="F369" t="inlineStr">
        <is>
          <t>Bergvik skog öst AB</t>
        </is>
      </c>
      <c r="G369" t="n">
        <v>4.3</v>
      </c>
      <c r="H369" t="n">
        <v>0</v>
      </c>
      <c r="I369" t="n">
        <v>0</v>
      </c>
      <c r="J369" t="n">
        <v>0</v>
      </c>
      <c r="K369" t="n">
        <v>0</v>
      </c>
      <c r="L369" t="n">
        <v>0</v>
      </c>
      <c r="M369" t="n">
        <v>0</v>
      </c>
      <c r="N369" t="n">
        <v>0</v>
      </c>
      <c r="O369" t="n">
        <v>0</v>
      </c>
      <c r="P369" t="n">
        <v>0</v>
      </c>
      <c r="Q369" t="n">
        <v>0</v>
      </c>
      <c r="R369" s="2" t="inlineStr"/>
    </row>
    <row r="370" ht="15" customHeight="1">
      <c r="A370" t="inlineStr">
        <is>
          <t>A 31249-2025</t>
        </is>
      </c>
      <c r="B370" s="1" t="n">
        <v>45832.89476851852</v>
      </c>
      <c r="C370" s="1" t="n">
        <v>45984</v>
      </c>
      <c r="D370" t="inlineStr">
        <is>
          <t>UPPSALA LÄN</t>
        </is>
      </c>
      <c r="E370" t="inlineStr">
        <is>
          <t>ÖSTHAMMAR</t>
        </is>
      </c>
      <c r="G370" t="n">
        <v>0.6</v>
      </c>
      <c r="H370" t="n">
        <v>0</v>
      </c>
      <c r="I370" t="n">
        <v>0</v>
      </c>
      <c r="J370" t="n">
        <v>0</v>
      </c>
      <c r="K370" t="n">
        <v>0</v>
      </c>
      <c r="L370" t="n">
        <v>0</v>
      </c>
      <c r="M370" t="n">
        <v>0</v>
      </c>
      <c r="N370" t="n">
        <v>0</v>
      </c>
      <c r="O370" t="n">
        <v>0</v>
      </c>
      <c r="P370" t="n">
        <v>0</v>
      </c>
      <c r="Q370" t="n">
        <v>0</v>
      </c>
      <c r="R370" s="2" t="inlineStr"/>
    </row>
    <row r="371" ht="15" customHeight="1">
      <c r="A371" t="inlineStr">
        <is>
          <t>A 31896-2025</t>
        </is>
      </c>
      <c r="B371" s="1" t="n">
        <v>45834.67556712963</v>
      </c>
      <c r="C371" s="1" t="n">
        <v>45984</v>
      </c>
      <c r="D371" t="inlineStr">
        <is>
          <t>UPPSALA LÄN</t>
        </is>
      </c>
      <c r="E371" t="inlineStr">
        <is>
          <t>ÖSTHAMMAR</t>
        </is>
      </c>
      <c r="G371" t="n">
        <v>4.1</v>
      </c>
      <c r="H371" t="n">
        <v>0</v>
      </c>
      <c r="I371" t="n">
        <v>0</v>
      </c>
      <c r="J371" t="n">
        <v>0</v>
      </c>
      <c r="K371" t="n">
        <v>0</v>
      </c>
      <c r="L371" t="n">
        <v>0</v>
      </c>
      <c r="M371" t="n">
        <v>0</v>
      </c>
      <c r="N371" t="n">
        <v>0</v>
      </c>
      <c r="O371" t="n">
        <v>0</v>
      </c>
      <c r="P371" t="n">
        <v>0</v>
      </c>
      <c r="Q371" t="n">
        <v>0</v>
      </c>
      <c r="R371" s="2" t="inlineStr"/>
    </row>
    <row r="372" ht="15" customHeight="1">
      <c r="A372" t="inlineStr">
        <is>
          <t>A 12812-2024</t>
        </is>
      </c>
      <c r="B372" s="1" t="n">
        <v>45384.65465277778</v>
      </c>
      <c r="C372" s="1" t="n">
        <v>45984</v>
      </c>
      <c r="D372" t="inlineStr">
        <is>
          <t>UPPSALA LÄN</t>
        </is>
      </c>
      <c r="E372" t="inlineStr">
        <is>
          <t>ÖSTHAMMAR</t>
        </is>
      </c>
      <c r="G372" t="n">
        <v>0.4</v>
      </c>
      <c r="H372" t="n">
        <v>0</v>
      </c>
      <c r="I372" t="n">
        <v>0</v>
      </c>
      <c r="J372" t="n">
        <v>0</v>
      </c>
      <c r="K372" t="n">
        <v>0</v>
      </c>
      <c r="L372" t="n">
        <v>0</v>
      </c>
      <c r="M372" t="n">
        <v>0</v>
      </c>
      <c r="N372" t="n">
        <v>0</v>
      </c>
      <c r="O372" t="n">
        <v>0</v>
      </c>
      <c r="P372" t="n">
        <v>0</v>
      </c>
      <c r="Q372" t="n">
        <v>0</v>
      </c>
      <c r="R372" s="2" t="inlineStr"/>
    </row>
    <row r="373" ht="15" customHeight="1">
      <c r="A373" t="inlineStr">
        <is>
          <t>A 31977-2025</t>
        </is>
      </c>
      <c r="B373" s="1" t="n">
        <v>45835.3554050926</v>
      </c>
      <c r="C373" s="1" t="n">
        <v>45984</v>
      </c>
      <c r="D373" t="inlineStr">
        <is>
          <t>UPPSALA LÄN</t>
        </is>
      </c>
      <c r="E373" t="inlineStr">
        <is>
          <t>ÖSTHAMMAR</t>
        </is>
      </c>
      <c r="F373" t="inlineStr">
        <is>
          <t>Övriga Aktiebolag</t>
        </is>
      </c>
      <c r="G373" t="n">
        <v>35.3</v>
      </c>
      <c r="H373" t="n">
        <v>0</v>
      </c>
      <c r="I373" t="n">
        <v>0</v>
      </c>
      <c r="J373" t="n">
        <v>0</v>
      </c>
      <c r="K373" t="n">
        <v>0</v>
      </c>
      <c r="L373" t="n">
        <v>0</v>
      </c>
      <c r="M373" t="n">
        <v>0</v>
      </c>
      <c r="N373" t="n">
        <v>0</v>
      </c>
      <c r="O373" t="n">
        <v>0</v>
      </c>
      <c r="P373" t="n">
        <v>0</v>
      </c>
      <c r="Q373" t="n">
        <v>0</v>
      </c>
      <c r="R373" s="2" t="inlineStr"/>
    </row>
    <row r="374" ht="15" customHeight="1">
      <c r="A374" t="inlineStr">
        <is>
          <t>A 31956-2025</t>
        </is>
      </c>
      <c r="B374" s="1" t="n">
        <v>45835.34184027778</v>
      </c>
      <c r="C374" s="1" t="n">
        <v>45984</v>
      </c>
      <c r="D374" t="inlineStr">
        <is>
          <t>UPPSALA LÄN</t>
        </is>
      </c>
      <c r="E374" t="inlineStr">
        <is>
          <t>ÖSTHAMMAR</t>
        </is>
      </c>
      <c r="F374" t="inlineStr">
        <is>
          <t>Övriga Aktiebolag</t>
        </is>
      </c>
      <c r="G374" t="n">
        <v>4.2</v>
      </c>
      <c r="H374" t="n">
        <v>0</v>
      </c>
      <c r="I374" t="n">
        <v>0</v>
      </c>
      <c r="J374" t="n">
        <v>0</v>
      </c>
      <c r="K374" t="n">
        <v>0</v>
      </c>
      <c r="L374" t="n">
        <v>0</v>
      </c>
      <c r="M374" t="n">
        <v>0</v>
      </c>
      <c r="N374" t="n">
        <v>0</v>
      </c>
      <c r="O374" t="n">
        <v>0</v>
      </c>
      <c r="P374" t="n">
        <v>0</v>
      </c>
      <c r="Q374" t="n">
        <v>0</v>
      </c>
      <c r="R374" s="2" t="inlineStr"/>
    </row>
    <row r="375" ht="15" customHeight="1">
      <c r="A375" t="inlineStr">
        <is>
          <t>A 44917-2025</t>
        </is>
      </c>
      <c r="B375" s="1" t="n">
        <v>45918.54903935185</v>
      </c>
      <c r="C375" s="1" t="n">
        <v>45984</v>
      </c>
      <c r="D375" t="inlineStr">
        <is>
          <t>UPPSALA LÄN</t>
        </is>
      </c>
      <c r="E375" t="inlineStr">
        <is>
          <t>ÖSTHAMMAR</t>
        </is>
      </c>
      <c r="F375" t="inlineStr">
        <is>
          <t>Allmännings- och besparingsskogar</t>
        </is>
      </c>
      <c r="G375" t="n">
        <v>16</v>
      </c>
      <c r="H375" t="n">
        <v>0</v>
      </c>
      <c r="I375" t="n">
        <v>0</v>
      </c>
      <c r="J375" t="n">
        <v>0</v>
      </c>
      <c r="K375" t="n">
        <v>0</v>
      </c>
      <c r="L375" t="n">
        <v>0</v>
      </c>
      <c r="M375" t="n">
        <v>0</v>
      </c>
      <c r="N375" t="n">
        <v>0</v>
      </c>
      <c r="O375" t="n">
        <v>0</v>
      </c>
      <c r="P375" t="n">
        <v>0</v>
      </c>
      <c r="Q375" t="n">
        <v>0</v>
      </c>
      <c r="R375" s="2" t="inlineStr"/>
    </row>
    <row r="376" ht="15" customHeight="1">
      <c r="A376" t="inlineStr">
        <is>
          <t>A 53735-2025</t>
        </is>
      </c>
      <c r="B376" s="1" t="n">
        <v>45960.64431712963</v>
      </c>
      <c r="C376" s="1" t="n">
        <v>45984</v>
      </c>
      <c r="D376" t="inlineStr">
        <is>
          <t>UPPSALA LÄN</t>
        </is>
      </c>
      <c r="E376" t="inlineStr">
        <is>
          <t>ÖSTHAMMAR</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33048-2025</t>
        </is>
      </c>
      <c r="B377" s="1" t="n">
        <v>45840.41451388889</v>
      </c>
      <c r="C377" s="1" t="n">
        <v>45984</v>
      </c>
      <c r="D377" t="inlineStr">
        <is>
          <t>UPPSALA LÄN</t>
        </is>
      </c>
      <c r="E377" t="inlineStr">
        <is>
          <t>ÖSTHAMMAR</t>
        </is>
      </c>
      <c r="G377" t="n">
        <v>1.8</v>
      </c>
      <c r="H377" t="n">
        <v>0</v>
      </c>
      <c r="I377" t="n">
        <v>0</v>
      </c>
      <c r="J377" t="n">
        <v>0</v>
      </c>
      <c r="K377" t="n">
        <v>0</v>
      </c>
      <c r="L377" t="n">
        <v>0</v>
      </c>
      <c r="M377" t="n">
        <v>0</v>
      </c>
      <c r="N377" t="n">
        <v>0</v>
      </c>
      <c r="O377" t="n">
        <v>0</v>
      </c>
      <c r="P377" t="n">
        <v>0</v>
      </c>
      <c r="Q377" t="n">
        <v>0</v>
      </c>
      <c r="R377" s="2" t="inlineStr"/>
    </row>
    <row r="378" ht="15" customHeight="1">
      <c r="A378" t="inlineStr">
        <is>
          <t>A 27476-2025</t>
        </is>
      </c>
      <c r="B378" s="1" t="n">
        <v>45813.37517361111</v>
      </c>
      <c r="C378" s="1" t="n">
        <v>45984</v>
      </c>
      <c r="D378" t="inlineStr">
        <is>
          <t>UPPSALA LÄN</t>
        </is>
      </c>
      <c r="E378" t="inlineStr">
        <is>
          <t>ÖSTHAMMAR</t>
        </is>
      </c>
      <c r="F378" t="inlineStr">
        <is>
          <t>Bergvik skog öst AB</t>
        </is>
      </c>
      <c r="G378" t="n">
        <v>1.3</v>
      </c>
      <c r="H378" t="n">
        <v>0</v>
      </c>
      <c r="I378" t="n">
        <v>0</v>
      </c>
      <c r="J378" t="n">
        <v>0</v>
      </c>
      <c r="K378" t="n">
        <v>0</v>
      </c>
      <c r="L378" t="n">
        <v>0</v>
      </c>
      <c r="M378" t="n">
        <v>0</v>
      </c>
      <c r="N378" t="n">
        <v>0</v>
      </c>
      <c r="O378" t="n">
        <v>0</v>
      </c>
      <c r="P378" t="n">
        <v>0</v>
      </c>
      <c r="Q378" t="n">
        <v>0</v>
      </c>
      <c r="R378" s="2" t="inlineStr"/>
    </row>
    <row r="379" ht="15" customHeight="1">
      <c r="A379" t="inlineStr">
        <is>
          <t>A 31574-2022</t>
        </is>
      </c>
      <c r="B379" s="1" t="n">
        <v>44775</v>
      </c>
      <c r="C379" s="1" t="n">
        <v>45984</v>
      </c>
      <c r="D379" t="inlineStr">
        <is>
          <t>UPPSALA LÄN</t>
        </is>
      </c>
      <c r="E379" t="inlineStr">
        <is>
          <t>ÖSTHAMMAR</t>
        </is>
      </c>
      <c r="G379" t="n">
        <v>29.7</v>
      </c>
      <c r="H379" t="n">
        <v>0</v>
      </c>
      <c r="I379" t="n">
        <v>0</v>
      </c>
      <c r="J379" t="n">
        <v>0</v>
      </c>
      <c r="K379" t="n">
        <v>0</v>
      </c>
      <c r="L379" t="n">
        <v>0</v>
      </c>
      <c r="M379" t="n">
        <v>0</v>
      </c>
      <c r="N379" t="n">
        <v>0</v>
      </c>
      <c r="O379" t="n">
        <v>0</v>
      </c>
      <c r="P379" t="n">
        <v>0</v>
      </c>
      <c r="Q379" t="n">
        <v>0</v>
      </c>
      <c r="R379" s="2" t="inlineStr"/>
    </row>
    <row r="380" ht="15" customHeight="1">
      <c r="A380" t="inlineStr">
        <is>
          <t>A 53737-2025</t>
        </is>
      </c>
      <c r="B380" s="1" t="n">
        <v>45960.64520833334</v>
      </c>
      <c r="C380" s="1" t="n">
        <v>45984</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45105-2025</t>
        </is>
      </c>
      <c r="B381" s="1" t="n">
        <v>45919.40252314815</v>
      </c>
      <c r="C381" s="1" t="n">
        <v>45984</v>
      </c>
      <c r="D381" t="inlineStr">
        <is>
          <t>UPPSALA LÄN</t>
        </is>
      </c>
      <c r="E381" t="inlineStr">
        <is>
          <t>ÖSTHAMMAR</t>
        </is>
      </c>
      <c r="G381" t="n">
        <v>0.8</v>
      </c>
      <c r="H381" t="n">
        <v>0</v>
      </c>
      <c r="I381" t="n">
        <v>0</v>
      </c>
      <c r="J381" t="n">
        <v>0</v>
      </c>
      <c r="K381" t="n">
        <v>0</v>
      </c>
      <c r="L381" t="n">
        <v>0</v>
      </c>
      <c r="M381" t="n">
        <v>0</v>
      </c>
      <c r="N381" t="n">
        <v>0</v>
      </c>
      <c r="O381" t="n">
        <v>0</v>
      </c>
      <c r="P381" t="n">
        <v>0</v>
      </c>
      <c r="Q381" t="n">
        <v>0</v>
      </c>
      <c r="R381" s="2" t="inlineStr"/>
    </row>
    <row r="382" ht="15" customHeight="1">
      <c r="A382" t="inlineStr">
        <is>
          <t>A 33271-2025</t>
        </is>
      </c>
      <c r="B382" s="1" t="n">
        <v>45840.68381944444</v>
      </c>
      <c r="C382" s="1" t="n">
        <v>45984</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24181-2022</t>
        </is>
      </c>
      <c r="B383" s="1" t="n">
        <v>44725</v>
      </c>
      <c r="C383" s="1" t="n">
        <v>45984</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53656-2025</t>
        </is>
      </c>
      <c r="B384" s="1" t="n">
        <v>45960</v>
      </c>
      <c r="C384" s="1" t="n">
        <v>45984</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32718-2025</t>
        </is>
      </c>
      <c r="B385" s="1" t="n">
        <v>45839.37740740741</v>
      </c>
      <c r="C385" s="1" t="n">
        <v>45984</v>
      </c>
      <c r="D385" t="inlineStr">
        <is>
          <t>UPPSALA LÄN</t>
        </is>
      </c>
      <c r="E385" t="inlineStr">
        <is>
          <t>ÖSTHAMMAR</t>
        </is>
      </c>
      <c r="G385" t="n">
        <v>10.4</v>
      </c>
      <c r="H385" t="n">
        <v>0</v>
      </c>
      <c r="I385" t="n">
        <v>0</v>
      </c>
      <c r="J385" t="n">
        <v>0</v>
      </c>
      <c r="K385" t="n">
        <v>0</v>
      </c>
      <c r="L385" t="n">
        <v>0</v>
      </c>
      <c r="M385" t="n">
        <v>0</v>
      </c>
      <c r="N385" t="n">
        <v>0</v>
      </c>
      <c r="O385" t="n">
        <v>0</v>
      </c>
      <c r="P385" t="n">
        <v>0</v>
      </c>
      <c r="Q385" t="n">
        <v>0</v>
      </c>
      <c r="R385" s="2" t="inlineStr"/>
    </row>
    <row r="386" ht="15" customHeight="1">
      <c r="A386" t="inlineStr">
        <is>
          <t>A 53557-2025</t>
        </is>
      </c>
      <c r="B386" s="1" t="n">
        <v>45960</v>
      </c>
      <c r="C386" s="1" t="n">
        <v>45984</v>
      </c>
      <c r="D386" t="inlineStr">
        <is>
          <t>UPPSALA LÄN</t>
        </is>
      </c>
      <c r="E386" t="inlineStr">
        <is>
          <t>ÖSTHAMMAR</t>
        </is>
      </c>
      <c r="G386" t="n">
        <v>1.9</v>
      </c>
      <c r="H386" t="n">
        <v>0</v>
      </c>
      <c r="I386" t="n">
        <v>0</v>
      </c>
      <c r="J386" t="n">
        <v>0</v>
      </c>
      <c r="K386" t="n">
        <v>0</v>
      </c>
      <c r="L386" t="n">
        <v>0</v>
      </c>
      <c r="M386" t="n">
        <v>0</v>
      </c>
      <c r="N386" t="n">
        <v>0</v>
      </c>
      <c r="O386" t="n">
        <v>0</v>
      </c>
      <c r="P386" t="n">
        <v>0</v>
      </c>
      <c r="Q386" t="n">
        <v>0</v>
      </c>
      <c r="R386" s="2" t="inlineStr"/>
    </row>
    <row r="387" ht="15" customHeight="1">
      <c r="A387" t="inlineStr">
        <is>
          <t>A 54242-2025</t>
        </is>
      </c>
      <c r="B387" s="1" t="n">
        <v>45964.63251157408</v>
      </c>
      <c r="C387" s="1" t="n">
        <v>45984</v>
      </c>
      <c r="D387" t="inlineStr">
        <is>
          <t>UPPSALA LÄN</t>
        </is>
      </c>
      <c r="E387" t="inlineStr">
        <is>
          <t>ÖSTHAMMAR</t>
        </is>
      </c>
      <c r="G387" t="n">
        <v>4.7</v>
      </c>
      <c r="H387" t="n">
        <v>0</v>
      </c>
      <c r="I387" t="n">
        <v>0</v>
      </c>
      <c r="J387" t="n">
        <v>0</v>
      </c>
      <c r="K387" t="n">
        <v>0</v>
      </c>
      <c r="L387" t="n">
        <v>0</v>
      </c>
      <c r="M387" t="n">
        <v>0</v>
      </c>
      <c r="N387" t="n">
        <v>0</v>
      </c>
      <c r="O387" t="n">
        <v>0</v>
      </c>
      <c r="P387" t="n">
        <v>0</v>
      </c>
      <c r="Q387" t="n">
        <v>0</v>
      </c>
      <c r="R387" s="2" t="inlineStr"/>
    </row>
    <row r="388" ht="15" customHeight="1">
      <c r="A388" t="inlineStr">
        <is>
          <t>A 33529-2025</t>
        </is>
      </c>
      <c r="B388" s="1" t="n">
        <v>45841.55199074074</v>
      </c>
      <c r="C388" s="1" t="n">
        <v>45984</v>
      </c>
      <c r="D388" t="inlineStr">
        <is>
          <t>UPPSALA LÄN</t>
        </is>
      </c>
      <c r="E388" t="inlineStr">
        <is>
          <t>ÖSTHAMMAR</t>
        </is>
      </c>
      <c r="F388" t="inlineStr">
        <is>
          <t>Bergvik skog öst AB</t>
        </is>
      </c>
      <c r="G388" t="n">
        <v>11.8</v>
      </c>
      <c r="H388" t="n">
        <v>0</v>
      </c>
      <c r="I388" t="n">
        <v>0</v>
      </c>
      <c r="J388" t="n">
        <v>0</v>
      </c>
      <c r="K388" t="n">
        <v>0</v>
      </c>
      <c r="L388" t="n">
        <v>0</v>
      </c>
      <c r="M388" t="n">
        <v>0</v>
      </c>
      <c r="N388" t="n">
        <v>0</v>
      </c>
      <c r="O388" t="n">
        <v>0</v>
      </c>
      <c r="P388" t="n">
        <v>0</v>
      </c>
      <c r="Q388" t="n">
        <v>0</v>
      </c>
      <c r="R388" s="2" t="inlineStr"/>
    </row>
    <row r="389" ht="15" customHeight="1">
      <c r="A389" t="inlineStr">
        <is>
          <t>A 4096-2025</t>
        </is>
      </c>
      <c r="B389" s="1" t="n">
        <v>45684</v>
      </c>
      <c r="C389" s="1" t="n">
        <v>45984</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53567-2025</t>
        </is>
      </c>
      <c r="B390" s="1" t="n">
        <v>45960</v>
      </c>
      <c r="C390" s="1" t="n">
        <v>45984</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45102-2025</t>
        </is>
      </c>
      <c r="B391" s="1" t="n">
        <v>45919.39731481481</v>
      </c>
      <c r="C391" s="1" t="n">
        <v>45984</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22884-2024</t>
        </is>
      </c>
      <c r="B392" s="1" t="n">
        <v>45448</v>
      </c>
      <c r="C392" s="1" t="n">
        <v>45984</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33973-2025</t>
        </is>
      </c>
      <c r="B393" s="1" t="n">
        <v>45842.98429398148</v>
      </c>
      <c r="C393" s="1" t="n">
        <v>45984</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33972-2025</t>
        </is>
      </c>
      <c r="B394" s="1" t="n">
        <v>45842.97236111111</v>
      </c>
      <c r="C394" s="1" t="n">
        <v>45984</v>
      </c>
      <c r="D394" t="inlineStr">
        <is>
          <t>UPPSALA LÄN</t>
        </is>
      </c>
      <c r="E394" t="inlineStr">
        <is>
          <t>ÖSTHAMMAR</t>
        </is>
      </c>
      <c r="G394" t="n">
        <v>0.8</v>
      </c>
      <c r="H394" t="n">
        <v>0</v>
      </c>
      <c r="I394" t="n">
        <v>0</v>
      </c>
      <c r="J394" t="n">
        <v>0</v>
      </c>
      <c r="K394" t="n">
        <v>0</v>
      </c>
      <c r="L394" t="n">
        <v>0</v>
      </c>
      <c r="M394" t="n">
        <v>0</v>
      </c>
      <c r="N394" t="n">
        <v>0</v>
      </c>
      <c r="O394" t="n">
        <v>0</v>
      </c>
      <c r="P394" t="n">
        <v>0</v>
      </c>
      <c r="Q394" t="n">
        <v>0</v>
      </c>
      <c r="R394" s="2" t="inlineStr"/>
    </row>
    <row r="395" ht="15" customHeight="1">
      <c r="A395" t="inlineStr">
        <is>
          <t>A 26395-2025</t>
        </is>
      </c>
      <c r="B395" s="1" t="n">
        <v>45807</v>
      </c>
      <c r="C395" s="1" t="n">
        <v>45984</v>
      </c>
      <c r="D395" t="inlineStr">
        <is>
          <t>UPPSALA LÄN</t>
        </is>
      </c>
      <c r="E395" t="inlineStr">
        <is>
          <t>ÖSTHAMMAR</t>
        </is>
      </c>
      <c r="G395" t="n">
        <v>7</v>
      </c>
      <c r="H395" t="n">
        <v>0</v>
      </c>
      <c r="I395" t="n">
        <v>0</v>
      </c>
      <c r="J395" t="n">
        <v>0</v>
      </c>
      <c r="K395" t="n">
        <v>0</v>
      </c>
      <c r="L395" t="n">
        <v>0</v>
      </c>
      <c r="M395" t="n">
        <v>0</v>
      </c>
      <c r="N395" t="n">
        <v>0</v>
      </c>
      <c r="O395" t="n">
        <v>0</v>
      </c>
      <c r="P395" t="n">
        <v>0</v>
      </c>
      <c r="Q395" t="n">
        <v>0</v>
      </c>
      <c r="R395" s="2" t="inlineStr"/>
    </row>
    <row r="396" ht="15" customHeight="1">
      <c r="A396" t="inlineStr">
        <is>
          <t>A 45720-2025</t>
        </is>
      </c>
      <c r="B396" s="1" t="n">
        <v>45923.44583333333</v>
      </c>
      <c r="C396" s="1" t="n">
        <v>45984</v>
      </c>
      <c r="D396" t="inlineStr">
        <is>
          <t>UPPSALA LÄN</t>
        </is>
      </c>
      <c r="E396" t="inlineStr">
        <is>
          <t>ÖSTHAMMAR</t>
        </is>
      </c>
      <c r="F396" t="inlineStr">
        <is>
          <t>Övriga Aktiebolag</t>
        </is>
      </c>
      <c r="G396" t="n">
        <v>2.8</v>
      </c>
      <c r="H396" t="n">
        <v>0</v>
      </c>
      <c r="I396" t="n">
        <v>0</v>
      </c>
      <c r="J396" t="n">
        <v>0</v>
      </c>
      <c r="K396" t="n">
        <v>0</v>
      </c>
      <c r="L396" t="n">
        <v>0</v>
      </c>
      <c r="M396" t="n">
        <v>0</v>
      </c>
      <c r="N396" t="n">
        <v>0</v>
      </c>
      <c r="O396" t="n">
        <v>0</v>
      </c>
      <c r="P396" t="n">
        <v>0</v>
      </c>
      <c r="Q396" t="n">
        <v>0</v>
      </c>
      <c r="R396" s="2" t="inlineStr"/>
    </row>
    <row r="397" ht="15" customHeight="1">
      <c r="A397" t="inlineStr">
        <is>
          <t>A 45721-2025</t>
        </is>
      </c>
      <c r="B397" s="1" t="n">
        <v>45923.44844907407</v>
      </c>
      <c r="C397" s="1" t="n">
        <v>45984</v>
      </c>
      <c r="D397" t="inlineStr">
        <is>
          <t>UPPSALA LÄN</t>
        </is>
      </c>
      <c r="E397" t="inlineStr">
        <is>
          <t>ÖSTHAMMAR</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54647-2025</t>
        </is>
      </c>
      <c r="B398" s="1" t="n">
        <v>45966.37258101852</v>
      </c>
      <c r="C398" s="1" t="n">
        <v>45984</v>
      </c>
      <c r="D398" t="inlineStr">
        <is>
          <t>UPPSALA LÄN</t>
        </is>
      </c>
      <c r="E398" t="inlineStr">
        <is>
          <t>ÖSTHAMMAR</t>
        </is>
      </c>
      <c r="G398" t="n">
        <v>4.3</v>
      </c>
      <c r="H398" t="n">
        <v>0</v>
      </c>
      <c r="I398" t="n">
        <v>0</v>
      </c>
      <c r="J398" t="n">
        <v>0</v>
      </c>
      <c r="K398" t="n">
        <v>0</v>
      </c>
      <c r="L398" t="n">
        <v>0</v>
      </c>
      <c r="M398" t="n">
        <v>0</v>
      </c>
      <c r="N398" t="n">
        <v>0</v>
      </c>
      <c r="O398" t="n">
        <v>0</v>
      </c>
      <c r="P398" t="n">
        <v>0</v>
      </c>
      <c r="Q398" t="n">
        <v>0</v>
      </c>
      <c r="R398" s="2" t="inlineStr"/>
    </row>
    <row r="399" ht="15" customHeight="1">
      <c r="A399" t="inlineStr">
        <is>
          <t>A 54649-2025</t>
        </is>
      </c>
      <c r="B399" s="1" t="n">
        <v>45966.37548611111</v>
      </c>
      <c r="C399" s="1" t="n">
        <v>45984</v>
      </c>
      <c r="D399" t="inlineStr">
        <is>
          <t>UPPSALA LÄN</t>
        </is>
      </c>
      <c r="E399" t="inlineStr">
        <is>
          <t>ÖSTHAMMAR</t>
        </is>
      </c>
      <c r="G399" t="n">
        <v>0.5</v>
      </c>
      <c r="H399" t="n">
        <v>0</v>
      </c>
      <c r="I399" t="n">
        <v>0</v>
      </c>
      <c r="J399" t="n">
        <v>0</v>
      </c>
      <c r="K399" t="n">
        <v>0</v>
      </c>
      <c r="L399" t="n">
        <v>0</v>
      </c>
      <c r="M399" t="n">
        <v>0</v>
      </c>
      <c r="N399" t="n">
        <v>0</v>
      </c>
      <c r="O399" t="n">
        <v>0</v>
      </c>
      <c r="P399" t="n">
        <v>0</v>
      </c>
      <c r="Q399" t="n">
        <v>0</v>
      </c>
      <c r="R399" s="2" t="inlineStr"/>
    </row>
    <row r="400" ht="15" customHeight="1">
      <c r="A400" t="inlineStr">
        <is>
          <t>A 45993-2025</t>
        </is>
      </c>
      <c r="B400" s="1" t="n">
        <v>45924.39706018518</v>
      </c>
      <c r="C400" s="1" t="n">
        <v>45984</v>
      </c>
      <c r="D400" t="inlineStr">
        <is>
          <t>UPPSALA LÄN</t>
        </is>
      </c>
      <c r="E400" t="inlineStr">
        <is>
          <t>ÖSTHAMMAR</t>
        </is>
      </c>
      <c r="G400" t="n">
        <v>0.5</v>
      </c>
      <c r="H400" t="n">
        <v>0</v>
      </c>
      <c r="I400" t="n">
        <v>0</v>
      </c>
      <c r="J400" t="n">
        <v>0</v>
      </c>
      <c r="K400" t="n">
        <v>0</v>
      </c>
      <c r="L400" t="n">
        <v>0</v>
      </c>
      <c r="M400" t="n">
        <v>0</v>
      </c>
      <c r="N400" t="n">
        <v>0</v>
      </c>
      <c r="O400" t="n">
        <v>0</v>
      </c>
      <c r="P400" t="n">
        <v>0</v>
      </c>
      <c r="Q400" t="n">
        <v>0</v>
      </c>
      <c r="R400" s="2" t="inlineStr"/>
    </row>
    <row r="401" ht="15" customHeight="1">
      <c r="A401" t="inlineStr">
        <is>
          <t>A 8874-2025</t>
        </is>
      </c>
      <c r="B401" s="1" t="n">
        <v>45713</v>
      </c>
      <c r="C401" s="1" t="n">
        <v>45984</v>
      </c>
      <c r="D401" t="inlineStr">
        <is>
          <t>UPPSALA LÄN</t>
        </is>
      </c>
      <c r="E401" t="inlineStr">
        <is>
          <t>ÖSTHAMMAR</t>
        </is>
      </c>
      <c r="G401" t="n">
        <v>6.3</v>
      </c>
      <c r="H401" t="n">
        <v>0</v>
      </c>
      <c r="I401" t="n">
        <v>0</v>
      </c>
      <c r="J401" t="n">
        <v>0</v>
      </c>
      <c r="K401" t="n">
        <v>0</v>
      </c>
      <c r="L401" t="n">
        <v>0</v>
      </c>
      <c r="M401" t="n">
        <v>0</v>
      </c>
      <c r="N401" t="n">
        <v>0</v>
      </c>
      <c r="O401" t="n">
        <v>0</v>
      </c>
      <c r="P401" t="n">
        <v>0</v>
      </c>
      <c r="Q401" t="n">
        <v>0</v>
      </c>
      <c r="R401" s="2" t="inlineStr"/>
    </row>
    <row r="402" ht="15" customHeight="1">
      <c r="A402" t="inlineStr">
        <is>
          <t>A 46088-2025</t>
        </is>
      </c>
      <c r="B402" s="1" t="n">
        <v>45924.52010416667</v>
      </c>
      <c r="C402" s="1" t="n">
        <v>45984</v>
      </c>
      <c r="D402" t="inlineStr">
        <is>
          <t>UPPSALA LÄN</t>
        </is>
      </c>
      <c r="E402" t="inlineStr">
        <is>
          <t>ÖSTHAMMAR</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54592-2025</t>
        </is>
      </c>
      <c r="B403" s="1" t="n">
        <v>45965.74545138889</v>
      </c>
      <c r="C403" s="1" t="n">
        <v>45984</v>
      </c>
      <c r="D403" t="inlineStr">
        <is>
          <t>UPPSALA LÄN</t>
        </is>
      </c>
      <c r="E403" t="inlineStr">
        <is>
          <t>ÖSTHAMMAR</t>
        </is>
      </c>
      <c r="F403" t="inlineStr">
        <is>
          <t>Bergvik skog öst AB</t>
        </is>
      </c>
      <c r="G403" t="n">
        <v>5</v>
      </c>
      <c r="H403" t="n">
        <v>0</v>
      </c>
      <c r="I403" t="n">
        <v>0</v>
      </c>
      <c r="J403" t="n">
        <v>0</v>
      </c>
      <c r="K403" t="n">
        <v>0</v>
      </c>
      <c r="L403" t="n">
        <v>0</v>
      </c>
      <c r="M403" t="n">
        <v>0</v>
      </c>
      <c r="N403" t="n">
        <v>0</v>
      </c>
      <c r="O403" t="n">
        <v>0</v>
      </c>
      <c r="P403" t="n">
        <v>0</v>
      </c>
      <c r="Q403" t="n">
        <v>0</v>
      </c>
      <c r="R403" s="2" t="inlineStr"/>
    </row>
    <row r="404" ht="15" customHeight="1">
      <c r="A404" t="inlineStr">
        <is>
          <t>A 25418-2022</t>
        </is>
      </c>
      <c r="B404" s="1" t="n">
        <v>44732.464375</v>
      </c>
      <c r="C404" s="1" t="n">
        <v>45984</v>
      </c>
      <c r="D404" t="inlineStr">
        <is>
          <t>UPPSALA LÄN</t>
        </is>
      </c>
      <c r="E404" t="inlineStr">
        <is>
          <t>ÖSTHAMMAR</t>
        </is>
      </c>
      <c r="G404" t="n">
        <v>2.8</v>
      </c>
      <c r="H404" t="n">
        <v>0</v>
      </c>
      <c r="I404" t="n">
        <v>0</v>
      </c>
      <c r="J404" t="n">
        <v>0</v>
      </c>
      <c r="K404" t="n">
        <v>0</v>
      </c>
      <c r="L404" t="n">
        <v>0</v>
      </c>
      <c r="M404" t="n">
        <v>0</v>
      </c>
      <c r="N404" t="n">
        <v>0</v>
      </c>
      <c r="O404" t="n">
        <v>0</v>
      </c>
      <c r="P404" t="n">
        <v>0</v>
      </c>
      <c r="Q404" t="n">
        <v>0</v>
      </c>
      <c r="R404" s="2" t="inlineStr"/>
    </row>
    <row r="405" ht="15" customHeight="1">
      <c r="A405" t="inlineStr">
        <is>
          <t>A 46089-2025</t>
        </is>
      </c>
      <c r="B405" s="1" t="n">
        <v>45924.52100694444</v>
      </c>
      <c r="C405" s="1" t="n">
        <v>45984</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62391-2022</t>
        </is>
      </c>
      <c r="B406" s="1" t="n">
        <v>44923.7849537037</v>
      </c>
      <c r="C406" s="1" t="n">
        <v>45984</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31485-2023</t>
        </is>
      </c>
      <c r="B407" s="1" t="n">
        <v>45114</v>
      </c>
      <c r="C407" s="1" t="n">
        <v>45984</v>
      </c>
      <c r="D407" t="inlineStr">
        <is>
          <t>UPPSALA LÄN</t>
        </is>
      </c>
      <c r="E407" t="inlineStr">
        <is>
          <t>ÖSTHAMMAR</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10117-2025</t>
        </is>
      </c>
      <c r="B408" s="1" t="n">
        <v>45719.59866898148</v>
      </c>
      <c r="C408" s="1" t="n">
        <v>45984</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56759-2024</t>
        </is>
      </c>
      <c r="B409" s="1" t="n">
        <v>45628.39877314815</v>
      </c>
      <c r="C409" s="1" t="n">
        <v>45984</v>
      </c>
      <c r="D409" t="inlineStr">
        <is>
          <t>UPPSALA LÄN</t>
        </is>
      </c>
      <c r="E409" t="inlineStr">
        <is>
          <t>ÖSTHAMMAR</t>
        </is>
      </c>
      <c r="G409" t="n">
        <v>4.7</v>
      </c>
      <c r="H409" t="n">
        <v>0</v>
      </c>
      <c r="I409" t="n">
        <v>0</v>
      </c>
      <c r="J409" t="n">
        <v>0</v>
      </c>
      <c r="K409" t="n">
        <v>0</v>
      </c>
      <c r="L409" t="n">
        <v>0</v>
      </c>
      <c r="M409" t="n">
        <v>0</v>
      </c>
      <c r="N409" t="n">
        <v>0</v>
      </c>
      <c r="O409" t="n">
        <v>0</v>
      </c>
      <c r="P409" t="n">
        <v>0</v>
      </c>
      <c r="Q409" t="n">
        <v>0</v>
      </c>
      <c r="R409" s="2" t="inlineStr"/>
    </row>
    <row r="410" ht="15" customHeight="1">
      <c r="A410" t="inlineStr">
        <is>
          <t>A 32744-2022</t>
        </is>
      </c>
      <c r="B410" s="1" t="n">
        <v>44783.70378472222</v>
      </c>
      <c r="C410" s="1" t="n">
        <v>45984</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45715-2025</t>
        </is>
      </c>
      <c r="B411" s="1" t="n">
        <v>45923.44094907407</v>
      </c>
      <c r="C411" s="1" t="n">
        <v>45984</v>
      </c>
      <c r="D411" t="inlineStr">
        <is>
          <t>UPPSALA LÄN</t>
        </is>
      </c>
      <c r="E411" t="inlineStr">
        <is>
          <t>ÖSTHAMMAR</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25859-2024</t>
        </is>
      </c>
      <c r="B412" s="1" t="n">
        <v>45467</v>
      </c>
      <c r="C412" s="1" t="n">
        <v>45984</v>
      </c>
      <c r="D412" t="inlineStr">
        <is>
          <t>UPPSALA LÄN</t>
        </is>
      </c>
      <c r="E412" t="inlineStr">
        <is>
          <t>ÖSTHAMMAR</t>
        </is>
      </c>
      <c r="G412" t="n">
        <v>7.9</v>
      </c>
      <c r="H412" t="n">
        <v>0</v>
      </c>
      <c r="I412" t="n">
        <v>0</v>
      </c>
      <c r="J412" t="n">
        <v>0</v>
      </c>
      <c r="K412" t="n">
        <v>0</v>
      </c>
      <c r="L412" t="n">
        <v>0</v>
      </c>
      <c r="M412" t="n">
        <v>0</v>
      </c>
      <c r="N412" t="n">
        <v>0</v>
      </c>
      <c r="O412" t="n">
        <v>0</v>
      </c>
      <c r="P412" t="n">
        <v>0</v>
      </c>
      <c r="Q412" t="n">
        <v>0</v>
      </c>
      <c r="R412" s="2" t="inlineStr"/>
    </row>
    <row r="413" ht="15" customHeight="1">
      <c r="A413" t="inlineStr">
        <is>
          <t>A 19640-2025</t>
        </is>
      </c>
      <c r="B413" s="1" t="n">
        <v>45770.65739583333</v>
      </c>
      <c r="C413" s="1" t="n">
        <v>45984</v>
      </c>
      <c r="D413" t="inlineStr">
        <is>
          <t>UPPSALA LÄN</t>
        </is>
      </c>
      <c r="E413" t="inlineStr">
        <is>
          <t>ÖSTHAMMAR</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4559-2022</t>
        </is>
      </c>
      <c r="B414" s="1" t="n">
        <v>44591.51854166666</v>
      </c>
      <c r="C414" s="1" t="n">
        <v>45984</v>
      </c>
      <c r="D414" t="inlineStr">
        <is>
          <t>UPPSALA LÄN</t>
        </is>
      </c>
      <c r="E414" t="inlineStr">
        <is>
          <t>ÖSTHAMMAR</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11643-2022</t>
        </is>
      </c>
      <c r="B415" s="1" t="n">
        <v>44631.92662037037</v>
      </c>
      <c r="C415" s="1" t="n">
        <v>45984</v>
      </c>
      <c r="D415" t="inlineStr">
        <is>
          <t>UPPSALA LÄN</t>
        </is>
      </c>
      <c r="E415" t="inlineStr">
        <is>
          <t>ÖSTHAMMAR</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55163-2025</t>
        </is>
      </c>
      <c r="B416" s="1" t="n">
        <v>45968.48032407407</v>
      </c>
      <c r="C416" s="1" t="n">
        <v>45984</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11036-2023</t>
        </is>
      </c>
      <c r="B417" s="1" t="n">
        <v>44991.9321412037</v>
      </c>
      <c r="C417" s="1" t="n">
        <v>45984</v>
      </c>
      <c r="D417" t="inlineStr">
        <is>
          <t>UPPSALA LÄN</t>
        </is>
      </c>
      <c r="E417" t="inlineStr">
        <is>
          <t>ÖSTHAMMAR</t>
        </is>
      </c>
      <c r="F417" t="inlineStr">
        <is>
          <t>Bergvik skog öst AB</t>
        </is>
      </c>
      <c r="G417" t="n">
        <v>3</v>
      </c>
      <c r="H417" t="n">
        <v>0</v>
      </c>
      <c r="I417" t="n">
        <v>0</v>
      </c>
      <c r="J417" t="n">
        <v>0</v>
      </c>
      <c r="K417" t="n">
        <v>0</v>
      </c>
      <c r="L417" t="n">
        <v>0</v>
      </c>
      <c r="M417" t="n">
        <v>0</v>
      </c>
      <c r="N417" t="n">
        <v>0</v>
      </c>
      <c r="O417" t="n">
        <v>0</v>
      </c>
      <c r="P417" t="n">
        <v>0</v>
      </c>
      <c r="Q417" t="n">
        <v>0</v>
      </c>
      <c r="R417" s="2" t="inlineStr"/>
    </row>
    <row r="418" ht="15" customHeight="1">
      <c r="A418" t="inlineStr">
        <is>
          <t>A 23363-2023</t>
        </is>
      </c>
      <c r="B418" s="1" t="n">
        <v>45076</v>
      </c>
      <c r="C418" s="1" t="n">
        <v>45984</v>
      </c>
      <c r="D418" t="inlineStr">
        <is>
          <t>UPPSALA LÄN</t>
        </is>
      </c>
      <c r="E418" t="inlineStr">
        <is>
          <t>ÖSTHAMMAR</t>
        </is>
      </c>
      <c r="G418" t="n">
        <v>3</v>
      </c>
      <c r="H418" t="n">
        <v>0</v>
      </c>
      <c r="I418" t="n">
        <v>0</v>
      </c>
      <c r="J418" t="n">
        <v>0</v>
      </c>
      <c r="K418" t="n">
        <v>0</v>
      </c>
      <c r="L418" t="n">
        <v>0</v>
      </c>
      <c r="M418" t="n">
        <v>0</v>
      </c>
      <c r="N418" t="n">
        <v>0</v>
      </c>
      <c r="O418" t="n">
        <v>0</v>
      </c>
      <c r="P418" t="n">
        <v>0</v>
      </c>
      <c r="Q418" t="n">
        <v>0</v>
      </c>
      <c r="R418" s="2" t="inlineStr"/>
    </row>
    <row r="419" ht="15" customHeight="1">
      <c r="A419" t="inlineStr">
        <is>
          <t>A 3418-2025</t>
        </is>
      </c>
      <c r="B419" s="1" t="n">
        <v>45680</v>
      </c>
      <c r="C419" s="1" t="n">
        <v>45984</v>
      </c>
      <c r="D419" t="inlineStr">
        <is>
          <t>UPPSALA LÄN</t>
        </is>
      </c>
      <c r="E419" t="inlineStr">
        <is>
          <t>ÖSTHAMMAR</t>
        </is>
      </c>
      <c r="F419" t="inlineStr">
        <is>
          <t>Bergvik skog väst AB</t>
        </is>
      </c>
      <c r="G419" t="n">
        <v>0.4</v>
      </c>
      <c r="H419" t="n">
        <v>0</v>
      </c>
      <c r="I419" t="n">
        <v>0</v>
      </c>
      <c r="J419" t="n">
        <v>0</v>
      </c>
      <c r="K419" t="n">
        <v>0</v>
      </c>
      <c r="L419" t="n">
        <v>0</v>
      </c>
      <c r="M419" t="n">
        <v>0</v>
      </c>
      <c r="N419" t="n">
        <v>0</v>
      </c>
      <c r="O419" t="n">
        <v>0</v>
      </c>
      <c r="P419" t="n">
        <v>0</v>
      </c>
      <c r="Q419" t="n">
        <v>0</v>
      </c>
      <c r="R419" s="2" t="inlineStr"/>
    </row>
    <row r="420" ht="15" customHeight="1">
      <c r="A420" t="inlineStr">
        <is>
          <t>A 3420-2025</t>
        </is>
      </c>
      <c r="B420" s="1" t="n">
        <v>45680</v>
      </c>
      <c r="C420" s="1" t="n">
        <v>45984</v>
      </c>
      <c r="D420" t="inlineStr">
        <is>
          <t>UPPSALA LÄN</t>
        </is>
      </c>
      <c r="E420" t="inlineStr">
        <is>
          <t>ÖSTHAMMAR</t>
        </is>
      </c>
      <c r="F420" t="inlineStr">
        <is>
          <t>Bergvik skog väst AB</t>
        </is>
      </c>
      <c r="G420" t="n">
        <v>3.6</v>
      </c>
      <c r="H420" t="n">
        <v>0</v>
      </c>
      <c r="I420" t="n">
        <v>0</v>
      </c>
      <c r="J420" t="n">
        <v>0</v>
      </c>
      <c r="K420" t="n">
        <v>0</v>
      </c>
      <c r="L420" t="n">
        <v>0</v>
      </c>
      <c r="M420" t="n">
        <v>0</v>
      </c>
      <c r="N420" t="n">
        <v>0</v>
      </c>
      <c r="O420" t="n">
        <v>0</v>
      </c>
      <c r="P420" t="n">
        <v>0</v>
      </c>
      <c r="Q420" t="n">
        <v>0</v>
      </c>
      <c r="R420" s="2" t="inlineStr"/>
    </row>
    <row r="421" ht="15" customHeight="1">
      <c r="A421" t="inlineStr">
        <is>
          <t>A 14505-2023</t>
        </is>
      </c>
      <c r="B421" s="1" t="n">
        <v>45012.7975</v>
      </c>
      <c r="C421" s="1" t="n">
        <v>45984</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60577-2021</t>
        </is>
      </c>
      <c r="B422" s="1" t="n">
        <v>44496.57019675926</v>
      </c>
      <c r="C422" s="1" t="n">
        <v>45984</v>
      </c>
      <c r="D422" t="inlineStr">
        <is>
          <t>UPPSALA LÄN</t>
        </is>
      </c>
      <c r="E422" t="inlineStr">
        <is>
          <t>ÖSTHAMMAR</t>
        </is>
      </c>
      <c r="G422" t="n">
        <v>0.5</v>
      </c>
      <c r="H422" t="n">
        <v>0</v>
      </c>
      <c r="I422" t="n">
        <v>0</v>
      </c>
      <c r="J422" t="n">
        <v>0</v>
      </c>
      <c r="K422" t="n">
        <v>0</v>
      </c>
      <c r="L422" t="n">
        <v>0</v>
      </c>
      <c r="M422" t="n">
        <v>0</v>
      </c>
      <c r="N422" t="n">
        <v>0</v>
      </c>
      <c r="O422" t="n">
        <v>0</v>
      </c>
      <c r="P422" t="n">
        <v>0</v>
      </c>
      <c r="Q422" t="n">
        <v>0</v>
      </c>
      <c r="R422" s="2" t="inlineStr"/>
    </row>
    <row r="423" ht="15" customHeight="1">
      <c r="A423" t="inlineStr">
        <is>
          <t>A 17929-2025</t>
        </is>
      </c>
      <c r="B423" s="1" t="n">
        <v>45759.56462962963</v>
      </c>
      <c r="C423" s="1" t="n">
        <v>45984</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62695-2023</t>
        </is>
      </c>
      <c r="B424" s="1" t="n">
        <v>45271</v>
      </c>
      <c r="C424" s="1" t="n">
        <v>45984</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36092-2025</t>
        </is>
      </c>
      <c r="B425" s="1" t="n">
        <v>45866.48244212963</v>
      </c>
      <c r="C425" s="1" t="n">
        <v>45984</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55798-2025</t>
        </is>
      </c>
      <c r="B426" s="1" t="n">
        <v>45972.66209490741</v>
      </c>
      <c r="C426" s="1" t="n">
        <v>45984</v>
      </c>
      <c r="D426" t="inlineStr">
        <is>
          <t>UPPSALA LÄN</t>
        </is>
      </c>
      <c r="E426" t="inlineStr">
        <is>
          <t>ÖSTHAMMAR</t>
        </is>
      </c>
      <c r="F426" t="inlineStr">
        <is>
          <t>Bergvik skog öst AB</t>
        </is>
      </c>
      <c r="G426" t="n">
        <v>3.9</v>
      </c>
      <c r="H426" t="n">
        <v>0</v>
      </c>
      <c r="I426" t="n">
        <v>0</v>
      </c>
      <c r="J426" t="n">
        <v>0</v>
      </c>
      <c r="K426" t="n">
        <v>0</v>
      </c>
      <c r="L426" t="n">
        <v>0</v>
      </c>
      <c r="M426" t="n">
        <v>0</v>
      </c>
      <c r="N426" t="n">
        <v>0</v>
      </c>
      <c r="O426" t="n">
        <v>0</v>
      </c>
      <c r="P426" t="n">
        <v>0</v>
      </c>
      <c r="Q426" t="n">
        <v>0</v>
      </c>
      <c r="R426" s="2" t="inlineStr"/>
    </row>
    <row r="427" ht="15" customHeight="1">
      <c r="A427" t="inlineStr">
        <is>
          <t>A 54437-2024</t>
        </is>
      </c>
      <c r="B427" s="1" t="n">
        <v>45617</v>
      </c>
      <c r="C427" s="1" t="n">
        <v>45984</v>
      </c>
      <c r="D427" t="inlineStr">
        <is>
          <t>UPPSALA LÄN</t>
        </is>
      </c>
      <c r="E427" t="inlineStr">
        <is>
          <t>ÖSTHAMMAR</t>
        </is>
      </c>
      <c r="G427" t="n">
        <v>2.1</v>
      </c>
      <c r="H427" t="n">
        <v>0</v>
      </c>
      <c r="I427" t="n">
        <v>0</v>
      </c>
      <c r="J427" t="n">
        <v>0</v>
      </c>
      <c r="K427" t="n">
        <v>0</v>
      </c>
      <c r="L427" t="n">
        <v>0</v>
      </c>
      <c r="M427" t="n">
        <v>0</v>
      </c>
      <c r="N427" t="n">
        <v>0</v>
      </c>
      <c r="O427" t="n">
        <v>0</v>
      </c>
      <c r="P427" t="n">
        <v>0</v>
      </c>
      <c r="Q427" t="n">
        <v>0</v>
      </c>
      <c r="R427" s="2" t="inlineStr"/>
    </row>
    <row r="428" ht="15" customHeight="1">
      <c r="A428" t="inlineStr">
        <is>
          <t>A 47336-2025</t>
        </is>
      </c>
      <c r="B428" s="1" t="n">
        <v>45930.56592592593</v>
      </c>
      <c r="C428" s="1" t="n">
        <v>45984</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47337-2025</t>
        </is>
      </c>
      <c r="B429" s="1" t="n">
        <v>45930.56607638889</v>
      </c>
      <c r="C429" s="1" t="n">
        <v>45984</v>
      </c>
      <c r="D429" t="inlineStr">
        <is>
          <t>UPPSALA LÄN</t>
        </is>
      </c>
      <c r="E429" t="inlineStr">
        <is>
          <t>ÖSTHAMMAR</t>
        </is>
      </c>
      <c r="G429" t="n">
        <v>1.3</v>
      </c>
      <c r="H429" t="n">
        <v>0</v>
      </c>
      <c r="I429" t="n">
        <v>0</v>
      </c>
      <c r="J429" t="n">
        <v>0</v>
      </c>
      <c r="K429" t="n">
        <v>0</v>
      </c>
      <c r="L429" t="n">
        <v>0</v>
      </c>
      <c r="M429" t="n">
        <v>0</v>
      </c>
      <c r="N429" t="n">
        <v>0</v>
      </c>
      <c r="O429" t="n">
        <v>0</v>
      </c>
      <c r="P429" t="n">
        <v>0</v>
      </c>
      <c r="Q429" t="n">
        <v>0</v>
      </c>
      <c r="R429" s="2" t="inlineStr"/>
    </row>
    <row r="430" ht="15" customHeight="1">
      <c r="A430" t="inlineStr">
        <is>
          <t>A 36451-2025</t>
        </is>
      </c>
      <c r="B430" s="1" t="n">
        <v>45869.4290625</v>
      </c>
      <c r="C430" s="1" t="n">
        <v>45984</v>
      </c>
      <c r="D430" t="inlineStr">
        <is>
          <t>UPPSALA LÄN</t>
        </is>
      </c>
      <c r="E430" t="inlineStr">
        <is>
          <t>ÖSTHAMMAR</t>
        </is>
      </c>
      <c r="G430" t="n">
        <v>0.8</v>
      </c>
      <c r="H430" t="n">
        <v>0</v>
      </c>
      <c r="I430" t="n">
        <v>0</v>
      </c>
      <c r="J430" t="n">
        <v>0</v>
      </c>
      <c r="K430" t="n">
        <v>0</v>
      </c>
      <c r="L430" t="n">
        <v>0</v>
      </c>
      <c r="M430" t="n">
        <v>0</v>
      </c>
      <c r="N430" t="n">
        <v>0</v>
      </c>
      <c r="O430" t="n">
        <v>0</v>
      </c>
      <c r="P430" t="n">
        <v>0</v>
      </c>
      <c r="Q430" t="n">
        <v>0</v>
      </c>
      <c r="R430" s="2" t="inlineStr"/>
    </row>
    <row r="431" ht="15" customHeight="1">
      <c r="A431" t="inlineStr">
        <is>
          <t>A 47338-2025</t>
        </is>
      </c>
      <c r="B431" s="1" t="n">
        <v>45930.56626157407</v>
      </c>
      <c r="C431" s="1" t="n">
        <v>45984</v>
      </c>
      <c r="D431" t="inlineStr">
        <is>
          <t>UPPSALA LÄN</t>
        </is>
      </c>
      <c r="E431" t="inlineStr">
        <is>
          <t>ÖSTHAMMAR</t>
        </is>
      </c>
      <c r="G431" t="n">
        <v>2.4</v>
      </c>
      <c r="H431" t="n">
        <v>0</v>
      </c>
      <c r="I431" t="n">
        <v>0</v>
      </c>
      <c r="J431" t="n">
        <v>0</v>
      </c>
      <c r="K431" t="n">
        <v>0</v>
      </c>
      <c r="L431" t="n">
        <v>0</v>
      </c>
      <c r="M431" t="n">
        <v>0</v>
      </c>
      <c r="N431" t="n">
        <v>0</v>
      </c>
      <c r="O431" t="n">
        <v>0</v>
      </c>
      <c r="P431" t="n">
        <v>0</v>
      </c>
      <c r="Q431" t="n">
        <v>0</v>
      </c>
      <c r="R431" s="2" t="inlineStr"/>
    </row>
    <row r="432" ht="15" customHeight="1">
      <c r="A432" t="inlineStr">
        <is>
          <t>A 55298-2025</t>
        </is>
      </c>
      <c r="B432" s="1" t="n">
        <v>45969.76908564815</v>
      </c>
      <c r="C432" s="1" t="n">
        <v>45984</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46826-2025</t>
        </is>
      </c>
      <c r="B433" s="1" t="n">
        <v>45927.00606481481</v>
      </c>
      <c r="C433" s="1" t="n">
        <v>45984</v>
      </c>
      <c r="D433" t="inlineStr">
        <is>
          <t>UPPSALA LÄN</t>
        </is>
      </c>
      <c r="E433" t="inlineStr">
        <is>
          <t>ÖSTHAMMAR</t>
        </is>
      </c>
      <c r="G433" t="n">
        <v>9</v>
      </c>
      <c r="H433" t="n">
        <v>0</v>
      </c>
      <c r="I433" t="n">
        <v>0</v>
      </c>
      <c r="J433" t="n">
        <v>0</v>
      </c>
      <c r="K433" t="n">
        <v>0</v>
      </c>
      <c r="L433" t="n">
        <v>0</v>
      </c>
      <c r="M433" t="n">
        <v>0</v>
      </c>
      <c r="N433" t="n">
        <v>0</v>
      </c>
      <c r="O433" t="n">
        <v>0</v>
      </c>
      <c r="P433" t="n">
        <v>0</v>
      </c>
      <c r="Q433" t="n">
        <v>0</v>
      </c>
      <c r="R433" s="2" t="inlineStr"/>
    </row>
    <row r="434" ht="15" customHeight="1">
      <c r="A434" t="inlineStr">
        <is>
          <t>A 23742-2024</t>
        </is>
      </c>
      <c r="B434" s="1" t="n">
        <v>45455</v>
      </c>
      <c r="C434" s="1" t="n">
        <v>45984</v>
      </c>
      <c r="D434" t="inlineStr">
        <is>
          <t>UPPSALA LÄN</t>
        </is>
      </c>
      <c r="E434" t="inlineStr">
        <is>
          <t>ÖSTHAMMAR</t>
        </is>
      </c>
      <c r="F434" t="inlineStr">
        <is>
          <t>Bergvik skog öst AB</t>
        </is>
      </c>
      <c r="G434" t="n">
        <v>2.2</v>
      </c>
      <c r="H434" t="n">
        <v>0</v>
      </c>
      <c r="I434" t="n">
        <v>0</v>
      </c>
      <c r="J434" t="n">
        <v>0</v>
      </c>
      <c r="K434" t="n">
        <v>0</v>
      </c>
      <c r="L434" t="n">
        <v>0</v>
      </c>
      <c r="M434" t="n">
        <v>0</v>
      </c>
      <c r="N434" t="n">
        <v>0</v>
      </c>
      <c r="O434" t="n">
        <v>0</v>
      </c>
      <c r="P434" t="n">
        <v>0</v>
      </c>
      <c r="Q434" t="n">
        <v>0</v>
      </c>
      <c r="R434" s="2" t="inlineStr"/>
    </row>
    <row r="435" ht="15" customHeight="1">
      <c r="A435" t="inlineStr">
        <is>
          <t>A 29282-2021</t>
        </is>
      </c>
      <c r="B435" s="1" t="n">
        <v>44361</v>
      </c>
      <c r="C435" s="1" t="n">
        <v>45984</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36646-2025</t>
        </is>
      </c>
      <c r="B436" s="1" t="n">
        <v>45872</v>
      </c>
      <c r="C436" s="1" t="n">
        <v>45984</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6039-2025</t>
        </is>
      </c>
      <c r="B437" s="1" t="n">
        <v>45695</v>
      </c>
      <c r="C437" s="1" t="n">
        <v>45984</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36643-2025</t>
        </is>
      </c>
      <c r="B438" s="1" t="n">
        <v>45872.47782407407</v>
      </c>
      <c r="C438" s="1" t="n">
        <v>45984</v>
      </c>
      <c r="D438" t="inlineStr">
        <is>
          <t>UPPSALA LÄN</t>
        </is>
      </c>
      <c r="E438" t="inlineStr">
        <is>
          <t>ÖSTHAMMAR</t>
        </is>
      </c>
      <c r="F438" t="inlineStr">
        <is>
          <t>Bergvik skog öst AB</t>
        </is>
      </c>
      <c r="G438" t="n">
        <v>15.1</v>
      </c>
      <c r="H438" t="n">
        <v>0</v>
      </c>
      <c r="I438" t="n">
        <v>0</v>
      </c>
      <c r="J438" t="n">
        <v>0</v>
      </c>
      <c r="K438" t="n">
        <v>0</v>
      </c>
      <c r="L438" t="n">
        <v>0</v>
      </c>
      <c r="M438" t="n">
        <v>0</v>
      </c>
      <c r="N438" t="n">
        <v>0</v>
      </c>
      <c r="O438" t="n">
        <v>0</v>
      </c>
      <c r="P438" t="n">
        <v>0</v>
      </c>
      <c r="Q438" t="n">
        <v>0</v>
      </c>
      <c r="R438" s="2" t="inlineStr"/>
    </row>
    <row r="439" ht="15" customHeight="1">
      <c r="A439" t="inlineStr">
        <is>
          <t>A 8769-2025</t>
        </is>
      </c>
      <c r="B439" s="1" t="n">
        <v>45712.59412037037</v>
      </c>
      <c r="C439" s="1" t="n">
        <v>45984</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20326-2021</t>
        </is>
      </c>
      <c r="B440" s="1" t="n">
        <v>44308</v>
      </c>
      <c r="C440" s="1" t="n">
        <v>45984</v>
      </c>
      <c r="D440" t="inlineStr">
        <is>
          <t>UPPSALA LÄN</t>
        </is>
      </c>
      <c r="E440" t="inlineStr">
        <is>
          <t>ÖSTHAMMAR</t>
        </is>
      </c>
      <c r="G440" t="n">
        <v>7</v>
      </c>
      <c r="H440" t="n">
        <v>0</v>
      </c>
      <c r="I440" t="n">
        <v>0</v>
      </c>
      <c r="J440" t="n">
        <v>0</v>
      </c>
      <c r="K440" t="n">
        <v>0</v>
      </c>
      <c r="L440" t="n">
        <v>0</v>
      </c>
      <c r="M440" t="n">
        <v>0</v>
      </c>
      <c r="N440" t="n">
        <v>0</v>
      </c>
      <c r="O440" t="n">
        <v>0</v>
      </c>
      <c r="P440" t="n">
        <v>0</v>
      </c>
      <c r="Q440" t="n">
        <v>0</v>
      </c>
      <c r="R440" s="2" t="inlineStr"/>
    </row>
    <row r="441" ht="15" customHeight="1">
      <c r="A441" t="inlineStr">
        <is>
          <t>A 36645-2025</t>
        </is>
      </c>
      <c r="B441" s="1" t="n">
        <v>45872</v>
      </c>
      <c r="C441" s="1" t="n">
        <v>45984</v>
      </c>
      <c r="D441" t="inlineStr">
        <is>
          <t>UPPSALA LÄN</t>
        </is>
      </c>
      <c r="E441" t="inlineStr">
        <is>
          <t>ÖSTHAMMAR</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55086-2024</t>
        </is>
      </c>
      <c r="B442" s="1" t="n">
        <v>45621.43098379629</v>
      </c>
      <c r="C442" s="1" t="n">
        <v>45984</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55090-2024</t>
        </is>
      </c>
      <c r="B443" s="1" t="n">
        <v>45621.4350462963</v>
      </c>
      <c r="C443" s="1" t="n">
        <v>45984</v>
      </c>
      <c r="D443" t="inlineStr">
        <is>
          <t>UPPSALA LÄN</t>
        </is>
      </c>
      <c r="E443" t="inlineStr">
        <is>
          <t>ÖSTHAMMAR</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55093-2024</t>
        </is>
      </c>
      <c r="B444" s="1" t="n">
        <v>45621.43712962963</v>
      </c>
      <c r="C444" s="1" t="n">
        <v>45984</v>
      </c>
      <c r="D444" t="inlineStr">
        <is>
          <t>UPPSALA LÄN</t>
        </is>
      </c>
      <c r="E444" t="inlineStr">
        <is>
          <t>ÖSTHAMMAR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36644-2025</t>
        </is>
      </c>
      <c r="B445" s="1" t="n">
        <v>45872.48738425926</v>
      </c>
      <c r="C445" s="1" t="n">
        <v>45984</v>
      </c>
      <c r="D445" t="inlineStr">
        <is>
          <t>UPPSALA LÄN</t>
        </is>
      </c>
      <c r="E445" t="inlineStr">
        <is>
          <t>ÖSTHAMMAR</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47614-2025</t>
        </is>
      </c>
      <c r="B446" s="1" t="n">
        <v>45931.47211805556</v>
      </c>
      <c r="C446" s="1" t="n">
        <v>45984</v>
      </c>
      <c r="D446" t="inlineStr">
        <is>
          <t>UPPSALA LÄN</t>
        </is>
      </c>
      <c r="E446" t="inlineStr">
        <is>
          <t>ÖSTHAMMAR</t>
        </is>
      </c>
      <c r="G446" t="n">
        <v>22.8</v>
      </c>
      <c r="H446" t="n">
        <v>0</v>
      </c>
      <c r="I446" t="n">
        <v>0</v>
      </c>
      <c r="J446" t="n">
        <v>0</v>
      </c>
      <c r="K446" t="n">
        <v>0</v>
      </c>
      <c r="L446" t="n">
        <v>0</v>
      </c>
      <c r="M446" t="n">
        <v>0</v>
      </c>
      <c r="N446" t="n">
        <v>0</v>
      </c>
      <c r="O446" t="n">
        <v>0</v>
      </c>
      <c r="P446" t="n">
        <v>0</v>
      </c>
      <c r="Q446" t="n">
        <v>0</v>
      </c>
      <c r="R446" s="2" t="inlineStr"/>
    </row>
    <row r="447" ht="15" customHeight="1">
      <c r="A447" t="inlineStr">
        <is>
          <t>A 51265-2025</t>
        </is>
      </c>
      <c r="B447" s="1" t="n">
        <v>45949.70971064815</v>
      </c>
      <c r="C447" s="1" t="n">
        <v>45984</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51266-2025</t>
        </is>
      </c>
      <c r="B448" s="1" t="n">
        <v>45949.71568287037</v>
      </c>
      <c r="C448" s="1" t="n">
        <v>45984</v>
      </c>
      <c r="D448" t="inlineStr">
        <is>
          <t>UPPSALA LÄN</t>
        </is>
      </c>
      <c r="E448" t="inlineStr">
        <is>
          <t>ÖSTHAMMAR</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28432-2023</t>
        </is>
      </c>
      <c r="B449" s="1" t="n">
        <v>45102.59896990741</v>
      </c>
      <c r="C449" s="1" t="n">
        <v>45984</v>
      </c>
      <c r="D449" t="inlineStr">
        <is>
          <t>UPPSALA LÄN</t>
        </is>
      </c>
      <c r="E449" t="inlineStr">
        <is>
          <t>ÖSTHAMMAR</t>
        </is>
      </c>
      <c r="F449" t="inlineStr">
        <is>
          <t>Bergvik skog öst AB</t>
        </is>
      </c>
      <c r="G449" t="n">
        <v>3.9</v>
      </c>
      <c r="H449" t="n">
        <v>0</v>
      </c>
      <c r="I449" t="n">
        <v>0</v>
      </c>
      <c r="J449" t="n">
        <v>0</v>
      </c>
      <c r="K449" t="n">
        <v>0</v>
      </c>
      <c r="L449" t="n">
        <v>0</v>
      </c>
      <c r="M449" t="n">
        <v>0</v>
      </c>
      <c r="N449" t="n">
        <v>0</v>
      </c>
      <c r="O449" t="n">
        <v>0</v>
      </c>
      <c r="P449" t="n">
        <v>0</v>
      </c>
      <c r="Q449" t="n">
        <v>0</v>
      </c>
      <c r="R449" s="2" t="inlineStr"/>
    </row>
    <row r="450" ht="15" customHeight="1">
      <c r="A450" t="inlineStr">
        <is>
          <t>A 47615-2025</t>
        </is>
      </c>
      <c r="B450" s="1" t="n">
        <v>45931.47542824074</v>
      </c>
      <c r="C450" s="1" t="n">
        <v>45984</v>
      </c>
      <c r="D450" t="inlineStr">
        <is>
          <t>UPPSALA LÄN</t>
        </is>
      </c>
      <c r="E450" t="inlineStr">
        <is>
          <t>ÖSTHAMMAR</t>
        </is>
      </c>
      <c r="G450" t="n">
        <v>7</v>
      </c>
      <c r="H450" t="n">
        <v>0</v>
      </c>
      <c r="I450" t="n">
        <v>0</v>
      </c>
      <c r="J450" t="n">
        <v>0</v>
      </c>
      <c r="K450" t="n">
        <v>0</v>
      </c>
      <c r="L450" t="n">
        <v>0</v>
      </c>
      <c r="M450" t="n">
        <v>0</v>
      </c>
      <c r="N450" t="n">
        <v>0</v>
      </c>
      <c r="O450" t="n">
        <v>0</v>
      </c>
      <c r="P450" t="n">
        <v>0</v>
      </c>
      <c r="Q450" t="n">
        <v>0</v>
      </c>
      <c r="R450" s="2" t="inlineStr"/>
    </row>
    <row r="451" ht="15" customHeight="1">
      <c r="A451" t="inlineStr">
        <is>
          <t>A 43915-2023</t>
        </is>
      </c>
      <c r="B451" s="1" t="n">
        <v>45187.71274305556</v>
      </c>
      <c r="C451" s="1" t="n">
        <v>45984</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53961-2025</t>
        </is>
      </c>
      <c r="B452" s="1" t="n">
        <v>45961</v>
      </c>
      <c r="C452" s="1" t="n">
        <v>45984</v>
      </c>
      <c r="D452" t="inlineStr">
        <is>
          <t>UPPSALA LÄN</t>
        </is>
      </c>
      <c r="E452" t="inlineStr">
        <is>
          <t>ÖSTHAMMAR</t>
        </is>
      </c>
      <c r="G452" t="n">
        <v>0.7</v>
      </c>
      <c r="H452" t="n">
        <v>0</v>
      </c>
      <c r="I452" t="n">
        <v>0</v>
      </c>
      <c r="J452" t="n">
        <v>0</v>
      </c>
      <c r="K452" t="n">
        <v>0</v>
      </c>
      <c r="L452" t="n">
        <v>0</v>
      </c>
      <c r="M452" t="n">
        <v>0</v>
      </c>
      <c r="N452" t="n">
        <v>0</v>
      </c>
      <c r="O452" t="n">
        <v>0</v>
      </c>
      <c r="P452" t="n">
        <v>0</v>
      </c>
      <c r="Q452" t="n">
        <v>0</v>
      </c>
      <c r="R452" s="2" t="inlineStr"/>
    </row>
    <row r="453" ht="15" customHeight="1">
      <c r="A453" t="inlineStr">
        <is>
          <t>A 13352-2023</t>
        </is>
      </c>
      <c r="B453" s="1" t="n">
        <v>45005</v>
      </c>
      <c r="C453" s="1" t="n">
        <v>45984</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56582-2025</t>
        </is>
      </c>
      <c r="B454" s="1" t="n">
        <v>45975.54730324074</v>
      </c>
      <c r="C454" s="1" t="n">
        <v>45984</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56942-2025</t>
        </is>
      </c>
      <c r="B455" s="1" t="n">
        <v>45978.62611111111</v>
      </c>
      <c r="C455" s="1" t="n">
        <v>45984</v>
      </c>
      <c r="D455" t="inlineStr">
        <is>
          <t>UPPSALA LÄN</t>
        </is>
      </c>
      <c r="E455" t="inlineStr">
        <is>
          <t>ÖSTHAMMAR</t>
        </is>
      </c>
      <c r="G455" t="n">
        <v>3.2</v>
      </c>
      <c r="H455" t="n">
        <v>0</v>
      </c>
      <c r="I455" t="n">
        <v>0</v>
      </c>
      <c r="J455" t="n">
        <v>0</v>
      </c>
      <c r="K455" t="n">
        <v>0</v>
      </c>
      <c r="L455" t="n">
        <v>0</v>
      </c>
      <c r="M455" t="n">
        <v>0</v>
      </c>
      <c r="N455" t="n">
        <v>0</v>
      </c>
      <c r="O455" t="n">
        <v>0</v>
      </c>
      <c r="P455" t="n">
        <v>0</v>
      </c>
      <c r="Q455" t="n">
        <v>0</v>
      </c>
      <c r="R455" s="2" t="inlineStr"/>
    </row>
    <row r="456" ht="15" customHeight="1">
      <c r="A456" t="inlineStr">
        <is>
          <t>A 36343-2022</t>
        </is>
      </c>
      <c r="B456" s="1" t="n">
        <v>44803.78524305556</v>
      </c>
      <c r="C456" s="1" t="n">
        <v>45984</v>
      </c>
      <c r="D456" t="inlineStr">
        <is>
          <t>UPPSALA LÄN</t>
        </is>
      </c>
      <c r="E456" t="inlineStr">
        <is>
          <t>ÖSTHAMMAR</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357-2025</t>
        </is>
      </c>
      <c r="B457" s="1" t="n">
        <v>45659</v>
      </c>
      <c r="C457" s="1" t="n">
        <v>45984</v>
      </c>
      <c r="D457" t="inlineStr">
        <is>
          <t>UPPSALA LÄN</t>
        </is>
      </c>
      <c r="E457" t="inlineStr">
        <is>
          <t>ÖSTHAMMAR</t>
        </is>
      </c>
      <c r="G457" t="n">
        <v>15.8</v>
      </c>
      <c r="H457" t="n">
        <v>0</v>
      </c>
      <c r="I457" t="n">
        <v>0</v>
      </c>
      <c r="J457" t="n">
        <v>0</v>
      </c>
      <c r="K457" t="n">
        <v>0</v>
      </c>
      <c r="L457" t="n">
        <v>0</v>
      </c>
      <c r="M457" t="n">
        <v>0</v>
      </c>
      <c r="N457" t="n">
        <v>0</v>
      </c>
      <c r="O457" t="n">
        <v>0</v>
      </c>
      <c r="P457" t="n">
        <v>0</v>
      </c>
      <c r="Q457" t="n">
        <v>0</v>
      </c>
      <c r="R457" s="2" t="inlineStr"/>
    </row>
    <row r="458" ht="15" customHeight="1">
      <c r="A458" t="inlineStr">
        <is>
          <t>A 56757-2025</t>
        </is>
      </c>
      <c r="B458" s="1" t="n">
        <v>45978.37162037037</v>
      </c>
      <c r="C458" s="1" t="n">
        <v>45984</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37656-2025</t>
        </is>
      </c>
      <c r="B459" s="1" t="n">
        <v>45880</v>
      </c>
      <c r="C459" s="1" t="n">
        <v>45984</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68828-2020</t>
        </is>
      </c>
      <c r="B460" s="1" t="n">
        <v>44186</v>
      </c>
      <c r="C460" s="1" t="n">
        <v>45984</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37764-2025</t>
        </is>
      </c>
      <c r="B461" s="1" t="n">
        <v>45880.70917824074</v>
      </c>
      <c r="C461" s="1" t="n">
        <v>45984</v>
      </c>
      <c r="D461" t="inlineStr">
        <is>
          <t>UPPSALA LÄN</t>
        </is>
      </c>
      <c r="E461" t="inlineStr">
        <is>
          <t>ÖSTHAMMAR</t>
        </is>
      </c>
      <c r="G461" t="n">
        <v>4.6</v>
      </c>
      <c r="H461" t="n">
        <v>0</v>
      </c>
      <c r="I461" t="n">
        <v>0</v>
      </c>
      <c r="J461" t="n">
        <v>0</v>
      </c>
      <c r="K461" t="n">
        <v>0</v>
      </c>
      <c r="L461" t="n">
        <v>0</v>
      </c>
      <c r="M461" t="n">
        <v>0</v>
      </c>
      <c r="N461" t="n">
        <v>0</v>
      </c>
      <c r="O461" t="n">
        <v>0</v>
      </c>
      <c r="P461" t="n">
        <v>0</v>
      </c>
      <c r="Q461" t="n">
        <v>0</v>
      </c>
      <c r="R461" s="2" t="inlineStr"/>
    </row>
    <row r="462" ht="15" customHeight="1">
      <c r="A462" t="inlineStr">
        <is>
          <t>A 18731-2022</t>
        </is>
      </c>
      <c r="B462" s="1" t="n">
        <v>44687.78673611111</v>
      </c>
      <c r="C462" s="1" t="n">
        <v>45984</v>
      </c>
      <c r="D462" t="inlineStr">
        <is>
          <t>UPPSALA LÄN</t>
        </is>
      </c>
      <c r="E462" t="inlineStr">
        <is>
          <t>ÖSTHAMMAR</t>
        </is>
      </c>
      <c r="G462" t="n">
        <v>4.9</v>
      </c>
      <c r="H462" t="n">
        <v>0</v>
      </c>
      <c r="I462" t="n">
        <v>0</v>
      </c>
      <c r="J462" t="n">
        <v>0</v>
      </c>
      <c r="K462" t="n">
        <v>0</v>
      </c>
      <c r="L462" t="n">
        <v>0</v>
      </c>
      <c r="M462" t="n">
        <v>0</v>
      </c>
      <c r="N462" t="n">
        <v>0</v>
      </c>
      <c r="O462" t="n">
        <v>0</v>
      </c>
      <c r="P462" t="n">
        <v>0</v>
      </c>
      <c r="Q462" t="n">
        <v>0</v>
      </c>
      <c r="R462" s="2" t="inlineStr"/>
    </row>
    <row r="463" ht="15" customHeight="1">
      <c r="A463" t="inlineStr">
        <is>
          <t>A 56823-2025</t>
        </is>
      </c>
      <c r="B463" s="1" t="n">
        <v>45978.46484953703</v>
      </c>
      <c r="C463" s="1" t="n">
        <v>45984</v>
      </c>
      <c r="D463" t="inlineStr">
        <is>
          <t>UPPSALA LÄN</t>
        </is>
      </c>
      <c r="E463" t="inlineStr">
        <is>
          <t>ÖSTHAMMAR</t>
        </is>
      </c>
      <c r="G463" t="n">
        <v>0.1</v>
      </c>
      <c r="H463" t="n">
        <v>0</v>
      </c>
      <c r="I463" t="n">
        <v>0</v>
      </c>
      <c r="J463" t="n">
        <v>0</v>
      </c>
      <c r="K463" t="n">
        <v>0</v>
      </c>
      <c r="L463" t="n">
        <v>0</v>
      </c>
      <c r="M463" t="n">
        <v>0</v>
      </c>
      <c r="N463" t="n">
        <v>0</v>
      </c>
      <c r="O463" t="n">
        <v>0</v>
      </c>
      <c r="P463" t="n">
        <v>0</v>
      </c>
      <c r="Q463" t="n">
        <v>0</v>
      </c>
      <c r="R463" s="2" t="inlineStr"/>
    </row>
    <row r="464" ht="15" customHeight="1">
      <c r="A464" t="inlineStr">
        <is>
          <t>A 23495-2023</t>
        </is>
      </c>
      <c r="B464" s="1" t="n">
        <v>45076.71652777777</v>
      </c>
      <c r="C464" s="1" t="n">
        <v>45984</v>
      </c>
      <c r="D464" t="inlineStr">
        <is>
          <t>UPPSALA LÄN</t>
        </is>
      </c>
      <c r="E464" t="inlineStr">
        <is>
          <t>ÖSTHAMMAR</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1063-2025</t>
        </is>
      </c>
      <c r="B465" s="1" t="n">
        <v>45666</v>
      </c>
      <c r="C465" s="1" t="n">
        <v>45984</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5189-2025</t>
        </is>
      </c>
      <c r="B466" s="1" t="n">
        <v>45691</v>
      </c>
      <c r="C466" s="1" t="n">
        <v>45984</v>
      </c>
      <c r="D466" t="inlineStr">
        <is>
          <t>UPPSALA LÄN</t>
        </is>
      </c>
      <c r="E466" t="inlineStr">
        <is>
          <t>ÖSTHAMMAR</t>
        </is>
      </c>
      <c r="F466" t="inlineStr">
        <is>
          <t>Bergvik skog öst AB</t>
        </is>
      </c>
      <c r="G466" t="n">
        <v>24.4</v>
      </c>
      <c r="H466" t="n">
        <v>0</v>
      </c>
      <c r="I466" t="n">
        <v>0</v>
      </c>
      <c r="J466" t="n">
        <v>0</v>
      </c>
      <c r="K466" t="n">
        <v>0</v>
      </c>
      <c r="L466" t="n">
        <v>0</v>
      </c>
      <c r="M466" t="n">
        <v>0</v>
      </c>
      <c r="N466" t="n">
        <v>0</v>
      </c>
      <c r="O466" t="n">
        <v>0</v>
      </c>
      <c r="P466" t="n">
        <v>0</v>
      </c>
      <c r="Q466" t="n">
        <v>0</v>
      </c>
      <c r="R466" s="2" t="inlineStr"/>
    </row>
    <row r="467" ht="15" customHeight="1">
      <c r="A467" t="inlineStr">
        <is>
          <t>A 48977-2025</t>
        </is>
      </c>
      <c r="B467" s="1" t="n">
        <v>45936</v>
      </c>
      <c r="C467" s="1" t="n">
        <v>45984</v>
      </c>
      <c r="D467" t="inlineStr">
        <is>
          <t>UPPSALA LÄN</t>
        </is>
      </c>
      <c r="E467" t="inlineStr">
        <is>
          <t>ÖSTHAMMAR</t>
        </is>
      </c>
      <c r="G467" t="n">
        <v>21.1</v>
      </c>
      <c r="H467" t="n">
        <v>0</v>
      </c>
      <c r="I467" t="n">
        <v>0</v>
      </c>
      <c r="J467" t="n">
        <v>0</v>
      </c>
      <c r="K467" t="n">
        <v>0</v>
      </c>
      <c r="L467" t="n">
        <v>0</v>
      </c>
      <c r="M467" t="n">
        <v>0</v>
      </c>
      <c r="N467" t="n">
        <v>0</v>
      </c>
      <c r="O467" t="n">
        <v>0</v>
      </c>
      <c r="P467" t="n">
        <v>0</v>
      </c>
      <c r="Q467" t="n">
        <v>0</v>
      </c>
      <c r="R467" s="2" t="inlineStr"/>
    </row>
    <row r="468" ht="15" customHeight="1">
      <c r="A468" t="inlineStr">
        <is>
          <t>A 10495-2025</t>
        </is>
      </c>
      <c r="B468" s="1" t="n">
        <v>45721</v>
      </c>
      <c r="C468" s="1" t="n">
        <v>45984</v>
      </c>
      <c r="D468" t="inlineStr">
        <is>
          <t>UPPSALA LÄN</t>
        </is>
      </c>
      <c r="E468" t="inlineStr">
        <is>
          <t>ÖSTHAMMAR</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7118-2023</t>
        </is>
      </c>
      <c r="B469" s="1" t="n">
        <v>44970.39591435185</v>
      </c>
      <c r="C469" s="1" t="n">
        <v>45984</v>
      </c>
      <c r="D469" t="inlineStr">
        <is>
          <t>UPPSALA LÄN</t>
        </is>
      </c>
      <c r="E469" t="inlineStr">
        <is>
          <t>ÖSTHAMMAR</t>
        </is>
      </c>
      <c r="G469" t="n">
        <v>2.1</v>
      </c>
      <c r="H469" t="n">
        <v>0</v>
      </c>
      <c r="I469" t="n">
        <v>0</v>
      </c>
      <c r="J469" t="n">
        <v>0</v>
      </c>
      <c r="K469" t="n">
        <v>0</v>
      </c>
      <c r="L469" t="n">
        <v>0</v>
      </c>
      <c r="M469" t="n">
        <v>0</v>
      </c>
      <c r="N469" t="n">
        <v>0</v>
      </c>
      <c r="O469" t="n">
        <v>0</v>
      </c>
      <c r="P469" t="n">
        <v>0</v>
      </c>
      <c r="Q469" t="n">
        <v>0</v>
      </c>
      <c r="R469" s="2" t="inlineStr"/>
    </row>
    <row r="470" ht="15" customHeight="1">
      <c r="A470" t="inlineStr">
        <is>
          <t>A 37770-2025</t>
        </is>
      </c>
      <c r="B470" s="1" t="n">
        <v>45880.7505787037</v>
      </c>
      <c r="C470" s="1" t="n">
        <v>45984</v>
      </c>
      <c r="D470" t="inlineStr">
        <is>
          <t>UPPSALA LÄN</t>
        </is>
      </c>
      <c r="E470" t="inlineStr">
        <is>
          <t>ÖSTHAMMAR</t>
        </is>
      </c>
      <c r="G470" t="n">
        <v>2.9</v>
      </c>
      <c r="H470" t="n">
        <v>0</v>
      </c>
      <c r="I470" t="n">
        <v>0</v>
      </c>
      <c r="J470" t="n">
        <v>0</v>
      </c>
      <c r="K470" t="n">
        <v>0</v>
      </c>
      <c r="L470" t="n">
        <v>0</v>
      </c>
      <c r="M470" t="n">
        <v>0</v>
      </c>
      <c r="N470" t="n">
        <v>0</v>
      </c>
      <c r="O470" t="n">
        <v>0</v>
      </c>
      <c r="P470" t="n">
        <v>0</v>
      </c>
      <c r="Q470" t="n">
        <v>0</v>
      </c>
      <c r="R470" s="2" t="inlineStr"/>
    </row>
    <row r="471" ht="15" customHeight="1">
      <c r="A471" t="inlineStr">
        <is>
          <t>A 4356-2025</t>
        </is>
      </c>
      <c r="B471" s="1" t="n">
        <v>45686</v>
      </c>
      <c r="C471" s="1" t="n">
        <v>45984</v>
      </c>
      <c r="D471" t="inlineStr">
        <is>
          <t>UPPSALA LÄN</t>
        </is>
      </c>
      <c r="E471" t="inlineStr">
        <is>
          <t>ÖSTHAMMAR</t>
        </is>
      </c>
      <c r="F471" t="inlineStr">
        <is>
          <t>Övriga Aktiebolag</t>
        </is>
      </c>
      <c r="G471" t="n">
        <v>24.6</v>
      </c>
      <c r="H471" t="n">
        <v>0</v>
      </c>
      <c r="I471" t="n">
        <v>0</v>
      </c>
      <c r="J471" t="n">
        <v>0</v>
      </c>
      <c r="K471" t="n">
        <v>0</v>
      </c>
      <c r="L471" t="n">
        <v>0</v>
      </c>
      <c r="M471" t="n">
        <v>0</v>
      </c>
      <c r="N471" t="n">
        <v>0</v>
      </c>
      <c r="O471" t="n">
        <v>0</v>
      </c>
      <c r="P471" t="n">
        <v>0</v>
      </c>
      <c r="Q471" t="n">
        <v>0</v>
      </c>
      <c r="R471" s="2" t="inlineStr"/>
    </row>
    <row r="472" ht="15" customHeight="1">
      <c r="A472" t="inlineStr">
        <is>
          <t>A 17085-2025</t>
        </is>
      </c>
      <c r="B472" s="1" t="n">
        <v>45755.64612268518</v>
      </c>
      <c r="C472" s="1" t="n">
        <v>45984</v>
      </c>
      <c r="D472" t="inlineStr">
        <is>
          <t>UPPSALA LÄN</t>
        </is>
      </c>
      <c r="E472" t="inlineStr">
        <is>
          <t>ÖSTHAMMAR</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56653-2025</t>
        </is>
      </c>
      <c r="B473" s="1" t="n">
        <v>45975.64628472222</v>
      </c>
      <c r="C473" s="1" t="n">
        <v>45984</v>
      </c>
      <c r="D473" t="inlineStr">
        <is>
          <t>UPPSALA LÄN</t>
        </is>
      </c>
      <c r="E473" t="inlineStr">
        <is>
          <t>ÖSTHAMMAR</t>
        </is>
      </c>
      <c r="G473" t="n">
        <v>1.7</v>
      </c>
      <c r="H473" t="n">
        <v>0</v>
      </c>
      <c r="I473" t="n">
        <v>0</v>
      </c>
      <c r="J473" t="n">
        <v>0</v>
      </c>
      <c r="K473" t="n">
        <v>0</v>
      </c>
      <c r="L473" t="n">
        <v>0</v>
      </c>
      <c r="M473" t="n">
        <v>0</v>
      </c>
      <c r="N473" t="n">
        <v>0</v>
      </c>
      <c r="O473" t="n">
        <v>0</v>
      </c>
      <c r="P473" t="n">
        <v>0</v>
      </c>
      <c r="Q473" t="n">
        <v>0</v>
      </c>
      <c r="R473" s="2" t="inlineStr"/>
    </row>
    <row r="474" ht="15" customHeight="1">
      <c r="A474" t="inlineStr">
        <is>
          <t>A 56658-2025</t>
        </is>
      </c>
      <c r="B474" s="1" t="n">
        <v>45975.65431712963</v>
      </c>
      <c r="C474" s="1" t="n">
        <v>45984</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56754-2025</t>
        </is>
      </c>
      <c r="B475" s="1" t="n">
        <v>45978.36700231482</v>
      </c>
      <c r="C475" s="1" t="n">
        <v>45984</v>
      </c>
      <c r="D475" t="inlineStr">
        <is>
          <t>UPPSALA LÄN</t>
        </is>
      </c>
      <c r="E475" t="inlineStr">
        <is>
          <t>ÖSTHAMMAR</t>
        </is>
      </c>
      <c r="G475" t="n">
        <v>0.9</v>
      </c>
      <c r="H475" t="n">
        <v>0</v>
      </c>
      <c r="I475" t="n">
        <v>0</v>
      </c>
      <c r="J475" t="n">
        <v>0</v>
      </c>
      <c r="K475" t="n">
        <v>0</v>
      </c>
      <c r="L475" t="n">
        <v>0</v>
      </c>
      <c r="M475" t="n">
        <v>0</v>
      </c>
      <c r="N475" t="n">
        <v>0</v>
      </c>
      <c r="O475" t="n">
        <v>0</v>
      </c>
      <c r="P475" t="n">
        <v>0</v>
      </c>
      <c r="Q475" t="n">
        <v>0</v>
      </c>
      <c r="R475" s="2" t="inlineStr"/>
    </row>
    <row r="476" ht="15" customHeight="1">
      <c r="A476" t="inlineStr">
        <is>
          <t>A 56518-2025</t>
        </is>
      </c>
      <c r="B476" s="1" t="n">
        <v>45975.4581712963</v>
      </c>
      <c r="C476" s="1" t="n">
        <v>45984</v>
      </c>
      <c r="D476" t="inlineStr">
        <is>
          <t>UPPSALA LÄN</t>
        </is>
      </c>
      <c r="E476" t="inlineStr">
        <is>
          <t>ÖSTHAMMAR</t>
        </is>
      </c>
      <c r="G476" t="n">
        <v>2.7</v>
      </c>
      <c r="H476" t="n">
        <v>0</v>
      </c>
      <c r="I476" t="n">
        <v>0</v>
      </c>
      <c r="J476" t="n">
        <v>0</v>
      </c>
      <c r="K476" t="n">
        <v>0</v>
      </c>
      <c r="L476" t="n">
        <v>0</v>
      </c>
      <c r="M476" t="n">
        <v>0</v>
      </c>
      <c r="N476" t="n">
        <v>0</v>
      </c>
      <c r="O476" t="n">
        <v>0</v>
      </c>
      <c r="P476" t="n">
        <v>0</v>
      </c>
      <c r="Q476" t="n">
        <v>0</v>
      </c>
      <c r="R476" s="2" t="inlineStr"/>
    </row>
    <row r="477" ht="15" customHeight="1">
      <c r="A477" t="inlineStr">
        <is>
          <t>A 56745-2025</t>
        </is>
      </c>
      <c r="B477" s="1" t="n">
        <v>45978.36157407407</v>
      </c>
      <c r="C477" s="1" t="n">
        <v>45984</v>
      </c>
      <c r="D477" t="inlineStr">
        <is>
          <t>UPPSALA LÄN</t>
        </is>
      </c>
      <c r="E477" t="inlineStr">
        <is>
          <t>ÖSTHAMMAR</t>
        </is>
      </c>
      <c r="G477" t="n">
        <v>2.6</v>
      </c>
      <c r="H477" t="n">
        <v>0</v>
      </c>
      <c r="I477" t="n">
        <v>0</v>
      </c>
      <c r="J477" t="n">
        <v>0</v>
      </c>
      <c r="K477" t="n">
        <v>0</v>
      </c>
      <c r="L477" t="n">
        <v>0</v>
      </c>
      <c r="M477" t="n">
        <v>0</v>
      </c>
      <c r="N477" t="n">
        <v>0</v>
      </c>
      <c r="O477" t="n">
        <v>0</v>
      </c>
      <c r="P477" t="n">
        <v>0</v>
      </c>
      <c r="Q477" t="n">
        <v>0</v>
      </c>
      <c r="R477" s="2" t="inlineStr"/>
    </row>
    <row r="478" ht="15" customHeight="1">
      <c r="A478" t="inlineStr">
        <is>
          <t>A 56748-2025</t>
        </is>
      </c>
      <c r="B478" s="1" t="n">
        <v>45978.36412037037</v>
      </c>
      <c r="C478" s="1" t="n">
        <v>45984</v>
      </c>
      <c r="D478" t="inlineStr">
        <is>
          <t>UPPSALA LÄN</t>
        </is>
      </c>
      <c r="E478" t="inlineStr">
        <is>
          <t>ÖSTHAMMAR</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56753-2025</t>
        </is>
      </c>
      <c r="B479" s="1" t="n">
        <v>45978.36677083333</v>
      </c>
      <c r="C479" s="1" t="n">
        <v>45984</v>
      </c>
      <c r="D479" t="inlineStr">
        <is>
          <t>UPPSALA LÄN</t>
        </is>
      </c>
      <c r="E479" t="inlineStr">
        <is>
          <t>ÖSTHAMMAR</t>
        </is>
      </c>
      <c r="F479" t="inlineStr">
        <is>
          <t>Sveaskog</t>
        </is>
      </c>
      <c r="G479" t="n">
        <v>8.6</v>
      </c>
      <c r="H479" t="n">
        <v>0</v>
      </c>
      <c r="I479" t="n">
        <v>0</v>
      </c>
      <c r="J479" t="n">
        <v>0</v>
      </c>
      <c r="K479" t="n">
        <v>0</v>
      </c>
      <c r="L479" t="n">
        <v>0</v>
      </c>
      <c r="M479" t="n">
        <v>0</v>
      </c>
      <c r="N479" t="n">
        <v>0</v>
      </c>
      <c r="O479" t="n">
        <v>0</v>
      </c>
      <c r="P479" t="n">
        <v>0</v>
      </c>
      <c r="Q479" t="n">
        <v>0</v>
      </c>
      <c r="R479" s="2" t="inlineStr"/>
    </row>
    <row r="480" ht="15" customHeight="1">
      <c r="A480" t="inlineStr">
        <is>
          <t>A 56682-2025</t>
        </is>
      </c>
      <c r="B480" s="1" t="n">
        <v>45975</v>
      </c>
      <c r="C480" s="1" t="n">
        <v>45984</v>
      </c>
      <c r="D480" t="inlineStr">
        <is>
          <t>UPPSALA LÄN</t>
        </is>
      </c>
      <c r="E480" t="inlineStr">
        <is>
          <t>ÖSTHAMMAR</t>
        </is>
      </c>
      <c r="G480" t="n">
        <v>3.9</v>
      </c>
      <c r="H480" t="n">
        <v>0</v>
      </c>
      <c r="I480" t="n">
        <v>0</v>
      </c>
      <c r="J480" t="n">
        <v>0</v>
      </c>
      <c r="K480" t="n">
        <v>0</v>
      </c>
      <c r="L480" t="n">
        <v>0</v>
      </c>
      <c r="M480" t="n">
        <v>0</v>
      </c>
      <c r="N480" t="n">
        <v>0</v>
      </c>
      <c r="O480" t="n">
        <v>0</v>
      </c>
      <c r="P480" t="n">
        <v>0</v>
      </c>
      <c r="Q480" t="n">
        <v>0</v>
      </c>
      <c r="R480" s="2" t="inlineStr"/>
    </row>
    <row r="481" ht="15" customHeight="1">
      <c r="A481" t="inlineStr">
        <is>
          <t>A 48654-2025</t>
        </is>
      </c>
      <c r="B481" s="1" t="n">
        <v>45936.55887731481</v>
      </c>
      <c r="C481" s="1" t="n">
        <v>45984</v>
      </c>
      <c r="D481" t="inlineStr">
        <is>
          <t>UPPSALA LÄN</t>
        </is>
      </c>
      <c r="E481" t="inlineStr">
        <is>
          <t>ÖSTHAMMAR</t>
        </is>
      </c>
      <c r="F481" t="inlineStr">
        <is>
          <t>Övriga Aktiebolag</t>
        </is>
      </c>
      <c r="G481" t="n">
        <v>0.7</v>
      </c>
      <c r="H481" t="n">
        <v>0</v>
      </c>
      <c r="I481" t="n">
        <v>0</v>
      </c>
      <c r="J481" t="n">
        <v>0</v>
      </c>
      <c r="K481" t="n">
        <v>0</v>
      </c>
      <c r="L481" t="n">
        <v>0</v>
      </c>
      <c r="M481" t="n">
        <v>0</v>
      </c>
      <c r="N481" t="n">
        <v>0</v>
      </c>
      <c r="O481" t="n">
        <v>0</v>
      </c>
      <c r="P481" t="n">
        <v>0</v>
      </c>
      <c r="Q481" t="n">
        <v>0</v>
      </c>
      <c r="R481" s="2" t="inlineStr"/>
    </row>
    <row r="482" ht="15" customHeight="1">
      <c r="A482" t="inlineStr">
        <is>
          <t>A 32244-2021</t>
        </is>
      </c>
      <c r="B482" s="1" t="n">
        <v>44371.45335648148</v>
      </c>
      <c r="C482" s="1" t="n">
        <v>45984</v>
      </c>
      <c r="D482" t="inlineStr">
        <is>
          <t>UPPSALA LÄN</t>
        </is>
      </c>
      <c r="E482" t="inlineStr">
        <is>
          <t>ÖSTHAMMAR</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33056-2021</t>
        </is>
      </c>
      <c r="B483" s="1" t="n">
        <v>44376.52438657408</v>
      </c>
      <c r="C483" s="1" t="n">
        <v>45984</v>
      </c>
      <c r="D483" t="inlineStr">
        <is>
          <t>UPPSALA LÄN</t>
        </is>
      </c>
      <c r="E483" t="inlineStr">
        <is>
          <t>ÖSTHAMMAR</t>
        </is>
      </c>
      <c r="G483" t="n">
        <v>0.6</v>
      </c>
      <c r="H483" t="n">
        <v>0</v>
      </c>
      <c r="I483" t="n">
        <v>0</v>
      </c>
      <c r="J483" t="n">
        <v>0</v>
      </c>
      <c r="K483" t="n">
        <v>0</v>
      </c>
      <c r="L483" t="n">
        <v>0</v>
      </c>
      <c r="M483" t="n">
        <v>0</v>
      </c>
      <c r="N483" t="n">
        <v>0</v>
      </c>
      <c r="O483" t="n">
        <v>0</v>
      </c>
      <c r="P483" t="n">
        <v>0</v>
      </c>
      <c r="Q483" t="n">
        <v>0</v>
      </c>
      <c r="R483" s="2" t="inlineStr"/>
    </row>
    <row r="484" ht="15" customHeight="1">
      <c r="A484" t="inlineStr">
        <is>
          <t>A 48854-2025</t>
        </is>
      </c>
      <c r="B484" s="1" t="n">
        <v>45937.43274305556</v>
      </c>
      <c r="C484" s="1" t="n">
        <v>45984</v>
      </c>
      <c r="D484" t="inlineStr">
        <is>
          <t>UPPSALA LÄN</t>
        </is>
      </c>
      <c r="E484" t="inlineStr">
        <is>
          <t>ÖSTHAMMAR</t>
        </is>
      </c>
      <c r="F484" t="inlineStr">
        <is>
          <t>Övriga Aktiebolag</t>
        </is>
      </c>
      <c r="G484" t="n">
        <v>18.9</v>
      </c>
      <c r="H484" t="n">
        <v>0</v>
      </c>
      <c r="I484" t="n">
        <v>0</v>
      </c>
      <c r="J484" t="n">
        <v>0</v>
      </c>
      <c r="K484" t="n">
        <v>0</v>
      </c>
      <c r="L484" t="n">
        <v>0</v>
      </c>
      <c r="M484" t="n">
        <v>0</v>
      </c>
      <c r="N484" t="n">
        <v>0</v>
      </c>
      <c r="O484" t="n">
        <v>0</v>
      </c>
      <c r="P484" t="n">
        <v>0</v>
      </c>
      <c r="Q484" t="n">
        <v>0</v>
      </c>
      <c r="R484" s="2" t="inlineStr"/>
    </row>
    <row r="485" ht="15" customHeight="1">
      <c r="A485" t="inlineStr">
        <is>
          <t>A 48857-2025</t>
        </is>
      </c>
      <c r="B485" s="1" t="n">
        <v>45937.43621527778</v>
      </c>
      <c r="C485" s="1" t="n">
        <v>45984</v>
      </c>
      <c r="D485" t="inlineStr">
        <is>
          <t>UPPSALA LÄN</t>
        </is>
      </c>
      <c r="E485" t="inlineStr">
        <is>
          <t>ÖSTHAMMAR</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4292-2025</t>
        </is>
      </c>
      <c r="B486" s="1" t="n">
        <v>45685.66459490741</v>
      </c>
      <c r="C486" s="1" t="n">
        <v>45984</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57248-2025</t>
        </is>
      </c>
      <c r="B487" s="1" t="n">
        <v>45979.635625</v>
      </c>
      <c r="C487" s="1" t="n">
        <v>45984</v>
      </c>
      <c r="D487" t="inlineStr">
        <is>
          <t>UPPSALA LÄN</t>
        </is>
      </c>
      <c r="E487" t="inlineStr">
        <is>
          <t>ÖSTHAMMAR</t>
        </is>
      </c>
      <c r="F487" t="inlineStr">
        <is>
          <t>Bergvik skog öst AB</t>
        </is>
      </c>
      <c r="G487" t="n">
        <v>2.8</v>
      </c>
      <c r="H487" t="n">
        <v>0</v>
      </c>
      <c r="I487" t="n">
        <v>0</v>
      </c>
      <c r="J487" t="n">
        <v>0</v>
      </c>
      <c r="K487" t="n">
        <v>0</v>
      </c>
      <c r="L487" t="n">
        <v>0</v>
      </c>
      <c r="M487" t="n">
        <v>0</v>
      </c>
      <c r="N487" t="n">
        <v>0</v>
      </c>
      <c r="O487" t="n">
        <v>0</v>
      </c>
      <c r="P487" t="n">
        <v>0</v>
      </c>
      <c r="Q487" t="n">
        <v>0</v>
      </c>
      <c r="R487" s="2" t="inlineStr"/>
    </row>
    <row r="488" ht="15" customHeight="1">
      <c r="A488" t="inlineStr">
        <is>
          <t>A 8592-2022</t>
        </is>
      </c>
      <c r="B488" s="1" t="n">
        <v>44613</v>
      </c>
      <c r="C488" s="1" t="n">
        <v>45984</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57156-2025</t>
        </is>
      </c>
      <c r="B489" s="1" t="n">
        <v>45979.51591435185</v>
      </c>
      <c r="C489" s="1" t="n">
        <v>45984</v>
      </c>
      <c r="D489" t="inlineStr">
        <is>
          <t>UPPSALA LÄN</t>
        </is>
      </c>
      <c r="E489" t="inlineStr">
        <is>
          <t>ÖSTHAMMAR</t>
        </is>
      </c>
      <c r="G489" t="n">
        <v>1.8</v>
      </c>
      <c r="H489" t="n">
        <v>0</v>
      </c>
      <c r="I489" t="n">
        <v>0</v>
      </c>
      <c r="J489" t="n">
        <v>0</v>
      </c>
      <c r="K489" t="n">
        <v>0</v>
      </c>
      <c r="L489" t="n">
        <v>0</v>
      </c>
      <c r="M489" t="n">
        <v>0</v>
      </c>
      <c r="N489" t="n">
        <v>0</v>
      </c>
      <c r="O489" t="n">
        <v>0</v>
      </c>
      <c r="P489" t="n">
        <v>0</v>
      </c>
      <c r="Q489" t="n">
        <v>0</v>
      </c>
      <c r="R489" s="2" t="inlineStr"/>
    </row>
    <row r="490" ht="15" customHeight="1">
      <c r="A490" t="inlineStr">
        <is>
          <t>A 57154-2025</t>
        </is>
      </c>
      <c r="B490" s="1" t="n">
        <v>45979.51086805556</v>
      </c>
      <c r="C490" s="1" t="n">
        <v>45984</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3119-2025</t>
        </is>
      </c>
      <c r="B491" s="1" t="n">
        <v>45678</v>
      </c>
      <c r="C491" s="1" t="n">
        <v>45984</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17646-2025</t>
        </is>
      </c>
      <c r="B492" s="1" t="n">
        <v>45758.32872685185</v>
      </c>
      <c r="C492" s="1" t="n">
        <v>45984</v>
      </c>
      <c r="D492" t="inlineStr">
        <is>
          <t>UPPSALA LÄN</t>
        </is>
      </c>
      <c r="E492" t="inlineStr">
        <is>
          <t>ÖSTHAMMAR</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17648-2025</t>
        </is>
      </c>
      <c r="B493" s="1" t="n">
        <v>45758.33064814815</v>
      </c>
      <c r="C493" s="1" t="n">
        <v>45984</v>
      </c>
      <c r="D493" t="inlineStr">
        <is>
          <t>UPPSALA LÄN</t>
        </is>
      </c>
      <c r="E493" t="inlineStr">
        <is>
          <t>ÖSTHAMMAR</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57257-2025</t>
        </is>
      </c>
      <c r="B494" s="1" t="n">
        <v>45979.65149305556</v>
      </c>
      <c r="C494" s="1" t="n">
        <v>45984</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26328-2025</t>
        </is>
      </c>
      <c r="B495" s="1" t="n">
        <v>45805.67305555556</v>
      </c>
      <c r="C495" s="1" t="n">
        <v>45984</v>
      </c>
      <c r="D495" t="inlineStr">
        <is>
          <t>UPPSALA LÄN</t>
        </is>
      </c>
      <c r="E495" t="inlineStr">
        <is>
          <t>ÖSTHAMMAR</t>
        </is>
      </c>
      <c r="G495" t="n">
        <v>1.6</v>
      </c>
      <c r="H495" t="n">
        <v>0</v>
      </c>
      <c r="I495" t="n">
        <v>0</v>
      </c>
      <c r="J495" t="n">
        <v>0</v>
      </c>
      <c r="K495" t="n">
        <v>0</v>
      </c>
      <c r="L495" t="n">
        <v>0</v>
      </c>
      <c r="M495" t="n">
        <v>0</v>
      </c>
      <c r="N495" t="n">
        <v>0</v>
      </c>
      <c r="O495" t="n">
        <v>0</v>
      </c>
      <c r="P495" t="n">
        <v>0</v>
      </c>
      <c r="Q495" t="n">
        <v>0</v>
      </c>
      <c r="R495" s="2" t="inlineStr"/>
    </row>
    <row r="496" ht="15" customHeight="1">
      <c r="A496" t="inlineStr">
        <is>
          <t>A 60047-2021</t>
        </is>
      </c>
      <c r="B496" s="1" t="n">
        <v>44495</v>
      </c>
      <c r="C496" s="1" t="n">
        <v>45984</v>
      </c>
      <c r="D496" t="inlineStr">
        <is>
          <t>UPPSALA LÄN</t>
        </is>
      </c>
      <c r="E496" t="inlineStr">
        <is>
          <t>ÖSTHAMMAR</t>
        </is>
      </c>
      <c r="F496" t="inlineStr">
        <is>
          <t>Övriga Aktiebolag</t>
        </is>
      </c>
      <c r="G496" t="n">
        <v>1.8</v>
      </c>
      <c r="H496" t="n">
        <v>0</v>
      </c>
      <c r="I496" t="n">
        <v>0</v>
      </c>
      <c r="J496" t="n">
        <v>0</v>
      </c>
      <c r="K496" t="n">
        <v>0</v>
      </c>
      <c r="L496" t="n">
        <v>0</v>
      </c>
      <c r="M496" t="n">
        <v>0</v>
      </c>
      <c r="N496" t="n">
        <v>0</v>
      </c>
      <c r="O496" t="n">
        <v>0</v>
      </c>
      <c r="P496" t="n">
        <v>0</v>
      </c>
      <c r="Q496" t="n">
        <v>0</v>
      </c>
      <c r="R496" s="2" t="inlineStr"/>
    </row>
    <row r="497" ht="15" customHeight="1">
      <c r="A497" t="inlineStr">
        <is>
          <t>A 18401-2025</t>
        </is>
      </c>
      <c r="B497" s="1" t="n">
        <v>45762.5966087963</v>
      </c>
      <c r="C497" s="1" t="n">
        <v>45984</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30086-2023</t>
        </is>
      </c>
      <c r="B498" s="1" t="n">
        <v>45110.43907407407</v>
      </c>
      <c r="C498" s="1" t="n">
        <v>45984</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57908-2025</t>
        </is>
      </c>
      <c r="B499" s="1" t="n">
        <v>45981.78886574074</v>
      </c>
      <c r="C499" s="1" t="n">
        <v>45984</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11008-2023</t>
        </is>
      </c>
      <c r="B500" s="1" t="n">
        <v>44991</v>
      </c>
      <c r="C500" s="1" t="n">
        <v>45984</v>
      </c>
      <c r="D500" t="inlineStr">
        <is>
          <t>UPPSALA LÄN</t>
        </is>
      </c>
      <c r="E500" t="inlineStr">
        <is>
          <t>ÖSTHAMMAR</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13771-2023</t>
        </is>
      </c>
      <c r="B501" s="1" t="n">
        <v>45007</v>
      </c>
      <c r="C501" s="1" t="n">
        <v>45984</v>
      </c>
      <c r="D501" t="inlineStr">
        <is>
          <t>UPPSALA LÄN</t>
        </is>
      </c>
      <c r="E501" t="inlineStr">
        <is>
          <t>ÖSTHAMMAR</t>
        </is>
      </c>
      <c r="G501" t="n">
        <v>2.7</v>
      </c>
      <c r="H501" t="n">
        <v>0</v>
      </c>
      <c r="I501" t="n">
        <v>0</v>
      </c>
      <c r="J501" t="n">
        <v>0</v>
      </c>
      <c r="K501" t="n">
        <v>0</v>
      </c>
      <c r="L501" t="n">
        <v>0</v>
      </c>
      <c r="M501" t="n">
        <v>0</v>
      </c>
      <c r="N501" t="n">
        <v>0</v>
      </c>
      <c r="O501" t="n">
        <v>0</v>
      </c>
      <c r="P501" t="n">
        <v>0</v>
      </c>
      <c r="Q501" t="n">
        <v>0</v>
      </c>
      <c r="R501" s="2" t="inlineStr"/>
    </row>
    <row r="502" ht="15" customHeight="1">
      <c r="A502" t="inlineStr">
        <is>
          <t>A 49773-2025</t>
        </is>
      </c>
      <c r="B502" s="1" t="n">
        <v>45940.37303240741</v>
      </c>
      <c r="C502" s="1" t="n">
        <v>45984</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47020-2025</t>
        </is>
      </c>
      <c r="B503" s="1" t="n">
        <v>45929.5775</v>
      </c>
      <c r="C503" s="1" t="n">
        <v>45984</v>
      </c>
      <c r="D503" t="inlineStr">
        <is>
          <t>UPPSALA LÄN</t>
        </is>
      </c>
      <c r="E503" t="inlineStr">
        <is>
          <t>ÖSTHAMMAR</t>
        </is>
      </c>
      <c r="G503" t="n">
        <v>2.1</v>
      </c>
      <c r="H503" t="n">
        <v>0</v>
      </c>
      <c r="I503" t="n">
        <v>0</v>
      </c>
      <c r="J503" t="n">
        <v>0</v>
      </c>
      <c r="K503" t="n">
        <v>0</v>
      </c>
      <c r="L503" t="n">
        <v>0</v>
      </c>
      <c r="M503" t="n">
        <v>0</v>
      </c>
      <c r="N503" t="n">
        <v>0</v>
      </c>
      <c r="O503" t="n">
        <v>0</v>
      </c>
      <c r="P503" t="n">
        <v>0</v>
      </c>
      <c r="Q503" t="n">
        <v>0</v>
      </c>
      <c r="R503" s="2" t="inlineStr"/>
    </row>
    <row r="504" ht="15" customHeight="1">
      <c r="A504" t="inlineStr">
        <is>
          <t>A 57907-2025</t>
        </is>
      </c>
      <c r="B504" s="1" t="n">
        <v>45981.78840277778</v>
      </c>
      <c r="C504" s="1" t="n">
        <v>45984</v>
      </c>
      <c r="D504" t="inlineStr">
        <is>
          <t>UPPSALA LÄN</t>
        </is>
      </c>
      <c r="E504" t="inlineStr">
        <is>
          <t>ÖSTHAMMAR</t>
        </is>
      </c>
      <c r="F504" t="inlineStr">
        <is>
          <t>Bergvik skog öst AB</t>
        </is>
      </c>
      <c r="G504" t="n">
        <v>2.9</v>
      </c>
      <c r="H504" t="n">
        <v>0</v>
      </c>
      <c r="I504" t="n">
        <v>0</v>
      </c>
      <c r="J504" t="n">
        <v>0</v>
      </c>
      <c r="K504" t="n">
        <v>0</v>
      </c>
      <c r="L504" t="n">
        <v>0</v>
      </c>
      <c r="M504" t="n">
        <v>0</v>
      </c>
      <c r="N504" t="n">
        <v>0</v>
      </c>
      <c r="O504" t="n">
        <v>0</v>
      </c>
      <c r="P504" t="n">
        <v>0</v>
      </c>
      <c r="Q504" t="n">
        <v>0</v>
      </c>
      <c r="R504" s="2" t="inlineStr"/>
    </row>
    <row r="505" ht="15" customHeight="1">
      <c r="A505" t="inlineStr">
        <is>
          <t>A 51379-2025</t>
        </is>
      </c>
      <c r="B505" s="1" t="n">
        <v>45950.45677083333</v>
      </c>
      <c r="C505" s="1" t="n">
        <v>45984</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49620-2025</t>
        </is>
      </c>
      <c r="B506" s="1" t="n">
        <v>45939.58928240741</v>
      </c>
      <c r="C506" s="1" t="n">
        <v>45984</v>
      </c>
      <c r="D506" t="inlineStr">
        <is>
          <t>UPPSALA LÄN</t>
        </is>
      </c>
      <c r="E506" t="inlineStr">
        <is>
          <t>ÖSTHAMMAR</t>
        </is>
      </c>
      <c r="G506" t="n">
        <v>1.5</v>
      </c>
      <c r="H506" t="n">
        <v>0</v>
      </c>
      <c r="I506" t="n">
        <v>0</v>
      </c>
      <c r="J506" t="n">
        <v>0</v>
      </c>
      <c r="K506" t="n">
        <v>0</v>
      </c>
      <c r="L506" t="n">
        <v>0</v>
      </c>
      <c r="M506" t="n">
        <v>0</v>
      </c>
      <c r="N506" t="n">
        <v>0</v>
      </c>
      <c r="O506" t="n">
        <v>0</v>
      </c>
      <c r="P506" t="n">
        <v>0</v>
      </c>
      <c r="Q506" t="n">
        <v>0</v>
      </c>
      <c r="R506" s="2" t="inlineStr"/>
    </row>
    <row r="507" ht="15" customHeight="1">
      <c r="A507" t="inlineStr">
        <is>
          <t>A 58324-2023</t>
        </is>
      </c>
      <c r="B507" s="1" t="n">
        <v>45250.58635416667</v>
      </c>
      <c r="C507" s="1" t="n">
        <v>45984</v>
      </c>
      <c r="D507" t="inlineStr">
        <is>
          <t>UPPSALA LÄN</t>
        </is>
      </c>
      <c r="E507" t="inlineStr">
        <is>
          <t>ÖSTHAMMAR</t>
        </is>
      </c>
      <c r="G507" t="n">
        <v>5.1</v>
      </c>
      <c r="H507" t="n">
        <v>0</v>
      </c>
      <c r="I507" t="n">
        <v>0</v>
      </c>
      <c r="J507" t="n">
        <v>0</v>
      </c>
      <c r="K507" t="n">
        <v>0</v>
      </c>
      <c r="L507" t="n">
        <v>0</v>
      </c>
      <c r="M507" t="n">
        <v>0</v>
      </c>
      <c r="N507" t="n">
        <v>0</v>
      </c>
      <c r="O507" t="n">
        <v>0</v>
      </c>
      <c r="P507" t="n">
        <v>0</v>
      </c>
      <c r="Q507" t="n">
        <v>0</v>
      </c>
      <c r="R507" s="2" t="inlineStr"/>
    </row>
    <row r="508" ht="15" customHeight="1">
      <c r="A508" t="inlineStr">
        <is>
          <t>A 69411-2021</t>
        </is>
      </c>
      <c r="B508" s="1" t="n">
        <v>44531.61038194445</v>
      </c>
      <c r="C508" s="1" t="n">
        <v>45984</v>
      </c>
      <c r="D508" t="inlineStr">
        <is>
          <t>UPPSALA LÄN</t>
        </is>
      </c>
      <c r="E508" t="inlineStr">
        <is>
          <t>ÖSTHAMMAR</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49831-2023</t>
        </is>
      </c>
      <c r="B509" s="1" t="n">
        <v>45212.71241898148</v>
      </c>
      <c r="C509" s="1" t="n">
        <v>45984</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49899-2023</t>
        </is>
      </c>
      <c r="B510" s="1" t="n">
        <v>45213</v>
      </c>
      <c r="C510" s="1" t="n">
        <v>45984</v>
      </c>
      <c r="D510" t="inlineStr">
        <is>
          <t>UPPSALA LÄN</t>
        </is>
      </c>
      <c r="E510" t="inlineStr">
        <is>
          <t>ÖSTHAMMAR</t>
        </is>
      </c>
      <c r="G510" t="n">
        <v>6.2</v>
      </c>
      <c r="H510" t="n">
        <v>0</v>
      </c>
      <c r="I510" t="n">
        <v>0</v>
      </c>
      <c r="J510" t="n">
        <v>0</v>
      </c>
      <c r="K510" t="n">
        <v>0</v>
      </c>
      <c r="L510" t="n">
        <v>0</v>
      </c>
      <c r="M510" t="n">
        <v>0</v>
      </c>
      <c r="N510" t="n">
        <v>0</v>
      </c>
      <c r="O510" t="n">
        <v>0</v>
      </c>
      <c r="P510" t="n">
        <v>0</v>
      </c>
      <c r="Q510" t="n">
        <v>0</v>
      </c>
      <c r="R510" s="2" t="inlineStr"/>
    </row>
    <row r="511" ht="15" customHeight="1">
      <c r="A511" t="inlineStr">
        <is>
          <t>A 17939-2025</t>
        </is>
      </c>
      <c r="B511" s="1" t="n">
        <v>45760.55671296296</v>
      </c>
      <c r="C511" s="1" t="n">
        <v>45984</v>
      </c>
      <c r="D511" t="inlineStr">
        <is>
          <t>UPPSALA LÄN</t>
        </is>
      </c>
      <c r="E511" t="inlineStr">
        <is>
          <t>ÖSTHAMMAR</t>
        </is>
      </c>
      <c r="F511" t="inlineStr">
        <is>
          <t>Bergvik skog öst AB</t>
        </is>
      </c>
      <c r="G511" t="n">
        <v>5.4</v>
      </c>
      <c r="H511" t="n">
        <v>0</v>
      </c>
      <c r="I511" t="n">
        <v>0</v>
      </c>
      <c r="J511" t="n">
        <v>0</v>
      </c>
      <c r="K511" t="n">
        <v>0</v>
      </c>
      <c r="L511" t="n">
        <v>0</v>
      </c>
      <c r="M511" t="n">
        <v>0</v>
      </c>
      <c r="N511" t="n">
        <v>0</v>
      </c>
      <c r="O511" t="n">
        <v>0</v>
      </c>
      <c r="P511" t="n">
        <v>0</v>
      </c>
      <c r="Q511" t="n">
        <v>0</v>
      </c>
      <c r="R511" s="2" t="inlineStr"/>
    </row>
    <row r="512" ht="15" customHeight="1">
      <c r="A512" t="inlineStr">
        <is>
          <t>A 17940-2025</t>
        </is>
      </c>
      <c r="B512" s="1" t="n">
        <v>45760.55842592593</v>
      </c>
      <c r="C512" s="1" t="n">
        <v>45984</v>
      </c>
      <c r="D512" t="inlineStr">
        <is>
          <t>UPPSALA LÄN</t>
        </is>
      </c>
      <c r="E512" t="inlineStr">
        <is>
          <t>ÖSTHAMMAR</t>
        </is>
      </c>
      <c r="F512" t="inlineStr">
        <is>
          <t>Bergvik skog öst AB</t>
        </is>
      </c>
      <c r="G512" t="n">
        <v>5.6</v>
      </c>
      <c r="H512" t="n">
        <v>0</v>
      </c>
      <c r="I512" t="n">
        <v>0</v>
      </c>
      <c r="J512" t="n">
        <v>0</v>
      </c>
      <c r="K512" t="n">
        <v>0</v>
      </c>
      <c r="L512" t="n">
        <v>0</v>
      </c>
      <c r="M512" t="n">
        <v>0</v>
      </c>
      <c r="N512" t="n">
        <v>0</v>
      </c>
      <c r="O512" t="n">
        <v>0</v>
      </c>
      <c r="P512" t="n">
        <v>0</v>
      </c>
      <c r="Q512" t="n">
        <v>0</v>
      </c>
      <c r="R512" s="2" t="inlineStr"/>
    </row>
    <row r="513" ht="15" customHeight="1">
      <c r="A513" t="inlineStr">
        <is>
          <t>A 5855-2022</t>
        </is>
      </c>
      <c r="B513" s="1" t="n">
        <v>44596.63290509259</v>
      </c>
      <c r="C513" s="1" t="n">
        <v>45984</v>
      </c>
      <c r="D513" t="inlineStr">
        <is>
          <t>UPPSALA LÄN</t>
        </is>
      </c>
      <c r="E513" t="inlineStr">
        <is>
          <t>ÖSTHAMMAR</t>
        </is>
      </c>
      <c r="G513" t="n">
        <v>0.9</v>
      </c>
      <c r="H513" t="n">
        <v>0</v>
      </c>
      <c r="I513" t="n">
        <v>0</v>
      </c>
      <c r="J513" t="n">
        <v>0</v>
      </c>
      <c r="K513" t="n">
        <v>0</v>
      </c>
      <c r="L513" t="n">
        <v>0</v>
      </c>
      <c r="M513" t="n">
        <v>0</v>
      </c>
      <c r="N513" t="n">
        <v>0</v>
      </c>
      <c r="O513" t="n">
        <v>0</v>
      </c>
      <c r="P513" t="n">
        <v>0</v>
      </c>
      <c r="Q513" t="n">
        <v>0</v>
      </c>
      <c r="R513" s="2" t="inlineStr"/>
    </row>
    <row r="514" ht="15" customHeight="1">
      <c r="A514" t="inlineStr">
        <is>
          <t>A 54366-2023</t>
        </is>
      </c>
      <c r="B514" s="1" t="n">
        <v>45233</v>
      </c>
      <c r="C514" s="1" t="n">
        <v>45984</v>
      </c>
      <c r="D514" t="inlineStr">
        <is>
          <t>UPPSALA LÄN</t>
        </is>
      </c>
      <c r="E514" t="inlineStr">
        <is>
          <t>ÖSTHAMMAR</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17643-2025</t>
        </is>
      </c>
      <c r="B515" s="1" t="n">
        <v>45758.32454861111</v>
      </c>
      <c r="C515" s="1" t="n">
        <v>45984</v>
      </c>
      <c r="D515" t="inlineStr">
        <is>
          <t>UPPSALA LÄN</t>
        </is>
      </c>
      <c r="E515" t="inlineStr">
        <is>
          <t>ÖSTHAMMAR</t>
        </is>
      </c>
      <c r="F515" t="inlineStr">
        <is>
          <t>Bergvik skog väst AB</t>
        </is>
      </c>
      <c r="G515" t="n">
        <v>2.6</v>
      </c>
      <c r="H515" t="n">
        <v>0</v>
      </c>
      <c r="I515" t="n">
        <v>0</v>
      </c>
      <c r="J515" t="n">
        <v>0</v>
      </c>
      <c r="K515" t="n">
        <v>0</v>
      </c>
      <c r="L515" t="n">
        <v>0</v>
      </c>
      <c r="M515" t="n">
        <v>0</v>
      </c>
      <c r="N515" t="n">
        <v>0</v>
      </c>
      <c r="O515" t="n">
        <v>0</v>
      </c>
      <c r="P515" t="n">
        <v>0</v>
      </c>
      <c r="Q515" t="n">
        <v>0</v>
      </c>
      <c r="R515" s="2" t="inlineStr"/>
    </row>
    <row r="516" ht="15" customHeight="1">
      <c r="A516" t="inlineStr">
        <is>
          <t>A 13248-2025</t>
        </is>
      </c>
      <c r="B516" s="1" t="n">
        <v>45735</v>
      </c>
      <c r="C516" s="1" t="n">
        <v>45984</v>
      </c>
      <c r="D516" t="inlineStr">
        <is>
          <t>UPPSALA LÄN</t>
        </is>
      </c>
      <c r="E516" t="inlineStr">
        <is>
          <t>ÖSTHAMMAR</t>
        </is>
      </c>
      <c r="F516" t="inlineStr">
        <is>
          <t>Kyrkan</t>
        </is>
      </c>
      <c r="G516" t="n">
        <v>12.2</v>
      </c>
      <c r="H516" t="n">
        <v>0</v>
      </c>
      <c r="I516" t="n">
        <v>0</v>
      </c>
      <c r="J516" t="n">
        <v>0</v>
      </c>
      <c r="K516" t="n">
        <v>0</v>
      </c>
      <c r="L516" t="n">
        <v>0</v>
      </c>
      <c r="M516" t="n">
        <v>0</v>
      </c>
      <c r="N516" t="n">
        <v>0</v>
      </c>
      <c r="O516" t="n">
        <v>0</v>
      </c>
      <c r="P516" t="n">
        <v>0</v>
      </c>
      <c r="Q516" t="n">
        <v>0</v>
      </c>
      <c r="R516" s="2" t="inlineStr"/>
    </row>
    <row r="517" ht="15" customHeight="1">
      <c r="A517" t="inlineStr">
        <is>
          <t>A 51364-2021</t>
        </is>
      </c>
      <c r="B517" s="1" t="n">
        <v>44461</v>
      </c>
      <c r="C517" s="1" t="n">
        <v>45984</v>
      </c>
      <c r="D517" t="inlineStr">
        <is>
          <t>UPPSALA LÄN</t>
        </is>
      </c>
      <c r="E517" t="inlineStr">
        <is>
          <t>ÖSTHAMMAR</t>
        </is>
      </c>
      <c r="G517" t="n">
        <v>2.4</v>
      </c>
      <c r="H517" t="n">
        <v>0</v>
      </c>
      <c r="I517" t="n">
        <v>0</v>
      </c>
      <c r="J517" t="n">
        <v>0</v>
      </c>
      <c r="K517" t="n">
        <v>0</v>
      </c>
      <c r="L517" t="n">
        <v>0</v>
      </c>
      <c r="M517" t="n">
        <v>0</v>
      </c>
      <c r="N517" t="n">
        <v>0</v>
      </c>
      <c r="O517" t="n">
        <v>0</v>
      </c>
      <c r="P517" t="n">
        <v>0</v>
      </c>
      <c r="Q517" t="n">
        <v>0</v>
      </c>
      <c r="R517" s="2" t="inlineStr"/>
    </row>
    <row r="518" ht="15" customHeight="1">
      <c r="A518" t="inlineStr">
        <is>
          <t>A 61062-2023</t>
        </is>
      </c>
      <c r="B518" s="1" t="n">
        <v>45259</v>
      </c>
      <c r="C518" s="1" t="n">
        <v>45984</v>
      </c>
      <c r="D518" t="inlineStr">
        <is>
          <t>UPPSALA LÄN</t>
        </is>
      </c>
      <c r="E518" t="inlineStr">
        <is>
          <t>ÖSTHAMMAR</t>
        </is>
      </c>
      <c r="G518" t="n">
        <v>5.3</v>
      </c>
      <c r="H518" t="n">
        <v>0</v>
      </c>
      <c r="I518" t="n">
        <v>0</v>
      </c>
      <c r="J518" t="n">
        <v>0</v>
      </c>
      <c r="K518" t="n">
        <v>0</v>
      </c>
      <c r="L518" t="n">
        <v>0</v>
      </c>
      <c r="M518" t="n">
        <v>0</v>
      </c>
      <c r="N518" t="n">
        <v>0</v>
      </c>
      <c r="O518" t="n">
        <v>0</v>
      </c>
      <c r="P518" t="n">
        <v>0</v>
      </c>
      <c r="Q518" t="n">
        <v>0</v>
      </c>
      <c r="R518" s="2" t="inlineStr"/>
    </row>
    <row r="519" ht="15" customHeight="1">
      <c r="A519" t="inlineStr">
        <is>
          <t>A 61443-2024</t>
        </is>
      </c>
      <c r="B519" s="1" t="n">
        <v>45646.47936342593</v>
      </c>
      <c r="C519" s="1" t="n">
        <v>45984</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26612-2023</t>
        </is>
      </c>
      <c r="B520" s="1" t="n">
        <v>45089</v>
      </c>
      <c r="C520" s="1" t="n">
        <v>45984</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65361-2020</t>
        </is>
      </c>
      <c r="B521" s="1" t="n">
        <v>44173</v>
      </c>
      <c r="C521" s="1" t="n">
        <v>45984</v>
      </c>
      <c r="D521" t="inlineStr">
        <is>
          <t>UPPSALA LÄN</t>
        </is>
      </c>
      <c r="E521" t="inlineStr">
        <is>
          <t>ÖSTHAMMAR</t>
        </is>
      </c>
      <c r="G521" t="n">
        <v>3.6</v>
      </c>
      <c r="H521" t="n">
        <v>0</v>
      </c>
      <c r="I521" t="n">
        <v>0</v>
      </c>
      <c r="J521" t="n">
        <v>0</v>
      </c>
      <c r="K521" t="n">
        <v>0</v>
      </c>
      <c r="L521" t="n">
        <v>0</v>
      </c>
      <c r="M521" t="n">
        <v>0</v>
      </c>
      <c r="N521" t="n">
        <v>0</v>
      </c>
      <c r="O521" t="n">
        <v>0</v>
      </c>
      <c r="P521" t="n">
        <v>0</v>
      </c>
      <c r="Q521" t="n">
        <v>0</v>
      </c>
      <c r="R521" s="2" t="inlineStr"/>
    </row>
    <row r="522" ht="15" customHeight="1">
      <c r="A522" t="inlineStr">
        <is>
          <t>A 14269-2025</t>
        </is>
      </c>
      <c r="B522" s="1" t="n">
        <v>45740.64078703704</v>
      </c>
      <c r="C522" s="1" t="n">
        <v>45984</v>
      </c>
      <c r="D522" t="inlineStr">
        <is>
          <t>UPPSALA LÄN</t>
        </is>
      </c>
      <c r="E522" t="inlineStr">
        <is>
          <t>ÖSTHAMMAR</t>
        </is>
      </c>
      <c r="G522" t="n">
        <v>1.5</v>
      </c>
      <c r="H522" t="n">
        <v>0</v>
      </c>
      <c r="I522" t="n">
        <v>0</v>
      </c>
      <c r="J522" t="n">
        <v>0</v>
      </c>
      <c r="K522" t="n">
        <v>0</v>
      </c>
      <c r="L522" t="n">
        <v>0</v>
      </c>
      <c r="M522" t="n">
        <v>0</v>
      </c>
      <c r="N522" t="n">
        <v>0</v>
      </c>
      <c r="O522" t="n">
        <v>0</v>
      </c>
      <c r="P522" t="n">
        <v>0</v>
      </c>
      <c r="Q522" t="n">
        <v>0</v>
      </c>
      <c r="R522" s="2" t="inlineStr"/>
    </row>
    <row r="523" ht="15" customHeight="1">
      <c r="A523" t="inlineStr">
        <is>
          <t>A 18088-2025</t>
        </is>
      </c>
      <c r="B523" s="1" t="n">
        <v>45761.53104166667</v>
      </c>
      <c r="C523" s="1" t="n">
        <v>45984</v>
      </c>
      <c r="D523" t="inlineStr">
        <is>
          <t>UPPSALA LÄN</t>
        </is>
      </c>
      <c r="E523" t="inlineStr">
        <is>
          <t>ÖSTHAMMAR</t>
        </is>
      </c>
      <c r="F523" t="inlineStr">
        <is>
          <t>Bergvik skog öst AB</t>
        </is>
      </c>
      <c r="G523" t="n">
        <v>1.9</v>
      </c>
      <c r="H523" t="n">
        <v>0</v>
      </c>
      <c r="I523" t="n">
        <v>0</v>
      </c>
      <c r="J523" t="n">
        <v>0</v>
      </c>
      <c r="K523" t="n">
        <v>0</v>
      </c>
      <c r="L523" t="n">
        <v>0</v>
      </c>
      <c r="M523" t="n">
        <v>0</v>
      </c>
      <c r="N523" t="n">
        <v>0</v>
      </c>
      <c r="O523" t="n">
        <v>0</v>
      </c>
      <c r="P523" t="n">
        <v>0</v>
      </c>
      <c r="Q523" t="n">
        <v>0</v>
      </c>
      <c r="R523" s="2" t="inlineStr"/>
    </row>
    <row r="524" ht="15" customHeight="1">
      <c r="A524" t="inlineStr">
        <is>
          <t>A 18095-2025</t>
        </is>
      </c>
      <c r="B524" s="1" t="n">
        <v>45761.54925925926</v>
      </c>
      <c r="C524" s="1" t="n">
        <v>45984</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16531-2025</t>
        </is>
      </c>
      <c r="B525" s="1" t="n">
        <v>45751</v>
      </c>
      <c r="C525" s="1" t="n">
        <v>45984</v>
      </c>
      <c r="D525" t="inlineStr">
        <is>
          <t>UPPSALA LÄN</t>
        </is>
      </c>
      <c r="E525" t="inlineStr">
        <is>
          <t>ÖSTHAMMAR</t>
        </is>
      </c>
      <c r="G525" t="n">
        <v>3.3</v>
      </c>
      <c r="H525" t="n">
        <v>0</v>
      </c>
      <c r="I525" t="n">
        <v>0</v>
      </c>
      <c r="J525" t="n">
        <v>0</v>
      </c>
      <c r="K525" t="n">
        <v>0</v>
      </c>
      <c r="L525" t="n">
        <v>0</v>
      </c>
      <c r="M525" t="n">
        <v>0</v>
      </c>
      <c r="N525" t="n">
        <v>0</v>
      </c>
      <c r="O525" t="n">
        <v>0</v>
      </c>
      <c r="P525" t="n">
        <v>0</v>
      </c>
      <c r="Q525" t="n">
        <v>0</v>
      </c>
      <c r="R525" s="2" t="inlineStr"/>
    </row>
    <row r="526" ht="15" customHeight="1">
      <c r="A526" t="inlineStr">
        <is>
          <t>A 25897-2023</t>
        </is>
      </c>
      <c r="B526" s="1" t="n">
        <v>45090.63300925926</v>
      </c>
      <c r="C526" s="1" t="n">
        <v>45984</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20046-2023</t>
        </is>
      </c>
      <c r="B527" s="1" t="n">
        <v>45054</v>
      </c>
      <c r="C527" s="1" t="n">
        <v>45984</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41478-2024</t>
        </is>
      </c>
      <c r="B528" s="1" t="n">
        <v>45560.44158564815</v>
      </c>
      <c r="C528" s="1" t="n">
        <v>45984</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3638-2022</t>
        </is>
      </c>
      <c r="B529" s="1" t="n">
        <v>44578</v>
      </c>
      <c r="C529" s="1" t="n">
        <v>45984</v>
      </c>
      <c r="D529" t="inlineStr">
        <is>
          <t>UPPSALA LÄN</t>
        </is>
      </c>
      <c r="E529" t="inlineStr">
        <is>
          <t>ÖSTHAMMAR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17969-2023</t>
        </is>
      </c>
      <c r="B530" s="1" t="n">
        <v>45040.47081018519</v>
      </c>
      <c r="C530" s="1" t="n">
        <v>45984</v>
      </c>
      <c r="D530" t="inlineStr">
        <is>
          <t>UPPSALA LÄN</t>
        </is>
      </c>
      <c r="E530" t="inlineStr">
        <is>
          <t>ÖSTHAMMAR</t>
        </is>
      </c>
      <c r="G530" t="n">
        <v>5.4</v>
      </c>
      <c r="H530" t="n">
        <v>0</v>
      </c>
      <c r="I530" t="n">
        <v>0</v>
      </c>
      <c r="J530" t="n">
        <v>0</v>
      </c>
      <c r="K530" t="n">
        <v>0</v>
      </c>
      <c r="L530" t="n">
        <v>0</v>
      </c>
      <c r="M530" t="n">
        <v>0</v>
      </c>
      <c r="N530" t="n">
        <v>0</v>
      </c>
      <c r="O530" t="n">
        <v>0</v>
      </c>
      <c r="P530" t="n">
        <v>0</v>
      </c>
      <c r="Q530" t="n">
        <v>0</v>
      </c>
      <c r="R530" s="2" t="inlineStr"/>
    </row>
    <row r="531" ht="15" customHeight="1">
      <c r="A531" t="inlineStr">
        <is>
          <t>A 58878-2022</t>
        </is>
      </c>
      <c r="B531" s="1" t="n">
        <v>44903</v>
      </c>
      <c r="C531" s="1" t="n">
        <v>45984</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12528-2024</t>
        </is>
      </c>
      <c r="B532" s="1" t="n">
        <v>45379.61878472222</v>
      </c>
      <c r="C532" s="1" t="n">
        <v>45984</v>
      </c>
      <c r="D532" t="inlineStr">
        <is>
          <t>UPPSALA LÄN</t>
        </is>
      </c>
      <c r="E532" t="inlineStr">
        <is>
          <t>ÖSTHAMMAR</t>
        </is>
      </c>
      <c r="F532" t="inlineStr">
        <is>
          <t>Bergvik skog öst AB</t>
        </is>
      </c>
      <c r="G532" t="n">
        <v>0.4</v>
      </c>
      <c r="H532" t="n">
        <v>0</v>
      </c>
      <c r="I532" t="n">
        <v>0</v>
      </c>
      <c r="J532" t="n">
        <v>0</v>
      </c>
      <c r="K532" t="n">
        <v>0</v>
      </c>
      <c r="L532" t="n">
        <v>0</v>
      </c>
      <c r="M532" t="n">
        <v>0</v>
      </c>
      <c r="N532" t="n">
        <v>0</v>
      </c>
      <c r="O532" t="n">
        <v>0</v>
      </c>
      <c r="P532" t="n">
        <v>0</v>
      </c>
      <c r="Q532" t="n">
        <v>0</v>
      </c>
      <c r="R532" s="2" t="inlineStr"/>
    </row>
    <row r="533" ht="15" customHeight="1">
      <c r="A533" t="inlineStr">
        <is>
          <t>A 4228-2023</t>
        </is>
      </c>
      <c r="B533" s="1" t="n">
        <v>44953.48179398148</v>
      </c>
      <c r="C533" s="1" t="n">
        <v>45984</v>
      </c>
      <c r="D533" t="inlineStr">
        <is>
          <t>UPPSALA LÄN</t>
        </is>
      </c>
      <c r="E533" t="inlineStr">
        <is>
          <t>ÖSTHAMMAR</t>
        </is>
      </c>
      <c r="G533" t="n">
        <v>1</v>
      </c>
      <c r="H533" t="n">
        <v>0</v>
      </c>
      <c r="I533" t="n">
        <v>0</v>
      </c>
      <c r="J533" t="n">
        <v>0</v>
      </c>
      <c r="K533" t="n">
        <v>0</v>
      </c>
      <c r="L533" t="n">
        <v>0</v>
      </c>
      <c r="M533" t="n">
        <v>0</v>
      </c>
      <c r="N533" t="n">
        <v>0</v>
      </c>
      <c r="O533" t="n">
        <v>0</v>
      </c>
      <c r="P533" t="n">
        <v>0</v>
      </c>
      <c r="Q533" t="n">
        <v>0</v>
      </c>
      <c r="R533" s="2" t="inlineStr"/>
    </row>
    <row r="534" ht="15" customHeight="1">
      <c r="A534" t="inlineStr">
        <is>
          <t>A 18091-2023</t>
        </is>
      </c>
      <c r="B534" s="1" t="n">
        <v>45040</v>
      </c>
      <c r="C534" s="1" t="n">
        <v>45984</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66779-2021</t>
        </is>
      </c>
      <c r="B535" s="1" t="n">
        <v>44522.31700231481</v>
      </c>
      <c r="C535" s="1" t="n">
        <v>45984</v>
      </c>
      <c r="D535" t="inlineStr">
        <is>
          <t>UPPSALA LÄN</t>
        </is>
      </c>
      <c r="E535" t="inlineStr">
        <is>
          <t>ÖSTHAMMAR</t>
        </is>
      </c>
      <c r="G535" t="n">
        <v>2</v>
      </c>
      <c r="H535" t="n">
        <v>0</v>
      </c>
      <c r="I535" t="n">
        <v>0</v>
      </c>
      <c r="J535" t="n">
        <v>0</v>
      </c>
      <c r="K535" t="n">
        <v>0</v>
      </c>
      <c r="L535" t="n">
        <v>0</v>
      </c>
      <c r="M535" t="n">
        <v>0</v>
      </c>
      <c r="N535" t="n">
        <v>0</v>
      </c>
      <c r="O535" t="n">
        <v>0</v>
      </c>
      <c r="P535" t="n">
        <v>0</v>
      </c>
      <c r="Q535" t="n">
        <v>0</v>
      </c>
      <c r="R535" s="2" t="inlineStr"/>
    </row>
    <row r="536" ht="15" customHeight="1">
      <c r="A536" t="inlineStr">
        <is>
          <t>A 23197-2023</t>
        </is>
      </c>
      <c r="B536" s="1" t="n">
        <v>45075</v>
      </c>
      <c r="C536" s="1" t="n">
        <v>45984</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60079-2022</t>
        </is>
      </c>
      <c r="B537" s="1" t="n">
        <v>44909</v>
      </c>
      <c r="C537" s="1" t="n">
        <v>45984</v>
      </c>
      <c r="D537" t="inlineStr">
        <is>
          <t>UPPSALA LÄN</t>
        </is>
      </c>
      <c r="E537" t="inlineStr">
        <is>
          <t>ÖSTHAMMAR</t>
        </is>
      </c>
      <c r="G537" t="n">
        <v>9.6</v>
      </c>
      <c r="H537" t="n">
        <v>0</v>
      </c>
      <c r="I537" t="n">
        <v>0</v>
      </c>
      <c r="J537" t="n">
        <v>0</v>
      </c>
      <c r="K537" t="n">
        <v>0</v>
      </c>
      <c r="L537" t="n">
        <v>0</v>
      </c>
      <c r="M537" t="n">
        <v>0</v>
      </c>
      <c r="N537" t="n">
        <v>0</v>
      </c>
      <c r="O537" t="n">
        <v>0</v>
      </c>
      <c r="P537" t="n">
        <v>0</v>
      </c>
      <c r="Q537" t="n">
        <v>0</v>
      </c>
      <c r="R537" s="2" t="inlineStr"/>
    </row>
    <row r="538" ht="15" customHeight="1">
      <c r="A538" t="inlineStr">
        <is>
          <t>A 9267-2024</t>
        </is>
      </c>
      <c r="B538" s="1" t="n">
        <v>45358</v>
      </c>
      <c r="C538" s="1" t="n">
        <v>45984</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33758-2024</t>
        </is>
      </c>
      <c r="B539" s="1" t="n">
        <v>45520.56896990741</v>
      </c>
      <c r="C539" s="1" t="n">
        <v>45984</v>
      </c>
      <c r="D539" t="inlineStr">
        <is>
          <t>UPPSALA LÄN</t>
        </is>
      </c>
      <c r="E539" t="inlineStr">
        <is>
          <t>ÖSTHAMMAR</t>
        </is>
      </c>
      <c r="G539" t="n">
        <v>6.5</v>
      </c>
      <c r="H539" t="n">
        <v>0</v>
      </c>
      <c r="I539" t="n">
        <v>0</v>
      </c>
      <c r="J539" t="n">
        <v>0</v>
      </c>
      <c r="K539" t="n">
        <v>0</v>
      </c>
      <c r="L539" t="n">
        <v>0</v>
      </c>
      <c r="M539" t="n">
        <v>0</v>
      </c>
      <c r="N539" t="n">
        <v>0</v>
      </c>
      <c r="O539" t="n">
        <v>0</v>
      </c>
      <c r="P539" t="n">
        <v>0</v>
      </c>
      <c r="Q539" t="n">
        <v>0</v>
      </c>
      <c r="R539" s="2" t="inlineStr"/>
    </row>
    <row r="540" ht="15" customHeight="1">
      <c r="A540" t="inlineStr">
        <is>
          <t>A 35316-2024</t>
        </is>
      </c>
      <c r="B540" s="1" t="n">
        <v>45530.68873842592</v>
      </c>
      <c r="C540" s="1" t="n">
        <v>45984</v>
      </c>
      <c r="D540" t="inlineStr">
        <is>
          <t>UPPSALA LÄN</t>
        </is>
      </c>
      <c r="E540" t="inlineStr">
        <is>
          <t>ÖSTHAMMAR</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38571-2023</t>
        </is>
      </c>
      <c r="B541" s="1" t="n">
        <v>45162.6177662037</v>
      </c>
      <c r="C541" s="1" t="n">
        <v>45984</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7560-2023</t>
        </is>
      </c>
      <c r="B542" s="1" t="n">
        <v>44972.34811342593</v>
      </c>
      <c r="C542" s="1" t="n">
        <v>45984</v>
      </c>
      <c r="D542" t="inlineStr">
        <is>
          <t>UPPSALA LÄN</t>
        </is>
      </c>
      <c r="E542" t="inlineStr">
        <is>
          <t>ÖSTHAMMAR</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44184-2024</t>
        </is>
      </c>
      <c r="B543" s="1" t="n">
        <v>45572</v>
      </c>
      <c r="C543" s="1" t="n">
        <v>45984</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48083-2024</t>
        </is>
      </c>
      <c r="B544" s="1" t="n">
        <v>45589.58766203704</v>
      </c>
      <c r="C544" s="1" t="n">
        <v>45984</v>
      </c>
      <c r="D544" t="inlineStr">
        <is>
          <t>UPPSALA LÄN</t>
        </is>
      </c>
      <c r="E544" t="inlineStr">
        <is>
          <t>ÖSTHAMMAR</t>
        </is>
      </c>
      <c r="G544" t="n">
        <v>3</v>
      </c>
      <c r="H544" t="n">
        <v>0</v>
      </c>
      <c r="I544" t="n">
        <v>0</v>
      </c>
      <c r="J544" t="n">
        <v>0</v>
      </c>
      <c r="K544" t="n">
        <v>0</v>
      </c>
      <c r="L544" t="n">
        <v>0</v>
      </c>
      <c r="M544" t="n">
        <v>0</v>
      </c>
      <c r="N544" t="n">
        <v>0</v>
      </c>
      <c r="O544" t="n">
        <v>0</v>
      </c>
      <c r="P544" t="n">
        <v>0</v>
      </c>
      <c r="Q544" t="n">
        <v>0</v>
      </c>
      <c r="R544" s="2" t="inlineStr"/>
    </row>
    <row r="545" ht="15" customHeight="1">
      <c r="A545" t="inlineStr">
        <is>
          <t>A 74436-2021</t>
        </is>
      </c>
      <c r="B545" s="1" t="n">
        <v>44560.4502199074</v>
      </c>
      <c r="C545" s="1" t="n">
        <v>45984</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32778-2023</t>
        </is>
      </c>
      <c r="B546" s="1" t="n">
        <v>45123.88789351852</v>
      </c>
      <c r="C546" s="1" t="n">
        <v>45984</v>
      </c>
      <c r="D546" t="inlineStr">
        <is>
          <t>UPPSALA LÄN</t>
        </is>
      </c>
      <c r="E546" t="inlineStr">
        <is>
          <t>ÖSTHAMMAR</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33680-2024</t>
        </is>
      </c>
      <c r="B547" s="1" t="n">
        <v>45520.50712962963</v>
      </c>
      <c r="C547" s="1" t="n">
        <v>45984</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7944-2023</t>
        </is>
      </c>
      <c r="B548" s="1" t="n">
        <v>44973.66458333333</v>
      </c>
      <c r="C548" s="1" t="n">
        <v>45984</v>
      </c>
      <c r="D548" t="inlineStr">
        <is>
          <t>UPPSALA LÄN</t>
        </is>
      </c>
      <c r="E548" t="inlineStr">
        <is>
          <t>ÖSTHAMMAR</t>
        </is>
      </c>
      <c r="G548" t="n">
        <v>4.6</v>
      </c>
      <c r="H548" t="n">
        <v>0</v>
      </c>
      <c r="I548" t="n">
        <v>0</v>
      </c>
      <c r="J548" t="n">
        <v>0</v>
      </c>
      <c r="K548" t="n">
        <v>0</v>
      </c>
      <c r="L548" t="n">
        <v>0</v>
      </c>
      <c r="M548" t="n">
        <v>0</v>
      </c>
      <c r="N548" t="n">
        <v>0</v>
      </c>
      <c r="O548" t="n">
        <v>0</v>
      </c>
      <c r="P548" t="n">
        <v>0</v>
      </c>
      <c r="Q548" t="n">
        <v>0</v>
      </c>
      <c r="R548" s="2" t="inlineStr"/>
    </row>
    <row r="549" ht="15" customHeight="1">
      <c r="A549" t="inlineStr">
        <is>
          <t>A 8616-2023</t>
        </is>
      </c>
      <c r="B549" s="1" t="n">
        <v>44977</v>
      </c>
      <c r="C549" s="1" t="n">
        <v>45984</v>
      </c>
      <c r="D549" t="inlineStr">
        <is>
          <t>UPPSALA LÄN</t>
        </is>
      </c>
      <c r="E549" t="inlineStr">
        <is>
          <t>ÖSTHAMMAR</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1567-2025</t>
        </is>
      </c>
      <c r="B550" s="1" t="n">
        <v>45670</v>
      </c>
      <c r="C550" s="1" t="n">
        <v>45984</v>
      </c>
      <c r="D550" t="inlineStr">
        <is>
          <t>UPPSALA LÄN</t>
        </is>
      </c>
      <c r="E550" t="inlineStr">
        <is>
          <t>ÖSTHAMMAR</t>
        </is>
      </c>
      <c r="G550" t="n">
        <v>2.8</v>
      </c>
      <c r="H550" t="n">
        <v>0</v>
      </c>
      <c r="I550" t="n">
        <v>0</v>
      </c>
      <c r="J550" t="n">
        <v>0</v>
      </c>
      <c r="K550" t="n">
        <v>0</v>
      </c>
      <c r="L550" t="n">
        <v>0</v>
      </c>
      <c r="M550" t="n">
        <v>0</v>
      </c>
      <c r="N550" t="n">
        <v>0</v>
      </c>
      <c r="O550" t="n">
        <v>0</v>
      </c>
      <c r="P550" t="n">
        <v>0</v>
      </c>
      <c r="Q550" t="n">
        <v>0</v>
      </c>
      <c r="R550" s="2" t="inlineStr"/>
    </row>
    <row r="551" ht="15" customHeight="1">
      <c r="A551" t="inlineStr">
        <is>
          <t>A 46785-2023</t>
        </is>
      </c>
      <c r="B551" s="1" t="n">
        <v>45198</v>
      </c>
      <c r="C551" s="1" t="n">
        <v>45984</v>
      </c>
      <c r="D551" t="inlineStr">
        <is>
          <t>UPPSALA LÄN</t>
        </is>
      </c>
      <c r="E551" t="inlineStr">
        <is>
          <t>ÖSTHAMMAR</t>
        </is>
      </c>
      <c r="G551" t="n">
        <v>1.6</v>
      </c>
      <c r="H551" t="n">
        <v>0</v>
      </c>
      <c r="I551" t="n">
        <v>0</v>
      </c>
      <c r="J551" t="n">
        <v>0</v>
      </c>
      <c r="K551" t="n">
        <v>0</v>
      </c>
      <c r="L551" t="n">
        <v>0</v>
      </c>
      <c r="M551" t="n">
        <v>0</v>
      </c>
      <c r="N551" t="n">
        <v>0</v>
      </c>
      <c r="O551" t="n">
        <v>0</v>
      </c>
      <c r="P551" t="n">
        <v>0</v>
      </c>
      <c r="Q551" t="n">
        <v>0</v>
      </c>
      <c r="R551" s="2" t="inlineStr"/>
    </row>
    <row r="552" ht="15" customHeight="1">
      <c r="A552" t="inlineStr">
        <is>
          <t>A 73965-2021</t>
        </is>
      </c>
      <c r="B552" s="1" t="n">
        <v>44553.80824074074</v>
      </c>
      <c r="C552" s="1" t="n">
        <v>45984</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73592-2021</t>
        </is>
      </c>
      <c r="B553" s="1" t="n">
        <v>44552.36974537037</v>
      </c>
      <c r="C553" s="1" t="n">
        <v>45984</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31479-2023</t>
        </is>
      </c>
      <c r="B554" s="1" t="n">
        <v>45114.79793981482</v>
      </c>
      <c r="C554" s="1" t="n">
        <v>45984</v>
      </c>
      <c r="D554" t="inlineStr">
        <is>
          <t>UPPSALA LÄN</t>
        </is>
      </c>
      <c r="E554" t="inlineStr">
        <is>
          <t>ÖSTHAMMAR</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24128-2023</t>
        </is>
      </c>
      <c r="B555" s="1" t="n">
        <v>45079.50289351852</v>
      </c>
      <c r="C555" s="1" t="n">
        <v>45984</v>
      </c>
      <c r="D555" t="inlineStr">
        <is>
          <t>UPPSALA LÄN</t>
        </is>
      </c>
      <c r="E555" t="inlineStr">
        <is>
          <t>ÖSTHAMMAR</t>
        </is>
      </c>
      <c r="G555" t="n">
        <v>0.6</v>
      </c>
      <c r="H555" t="n">
        <v>0</v>
      </c>
      <c r="I555" t="n">
        <v>0</v>
      </c>
      <c r="J555" t="n">
        <v>0</v>
      </c>
      <c r="K555" t="n">
        <v>0</v>
      </c>
      <c r="L555" t="n">
        <v>0</v>
      </c>
      <c r="M555" t="n">
        <v>0</v>
      </c>
      <c r="N555" t="n">
        <v>0</v>
      </c>
      <c r="O555" t="n">
        <v>0</v>
      </c>
      <c r="P555" t="n">
        <v>0</v>
      </c>
      <c r="Q555" t="n">
        <v>0</v>
      </c>
      <c r="R555" s="2" t="inlineStr"/>
    </row>
    <row r="556" ht="15" customHeight="1">
      <c r="A556" t="inlineStr">
        <is>
          <t>A 35918-2023</t>
        </is>
      </c>
      <c r="B556" s="1" t="n">
        <v>45148.64976851852</v>
      </c>
      <c r="C556" s="1" t="n">
        <v>45984</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4004-2023</t>
        </is>
      </c>
      <c r="B557" s="1" t="n">
        <v>44952</v>
      </c>
      <c r="C557" s="1" t="n">
        <v>45984</v>
      </c>
      <c r="D557" t="inlineStr">
        <is>
          <t>UPPSALA LÄN</t>
        </is>
      </c>
      <c r="E557" t="inlineStr">
        <is>
          <t>ÖSTHAMMAR</t>
        </is>
      </c>
      <c r="G557" t="n">
        <v>4.1</v>
      </c>
      <c r="H557" t="n">
        <v>0</v>
      </c>
      <c r="I557" t="n">
        <v>0</v>
      </c>
      <c r="J557" t="n">
        <v>0</v>
      </c>
      <c r="K557" t="n">
        <v>0</v>
      </c>
      <c r="L557" t="n">
        <v>0</v>
      </c>
      <c r="M557" t="n">
        <v>0</v>
      </c>
      <c r="N557" t="n">
        <v>0</v>
      </c>
      <c r="O557" t="n">
        <v>0</v>
      </c>
      <c r="P557" t="n">
        <v>0</v>
      </c>
      <c r="Q557" t="n">
        <v>0</v>
      </c>
      <c r="R557" s="2" t="inlineStr"/>
    </row>
    <row r="558" ht="15" customHeight="1">
      <c r="A558" t="inlineStr">
        <is>
          <t>A 1527-2025</t>
        </is>
      </c>
      <c r="B558" s="1" t="n">
        <v>45670</v>
      </c>
      <c r="C558" s="1" t="n">
        <v>45984</v>
      </c>
      <c r="D558" t="inlineStr">
        <is>
          <t>UPPSALA LÄN</t>
        </is>
      </c>
      <c r="E558" t="inlineStr">
        <is>
          <t>ÖSTHAMMAR</t>
        </is>
      </c>
      <c r="F558" t="inlineStr">
        <is>
          <t>Bergvik skog öst AB</t>
        </is>
      </c>
      <c r="G558" t="n">
        <v>7.7</v>
      </c>
      <c r="H558" t="n">
        <v>0</v>
      </c>
      <c r="I558" t="n">
        <v>0</v>
      </c>
      <c r="J558" t="n">
        <v>0</v>
      </c>
      <c r="K558" t="n">
        <v>0</v>
      </c>
      <c r="L558" t="n">
        <v>0</v>
      </c>
      <c r="M558" t="n">
        <v>0</v>
      </c>
      <c r="N558" t="n">
        <v>0</v>
      </c>
      <c r="O558" t="n">
        <v>0</v>
      </c>
      <c r="P558" t="n">
        <v>0</v>
      </c>
      <c r="Q558" t="n">
        <v>0</v>
      </c>
      <c r="R558" s="2" t="inlineStr"/>
    </row>
    <row r="559" ht="15" customHeight="1">
      <c r="A559" t="inlineStr">
        <is>
          <t>A 35474-2023</t>
        </is>
      </c>
      <c r="B559" s="1" t="n">
        <v>45146.68921296296</v>
      </c>
      <c r="C559" s="1" t="n">
        <v>45984</v>
      </c>
      <c r="D559" t="inlineStr">
        <is>
          <t>UPPSALA LÄN</t>
        </is>
      </c>
      <c r="E559" t="inlineStr">
        <is>
          <t>ÖSTHAMMAR</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26303-2024</t>
        </is>
      </c>
      <c r="B560" s="1" t="n">
        <v>45468</v>
      </c>
      <c r="C560" s="1" t="n">
        <v>45984</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44152-2024</t>
        </is>
      </c>
      <c r="B561" s="1" t="n">
        <v>45572</v>
      </c>
      <c r="C561" s="1" t="n">
        <v>45984</v>
      </c>
      <c r="D561" t="inlineStr">
        <is>
          <t>UPPSALA LÄN</t>
        </is>
      </c>
      <c r="E561" t="inlineStr">
        <is>
          <t>ÖSTHAMMAR</t>
        </is>
      </c>
      <c r="G561" t="n">
        <v>1.6</v>
      </c>
      <c r="H561" t="n">
        <v>0</v>
      </c>
      <c r="I561" t="n">
        <v>0</v>
      </c>
      <c r="J561" t="n">
        <v>0</v>
      </c>
      <c r="K561" t="n">
        <v>0</v>
      </c>
      <c r="L561" t="n">
        <v>0</v>
      </c>
      <c r="M561" t="n">
        <v>0</v>
      </c>
      <c r="N561" t="n">
        <v>0</v>
      </c>
      <c r="O561" t="n">
        <v>0</v>
      </c>
      <c r="P561" t="n">
        <v>0</v>
      </c>
      <c r="Q561" t="n">
        <v>0</v>
      </c>
      <c r="R561" s="2" t="inlineStr"/>
    </row>
    <row r="562" ht="15" customHeight="1">
      <c r="A562" t="inlineStr">
        <is>
          <t>A 4561-2022</t>
        </is>
      </c>
      <c r="B562" s="1" t="n">
        <v>44591.59170138889</v>
      </c>
      <c r="C562" s="1" t="n">
        <v>45984</v>
      </c>
      <c r="D562" t="inlineStr">
        <is>
          <t>UPPSALA LÄN</t>
        </is>
      </c>
      <c r="E562" t="inlineStr">
        <is>
          <t>ÖSTHAMMAR</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17651-2025</t>
        </is>
      </c>
      <c r="B563" s="1" t="n">
        <v>45758.33304398148</v>
      </c>
      <c r="C563" s="1" t="n">
        <v>45984</v>
      </c>
      <c r="D563" t="inlineStr">
        <is>
          <t>UPPSALA LÄN</t>
        </is>
      </c>
      <c r="E563" t="inlineStr">
        <is>
          <t>ÖSTHAMMAR</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10290-2025</t>
        </is>
      </c>
      <c r="B564" s="1" t="n">
        <v>45720.41847222222</v>
      </c>
      <c r="C564" s="1" t="n">
        <v>45984</v>
      </c>
      <c r="D564" t="inlineStr">
        <is>
          <t>UPPSALA LÄN</t>
        </is>
      </c>
      <c r="E564" t="inlineStr">
        <is>
          <t>ÖSTHAMMAR</t>
        </is>
      </c>
      <c r="G564" t="n">
        <v>8.6</v>
      </c>
      <c r="H564" t="n">
        <v>0</v>
      </c>
      <c r="I564" t="n">
        <v>0</v>
      </c>
      <c r="J564" t="n">
        <v>0</v>
      </c>
      <c r="K564" t="n">
        <v>0</v>
      </c>
      <c r="L564" t="n">
        <v>0</v>
      </c>
      <c r="M564" t="n">
        <v>0</v>
      </c>
      <c r="N564" t="n">
        <v>0</v>
      </c>
      <c r="O564" t="n">
        <v>0</v>
      </c>
      <c r="P564" t="n">
        <v>0</v>
      </c>
      <c r="Q564" t="n">
        <v>0</v>
      </c>
      <c r="R564" s="2" t="inlineStr"/>
    </row>
    <row r="565" ht="15" customHeight="1">
      <c r="A565" t="inlineStr">
        <is>
          <t>A 45102-2024</t>
        </is>
      </c>
      <c r="B565" s="1" t="n">
        <v>45575.58836805556</v>
      </c>
      <c r="C565" s="1" t="n">
        <v>45984</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45307-2023</t>
        </is>
      </c>
      <c r="B566" s="1" t="n">
        <v>45191</v>
      </c>
      <c r="C566" s="1" t="n">
        <v>45984</v>
      </c>
      <c r="D566" t="inlineStr">
        <is>
          <t>UPPSALA LÄN</t>
        </is>
      </c>
      <c r="E566" t="inlineStr">
        <is>
          <t>ÖSTHAMMAR</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6661-2024</t>
        </is>
      </c>
      <c r="B567" s="1" t="n">
        <v>45341.70582175926</v>
      </c>
      <c r="C567" s="1" t="n">
        <v>45984</v>
      </c>
      <c r="D567" t="inlineStr">
        <is>
          <t>UPPSALA LÄN</t>
        </is>
      </c>
      <c r="E567" t="inlineStr">
        <is>
          <t>ÖSTHAMMAR</t>
        </is>
      </c>
      <c r="G567" t="n">
        <v>0.2</v>
      </c>
      <c r="H567" t="n">
        <v>0</v>
      </c>
      <c r="I567" t="n">
        <v>0</v>
      </c>
      <c r="J567" t="n">
        <v>0</v>
      </c>
      <c r="K567" t="n">
        <v>0</v>
      </c>
      <c r="L567" t="n">
        <v>0</v>
      </c>
      <c r="M567" t="n">
        <v>0</v>
      </c>
      <c r="N567" t="n">
        <v>0</v>
      </c>
      <c r="O567" t="n">
        <v>0</v>
      </c>
      <c r="P567" t="n">
        <v>0</v>
      </c>
      <c r="Q567" t="n">
        <v>0</v>
      </c>
      <c r="R567" s="2" t="inlineStr"/>
    </row>
    <row r="568" ht="15" customHeight="1">
      <c r="A568" t="inlineStr">
        <is>
          <t>A 4101-2022</t>
        </is>
      </c>
      <c r="B568" s="1" t="n">
        <v>44588</v>
      </c>
      <c r="C568" s="1" t="n">
        <v>45984</v>
      </c>
      <c r="D568" t="inlineStr">
        <is>
          <t>UPPSALA LÄN</t>
        </is>
      </c>
      <c r="E568" t="inlineStr">
        <is>
          <t>ÖSTHAMMAR</t>
        </is>
      </c>
      <c r="G568" t="n">
        <v>4.4</v>
      </c>
      <c r="H568" t="n">
        <v>0</v>
      </c>
      <c r="I568" t="n">
        <v>0</v>
      </c>
      <c r="J568" t="n">
        <v>0</v>
      </c>
      <c r="K568" t="n">
        <v>0</v>
      </c>
      <c r="L568" t="n">
        <v>0</v>
      </c>
      <c r="M568" t="n">
        <v>0</v>
      </c>
      <c r="N568" t="n">
        <v>0</v>
      </c>
      <c r="O568" t="n">
        <v>0</v>
      </c>
      <c r="P568" t="n">
        <v>0</v>
      </c>
      <c r="Q568" t="n">
        <v>0</v>
      </c>
      <c r="R568" s="2" t="inlineStr"/>
    </row>
    <row r="569" ht="15" customHeight="1">
      <c r="A569" t="inlineStr">
        <is>
          <t>A 52478-2024</t>
        </is>
      </c>
      <c r="B569" s="1" t="n">
        <v>45609.55065972222</v>
      </c>
      <c r="C569" s="1" t="n">
        <v>45984</v>
      </c>
      <c r="D569" t="inlineStr">
        <is>
          <t>UPPSALA LÄN</t>
        </is>
      </c>
      <c r="E569" t="inlineStr">
        <is>
          <t>ÖSTHAMMAR</t>
        </is>
      </c>
      <c r="G569" t="n">
        <v>0.7</v>
      </c>
      <c r="H569" t="n">
        <v>0</v>
      </c>
      <c r="I569" t="n">
        <v>0</v>
      </c>
      <c r="J569" t="n">
        <v>0</v>
      </c>
      <c r="K569" t="n">
        <v>0</v>
      </c>
      <c r="L569" t="n">
        <v>0</v>
      </c>
      <c r="M569" t="n">
        <v>0</v>
      </c>
      <c r="N569" t="n">
        <v>0</v>
      </c>
      <c r="O569" t="n">
        <v>0</v>
      </c>
      <c r="P569" t="n">
        <v>0</v>
      </c>
      <c r="Q569" t="n">
        <v>0</v>
      </c>
      <c r="R569" s="2" t="inlineStr"/>
    </row>
    <row r="570" ht="15" customHeight="1">
      <c r="A570" t="inlineStr">
        <is>
          <t>A 5933-2022</t>
        </is>
      </c>
      <c r="B570" s="1" t="n">
        <v>44598.82957175926</v>
      </c>
      <c r="C570" s="1" t="n">
        <v>45984</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29873-2023</t>
        </is>
      </c>
      <c r="B571" s="1" t="n">
        <v>45107</v>
      </c>
      <c r="C571" s="1" t="n">
        <v>45984</v>
      </c>
      <c r="D571" t="inlineStr">
        <is>
          <t>UPPSALA LÄN</t>
        </is>
      </c>
      <c r="E571" t="inlineStr">
        <is>
          <t>ÖSTHAMMAR</t>
        </is>
      </c>
      <c r="F571" t="inlineStr">
        <is>
          <t>Naturvårdsverket</t>
        </is>
      </c>
      <c r="G571" t="n">
        <v>7.8</v>
      </c>
      <c r="H571" t="n">
        <v>0</v>
      </c>
      <c r="I571" t="n">
        <v>0</v>
      </c>
      <c r="J571" t="n">
        <v>0</v>
      </c>
      <c r="K571" t="n">
        <v>0</v>
      </c>
      <c r="L571" t="n">
        <v>0</v>
      </c>
      <c r="M571" t="n">
        <v>0</v>
      </c>
      <c r="N571" t="n">
        <v>0</v>
      </c>
      <c r="O571" t="n">
        <v>0</v>
      </c>
      <c r="P571" t="n">
        <v>0</v>
      </c>
      <c r="Q571" t="n">
        <v>0</v>
      </c>
      <c r="R571" s="2" t="inlineStr"/>
    </row>
    <row r="572" ht="15" customHeight="1">
      <c r="A572" t="inlineStr">
        <is>
          <t>A 13279-2022</t>
        </is>
      </c>
      <c r="B572" s="1" t="n">
        <v>44644</v>
      </c>
      <c r="C572" s="1" t="n">
        <v>45984</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6892-2022</t>
        </is>
      </c>
      <c r="B573" s="1" t="n">
        <v>44602</v>
      </c>
      <c r="C573" s="1" t="n">
        <v>45984</v>
      </c>
      <c r="D573" t="inlineStr">
        <is>
          <t>UPPSALA LÄN</t>
        </is>
      </c>
      <c r="E573" t="inlineStr">
        <is>
          <t>ÖSTHAMMAR</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13044-2022</t>
        </is>
      </c>
      <c r="B574" s="1" t="n">
        <v>44643</v>
      </c>
      <c r="C574" s="1" t="n">
        <v>45984</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8763-2025</t>
        </is>
      </c>
      <c r="B575" s="1" t="n">
        <v>45712.57872685185</v>
      </c>
      <c r="C575" s="1" t="n">
        <v>45984</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8623-2025</t>
        </is>
      </c>
      <c r="B576" s="1" t="n">
        <v>45711.51902777778</v>
      </c>
      <c r="C576" s="1" t="n">
        <v>45984</v>
      </c>
      <c r="D576" t="inlineStr">
        <is>
          <t>UPPSALA LÄN</t>
        </is>
      </c>
      <c r="E576" t="inlineStr">
        <is>
          <t>ÖSTHAMMAR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8626-2025</t>
        </is>
      </c>
      <c r="B577" s="1" t="n">
        <v>45711.53565972222</v>
      </c>
      <c r="C577" s="1" t="n">
        <v>45984</v>
      </c>
      <c r="D577" t="inlineStr">
        <is>
          <t>UPPSALA LÄN</t>
        </is>
      </c>
      <c r="E577" t="inlineStr">
        <is>
          <t>ÖSTHAMMAR</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52694-2023</t>
        </is>
      </c>
      <c r="B578" s="1" t="n">
        <v>45225.76836805556</v>
      </c>
      <c r="C578" s="1" t="n">
        <v>45984</v>
      </c>
      <c r="D578" t="inlineStr">
        <is>
          <t>UPPSALA LÄN</t>
        </is>
      </c>
      <c r="E578" t="inlineStr">
        <is>
          <t>ÖSTHAMMAR</t>
        </is>
      </c>
      <c r="G578" t="n">
        <v>0.8</v>
      </c>
      <c r="H578" t="n">
        <v>0</v>
      </c>
      <c r="I578" t="n">
        <v>0</v>
      </c>
      <c r="J578" t="n">
        <v>0</v>
      </c>
      <c r="K578" t="n">
        <v>0</v>
      </c>
      <c r="L578" t="n">
        <v>0</v>
      </c>
      <c r="M578" t="n">
        <v>0</v>
      </c>
      <c r="N578" t="n">
        <v>0</v>
      </c>
      <c r="O578" t="n">
        <v>0</v>
      </c>
      <c r="P578" t="n">
        <v>0</v>
      </c>
      <c r="Q578" t="n">
        <v>0</v>
      </c>
      <c r="R578" s="2" t="inlineStr"/>
    </row>
    <row r="579" ht="15" customHeight="1">
      <c r="A579" t="inlineStr">
        <is>
          <t>A 5303-2025</t>
        </is>
      </c>
      <c r="B579" s="1" t="n">
        <v>45692</v>
      </c>
      <c r="C579" s="1" t="n">
        <v>45984</v>
      </c>
      <c r="D579" t="inlineStr">
        <is>
          <t>UPPSALA LÄN</t>
        </is>
      </c>
      <c r="E579" t="inlineStr">
        <is>
          <t>ÖSTHAMMAR</t>
        </is>
      </c>
      <c r="G579" t="n">
        <v>5</v>
      </c>
      <c r="H579" t="n">
        <v>0</v>
      </c>
      <c r="I579" t="n">
        <v>0</v>
      </c>
      <c r="J579" t="n">
        <v>0</v>
      </c>
      <c r="K579" t="n">
        <v>0</v>
      </c>
      <c r="L579" t="n">
        <v>0</v>
      </c>
      <c r="M579" t="n">
        <v>0</v>
      </c>
      <c r="N579" t="n">
        <v>0</v>
      </c>
      <c r="O579" t="n">
        <v>0</v>
      </c>
      <c r="P579" t="n">
        <v>0</v>
      </c>
      <c r="Q579" t="n">
        <v>0</v>
      </c>
      <c r="R579" s="2" t="inlineStr"/>
    </row>
    <row r="580" ht="15" customHeight="1">
      <c r="A580" t="inlineStr">
        <is>
          <t>A 24493-2023</t>
        </is>
      </c>
      <c r="B580" s="1" t="n">
        <v>45082.62603009259</v>
      </c>
      <c r="C580" s="1" t="n">
        <v>45984</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34742-2022</t>
        </is>
      </c>
      <c r="B581" s="1" t="n">
        <v>44795.61990740741</v>
      </c>
      <c r="C581" s="1" t="n">
        <v>45984</v>
      </c>
      <c r="D581" t="inlineStr">
        <is>
          <t>UPPSALA LÄN</t>
        </is>
      </c>
      <c r="E581" t="inlineStr">
        <is>
          <t>ÖSTHAMMAR</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13622-2025</t>
        </is>
      </c>
      <c r="B582" s="1" t="n">
        <v>45736</v>
      </c>
      <c r="C582" s="1" t="n">
        <v>45984</v>
      </c>
      <c r="D582" t="inlineStr">
        <is>
          <t>UPPSALA LÄN</t>
        </is>
      </c>
      <c r="E582" t="inlineStr">
        <is>
          <t>ÖSTHAMMAR</t>
        </is>
      </c>
      <c r="G582" t="n">
        <v>2.6</v>
      </c>
      <c r="H582" t="n">
        <v>0</v>
      </c>
      <c r="I582" t="n">
        <v>0</v>
      </c>
      <c r="J582" t="n">
        <v>0</v>
      </c>
      <c r="K582" t="n">
        <v>0</v>
      </c>
      <c r="L582" t="n">
        <v>0</v>
      </c>
      <c r="M582" t="n">
        <v>0</v>
      </c>
      <c r="N582" t="n">
        <v>0</v>
      </c>
      <c r="O582" t="n">
        <v>0</v>
      </c>
      <c r="P582" t="n">
        <v>0</v>
      </c>
      <c r="Q582" t="n">
        <v>0</v>
      </c>
      <c r="R582" s="2" t="inlineStr"/>
    </row>
    <row r="583" ht="15" customHeight="1">
      <c r="A583" t="inlineStr">
        <is>
          <t>A 46399-2023</t>
        </is>
      </c>
      <c r="B583" s="1" t="n">
        <v>45197.49262731482</v>
      </c>
      <c r="C583" s="1" t="n">
        <v>45984</v>
      </c>
      <c r="D583" t="inlineStr">
        <is>
          <t>UPPSALA LÄN</t>
        </is>
      </c>
      <c r="E583" t="inlineStr">
        <is>
          <t>ÖSTHAMMAR</t>
        </is>
      </c>
      <c r="G583" t="n">
        <v>5.8</v>
      </c>
      <c r="H583" t="n">
        <v>0</v>
      </c>
      <c r="I583" t="n">
        <v>0</v>
      </c>
      <c r="J583" t="n">
        <v>0</v>
      </c>
      <c r="K583" t="n">
        <v>0</v>
      </c>
      <c r="L583" t="n">
        <v>0</v>
      </c>
      <c r="M583" t="n">
        <v>0</v>
      </c>
      <c r="N583" t="n">
        <v>0</v>
      </c>
      <c r="O583" t="n">
        <v>0</v>
      </c>
      <c r="P583" t="n">
        <v>0</v>
      </c>
      <c r="Q583" t="n">
        <v>0</v>
      </c>
      <c r="R583" s="2" t="inlineStr"/>
    </row>
    <row r="584" ht="15" customHeight="1">
      <c r="A584" t="inlineStr">
        <is>
          <t>A 13358-2024</t>
        </is>
      </c>
      <c r="B584" s="1" t="n">
        <v>45387.3503125</v>
      </c>
      <c r="C584" s="1" t="n">
        <v>45984</v>
      </c>
      <c r="D584" t="inlineStr">
        <is>
          <t>UPPSALA LÄN</t>
        </is>
      </c>
      <c r="E584" t="inlineStr">
        <is>
          <t>ÖSTHAMMAR</t>
        </is>
      </c>
      <c r="G584" t="n">
        <v>2.2</v>
      </c>
      <c r="H584" t="n">
        <v>0</v>
      </c>
      <c r="I584" t="n">
        <v>0</v>
      </c>
      <c r="J584" t="n">
        <v>0</v>
      </c>
      <c r="K584" t="n">
        <v>0</v>
      </c>
      <c r="L584" t="n">
        <v>0</v>
      </c>
      <c r="M584" t="n">
        <v>0</v>
      </c>
      <c r="N584" t="n">
        <v>0</v>
      </c>
      <c r="O584" t="n">
        <v>0</v>
      </c>
      <c r="P584" t="n">
        <v>0</v>
      </c>
      <c r="Q584" t="n">
        <v>0</v>
      </c>
      <c r="R584" s="2" t="inlineStr"/>
    </row>
    <row r="585" ht="15" customHeight="1">
      <c r="A585" t="inlineStr">
        <is>
          <t>A 55079-2024</t>
        </is>
      </c>
      <c r="B585" s="1" t="n">
        <v>45621.42747685185</v>
      </c>
      <c r="C585" s="1" t="n">
        <v>45984</v>
      </c>
      <c r="D585" t="inlineStr">
        <is>
          <t>UPPSALA LÄN</t>
        </is>
      </c>
      <c r="E585" t="inlineStr">
        <is>
          <t>ÖSTHAMMAR</t>
        </is>
      </c>
      <c r="F585" t="inlineStr">
        <is>
          <t>Sveaskog</t>
        </is>
      </c>
      <c r="G585" t="n">
        <v>2.7</v>
      </c>
      <c r="H585" t="n">
        <v>0</v>
      </c>
      <c r="I585" t="n">
        <v>0</v>
      </c>
      <c r="J585" t="n">
        <v>0</v>
      </c>
      <c r="K585" t="n">
        <v>0</v>
      </c>
      <c r="L585" t="n">
        <v>0</v>
      </c>
      <c r="M585" t="n">
        <v>0</v>
      </c>
      <c r="N585" t="n">
        <v>0</v>
      </c>
      <c r="O585" t="n">
        <v>0</v>
      </c>
      <c r="P585" t="n">
        <v>0</v>
      </c>
      <c r="Q585" t="n">
        <v>0</v>
      </c>
      <c r="R585" s="2" t="inlineStr"/>
    </row>
    <row r="586" ht="15" customHeight="1">
      <c r="A586" t="inlineStr">
        <is>
          <t>A 36873-2022</t>
        </is>
      </c>
      <c r="B586" s="1" t="n">
        <v>44805.63708333333</v>
      </c>
      <c r="C586" s="1" t="n">
        <v>45984</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53733-2023</t>
        </is>
      </c>
      <c r="B587" s="1" t="n">
        <v>45230.76862268519</v>
      </c>
      <c r="C587" s="1" t="n">
        <v>45984</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53735-2023</t>
        </is>
      </c>
      <c r="B588" s="1" t="n">
        <v>45230.77258101852</v>
      </c>
      <c r="C588" s="1" t="n">
        <v>45984</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21522-2022</t>
        </is>
      </c>
      <c r="B589" s="1" t="n">
        <v>44706</v>
      </c>
      <c r="C589" s="1" t="n">
        <v>45984</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14187-2022</t>
        </is>
      </c>
      <c r="B590" s="1" t="n">
        <v>44651.5625</v>
      </c>
      <c r="C590" s="1" t="n">
        <v>45984</v>
      </c>
      <c r="D590" t="inlineStr">
        <is>
          <t>UPPSALA LÄN</t>
        </is>
      </c>
      <c r="E590" t="inlineStr">
        <is>
          <t>ÖSTHAMMAR</t>
        </is>
      </c>
      <c r="F590" t="inlineStr">
        <is>
          <t>Övriga Aktiebolag</t>
        </is>
      </c>
      <c r="G590" t="n">
        <v>14.1</v>
      </c>
      <c r="H590" t="n">
        <v>0</v>
      </c>
      <c r="I590" t="n">
        <v>0</v>
      </c>
      <c r="J590" t="n">
        <v>0</v>
      </c>
      <c r="K590" t="n">
        <v>0</v>
      </c>
      <c r="L590" t="n">
        <v>0</v>
      </c>
      <c r="M590" t="n">
        <v>0</v>
      </c>
      <c r="N590" t="n">
        <v>0</v>
      </c>
      <c r="O590" t="n">
        <v>0</v>
      </c>
      <c r="P590" t="n">
        <v>0</v>
      </c>
      <c r="Q590" t="n">
        <v>0</v>
      </c>
      <c r="R590" s="2" t="inlineStr"/>
    </row>
    <row r="591" ht="15" customHeight="1">
      <c r="A591" t="inlineStr">
        <is>
          <t>A 7997-2022</t>
        </is>
      </c>
      <c r="B591" s="1" t="n">
        <v>44609</v>
      </c>
      <c r="C591" s="1" t="n">
        <v>45984</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4676-2025</t>
        </is>
      </c>
      <c r="B592" s="1" t="n">
        <v>45687.8313425926</v>
      </c>
      <c r="C592" s="1" t="n">
        <v>45984</v>
      </c>
      <c r="D592" t="inlineStr">
        <is>
          <t>UPPSALA LÄN</t>
        </is>
      </c>
      <c r="E592" t="inlineStr">
        <is>
          <t>ÖSTHAMMAR</t>
        </is>
      </c>
      <c r="G592" t="n">
        <v>3.7</v>
      </c>
      <c r="H592" t="n">
        <v>0</v>
      </c>
      <c r="I592" t="n">
        <v>0</v>
      </c>
      <c r="J592" t="n">
        <v>0</v>
      </c>
      <c r="K592" t="n">
        <v>0</v>
      </c>
      <c r="L592" t="n">
        <v>0</v>
      </c>
      <c r="M592" t="n">
        <v>0</v>
      </c>
      <c r="N592" t="n">
        <v>0</v>
      </c>
      <c r="O592" t="n">
        <v>0</v>
      </c>
      <c r="P592" t="n">
        <v>0</v>
      </c>
      <c r="Q592" t="n">
        <v>0</v>
      </c>
      <c r="R592" s="2" t="inlineStr"/>
    </row>
    <row r="593" ht="15" customHeight="1">
      <c r="A593" t="inlineStr">
        <is>
          <t>A 55837-2023</t>
        </is>
      </c>
      <c r="B593" s="1" t="n">
        <v>45239</v>
      </c>
      <c r="C593" s="1" t="n">
        <v>45984</v>
      </c>
      <c r="D593" t="inlineStr">
        <is>
          <t>UPPSALA LÄN</t>
        </is>
      </c>
      <c r="E593" t="inlineStr">
        <is>
          <t>ÖSTHAMMAR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13093-2022</t>
        </is>
      </c>
      <c r="B594" s="1" t="n">
        <v>44643.93269675926</v>
      </c>
      <c r="C594" s="1" t="n">
        <v>45984</v>
      </c>
      <c r="D594" t="inlineStr">
        <is>
          <t>UPPSALA LÄN</t>
        </is>
      </c>
      <c r="E594" t="inlineStr">
        <is>
          <t>ÖSTHAMMAR</t>
        </is>
      </c>
      <c r="F594" t="inlineStr">
        <is>
          <t>Bergvik skog öst AB</t>
        </is>
      </c>
      <c r="G594" t="n">
        <v>3.2</v>
      </c>
      <c r="H594" t="n">
        <v>0</v>
      </c>
      <c r="I594" t="n">
        <v>0</v>
      </c>
      <c r="J594" t="n">
        <v>0</v>
      </c>
      <c r="K594" t="n">
        <v>0</v>
      </c>
      <c r="L594" t="n">
        <v>0</v>
      </c>
      <c r="M594" t="n">
        <v>0</v>
      </c>
      <c r="N594" t="n">
        <v>0</v>
      </c>
      <c r="O594" t="n">
        <v>0</v>
      </c>
      <c r="P594" t="n">
        <v>0</v>
      </c>
      <c r="Q594" t="n">
        <v>0</v>
      </c>
      <c r="R594" s="2" t="inlineStr"/>
    </row>
    <row r="595" ht="15" customHeight="1">
      <c r="A595" t="inlineStr">
        <is>
          <t>A 45795-2023</t>
        </is>
      </c>
      <c r="B595" s="1" t="n">
        <v>45195</v>
      </c>
      <c r="C595" s="1" t="n">
        <v>45984</v>
      </c>
      <c r="D595" t="inlineStr">
        <is>
          <t>UPPSALA LÄN</t>
        </is>
      </c>
      <c r="E595" t="inlineStr">
        <is>
          <t>ÖSTHAMMAR</t>
        </is>
      </c>
      <c r="G595" t="n">
        <v>4</v>
      </c>
      <c r="H595" t="n">
        <v>0</v>
      </c>
      <c r="I595" t="n">
        <v>0</v>
      </c>
      <c r="J595" t="n">
        <v>0</v>
      </c>
      <c r="K595" t="n">
        <v>0</v>
      </c>
      <c r="L595" t="n">
        <v>0</v>
      </c>
      <c r="M595" t="n">
        <v>0</v>
      </c>
      <c r="N595" t="n">
        <v>0</v>
      </c>
      <c r="O595" t="n">
        <v>0</v>
      </c>
      <c r="P595" t="n">
        <v>0</v>
      </c>
      <c r="Q595" t="n">
        <v>0</v>
      </c>
      <c r="R595" s="2" t="inlineStr"/>
    </row>
    <row r="596" ht="15" customHeight="1">
      <c r="A596" t="inlineStr">
        <is>
          <t>A 63637-2020</t>
        </is>
      </c>
      <c r="B596" s="1" t="n">
        <v>44162</v>
      </c>
      <c r="C596" s="1" t="n">
        <v>45984</v>
      </c>
      <c r="D596" t="inlineStr">
        <is>
          <t>UPPSALA LÄN</t>
        </is>
      </c>
      <c r="E596" t="inlineStr">
        <is>
          <t>ÖSTHAMMAR</t>
        </is>
      </c>
      <c r="G596" t="n">
        <v>4</v>
      </c>
      <c r="H596" t="n">
        <v>0</v>
      </c>
      <c r="I596" t="n">
        <v>0</v>
      </c>
      <c r="J596" t="n">
        <v>0</v>
      </c>
      <c r="K596" t="n">
        <v>0</v>
      </c>
      <c r="L596" t="n">
        <v>0</v>
      </c>
      <c r="M596" t="n">
        <v>0</v>
      </c>
      <c r="N596" t="n">
        <v>0</v>
      </c>
      <c r="O596" t="n">
        <v>0</v>
      </c>
      <c r="P596" t="n">
        <v>0</v>
      </c>
      <c r="Q596" t="n">
        <v>0</v>
      </c>
      <c r="R596" s="2" t="inlineStr"/>
    </row>
    <row r="597" ht="15" customHeight="1">
      <c r="A597" t="inlineStr">
        <is>
          <t>A 38600-2023</t>
        </is>
      </c>
      <c r="B597" s="1" t="n">
        <v>45162</v>
      </c>
      <c r="C597" s="1" t="n">
        <v>45984</v>
      </c>
      <c r="D597" t="inlineStr">
        <is>
          <t>UPPSALA LÄN</t>
        </is>
      </c>
      <c r="E597" t="inlineStr">
        <is>
          <t>ÖSTHAMMAR</t>
        </is>
      </c>
      <c r="F597" t="inlineStr">
        <is>
          <t>Bergvik skog väst AB</t>
        </is>
      </c>
      <c r="G597" t="n">
        <v>0.1</v>
      </c>
      <c r="H597" t="n">
        <v>0</v>
      </c>
      <c r="I597" t="n">
        <v>0</v>
      </c>
      <c r="J597" t="n">
        <v>0</v>
      </c>
      <c r="K597" t="n">
        <v>0</v>
      </c>
      <c r="L597" t="n">
        <v>0</v>
      </c>
      <c r="M597" t="n">
        <v>0</v>
      </c>
      <c r="N597" t="n">
        <v>0</v>
      </c>
      <c r="O597" t="n">
        <v>0</v>
      </c>
      <c r="P597" t="n">
        <v>0</v>
      </c>
      <c r="Q597" t="n">
        <v>0</v>
      </c>
      <c r="R597" s="2" t="inlineStr"/>
    </row>
    <row r="598" ht="15" customHeight="1">
      <c r="A598" t="inlineStr">
        <is>
          <t>A 8624-2025</t>
        </is>
      </c>
      <c r="B598" s="1" t="n">
        <v>45711.52333333333</v>
      </c>
      <c r="C598" s="1" t="n">
        <v>45984</v>
      </c>
      <c r="D598" t="inlineStr">
        <is>
          <t>UPPSALA LÄN</t>
        </is>
      </c>
      <c r="E598" t="inlineStr">
        <is>
          <t>ÖSTHAMMAR</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17644-2025</t>
        </is>
      </c>
      <c r="B599" s="1" t="n">
        <v>45758.32645833334</v>
      </c>
      <c r="C599" s="1" t="n">
        <v>45984</v>
      </c>
      <c r="D599" t="inlineStr">
        <is>
          <t>UPPSALA LÄN</t>
        </is>
      </c>
      <c r="E599" t="inlineStr">
        <is>
          <t>ÖSTHAMMAR</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20385-2025</t>
        </is>
      </c>
      <c r="B600" s="1" t="n">
        <v>45775.44483796296</v>
      </c>
      <c r="C600" s="1" t="n">
        <v>45984</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18183-2022</t>
        </is>
      </c>
      <c r="B601" s="1" t="n">
        <v>44684</v>
      </c>
      <c r="C601" s="1" t="n">
        <v>45984</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4304-2025</t>
        </is>
      </c>
      <c r="B602" s="1" t="n">
        <v>45685.68193287037</v>
      </c>
      <c r="C602" s="1" t="n">
        <v>45984</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28170-2023</t>
        </is>
      </c>
      <c r="B603" s="1" t="n">
        <v>45093</v>
      </c>
      <c r="C603" s="1" t="n">
        <v>45984</v>
      </c>
      <c r="D603" t="inlineStr">
        <is>
          <t>UPPSALA LÄN</t>
        </is>
      </c>
      <c r="E603" t="inlineStr">
        <is>
          <t>ÖSTHAMMAR</t>
        </is>
      </c>
      <c r="G603" t="n">
        <v>7.2</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45984</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23741-2024</t>
        </is>
      </c>
      <c r="B605" s="1" t="n">
        <v>45455</v>
      </c>
      <c r="C605" s="1" t="n">
        <v>45984</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9264-2024</t>
        </is>
      </c>
      <c r="B606" s="1" t="n">
        <v>45358</v>
      </c>
      <c r="C606" s="1" t="n">
        <v>45984</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57043-2022</t>
        </is>
      </c>
      <c r="B607" s="1" t="n">
        <v>44895.36748842592</v>
      </c>
      <c r="C607" s="1" t="n">
        <v>45984</v>
      </c>
      <c r="D607" t="inlineStr">
        <is>
          <t>UPPSALA LÄN</t>
        </is>
      </c>
      <c r="E607" t="inlineStr">
        <is>
          <t>ÖSTHAMMAR</t>
        </is>
      </c>
      <c r="F607" t="inlineStr">
        <is>
          <t>Bergvik skog öst AB</t>
        </is>
      </c>
      <c r="G607" t="n">
        <v>5.7</v>
      </c>
      <c r="H607" t="n">
        <v>0</v>
      </c>
      <c r="I607" t="n">
        <v>0</v>
      </c>
      <c r="J607" t="n">
        <v>0</v>
      </c>
      <c r="K607" t="n">
        <v>0</v>
      </c>
      <c r="L607" t="n">
        <v>0</v>
      </c>
      <c r="M607" t="n">
        <v>0</v>
      </c>
      <c r="N607" t="n">
        <v>0</v>
      </c>
      <c r="O607" t="n">
        <v>0</v>
      </c>
      <c r="P607" t="n">
        <v>0</v>
      </c>
      <c r="Q607" t="n">
        <v>0</v>
      </c>
      <c r="R607" s="2" t="inlineStr"/>
    </row>
    <row r="608" ht="15" customHeight="1">
      <c r="A608" t="inlineStr">
        <is>
          <t>A 47390-2023</t>
        </is>
      </c>
      <c r="B608" s="1" t="n">
        <v>45202</v>
      </c>
      <c r="C608" s="1" t="n">
        <v>45984</v>
      </c>
      <c r="D608" t="inlineStr">
        <is>
          <t>UPPSALA LÄN</t>
        </is>
      </c>
      <c r="E608" t="inlineStr">
        <is>
          <t>ÖSTHAMMAR</t>
        </is>
      </c>
      <c r="G608" t="n">
        <v>3.7</v>
      </c>
      <c r="H608" t="n">
        <v>0</v>
      </c>
      <c r="I608" t="n">
        <v>0</v>
      </c>
      <c r="J608" t="n">
        <v>0</v>
      </c>
      <c r="K608" t="n">
        <v>0</v>
      </c>
      <c r="L608" t="n">
        <v>0</v>
      </c>
      <c r="M608" t="n">
        <v>0</v>
      </c>
      <c r="N608" t="n">
        <v>0</v>
      </c>
      <c r="O608" t="n">
        <v>0</v>
      </c>
      <c r="P608" t="n">
        <v>0</v>
      </c>
      <c r="Q608" t="n">
        <v>0</v>
      </c>
      <c r="R608" s="2" t="inlineStr"/>
    </row>
    <row r="609" ht="15" customHeight="1">
      <c r="A609" t="inlineStr">
        <is>
          <t>A 15928-2022</t>
        </is>
      </c>
      <c r="B609" s="1" t="n">
        <v>44664</v>
      </c>
      <c r="C609" s="1" t="n">
        <v>45984</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28228-2022</t>
        </is>
      </c>
      <c r="B610" s="1" t="n">
        <v>44746.65873842593</v>
      </c>
      <c r="C610" s="1" t="n">
        <v>45984</v>
      </c>
      <c r="D610" t="inlineStr">
        <is>
          <t>UPPSALA LÄN</t>
        </is>
      </c>
      <c r="E610" t="inlineStr">
        <is>
          <t>ÖSTHAMMAR</t>
        </is>
      </c>
      <c r="G610" t="n">
        <v>2.7</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45984</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45984</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14124-2022</t>
        </is>
      </c>
      <c r="B613" s="1" t="n">
        <v>44651.40924768519</v>
      </c>
      <c r="C613" s="1" t="n">
        <v>45984</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45984</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19501-2025</t>
        </is>
      </c>
      <c r="B615" s="1" t="n">
        <v>45770.4015625</v>
      </c>
      <c r="C615" s="1" t="n">
        <v>45984</v>
      </c>
      <c r="D615" t="inlineStr">
        <is>
          <t>UPPSALA LÄN</t>
        </is>
      </c>
      <c r="E615" t="inlineStr">
        <is>
          <t>ÖSTHAMMAR</t>
        </is>
      </c>
      <c r="F615" t="inlineStr">
        <is>
          <t>Övriga Aktiebolag</t>
        </is>
      </c>
      <c r="G615" t="n">
        <v>17.3</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45984</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44783.69886574074</v>
      </c>
      <c r="C617" s="1" t="n">
        <v>45984</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45984</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49833-2023</t>
        </is>
      </c>
      <c r="B619" s="1" t="n">
        <v>45212.71481481481</v>
      </c>
      <c r="C619" s="1" t="n">
        <v>45984</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45984</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45984</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45984</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17931-2025</t>
        </is>
      </c>
      <c r="B623" s="1" t="n">
        <v>45759.56894675926</v>
      </c>
      <c r="C623" s="1" t="n">
        <v>45984</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17938-2025</t>
        </is>
      </c>
      <c r="B624" s="1" t="n">
        <v>45760.55626157407</v>
      </c>
      <c r="C624" s="1" t="n">
        <v>45984</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45984</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26552-2022</t>
        </is>
      </c>
      <c r="B626" s="1" t="n">
        <v>44739</v>
      </c>
      <c r="C626" s="1" t="n">
        <v>45984</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45984</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31137-2022</t>
        </is>
      </c>
      <c r="B628" s="1" t="n">
        <v>44770.42166666667</v>
      </c>
      <c r="C628" s="1" t="n">
        <v>45984</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45984</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45984</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29753-2022</t>
        </is>
      </c>
      <c r="B631" s="1" t="n">
        <v>44755</v>
      </c>
      <c r="C631" s="1" t="n">
        <v>45984</v>
      </c>
      <c r="D631" t="inlineStr">
        <is>
          <t>UPPSALA LÄN</t>
        </is>
      </c>
      <c r="E631" t="inlineStr">
        <is>
          <t>ÖSTHAMMAR</t>
        </is>
      </c>
      <c r="G631" t="n">
        <v>9.4</v>
      </c>
      <c r="H631" t="n">
        <v>0</v>
      </c>
      <c r="I631" t="n">
        <v>0</v>
      </c>
      <c r="J631" t="n">
        <v>0</v>
      </c>
      <c r="K631" t="n">
        <v>0</v>
      </c>
      <c r="L631" t="n">
        <v>0</v>
      </c>
      <c r="M631" t="n">
        <v>0</v>
      </c>
      <c r="N631" t="n">
        <v>0</v>
      </c>
      <c r="O631" t="n">
        <v>0</v>
      </c>
      <c r="P631" t="n">
        <v>0</v>
      </c>
      <c r="Q631" t="n">
        <v>0</v>
      </c>
      <c r="R631" s="2" t="inlineStr"/>
    </row>
    <row r="632" ht="15" customHeight="1">
      <c r="A632" t="inlineStr">
        <is>
          <t>A 20072-2025</t>
        </is>
      </c>
      <c r="B632" s="1" t="n">
        <v>45772</v>
      </c>
      <c r="C632" s="1" t="n">
        <v>45984</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52629-2023</t>
        </is>
      </c>
      <c r="B633" s="1" t="n">
        <v>45225</v>
      </c>
      <c r="C633" s="1" t="n">
        <v>45984</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9642-2024</t>
        </is>
      </c>
      <c r="B634" s="1" t="n">
        <v>45362.36296296296</v>
      </c>
      <c r="C634" s="1" t="n">
        <v>45984</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31549-2022</t>
        </is>
      </c>
      <c r="B635" s="1" t="n">
        <v>44775.400625</v>
      </c>
      <c r="C635" s="1" t="n">
        <v>45984</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47522-2023</t>
        </is>
      </c>
      <c r="B636" s="1" t="n">
        <v>45203</v>
      </c>
      <c r="C636" s="1" t="n">
        <v>45984</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45984</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34971-2022</t>
        </is>
      </c>
      <c r="B638" s="1" t="n">
        <v>44796.66613425926</v>
      </c>
      <c r="C638" s="1" t="n">
        <v>45984</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55646-2021</t>
        </is>
      </c>
      <c r="B639" s="1" t="n">
        <v>44476.3632175926</v>
      </c>
      <c r="C639" s="1" t="n">
        <v>45984</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16240-2025</t>
        </is>
      </c>
      <c r="B640" s="1" t="n">
        <v>45746</v>
      </c>
      <c r="C640" s="1" t="n">
        <v>45984</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20038-2023</t>
        </is>
      </c>
      <c r="B641" s="1" t="n">
        <v>45054.65834490741</v>
      </c>
      <c r="C641" s="1" t="n">
        <v>45984</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6121-2024</t>
        </is>
      </c>
      <c r="B642" s="1" t="n">
        <v>45337.4219212963</v>
      </c>
      <c r="C642" s="1" t="n">
        <v>45984</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45984</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15031-2025</t>
        </is>
      </c>
      <c r="B644" s="1" t="n">
        <v>45743.67333333333</v>
      </c>
      <c r="C644" s="1" t="n">
        <v>45984</v>
      </c>
      <c r="D644" t="inlineStr">
        <is>
          <t>UPPSALA LÄN</t>
        </is>
      </c>
      <c r="E644" t="inlineStr">
        <is>
          <t>ÖSTHAMMAR</t>
        </is>
      </c>
      <c r="G644" t="n">
        <v>9.6</v>
      </c>
      <c r="H644" t="n">
        <v>0</v>
      </c>
      <c r="I644" t="n">
        <v>0</v>
      </c>
      <c r="J644" t="n">
        <v>0</v>
      </c>
      <c r="K644" t="n">
        <v>0</v>
      </c>
      <c r="L644" t="n">
        <v>0</v>
      </c>
      <c r="M644" t="n">
        <v>0</v>
      </c>
      <c r="N644" t="n">
        <v>0</v>
      </c>
      <c r="O644" t="n">
        <v>0</v>
      </c>
      <c r="P644" t="n">
        <v>0</v>
      </c>
      <c r="Q644" t="n">
        <v>0</v>
      </c>
      <c r="R644" s="2" t="inlineStr"/>
    </row>
    <row r="645" ht="15" customHeight="1">
      <c r="A645" t="inlineStr">
        <is>
          <t>A 60555-2023</t>
        </is>
      </c>
      <c r="B645" s="1" t="n">
        <v>45259</v>
      </c>
      <c r="C645" s="1" t="n">
        <v>45984</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60584-2021</t>
        </is>
      </c>
      <c r="B646" s="1" t="n">
        <v>44496</v>
      </c>
      <c r="C646" s="1" t="n">
        <v>45984</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17652-2025</t>
        </is>
      </c>
      <c r="B647" s="1" t="n">
        <v>45758.33583333333</v>
      </c>
      <c r="C647" s="1" t="n">
        <v>45984</v>
      </c>
      <c r="D647" t="inlineStr">
        <is>
          <t>UPPSALA LÄN</t>
        </is>
      </c>
      <c r="E647" t="inlineStr">
        <is>
          <t>ÖSTHAMMAR</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48719-2023</t>
        </is>
      </c>
      <c r="B648" s="1" t="n">
        <v>45208.70452546296</v>
      </c>
      <c r="C648" s="1" t="n">
        <v>45984</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33784-2024</t>
        </is>
      </c>
      <c r="B649" s="1" t="n">
        <v>45520</v>
      </c>
      <c r="C649" s="1" t="n">
        <v>45984</v>
      </c>
      <c r="D649" t="inlineStr">
        <is>
          <t>UPPSALA LÄN</t>
        </is>
      </c>
      <c r="E649" t="inlineStr">
        <is>
          <t>ÖSTHAMMAR</t>
        </is>
      </c>
      <c r="F649" t="inlineStr">
        <is>
          <t>Naturvårdsverket</t>
        </is>
      </c>
      <c r="G649" t="n">
        <v>0.6</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45984</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19009-2023</t>
        </is>
      </c>
      <c r="B651" s="1" t="n">
        <v>45045</v>
      </c>
      <c r="C651" s="1" t="n">
        <v>45984</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4151-2021</t>
        </is>
      </c>
      <c r="B652" s="1" t="n">
        <v>44221</v>
      </c>
      <c r="C652" s="1" t="n">
        <v>45984</v>
      </c>
      <c r="D652" t="inlineStr">
        <is>
          <t>UPPSALA LÄN</t>
        </is>
      </c>
      <c r="E652" t="inlineStr">
        <is>
          <t>ÖSTHAMMAR</t>
        </is>
      </c>
      <c r="G652" t="n">
        <v>2.9</v>
      </c>
      <c r="H652" t="n">
        <v>0</v>
      </c>
      <c r="I652" t="n">
        <v>0</v>
      </c>
      <c r="J652" t="n">
        <v>0</v>
      </c>
      <c r="K652" t="n">
        <v>0</v>
      </c>
      <c r="L652" t="n">
        <v>0</v>
      </c>
      <c r="M652" t="n">
        <v>0</v>
      </c>
      <c r="N652" t="n">
        <v>0</v>
      </c>
      <c r="O652" t="n">
        <v>0</v>
      </c>
      <c r="P652" t="n">
        <v>0</v>
      </c>
      <c r="Q652" t="n">
        <v>0</v>
      </c>
      <c r="R652" s="2" t="inlineStr"/>
    </row>
    <row r="653" ht="15" customHeight="1">
      <c r="A653" t="inlineStr">
        <is>
          <t>A 30755-2024</t>
        </is>
      </c>
      <c r="B653" s="1" t="n">
        <v>45496</v>
      </c>
      <c r="C653" s="1" t="n">
        <v>45984</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45984</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33760-2024</t>
        </is>
      </c>
      <c r="B655" s="1" t="n">
        <v>45520</v>
      </c>
      <c r="C655" s="1" t="n">
        <v>45984</v>
      </c>
      <c r="D655" t="inlineStr">
        <is>
          <t>UPPSALA LÄN</t>
        </is>
      </c>
      <c r="E655" t="inlineStr">
        <is>
          <t>ÖSTHAMMAR</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3725-2022</t>
        </is>
      </c>
      <c r="B656" s="1" t="n">
        <v>44586</v>
      </c>
      <c r="C656" s="1" t="n">
        <v>45984</v>
      </c>
      <c r="D656" t="inlineStr">
        <is>
          <t>UPPSALA LÄN</t>
        </is>
      </c>
      <c r="E656" t="inlineStr">
        <is>
          <t>ÖSTHAMMAR</t>
        </is>
      </c>
      <c r="G656" t="n">
        <v>2</v>
      </c>
      <c r="H656" t="n">
        <v>0</v>
      </c>
      <c r="I656" t="n">
        <v>0</v>
      </c>
      <c r="J656" t="n">
        <v>0</v>
      </c>
      <c r="K656" t="n">
        <v>0</v>
      </c>
      <c r="L656" t="n">
        <v>0</v>
      </c>
      <c r="M656" t="n">
        <v>0</v>
      </c>
      <c r="N656" t="n">
        <v>0</v>
      </c>
      <c r="O656" t="n">
        <v>0</v>
      </c>
      <c r="P656" t="n">
        <v>0</v>
      </c>
      <c r="Q656" t="n">
        <v>0</v>
      </c>
      <c r="R656" s="2" t="inlineStr"/>
    </row>
    <row r="657" ht="15" customHeight="1">
      <c r="A657" t="inlineStr">
        <is>
          <t>A 8006-2023</t>
        </is>
      </c>
      <c r="B657" s="1" t="n">
        <v>44973</v>
      </c>
      <c r="C657" s="1" t="n">
        <v>45984</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44993.60099537037</v>
      </c>
      <c r="C658" s="1" t="n">
        <v>45984</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20324-2021</t>
        </is>
      </c>
      <c r="B659" s="1" t="n">
        <v>44308</v>
      </c>
      <c r="C659" s="1" t="n">
        <v>45984</v>
      </c>
      <c r="D659" t="inlineStr">
        <is>
          <t>UPPSALA LÄN</t>
        </is>
      </c>
      <c r="E659" t="inlineStr">
        <is>
          <t>ÖSTHAMMAR</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25033-2021</t>
        </is>
      </c>
      <c r="B660" s="1" t="n">
        <v>44341.590625</v>
      </c>
      <c r="C660" s="1" t="n">
        <v>45984</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16212-2021</t>
        </is>
      </c>
      <c r="B661" s="1" t="n">
        <v>44287</v>
      </c>
      <c r="C661" s="1" t="n">
        <v>45984</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63577-2020</t>
        </is>
      </c>
      <c r="B662" s="1" t="n">
        <v>44165</v>
      </c>
      <c r="C662" s="1" t="n">
        <v>45984</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18113-2023</t>
        </is>
      </c>
      <c r="B663" s="1" t="n">
        <v>45040</v>
      </c>
      <c r="C663" s="1" t="n">
        <v>45984</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23120-2021</t>
        </is>
      </c>
      <c r="B664" s="1" t="n">
        <v>44330</v>
      </c>
      <c r="C664" s="1" t="n">
        <v>45984</v>
      </c>
      <c r="D664" t="inlineStr">
        <is>
          <t>UPPSALA LÄN</t>
        </is>
      </c>
      <c r="E664" t="inlineStr">
        <is>
          <t>ÖSTHAMMAR</t>
        </is>
      </c>
      <c r="G664" t="n">
        <v>0.5</v>
      </c>
      <c r="H664" t="n">
        <v>0</v>
      </c>
      <c r="I664" t="n">
        <v>0</v>
      </c>
      <c r="J664" t="n">
        <v>0</v>
      </c>
      <c r="K664" t="n">
        <v>0</v>
      </c>
      <c r="L664" t="n">
        <v>0</v>
      </c>
      <c r="M664" t="n">
        <v>0</v>
      </c>
      <c r="N664" t="n">
        <v>0</v>
      </c>
      <c r="O664" t="n">
        <v>0</v>
      </c>
      <c r="P664" t="n">
        <v>0</v>
      </c>
      <c r="Q664" t="n">
        <v>0</v>
      </c>
      <c r="R664" s="2" t="inlineStr"/>
    </row>
    <row r="665" ht="15" customHeight="1">
      <c r="A665" t="inlineStr">
        <is>
          <t>A 52389-2022</t>
        </is>
      </c>
      <c r="B665" s="1" t="n">
        <v>44874.38325231482</v>
      </c>
      <c r="C665" s="1" t="n">
        <v>45984</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1238-2022</t>
        </is>
      </c>
      <c r="B666" s="1" t="n">
        <v>44572.5827662037</v>
      </c>
      <c r="C666" s="1" t="n">
        <v>45984</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3327-2023</t>
        </is>
      </c>
      <c r="B667" s="1" t="n">
        <v>44949.4377662037</v>
      </c>
      <c r="C667" s="1" t="n">
        <v>45984</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4233-2023</t>
        </is>
      </c>
      <c r="B668" s="1" t="n">
        <v>44953.48619212963</v>
      </c>
      <c r="C668" s="1" t="n">
        <v>45984</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30811-2023</t>
        </is>
      </c>
      <c r="B669" s="1" t="n">
        <v>45112.86422453704</v>
      </c>
      <c r="C669" s="1" t="n">
        <v>45984</v>
      </c>
      <c r="D669" t="inlineStr">
        <is>
          <t>UPPSALA LÄN</t>
        </is>
      </c>
      <c r="E669" t="inlineStr">
        <is>
          <t>ÖSTHAMMAR</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8708-2022</t>
        </is>
      </c>
      <c r="B670" s="1" t="n">
        <v>44613.77238425926</v>
      </c>
      <c r="C670" s="1" t="n">
        <v>45984</v>
      </c>
      <c r="D670" t="inlineStr">
        <is>
          <t>UPPSALA LÄN</t>
        </is>
      </c>
      <c r="E670" t="inlineStr">
        <is>
          <t>ÖSTHAMMAR</t>
        </is>
      </c>
      <c r="G670" t="n">
        <v>4.3</v>
      </c>
      <c r="H670" t="n">
        <v>0</v>
      </c>
      <c r="I670" t="n">
        <v>0</v>
      </c>
      <c r="J670" t="n">
        <v>0</v>
      </c>
      <c r="K670" t="n">
        <v>0</v>
      </c>
      <c r="L670" t="n">
        <v>0</v>
      </c>
      <c r="M670" t="n">
        <v>0</v>
      </c>
      <c r="N670" t="n">
        <v>0</v>
      </c>
      <c r="O670" t="n">
        <v>0</v>
      </c>
      <c r="P670" t="n">
        <v>0</v>
      </c>
      <c r="Q670" t="n">
        <v>0</v>
      </c>
      <c r="R670" s="2" t="inlineStr"/>
    </row>
    <row r="671" ht="15" customHeight="1">
      <c r="A671" t="inlineStr">
        <is>
          <t>A 11547-2022</t>
        </is>
      </c>
      <c r="B671" s="1" t="n">
        <v>44631.43116898148</v>
      </c>
      <c r="C671" s="1" t="n">
        <v>45984</v>
      </c>
      <c r="D671" t="inlineStr">
        <is>
          <t>UPPSALA LÄN</t>
        </is>
      </c>
      <c r="E671" t="inlineStr">
        <is>
          <t>ÖSTHAMMAR</t>
        </is>
      </c>
      <c r="G671" t="n">
        <v>4.4</v>
      </c>
      <c r="H671" t="n">
        <v>0</v>
      </c>
      <c r="I671" t="n">
        <v>0</v>
      </c>
      <c r="J671" t="n">
        <v>0</v>
      </c>
      <c r="K671" t="n">
        <v>0</v>
      </c>
      <c r="L671" t="n">
        <v>0</v>
      </c>
      <c r="M671" t="n">
        <v>0</v>
      </c>
      <c r="N671" t="n">
        <v>0</v>
      </c>
      <c r="O671" t="n">
        <v>0</v>
      </c>
      <c r="P671" t="n">
        <v>0</v>
      </c>
      <c r="Q671" t="n">
        <v>0</v>
      </c>
      <c r="R671" s="2" t="inlineStr"/>
    </row>
    <row r="672" ht="15" customHeight="1">
      <c r="A672" t="inlineStr">
        <is>
          <t>A 25269-2024</t>
        </is>
      </c>
      <c r="B672" s="1" t="n">
        <v>45462</v>
      </c>
      <c r="C672" s="1" t="n">
        <v>45984</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59382-2022</t>
        </is>
      </c>
      <c r="B673" s="1" t="n">
        <v>44905.50363425926</v>
      </c>
      <c r="C673" s="1" t="n">
        <v>45984</v>
      </c>
      <c r="D673" t="inlineStr">
        <is>
          <t>UPPSALA LÄN</t>
        </is>
      </c>
      <c r="E673" t="inlineStr">
        <is>
          <t>ÖSTHAMMAR</t>
        </is>
      </c>
      <c r="G673" t="n">
        <v>2.9</v>
      </c>
      <c r="H673" t="n">
        <v>0</v>
      </c>
      <c r="I673" t="n">
        <v>0</v>
      </c>
      <c r="J673" t="n">
        <v>0</v>
      </c>
      <c r="K673" t="n">
        <v>0</v>
      </c>
      <c r="L673" t="n">
        <v>0</v>
      </c>
      <c r="M673" t="n">
        <v>0</v>
      </c>
      <c r="N673" t="n">
        <v>0</v>
      </c>
      <c r="O673" t="n">
        <v>0</v>
      </c>
      <c r="P673" t="n">
        <v>0</v>
      </c>
      <c r="Q673" t="n">
        <v>0</v>
      </c>
      <c r="R673" s="2" t="inlineStr"/>
    </row>
    <row r="674" ht="15" customHeight="1">
      <c r="A674" t="inlineStr">
        <is>
          <t>A 25969-2023</t>
        </is>
      </c>
      <c r="B674" s="1" t="n">
        <v>45090</v>
      </c>
      <c r="C674" s="1" t="n">
        <v>45984</v>
      </c>
      <c r="D674" t="inlineStr">
        <is>
          <t>UPPSALA LÄN</t>
        </is>
      </c>
      <c r="E674" t="inlineStr">
        <is>
          <t>ÖSTHAMMAR</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56903-2023</t>
        </is>
      </c>
      <c r="B675" s="1" t="n">
        <v>45244.56943287037</v>
      </c>
      <c r="C675" s="1" t="n">
        <v>45984</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67151-2021</t>
        </is>
      </c>
      <c r="B676" s="1" t="n">
        <v>44523</v>
      </c>
      <c r="C676" s="1" t="n">
        <v>45984</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29824-2023</t>
        </is>
      </c>
      <c r="B677" s="1" t="n">
        <v>45107</v>
      </c>
      <c r="C677" s="1" t="n">
        <v>45984</v>
      </c>
      <c r="D677" t="inlineStr">
        <is>
          <t>UPPSALA LÄN</t>
        </is>
      </c>
      <c r="E677" t="inlineStr">
        <is>
          <t>ÖSTHAMMAR</t>
        </is>
      </c>
      <c r="F677" t="inlineStr">
        <is>
          <t>Naturvårdsverket</t>
        </is>
      </c>
      <c r="G677" t="n">
        <v>1.6</v>
      </c>
      <c r="H677" t="n">
        <v>0</v>
      </c>
      <c r="I677" t="n">
        <v>0</v>
      </c>
      <c r="J677" t="n">
        <v>0</v>
      </c>
      <c r="K677" t="n">
        <v>0</v>
      </c>
      <c r="L677" t="n">
        <v>0</v>
      </c>
      <c r="M677" t="n">
        <v>0</v>
      </c>
      <c r="N677" t="n">
        <v>0</v>
      </c>
      <c r="O677" t="n">
        <v>0</v>
      </c>
      <c r="P677" t="n">
        <v>0</v>
      </c>
      <c r="Q677" t="n">
        <v>0</v>
      </c>
      <c r="R677" s="2" t="inlineStr"/>
    </row>
    <row r="678" ht="15" customHeight="1">
      <c r="A678" t="inlineStr">
        <is>
          <t>A 64586-2021</t>
        </is>
      </c>
      <c r="B678" s="1" t="n">
        <v>44511</v>
      </c>
      <c r="C678" s="1" t="n">
        <v>45984</v>
      </c>
      <c r="D678" t="inlineStr">
        <is>
          <t>UPPSALA LÄN</t>
        </is>
      </c>
      <c r="E678" t="inlineStr">
        <is>
          <t>ÖSTHAMMAR</t>
        </is>
      </c>
      <c r="G678" t="n">
        <v>2</v>
      </c>
      <c r="H678" t="n">
        <v>0</v>
      </c>
      <c r="I678" t="n">
        <v>0</v>
      </c>
      <c r="J678" t="n">
        <v>0</v>
      </c>
      <c r="K678" t="n">
        <v>0</v>
      </c>
      <c r="L678" t="n">
        <v>0</v>
      </c>
      <c r="M678" t="n">
        <v>0</v>
      </c>
      <c r="N678" t="n">
        <v>0</v>
      </c>
      <c r="O678" t="n">
        <v>0</v>
      </c>
      <c r="P678" t="n">
        <v>0</v>
      </c>
      <c r="Q678" t="n">
        <v>0</v>
      </c>
      <c r="R678" s="2" t="inlineStr"/>
    </row>
    <row r="679" ht="15" customHeight="1">
      <c r="A679" t="inlineStr">
        <is>
          <t>A 17009-2021</t>
        </is>
      </c>
      <c r="B679" s="1" t="n">
        <v>44295.63969907408</v>
      </c>
      <c r="C679" s="1" t="n">
        <v>45984</v>
      </c>
      <c r="D679" t="inlineStr">
        <is>
          <t>UPPSALA LÄN</t>
        </is>
      </c>
      <c r="E679" t="inlineStr">
        <is>
          <t>ÖSTHAMMAR</t>
        </is>
      </c>
      <c r="F679" t="inlineStr">
        <is>
          <t>Bergvik skog öst AB</t>
        </is>
      </c>
      <c r="G679" t="n">
        <v>3.2</v>
      </c>
      <c r="H679" t="n">
        <v>0</v>
      </c>
      <c r="I679" t="n">
        <v>0</v>
      </c>
      <c r="J679" t="n">
        <v>0</v>
      </c>
      <c r="K679" t="n">
        <v>0</v>
      </c>
      <c r="L679" t="n">
        <v>0</v>
      </c>
      <c r="M679" t="n">
        <v>0</v>
      </c>
      <c r="N679" t="n">
        <v>0</v>
      </c>
      <c r="O679" t="n">
        <v>0</v>
      </c>
      <c r="P679" t="n">
        <v>0</v>
      </c>
      <c r="Q679" t="n">
        <v>0</v>
      </c>
      <c r="R679" s="2" t="inlineStr"/>
    </row>
    <row r="680" ht="15" customHeight="1">
      <c r="A680" t="inlineStr">
        <is>
          <t>A 13755-2023</t>
        </is>
      </c>
      <c r="B680" s="1" t="n">
        <v>45007</v>
      </c>
      <c r="C680" s="1" t="n">
        <v>45984</v>
      </c>
      <c r="D680" t="inlineStr">
        <is>
          <t>UPPSALA LÄN</t>
        </is>
      </c>
      <c r="E680" t="inlineStr">
        <is>
          <t>ÖSTHAMMAR</t>
        </is>
      </c>
      <c r="G680" t="n">
        <v>2.4</v>
      </c>
      <c r="H680" t="n">
        <v>0</v>
      </c>
      <c r="I680" t="n">
        <v>0</v>
      </c>
      <c r="J680" t="n">
        <v>0</v>
      </c>
      <c r="K680" t="n">
        <v>0</v>
      </c>
      <c r="L680" t="n">
        <v>0</v>
      </c>
      <c r="M680" t="n">
        <v>0</v>
      </c>
      <c r="N680" t="n">
        <v>0</v>
      </c>
      <c r="O680" t="n">
        <v>0</v>
      </c>
      <c r="P680" t="n">
        <v>0</v>
      </c>
      <c r="Q680" t="n">
        <v>0</v>
      </c>
      <c r="R680" s="2" t="inlineStr"/>
    </row>
    <row r="681" ht="15" customHeight="1">
      <c r="A681" t="inlineStr">
        <is>
          <t>A 64774-2023</t>
        </is>
      </c>
      <c r="B681" s="1" t="n">
        <v>45282</v>
      </c>
      <c r="C681" s="1" t="n">
        <v>45984</v>
      </c>
      <c r="D681" t="inlineStr">
        <is>
          <t>UPPSALA LÄN</t>
        </is>
      </c>
      <c r="E681" t="inlineStr">
        <is>
          <t>ÖSTHAMMAR</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65020-2021</t>
        </is>
      </c>
      <c r="B682" s="1" t="n">
        <v>44515</v>
      </c>
      <c r="C682" s="1" t="n">
        <v>45984</v>
      </c>
      <c r="D682" t="inlineStr">
        <is>
          <t>UPPSALA LÄN</t>
        </is>
      </c>
      <c r="E682" t="inlineStr">
        <is>
          <t>ÖSTHAMMAR</t>
        </is>
      </c>
      <c r="F682" t="inlineStr">
        <is>
          <t>Sveaskog</t>
        </is>
      </c>
      <c r="G682" t="n">
        <v>4.7</v>
      </c>
      <c r="H682" t="n">
        <v>0</v>
      </c>
      <c r="I682" t="n">
        <v>0</v>
      </c>
      <c r="J682" t="n">
        <v>0</v>
      </c>
      <c r="K682" t="n">
        <v>0</v>
      </c>
      <c r="L682" t="n">
        <v>0</v>
      </c>
      <c r="M682" t="n">
        <v>0</v>
      </c>
      <c r="N682" t="n">
        <v>0</v>
      </c>
      <c r="O682" t="n">
        <v>0</v>
      </c>
      <c r="P682" t="n">
        <v>0</v>
      </c>
      <c r="Q682" t="n">
        <v>0</v>
      </c>
      <c r="R682" s="2" t="inlineStr"/>
    </row>
    <row r="683" ht="15" customHeight="1">
      <c r="A683" t="inlineStr">
        <is>
          <t>A 2085-2022</t>
        </is>
      </c>
      <c r="B683" s="1" t="n">
        <v>44576.78626157407</v>
      </c>
      <c r="C683" s="1" t="n">
        <v>45984</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14671-2022</t>
        </is>
      </c>
      <c r="B684" s="1" t="n">
        <v>44655.80475694445</v>
      </c>
      <c r="C684" s="1" t="n">
        <v>45984</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45984</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41996-2024</t>
        </is>
      </c>
      <c r="B686" s="1" t="n">
        <v>45561</v>
      </c>
      <c r="C686" s="1" t="n">
        <v>45984</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15449-2022</t>
        </is>
      </c>
      <c r="B687" s="1" t="n">
        <v>44660.91659722223</v>
      </c>
      <c r="C687" s="1" t="n">
        <v>45984</v>
      </c>
      <c r="D687" t="inlineStr">
        <is>
          <t>UPPSALA LÄN</t>
        </is>
      </c>
      <c r="E687" t="inlineStr">
        <is>
          <t>ÖSTHAMMAR</t>
        </is>
      </c>
      <c r="F687" t="inlineStr">
        <is>
          <t>Bergvik skog öst AB</t>
        </is>
      </c>
      <c r="G687" t="n">
        <v>2</v>
      </c>
      <c r="H687" t="n">
        <v>0</v>
      </c>
      <c r="I687" t="n">
        <v>0</v>
      </c>
      <c r="J687" t="n">
        <v>0</v>
      </c>
      <c r="K687" t="n">
        <v>0</v>
      </c>
      <c r="L687" t="n">
        <v>0</v>
      </c>
      <c r="M687" t="n">
        <v>0</v>
      </c>
      <c r="N687" t="n">
        <v>0</v>
      </c>
      <c r="O687" t="n">
        <v>0</v>
      </c>
      <c r="P687" t="n">
        <v>0</v>
      </c>
      <c r="Q687" t="n">
        <v>0</v>
      </c>
      <c r="R687" s="2" t="inlineStr"/>
    </row>
    <row r="688" ht="15" customHeight="1">
      <c r="A688" t="inlineStr">
        <is>
          <t>A 1439-2025</t>
        </is>
      </c>
      <c r="B688" s="1" t="n">
        <v>45669.69075231482</v>
      </c>
      <c r="C688" s="1" t="n">
        <v>45984</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5884-2023</t>
        </is>
      </c>
      <c r="B689" s="1" t="n">
        <v>44963</v>
      </c>
      <c r="C689" s="1" t="n">
        <v>45984</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5215-2025</t>
        </is>
      </c>
      <c r="B690" s="1" t="n">
        <v>45691</v>
      </c>
      <c r="C690" s="1" t="n">
        <v>45984</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65028-2021</t>
        </is>
      </c>
      <c r="B691" s="1" t="n">
        <v>44515</v>
      </c>
      <c r="C691" s="1" t="n">
        <v>45984</v>
      </c>
      <c r="D691" t="inlineStr">
        <is>
          <t>UPPSALA LÄN</t>
        </is>
      </c>
      <c r="E691" t="inlineStr">
        <is>
          <t>ÖSTHAMMAR</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1525-2025</t>
        </is>
      </c>
      <c r="B692" s="1" t="n">
        <v>45670.47300925926</v>
      </c>
      <c r="C692" s="1" t="n">
        <v>45984</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61257-2022</t>
        </is>
      </c>
      <c r="B693" s="1" t="n">
        <v>44915.59418981482</v>
      </c>
      <c r="C693" s="1" t="n">
        <v>45984</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36857-2023</t>
        </is>
      </c>
      <c r="B694" s="1" t="n">
        <v>45154.55175925926</v>
      </c>
      <c r="C694" s="1" t="n">
        <v>45984</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6206-2022</t>
        </is>
      </c>
      <c r="B695" s="1" t="n">
        <v>44600.35755787037</v>
      </c>
      <c r="C695" s="1" t="n">
        <v>45984</v>
      </c>
      <c r="D695" t="inlineStr">
        <is>
          <t>UPPSALA LÄN</t>
        </is>
      </c>
      <c r="E695" t="inlineStr">
        <is>
          <t>ÖSTHAMMAR</t>
        </is>
      </c>
      <c r="G695" t="n">
        <v>7.4</v>
      </c>
      <c r="H695" t="n">
        <v>0</v>
      </c>
      <c r="I695" t="n">
        <v>0</v>
      </c>
      <c r="J695" t="n">
        <v>0</v>
      </c>
      <c r="K695" t="n">
        <v>0</v>
      </c>
      <c r="L695" t="n">
        <v>0</v>
      </c>
      <c r="M695" t="n">
        <v>0</v>
      </c>
      <c r="N695" t="n">
        <v>0</v>
      </c>
      <c r="O695" t="n">
        <v>0</v>
      </c>
      <c r="P695" t="n">
        <v>0</v>
      </c>
      <c r="Q695" t="n">
        <v>0</v>
      </c>
      <c r="R695" s="2" t="inlineStr"/>
    </row>
    <row r="696" ht="15" customHeight="1">
      <c r="A696" t="inlineStr">
        <is>
          <t>A 6143-2022</t>
        </is>
      </c>
      <c r="B696" s="1" t="n">
        <v>44599.72306712963</v>
      </c>
      <c r="C696" s="1" t="n">
        <v>45984</v>
      </c>
      <c r="D696" t="inlineStr">
        <is>
          <t>UPPSALA LÄN</t>
        </is>
      </c>
      <c r="E696" t="inlineStr">
        <is>
          <t>ÖSTHAMMAR</t>
        </is>
      </c>
      <c r="G696" t="n">
        <v>3.4</v>
      </c>
      <c r="H696" t="n">
        <v>0</v>
      </c>
      <c r="I696" t="n">
        <v>0</v>
      </c>
      <c r="J696" t="n">
        <v>0</v>
      </c>
      <c r="K696" t="n">
        <v>0</v>
      </c>
      <c r="L696" t="n">
        <v>0</v>
      </c>
      <c r="M696" t="n">
        <v>0</v>
      </c>
      <c r="N696" t="n">
        <v>0</v>
      </c>
      <c r="O696" t="n">
        <v>0</v>
      </c>
      <c r="P696" t="n">
        <v>0</v>
      </c>
      <c r="Q696" t="n">
        <v>0</v>
      </c>
      <c r="R696" s="2" t="inlineStr"/>
    </row>
    <row r="697" ht="15" customHeight="1">
      <c r="A697" t="inlineStr">
        <is>
          <t>A 3514-2023</t>
        </is>
      </c>
      <c r="B697" s="1" t="n">
        <v>44950</v>
      </c>
      <c r="C697" s="1" t="n">
        <v>45984</v>
      </c>
      <c r="D697" t="inlineStr">
        <is>
          <t>UPPSALA LÄN</t>
        </is>
      </c>
      <c r="E697" t="inlineStr">
        <is>
          <t>ÖSTHAMMAR</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45561-2023</t>
        </is>
      </c>
      <c r="B698" s="1" t="n">
        <v>45194.59335648148</v>
      </c>
      <c r="C698" s="1" t="n">
        <v>45984</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43439-2024</t>
        </is>
      </c>
      <c r="B699" s="1" t="n">
        <v>45568</v>
      </c>
      <c r="C699" s="1" t="n">
        <v>45984</v>
      </c>
      <c r="D699" t="inlineStr">
        <is>
          <t>UPPSALA LÄN</t>
        </is>
      </c>
      <c r="E699" t="inlineStr">
        <is>
          <t>ÖSTHAMMAR</t>
        </is>
      </c>
      <c r="G699" t="n">
        <v>1</v>
      </c>
      <c r="H699" t="n">
        <v>0</v>
      </c>
      <c r="I699" t="n">
        <v>0</v>
      </c>
      <c r="J699" t="n">
        <v>0</v>
      </c>
      <c r="K699" t="n">
        <v>0</v>
      </c>
      <c r="L699" t="n">
        <v>0</v>
      </c>
      <c r="M699" t="n">
        <v>0</v>
      </c>
      <c r="N699" t="n">
        <v>0</v>
      </c>
      <c r="O699" t="n">
        <v>0</v>
      </c>
      <c r="P699" t="n">
        <v>0</v>
      </c>
      <c r="Q699" t="n">
        <v>0</v>
      </c>
      <c r="R699" s="2" t="inlineStr"/>
    </row>
    <row r="700" ht="15" customHeight="1">
      <c r="A700" t="inlineStr">
        <is>
          <t>A 59880-2022</t>
        </is>
      </c>
      <c r="B700" s="1" t="n">
        <v>44908.69575231482</v>
      </c>
      <c r="C700" s="1" t="n">
        <v>45984</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4562-2022</t>
        </is>
      </c>
      <c r="B701" s="1" t="n">
        <v>44591</v>
      </c>
      <c r="C701" s="1" t="n">
        <v>45984</v>
      </c>
      <c r="D701" t="inlineStr">
        <is>
          <t>UPPSALA LÄN</t>
        </is>
      </c>
      <c r="E701" t="inlineStr">
        <is>
          <t>ÖSTHAMMAR</t>
        </is>
      </c>
      <c r="G701" t="n">
        <v>3.4</v>
      </c>
      <c r="H701" t="n">
        <v>0</v>
      </c>
      <c r="I701" t="n">
        <v>0</v>
      </c>
      <c r="J701" t="n">
        <v>0</v>
      </c>
      <c r="K701" t="n">
        <v>0</v>
      </c>
      <c r="L701" t="n">
        <v>0</v>
      </c>
      <c r="M701" t="n">
        <v>0</v>
      </c>
      <c r="N701" t="n">
        <v>0</v>
      </c>
      <c r="O701" t="n">
        <v>0</v>
      </c>
      <c r="P701" t="n">
        <v>0</v>
      </c>
      <c r="Q701" t="n">
        <v>0</v>
      </c>
      <c r="R701" s="2" t="inlineStr"/>
    </row>
    <row r="702" ht="15" customHeight="1">
      <c r="A702" t="inlineStr">
        <is>
          <t>A 4099-2025</t>
        </is>
      </c>
      <c r="B702" s="1" t="n">
        <v>45684</v>
      </c>
      <c r="C702" s="1" t="n">
        <v>45984</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41538-2021</t>
        </is>
      </c>
      <c r="B703" s="1" t="n">
        <v>44425.35016203704</v>
      </c>
      <c r="C703" s="1" t="n">
        <v>45984</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36301-2023</t>
        </is>
      </c>
      <c r="B704" s="1" t="n">
        <v>45152.37296296296</v>
      </c>
      <c r="C704" s="1" t="n">
        <v>45984</v>
      </c>
      <c r="D704" t="inlineStr">
        <is>
          <t>UPPSALA LÄN</t>
        </is>
      </c>
      <c r="E704" t="inlineStr">
        <is>
          <t>ÖSTHAMMAR</t>
        </is>
      </c>
      <c r="G704" t="n">
        <v>0.9</v>
      </c>
      <c r="H704" t="n">
        <v>0</v>
      </c>
      <c r="I704" t="n">
        <v>0</v>
      </c>
      <c r="J704" t="n">
        <v>0</v>
      </c>
      <c r="K704" t="n">
        <v>0</v>
      </c>
      <c r="L704" t="n">
        <v>0</v>
      </c>
      <c r="M704" t="n">
        <v>0</v>
      </c>
      <c r="N704" t="n">
        <v>0</v>
      </c>
      <c r="O704" t="n">
        <v>0</v>
      </c>
      <c r="P704" t="n">
        <v>0</v>
      </c>
      <c r="Q704" t="n">
        <v>0</v>
      </c>
      <c r="R704" s="2" t="inlineStr"/>
    </row>
    <row r="705" ht="15" customHeight="1">
      <c r="A705" t="inlineStr">
        <is>
          <t>A 28429-2023</t>
        </is>
      </c>
      <c r="B705" s="1" t="n">
        <v>45102.58728009259</v>
      </c>
      <c r="C705" s="1" t="n">
        <v>45984</v>
      </c>
      <c r="D705" t="inlineStr">
        <is>
          <t>UPPSALA LÄN</t>
        </is>
      </c>
      <c r="E705" t="inlineStr">
        <is>
          <t>ÖSTHAMMAR</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35309-2023</t>
        </is>
      </c>
      <c r="B706" s="1" t="n">
        <v>45146</v>
      </c>
      <c r="C706" s="1" t="n">
        <v>45984</v>
      </c>
      <c r="D706" t="inlineStr">
        <is>
          <t>UPPSALA LÄN</t>
        </is>
      </c>
      <c r="E706" t="inlineStr">
        <is>
          <t>ÖSTHAMMAR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835-2025</t>
        </is>
      </c>
      <c r="B707" s="1" t="n">
        <v>45665.58465277778</v>
      </c>
      <c r="C707" s="1" t="n">
        <v>45984</v>
      </c>
      <c r="D707" t="inlineStr">
        <is>
          <t>UPPSALA LÄN</t>
        </is>
      </c>
      <c r="E707" t="inlineStr">
        <is>
          <t>ÖSTHAMMAR</t>
        </is>
      </c>
      <c r="F707" t="inlineStr">
        <is>
          <t>Övriga Aktiebolag</t>
        </is>
      </c>
      <c r="G707" t="n">
        <v>4.8</v>
      </c>
      <c r="H707" t="n">
        <v>0</v>
      </c>
      <c r="I707" t="n">
        <v>0</v>
      </c>
      <c r="J707" t="n">
        <v>0</v>
      </c>
      <c r="K707" t="n">
        <v>0</v>
      </c>
      <c r="L707" t="n">
        <v>0</v>
      </c>
      <c r="M707" t="n">
        <v>0</v>
      </c>
      <c r="N707" t="n">
        <v>0</v>
      </c>
      <c r="O707" t="n">
        <v>0</v>
      </c>
      <c r="P707" t="n">
        <v>0</v>
      </c>
      <c r="Q707" t="n">
        <v>0</v>
      </c>
      <c r="R707" s="2" t="inlineStr"/>
    </row>
    <row r="708" ht="15" customHeight="1">
      <c r="A708" t="inlineStr">
        <is>
          <t>A 67199-2021</t>
        </is>
      </c>
      <c r="B708" s="1" t="n">
        <v>44523.46197916667</v>
      </c>
      <c r="C708" s="1" t="n">
        <v>45984</v>
      </c>
      <c r="D708" t="inlineStr">
        <is>
          <t>UPPSALA LÄN</t>
        </is>
      </c>
      <c r="E708" t="inlineStr">
        <is>
          <t>ÖSTHAMMAR</t>
        </is>
      </c>
      <c r="G708" t="n">
        <v>2.3</v>
      </c>
      <c r="H708" t="n">
        <v>0</v>
      </c>
      <c r="I708" t="n">
        <v>0</v>
      </c>
      <c r="J708" t="n">
        <v>0</v>
      </c>
      <c r="K708" t="n">
        <v>0</v>
      </c>
      <c r="L708" t="n">
        <v>0</v>
      </c>
      <c r="M708" t="n">
        <v>0</v>
      </c>
      <c r="N708" t="n">
        <v>0</v>
      </c>
      <c r="O708" t="n">
        <v>0</v>
      </c>
      <c r="P708" t="n">
        <v>0</v>
      </c>
      <c r="Q708" t="n">
        <v>0</v>
      </c>
      <c r="R708" s="2" t="inlineStr"/>
    </row>
    <row r="709" ht="15" customHeight="1">
      <c r="A709" t="inlineStr">
        <is>
          <t>A 24259-2022</t>
        </is>
      </c>
      <c r="B709" s="1" t="n">
        <v>44725</v>
      </c>
      <c r="C709" s="1" t="n">
        <v>45984</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24367-2022</t>
        </is>
      </c>
      <c r="B710" s="1" t="n">
        <v>44726.42716435185</v>
      </c>
      <c r="C710" s="1" t="n">
        <v>45984</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49897-2023</t>
        </is>
      </c>
      <c r="B711" s="1" t="n">
        <v>45213.84846064815</v>
      </c>
      <c r="C711" s="1" t="n">
        <v>45984</v>
      </c>
      <c r="D711" t="inlineStr">
        <is>
          <t>UPPSALA LÄN</t>
        </is>
      </c>
      <c r="E711" t="inlineStr">
        <is>
          <t>ÖSTHAMMAR</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34922-2023</t>
        </is>
      </c>
      <c r="B712" s="1" t="n">
        <v>45142.48359953704</v>
      </c>
      <c r="C712" s="1" t="n">
        <v>45984</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50998-2023</t>
        </is>
      </c>
      <c r="B713" s="1" t="n">
        <v>45218.5586574074</v>
      </c>
      <c r="C713" s="1" t="n">
        <v>45984</v>
      </c>
      <c r="D713" t="inlineStr">
        <is>
          <t>UPPSALA LÄN</t>
        </is>
      </c>
      <c r="E713" t="inlineStr">
        <is>
          <t>ÖSTHAMMAR</t>
        </is>
      </c>
      <c r="G713" t="n">
        <v>3.6</v>
      </c>
      <c r="H713" t="n">
        <v>0</v>
      </c>
      <c r="I713" t="n">
        <v>0</v>
      </c>
      <c r="J713" t="n">
        <v>0</v>
      </c>
      <c r="K713" t="n">
        <v>0</v>
      </c>
      <c r="L713" t="n">
        <v>0</v>
      </c>
      <c r="M713" t="n">
        <v>0</v>
      </c>
      <c r="N713" t="n">
        <v>0</v>
      </c>
      <c r="O713" t="n">
        <v>0</v>
      </c>
      <c r="P713" t="n">
        <v>0</v>
      </c>
      <c r="Q713" t="n">
        <v>0</v>
      </c>
      <c r="R713" s="2" t="inlineStr"/>
    </row>
    <row r="714" ht="15" customHeight="1">
      <c r="A714" t="inlineStr">
        <is>
          <t>A 31669-2022</t>
        </is>
      </c>
      <c r="B714" s="1" t="n">
        <v>44775</v>
      </c>
      <c r="C714" s="1" t="n">
        <v>45984</v>
      </c>
      <c r="D714" t="inlineStr">
        <is>
          <t>UPPSALA LÄN</t>
        </is>
      </c>
      <c r="E714" t="inlineStr">
        <is>
          <t>ÖSTHAMMAR</t>
        </is>
      </c>
      <c r="G714" t="n">
        <v>6</v>
      </c>
      <c r="H714" t="n">
        <v>0</v>
      </c>
      <c r="I714" t="n">
        <v>0</v>
      </c>
      <c r="J714" t="n">
        <v>0</v>
      </c>
      <c r="K714" t="n">
        <v>0</v>
      </c>
      <c r="L714" t="n">
        <v>0</v>
      </c>
      <c r="M714" t="n">
        <v>0</v>
      </c>
      <c r="N714" t="n">
        <v>0</v>
      </c>
      <c r="O714" t="n">
        <v>0</v>
      </c>
      <c r="P714" t="n">
        <v>0</v>
      </c>
      <c r="Q714" t="n">
        <v>0</v>
      </c>
      <c r="R714" s="2" t="inlineStr"/>
    </row>
    <row r="715" ht="15" customHeight="1">
      <c r="A715" t="inlineStr">
        <is>
          <t>A 48856-2024</t>
        </is>
      </c>
      <c r="B715" s="1" t="n">
        <v>45593</v>
      </c>
      <c r="C715" s="1" t="n">
        <v>45984</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17947-2022</t>
        </is>
      </c>
      <c r="B716" s="1" t="n">
        <v>44683</v>
      </c>
      <c r="C716" s="1" t="n">
        <v>45984</v>
      </c>
      <c r="D716" t="inlineStr">
        <is>
          <t>UPPSALA LÄN</t>
        </is>
      </c>
      <c r="E716" t="inlineStr">
        <is>
          <t>ÖSTHAMMAR</t>
        </is>
      </c>
      <c r="G716" t="n">
        <v>5.5</v>
      </c>
      <c r="H716" t="n">
        <v>0</v>
      </c>
      <c r="I716" t="n">
        <v>0</v>
      </c>
      <c r="J716" t="n">
        <v>0</v>
      </c>
      <c r="K716" t="n">
        <v>0</v>
      </c>
      <c r="L716" t="n">
        <v>0</v>
      </c>
      <c r="M716" t="n">
        <v>0</v>
      </c>
      <c r="N716" t="n">
        <v>0</v>
      </c>
      <c r="O716" t="n">
        <v>0</v>
      </c>
      <c r="P716" t="n">
        <v>0</v>
      </c>
      <c r="Q716" t="n">
        <v>0</v>
      </c>
      <c r="R716" s="2" t="inlineStr"/>
    </row>
    <row r="717" ht="15" customHeight="1">
      <c r="A717" t="inlineStr">
        <is>
          <t>A 21862-2023</t>
        </is>
      </c>
      <c r="B717" s="1" t="n">
        <v>45068</v>
      </c>
      <c r="C717" s="1" t="n">
        <v>45984</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12654-2025</t>
        </is>
      </c>
      <c r="B718" s="1" t="n">
        <v>45733.41601851852</v>
      </c>
      <c r="C718" s="1" t="n">
        <v>45984</v>
      </c>
      <c r="D718" t="inlineStr">
        <is>
          <t>UPPSALA LÄN</t>
        </is>
      </c>
      <c r="E718" t="inlineStr">
        <is>
          <t>ÖSTHAMMAR</t>
        </is>
      </c>
      <c r="G718" t="n">
        <v>9.9</v>
      </c>
      <c r="H718" t="n">
        <v>0</v>
      </c>
      <c r="I718" t="n">
        <v>0</v>
      </c>
      <c r="J718" t="n">
        <v>0</v>
      </c>
      <c r="K718" t="n">
        <v>0</v>
      </c>
      <c r="L718" t="n">
        <v>0</v>
      </c>
      <c r="M718" t="n">
        <v>0</v>
      </c>
      <c r="N718" t="n">
        <v>0</v>
      </c>
      <c r="O718" t="n">
        <v>0</v>
      </c>
      <c r="P718" t="n">
        <v>0</v>
      </c>
      <c r="Q718" t="n">
        <v>0</v>
      </c>
      <c r="R718" s="2" t="inlineStr"/>
    </row>
    <row r="719" ht="15" customHeight="1">
      <c r="A719" t="inlineStr">
        <is>
          <t>A 27308-2023</t>
        </is>
      </c>
      <c r="B719" s="1" t="n">
        <v>45096.65381944444</v>
      </c>
      <c r="C719" s="1" t="n">
        <v>45984</v>
      </c>
      <c r="D719" t="inlineStr">
        <is>
          <t>UPPSALA LÄN</t>
        </is>
      </c>
      <c r="E719" t="inlineStr">
        <is>
          <t>ÖSTHAMMAR</t>
        </is>
      </c>
      <c r="F719" t="inlineStr">
        <is>
          <t>Bergvik skog öst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28420-2023</t>
        </is>
      </c>
      <c r="B720" s="1" t="n">
        <v>45102.33054398148</v>
      </c>
      <c r="C720" s="1" t="n">
        <v>45984</v>
      </c>
      <c r="D720" t="inlineStr">
        <is>
          <t>UPPSALA LÄN</t>
        </is>
      </c>
      <c r="E720" t="inlineStr">
        <is>
          <t>ÖSTHAMMAR</t>
        </is>
      </c>
      <c r="F720" t="inlineStr">
        <is>
          <t>Bergvik skog öst AB</t>
        </is>
      </c>
      <c r="G720" t="n">
        <v>3.2</v>
      </c>
      <c r="H720" t="n">
        <v>0</v>
      </c>
      <c r="I720" t="n">
        <v>0</v>
      </c>
      <c r="J720" t="n">
        <v>0</v>
      </c>
      <c r="K720" t="n">
        <v>0</v>
      </c>
      <c r="L720" t="n">
        <v>0</v>
      </c>
      <c r="M720" t="n">
        <v>0</v>
      </c>
      <c r="N720" t="n">
        <v>0</v>
      </c>
      <c r="O720" t="n">
        <v>0</v>
      </c>
      <c r="P720" t="n">
        <v>0</v>
      </c>
      <c r="Q720" t="n">
        <v>0</v>
      </c>
      <c r="R720" s="2" t="inlineStr"/>
    </row>
    <row r="721" ht="15" customHeight="1">
      <c r="A721" t="inlineStr">
        <is>
          <t>A 40547-2023</t>
        </is>
      </c>
      <c r="B721" s="1" t="n">
        <v>45170.45050925926</v>
      </c>
      <c r="C721" s="1" t="n">
        <v>45984</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10449-2023</t>
        </is>
      </c>
      <c r="B722" s="1" t="n">
        <v>44987</v>
      </c>
      <c r="C722" s="1" t="n">
        <v>45984</v>
      </c>
      <c r="D722" t="inlineStr">
        <is>
          <t>UPPSALA LÄN</t>
        </is>
      </c>
      <c r="E722" t="inlineStr">
        <is>
          <t>ÖSTHAMMAR</t>
        </is>
      </c>
      <c r="G722" t="n">
        <v>3.1</v>
      </c>
      <c r="H722" t="n">
        <v>0</v>
      </c>
      <c r="I722" t="n">
        <v>0</v>
      </c>
      <c r="J722" t="n">
        <v>0</v>
      </c>
      <c r="K722" t="n">
        <v>0</v>
      </c>
      <c r="L722" t="n">
        <v>0</v>
      </c>
      <c r="M722" t="n">
        <v>0</v>
      </c>
      <c r="N722" t="n">
        <v>0</v>
      </c>
      <c r="O722" t="n">
        <v>0</v>
      </c>
      <c r="P722" t="n">
        <v>0</v>
      </c>
      <c r="Q722" t="n">
        <v>0</v>
      </c>
      <c r="R722" s="2" t="inlineStr"/>
    </row>
    <row r="723" ht="15" customHeight="1">
      <c r="A723" t="inlineStr">
        <is>
          <t>A 31035-2022</t>
        </is>
      </c>
      <c r="B723" s="1" t="n">
        <v>44768.88685185185</v>
      </c>
      <c r="C723" s="1" t="n">
        <v>45984</v>
      </c>
      <c r="D723" t="inlineStr">
        <is>
          <t>UPPSALA LÄN</t>
        </is>
      </c>
      <c r="E723" t="inlineStr">
        <is>
          <t>ÖSTHAMMAR</t>
        </is>
      </c>
      <c r="F723" t="inlineStr">
        <is>
          <t>Bergvik skog öst AB</t>
        </is>
      </c>
      <c r="G723" t="n">
        <v>1.5</v>
      </c>
      <c r="H723" t="n">
        <v>0</v>
      </c>
      <c r="I723" t="n">
        <v>0</v>
      </c>
      <c r="J723" t="n">
        <v>0</v>
      </c>
      <c r="K723" t="n">
        <v>0</v>
      </c>
      <c r="L723" t="n">
        <v>0</v>
      </c>
      <c r="M723" t="n">
        <v>0</v>
      </c>
      <c r="N723" t="n">
        <v>0</v>
      </c>
      <c r="O723" t="n">
        <v>0</v>
      </c>
      <c r="P723" t="n">
        <v>0</v>
      </c>
      <c r="Q723" t="n">
        <v>0</v>
      </c>
      <c r="R723" s="2" t="inlineStr"/>
    </row>
    <row r="724" ht="15" customHeight="1">
      <c r="A724" t="inlineStr">
        <is>
          <t>A 22798-2023</t>
        </is>
      </c>
      <c r="B724" s="1" t="n">
        <v>45072</v>
      </c>
      <c r="C724" s="1" t="n">
        <v>45984</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10982-2023</t>
        </is>
      </c>
      <c r="B725" s="1" t="n">
        <v>44991.62203703704</v>
      </c>
      <c r="C725" s="1" t="n">
        <v>45984</v>
      </c>
      <c r="D725" t="inlineStr">
        <is>
          <t>UPPSALA LÄN</t>
        </is>
      </c>
      <c r="E725" t="inlineStr">
        <is>
          <t>ÖSTHAMMAR</t>
        </is>
      </c>
      <c r="G725" t="n">
        <v>1.2</v>
      </c>
      <c r="H725" t="n">
        <v>0</v>
      </c>
      <c r="I725" t="n">
        <v>0</v>
      </c>
      <c r="J725" t="n">
        <v>0</v>
      </c>
      <c r="K725" t="n">
        <v>0</v>
      </c>
      <c r="L725" t="n">
        <v>0</v>
      </c>
      <c r="M725" t="n">
        <v>0</v>
      </c>
      <c r="N725" t="n">
        <v>0</v>
      </c>
      <c r="O725" t="n">
        <v>0</v>
      </c>
      <c r="P725" t="n">
        <v>0</v>
      </c>
      <c r="Q725" t="n">
        <v>0</v>
      </c>
      <c r="R725" s="2" t="inlineStr"/>
    </row>
    <row r="726" ht="15" customHeight="1">
      <c r="A726" t="inlineStr">
        <is>
          <t>A 40637-2022</t>
        </is>
      </c>
      <c r="B726" s="1" t="n">
        <v>44824</v>
      </c>
      <c r="C726" s="1" t="n">
        <v>45984</v>
      </c>
      <c r="D726" t="inlineStr">
        <is>
          <t>UPPSALA LÄN</t>
        </is>
      </c>
      <c r="E726" t="inlineStr">
        <is>
          <t>ÖSTHAMMAR</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6046-2025</t>
        </is>
      </c>
      <c r="B727" s="1" t="n">
        <v>45695</v>
      </c>
      <c r="C727" s="1" t="n">
        <v>45984</v>
      </c>
      <c r="D727" t="inlineStr">
        <is>
          <t>UPPSALA LÄN</t>
        </is>
      </c>
      <c r="E727" t="inlineStr">
        <is>
          <t>ÖSTHAMMAR</t>
        </is>
      </c>
      <c r="G727" t="n">
        <v>0.8</v>
      </c>
      <c r="H727" t="n">
        <v>0</v>
      </c>
      <c r="I727" t="n">
        <v>0</v>
      </c>
      <c r="J727" t="n">
        <v>0</v>
      </c>
      <c r="K727" t="n">
        <v>0</v>
      </c>
      <c r="L727" t="n">
        <v>0</v>
      </c>
      <c r="M727" t="n">
        <v>0</v>
      </c>
      <c r="N727" t="n">
        <v>0</v>
      </c>
      <c r="O727" t="n">
        <v>0</v>
      </c>
      <c r="P727" t="n">
        <v>0</v>
      </c>
      <c r="Q727" t="n">
        <v>0</v>
      </c>
      <c r="R727" s="2" t="inlineStr"/>
      <c r="U727">
        <f>HYPERLINK("https://klasma.github.io/Logging_0382/knärot/A 6046-2025 karta knärot.png", "A 6046-2025")</f>
        <v/>
      </c>
      <c r="V727">
        <f>HYPERLINK("https://klasma.github.io/Logging_0382/klagomål/A 6046-2025 FSC-klagomål.docx", "A 6046-2025")</f>
        <v/>
      </c>
      <c r="W727">
        <f>HYPERLINK("https://klasma.github.io/Logging_0382/klagomålsmail/A 6046-2025 FSC-klagomål mail.docx", "A 6046-2025")</f>
        <v/>
      </c>
      <c r="X727">
        <f>HYPERLINK("https://klasma.github.io/Logging_0382/tillsyn/A 6046-2025 tillsynsbegäran.docx", "A 6046-2025")</f>
        <v/>
      </c>
      <c r="Y727">
        <f>HYPERLINK("https://klasma.github.io/Logging_0382/tillsynsmail/A 6046-2025 tillsynsbegäran mail.docx", "A 6046-2025")</f>
        <v/>
      </c>
    </row>
    <row r="728" ht="15" customHeight="1">
      <c r="A728" t="inlineStr">
        <is>
          <t>A 21624-2023</t>
        </is>
      </c>
      <c r="B728" s="1" t="n">
        <v>45063.65543981481</v>
      </c>
      <c r="C728" s="1" t="n">
        <v>45984</v>
      </c>
      <c r="D728" t="inlineStr">
        <is>
          <t>UPPSALA LÄN</t>
        </is>
      </c>
      <c r="E728" t="inlineStr">
        <is>
          <t>ÖSTHAMMAR</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6120-2024</t>
        </is>
      </c>
      <c r="B729" s="1" t="n">
        <v>45337.41784722222</v>
      </c>
      <c r="C729" s="1" t="n">
        <v>45984</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58270-2023</t>
        </is>
      </c>
      <c r="B730" s="1" t="n">
        <v>45250.49961805555</v>
      </c>
      <c r="C730" s="1" t="n">
        <v>45984</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22804-2022</t>
        </is>
      </c>
      <c r="B731" s="1" t="n">
        <v>44715</v>
      </c>
      <c r="C731" s="1" t="n">
        <v>45984</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57003-2021</t>
        </is>
      </c>
      <c r="B732" s="1" t="n">
        <v>44482.47577546296</v>
      </c>
      <c r="C732" s="1" t="n">
        <v>45984</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73483-2021</t>
        </is>
      </c>
      <c r="B733" s="1" t="n">
        <v>44550</v>
      </c>
      <c r="C733" s="1" t="n">
        <v>45984</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24033-2023</t>
        </is>
      </c>
      <c r="B734" s="1" t="n">
        <v>45078</v>
      </c>
      <c r="C734" s="1" t="n">
        <v>45984</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12262-2023</t>
        </is>
      </c>
      <c r="B735" s="1" t="n">
        <v>44998.66662037037</v>
      </c>
      <c r="C735" s="1" t="n">
        <v>45984</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5254-2025</t>
        </is>
      </c>
      <c r="B736" s="1" t="n">
        <v>45692</v>
      </c>
      <c r="C736" s="1" t="n">
        <v>45984</v>
      </c>
      <c r="D736" t="inlineStr">
        <is>
          <t>UPPSALA LÄN</t>
        </is>
      </c>
      <c r="E736" t="inlineStr">
        <is>
          <t>ÖSTHAMMAR</t>
        </is>
      </c>
      <c r="G736" t="n">
        <v>5</v>
      </c>
      <c r="H736" t="n">
        <v>0</v>
      </c>
      <c r="I736" t="n">
        <v>0</v>
      </c>
      <c r="J736" t="n">
        <v>0</v>
      </c>
      <c r="K736" t="n">
        <v>0</v>
      </c>
      <c r="L736" t="n">
        <v>0</v>
      </c>
      <c r="M736" t="n">
        <v>0</v>
      </c>
      <c r="N736" t="n">
        <v>0</v>
      </c>
      <c r="O736" t="n">
        <v>0</v>
      </c>
      <c r="P736" t="n">
        <v>0</v>
      </c>
      <c r="Q736" t="n">
        <v>0</v>
      </c>
      <c r="R736" s="2" t="inlineStr"/>
    </row>
    <row r="737" ht="15" customHeight="1">
      <c r="A737" t="inlineStr">
        <is>
          <t>A 44807-2024</t>
        </is>
      </c>
      <c r="B737" s="1" t="n">
        <v>45574.65427083334</v>
      </c>
      <c r="C737" s="1" t="n">
        <v>45984</v>
      </c>
      <c r="D737" t="inlineStr">
        <is>
          <t>UPPSALA LÄN</t>
        </is>
      </c>
      <c r="E737" t="inlineStr">
        <is>
          <t>ÖSTHAMMAR</t>
        </is>
      </c>
      <c r="G737" t="n">
        <v>2.9</v>
      </c>
      <c r="H737" t="n">
        <v>0</v>
      </c>
      <c r="I737" t="n">
        <v>0</v>
      </c>
      <c r="J737" t="n">
        <v>0</v>
      </c>
      <c r="K737" t="n">
        <v>0</v>
      </c>
      <c r="L737" t="n">
        <v>0</v>
      </c>
      <c r="M737" t="n">
        <v>0</v>
      </c>
      <c r="N737" t="n">
        <v>0</v>
      </c>
      <c r="O737" t="n">
        <v>0</v>
      </c>
      <c r="P737" t="n">
        <v>0</v>
      </c>
      <c r="Q737" t="n">
        <v>0</v>
      </c>
      <c r="R737" s="2" t="inlineStr"/>
    </row>
    <row r="738" ht="15" customHeight="1">
      <c r="A738" t="inlineStr">
        <is>
          <t>A 7195-2023</t>
        </is>
      </c>
      <c r="B738" s="1" t="n">
        <v>44970</v>
      </c>
      <c r="C738" s="1" t="n">
        <v>45984</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37568-2022</t>
        </is>
      </c>
      <c r="B739" s="1" t="n">
        <v>44809</v>
      </c>
      <c r="C739" s="1" t="n">
        <v>45984</v>
      </c>
      <c r="D739" t="inlineStr">
        <is>
          <t>UPPSALA LÄN</t>
        </is>
      </c>
      <c r="E739" t="inlineStr">
        <is>
          <t>ÖSTHAMMAR</t>
        </is>
      </c>
      <c r="G739" t="n">
        <v>1.1</v>
      </c>
      <c r="H739" t="n">
        <v>0</v>
      </c>
      <c r="I739" t="n">
        <v>0</v>
      </c>
      <c r="J739" t="n">
        <v>0</v>
      </c>
      <c r="K739" t="n">
        <v>0</v>
      </c>
      <c r="L739" t="n">
        <v>0</v>
      </c>
      <c r="M739" t="n">
        <v>0</v>
      </c>
      <c r="N739" t="n">
        <v>0</v>
      </c>
      <c r="O739" t="n">
        <v>0</v>
      </c>
      <c r="P739" t="n">
        <v>0</v>
      </c>
      <c r="Q739" t="n">
        <v>0</v>
      </c>
      <c r="R739" s="2" t="inlineStr"/>
    </row>
    <row r="740" ht="15" customHeight="1">
      <c r="A740" t="inlineStr">
        <is>
          <t>A 9542-2023</t>
        </is>
      </c>
      <c r="B740" s="1" t="n">
        <v>44981</v>
      </c>
      <c r="C740" s="1" t="n">
        <v>45984</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55100-2024</t>
        </is>
      </c>
      <c r="B741" s="1" t="n">
        <v>45621.4405787037</v>
      </c>
      <c r="C741" s="1" t="n">
        <v>45984</v>
      </c>
      <c r="D741" t="inlineStr">
        <is>
          <t>UPPSALA LÄN</t>
        </is>
      </c>
      <c r="E741" t="inlineStr">
        <is>
          <t>ÖSTHAMMAR</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26774-2023</t>
        </is>
      </c>
      <c r="B742" s="1" t="n">
        <v>45093.47947916666</v>
      </c>
      <c r="C742" s="1" t="n">
        <v>45984</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67848-2021</t>
        </is>
      </c>
      <c r="B743" s="1" t="n">
        <v>44525</v>
      </c>
      <c r="C743" s="1" t="n">
        <v>45984</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55097-2024</t>
        </is>
      </c>
      <c r="B744" s="1" t="n">
        <v>45621.43855324074</v>
      </c>
      <c r="C744" s="1" t="n">
        <v>45984</v>
      </c>
      <c r="D744" t="inlineStr">
        <is>
          <t>UPPSALA LÄN</t>
        </is>
      </c>
      <c r="E744" t="inlineStr">
        <is>
          <t>ÖSTHAMMAR</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18230-2025</t>
        </is>
      </c>
      <c r="B745" s="1" t="n">
        <v>45761.87114583333</v>
      </c>
      <c r="C745" s="1" t="n">
        <v>45984</v>
      </c>
      <c r="D745" t="inlineStr">
        <is>
          <t>UPPSALA LÄN</t>
        </is>
      </c>
      <c r="E745" t="inlineStr">
        <is>
          <t>ÖSTHAMMAR</t>
        </is>
      </c>
      <c r="F745" t="inlineStr">
        <is>
          <t>Bergvik skog öst AB</t>
        </is>
      </c>
      <c r="G745" t="n">
        <v>4.2</v>
      </c>
      <c r="H745" t="n">
        <v>0</v>
      </c>
      <c r="I745" t="n">
        <v>0</v>
      </c>
      <c r="J745" t="n">
        <v>0</v>
      </c>
      <c r="K745" t="n">
        <v>0</v>
      </c>
      <c r="L745" t="n">
        <v>0</v>
      </c>
      <c r="M745" t="n">
        <v>0</v>
      </c>
      <c r="N745" t="n">
        <v>0</v>
      </c>
      <c r="O745" t="n">
        <v>0</v>
      </c>
      <c r="P745" t="n">
        <v>0</v>
      </c>
      <c r="Q745" t="n">
        <v>0</v>
      </c>
      <c r="R745" s="2" t="inlineStr"/>
    </row>
    <row r="746" ht="15" customHeight="1">
      <c r="A746" t="inlineStr">
        <is>
          <t>A 37865-2023</t>
        </is>
      </c>
      <c r="B746" s="1" t="n">
        <v>45160</v>
      </c>
      <c r="C746" s="1" t="n">
        <v>45984</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7100-2025</t>
        </is>
      </c>
      <c r="B747" s="1" t="n">
        <v>45701.83930555556</v>
      </c>
      <c r="C747" s="1" t="n">
        <v>45984</v>
      </c>
      <c r="D747" t="inlineStr">
        <is>
          <t>UPPSALA LÄN</t>
        </is>
      </c>
      <c r="E747" t="inlineStr">
        <is>
          <t>ÖSTHAMMAR</t>
        </is>
      </c>
      <c r="G747" t="n">
        <v>4.3</v>
      </c>
      <c r="H747" t="n">
        <v>0</v>
      </c>
      <c r="I747" t="n">
        <v>0</v>
      </c>
      <c r="J747" t="n">
        <v>0</v>
      </c>
      <c r="K747" t="n">
        <v>0</v>
      </c>
      <c r="L747" t="n">
        <v>0</v>
      </c>
      <c r="M747" t="n">
        <v>0</v>
      </c>
      <c r="N747" t="n">
        <v>0</v>
      </c>
      <c r="O747" t="n">
        <v>0</v>
      </c>
      <c r="P747" t="n">
        <v>0</v>
      </c>
      <c r="Q747" t="n">
        <v>0</v>
      </c>
      <c r="R747" s="2" t="inlineStr"/>
    </row>
    <row r="748" ht="15" customHeight="1">
      <c r="A748" t="inlineStr">
        <is>
          <t>A 54314-2023</t>
        </is>
      </c>
      <c r="B748" s="1" t="n">
        <v>45225</v>
      </c>
      <c r="C748" s="1" t="n">
        <v>45984</v>
      </c>
      <c r="D748" t="inlineStr">
        <is>
          <t>UPPSALA LÄN</t>
        </is>
      </c>
      <c r="E748" t="inlineStr">
        <is>
          <t>ÖSTHAMMAR</t>
        </is>
      </c>
      <c r="G748" t="n">
        <v>5.1</v>
      </c>
      <c r="H748" t="n">
        <v>0</v>
      </c>
      <c r="I748" t="n">
        <v>0</v>
      </c>
      <c r="J748" t="n">
        <v>0</v>
      </c>
      <c r="K748" t="n">
        <v>0</v>
      </c>
      <c r="L748" t="n">
        <v>0</v>
      </c>
      <c r="M748" t="n">
        <v>0</v>
      </c>
      <c r="N748" t="n">
        <v>0</v>
      </c>
      <c r="O748" t="n">
        <v>0</v>
      </c>
      <c r="P748" t="n">
        <v>0</v>
      </c>
      <c r="Q748" t="n">
        <v>0</v>
      </c>
      <c r="R748" s="2" t="inlineStr"/>
    </row>
    <row r="749" ht="15" customHeight="1">
      <c r="A749" t="inlineStr">
        <is>
          <t>A 49796-2024</t>
        </is>
      </c>
      <c r="B749" s="1" t="n">
        <v>45597</v>
      </c>
      <c r="C749" s="1" t="n">
        <v>45984</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1791-2023</t>
        </is>
      </c>
      <c r="B750" s="1" t="n">
        <v>44938</v>
      </c>
      <c r="C750" s="1" t="n">
        <v>45984</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21132-2025</t>
        </is>
      </c>
      <c r="B751" s="1" t="n">
        <v>45778.4108912037</v>
      </c>
      <c r="C751" s="1" t="n">
        <v>45984</v>
      </c>
      <c r="D751" t="inlineStr">
        <is>
          <t>UPPSALA LÄN</t>
        </is>
      </c>
      <c r="E751" t="inlineStr">
        <is>
          <t>ÖSTHAMMAR</t>
        </is>
      </c>
      <c r="G751" t="n">
        <v>10.1</v>
      </c>
      <c r="H751" t="n">
        <v>0</v>
      </c>
      <c r="I751" t="n">
        <v>0</v>
      </c>
      <c r="J751" t="n">
        <v>0</v>
      </c>
      <c r="K751" t="n">
        <v>0</v>
      </c>
      <c r="L751" t="n">
        <v>0</v>
      </c>
      <c r="M751" t="n">
        <v>0</v>
      </c>
      <c r="N751" t="n">
        <v>0</v>
      </c>
      <c r="O751" t="n">
        <v>0</v>
      </c>
      <c r="P751" t="n">
        <v>0</v>
      </c>
      <c r="Q751" t="n">
        <v>0</v>
      </c>
      <c r="R751" s="2" t="inlineStr"/>
    </row>
    <row r="752" ht="15" customHeight="1">
      <c r="A752" t="inlineStr">
        <is>
          <t>A 21133-2025</t>
        </is>
      </c>
      <c r="B752" s="1" t="n">
        <v>45778.415625</v>
      </c>
      <c r="C752" s="1" t="n">
        <v>45984</v>
      </c>
      <c r="D752" t="inlineStr">
        <is>
          <t>UPPSALA LÄN</t>
        </is>
      </c>
      <c r="E752" t="inlineStr">
        <is>
          <t>ÖSTHAMMAR</t>
        </is>
      </c>
      <c r="G752" t="n">
        <v>1.5</v>
      </c>
      <c r="H752" t="n">
        <v>0</v>
      </c>
      <c r="I752" t="n">
        <v>0</v>
      </c>
      <c r="J752" t="n">
        <v>0</v>
      </c>
      <c r="K752" t="n">
        <v>0</v>
      </c>
      <c r="L752" t="n">
        <v>0</v>
      </c>
      <c r="M752" t="n">
        <v>0</v>
      </c>
      <c r="N752" t="n">
        <v>0</v>
      </c>
      <c r="O752" t="n">
        <v>0</v>
      </c>
      <c r="P752" t="n">
        <v>0</v>
      </c>
      <c r="Q752" t="n">
        <v>0</v>
      </c>
      <c r="R752" s="2" t="inlineStr"/>
    </row>
    <row r="753" ht="15" customHeight="1">
      <c r="A753" t="inlineStr">
        <is>
          <t>A 42262-2024</t>
        </is>
      </c>
      <c r="B753" s="1" t="n">
        <v>45562</v>
      </c>
      <c r="C753" s="1" t="n">
        <v>45984</v>
      </c>
      <c r="D753" t="inlineStr">
        <is>
          <t>UPPSALA LÄN</t>
        </is>
      </c>
      <c r="E753" t="inlineStr">
        <is>
          <t>ÖSTHAMMAR</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c r="A754" t="inlineStr">
        <is>
          <t>A 44796-2024</t>
        </is>
      </c>
      <c r="B754" s="1" t="n">
        <v>45574</v>
      </c>
      <c r="C754" s="1" t="n">
        <v>45984</v>
      </c>
      <c r="D754" t="inlineStr">
        <is>
          <t>UPPSALA LÄN</t>
        </is>
      </c>
      <c r="E754" t="inlineStr">
        <is>
          <t>ÖSTHAMMAR</t>
        </is>
      </c>
      <c r="G754" t="n">
        <v>4.7</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2025-11-23T10:18:35Z</dcterms:created>
  <dcterms:modified xmlns:dcterms="http://purl.org/dc/terms/" xmlns:xsi="http://www.w3.org/2001/XMLSchema-instance" xsi:type="dcterms:W3CDTF">2025-11-23T10:18:36Z</dcterms:modified>
</cp:coreProperties>
</file>